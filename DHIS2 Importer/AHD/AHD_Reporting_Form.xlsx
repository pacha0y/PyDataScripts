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slicerCaches/slicerCache18.xml" ContentType="application/vnd.ms-excel.slicerCache+xml"/>
  <Override PartName="/xl/slicerCaches/slicerCache19.xml" ContentType="application/vnd.ms-excel.slicerCache+xml"/>
  <Override PartName="/xl/slicerCaches/slicerCache20.xml" ContentType="application/vnd.ms-excel.slicerCache+xml"/>
  <Override PartName="/xl/slicerCaches/slicerCache21.xml" ContentType="application/vnd.ms-excel.slicerCache+xml"/>
  <Override PartName="/xl/slicerCaches/slicerCache22.xml" ContentType="application/vnd.ms-excel.slicerCache+xml"/>
  <Override PartName="/xl/slicerCaches/slicerCache23.xml" ContentType="application/vnd.ms-excel.slicerCache+xml"/>
  <Override PartName="/xl/slicerCaches/slicerCache24.xml" ContentType="application/vnd.ms-excel.slicerCache+xml"/>
  <Override PartName="/xl/slicerCaches/slicerCache25.xml" ContentType="application/vnd.ms-excel.slicerCache+xml"/>
  <Override PartName="/xl/slicerCaches/slicerCache26.xml" ContentType="application/vnd.ms-excel.slicerCache+xml"/>
  <Override PartName="/xl/slicerCaches/slicerCache27.xml" ContentType="application/vnd.ms-excel.slicerCache+xml"/>
  <Override PartName="/xl/slicerCaches/slicerCache28.xml" ContentType="application/vnd.ms-excel.slicerCache+xml"/>
  <Override PartName="/xl/slicerCaches/slicerCache29.xml" ContentType="application/vnd.ms-excel.slicerCache+xml"/>
  <Override PartName="/xl/slicerCaches/slicerCache30.xml" ContentType="application/vnd.ms-excel.slicerCache+xml"/>
  <Override PartName="/xl/slicerCaches/slicerCache31.xml" ContentType="application/vnd.ms-excel.slicerCache+xml"/>
  <Override PartName="/xl/slicerCaches/slicerCache32.xml" ContentType="application/vnd.ms-excel.slicerCache+xml"/>
  <Override PartName="/xl/slicerCaches/slicerCache33.xml" ContentType="application/vnd.ms-excel.slicerCache+xml"/>
  <Override PartName="/xl/slicerCaches/slicerCache34.xml" ContentType="application/vnd.ms-excel.slicerCache+xml"/>
  <Override PartName="/xl/slicerCaches/slicerCache35.xml" ContentType="application/vnd.ms-excel.slicerCache+xml"/>
  <Override PartName="/xl/slicerCaches/slicerCache36.xml" ContentType="application/vnd.ms-excel.slicerCache+xml"/>
  <Override PartName="/xl/slicerCaches/slicerCache37.xml" ContentType="application/vnd.ms-excel.slicerCache+xml"/>
  <Override PartName="/xl/slicerCaches/slicerCache38.xml" ContentType="application/vnd.ms-excel.slicerCache+xml"/>
  <Override PartName="/xl/slicerCaches/slicerCache39.xml" ContentType="application/vnd.ms-excel.slicerCache+xml"/>
  <Override PartName="/xl/slicerCaches/slicerCache40.xml" ContentType="application/vnd.ms-excel.slicerCache+xml"/>
  <Override PartName="/xl/slicerCaches/slicerCache41.xml" ContentType="application/vnd.ms-excel.slicerCache+xml"/>
  <Override PartName="/xl/slicerCaches/slicerCache42.xml" ContentType="application/vnd.ms-excel.slicerCache+xml"/>
  <Override PartName="/xl/slicerCaches/slicerCache43.xml" ContentType="application/vnd.ms-excel.slicerCache+xml"/>
  <Override PartName="/xl/slicerCaches/slicerCache44.xml" ContentType="application/vnd.ms-excel.slicerCache+xml"/>
  <Override PartName="/xl/slicerCaches/slicerCache45.xml" ContentType="application/vnd.ms-excel.slicerCache+xml"/>
  <Override PartName="/xl/slicerCaches/slicerCache46.xml" ContentType="application/vnd.ms-excel.slicerCache+xml"/>
  <Override PartName="/xl/slicerCaches/slicerCache47.xml" ContentType="application/vnd.ms-excel.slicerCache+xml"/>
  <Override PartName="/xl/slicerCaches/slicerCache48.xml" ContentType="application/vnd.ms-excel.slicerCache+xml"/>
  <Override PartName="/xl/slicerCaches/slicerCache49.xml" ContentType="application/vnd.ms-excel.slicerCache+xml"/>
  <Override PartName="/xl/slicerCaches/slicerCache50.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9.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drawings/drawing7.xml" ContentType="application/vnd.openxmlformats-officedocument.drawing+xml"/>
  <Override PartName="/xl/slicers/slicer7.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drawings/drawing8.xml" ContentType="application/vnd.openxmlformats-officedocument.drawing+xml"/>
  <Override PartName="/xl/slicers/slicer8.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9.xml" ContentType="application/vnd.openxmlformats-officedocument.drawing+xml"/>
  <Override PartName="/xl/slicers/slicer9.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drawings/drawing10.xml" ContentType="application/vnd.openxmlformats-officedocument.drawing+xml"/>
  <Override PartName="/xl/slicers/slicer10.xml" ContentType="application/vnd.ms-excel.slicer+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pivotTables/pivotTable34.xml" ContentType="application/vnd.openxmlformats-officedocument.spreadsheetml.pivotTable+xml"/>
  <Override PartName="/xl/pivotTables/pivotTable35.xml" ContentType="application/vnd.openxmlformats-officedocument.spreadsheetml.pivotTable+xml"/>
  <Override PartName="/xl/drawings/drawing11.xml" ContentType="application/vnd.openxmlformats-officedocument.drawing+xml"/>
  <Override PartName="/xl/slicers/slicer11.xml" ContentType="application/vnd.ms-excel.slicer+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pivotTables/pivotTable36.xml" ContentType="application/vnd.openxmlformats-officedocument.spreadsheetml.pivotTable+xml"/>
  <Override PartName="/xl/pivotTables/pivotTable37.xml" ContentType="application/vnd.openxmlformats-officedocument.spreadsheetml.pivotTable+xml"/>
  <Override PartName="/xl/drawings/drawing12.xml" ContentType="application/vnd.openxmlformats-officedocument.drawing+xml"/>
  <Override PartName="/xl/slicers/slicer12.xml" ContentType="application/vnd.ms-excel.slicer+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pivotTables/pivotTable38.xml" ContentType="application/vnd.openxmlformats-officedocument.spreadsheetml.pivotTable+xml"/>
  <Override PartName="/xl/pivotTables/pivotTable39.xml" ContentType="application/vnd.openxmlformats-officedocument.spreadsheetml.pivotTable+xml"/>
  <Override PartName="/xl/pivotTables/pivotTable40.xml" ContentType="application/vnd.openxmlformats-officedocument.spreadsheetml.pivotTable+xml"/>
  <Override PartName="/xl/pivotTables/pivotTable41.xml" ContentType="application/vnd.openxmlformats-officedocument.spreadsheetml.pivotTable+xml"/>
  <Override PartName="/xl/pivotTables/pivotTable42.xml" ContentType="application/vnd.openxmlformats-officedocument.spreadsheetml.pivotTable+xml"/>
  <Override PartName="/xl/pivotTables/pivotTable43.xml" ContentType="application/vnd.openxmlformats-officedocument.spreadsheetml.pivotTable+xml"/>
  <Override PartName="/xl/pivotTables/pivotTable44.xml" ContentType="application/vnd.openxmlformats-officedocument.spreadsheetml.pivotTable+xml"/>
  <Override PartName="/xl/pivotTables/pivotTable45.xml" ContentType="application/vnd.openxmlformats-officedocument.spreadsheetml.pivotTable+xml"/>
  <Override PartName="/xl/pivotTables/pivotTable46.xml" ContentType="application/vnd.openxmlformats-officedocument.spreadsheetml.pivotTable+xml"/>
  <Override PartName="/xl/pivotTables/pivotTable47.xml" ContentType="application/vnd.openxmlformats-officedocument.spreadsheetml.pivotTable+xml"/>
  <Override PartName="/xl/drawings/drawing13.xml" ContentType="application/vnd.openxmlformats-officedocument.drawing+xml"/>
  <Override PartName="/xl/slicers/slicer13.xml" ContentType="application/vnd.ms-excel.slicer+xml"/>
  <Override PartName="/xl/comments2.xml" ContentType="application/vnd.openxmlformats-officedocument.spreadsheetml.comments+xml"/>
  <Override PartName="/xl/threadedComments/threadedComment2.xml" ContentType="application/vnd.ms-excel.threadedcomments+xml"/>
  <Override PartName="/xl/documenttasks/documenttask2.xml" ContentType="application/vnd.ms-excel.documenttasks+xml"/>
  <Override PartName="/xl/pivotTables/pivotTable48.xml" ContentType="application/vnd.openxmlformats-officedocument.spreadsheetml.pivotTable+xml"/>
  <Override PartName="/xl/pivotTables/pivotTable49.xml" ContentType="application/vnd.openxmlformats-officedocument.spreadsheetml.pivotTable+xml"/>
  <Override PartName="/xl/pivotTables/pivotTable50.xml" ContentType="application/vnd.openxmlformats-officedocument.spreadsheetml.pivotTable+xml"/>
  <Override PartName="/xl/drawings/drawing14.xml" ContentType="application/vnd.openxmlformats-officedocument.drawing+xml"/>
  <Override PartName="/xl/slicers/slicer14.xml" ContentType="application/vnd.ms-excel.slicer+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pivotTables/pivotTable51.xml" ContentType="application/vnd.openxmlformats-officedocument.spreadsheetml.pivotTable+xml"/>
  <Override PartName="/xl/pivotTables/pivotTable52.xml" ContentType="application/vnd.openxmlformats-officedocument.spreadsheetml.pivotTable+xml"/>
  <Override PartName="/xl/drawings/drawing15.xml" ContentType="application/vnd.openxmlformats-officedocument.drawing+xml"/>
  <Override PartName="/xl/slicers/slicer15.xml" ContentType="application/vnd.ms-excel.slicer+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pivotTables/pivotTable53.xml" ContentType="application/vnd.openxmlformats-officedocument.spreadsheetml.pivotTable+xml"/>
  <Override PartName="/xl/pivotTables/pivotTable54.xml" ContentType="application/vnd.openxmlformats-officedocument.spreadsheetml.pivotTable+xml"/>
  <Override PartName="/xl/drawings/drawing16.xml" ContentType="application/vnd.openxmlformats-officedocument.drawing+xml"/>
  <Override PartName="/xl/slicers/slicer16.xml" ContentType="application/vnd.ms-excel.slicer+xml"/>
  <Override PartName="/xl/comments3.xml" ContentType="application/vnd.openxmlformats-officedocument.spreadsheetml.comments+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pivotTables/pivotTable55.xml" ContentType="application/vnd.openxmlformats-officedocument.spreadsheetml.pivotTable+xml"/>
  <Override PartName="/xl/pivotTables/pivotTable56.xml" ContentType="application/vnd.openxmlformats-officedocument.spreadsheetml.pivotTable+xml"/>
  <Override PartName="/xl/drawings/drawing17.xml" ContentType="application/vnd.openxmlformats-officedocument.drawing+xml"/>
  <Override PartName="/xl/slicers/slicer17.xml" ContentType="application/vnd.ms-excel.slicer+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pivotTables/pivotTable57.xml" ContentType="application/vnd.openxmlformats-officedocument.spreadsheetml.pivotTable+xml"/>
  <Override PartName="/xl/pivotTables/pivotTable58.xml" ContentType="application/vnd.openxmlformats-officedocument.spreadsheetml.pivotTable+xml"/>
  <Override PartName="/xl/pivotTables/pivotTable59.xml" ContentType="application/vnd.openxmlformats-officedocument.spreadsheetml.pivotTable+xml"/>
  <Override PartName="/xl/pivotTables/pivotTable60.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hidePivotFieldList="1"/>
  <mc:AlternateContent xmlns:mc="http://schemas.openxmlformats.org/markup-compatibility/2006">
    <mc:Choice Requires="x15">
      <x15ac:absPath xmlns:x15ac="http://schemas.microsoft.com/office/spreadsheetml/2010/11/ac" url="C:\Users\PachawoBisani\Documents\Data\PyScripts\DHIS2 Imports\"/>
    </mc:Choice>
  </mc:AlternateContent>
  <xr:revisionPtr revIDLastSave="0" documentId="13_ncr:1_{E1366416-DFB1-4F6E-A42E-22D9D6A7C8AC}" xr6:coauthVersionLast="47" xr6:coauthVersionMax="47" xr10:uidLastSave="{00000000-0000-0000-0000-000000000000}"/>
  <bookViews>
    <workbookView xWindow="-108" yWindow="-108" windowWidth="23256" windowHeight="13896" tabRatio="750" firstSheet="2" activeTab="3" xr2:uid="{00000000-000D-0000-FFFF-FFFF00000000}"/>
  </bookViews>
  <sheets>
    <sheet name="Summary_inpatient (2)" sheetId="28" state="hidden" r:id="rId1"/>
    <sheet name="Summary_5-14yrs" sheetId="24" r:id="rId2"/>
    <sheet name="Sheet1" sheetId="29" r:id="rId3"/>
    <sheet name="Dataset" sheetId="1" r:id="rId4"/>
    <sheet name="april 2025 data" sheetId="27" r:id="rId5"/>
    <sheet name="Summary_HIV_new" sheetId="19" r:id="rId6"/>
    <sheet name="Summary_0-4yrs" sheetId="23" r:id="rId7"/>
    <sheet name="Summary_inpatient" sheetId="20" r:id="rId8"/>
    <sheet name="Summary_RTT" sheetId="22" r:id="rId9"/>
    <sheet name="Summary_unsuppressed" sheetId="21" r:id="rId10"/>
    <sheet name="Dashboard overall" sheetId="15" r:id="rId11"/>
    <sheet name="charts" sheetId="17" state="hidden" r:id="rId12"/>
    <sheet name="peads_0-4" sheetId="8" r:id="rId13"/>
    <sheet name="peads-5-14" sheetId="12" r:id="rId14"/>
    <sheet name="DQA" sheetId="13" state="hidden" r:id="rId15"/>
    <sheet name="pivots_summeries" sheetId="3" state="hidden" r:id="rId16"/>
    <sheet name="New HIV pos" sheetId="5" r:id="rId17"/>
    <sheet name="Inpatient" sheetId="11" r:id="rId18"/>
    <sheet name="HVL" sheetId="10" r:id="rId19"/>
    <sheet name="RTT" sheetId="9" r:id="rId20"/>
    <sheet name="Analyzes" sheetId="6" state="hidden" r:id="rId21"/>
  </sheets>
  <definedNames>
    <definedName name="Slicer_AHD_eligible_category">#N/A</definedName>
    <definedName name="Slicer_AHD_eligible_category_">#N/A</definedName>
    <definedName name="Slicer_AHD_eligible_category1">#N/A</definedName>
    <definedName name="Slicer_AHD_eligible_category2">#N/A</definedName>
    <definedName name="Slicer_AHD_eligible_category21">#N/A</definedName>
    <definedName name="Slicer_AHD_eligible_category211">#N/A</definedName>
    <definedName name="Slicer_AHD_eligible_category2111">#N/A</definedName>
    <definedName name="Slicer_AHD_eligible_category22">#N/A</definedName>
    <definedName name="Slicer_AHD_eligible_category3">#N/A</definedName>
    <definedName name="Slicer_AHD_eligible_category31">#N/A</definedName>
    <definedName name="Slicer_AHD_eligible_category311">#N/A</definedName>
    <definedName name="Slicer_AHD_eligible_category3111">#N/A</definedName>
    <definedName name="Slicer_AHD_eligible_category31111">#N/A</definedName>
    <definedName name="Slicer_AHD_eligible_category312">#N/A</definedName>
    <definedName name="Slicer_AHD_eligible_category313">#N/A</definedName>
    <definedName name="Slicer_AHD_eligible_category4">#N/A</definedName>
    <definedName name="Slicer_COP_Quarter">#N/A</definedName>
    <definedName name="Slicer_COP_Quarter1">#N/A</definedName>
    <definedName name="Slicer_COP_Year">#N/A</definedName>
    <definedName name="Slicer_COP_Year1">#N/A</definedName>
    <definedName name="Slicer_COP_Year11">#N/A</definedName>
    <definedName name="Slicer_Facility">#N/A</definedName>
    <definedName name="Slicer_Facility1">#N/A</definedName>
    <definedName name="Slicer_Facility2">#N/A</definedName>
    <definedName name="Slicer_Facility21">#N/A</definedName>
    <definedName name="Slicer_Facility211">#N/A</definedName>
    <definedName name="Slicer_Facility2111">#N/A</definedName>
    <definedName name="Slicer_Facility21111">#N/A</definedName>
    <definedName name="Slicer_Facility212">#N/A</definedName>
    <definedName name="Slicer_Facility213">#N/A</definedName>
    <definedName name="Slicer_Reporting_month">#N/A</definedName>
    <definedName name="Slicer_Reporting_month1">#N/A</definedName>
    <definedName name="Slicer_Reporting_Quarter">#N/A</definedName>
    <definedName name="Slicer_Reporting_Quarter_">#N/A</definedName>
    <definedName name="Slicer_Reporting_Quarter1">#N/A</definedName>
    <definedName name="Slicer_Reporting_Quarter11">#N/A</definedName>
    <definedName name="Slicer_Reporting_Quarter111">#N/A</definedName>
    <definedName name="Slicer_Reporting_Quarter1111">#N/A</definedName>
    <definedName name="Slicer_Reporting_Quarter12">#N/A</definedName>
    <definedName name="Slicer_Reporting_Quarter13">#N/A</definedName>
    <definedName name="Slicer_Reporting_year">#N/A</definedName>
    <definedName name="Slicer_Reporting_year_">#N/A</definedName>
    <definedName name="Slicer_Reporting_year1">#N/A</definedName>
    <definedName name="Slicer_Reporting_year11">#N/A</definedName>
    <definedName name="Slicer_Reporting_year111">#N/A</definedName>
    <definedName name="Slicer_Reporting_year1111">#N/A</definedName>
    <definedName name="Slicer_Reporting_year11111">#N/A</definedName>
    <definedName name="Slicer_Reporting_year112">#N/A</definedName>
    <definedName name="Slicer_Reporting_year113">#N/A</definedName>
    <definedName name="Slicer_Reporting_year2">#N/A</definedName>
  </definedNames>
  <calcPr calcId="191028"/>
  <pivotCaches>
    <pivotCache cacheId="0" r:id="rId22"/>
    <pivotCache cacheId="1" r:id="rId23"/>
    <pivotCache cacheId="2" r:id="rId24"/>
    <pivotCache cacheId="3" r:id="rId25"/>
  </pivotCaches>
  <extLst>
    <ext xmlns:x14="http://schemas.microsoft.com/office/spreadsheetml/2009/9/main" uri="{BBE1A952-AA13-448e-AADC-164F8A28A991}">
      <x14:slicerCaches>
        <x14:slicerCache r:id="rId26"/>
        <x14:slicerCache r:id="rId27"/>
        <x14:slicerCache r:id="rId28"/>
        <x14:slicerCache r:id="rId29"/>
        <x14:slicerCache r:id="rId30"/>
        <x14:slicerCache r:id="rId31"/>
        <x14:slicerCache r:id="rId32"/>
        <x14:slicerCache r:id="rId33"/>
        <x14:slicerCache r:id="rId34"/>
        <x14:slicerCache r:id="rId35"/>
        <x14:slicerCache r:id="rId36"/>
        <x14:slicerCache r:id="rId37"/>
        <x14:slicerCache r:id="rId38"/>
        <x14:slicerCache r:id="rId39"/>
        <x14:slicerCache r:id="rId40"/>
        <x14:slicerCache r:id="rId41"/>
        <x14:slicerCache r:id="rId42"/>
        <x14:slicerCache r:id="rId43"/>
        <x14:slicerCache r:id="rId44"/>
        <x14:slicerCache r:id="rId45"/>
        <x14:slicerCache r:id="rId46"/>
        <x14:slicerCache r:id="rId47"/>
        <x14:slicerCache r:id="rId48"/>
        <x14:slicerCache r:id="rId49"/>
        <x14:slicerCache r:id="rId50"/>
        <x14:slicerCache r:id="rId51"/>
        <x14:slicerCache r:id="rId52"/>
        <x14:slicerCache r:id="rId53"/>
        <x14:slicerCache r:id="rId54"/>
        <x14:slicerCache r:id="rId55"/>
        <x14:slicerCache r:id="rId56"/>
        <x14:slicerCache r:id="rId57"/>
        <x14:slicerCache r:id="rId58"/>
        <x14:slicerCache r:id="rId59"/>
        <x14:slicerCache r:id="rId60"/>
        <x14:slicerCache r:id="rId61"/>
        <x14:slicerCache r:id="rId62"/>
        <x14:slicerCache r:id="rId63"/>
        <x14:slicerCache r:id="rId64"/>
        <x14:slicerCache r:id="rId65"/>
        <x14:slicerCache r:id="rId66"/>
        <x14:slicerCache r:id="rId67"/>
        <x14:slicerCache r:id="rId68"/>
        <x14:slicerCache r:id="rId69"/>
        <x14:slicerCache r:id="rId70"/>
        <x14:slicerCache r:id="rId71"/>
        <x14:slicerCache r:id="rId72"/>
        <x14:slicerCache r:id="rId73"/>
        <x14:slicerCache r:id="rId74"/>
        <x14:slicerCache r:id="rId7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3" i="13" l="1"/>
  <c r="E23" i="13"/>
  <c r="H8" i="13"/>
  <c r="H10" i="13"/>
  <c r="H11" i="13"/>
  <c r="H12" i="13"/>
  <c r="H13" i="13"/>
  <c r="H14" i="13"/>
  <c r="H15" i="13"/>
  <c r="H18" i="13"/>
  <c r="H19" i="13"/>
  <c r="H20" i="13"/>
  <c r="H21" i="13"/>
  <c r="H22" i="13"/>
  <c r="H5" i="13"/>
  <c r="H6" i="13"/>
  <c r="H7" i="13"/>
  <c r="H4" i="13"/>
  <c r="E5" i="13"/>
  <c r="E6" i="13"/>
  <c r="E7" i="13"/>
  <c r="E8" i="13"/>
  <c r="E10" i="13"/>
  <c r="E11" i="13"/>
  <c r="E12" i="13"/>
  <c r="E13" i="13"/>
  <c r="E14" i="13"/>
  <c r="E15" i="13"/>
  <c r="E18" i="13"/>
  <c r="E19" i="13"/>
  <c r="E20" i="13"/>
  <c r="E21" i="13"/>
  <c r="E22" i="13"/>
  <c r="E4"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tc={D089DF92-0262-4F81-A3B2-A82592704375}</author>
  </authors>
  <commentList>
    <comment ref="N8" authorId="0" shapeId="0" xr:uid="{D089DF92-0262-4F81-A3B2-A82592704375}">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@Margaret  Chirwa can you check for area 18 duplicate May reports on HTS new pos. @Luciano  Billion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tc={16B1849F-246C-4E16-B62A-46DCF7985263}</author>
  </authors>
  <commentList>
    <comment ref="A2" authorId="0" shapeId="0" xr:uid="{16B1849F-246C-4E16-B62A-46DCF798526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@Layout  Gabriel @Maxson  Musama you can check summaries from this sheet. use the slicers to navigate the data by facility, AHD category or reporting period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Angelina  Nhlema</author>
  </authors>
  <commentList>
    <comment ref="X42" authorId="0" shapeId="0" xr:uid="{827B4C78-5EA3-4DB1-B73A-B5C99AE00B55}">
      <text>
        <r>
          <rPr>
            <b/>
            <sz val="9"/>
            <color indexed="81"/>
            <rFont val="Tahoma"/>
            <charset val="1"/>
          </rPr>
          <t>Angelina  Nhlema:</t>
        </r>
        <r>
          <rPr>
            <sz val="9"/>
            <color indexed="81"/>
            <rFont val="Tahoma"/>
            <charset val="1"/>
          </rPr>
          <t xml:space="preserve">
</t>
        </r>
      </text>
    </comment>
  </commentList>
</comments>
</file>

<file path=xl/sharedStrings.xml><?xml version="1.0" encoding="utf-8"?>
<sst xmlns="http://schemas.openxmlformats.org/spreadsheetml/2006/main" count="1381" uniqueCount="190">
  <si>
    <t>Row Labels</t>
  </si>
  <si>
    <t>Total-number-of-ROC</t>
  </si>
  <si>
    <t>CD4-tests</t>
  </si>
  <si>
    <t>CrAg-tests</t>
  </si>
  <si>
    <t>LAM-tests</t>
  </si>
  <si>
    <t>CD4_cov%</t>
  </si>
  <si>
    <t>CD4-yield</t>
  </si>
  <si>
    <t>LAM_pos%</t>
  </si>
  <si>
    <t>CrAG_pos%</t>
  </si>
  <si>
    <t>Sum of Total_number_of_ROC</t>
  </si>
  <si>
    <t>Sum of CD4_tests</t>
  </si>
  <si>
    <t>Sum of CrAg_tests</t>
  </si>
  <si>
    <t>Sum of LAM_tests</t>
  </si>
  <si>
    <t>New_HIV_pos</t>
  </si>
  <si>
    <t>2023</t>
  </si>
  <si>
    <t>Inpatients(HIV_pos_admitted)</t>
  </si>
  <si>
    <t>Quarter1</t>
  </si>
  <si>
    <t>ART_interrupters(for &gt;2months)</t>
  </si>
  <si>
    <t>Quarter3</t>
  </si>
  <si>
    <t>Unsuppressed_ROC</t>
  </si>
  <si>
    <t>Quarter4</t>
  </si>
  <si>
    <t>Pre_and_adolescents(5-14)</t>
  </si>
  <si>
    <t>2024</t>
  </si>
  <si>
    <t>Grand Total</t>
  </si>
  <si>
    <t>Quarter2</t>
  </si>
  <si>
    <t>2025</t>
  </si>
  <si>
    <t>(blank)</t>
  </si>
  <si>
    <t>COP_22</t>
  </si>
  <si>
    <t>Qtr_4</t>
  </si>
  <si>
    <t>COP_23</t>
  </si>
  <si>
    <t>Qtr_1</t>
  </si>
  <si>
    <t>Qtr_2</t>
  </si>
  <si>
    <t>Qtr_3</t>
  </si>
  <si>
    <t>COP_24</t>
  </si>
  <si>
    <t>Sum of Gene_Xpert_done</t>
  </si>
  <si>
    <t>Sum of Gene_Xpert+</t>
  </si>
  <si>
    <t>Sum of Chest_Xlay</t>
  </si>
  <si>
    <t>Sum of Chest_Xlay_abnormal</t>
  </si>
  <si>
    <t>Sum of FASH</t>
  </si>
  <si>
    <t>Sum of FASH+</t>
  </si>
  <si>
    <t>Sum of LAM+</t>
  </si>
  <si>
    <t>Id</t>
  </si>
  <si>
    <t>Start time</t>
  </si>
  <si>
    <t>Completion time</t>
  </si>
  <si>
    <t>Email</t>
  </si>
  <si>
    <t>Name</t>
  </si>
  <si>
    <t>Facility</t>
  </si>
  <si>
    <t xml:space="preserve">Type of Facility
</t>
  </si>
  <si>
    <t xml:space="preserve">Reporting_year
</t>
  </si>
  <si>
    <t>COP_Year1</t>
  </si>
  <si>
    <t>COP_Year</t>
  </si>
  <si>
    <t xml:space="preserve">Reporting_Quarter
</t>
  </si>
  <si>
    <t>COP_Quarter1</t>
  </si>
  <si>
    <t>COP_Quarter</t>
  </si>
  <si>
    <t xml:space="preserve">Reporting_month
</t>
  </si>
  <si>
    <t xml:space="preserve">Startdate
</t>
  </si>
  <si>
    <t>Enddate</t>
  </si>
  <si>
    <t xml:space="preserve">AHD_eligible_category
</t>
  </si>
  <si>
    <t xml:space="preserve">Total_number_of_ROC
</t>
  </si>
  <si>
    <t>Seriously_ill</t>
  </si>
  <si>
    <t>WHO_stage_1</t>
  </si>
  <si>
    <t>WHO_stage_2</t>
  </si>
  <si>
    <t>WHO_stage_3</t>
  </si>
  <si>
    <t>WHO_stage_4</t>
  </si>
  <si>
    <t>CD4_tests</t>
  </si>
  <si>
    <t>CD4&lt;200</t>
  </si>
  <si>
    <t>CrAg_tests</t>
  </si>
  <si>
    <t>CrAg+</t>
  </si>
  <si>
    <t>CSF_CrAg</t>
  </si>
  <si>
    <t>CSF_CrAg+</t>
  </si>
  <si>
    <t>LAM_tests</t>
  </si>
  <si>
    <t>LAM+</t>
  </si>
  <si>
    <t>Gene_Xpert_done</t>
  </si>
  <si>
    <t>Gene_Xpert+</t>
  </si>
  <si>
    <t>Chest_Xlay</t>
  </si>
  <si>
    <t>Chest_Xlay_abnormal</t>
  </si>
  <si>
    <t>FASH</t>
  </si>
  <si>
    <t>FASH+</t>
  </si>
  <si>
    <t>TX_TB</t>
  </si>
  <si>
    <t>TX_CM</t>
  </si>
  <si>
    <t>TX_Cryptococcemia</t>
  </si>
  <si>
    <t>TX_KS</t>
  </si>
  <si>
    <t>Other_treatment</t>
  </si>
  <si>
    <t>Column1</t>
  </si>
  <si>
    <t>mchirwa@lighthouse.org.mw</t>
  </si>
  <si>
    <t>Margaret Chirwa</t>
  </si>
  <si>
    <t>Area_18</t>
  </si>
  <si>
    <t>Prototype</t>
  </si>
  <si>
    <t>Oct</t>
  </si>
  <si>
    <t>All_Categories(totals from page summeries)</t>
  </si>
  <si>
    <t>Nov</t>
  </si>
  <si>
    <t>Sep</t>
  </si>
  <si>
    <t>Mar</t>
  </si>
  <si>
    <t>Jan</t>
  </si>
  <si>
    <t>Feb</t>
  </si>
  <si>
    <t>May</t>
  </si>
  <si>
    <t>Apr</t>
  </si>
  <si>
    <t>Jun</t>
  </si>
  <si>
    <t>Jul</t>
  </si>
  <si>
    <t>Aug</t>
  </si>
  <si>
    <t>Dec</t>
  </si>
  <si>
    <t>Children(0-4yrs)</t>
  </si>
  <si>
    <t>Chileka</t>
  </si>
  <si>
    <t>Chitedze</t>
  </si>
  <si>
    <t>lkaonga@lighthouse.org.mw</t>
  </si>
  <si>
    <t>Lameck Kaonga</t>
  </si>
  <si>
    <t>Kawale</t>
  </si>
  <si>
    <t>eadisoni@lighthouse.org.mw</t>
  </si>
  <si>
    <t>Eliza adisoni</t>
  </si>
  <si>
    <t>KCH_OPD1</t>
  </si>
  <si>
    <t>LH_KCH</t>
  </si>
  <si>
    <t>COE</t>
  </si>
  <si>
    <t>Lumbadzi</t>
  </si>
  <si>
    <t>Maula_prison</t>
  </si>
  <si>
    <t>Mitundu</t>
  </si>
  <si>
    <t>MPC_Bwaila</t>
  </si>
  <si>
    <t>Nathenje</t>
  </si>
  <si>
    <t>Rainbow_MCH</t>
  </si>
  <si>
    <t>Tisungane_ZCH</t>
  </si>
  <si>
    <t>UFC_Queens</t>
  </si>
  <si>
    <t>chbanda@lighthouse.org.mw</t>
  </si>
  <si>
    <t>Chipiliro Banda</t>
  </si>
  <si>
    <t>Total number_of_ROC</t>
  </si>
  <si>
    <t>CD4 tests</t>
  </si>
  <si>
    <t>CrAg tests</t>
  </si>
  <si>
    <t>LAM tests</t>
  </si>
  <si>
    <t>CD4_Cov%</t>
  </si>
  <si>
    <t>CrAG +%</t>
  </si>
  <si>
    <t>CD4_&lt;200</t>
  </si>
  <si>
    <t>LAM +%</t>
  </si>
  <si>
    <t>LAM-cov%</t>
  </si>
  <si>
    <t>CrAG_pos+%</t>
  </si>
  <si>
    <t>Sum of CD4_yield</t>
  </si>
  <si>
    <t>Sum of LAM+%</t>
  </si>
  <si>
    <t>Sum of CrAG+%</t>
  </si>
  <si>
    <t>ADVANCED HIV DISEASE SCREENING MONTHLY MONITORING DASHBOARD</t>
  </si>
  <si>
    <t>TESTING COVERAGE IN AHD ELIGIBLE COHORTS</t>
  </si>
  <si>
    <t>AHD YIELD FROM THE SCREENING TESTS DONE</t>
  </si>
  <si>
    <t>Values</t>
  </si>
  <si>
    <t xml:space="preserve"> CD4_tests</t>
  </si>
  <si>
    <t>CD4 &lt;200</t>
  </si>
  <si>
    <t>CrAg_pos</t>
  </si>
  <si>
    <t>LAM_pos</t>
  </si>
  <si>
    <t xml:space="preserve"> LAM_tests</t>
  </si>
  <si>
    <t xml:space="preserve"> LAM_COV%</t>
  </si>
  <si>
    <t xml:space="preserve"> LAM+%</t>
  </si>
  <si>
    <t xml:space="preserve"> CrAg+%</t>
  </si>
  <si>
    <t xml:space="preserve"> AHD_screening_cov%</t>
  </si>
  <si>
    <t xml:space="preserve"> CD4&lt;200%</t>
  </si>
  <si>
    <t>Year</t>
  </si>
  <si>
    <t>month</t>
  </si>
  <si>
    <t>Reported HIV new linked</t>
  </si>
  <si>
    <t>linkage register</t>
  </si>
  <si>
    <t>DIFF</t>
  </si>
  <si>
    <t xml:space="preserve">reported screened </t>
  </si>
  <si>
    <t>screened in AHD register</t>
  </si>
  <si>
    <t>January</t>
  </si>
  <si>
    <t>February</t>
  </si>
  <si>
    <t>March</t>
  </si>
  <si>
    <t>April</t>
  </si>
  <si>
    <t xml:space="preserve">Reported RTTs </t>
  </si>
  <si>
    <t>EMRS RTT report</t>
  </si>
  <si>
    <t xml:space="preserve">Reported unsuppressed </t>
  </si>
  <si>
    <t>HVL report</t>
  </si>
  <si>
    <t xml:space="preserve">Sum of Total_number_of_ROC
</t>
  </si>
  <si>
    <t>Sum of WHO_stage_1</t>
  </si>
  <si>
    <t>Sum of WHO_stage_2</t>
  </si>
  <si>
    <t>Sum of WHO_stage_3</t>
  </si>
  <si>
    <t>Sum of WHO_stage_4</t>
  </si>
  <si>
    <t>Sum of CD4&lt;200</t>
  </si>
  <si>
    <t>Sum of CrAg+</t>
  </si>
  <si>
    <t>Sum of CSF_CrAg</t>
  </si>
  <si>
    <t>Sum of CSF_CrAg+</t>
  </si>
  <si>
    <t>Sum of TX_TB</t>
  </si>
  <si>
    <t>Sum of TX_CM</t>
  </si>
  <si>
    <t>Sum of TX_Cryptococcemia</t>
  </si>
  <si>
    <t>Sum of TX_KS</t>
  </si>
  <si>
    <t>CD4-cov%</t>
  </si>
  <si>
    <t>Sum of CD4_cov%</t>
  </si>
  <si>
    <t>Sum of %AHD_Coverage</t>
  </si>
  <si>
    <t>Sum of Total</t>
  </si>
  <si>
    <t>Sum of %CD4_yield</t>
  </si>
  <si>
    <t>Sum of %AHD_yeild_LAM</t>
  </si>
  <si>
    <t>Sum of %AHD_Yeild_CrAG</t>
  </si>
  <si>
    <t>Sum of %AHD_Yield_GnXprt</t>
  </si>
  <si>
    <t>Sum of %AHD_Yield_CxLy</t>
  </si>
  <si>
    <t>Sum of %AHD_Yield_FASH</t>
  </si>
  <si>
    <t>%Total</t>
  </si>
  <si>
    <t>email@example.com</t>
  </si>
  <si>
    <t>Jane Doe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</si>
</sst>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ss"/>
  </numFmts>
  <fonts count="9" x14ac:knownFonts="1">
    <font>
      <sz val="11"/>
      <color theme="1"/>
      <name val="Calibri"/>
      <family val="2"/>
      <scheme val="minor"/>
    </font>
    <font>
      <u/>
      <sz val="11"/>
      <color theme="10"/>
      <name val="Calibri"/>
      <family val="2"/>
      <scheme val="minor"/>
    </font>
    <font>
      <sz val="11"/>
      <color theme="1"/>
      <name val="Calibri"/>
      <family val="2"/>
      <scheme val="minor"/>
    </font>
    <font>
      <b/>
      <sz val="11"/>
      <color theme="1"/>
      <name val="Calibri"/>
      <family val="2"/>
      <scheme val="minor"/>
    </font>
    <font>
      <sz val="8"/>
      <name val="Calibri"/>
      <family val="2"/>
      <scheme val="minor"/>
    </font>
    <font>
      <sz val="9"/>
      <color indexed="81"/>
      <name val="Tahoma"/>
      <charset val="1"/>
    </font>
    <font>
      <b/>
      <sz val="9"/>
      <color indexed="81"/>
      <name val="Tahoma"/>
      <charset val="1"/>
    </font>
    <font>
      <b/>
      <sz val="20"/>
      <color theme="1"/>
      <name val="Calibri"/>
      <family val="2"/>
      <scheme val="minor"/>
    </font>
    <font>
      <b/>
      <u/>
      <sz val="22"/>
      <color theme="1"/>
      <name val="Calibri"/>
      <family val="2"/>
      <scheme val="minor"/>
    </font>
  </fonts>
  <fills count="5">
    <fill>
      <patternFill patternType="none"/>
    </fill>
    <fill>
      <patternFill patternType="gray125"/>
    </fill>
    <fill>
      <patternFill patternType="solid">
        <fgColor theme="8" tint="0.59999389629810485"/>
        <bgColor indexed="64"/>
      </patternFill>
    </fill>
    <fill>
      <patternFill patternType="solid">
        <fgColor theme="8" tint="0.79998168889431442"/>
        <bgColor indexed="64"/>
      </patternFill>
    </fill>
    <fill>
      <patternFill patternType="solid">
        <fgColor theme="4" tint="0.79998168889431442"/>
        <bgColor indexed="64"/>
      </patternFill>
    </fill>
  </fills>
  <borders count="31">
    <border>
      <left/>
      <right/>
      <top/>
      <bottom/>
      <diagonal/>
    </border>
    <border>
      <left style="dotted">
        <color theme="2" tint="-0.249977111117893"/>
      </left>
      <right style="dotted">
        <color theme="2" tint="-0.249977111117893"/>
      </right>
      <top style="dotted">
        <color theme="2" tint="-0.249977111117893"/>
      </top>
      <bottom style="dotted">
        <color theme="2" tint="-0.249977111117893"/>
      </bottom>
      <diagonal/>
    </border>
    <border>
      <left style="dotted">
        <color theme="2" tint="-0.249977111117893"/>
      </left>
      <right/>
      <top style="dotted">
        <color theme="2" tint="-0.249977111117893"/>
      </top>
      <bottom style="dotted">
        <color theme="2" tint="-0.249977111117893"/>
      </bottom>
      <diagonal/>
    </border>
    <border>
      <left/>
      <right style="dotted">
        <color theme="2" tint="-0.249977111117893"/>
      </right>
      <top style="dotted">
        <color theme="2" tint="-0.249977111117893"/>
      </top>
      <bottom style="dotted">
        <color theme="2" tint="-0.249977111117893"/>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5"/>
      </left>
      <right/>
      <top style="thin">
        <color indexed="65"/>
      </top>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style="thin">
        <color indexed="65"/>
      </left>
      <right style="thin">
        <color indexed="8"/>
      </right>
      <top style="thin">
        <color indexed="65"/>
      </top>
      <bottom/>
      <diagonal/>
    </border>
    <border>
      <left style="thin">
        <color indexed="8"/>
      </left>
      <right/>
      <top style="thin">
        <color indexed="65"/>
      </top>
      <bottom style="thin">
        <color indexed="8"/>
      </bottom>
      <diagonal/>
    </border>
    <border>
      <left style="thin">
        <color indexed="65"/>
      </left>
      <right/>
      <top style="thin">
        <color indexed="65"/>
      </top>
      <bottom style="thin">
        <color indexed="8"/>
      </bottom>
      <diagonal/>
    </border>
    <border>
      <left style="thin">
        <color indexed="65"/>
      </left>
      <right style="thin">
        <color indexed="8"/>
      </right>
      <top style="thin">
        <color indexed="65"/>
      </top>
      <bottom style="thin">
        <color indexed="8"/>
      </bottom>
      <diagonal/>
    </border>
  </borders>
  <cellStyleXfs count="3">
    <xf numFmtId="0" fontId="0" fillId="0" borderId="0"/>
    <xf numFmtId="0" fontId="1" fillId="0" borderId="0" applyNumberFormat="0" applyFill="0" applyBorder="0" applyAlignment="0" applyProtection="0"/>
    <xf numFmtId="9" fontId="2" fillId="0" borderId="0" applyFont="0" applyFill="0" applyBorder="0" applyAlignment="0" applyProtection="0"/>
  </cellStyleXfs>
  <cellXfs count="53">
    <xf numFmtId="0" fontId="0" fillId="0" borderId="0" xfId="0"/>
    <xf numFmtId="164" fontId="0" fillId="0" borderId="0" xfId="0" applyNumberFormat="1"/>
    <xf numFmtId="14" fontId="0" fillId="0" borderId="0" xfId="0" applyNumberFormat="1"/>
    <xf numFmtId="0" fontId="0" fillId="0" borderId="0" xfId="0" quotePrefix="1"/>
    <xf numFmtId="49" fontId="0" fillId="0" borderId="0" xfId="0" applyNumberFormat="1"/>
    <xf numFmtId="49" fontId="0" fillId="0" borderId="0" xfId="0" quotePrefix="1" applyNumberFormat="1"/>
    <xf numFmtId="0" fontId="1" fillId="0" borderId="0" xfId="1"/>
    <xf numFmtId="0" fontId="0" fillId="0" borderId="1" xfId="0" applyBorder="1"/>
    <xf numFmtId="0" fontId="0" fillId="2" borderId="0" xfId="0" applyFill="1"/>
    <xf numFmtId="0" fontId="0" fillId="0" borderId="2" xfId="0" applyBorder="1"/>
    <xf numFmtId="0" fontId="0" fillId="0" borderId="3" xfId="0" applyBorder="1"/>
    <xf numFmtId="0" fontId="0" fillId="0" borderId="0" xfId="0" pivotButton="1"/>
    <xf numFmtId="0" fontId="0" fillId="0" borderId="0" xfId="0" applyAlignment="1">
      <alignment horizontal="left"/>
    </xf>
    <xf numFmtId="9" fontId="0" fillId="0" borderId="0" xfId="0" applyNumberFormat="1"/>
    <xf numFmtId="0" fontId="0" fillId="0" borderId="0" xfId="0" applyAlignment="1">
      <alignment horizontal="left" indent="1"/>
    </xf>
    <xf numFmtId="9" fontId="0" fillId="0" borderId="0" xfId="2" applyFont="1"/>
    <xf numFmtId="0" fontId="3" fillId="0" borderId="0" xfId="0" applyFont="1"/>
    <xf numFmtId="0" fontId="0" fillId="3" borderId="0" xfId="0" applyFill="1"/>
    <xf numFmtId="0" fontId="3" fillId="0" borderId="4" xfId="0" applyFont="1" applyBorder="1"/>
    <xf numFmtId="0" fontId="0" fillId="0" borderId="4" xfId="0" applyBorder="1"/>
    <xf numFmtId="0" fontId="3" fillId="0" borderId="5" xfId="0" applyFont="1" applyBorder="1"/>
    <xf numFmtId="0" fontId="3" fillId="0" borderId="6" xfId="0" applyFont="1" applyBorder="1"/>
    <xf numFmtId="0" fontId="3" fillId="0" borderId="7" xfId="0" applyFont="1" applyBorder="1"/>
    <xf numFmtId="0" fontId="3" fillId="0" borderId="8" xfId="0" applyFont="1" applyBorder="1"/>
    <xf numFmtId="0" fontId="3" fillId="0" borderId="9" xfId="0" applyFont="1" applyBorder="1"/>
    <xf numFmtId="0" fontId="0" fillId="0" borderId="9" xfId="0" applyBorder="1"/>
    <xf numFmtId="0" fontId="3" fillId="0" borderId="10" xfId="0" applyFont="1" applyBorder="1"/>
    <xf numFmtId="0" fontId="0" fillId="0" borderId="11" xfId="0" applyBorder="1"/>
    <xf numFmtId="0" fontId="0" fillId="0" borderId="12" xfId="0" applyBorder="1"/>
    <xf numFmtId="0" fontId="0" fillId="3" borderId="4" xfId="0" applyFill="1" applyBorder="1"/>
    <xf numFmtId="0" fontId="3" fillId="0" borderId="13" xfId="0" applyFont="1" applyBorder="1"/>
    <xf numFmtId="0" fontId="0" fillId="0" borderId="14" xfId="0" applyBorder="1"/>
    <xf numFmtId="0" fontId="0" fillId="0" borderId="15" xfId="0" applyBorder="1"/>
    <xf numFmtId="1" fontId="0" fillId="3" borderId="4" xfId="2" applyNumberFormat="1" applyFont="1" applyFill="1" applyBorder="1"/>
    <xf numFmtId="0" fontId="0" fillId="0" borderId="0" xfId="0" applyAlignment="1">
      <alignment wrapText="1"/>
    </xf>
    <xf numFmtId="0" fontId="0" fillId="4" borderId="0" xfId="0" applyFill="1"/>
    <xf numFmtId="0" fontId="0" fillId="0" borderId="22" xfId="0" applyBorder="1"/>
    <xf numFmtId="0" fontId="0" fillId="0" borderId="0" xfId="0" applyAlignment="1">
      <alignment horizontal="left" indent="2"/>
    </xf>
    <xf numFmtId="0" fontId="0" fillId="0" borderId="23" xfId="0" applyBorder="1"/>
    <xf numFmtId="0" fontId="0" fillId="0" borderId="24" xfId="0" applyBorder="1"/>
    <xf numFmtId="0" fontId="0" fillId="0" borderId="25" xfId="0" applyBorder="1"/>
    <xf numFmtId="0" fontId="0" fillId="0" borderId="26" xfId="0" applyBorder="1"/>
    <xf numFmtId="0" fontId="0" fillId="0" borderId="27" xfId="0" applyBorder="1"/>
    <xf numFmtId="0" fontId="0" fillId="0" borderId="28" xfId="0" applyBorder="1"/>
    <xf numFmtId="0" fontId="0" fillId="0" borderId="29" xfId="0" applyBorder="1"/>
    <xf numFmtId="0" fontId="0" fillId="0" borderId="30" xfId="0" applyBorder="1"/>
    <xf numFmtId="0" fontId="8" fillId="4" borderId="0" xfId="0" applyFont="1" applyFill="1" applyAlignment="1">
      <alignment horizontal="center"/>
    </xf>
    <xf numFmtId="0" fontId="7" fillId="4" borderId="16" xfId="0" applyFont="1" applyFill="1" applyBorder="1" applyAlignment="1">
      <alignment horizontal="center"/>
    </xf>
    <xf numFmtId="0" fontId="7" fillId="4" borderId="17" xfId="0" applyFont="1" applyFill="1" applyBorder="1" applyAlignment="1">
      <alignment horizontal="center"/>
    </xf>
    <xf numFmtId="0" fontId="7" fillId="4" borderId="18" xfId="0" applyFont="1" applyFill="1" applyBorder="1" applyAlignment="1">
      <alignment horizontal="center"/>
    </xf>
    <xf numFmtId="0" fontId="7" fillId="4" borderId="19" xfId="0" applyFont="1" applyFill="1" applyBorder="1" applyAlignment="1">
      <alignment horizontal="center"/>
    </xf>
    <xf numFmtId="0" fontId="7" fillId="4" borderId="20" xfId="0" applyFont="1" applyFill="1" applyBorder="1" applyAlignment="1">
      <alignment horizontal="center"/>
    </xf>
    <xf numFmtId="0" fontId="7" fillId="4" borderId="21" xfId="0" applyFont="1" applyFill="1" applyBorder="1" applyAlignment="1">
      <alignment horizontal="center"/>
    </xf>
  </cellXfs>
  <cellStyles count="3">
    <cellStyle name="Hyperlink" xfId="1" builtinId="8"/>
    <cellStyle name="Normal" xfId="0" builtinId="0"/>
    <cellStyle name="Percent" xfId="2" builtinId="5"/>
  </cellStyles>
  <dxfs count="368">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border outline="0">
        <left style="dotted">
          <color theme="2" tint="-0.249977111117893"/>
        </left>
        <right style="dotted">
          <color theme="2" tint="-0.249977111117893"/>
        </right>
        <top style="dotted">
          <color theme="2" tint="-0.249977111117893"/>
        </top>
        <bottom style="dotted">
          <color theme="2" tint="-0.249977111117893"/>
        </bottom>
      </border>
    </dxf>
    <dxf>
      <border outline="0">
        <left style="dotted">
          <color theme="2" tint="-0.249977111117893"/>
        </left>
        <right style="dotted">
          <color theme="2" tint="-0.249977111117893"/>
        </right>
        <top style="dotted">
          <color theme="2" tint="-0.249977111117893"/>
        </top>
        <bottom style="dotted">
          <color theme="2" tint="-0.249977111117893"/>
        </bottom>
      </border>
    </dxf>
    <dxf>
      <border outline="0">
        <left style="dotted">
          <color theme="2" tint="-0.249977111117893"/>
        </left>
        <right style="dotted">
          <color theme="2" tint="-0.249977111117893"/>
        </right>
        <top style="dotted">
          <color theme="2" tint="-0.249977111117893"/>
        </top>
        <bottom style="dotted">
          <color theme="2" tint="-0.249977111117893"/>
        </bottom>
      </border>
    </dxf>
    <dxf>
      <border outline="0">
        <left style="dotted">
          <color theme="2" tint="-0.249977111117893"/>
        </left>
        <right style="dotted">
          <color theme="2" tint="-0.249977111117893"/>
        </right>
        <top style="dotted">
          <color theme="2" tint="-0.249977111117893"/>
        </top>
        <bottom style="dotted">
          <color theme="2" tint="-0.249977111117893"/>
        </bottom>
      </border>
    </dxf>
    <dxf>
      <border outline="0">
        <left style="dotted">
          <color theme="2" tint="-0.249977111117893"/>
        </left>
        <right style="dotted">
          <color theme="2" tint="-0.249977111117893"/>
        </right>
        <top style="dotted">
          <color theme="2" tint="-0.249977111117893"/>
        </top>
        <bottom style="dotted">
          <color theme="2" tint="-0.249977111117893"/>
        </bottom>
      </border>
    </dxf>
    <dxf>
      <border outline="0">
        <left style="dotted">
          <color theme="2" tint="-0.249977111117893"/>
        </left>
        <right style="dotted">
          <color theme="2" tint="-0.249977111117893"/>
        </right>
        <top style="dotted">
          <color theme="2" tint="-0.249977111117893"/>
        </top>
        <bottom style="dotted">
          <color theme="2" tint="-0.249977111117893"/>
        </bottom>
      </border>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border outline="0">
        <left style="dotted">
          <color theme="2" tint="-0.249977111117893"/>
        </left>
        <right style="dotted">
          <color theme="2" tint="-0.249977111117893"/>
        </right>
        <top style="dotted">
          <color theme="2" tint="-0.249977111117893"/>
        </top>
        <bottom style="dotted">
          <color theme="2" tint="-0.249977111117893"/>
        </bottom>
      </border>
    </dxf>
    <dxf>
      <border outline="0">
        <left style="dotted">
          <color theme="2" tint="-0.249977111117893"/>
        </left>
        <right style="dotted">
          <color theme="2" tint="-0.249977111117893"/>
        </right>
        <top style="dotted">
          <color theme="2" tint="-0.249977111117893"/>
        </top>
        <bottom style="dotted">
          <color theme="2" tint="-0.249977111117893"/>
        </bottom>
      </border>
    </dxf>
    <dxf>
      <border outline="0">
        <left style="dotted">
          <color theme="2" tint="-0.249977111117893"/>
        </left>
        <right style="dotted">
          <color theme="2" tint="-0.249977111117893"/>
        </right>
        <top style="dotted">
          <color theme="2" tint="-0.249977111117893"/>
        </top>
        <bottom style="dotted">
          <color theme="2" tint="-0.249977111117893"/>
        </bottom>
      </border>
    </dxf>
    <dxf>
      <border outline="0">
        <left style="dotted">
          <color theme="2" tint="-0.249977111117893"/>
        </left>
        <right style="dotted">
          <color theme="2" tint="-0.249977111117893"/>
        </right>
        <top style="dotted">
          <color theme="2" tint="-0.249977111117893"/>
        </top>
        <bottom style="dotted">
          <color theme="2" tint="-0.249977111117893"/>
        </bottom>
      </border>
    </dxf>
    <dxf>
      <border outline="0">
        <left style="dotted">
          <color theme="2" tint="-0.249977111117893"/>
        </left>
        <right style="dotted">
          <color theme="2" tint="-0.249977111117893"/>
        </right>
        <top style="dotted">
          <color theme="2" tint="-0.249977111117893"/>
        </top>
        <bottom style="dotted">
          <color theme="2" tint="-0.249977111117893"/>
        </bottom>
      </border>
    </dxf>
    <dxf>
      <border outline="0">
        <left style="dotted">
          <color theme="2" tint="-0.249977111117893"/>
        </left>
        <right style="dotted">
          <color theme="2" tint="-0.249977111117893"/>
        </right>
        <top style="dotted">
          <color theme="2" tint="-0.249977111117893"/>
        </top>
        <bottom style="dotted">
          <color theme="2" tint="-0.249977111117893"/>
        </bottom>
      </border>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border outline="0">
        <left style="dotted">
          <color theme="2" tint="-0.249977111117893"/>
        </left>
        <right style="dotted">
          <color theme="2" tint="-0.249977111117893"/>
        </right>
        <top style="dotted">
          <color theme="2" tint="-0.249977111117893"/>
        </top>
        <bottom style="dotted">
          <color theme="2" tint="-0.249977111117893"/>
        </bottom>
      </border>
    </dxf>
    <dxf>
      <border outline="0">
        <left style="dotted">
          <color theme="2" tint="-0.249977111117893"/>
        </left>
        <right style="dotted">
          <color theme="2" tint="-0.249977111117893"/>
        </right>
        <top style="dotted">
          <color theme="2" tint="-0.249977111117893"/>
        </top>
        <bottom style="dotted">
          <color theme="2" tint="-0.249977111117893"/>
        </bottom>
      </border>
    </dxf>
    <dxf>
      <border outline="0">
        <left style="dotted">
          <color theme="2" tint="-0.249977111117893"/>
        </left>
        <right style="dotted">
          <color theme="2" tint="-0.249977111117893"/>
        </right>
        <top style="dotted">
          <color theme="2" tint="-0.249977111117893"/>
        </top>
        <bottom style="dotted">
          <color theme="2" tint="-0.249977111117893"/>
        </bottom>
      </border>
    </dxf>
    <dxf>
      <border outline="0">
        <left style="dotted">
          <color theme="2" tint="-0.249977111117893"/>
        </left>
        <right style="dotted">
          <color theme="2" tint="-0.249977111117893"/>
        </right>
        <top style="dotted">
          <color theme="2" tint="-0.249977111117893"/>
        </top>
        <bottom style="dotted">
          <color theme="2" tint="-0.249977111117893"/>
        </bottom>
      </border>
    </dxf>
    <dxf>
      <border outline="0">
        <left style="dotted">
          <color theme="2" tint="-0.249977111117893"/>
        </left>
        <right style="dotted">
          <color theme="2" tint="-0.249977111117893"/>
        </right>
        <top style="dotted">
          <color theme="2" tint="-0.249977111117893"/>
        </top>
        <bottom style="dotted">
          <color theme="2" tint="-0.249977111117893"/>
        </bottom>
      </border>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border outline="0">
        <left style="dotted">
          <color theme="2" tint="-0.249977111117893"/>
        </left>
        <right style="dotted">
          <color theme="2" tint="-0.249977111117893"/>
        </right>
        <top style="dotted">
          <color theme="2" tint="-0.249977111117893"/>
        </top>
        <bottom style="dotted">
          <color theme="2" tint="-0.249977111117893"/>
        </bottom>
      </border>
    </dxf>
    <dxf>
      <border outline="0">
        <left style="dotted">
          <color theme="2" tint="-0.249977111117893"/>
        </left>
        <right style="dotted">
          <color theme="2" tint="-0.249977111117893"/>
        </right>
        <top style="dotted">
          <color theme="2" tint="-0.249977111117893"/>
        </top>
        <bottom style="dotted">
          <color theme="2" tint="-0.249977111117893"/>
        </bottom>
      </border>
    </dxf>
    <dxf>
      <border outline="0">
        <left style="dotted">
          <color theme="2" tint="-0.249977111117893"/>
        </left>
        <right style="dotted">
          <color theme="2" tint="-0.249977111117893"/>
        </right>
        <top style="dotted">
          <color theme="2" tint="-0.249977111117893"/>
        </top>
        <bottom style="dotted">
          <color theme="2" tint="-0.249977111117893"/>
        </bottom>
      </border>
    </dxf>
    <dxf>
      <border outline="0">
        <left style="dotted">
          <color theme="2" tint="-0.249977111117893"/>
        </left>
        <right style="dotted">
          <color theme="2" tint="-0.249977111117893"/>
        </right>
        <top style="dotted">
          <color theme="2" tint="-0.249977111117893"/>
        </top>
        <bottom style="dotted">
          <color theme="2" tint="-0.249977111117893"/>
        </bottom>
      </border>
    </dxf>
    <dxf>
      <border outline="0">
        <left style="dotted">
          <color theme="2" tint="-0.249977111117893"/>
        </left>
        <right style="dotted">
          <color theme="2" tint="-0.249977111117893"/>
        </right>
        <top style="dotted">
          <color theme="2" tint="-0.249977111117893"/>
        </top>
        <bottom style="dotted">
          <color theme="2" tint="-0.249977111117893"/>
        </bottom>
      </border>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border outline="0">
        <left/>
        <right/>
        <top/>
        <bottom/>
      </border>
    </dxf>
    <dxf>
      <border outline="0">
        <left/>
        <right/>
        <top/>
        <bottom/>
      </border>
    </dxf>
    <dxf>
      <fill>
        <patternFill patternType="solid">
          <fgColor indexed="64"/>
          <bgColor theme="8" tint="0.59999389629810485"/>
        </patternFill>
      </fill>
    </dxf>
    <dxf>
      <fill>
        <patternFill patternType="solid">
          <fgColor indexed="64"/>
          <bgColor theme="8" tint="0.59999389629810485"/>
        </patternFill>
      </fill>
    </dxf>
    <dxf>
      <border outline="0">
        <left style="dotted">
          <color theme="2" tint="-0.249977111117893"/>
        </left>
        <right style="dotted">
          <color theme="2" tint="-0.249977111117893"/>
        </right>
        <top style="dotted">
          <color theme="2" tint="-0.249977111117893"/>
        </top>
        <bottom style="dotted">
          <color theme="2" tint="-0.249977111117893"/>
        </bottom>
      </border>
    </dxf>
    <dxf>
      <border outline="0">
        <left style="dotted">
          <color theme="2" tint="-0.249977111117893"/>
        </left>
        <right style="dotted">
          <color theme="2" tint="-0.249977111117893"/>
        </right>
        <top style="dotted">
          <color theme="2" tint="-0.249977111117893"/>
        </top>
        <bottom style="dotted">
          <color theme="2" tint="-0.249977111117893"/>
        </bottom>
      </border>
    </dxf>
    <dxf>
      <border outline="0">
        <left style="dotted">
          <color theme="2" tint="-0.249977111117893"/>
        </left>
        <right style="dotted">
          <color theme="2" tint="-0.249977111117893"/>
        </right>
        <top style="dotted">
          <color theme="2" tint="-0.249977111117893"/>
        </top>
        <bottom style="dotted">
          <color theme="2" tint="-0.249977111117893"/>
        </bottom>
      </border>
    </dxf>
    <dxf>
      <border outline="0">
        <left style="dotted">
          <color theme="2" tint="-0.249977111117893"/>
        </left>
        <right style="dotted">
          <color theme="2" tint="-0.249977111117893"/>
        </right>
        <top style="dotted">
          <color theme="2" tint="-0.249977111117893"/>
        </top>
        <bottom style="dotted">
          <color theme="2" tint="-0.249977111117893"/>
        </bottom>
      </border>
    </dxf>
    <dxf>
      <border outline="0">
        <left style="dotted">
          <color theme="2" tint="-0.249977111117893"/>
        </left>
        <right style="dotted">
          <color theme="2" tint="-0.249977111117893"/>
        </right>
        <top style="dotted">
          <color theme="2" tint="-0.249977111117893"/>
        </top>
        <bottom style="dotted">
          <color theme="2" tint="-0.249977111117893"/>
        </bottom>
      </border>
    </dxf>
    <dxf>
      <border outline="0">
        <left style="dotted">
          <color theme="2" tint="-0.249977111117893"/>
        </left>
        <right style="dotted">
          <color theme="2" tint="-0.249977111117893"/>
        </right>
        <top style="dotted">
          <color theme="2" tint="-0.249977111117893"/>
        </top>
        <bottom style="dotted">
          <color theme="2" tint="-0.249977111117893"/>
        </bottom>
      </border>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border outline="0">
        <left style="dotted">
          <color theme="2" tint="-0.249977111117893"/>
        </left>
        <right style="dotted">
          <color theme="2" tint="-0.249977111117893"/>
        </right>
        <top style="dotted">
          <color theme="2" tint="-0.249977111117893"/>
        </top>
        <bottom style="dotted">
          <color theme="2" tint="-0.249977111117893"/>
        </bottom>
      </border>
    </dxf>
    <dxf>
      <border outline="0">
        <left style="dotted">
          <color theme="2" tint="-0.249977111117893"/>
        </left>
        <right style="dotted">
          <color theme="2" tint="-0.249977111117893"/>
        </right>
        <top style="dotted">
          <color theme="2" tint="-0.249977111117893"/>
        </top>
        <bottom style="dotted">
          <color theme="2" tint="-0.249977111117893"/>
        </bottom>
      </border>
    </dxf>
    <dxf>
      <border outline="0">
        <left style="dotted">
          <color theme="2" tint="-0.249977111117893"/>
        </left>
        <right style="dotted">
          <color theme="2" tint="-0.249977111117893"/>
        </right>
        <top style="dotted">
          <color theme="2" tint="-0.249977111117893"/>
        </top>
        <bottom style="dotted">
          <color theme="2" tint="-0.249977111117893"/>
        </bottom>
      </border>
    </dxf>
    <dxf>
      <border outline="0">
        <left style="dotted">
          <color theme="2" tint="-0.249977111117893"/>
        </left>
        <right style="dotted">
          <color theme="2" tint="-0.249977111117893"/>
        </right>
        <top style="dotted">
          <color theme="2" tint="-0.249977111117893"/>
        </top>
        <bottom style="dotted">
          <color theme="2" tint="-0.249977111117893"/>
        </bottom>
      </border>
    </dxf>
    <dxf>
      <border outline="0">
        <left style="dotted">
          <color theme="2" tint="-0.249977111117893"/>
        </left>
        <right style="dotted">
          <color theme="2" tint="-0.249977111117893"/>
        </right>
        <top style="dotted">
          <color theme="2" tint="-0.249977111117893"/>
        </top>
        <bottom style="dotted">
          <color theme="2" tint="-0.249977111117893"/>
        </bottom>
      </border>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border outline="0">
        <left style="dotted">
          <color theme="2" tint="-0.249977111117893"/>
        </left>
        <right style="dotted">
          <color theme="2" tint="-0.249977111117893"/>
        </right>
        <top style="dotted">
          <color theme="2" tint="-0.249977111117893"/>
        </top>
        <bottom style="dotted">
          <color theme="2" tint="-0.249977111117893"/>
        </bottom>
      </border>
    </dxf>
    <dxf>
      <border outline="0">
        <left style="dotted">
          <color theme="2" tint="-0.249977111117893"/>
        </left>
        <right style="dotted">
          <color theme="2" tint="-0.249977111117893"/>
        </right>
        <top style="dotted">
          <color theme="2" tint="-0.249977111117893"/>
        </top>
        <bottom style="dotted">
          <color theme="2" tint="-0.249977111117893"/>
        </bottom>
      </border>
    </dxf>
    <dxf>
      <border outline="0">
        <left style="dotted">
          <color theme="2" tint="-0.249977111117893"/>
        </left>
        <right style="dotted">
          <color theme="2" tint="-0.249977111117893"/>
        </right>
        <top style="dotted">
          <color theme="2" tint="-0.249977111117893"/>
        </top>
        <bottom style="dotted">
          <color theme="2" tint="-0.249977111117893"/>
        </bottom>
      </border>
    </dxf>
    <dxf>
      <border outline="0">
        <left style="dotted">
          <color theme="2" tint="-0.249977111117893"/>
        </left>
        <right style="dotted">
          <color theme="2" tint="-0.249977111117893"/>
        </right>
        <top style="dotted">
          <color theme="2" tint="-0.249977111117893"/>
        </top>
        <bottom style="dotted">
          <color theme="2" tint="-0.249977111117893"/>
        </bottom>
      </border>
    </dxf>
    <dxf>
      <border outline="0">
        <left style="dotted">
          <color theme="2" tint="-0.249977111117893"/>
        </left>
        <right style="dotted">
          <color theme="2" tint="-0.249977111117893"/>
        </right>
        <top style="dotted">
          <color theme="2" tint="-0.249977111117893"/>
        </top>
        <bottom style="dotted">
          <color theme="2" tint="-0.249977111117893"/>
        </bottom>
      </border>
    </dxf>
    <dxf>
      <border outline="0">
        <left style="dotted">
          <color theme="2" tint="-0.249977111117893"/>
        </left>
        <right style="dotted">
          <color theme="2" tint="-0.249977111117893"/>
        </right>
        <top style="dotted">
          <color theme="2" tint="-0.249977111117893"/>
        </top>
        <bottom style="dotted">
          <color theme="2" tint="-0.249977111117893"/>
        </bottom>
      </border>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border outline="0">
        <left style="dotted">
          <color theme="2" tint="-0.249977111117893"/>
        </left>
        <right style="dotted">
          <color theme="2" tint="-0.249977111117893"/>
        </right>
        <top style="dotted">
          <color theme="2" tint="-0.249977111117893"/>
        </top>
        <bottom style="dotted">
          <color theme="2" tint="-0.249977111117893"/>
        </bottom>
      </border>
    </dxf>
    <dxf>
      <border outline="0">
        <left style="dotted">
          <color theme="2" tint="-0.249977111117893"/>
        </left>
        <right style="dotted">
          <color theme="2" tint="-0.249977111117893"/>
        </right>
        <top style="dotted">
          <color theme="2" tint="-0.249977111117893"/>
        </top>
        <bottom style="dotted">
          <color theme="2" tint="-0.249977111117893"/>
        </bottom>
      </border>
    </dxf>
    <dxf>
      <border outline="0">
        <left style="dotted">
          <color theme="2" tint="-0.249977111117893"/>
        </left>
        <right style="dotted">
          <color theme="2" tint="-0.249977111117893"/>
        </right>
        <top style="dotted">
          <color theme="2" tint="-0.249977111117893"/>
        </top>
        <bottom style="dotted">
          <color theme="2" tint="-0.249977111117893"/>
        </bottom>
      </border>
    </dxf>
    <dxf>
      <border outline="0">
        <left style="dotted">
          <color theme="2" tint="-0.249977111117893"/>
        </left>
        <right style="dotted">
          <color theme="2" tint="-0.249977111117893"/>
        </right>
        <top style="dotted">
          <color theme="2" tint="-0.249977111117893"/>
        </top>
        <bottom style="dotted">
          <color theme="2" tint="-0.249977111117893"/>
        </bottom>
      </border>
    </dxf>
    <dxf>
      <border outline="0">
        <left style="dotted">
          <color theme="2" tint="-0.249977111117893"/>
        </left>
        <right style="dotted">
          <color theme="2" tint="-0.249977111117893"/>
        </right>
        <top style="dotted">
          <color theme="2" tint="-0.249977111117893"/>
        </top>
        <bottom style="dotted">
          <color theme="2" tint="-0.249977111117893"/>
        </bottom>
      </border>
    </dxf>
    <dxf>
      <border outline="0">
        <left style="dotted">
          <color theme="2" tint="-0.249977111117893"/>
        </left>
        <right style="dotted">
          <color theme="2" tint="-0.249977111117893"/>
        </right>
        <top style="dotted">
          <color theme="2" tint="-0.249977111117893"/>
        </top>
        <bottom style="dotted">
          <color theme="2" tint="-0.249977111117893"/>
        </bottom>
      </border>
    </dxf>
    <dxf>
      <border outline="0">
        <left style="dotted">
          <color theme="2" tint="-0.249977111117893"/>
        </left>
        <right style="dotted">
          <color theme="2" tint="-0.249977111117893"/>
        </right>
        <top style="dotted">
          <color theme="2" tint="-0.249977111117893"/>
        </top>
        <bottom style="dotted">
          <color theme="2" tint="-0.249977111117893"/>
        </bottom>
      </border>
    </dxf>
    <dxf>
      <border outline="0">
        <left style="dotted">
          <color theme="2" tint="-0.249977111117893"/>
        </left>
        <right style="dotted">
          <color theme="2" tint="-0.249977111117893"/>
        </right>
        <top style="dotted">
          <color theme="2" tint="-0.249977111117893"/>
        </top>
        <bottom style="dotted">
          <color theme="2" tint="-0.249977111117893"/>
        </bottom>
      </border>
    </dxf>
    <dxf>
      <border outline="0">
        <left style="dotted">
          <color theme="2" tint="-0.249977111117893"/>
        </left>
        <right style="dotted">
          <color theme="2" tint="-0.249977111117893"/>
        </right>
        <top style="dotted">
          <color theme="2" tint="-0.249977111117893"/>
        </top>
        <bottom style="dotted">
          <color theme="2" tint="-0.249977111117893"/>
        </bottom>
      </border>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border outline="0">
        <left style="dotted">
          <color theme="2" tint="-0.249977111117893"/>
        </left>
        <right style="dotted">
          <color theme="2" tint="-0.249977111117893"/>
        </right>
        <top style="dotted">
          <color theme="2" tint="-0.249977111117893"/>
        </top>
        <bottom style="dotted">
          <color theme="2" tint="-0.249977111117893"/>
        </bottom>
      </border>
    </dxf>
    <dxf>
      <border outline="0">
        <left style="dotted">
          <color theme="2" tint="-0.249977111117893"/>
        </left>
        <right style="dotted">
          <color theme="2" tint="-0.249977111117893"/>
        </right>
        <top style="dotted">
          <color theme="2" tint="-0.249977111117893"/>
        </top>
        <bottom style="dotted">
          <color theme="2" tint="-0.249977111117893"/>
        </bottom>
      </border>
    </dxf>
    <dxf>
      <border outline="0">
        <left style="dotted">
          <color theme="2" tint="-0.249977111117893"/>
        </left>
        <right style="dotted">
          <color theme="2" tint="-0.249977111117893"/>
        </right>
        <top style="dotted">
          <color theme="2" tint="-0.249977111117893"/>
        </top>
        <bottom style="dotted">
          <color theme="2" tint="-0.249977111117893"/>
        </bottom>
      </border>
    </dxf>
    <dxf>
      <border outline="0">
        <left style="dotted">
          <color theme="2" tint="-0.249977111117893"/>
        </left>
        <right style="dotted">
          <color theme="2" tint="-0.249977111117893"/>
        </right>
        <top style="dotted">
          <color theme="2" tint="-0.249977111117893"/>
        </top>
        <bottom style="dotted">
          <color theme="2" tint="-0.249977111117893"/>
        </bottom>
      </border>
    </dxf>
    <dxf>
      <border outline="0">
        <left style="dotted">
          <color theme="2" tint="-0.249977111117893"/>
        </left>
        <right style="dotted">
          <color theme="2" tint="-0.249977111117893"/>
        </right>
        <top style="dotted">
          <color theme="2" tint="-0.249977111117893"/>
        </top>
        <bottom style="dotted">
          <color theme="2" tint="-0.249977111117893"/>
        </bottom>
      </border>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border outline="0">
        <left style="dotted">
          <color theme="2" tint="-0.249977111117893"/>
        </left>
        <right style="dotted">
          <color theme="2" tint="-0.249977111117893"/>
        </right>
        <top style="dotted">
          <color theme="2" tint="-0.249977111117893"/>
        </top>
        <bottom style="dotted">
          <color theme="2" tint="-0.249977111117893"/>
        </bottom>
      </border>
    </dxf>
    <dxf>
      <border outline="0">
        <left style="dotted">
          <color theme="2" tint="-0.249977111117893"/>
        </left>
        <right style="dotted">
          <color theme="2" tint="-0.249977111117893"/>
        </right>
        <top style="dotted">
          <color theme="2" tint="-0.249977111117893"/>
        </top>
        <bottom style="dotted">
          <color theme="2" tint="-0.249977111117893"/>
        </bottom>
      </border>
    </dxf>
    <dxf>
      <border outline="0">
        <left style="dotted">
          <color theme="2" tint="-0.249977111117893"/>
        </left>
        <right style="dotted">
          <color theme="2" tint="-0.249977111117893"/>
        </right>
        <top style="dotted">
          <color theme="2" tint="-0.249977111117893"/>
        </top>
        <bottom style="dotted">
          <color theme="2" tint="-0.249977111117893"/>
        </bottom>
      </border>
    </dxf>
    <dxf>
      <border outline="0">
        <left style="dotted">
          <color theme="2" tint="-0.249977111117893"/>
        </left>
        <right style="dotted">
          <color theme="2" tint="-0.249977111117893"/>
        </right>
        <top style="dotted">
          <color theme="2" tint="-0.249977111117893"/>
        </top>
        <bottom style="dotted">
          <color theme="2" tint="-0.249977111117893"/>
        </bottom>
      </border>
    </dxf>
    <dxf>
      <border outline="0">
        <left style="dotted">
          <color theme="2" tint="-0.249977111117893"/>
        </left>
        <right style="dotted">
          <color theme="2" tint="-0.249977111117893"/>
        </right>
        <top style="dotted">
          <color theme="2" tint="-0.249977111117893"/>
        </top>
        <bottom style="dotted">
          <color theme="2" tint="-0.249977111117893"/>
        </bottom>
      </border>
    </dxf>
    <dxf>
      <border outline="0">
        <left style="dotted">
          <color theme="2" tint="-0.249977111117893"/>
        </left>
        <right style="dotted">
          <color theme="2" tint="-0.249977111117893"/>
        </right>
        <top style="dotted">
          <color theme="2" tint="-0.249977111117893"/>
        </top>
        <bottom style="dotted">
          <color theme="2" tint="-0.249977111117893"/>
        </bottom>
      </border>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0" formatCode="@"/>
    </dxf>
    <dxf>
      <numFmt numFmtId="165" formatCode="m/d/yyyy"/>
    </dxf>
    <dxf>
      <numFmt numFmtId="165" formatCode="m/d/yyyy"/>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164" formatCode="m/d/yy\ h:mm:ss"/>
    </dxf>
    <dxf>
      <numFmt numFmtId="164" formatCode="m/d/yy\ h:mm:ss"/>
    </dxf>
    <dxf>
      <numFmt numFmtId="0" formatCode="General"/>
    </dxf>
    <dxf>
      <numFmt numFmtId="13" formatCode="0%"/>
    </dxf>
    <dxf>
      <numFmt numFmtId="13" formatCode="0%"/>
    </dxf>
    <dxf>
      <numFmt numFmtId="13" formatCode="0%"/>
    </dxf>
    <dxf>
      <numFmt numFmtId="13" formatCode="0%"/>
    </dxf>
  </dxfs>
  <tableStyles count="0" defaultTableStyle="TableStyleMedium2" defaultPivotStyle="PivotStyleLight16"/>
  <colors>
    <mruColors>
      <color rgb="FF660066"/>
      <color rgb="FF6CAEA5"/>
      <color rgb="FF9869A7"/>
      <color rgb="FFFEBAF6"/>
      <color rgb="FFB06A74"/>
      <color rgb="FFCAD62A"/>
      <color rgb="FF92957B"/>
      <color rgb="FFE6D800"/>
      <color rgb="FF449BCC"/>
      <color rgb="FF1A5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1.xml"/><Relationship Id="rId21" Type="http://schemas.openxmlformats.org/officeDocument/2006/relationships/worksheet" Target="worksheets/sheet21.xml"/><Relationship Id="rId42" Type="http://schemas.microsoft.com/office/2007/relationships/slicerCache" Target="slicerCaches/slicerCache17.xml"/><Relationship Id="rId47" Type="http://schemas.microsoft.com/office/2007/relationships/slicerCache" Target="slicerCaches/slicerCache22.xml"/><Relationship Id="rId63" Type="http://schemas.microsoft.com/office/2007/relationships/slicerCache" Target="slicerCaches/slicerCache38.xml"/><Relationship Id="rId68" Type="http://schemas.microsoft.com/office/2007/relationships/slicerCache" Target="slicerCaches/slicerCache43.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pivotCacheDefinition" Target="pivotCache/pivotCacheDefinition3.xml"/><Relationship Id="rId32" Type="http://schemas.microsoft.com/office/2007/relationships/slicerCache" Target="slicerCaches/slicerCache7.xml"/><Relationship Id="rId37" Type="http://schemas.microsoft.com/office/2007/relationships/slicerCache" Target="slicerCaches/slicerCache12.xml"/><Relationship Id="rId40" Type="http://schemas.microsoft.com/office/2007/relationships/slicerCache" Target="slicerCaches/slicerCache15.xml"/><Relationship Id="rId45" Type="http://schemas.microsoft.com/office/2007/relationships/slicerCache" Target="slicerCaches/slicerCache20.xml"/><Relationship Id="rId53" Type="http://schemas.microsoft.com/office/2007/relationships/slicerCache" Target="slicerCaches/slicerCache28.xml"/><Relationship Id="rId58" Type="http://schemas.microsoft.com/office/2007/relationships/slicerCache" Target="slicerCaches/slicerCache33.xml"/><Relationship Id="rId66" Type="http://schemas.microsoft.com/office/2007/relationships/slicerCache" Target="slicerCaches/slicerCache41.xml"/><Relationship Id="rId74" Type="http://schemas.microsoft.com/office/2007/relationships/slicerCache" Target="slicerCaches/slicerCache49.xml"/><Relationship Id="rId79" Type="http://schemas.microsoft.com/office/2017/10/relationships/person" Target="persons/person.xml"/><Relationship Id="rId5" Type="http://schemas.openxmlformats.org/officeDocument/2006/relationships/worksheet" Target="worksheets/sheet5.xml"/><Relationship Id="rId61" Type="http://schemas.microsoft.com/office/2007/relationships/slicerCache" Target="slicerCaches/slicerCache3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pivotCacheDefinition" Target="pivotCache/pivotCacheDefinition1.xml"/><Relationship Id="rId27" Type="http://schemas.microsoft.com/office/2007/relationships/slicerCache" Target="slicerCaches/slicerCache2.xml"/><Relationship Id="rId30" Type="http://schemas.microsoft.com/office/2007/relationships/slicerCache" Target="slicerCaches/slicerCache5.xml"/><Relationship Id="rId35" Type="http://schemas.microsoft.com/office/2007/relationships/slicerCache" Target="slicerCaches/slicerCache10.xml"/><Relationship Id="rId43" Type="http://schemas.microsoft.com/office/2007/relationships/slicerCache" Target="slicerCaches/slicerCache18.xml"/><Relationship Id="rId48" Type="http://schemas.microsoft.com/office/2007/relationships/slicerCache" Target="slicerCaches/slicerCache23.xml"/><Relationship Id="rId56" Type="http://schemas.microsoft.com/office/2007/relationships/slicerCache" Target="slicerCaches/slicerCache31.xml"/><Relationship Id="rId64" Type="http://schemas.microsoft.com/office/2007/relationships/slicerCache" Target="slicerCaches/slicerCache39.xml"/><Relationship Id="rId69" Type="http://schemas.microsoft.com/office/2007/relationships/slicerCache" Target="slicerCaches/slicerCache44.xml"/><Relationship Id="rId77" Type="http://schemas.openxmlformats.org/officeDocument/2006/relationships/styles" Target="styles.xml"/><Relationship Id="rId8" Type="http://schemas.openxmlformats.org/officeDocument/2006/relationships/worksheet" Target="worksheets/sheet8.xml"/><Relationship Id="rId51" Type="http://schemas.microsoft.com/office/2007/relationships/slicerCache" Target="slicerCaches/slicerCache26.xml"/><Relationship Id="rId72" Type="http://schemas.microsoft.com/office/2007/relationships/slicerCache" Target="slicerCaches/slicerCache47.xml"/><Relationship Id="rId80"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4.xml"/><Relationship Id="rId33" Type="http://schemas.microsoft.com/office/2007/relationships/slicerCache" Target="slicerCaches/slicerCache8.xml"/><Relationship Id="rId38" Type="http://schemas.microsoft.com/office/2007/relationships/slicerCache" Target="slicerCaches/slicerCache13.xml"/><Relationship Id="rId46" Type="http://schemas.microsoft.com/office/2007/relationships/slicerCache" Target="slicerCaches/slicerCache21.xml"/><Relationship Id="rId59" Type="http://schemas.microsoft.com/office/2007/relationships/slicerCache" Target="slicerCaches/slicerCache34.xml"/><Relationship Id="rId67" Type="http://schemas.microsoft.com/office/2007/relationships/slicerCache" Target="slicerCaches/slicerCache42.xml"/><Relationship Id="rId20" Type="http://schemas.openxmlformats.org/officeDocument/2006/relationships/worksheet" Target="worksheets/sheet20.xml"/><Relationship Id="rId41" Type="http://schemas.microsoft.com/office/2007/relationships/slicerCache" Target="slicerCaches/slicerCache16.xml"/><Relationship Id="rId54" Type="http://schemas.microsoft.com/office/2007/relationships/slicerCache" Target="slicerCaches/slicerCache29.xml"/><Relationship Id="rId62" Type="http://schemas.microsoft.com/office/2007/relationships/slicerCache" Target="slicerCaches/slicerCache37.xml"/><Relationship Id="rId70" Type="http://schemas.microsoft.com/office/2007/relationships/slicerCache" Target="slicerCaches/slicerCache45.xml"/><Relationship Id="rId75" Type="http://schemas.microsoft.com/office/2007/relationships/slicerCache" Target="slicerCaches/slicerCache5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2.xml"/><Relationship Id="rId28" Type="http://schemas.microsoft.com/office/2007/relationships/slicerCache" Target="slicerCaches/slicerCache3.xml"/><Relationship Id="rId36" Type="http://schemas.microsoft.com/office/2007/relationships/slicerCache" Target="slicerCaches/slicerCache11.xml"/><Relationship Id="rId49" Type="http://schemas.microsoft.com/office/2007/relationships/slicerCache" Target="slicerCaches/slicerCache24.xml"/><Relationship Id="rId57" Type="http://schemas.microsoft.com/office/2007/relationships/slicerCache" Target="slicerCaches/slicerCache32.xml"/><Relationship Id="rId10" Type="http://schemas.openxmlformats.org/officeDocument/2006/relationships/worksheet" Target="worksheets/sheet10.xml"/><Relationship Id="rId31" Type="http://schemas.microsoft.com/office/2007/relationships/slicerCache" Target="slicerCaches/slicerCache6.xml"/><Relationship Id="rId44" Type="http://schemas.microsoft.com/office/2007/relationships/slicerCache" Target="slicerCaches/slicerCache19.xml"/><Relationship Id="rId52" Type="http://schemas.microsoft.com/office/2007/relationships/slicerCache" Target="slicerCaches/slicerCache27.xml"/><Relationship Id="rId60" Type="http://schemas.microsoft.com/office/2007/relationships/slicerCache" Target="slicerCaches/slicerCache35.xml"/><Relationship Id="rId65" Type="http://schemas.microsoft.com/office/2007/relationships/slicerCache" Target="slicerCaches/slicerCache40.xml"/><Relationship Id="rId73" Type="http://schemas.microsoft.com/office/2007/relationships/slicerCache" Target="slicerCaches/slicerCache48.xml"/><Relationship Id="rId78"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microsoft.com/office/2007/relationships/slicerCache" Target="slicerCaches/slicerCache14.xml"/><Relationship Id="rId34" Type="http://schemas.microsoft.com/office/2007/relationships/slicerCache" Target="slicerCaches/slicerCache9.xml"/><Relationship Id="rId50" Type="http://schemas.microsoft.com/office/2007/relationships/slicerCache" Target="slicerCaches/slicerCache25.xml"/><Relationship Id="rId55" Type="http://schemas.microsoft.com/office/2007/relationships/slicerCache" Target="slicerCaches/slicerCache30.xml"/><Relationship Id="rId76" Type="http://schemas.openxmlformats.org/officeDocument/2006/relationships/theme" Target="theme/theme1.xml"/><Relationship Id="rId7" Type="http://schemas.openxmlformats.org/officeDocument/2006/relationships/worksheet" Target="worksheets/sheet7.xml"/><Relationship Id="rId71" Type="http://schemas.microsoft.com/office/2007/relationships/slicerCache" Target="slicerCaches/slicerCache46.xml"/><Relationship Id="rId2" Type="http://schemas.openxmlformats.org/officeDocument/2006/relationships/worksheet" Target="worksheets/sheet2.xml"/><Relationship Id="rId2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[AHD_Reporting_Form.xlsx]Summary_inpatient (2)!PivotTable1</c:name>
    <c:fmtId val="13"/>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GB"/>
              <a:t>AHD monitoring by sub-populations</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w="9525">
              <a:solidFill>
                <a:schemeClr val="accent5">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826939662414179E-2"/>
          <c:y val="0.12128429598474104"/>
          <c:w val="0.85045485695686396"/>
          <c:h val="0.65044725383140545"/>
        </c:manualLayout>
      </c:layout>
      <c:barChart>
        <c:barDir val="col"/>
        <c:grouping val="clustered"/>
        <c:varyColors val="0"/>
        <c:ser>
          <c:idx val="0"/>
          <c:order val="0"/>
          <c:tx>
            <c:strRef>
              <c:f>'Summary_inpatient (2)'!$E$3</c:f>
              <c:strCache>
                <c:ptCount val="1"/>
                <c:pt idx="0">
                  <c:v>Total-number-of-ROC</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'Summary_inpatient (2)'!$D$4:$D$9</c:f>
              <c:strCache>
                <c:ptCount val="5"/>
                <c:pt idx="0">
                  <c:v>New_HIV_pos</c:v>
                </c:pt>
                <c:pt idx="1">
                  <c:v>Inpatients(HIV_pos_admitted)</c:v>
                </c:pt>
                <c:pt idx="2">
                  <c:v>ART_interrupters(for &gt;2months)</c:v>
                </c:pt>
                <c:pt idx="3">
                  <c:v>Unsuppressed_ROC</c:v>
                </c:pt>
                <c:pt idx="4">
                  <c:v>Pre_and_adolescents(5-14)</c:v>
                </c:pt>
              </c:strCache>
            </c:strRef>
          </c:cat>
          <c:val>
            <c:numRef>
              <c:f>'Summary_inpatient (2)'!$E$4:$E$9</c:f>
              <c:numCache>
                <c:formatCode>General</c:formatCode>
                <c:ptCount val="5"/>
                <c:pt idx="0">
                  <c:v>8249</c:v>
                </c:pt>
                <c:pt idx="1">
                  <c:v>5721</c:v>
                </c:pt>
                <c:pt idx="2">
                  <c:v>3923</c:v>
                </c:pt>
                <c:pt idx="3">
                  <c:v>3688</c:v>
                </c:pt>
                <c:pt idx="4">
                  <c:v>685</c:v>
                </c:pt>
              </c:numCache>
            </c:numRef>
          </c:val>
          <c:extLst>
            <c:ext xmlns:c16="http://schemas.microsoft.com/office/drawing/2014/chart" uri="{C3380CC4-5D6E-409C-BE32-E72D297353CC}">
              <c16:uniqueId val="{00000000-BC89-4B38-B53F-9ADAE2F83CC2}"/>
            </c:ext>
          </c:extLst>
        </c:ser>
        <c:ser>
          <c:idx val="1"/>
          <c:order val="1"/>
          <c:tx>
            <c:strRef>
              <c:f>'Summary_inpatient (2)'!$F$3</c:f>
              <c:strCache>
                <c:ptCount val="1"/>
                <c:pt idx="0">
                  <c:v>CD4-tests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3"/>
            <c:invertIfNegative val="0"/>
            <c:bubble3D val="0"/>
            <c:extLst>
              <c:ext xmlns:c16="http://schemas.microsoft.com/office/drawing/2014/chart" uri="{C3380CC4-5D6E-409C-BE32-E72D297353CC}">
                <c16:uniqueId val="{00000001-BC89-4B38-B53F-9ADAE2F83CC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'Summary_inpatient (2)'!$D$4:$D$9</c:f>
              <c:strCache>
                <c:ptCount val="5"/>
                <c:pt idx="0">
                  <c:v>New_HIV_pos</c:v>
                </c:pt>
                <c:pt idx="1">
                  <c:v>Inpatients(HIV_pos_admitted)</c:v>
                </c:pt>
                <c:pt idx="2">
                  <c:v>ART_interrupters(for &gt;2months)</c:v>
                </c:pt>
                <c:pt idx="3">
                  <c:v>Unsuppressed_ROC</c:v>
                </c:pt>
                <c:pt idx="4">
                  <c:v>Pre_and_adolescents(5-14)</c:v>
                </c:pt>
              </c:strCache>
            </c:strRef>
          </c:cat>
          <c:val>
            <c:numRef>
              <c:f>'Summary_inpatient (2)'!$F$4:$F$9</c:f>
              <c:numCache>
                <c:formatCode>General</c:formatCode>
                <c:ptCount val="5"/>
                <c:pt idx="0">
                  <c:v>6939</c:v>
                </c:pt>
                <c:pt idx="1">
                  <c:v>5488</c:v>
                </c:pt>
                <c:pt idx="2">
                  <c:v>2160</c:v>
                </c:pt>
                <c:pt idx="3">
                  <c:v>2868</c:v>
                </c:pt>
                <c:pt idx="4">
                  <c:v>549</c:v>
                </c:pt>
              </c:numCache>
            </c:numRef>
          </c:val>
          <c:extLst>
            <c:ext xmlns:c16="http://schemas.microsoft.com/office/drawing/2014/chart" uri="{C3380CC4-5D6E-409C-BE32-E72D297353CC}">
              <c16:uniqueId val="{00000002-BC89-4B38-B53F-9ADAE2F83CC2}"/>
            </c:ext>
          </c:extLst>
        </c:ser>
        <c:ser>
          <c:idx val="2"/>
          <c:order val="2"/>
          <c:tx>
            <c:strRef>
              <c:f>'Summary_inpatient (2)'!$G$3</c:f>
              <c:strCache>
                <c:ptCount val="1"/>
                <c:pt idx="0">
                  <c:v>CrAg-tests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'Summary_inpatient (2)'!$D$4:$D$9</c:f>
              <c:strCache>
                <c:ptCount val="5"/>
                <c:pt idx="0">
                  <c:v>New_HIV_pos</c:v>
                </c:pt>
                <c:pt idx="1">
                  <c:v>Inpatients(HIV_pos_admitted)</c:v>
                </c:pt>
                <c:pt idx="2">
                  <c:v>ART_interrupters(for &gt;2months)</c:v>
                </c:pt>
                <c:pt idx="3">
                  <c:v>Unsuppressed_ROC</c:v>
                </c:pt>
                <c:pt idx="4">
                  <c:v>Pre_and_adolescents(5-14)</c:v>
                </c:pt>
              </c:strCache>
            </c:strRef>
          </c:cat>
          <c:val>
            <c:numRef>
              <c:f>'Summary_inpatient (2)'!$G$4:$G$9</c:f>
              <c:numCache>
                <c:formatCode>General</c:formatCode>
                <c:ptCount val="5"/>
                <c:pt idx="0">
                  <c:v>2453</c:v>
                </c:pt>
                <c:pt idx="1">
                  <c:v>2410</c:v>
                </c:pt>
                <c:pt idx="2">
                  <c:v>738</c:v>
                </c:pt>
                <c:pt idx="3">
                  <c:v>959</c:v>
                </c:pt>
                <c:pt idx="4">
                  <c:v>191</c:v>
                </c:pt>
              </c:numCache>
            </c:numRef>
          </c:val>
          <c:extLst>
            <c:ext xmlns:c16="http://schemas.microsoft.com/office/drawing/2014/chart" uri="{C3380CC4-5D6E-409C-BE32-E72D297353CC}">
              <c16:uniqueId val="{00000003-BC89-4B38-B53F-9ADAE2F83CC2}"/>
            </c:ext>
          </c:extLst>
        </c:ser>
        <c:ser>
          <c:idx val="3"/>
          <c:order val="3"/>
          <c:tx>
            <c:strRef>
              <c:f>'Summary_inpatient (2)'!$H$3</c:f>
              <c:strCache>
                <c:ptCount val="1"/>
                <c:pt idx="0">
                  <c:v>LAM-tests</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'Summary_inpatient (2)'!$D$4:$D$9</c:f>
              <c:strCache>
                <c:ptCount val="5"/>
                <c:pt idx="0">
                  <c:v>New_HIV_pos</c:v>
                </c:pt>
                <c:pt idx="1">
                  <c:v>Inpatients(HIV_pos_admitted)</c:v>
                </c:pt>
                <c:pt idx="2">
                  <c:v>ART_interrupters(for &gt;2months)</c:v>
                </c:pt>
                <c:pt idx="3">
                  <c:v>Unsuppressed_ROC</c:v>
                </c:pt>
                <c:pt idx="4">
                  <c:v>Pre_and_adolescents(5-14)</c:v>
                </c:pt>
              </c:strCache>
            </c:strRef>
          </c:cat>
          <c:val>
            <c:numRef>
              <c:f>'Summary_inpatient (2)'!$H$4:$H$9</c:f>
              <c:numCache>
                <c:formatCode>General</c:formatCode>
                <c:ptCount val="5"/>
                <c:pt idx="0">
                  <c:v>1815</c:v>
                </c:pt>
                <c:pt idx="1">
                  <c:v>1637</c:v>
                </c:pt>
                <c:pt idx="2">
                  <c:v>676</c:v>
                </c:pt>
                <c:pt idx="3">
                  <c:v>746</c:v>
                </c:pt>
                <c:pt idx="4">
                  <c:v>159</c:v>
                </c:pt>
              </c:numCache>
            </c:numRef>
          </c:val>
          <c:extLst>
            <c:ext xmlns:c16="http://schemas.microsoft.com/office/drawing/2014/chart" uri="{C3380CC4-5D6E-409C-BE32-E72D297353CC}">
              <c16:uniqueId val="{00000004-BC89-4B38-B53F-9ADAE2F83CC2}"/>
            </c:ext>
          </c:extLst>
        </c:ser>
        <c:dLbls>
          <c:dLblPos val="outEnd"/>
          <c:showLegendKey val="0"/>
          <c:showVal val="1"/>
          <c:showCatName val="0"/>
          <c:showSerName val="0"/>
          <c:showPercent val="0"/>
          <c:showBubbleSize val="0"/>
        </c:dLbls>
        <c:gapWidth val="100"/>
        <c:overlap val="-24"/>
        <c:axId val="798768496"/>
        <c:axId val="798764536"/>
      </c:barChart>
      <c:lineChart>
        <c:grouping val="standard"/>
        <c:varyColors val="0"/>
        <c:ser>
          <c:idx val="4"/>
          <c:order val="4"/>
          <c:tx>
            <c:strRef>
              <c:f>'Summary_inpatient (2)'!$I$3</c:f>
              <c:strCache>
                <c:ptCount val="1"/>
                <c:pt idx="0">
                  <c:v>CD4_cov%</c:v>
                </c:pt>
              </c:strCache>
            </c:strRef>
          </c:tx>
          <c:spPr>
            <a:ln w="34925" cap="rnd">
              <a:solidFill>
                <a:schemeClr val="accent5">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w="9525">
                <a:solidFill>
                  <a:schemeClr val="accent5">
                    <a:lumMod val="6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'Summary_inpatient (2)'!$D$4:$D$9</c:f>
              <c:strCache>
                <c:ptCount val="5"/>
                <c:pt idx="0">
                  <c:v>New_HIV_pos</c:v>
                </c:pt>
                <c:pt idx="1">
                  <c:v>Inpatients(HIV_pos_admitted)</c:v>
                </c:pt>
                <c:pt idx="2">
                  <c:v>ART_interrupters(for &gt;2months)</c:v>
                </c:pt>
                <c:pt idx="3">
                  <c:v>Unsuppressed_ROC</c:v>
                </c:pt>
                <c:pt idx="4">
                  <c:v>Pre_and_adolescents(5-14)</c:v>
                </c:pt>
              </c:strCache>
            </c:strRef>
          </c:cat>
          <c:val>
            <c:numRef>
              <c:f>'Summary_inpatient (2)'!$I$4:$I$9</c:f>
              <c:numCache>
                <c:formatCode>0%</c:formatCode>
                <c:ptCount val="5"/>
                <c:pt idx="0">
                  <c:v>0.8411928718632562</c:v>
                </c:pt>
                <c:pt idx="1">
                  <c:v>0.95927285439608456</c:v>
                </c:pt>
                <c:pt idx="2">
                  <c:v>0.55059903135355592</c:v>
                </c:pt>
                <c:pt idx="3">
                  <c:v>0.77765726681127978</c:v>
                </c:pt>
                <c:pt idx="4">
                  <c:v>0.80145985401459852</c:v>
                </c:pt>
              </c:numCache>
            </c:numRef>
          </c:val>
          <c:smooth val="1"/>
          <c:extLst>
            <c:ext xmlns:c16="http://schemas.microsoft.com/office/drawing/2014/chart" uri="{C3380CC4-5D6E-409C-BE32-E72D297353CC}">
              <c16:uniqueId val="{00000005-BC89-4B38-B53F-9ADAE2F83CC2}"/>
            </c:ext>
          </c:extLst>
        </c:ser>
        <c:dLbls>
          <c:showLegendKey val="0"/>
          <c:showVal val="0"/>
          <c:showCatName val="0"/>
          <c:showSerName val="0"/>
          <c:showPercent val="0"/>
          <c:showBubbleSize val="0"/>
        </c:dLbls>
        <c:marker val="1"/>
        <c:smooth val="0"/>
        <c:axId val="937846744"/>
        <c:axId val="937845664"/>
      </c:lineChart>
      <c:catAx>
        <c:axId val="79876849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98764536"/>
        <c:crosses val="autoZero"/>
        <c:auto val="1"/>
        <c:lblAlgn val="ctr"/>
        <c:lblOffset val="100"/>
        <c:noMultiLvlLbl val="0"/>
      </c:catAx>
      <c:valAx>
        <c:axId val="798764536"/>
        <c:scaling>
          <c:orientation val="minMax"/>
        </c:scaling>
        <c:delete val="0"/>
        <c:axPos val="l"/>
        <c:title>
          <c:tx>
            <c:rich>
              <a:bodyPr rot="-54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r>
                  <a:rPr lang="en-US"/>
                  <a:t>Number of people screened</a:t>
                </a:r>
              </a:p>
            </c:rich>
          </c:tx>
          <c:layout>
            <c:manualLayout>
              <c:xMode val="edge"/>
              <c:yMode val="edge"/>
              <c:x val="4.8683362343311153E-3"/>
              <c:y val="0.3782149852011733"/>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98768496"/>
        <c:crosses val="autoZero"/>
        <c:crossBetween val="between"/>
      </c:valAx>
      <c:valAx>
        <c:axId val="937845664"/>
        <c:scaling>
          <c:orientation val="minMax"/>
          <c:max val="1"/>
          <c:min val="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937846744"/>
        <c:crosses val="max"/>
        <c:crossBetween val="between"/>
      </c:valAx>
      <c:catAx>
        <c:axId val="937846744"/>
        <c:scaling>
          <c:orientation val="minMax"/>
        </c:scaling>
        <c:delete val="1"/>
        <c:axPos val="b"/>
        <c:numFmt formatCode="General" sourceLinked="1"/>
        <c:majorTickMark val="out"/>
        <c:minorTickMark val="none"/>
        <c:tickLblPos val="nextTo"/>
        <c:crossAx val="937845664"/>
        <c:crosses val="autoZero"/>
        <c:auto val="1"/>
        <c:lblAlgn val="ctr"/>
        <c:lblOffset val="100"/>
        <c:noMultiLvlLbl val="0"/>
      </c:catAx>
      <c:spPr>
        <a:noFill/>
        <a:ln>
          <a:noFill/>
        </a:ln>
        <a:effectLst/>
      </c:spPr>
    </c:plotArea>
    <c:legend>
      <c:legendPos val="r"/>
      <c:layout>
        <c:manualLayout>
          <c:xMode val="edge"/>
          <c:yMode val="edge"/>
          <c:x val="0"/>
          <c:y val="0.92311330182439622"/>
          <c:w val="0.98034267833241551"/>
          <c:h val="7.6524425863076118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[AHD_Reporting_Form.xlsx]Summary_inpatient (2)!PivotTable10</c:name>
    <c:fmtId val="25"/>
  </c:pivotSource>
  <c:chart>
    <c:title>
      <c:tx>
        <c:rich>
          <a:bodyPr rot="0" spcFirstLastPara="1" vertOverflow="ellipsis" vert="horz" wrap="square" anchor="ctr" anchorCtr="1"/>
          <a:lstStyle/>
          <a:p>
            <a:pPr algn="ctr" rtl="0">
              <a:defRPr sz="1600" b="1" i="0" u="none" strike="noStrike" kern="1200" baseline="0">
                <a:solidFill>
                  <a:sysClr val="windowText" lastClr="000000"/>
                </a:solidFill>
                <a:latin typeface="+mn-lt"/>
                <a:ea typeface="+mn-ea"/>
                <a:cs typeface="+mn-cs"/>
              </a:defRPr>
            </a:pPr>
            <a:r>
              <a:rPr lang="en-GB"/>
              <a:t>AHD Yield among sub-populations</a:t>
            </a:r>
          </a:p>
        </c:rich>
      </c:tx>
      <c:overlay val="0"/>
      <c:spPr>
        <a:noFill/>
        <a:ln>
          <a:noFill/>
        </a:ln>
        <a:effectLst/>
      </c:spPr>
      <c:txPr>
        <a:bodyPr rot="0" spcFirstLastPara="1" vertOverflow="ellipsis" vert="horz" wrap="square" anchor="ctr" anchorCtr="1"/>
        <a:lstStyle/>
        <a:p>
          <a:pPr algn="ctr" rtl="0">
            <a:defRPr sz="1600" b="1" i="0" u="none" strike="noStrike" kern="1200" baseline="0">
              <a:solidFill>
                <a:sysClr val="windowText" lastClr="000000"/>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rgbClr val="0070C0"/>
            </a:solidFill>
            <a:round/>
          </a:ln>
          <a:effectLst>
            <a:outerShdw blurRad="57150" dist="19050" dir="5400000" algn="ctr" rotWithShape="0">
              <a:srgbClr val="000000">
                <a:alpha val="63000"/>
              </a:srgbClr>
            </a:outerShdw>
          </a:effectLst>
        </c:spPr>
        <c:marker>
          <c:symbol val="circle"/>
          <c:size val="6"/>
          <c:spPr>
            <a:solidFill>
              <a:srgbClr val="0070C0"/>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6">
                <a:lumMod val="75000"/>
              </a:schemeClr>
            </a:solidFill>
            <a:round/>
          </a:ln>
          <a:effectLst>
            <a:outerShdw blurRad="57150" dist="19050" dir="5400000" algn="ctr" rotWithShape="0">
              <a:srgbClr val="000000">
                <a:alpha val="63000"/>
              </a:srgbClr>
            </a:outerShdw>
          </a:effectLst>
        </c:spPr>
        <c:marker>
          <c:symbol val="circle"/>
          <c:size val="6"/>
          <c:spPr>
            <a:solidFill>
              <a:schemeClr val="accent6">
                <a:lumMod val="75000"/>
              </a:schemeClr>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209589637174276E-2"/>
          <c:y val="8.0626094245869709E-2"/>
          <c:w val="0.88061549558213625"/>
          <c:h val="0.77236669908312428"/>
        </c:manualLayout>
      </c:layout>
      <c:lineChart>
        <c:grouping val="standard"/>
        <c:varyColors val="0"/>
        <c:ser>
          <c:idx val="0"/>
          <c:order val="0"/>
          <c:tx>
            <c:strRef>
              <c:f>'Summary_inpatient (2)'!$M$3</c:f>
              <c:strCache>
                <c:ptCount val="1"/>
                <c:pt idx="0">
                  <c:v>CD4-yield</c:v>
                </c:pt>
              </c:strCache>
            </c:strRef>
          </c:tx>
          <c:spPr>
            <a:ln w="34925" cap="rnd">
              <a:solidFill>
                <a:srgbClr val="0070C0"/>
              </a:solidFill>
              <a:round/>
            </a:ln>
            <a:effectLst>
              <a:outerShdw blurRad="57150" dist="19050" dir="5400000" algn="ctr" rotWithShape="0">
                <a:srgbClr val="000000">
                  <a:alpha val="63000"/>
                </a:srgbClr>
              </a:outerShdw>
            </a:effectLst>
          </c:spPr>
          <c:marker>
            <c:symbol val="circle"/>
            <c:size val="6"/>
            <c:spPr>
              <a:solidFill>
                <a:srgbClr val="0070C0"/>
              </a:solidFill>
              <a:ln w="9525">
                <a:no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'Summary_inpatient (2)'!$L$4:$L$9</c:f>
              <c:strCache>
                <c:ptCount val="5"/>
                <c:pt idx="0">
                  <c:v>New_HIV_pos</c:v>
                </c:pt>
                <c:pt idx="1">
                  <c:v>Inpatients(HIV_pos_admitted)</c:v>
                </c:pt>
                <c:pt idx="2">
                  <c:v>ART_interrupters(for &gt;2months)</c:v>
                </c:pt>
                <c:pt idx="3">
                  <c:v>Unsuppressed_ROC</c:v>
                </c:pt>
                <c:pt idx="4">
                  <c:v>Pre_and_adolescents(5-14)</c:v>
                </c:pt>
              </c:strCache>
            </c:strRef>
          </c:cat>
          <c:val>
            <c:numRef>
              <c:f>'Summary_inpatient (2)'!$M$4:$M$9</c:f>
              <c:numCache>
                <c:formatCode>0%</c:formatCode>
                <c:ptCount val="5"/>
                <c:pt idx="0">
                  <c:v>0.3382331748090503</c:v>
                </c:pt>
                <c:pt idx="1">
                  <c:v>0.40470116618075802</c:v>
                </c:pt>
                <c:pt idx="2">
                  <c:v>0.29398148148148145</c:v>
                </c:pt>
                <c:pt idx="3">
                  <c:v>0.26638772663877264</c:v>
                </c:pt>
                <c:pt idx="4">
                  <c:v>0.22222222222222221</c:v>
                </c:pt>
              </c:numCache>
            </c:numRef>
          </c:val>
          <c:smooth val="1"/>
          <c:extLst>
            <c:ext xmlns:c16="http://schemas.microsoft.com/office/drawing/2014/chart" uri="{C3380CC4-5D6E-409C-BE32-E72D297353CC}">
              <c16:uniqueId val="{00000000-DCB7-4BB2-8B0C-1F85D86259A4}"/>
            </c:ext>
          </c:extLst>
        </c:ser>
        <c:ser>
          <c:idx val="1"/>
          <c:order val="1"/>
          <c:tx>
            <c:strRef>
              <c:f>'Summary_inpatient (2)'!$N$3</c:f>
              <c:strCache>
                <c:ptCount val="1"/>
                <c:pt idx="0">
                  <c:v>LAM_pos%</c:v>
                </c:pt>
              </c:strCache>
            </c:strRef>
          </c:tx>
          <c:spPr>
            <a:ln w="34925" cap="rnd">
              <a:solidFill>
                <a:schemeClr val="accent6">
                  <a:lumMod val="75000"/>
                </a:schemeClr>
              </a:solidFill>
              <a:round/>
            </a:ln>
            <a:effectLst>
              <a:outerShdw blurRad="57150" dist="19050" dir="5400000" algn="ctr" rotWithShape="0">
                <a:srgbClr val="000000">
                  <a:alpha val="63000"/>
                </a:srgbClr>
              </a:outerShdw>
            </a:effectLst>
          </c:spPr>
          <c:marker>
            <c:symbol val="circle"/>
            <c:size val="6"/>
            <c:spPr>
              <a:solidFill>
                <a:schemeClr val="accent6">
                  <a:lumMod val="75000"/>
                </a:schemeClr>
              </a:solidFill>
              <a:ln w="9525">
                <a:no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'Summary_inpatient (2)'!$L$4:$L$9</c:f>
              <c:strCache>
                <c:ptCount val="5"/>
                <c:pt idx="0">
                  <c:v>New_HIV_pos</c:v>
                </c:pt>
                <c:pt idx="1">
                  <c:v>Inpatients(HIV_pos_admitted)</c:v>
                </c:pt>
                <c:pt idx="2">
                  <c:v>ART_interrupters(for &gt;2months)</c:v>
                </c:pt>
                <c:pt idx="3">
                  <c:v>Unsuppressed_ROC</c:v>
                </c:pt>
                <c:pt idx="4">
                  <c:v>Pre_and_adolescents(5-14)</c:v>
                </c:pt>
              </c:strCache>
            </c:strRef>
          </c:cat>
          <c:val>
            <c:numRef>
              <c:f>'Summary_inpatient (2)'!$N$4:$N$9</c:f>
              <c:numCache>
                <c:formatCode>0%</c:formatCode>
                <c:ptCount val="5"/>
                <c:pt idx="0">
                  <c:v>0.14214876033057852</c:v>
                </c:pt>
                <c:pt idx="1">
                  <c:v>0.16493585827733659</c:v>
                </c:pt>
                <c:pt idx="2">
                  <c:v>0.13609467455621302</c:v>
                </c:pt>
                <c:pt idx="3">
                  <c:v>5.4959785522788206E-2</c:v>
                </c:pt>
                <c:pt idx="4">
                  <c:v>9.4339622641509441E-2</c:v>
                </c:pt>
              </c:numCache>
            </c:numRef>
          </c:val>
          <c:smooth val="1"/>
          <c:extLst>
            <c:ext xmlns:c16="http://schemas.microsoft.com/office/drawing/2014/chart" uri="{C3380CC4-5D6E-409C-BE32-E72D297353CC}">
              <c16:uniqueId val="{00000001-DCB7-4BB2-8B0C-1F85D86259A4}"/>
            </c:ext>
          </c:extLst>
        </c:ser>
        <c:ser>
          <c:idx val="2"/>
          <c:order val="2"/>
          <c:tx>
            <c:strRef>
              <c:f>'Summary_inpatient (2)'!$O$3</c:f>
              <c:strCache>
                <c:ptCount val="1"/>
                <c:pt idx="0">
                  <c:v>CrAG_pos%</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'Summary_inpatient (2)'!$L$4:$L$9</c:f>
              <c:strCache>
                <c:ptCount val="5"/>
                <c:pt idx="0">
                  <c:v>New_HIV_pos</c:v>
                </c:pt>
                <c:pt idx="1">
                  <c:v>Inpatients(HIV_pos_admitted)</c:v>
                </c:pt>
                <c:pt idx="2">
                  <c:v>ART_interrupters(for &gt;2months)</c:v>
                </c:pt>
                <c:pt idx="3">
                  <c:v>Unsuppressed_ROC</c:v>
                </c:pt>
                <c:pt idx="4">
                  <c:v>Pre_and_adolescents(5-14)</c:v>
                </c:pt>
              </c:strCache>
            </c:strRef>
          </c:cat>
          <c:val>
            <c:numRef>
              <c:f>'Summary_inpatient (2)'!$O$4:$O$9</c:f>
              <c:numCache>
                <c:formatCode>0%</c:formatCode>
                <c:ptCount val="5"/>
                <c:pt idx="0">
                  <c:v>4.4435385242560133E-2</c:v>
                </c:pt>
                <c:pt idx="1">
                  <c:v>6.3070539419087135E-2</c:v>
                </c:pt>
                <c:pt idx="2">
                  <c:v>4.7425474254742549E-2</c:v>
                </c:pt>
                <c:pt idx="3">
                  <c:v>4.9009384775808136E-2</c:v>
                </c:pt>
                <c:pt idx="4">
                  <c:v>1.5706806282722512E-2</c:v>
                </c:pt>
              </c:numCache>
            </c:numRef>
          </c:val>
          <c:smooth val="1"/>
          <c:extLst>
            <c:ext xmlns:c16="http://schemas.microsoft.com/office/drawing/2014/chart" uri="{C3380CC4-5D6E-409C-BE32-E72D297353CC}">
              <c16:uniqueId val="{00000002-DCB7-4BB2-8B0C-1F85D86259A4}"/>
            </c:ext>
          </c:extLst>
        </c:ser>
        <c:dLbls>
          <c:showLegendKey val="0"/>
          <c:showVal val="1"/>
          <c:showCatName val="0"/>
          <c:showSerName val="0"/>
          <c:showPercent val="0"/>
          <c:showBubbleSize val="0"/>
        </c:dLbls>
        <c:marker val="1"/>
        <c:smooth val="0"/>
        <c:axId val="1224018080"/>
        <c:axId val="1224017000"/>
      </c:lineChart>
      <c:catAx>
        <c:axId val="122401808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24017000"/>
        <c:crosses val="autoZero"/>
        <c:auto val="1"/>
        <c:lblAlgn val="ctr"/>
        <c:lblOffset val="100"/>
        <c:noMultiLvlLbl val="0"/>
      </c:catAx>
      <c:valAx>
        <c:axId val="1224017000"/>
        <c:scaling>
          <c:orientation val="minMax"/>
        </c:scaling>
        <c:delete val="0"/>
        <c:axPos val="l"/>
        <c:title>
          <c:overlay val="0"/>
          <c:spPr>
            <a:noFill/>
            <a:ln>
              <a:noFill/>
            </a:ln>
            <a:effectLst/>
          </c:spPr>
          <c:txPr>
            <a:bodyPr rot="-54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24018080"/>
        <c:crosses val="autoZero"/>
        <c:crossBetween val="between"/>
      </c:valAx>
      <c:spPr>
        <a:noFill/>
        <a:ln>
          <a:noFill/>
        </a:ln>
        <a:effectLst/>
      </c:spPr>
    </c:plotArea>
    <c:legend>
      <c:legendPos val="r"/>
      <c:layout>
        <c:manualLayout>
          <c:xMode val="edge"/>
          <c:yMode val="edge"/>
          <c:x val="4.7834986414296218E-2"/>
          <c:y val="0.95008188384051628"/>
          <c:w val="0.84018336639217805"/>
          <c:h val="4.8025988762148794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[AHD_Reporting_Form.xlsx]Summary_5-14yrs!PivotTable1</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solidFill>
                <a:latin typeface="+mn-lt"/>
                <a:ea typeface="+mn-ea"/>
                <a:cs typeface="+mn-cs"/>
              </a:defRPr>
            </a:pPr>
            <a:r>
              <a:rPr lang="en-GB" sz="1600" b="1" i="0" u="sng" strike="noStrike" kern="1200" baseline="0" dirty="0">
                <a:solidFill>
                  <a:sysClr val="windowText" lastClr="000000"/>
                </a:solidFill>
              </a:rPr>
              <a:t>AHD screening among children 5-14 years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F5597"/>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843C0C"/>
            </a:solidFill>
            <a:round/>
          </a:ln>
          <a:effectLst>
            <a:outerShdw blurRad="57150" dist="19050" dir="5400000" algn="ctr" rotWithShape="0">
              <a:srgbClr val="000000">
                <a:alpha val="63000"/>
              </a:srgbClr>
            </a:outerShdw>
          </a:effectLst>
        </c:spPr>
        <c:marker>
          <c:symbol val="circle"/>
          <c:size val="6"/>
          <c:spPr>
            <a:solidFill>
              <a:srgbClr val="843C0C"/>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ED7D31"/>
          </a:solidFill>
          <a:ln>
            <a:noFill/>
          </a:ln>
          <a:effectLst>
            <a:outerShdw blurRad="57150" dist="19050" dir="5400000" algn="ctr" rotWithShape="0">
              <a:srgbClr val="000000">
                <a:alpha val="63000"/>
              </a:srgbClr>
            </a:outerShdw>
          </a:effectLst>
        </c:spPr>
      </c:pivotFmt>
      <c:pivotFmt>
        <c:idx val="8"/>
        <c:spPr>
          <a:solidFill>
            <a:srgbClr val="2F5597"/>
          </a:solidFill>
          <a:ln>
            <a:noFill/>
          </a:ln>
          <a:effectLst>
            <a:outerShdw blurRad="57150" dist="19050" dir="5400000" algn="ctr" rotWithShape="0">
              <a:srgbClr val="000000">
                <a:alpha val="63000"/>
              </a:srgbClr>
            </a:outerShdw>
          </a:effectLst>
        </c:spPr>
      </c:pivotFmt>
      <c:pivotFmt>
        <c:idx val="9"/>
        <c:spPr>
          <a:solidFill>
            <a:srgbClr val="006699"/>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92957B"/>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92957B"/>
          </a:solidFill>
          <a:ln>
            <a:noFill/>
          </a:ln>
          <a:effectLst>
            <a:outerShdw blurRad="57150" dist="19050" dir="5400000" algn="ctr" rotWithShape="0">
              <a:srgbClr val="000000">
                <a:alpha val="63000"/>
              </a:srgbClr>
            </a:outerShdw>
          </a:effectLst>
        </c:spPr>
      </c:pivotFmt>
      <c:pivotFmt>
        <c:idx val="12"/>
        <c:spPr>
          <a:solidFill>
            <a:srgbClr val="406C5C"/>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CAD62A"/>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cap="rnd">
            <a:solidFill>
              <a:srgbClr val="5B5D4B"/>
            </a:solidFill>
            <a:round/>
          </a:ln>
          <a:effectLst>
            <a:outerShdw blurRad="57150" dist="19050" dir="5400000" algn="ctr" rotWithShape="0">
              <a:srgbClr val="000000">
                <a:alpha val="63000"/>
              </a:srgbClr>
            </a:outerShdw>
          </a:effectLst>
        </c:spPr>
        <c:marker>
          <c:symbol val="circle"/>
          <c:size val="6"/>
          <c:spPr>
            <a:solidFill>
              <a:srgbClr val="5B5D4B"/>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660066"/>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9869A7"/>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B06A74"/>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FEBAF6"/>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ln w="12700" cap="rnd">
            <a:solidFill>
              <a:srgbClr val="660066"/>
            </a:solidFill>
            <a:round/>
          </a:ln>
          <a:effectLst>
            <a:outerShdw blurRad="57150" dist="19050" dir="5400000" algn="ctr" rotWithShape="0">
              <a:srgbClr val="000000">
                <a:alpha val="63000"/>
              </a:srgbClr>
            </a:outerShdw>
          </a:effectLst>
        </c:spPr>
        <c:marker>
          <c:symbol val="circle"/>
          <c:size val="6"/>
          <c:spPr>
            <a:solidFill>
              <a:srgbClr val="660066"/>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826939662414179E-2"/>
          <c:y val="0.12128429598474104"/>
          <c:w val="0.85045485695686396"/>
          <c:h val="0.65044725383140545"/>
        </c:manualLayout>
      </c:layout>
      <c:barChart>
        <c:barDir val="col"/>
        <c:grouping val="clustered"/>
        <c:varyColors val="0"/>
        <c:ser>
          <c:idx val="0"/>
          <c:order val="0"/>
          <c:tx>
            <c:strRef>
              <c:f>'Summary_5-14yrs'!$E$3</c:f>
              <c:strCache>
                <c:ptCount val="1"/>
                <c:pt idx="0">
                  <c:v>Total-number-of-ROC</c:v>
                </c:pt>
              </c:strCache>
            </c:strRef>
          </c:tx>
          <c:spPr>
            <a:solidFill>
              <a:srgbClr val="660066"/>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'Summary_5-14yrs'!$D$4:$D$15</c:f>
              <c:multiLvlStrCache>
                <c:ptCount val="7"/>
                <c:lvl>
                  <c:pt idx="0">
                    <c:v>Qtr_4</c:v>
                  </c:pt>
                  <c:pt idx="1">
                    <c:v>Qtr_1</c:v>
                  </c:pt>
                  <c:pt idx="2">
                    <c:v>Qtr_2</c:v>
                  </c:pt>
                  <c:pt idx="3">
                    <c:v>Qtr_3</c:v>
                  </c:pt>
                  <c:pt idx="4">
                    <c:v>Qtr_4</c:v>
                  </c:pt>
                  <c:pt idx="5">
                    <c:v>Qtr_1</c:v>
                  </c:pt>
                  <c:pt idx="6">
                    <c:v>(blank)</c:v>
                  </c:pt>
                </c:lvl>
                <c:lvl>
                  <c:pt idx="0">
                    <c:v>COP_22</c:v>
                  </c:pt>
                  <c:pt idx="1">
                    <c:v>COP_23</c:v>
                  </c:pt>
                  <c:pt idx="5">
                    <c:v>COP_24</c:v>
                  </c:pt>
                  <c:pt idx="6">
                    <c:v>(blank)</c:v>
                  </c:pt>
                </c:lvl>
              </c:multiLvlStrCache>
            </c:multiLvlStrRef>
          </c:cat>
          <c:val>
            <c:numRef>
              <c:f>'Summary_5-14yrs'!$E$4:$E$15</c:f>
              <c:numCache>
                <c:formatCode>General</c:formatCode>
                <c:ptCount val="7"/>
                <c:pt idx="0">
                  <c:v>2</c:v>
                </c:pt>
                <c:pt idx="1">
                  <c:v>30</c:v>
                </c:pt>
                <c:pt idx="2">
                  <c:v>144</c:v>
                </c:pt>
                <c:pt idx="3">
                  <c:v>152</c:v>
                </c:pt>
                <c:pt idx="4">
                  <c:v>122</c:v>
                </c:pt>
                <c:pt idx="5">
                  <c:v>108</c:v>
                </c:pt>
                <c:pt idx="6">
                  <c:v>2</c:v>
                </c:pt>
              </c:numCache>
            </c:numRef>
          </c:val>
          <c:extLst>
            <c:ext xmlns:c16="http://schemas.microsoft.com/office/drawing/2014/chart" uri="{C3380CC4-5D6E-409C-BE32-E72D297353CC}">
              <c16:uniqueId val="{00000000-DAE3-4BF7-8AEE-D9CB7D80B808}"/>
            </c:ext>
          </c:extLst>
        </c:ser>
        <c:ser>
          <c:idx val="1"/>
          <c:order val="1"/>
          <c:tx>
            <c:strRef>
              <c:f>'Summary_5-14yrs'!$F$3</c:f>
              <c:strCache>
                <c:ptCount val="1"/>
                <c:pt idx="0">
                  <c:v>CD4-tests</c:v>
                </c:pt>
              </c:strCache>
            </c:strRef>
          </c:tx>
          <c:spPr>
            <a:solidFill>
              <a:srgbClr val="9869A7"/>
            </a:solidFill>
            <a:ln>
              <a:noFill/>
            </a:ln>
            <a:effectLst>
              <a:outerShdw blurRad="57150" dist="19050" dir="5400000" algn="ctr" rotWithShape="0">
                <a:srgbClr val="000000">
                  <a:alpha val="63000"/>
                </a:srgbClr>
              </a:outerShdw>
            </a:effectLst>
          </c:spPr>
          <c:invertIfNegative val="0"/>
          <c:dPt>
            <c:idx val="3"/>
            <c:invertIfNegative val="0"/>
            <c:bubble3D val="0"/>
            <c:extLst>
              <c:ext xmlns:c16="http://schemas.microsoft.com/office/drawing/2014/chart" uri="{C3380CC4-5D6E-409C-BE32-E72D297353CC}">
                <c16:uniqueId val="{00000001-DAE3-4BF7-8AEE-D9CB7D80B80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'Summary_5-14yrs'!$D$4:$D$15</c:f>
              <c:multiLvlStrCache>
                <c:ptCount val="7"/>
                <c:lvl>
                  <c:pt idx="0">
                    <c:v>Qtr_4</c:v>
                  </c:pt>
                  <c:pt idx="1">
                    <c:v>Qtr_1</c:v>
                  </c:pt>
                  <c:pt idx="2">
                    <c:v>Qtr_2</c:v>
                  </c:pt>
                  <c:pt idx="3">
                    <c:v>Qtr_3</c:v>
                  </c:pt>
                  <c:pt idx="4">
                    <c:v>Qtr_4</c:v>
                  </c:pt>
                  <c:pt idx="5">
                    <c:v>Qtr_1</c:v>
                  </c:pt>
                  <c:pt idx="6">
                    <c:v>(blank)</c:v>
                  </c:pt>
                </c:lvl>
                <c:lvl>
                  <c:pt idx="0">
                    <c:v>COP_22</c:v>
                  </c:pt>
                  <c:pt idx="1">
                    <c:v>COP_23</c:v>
                  </c:pt>
                  <c:pt idx="5">
                    <c:v>COP_24</c:v>
                  </c:pt>
                  <c:pt idx="6">
                    <c:v>(blank)</c:v>
                  </c:pt>
                </c:lvl>
              </c:multiLvlStrCache>
            </c:multiLvlStrRef>
          </c:cat>
          <c:val>
            <c:numRef>
              <c:f>'Summary_5-14yrs'!$F$4:$F$15</c:f>
              <c:numCache>
                <c:formatCode>General</c:formatCode>
                <c:ptCount val="7"/>
                <c:pt idx="0">
                  <c:v>1</c:v>
                </c:pt>
                <c:pt idx="1">
                  <c:v>29</c:v>
                </c:pt>
                <c:pt idx="2">
                  <c:v>118</c:v>
                </c:pt>
                <c:pt idx="3">
                  <c:v>114</c:v>
                </c:pt>
                <c:pt idx="4">
                  <c:v>100</c:v>
                </c:pt>
                <c:pt idx="5">
                  <c:v>88</c:v>
                </c:pt>
                <c:pt idx="6">
                  <c:v>0</c:v>
                </c:pt>
              </c:numCache>
            </c:numRef>
          </c:val>
          <c:extLst>
            <c:ext xmlns:c16="http://schemas.microsoft.com/office/drawing/2014/chart" uri="{C3380CC4-5D6E-409C-BE32-E72D297353CC}">
              <c16:uniqueId val="{00000002-DAE3-4BF7-8AEE-D9CB7D80B808}"/>
            </c:ext>
          </c:extLst>
        </c:ser>
        <c:ser>
          <c:idx val="2"/>
          <c:order val="2"/>
          <c:tx>
            <c:strRef>
              <c:f>'Summary_5-14yrs'!$G$3</c:f>
              <c:strCache>
                <c:ptCount val="1"/>
                <c:pt idx="0">
                  <c:v>CrAg-tests</c:v>
                </c:pt>
              </c:strCache>
            </c:strRef>
          </c:tx>
          <c:spPr>
            <a:solidFill>
              <a:srgbClr val="B06A74"/>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'Summary_5-14yrs'!$D$4:$D$15</c:f>
              <c:multiLvlStrCache>
                <c:ptCount val="7"/>
                <c:lvl>
                  <c:pt idx="0">
                    <c:v>Qtr_4</c:v>
                  </c:pt>
                  <c:pt idx="1">
                    <c:v>Qtr_1</c:v>
                  </c:pt>
                  <c:pt idx="2">
                    <c:v>Qtr_2</c:v>
                  </c:pt>
                  <c:pt idx="3">
                    <c:v>Qtr_3</c:v>
                  </c:pt>
                  <c:pt idx="4">
                    <c:v>Qtr_4</c:v>
                  </c:pt>
                  <c:pt idx="5">
                    <c:v>Qtr_1</c:v>
                  </c:pt>
                  <c:pt idx="6">
                    <c:v>(blank)</c:v>
                  </c:pt>
                </c:lvl>
                <c:lvl>
                  <c:pt idx="0">
                    <c:v>COP_22</c:v>
                  </c:pt>
                  <c:pt idx="1">
                    <c:v>COP_23</c:v>
                  </c:pt>
                  <c:pt idx="5">
                    <c:v>COP_24</c:v>
                  </c:pt>
                  <c:pt idx="6">
                    <c:v>(blank)</c:v>
                  </c:pt>
                </c:lvl>
              </c:multiLvlStrCache>
            </c:multiLvlStrRef>
          </c:cat>
          <c:val>
            <c:numRef>
              <c:f>'Summary_5-14yrs'!$G$4:$G$15</c:f>
              <c:numCache>
                <c:formatCode>General</c:formatCode>
                <c:ptCount val="7"/>
                <c:pt idx="0">
                  <c:v>0</c:v>
                </c:pt>
                <c:pt idx="1">
                  <c:v>12</c:v>
                </c:pt>
                <c:pt idx="2">
                  <c:v>42</c:v>
                </c:pt>
                <c:pt idx="3">
                  <c:v>27</c:v>
                </c:pt>
                <c:pt idx="4">
                  <c:v>34</c:v>
                </c:pt>
                <c:pt idx="5">
                  <c:v>38</c:v>
                </c:pt>
                <c:pt idx="6">
                  <c:v>0</c:v>
                </c:pt>
              </c:numCache>
            </c:numRef>
          </c:val>
          <c:extLst>
            <c:ext xmlns:c16="http://schemas.microsoft.com/office/drawing/2014/chart" uri="{C3380CC4-5D6E-409C-BE32-E72D297353CC}">
              <c16:uniqueId val="{00000003-DAE3-4BF7-8AEE-D9CB7D80B808}"/>
            </c:ext>
          </c:extLst>
        </c:ser>
        <c:ser>
          <c:idx val="3"/>
          <c:order val="3"/>
          <c:tx>
            <c:strRef>
              <c:f>'Summary_5-14yrs'!$H$3</c:f>
              <c:strCache>
                <c:ptCount val="1"/>
                <c:pt idx="0">
                  <c:v>LAM-tests</c:v>
                </c:pt>
              </c:strCache>
            </c:strRef>
          </c:tx>
          <c:spPr>
            <a:solidFill>
              <a:srgbClr val="FEBAF6"/>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'Summary_5-14yrs'!$D$4:$D$15</c:f>
              <c:multiLvlStrCache>
                <c:ptCount val="7"/>
                <c:lvl>
                  <c:pt idx="0">
                    <c:v>Qtr_4</c:v>
                  </c:pt>
                  <c:pt idx="1">
                    <c:v>Qtr_1</c:v>
                  </c:pt>
                  <c:pt idx="2">
                    <c:v>Qtr_2</c:v>
                  </c:pt>
                  <c:pt idx="3">
                    <c:v>Qtr_3</c:v>
                  </c:pt>
                  <c:pt idx="4">
                    <c:v>Qtr_4</c:v>
                  </c:pt>
                  <c:pt idx="5">
                    <c:v>Qtr_1</c:v>
                  </c:pt>
                  <c:pt idx="6">
                    <c:v>(blank)</c:v>
                  </c:pt>
                </c:lvl>
                <c:lvl>
                  <c:pt idx="0">
                    <c:v>COP_22</c:v>
                  </c:pt>
                  <c:pt idx="1">
                    <c:v>COP_23</c:v>
                  </c:pt>
                  <c:pt idx="5">
                    <c:v>COP_24</c:v>
                  </c:pt>
                  <c:pt idx="6">
                    <c:v>(blank)</c:v>
                  </c:pt>
                </c:lvl>
              </c:multiLvlStrCache>
            </c:multiLvlStrRef>
          </c:cat>
          <c:val>
            <c:numRef>
              <c:f>'Summary_5-14yrs'!$H$4:$H$15</c:f>
              <c:numCache>
                <c:formatCode>General</c:formatCode>
                <c:ptCount val="7"/>
                <c:pt idx="0">
                  <c:v>0</c:v>
                </c:pt>
                <c:pt idx="1">
                  <c:v>12</c:v>
                </c:pt>
                <c:pt idx="2">
                  <c:v>45</c:v>
                </c:pt>
                <c:pt idx="3">
                  <c:v>9</c:v>
                </c:pt>
                <c:pt idx="4">
                  <c:v>18</c:v>
                </c:pt>
                <c:pt idx="5">
                  <c:v>38</c:v>
                </c:pt>
                <c:pt idx="6">
                  <c:v>0</c:v>
                </c:pt>
              </c:numCache>
            </c:numRef>
          </c:val>
          <c:extLst>
            <c:ext xmlns:c16="http://schemas.microsoft.com/office/drawing/2014/chart" uri="{C3380CC4-5D6E-409C-BE32-E72D297353CC}">
              <c16:uniqueId val="{00000004-DAE3-4BF7-8AEE-D9CB7D80B808}"/>
            </c:ext>
          </c:extLst>
        </c:ser>
        <c:dLbls>
          <c:dLblPos val="outEnd"/>
          <c:showLegendKey val="0"/>
          <c:showVal val="1"/>
          <c:showCatName val="0"/>
          <c:showSerName val="0"/>
          <c:showPercent val="0"/>
          <c:showBubbleSize val="0"/>
        </c:dLbls>
        <c:gapWidth val="100"/>
        <c:overlap val="-24"/>
        <c:axId val="798768496"/>
        <c:axId val="798764536"/>
      </c:barChart>
      <c:lineChart>
        <c:grouping val="standard"/>
        <c:varyColors val="0"/>
        <c:ser>
          <c:idx val="4"/>
          <c:order val="4"/>
          <c:tx>
            <c:strRef>
              <c:f>'Summary_5-14yrs'!$I$3</c:f>
              <c:strCache>
                <c:ptCount val="1"/>
                <c:pt idx="0">
                  <c:v>CD4_cov%</c:v>
                </c:pt>
              </c:strCache>
            </c:strRef>
          </c:tx>
          <c:spPr>
            <a:ln w="12700" cap="rnd">
              <a:solidFill>
                <a:srgbClr val="660066"/>
              </a:solidFill>
              <a:round/>
            </a:ln>
            <a:effectLst>
              <a:outerShdw blurRad="57150" dist="19050" dir="5400000" algn="ctr" rotWithShape="0">
                <a:srgbClr val="000000">
                  <a:alpha val="63000"/>
                </a:srgbClr>
              </a:outerShdw>
            </a:effectLst>
          </c:spPr>
          <c:marker>
            <c:symbol val="circle"/>
            <c:size val="6"/>
            <c:spPr>
              <a:solidFill>
                <a:srgbClr val="660066"/>
              </a:solidFill>
              <a:ln w="9525">
                <a:no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'Summary_5-14yrs'!$D$4:$D$15</c:f>
              <c:multiLvlStrCache>
                <c:ptCount val="7"/>
                <c:lvl>
                  <c:pt idx="0">
                    <c:v>Qtr_4</c:v>
                  </c:pt>
                  <c:pt idx="1">
                    <c:v>Qtr_1</c:v>
                  </c:pt>
                  <c:pt idx="2">
                    <c:v>Qtr_2</c:v>
                  </c:pt>
                  <c:pt idx="3">
                    <c:v>Qtr_3</c:v>
                  </c:pt>
                  <c:pt idx="4">
                    <c:v>Qtr_4</c:v>
                  </c:pt>
                  <c:pt idx="5">
                    <c:v>Qtr_1</c:v>
                  </c:pt>
                  <c:pt idx="6">
                    <c:v>(blank)</c:v>
                  </c:pt>
                </c:lvl>
                <c:lvl>
                  <c:pt idx="0">
                    <c:v>COP_22</c:v>
                  </c:pt>
                  <c:pt idx="1">
                    <c:v>COP_23</c:v>
                  </c:pt>
                  <c:pt idx="5">
                    <c:v>COP_24</c:v>
                  </c:pt>
                  <c:pt idx="6">
                    <c:v>(blank)</c:v>
                  </c:pt>
                </c:lvl>
              </c:multiLvlStrCache>
            </c:multiLvlStrRef>
          </c:cat>
          <c:val>
            <c:numRef>
              <c:f>'Summary_5-14yrs'!$I$4:$I$15</c:f>
              <c:numCache>
                <c:formatCode>0%</c:formatCode>
                <c:ptCount val="7"/>
                <c:pt idx="0">
                  <c:v>0.5</c:v>
                </c:pt>
                <c:pt idx="1">
                  <c:v>0.96666666666666667</c:v>
                </c:pt>
                <c:pt idx="2">
                  <c:v>0.81944444444444442</c:v>
                </c:pt>
                <c:pt idx="3">
                  <c:v>0.75</c:v>
                </c:pt>
                <c:pt idx="4">
                  <c:v>0.81967213114754101</c:v>
                </c:pt>
                <c:pt idx="5">
                  <c:v>0.81481481481481477</c:v>
                </c:pt>
                <c:pt idx="6">
                  <c:v>0</c:v>
                </c:pt>
              </c:numCache>
            </c:numRef>
          </c:val>
          <c:smooth val="1"/>
          <c:extLst>
            <c:ext xmlns:c16="http://schemas.microsoft.com/office/drawing/2014/chart" uri="{C3380CC4-5D6E-409C-BE32-E72D297353CC}">
              <c16:uniqueId val="{00000005-DAE3-4BF7-8AEE-D9CB7D80B808}"/>
            </c:ext>
          </c:extLst>
        </c:ser>
        <c:dLbls>
          <c:showLegendKey val="0"/>
          <c:showVal val="0"/>
          <c:showCatName val="0"/>
          <c:showSerName val="0"/>
          <c:showPercent val="0"/>
          <c:showBubbleSize val="0"/>
        </c:dLbls>
        <c:marker val="1"/>
        <c:smooth val="0"/>
        <c:axId val="937846744"/>
        <c:axId val="937845664"/>
      </c:lineChart>
      <c:catAx>
        <c:axId val="798768496"/>
        <c:scaling>
          <c:orientation val="minMax"/>
        </c:scaling>
        <c:delete val="0"/>
        <c:axPos val="b"/>
        <c:title>
          <c:tx>
            <c:rich>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r>
                  <a:rPr lang="en-GB" baseline="0"/>
                  <a:t>Period in calender year and Quarter</a:t>
                </a:r>
                <a:endParaRPr lang="en-GB"/>
              </a:p>
            </c:rich>
          </c:tx>
          <c:layout>
            <c:manualLayout>
              <c:xMode val="edge"/>
              <c:yMode val="edge"/>
              <c:x val="0.32686300550875624"/>
              <c:y val="0.88258142653589733"/>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GB"/>
            </a:p>
          </c:txPr>
        </c:title>
        <c:numFmt formatCode="General" sourceLinked="1"/>
        <c:majorTickMark val="none"/>
        <c:minorTickMark val="none"/>
        <c:tickLblPos val="nextTo"/>
        <c:spPr>
          <a:noFill/>
          <a:ln w="12700" cap="flat" cmpd="sng" algn="ctr">
            <a:solidFill>
              <a:srgbClr val="660066"/>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98764536"/>
        <c:crosses val="autoZero"/>
        <c:auto val="1"/>
        <c:lblAlgn val="ctr"/>
        <c:lblOffset val="100"/>
        <c:noMultiLvlLbl val="0"/>
      </c:catAx>
      <c:valAx>
        <c:axId val="798764536"/>
        <c:scaling>
          <c:orientation val="minMax"/>
        </c:scaling>
        <c:delete val="0"/>
        <c:axPos val="l"/>
        <c:title>
          <c:tx>
            <c:rich>
              <a:bodyPr rot="-54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r>
                  <a:rPr lang="en-US"/>
                  <a:t>Number of people screened</a:t>
                </a:r>
              </a:p>
            </c:rich>
          </c:tx>
          <c:layout>
            <c:manualLayout>
              <c:xMode val="edge"/>
              <c:yMode val="edge"/>
              <c:x val="4.8683362343311153E-3"/>
              <c:y val="0.3782149852011733"/>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solidFill>
              <a:srgbClr val="660066"/>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98768496"/>
        <c:crosses val="autoZero"/>
        <c:crossBetween val="between"/>
      </c:valAx>
      <c:valAx>
        <c:axId val="937845664"/>
        <c:scaling>
          <c:orientation val="minMax"/>
          <c:max val="1"/>
          <c:min val="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937846744"/>
        <c:crosses val="max"/>
        <c:crossBetween val="between"/>
      </c:valAx>
      <c:catAx>
        <c:axId val="937846744"/>
        <c:scaling>
          <c:orientation val="minMax"/>
        </c:scaling>
        <c:delete val="1"/>
        <c:axPos val="b"/>
        <c:numFmt formatCode="General" sourceLinked="1"/>
        <c:majorTickMark val="out"/>
        <c:minorTickMark val="none"/>
        <c:tickLblPos val="nextTo"/>
        <c:crossAx val="937845664"/>
        <c:crosses val="autoZero"/>
        <c:auto val="1"/>
        <c:lblAlgn val="ctr"/>
        <c:lblOffset val="100"/>
        <c:noMultiLvlLbl val="0"/>
      </c:catAx>
      <c:spPr>
        <a:noFill/>
        <a:ln>
          <a:noFill/>
        </a:ln>
        <a:effectLst/>
      </c:spPr>
    </c:plotArea>
    <c:legend>
      <c:legendPos val="r"/>
      <c:layout>
        <c:manualLayout>
          <c:xMode val="edge"/>
          <c:yMode val="edge"/>
          <c:x val="0"/>
          <c:y val="0.92311330182439622"/>
          <c:w val="0.98034267833241551"/>
          <c:h val="7.6524425863076118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[AHD_Reporting_Form.xlsx]Summary_5-14yrs!PivotTable10</c:name>
    <c:fmtId val="1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solidFill>
                <a:latin typeface="+mn-lt"/>
                <a:ea typeface="+mn-ea"/>
                <a:cs typeface="+mn-cs"/>
              </a:defRPr>
            </a:pPr>
            <a:r>
              <a:rPr lang="en-GB" sz="1600" b="1" i="0" u="sng" strike="noStrike" kern="1200" baseline="0" dirty="0">
                <a:solidFill>
                  <a:sysClr val="windowText" lastClr="000000"/>
                </a:solidFill>
              </a:rPr>
              <a:t>AHD Yield among children 5-14 years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2957B"/>
            </a:solidFill>
            <a:round/>
          </a:ln>
          <a:effectLst>
            <a:outerShdw blurRad="57150" dist="19050" dir="5400000" algn="ctr" rotWithShape="0">
              <a:srgbClr val="000000">
                <a:alpha val="63000"/>
              </a:srgbClr>
            </a:outerShdw>
          </a:effectLst>
        </c:spPr>
        <c:marker>
          <c:symbol val="circle"/>
          <c:size val="6"/>
          <c:spPr>
            <a:solidFill>
              <a:srgbClr val="92957B"/>
            </a:solidFill>
            <a:ln w="9525">
              <a:solidFill>
                <a:srgbClr val="92957B"/>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CAD62A"/>
            </a:solidFill>
            <a:round/>
          </a:ln>
          <a:effectLst>
            <a:outerShdw blurRad="57150" dist="19050" dir="5400000" algn="ctr" rotWithShape="0">
              <a:srgbClr val="000000">
                <a:alpha val="63000"/>
              </a:srgbClr>
            </a:outerShdw>
          </a:effectLst>
        </c:spPr>
        <c:marker>
          <c:symbol val="circle"/>
          <c:size val="6"/>
          <c:spPr>
            <a:solidFill>
              <a:srgbClr val="CAD62A"/>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6CAEA5"/>
            </a:solidFill>
            <a:round/>
          </a:ln>
          <a:effectLst>
            <a:outerShdw blurRad="57150" dist="19050" dir="5400000" algn="ctr" rotWithShape="0">
              <a:srgbClr val="000000">
                <a:alpha val="63000"/>
              </a:srgbClr>
            </a:outerShdw>
          </a:effectLst>
        </c:spPr>
        <c:marker>
          <c:symbol val="circle"/>
          <c:size val="6"/>
          <c:spPr>
            <a:solidFill>
              <a:srgbClr val="6CAEA5"/>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19050" cap="rnd">
            <a:solidFill>
              <a:srgbClr val="9869A7"/>
            </a:solidFill>
            <a:round/>
          </a:ln>
          <a:effectLst>
            <a:outerShdw blurRad="57150" dist="19050" dir="5400000" algn="ctr" rotWithShape="0">
              <a:srgbClr val="000000">
                <a:alpha val="63000"/>
              </a:srgbClr>
            </a:outerShdw>
          </a:effectLst>
        </c:spPr>
        <c:marker>
          <c:symbol val="circle"/>
          <c:size val="6"/>
          <c:spPr>
            <a:solidFill>
              <a:srgbClr val="9869A7"/>
            </a:solidFill>
            <a:ln w="9525">
              <a:solidFill>
                <a:srgbClr val="92957B"/>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19050" cap="rnd">
            <a:solidFill>
              <a:srgbClr val="FEBAF6"/>
            </a:solidFill>
            <a:round/>
          </a:ln>
          <a:effectLst>
            <a:outerShdw blurRad="57150" dist="19050" dir="5400000" algn="ctr" rotWithShape="0">
              <a:srgbClr val="000000">
                <a:alpha val="63000"/>
              </a:srgbClr>
            </a:outerShdw>
          </a:effectLst>
        </c:spPr>
        <c:marker>
          <c:symbol val="circle"/>
          <c:size val="6"/>
          <c:spPr>
            <a:solidFill>
              <a:srgbClr val="FEBAF6"/>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19050" cap="rnd">
            <a:solidFill>
              <a:srgbClr val="6CAEA5"/>
            </a:solidFill>
            <a:round/>
          </a:ln>
          <a:effectLst>
            <a:outerShdw blurRad="57150" dist="19050" dir="5400000" algn="ctr" rotWithShape="0">
              <a:srgbClr val="000000">
                <a:alpha val="63000"/>
              </a:srgbClr>
            </a:outerShdw>
          </a:effectLst>
        </c:spPr>
        <c:marker>
          <c:symbol val="circle"/>
          <c:size val="6"/>
          <c:spPr>
            <a:solidFill>
              <a:srgbClr val="6CAEA5"/>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209589637174276E-2"/>
          <c:y val="8.0626094245869709E-2"/>
          <c:w val="0.88061549558213625"/>
          <c:h val="0.68699443990466913"/>
        </c:manualLayout>
      </c:layout>
      <c:lineChart>
        <c:grouping val="standard"/>
        <c:varyColors val="0"/>
        <c:ser>
          <c:idx val="0"/>
          <c:order val="0"/>
          <c:tx>
            <c:strRef>
              <c:f>'Summary_5-14yrs'!$M$3</c:f>
              <c:strCache>
                <c:ptCount val="1"/>
                <c:pt idx="0">
                  <c:v>CD4-yield</c:v>
                </c:pt>
              </c:strCache>
            </c:strRef>
          </c:tx>
          <c:spPr>
            <a:ln w="19050" cap="rnd">
              <a:solidFill>
                <a:srgbClr val="9869A7"/>
              </a:solidFill>
              <a:round/>
            </a:ln>
            <a:effectLst>
              <a:outerShdw blurRad="57150" dist="19050" dir="5400000" algn="ctr" rotWithShape="0">
                <a:srgbClr val="000000">
                  <a:alpha val="63000"/>
                </a:srgbClr>
              </a:outerShdw>
            </a:effectLst>
          </c:spPr>
          <c:marker>
            <c:symbol val="circle"/>
            <c:size val="6"/>
            <c:spPr>
              <a:solidFill>
                <a:srgbClr val="9869A7"/>
              </a:solidFill>
              <a:ln w="9525">
                <a:solidFill>
                  <a:srgbClr val="92957B"/>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'Summary_5-14yrs'!$L$4:$L$15</c:f>
              <c:multiLvlStrCache>
                <c:ptCount val="7"/>
                <c:lvl>
                  <c:pt idx="0">
                    <c:v>Qtr_4</c:v>
                  </c:pt>
                  <c:pt idx="1">
                    <c:v>Qtr_1</c:v>
                  </c:pt>
                  <c:pt idx="2">
                    <c:v>Qtr_2</c:v>
                  </c:pt>
                  <c:pt idx="3">
                    <c:v>Qtr_3</c:v>
                  </c:pt>
                  <c:pt idx="4">
                    <c:v>Qtr_4</c:v>
                  </c:pt>
                  <c:pt idx="5">
                    <c:v>Qtr_1</c:v>
                  </c:pt>
                  <c:pt idx="6">
                    <c:v>(blank)</c:v>
                  </c:pt>
                </c:lvl>
                <c:lvl>
                  <c:pt idx="0">
                    <c:v>COP_22</c:v>
                  </c:pt>
                  <c:pt idx="1">
                    <c:v>COP_23</c:v>
                  </c:pt>
                  <c:pt idx="5">
                    <c:v>COP_24</c:v>
                  </c:pt>
                  <c:pt idx="6">
                    <c:v>(blank)</c:v>
                  </c:pt>
                </c:lvl>
              </c:multiLvlStrCache>
            </c:multiLvlStrRef>
          </c:cat>
          <c:val>
            <c:numRef>
              <c:f>'Summary_5-14yrs'!$M$4:$M$15</c:f>
              <c:numCache>
                <c:formatCode>0%</c:formatCode>
                <c:ptCount val="7"/>
                <c:pt idx="0">
                  <c:v>0</c:v>
                </c:pt>
                <c:pt idx="1">
                  <c:v>0.20689655172413793</c:v>
                </c:pt>
                <c:pt idx="2">
                  <c:v>0.16949152542372881</c:v>
                </c:pt>
                <c:pt idx="3">
                  <c:v>0.19298245614035087</c:v>
                </c:pt>
                <c:pt idx="4">
                  <c:v>0.26</c:v>
                </c:pt>
                <c:pt idx="5">
                  <c:v>0.26136363636363635</c:v>
                </c:pt>
                <c:pt idx="6">
                  <c:v>#N/A</c:v>
                </c:pt>
              </c:numCache>
            </c:numRef>
          </c:val>
          <c:smooth val="1"/>
          <c:extLst>
            <c:ext xmlns:c16="http://schemas.microsoft.com/office/drawing/2014/chart" uri="{C3380CC4-5D6E-409C-BE32-E72D297353CC}">
              <c16:uniqueId val="{00000000-1D42-4D9E-B944-06C80DFE448D}"/>
            </c:ext>
          </c:extLst>
        </c:ser>
        <c:ser>
          <c:idx val="1"/>
          <c:order val="1"/>
          <c:tx>
            <c:strRef>
              <c:f>'Summary_5-14yrs'!$N$3</c:f>
              <c:strCache>
                <c:ptCount val="1"/>
                <c:pt idx="0">
                  <c:v>LAM_pos%</c:v>
                </c:pt>
              </c:strCache>
            </c:strRef>
          </c:tx>
          <c:spPr>
            <a:ln w="19050" cap="rnd">
              <a:solidFill>
                <a:srgbClr val="FEBAF6"/>
              </a:solidFill>
              <a:round/>
            </a:ln>
            <a:effectLst>
              <a:outerShdw blurRad="57150" dist="19050" dir="5400000" algn="ctr" rotWithShape="0">
                <a:srgbClr val="000000">
                  <a:alpha val="63000"/>
                </a:srgbClr>
              </a:outerShdw>
            </a:effectLst>
          </c:spPr>
          <c:marker>
            <c:symbol val="circle"/>
            <c:size val="6"/>
            <c:spPr>
              <a:solidFill>
                <a:srgbClr val="FEBAF6"/>
              </a:solidFill>
              <a:ln w="9525">
                <a:no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'Summary_5-14yrs'!$L$4:$L$15</c:f>
              <c:multiLvlStrCache>
                <c:ptCount val="7"/>
                <c:lvl>
                  <c:pt idx="0">
                    <c:v>Qtr_4</c:v>
                  </c:pt>
                  <c:pt idx="1">
                    <c:v>Qtr_1</c:v>
                  </c:pt>
                  <c:pt idx="2">
                    <c:v>Qtr_2</c:v>
                  </c:pt>
                  <c:pt idx="3">
                    <c:v>Qtr_3</c:v>
                  </c:pt>
                  <c:pt idx="4">
                    <c:v>Qtr_4</c:v>
                  </c:pt>
                  <c:pt idx="5">
                    <c:v>Qtr_1</c:v>
                  </c:pt>
                  <c:pt idx="6">
                    <c:v>(blank)</c:v>
                  </c:pt>
                </c:lvl>
                <c:lvl>
                  <c:pt idx="0">
                    <c:v>COP_22</c:v>
                  </c:pt>
                  <c:pt idx="1">
                    <c:v>COP_23</c:v>
                  </c:pt>
                  <c:pt idx="5">
                    <c:v>COP_24</c:v>
                  </c:pt>
                  <c:pt idx="6">
                    <c:v>(blank)</c:v>
                  </c:pt>
                </c:lvl>
              </c:multiLvlStrCache>
            </c:multiLvlStrRef>
          </c:cat>
          <c:val>
            <c:numRef>
              <c:f>'Summary_5-14yrs'!$N$4:$N$15</c:f>
              <c:numCache>
                <c:formatCode>0%</c:formatCode>
                <c:ptCount val="7"/>
                <c:pt idx="0">
                  <c:v>#N/A</c:v>
                </c:pt>
                <c:pt idx="1">
                  <c:v>0</c:v>
                </c:pt>
                <c:pt idx="2">
                  <c:v>6.6666666666666666E-2</c:v>
                </c:pt>
                <c:pt idx="3">
                  <c:v>0.55555555555555558</c:v>
                </c:pt>
                <c:pt idx="4">
                  <c:v>0.1111111111111111</c:v>
                </c:pt>
                <c:pt idx="5">
                  <c:v>5.2631578947368418E-2</c:v>
                </c:pt>
                <c:pt idx="6">
                  <c:v>#N/A</c:v>
                </c:pt>
              </c:numCache>
            </c:numRef>
          </c:val>
          <c:smooth val="1"/>
          <c:extLst>
            <c:ext xmlns:c16="http://schemas.microsoft.com/office/drawing/2014/chart" uri="{C3380CC4-5D6E-409C-BE32-E72D297353CC}">
              <c16:uniqueId val="{00000001-1D42-4D9E-B944-06C80DFE448D}"/>
            </c:ext>
          </c:extLst>
        </c:ser>
        <c:ser>
          <c:idx val="2"/>
          <c:order val="2"/>
          <c:tx>
            <c:strRef>
              <c:f>'Summary_5-14yrs'!$O$3</c:f>
              <c:strCache>
                <c:ptCount val="1"/>
                <c:pt idx="0">
                  <c:v>CrAG_pos%</c:v>
                </c:pt>
              </c:strCache>
            </c:strRef>
          </c:tx>
          <c:spPr>
            <a:ln w="19050" cap="rnd">
              <a:solidFill>
                <a:srgbClr val="6CAEA5"/>
              </a:solidFill>
              <a:round/>
            </a:ln>
            <a:effectLst>
              <a:outerShdw blurRad="57150" dist="19050" dir="5400000" algn="ctr" rotWithShape="0">
                <a:srgbClr val="000000">
                  <a:alpha val="63000"/>
                </a:srgbClr>
              </a:outerShdw>
            </a:effectLst>
          </c:spPr>
          <c:marker>
            <c:symbol val="circle"/>
            <c:size val="6"/>
            <c:spPr>
              <a:solidFill>
                <a:srgbClr val="6CAEA5"/>
              </a:solidFill>
              <a:ln w="9525">
                <a:no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'Summary_5-14yrs'!$L$4:$L$15</c:f>
              <c:multiLvlStrCache>
                <c:ptCount val="7"/>
                <c:lvl>
                  <c:pt idx="0">
                    <c:v>Qtr_4</c:v>
                  </c:pt>
                  <c:pt idx="1">
                    <c:v>Qtr_1</c:v>
                  </c:pt>
                  <c:pt idx="2">
                    <c:v>Qtr_2</c:v>
                  </c:pt>
                  <c:pt idx="3">
                    <c:v>Qtr_3</c:v>
                  </c:pt>
                  <c:pt idx="4">
                    <c:v>Qtr_4</c:v>
                  </c:pt>
                  <c:pt idx="5">
                    <c:v>Qtr_1</c:v>
                  </c:pt>
                  <c:pt idx="6">
                    <c:v>(blank)</c:v>
                  </c:pt>
                </c:lvl>
                <c:lvl>
                  <c:pt idx="0">
                    <c:v>COP_22</c:v>
                  </c:pt>
                  <c:pt idx="1">
                    <c:v>COP_23</c:v>
                  </c:pt>
                  <c:pt idx="5">
                    <c:v>COP_24</c:v>
                  </c:pt>
                  <c:pt idx="6">
                    <c:v>(blank)</c:v>
                  </c:pt>
                </c:lvl>
              </c:multiLvlStrCache>
            </c:multiLvlStrRef>
          </c:cat>
          <c:val>
            <c:numRef>
              <c:f>'Summary_5-14yrs'!$O$4:$O$15</c:f>
              <c:numCache>
                <c:formatCode>0%</c:formatCode>
                <c:ptCount val="7"/>
                <c:pt idx="0">
                  <c:v>#N/A</c:v>
                </c:pt>
                <c:pt idx="1">
                  <c:v>0.25</c:v>
                </c:pt>
                <c:pt idx="2">
                  <c:v>0</c:v>
                </c:pt>
                <c:pt idx="3">
                  <c:v>0</c:v>
                </c:pt>
                <c:pt idx="4">
                  <c:v>0</c:v>
                </c:pt>
                <c:pt idx="5">
                  <c:v>0</c:v>
                </c:pt>
                <c:pt idx="6">
                  <c:v>#N/A</c:v>
                </c:pt>
              </c:numCache>
            </c:numRef>
          </c:val>
          <c:smooth val="1"/>
          <c:extLst>
            <c:ext xmlns:c16="http://schemas.microsoft.com/office/drawing/2014/chart" uri="{C3380CC4-5D6E-409C-BE32-E72D297353CC}">
              <c16:uniqueId val="{00000002-1D42-4D9E-B944-06C80DFE448D}"/>
            </c:ext>
          </c:extLst>
        </c:ser>
        <c:dLbls>
          <c:showLegendKey val="0"/>
          <c:showVal val="1"/>
          <c:showCatName val="0"/>
          <c:showSerName val="0"/>
          <c:showPercent val="0"/>
          <c:showBubbleSize val="0"/>
        </c:dLbls>
        <c:marker val="1"/>
        <c:smooth val="0"/>
        <c:axId val="1224018080"/>
        <c:axId val="1224017000"/>
      </c:lineChart>
      <c:catAx>
        <c:axId val="1224018080"/>
        <c:scaling>
          <c:orientation val="minMax"/>
        </c:scaling>
        <c:delete val="0"/>
        <c:axPos val="b"/>
        <c:numFmt formatCode="General" sourceLinked="1"/>
        <c:majorTickMark val="none"/>
        <c:minorTickMark val="none"/>
        <c:tickLblPos val="nextTo"/>
        <c:spPr>
          <a:noFill/>
          <a:ln w="12700" cap="flat" cmpd="sng" algn="ctr">
            <a:solidFill>
              <a:srgbClr val="660066"/>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24017000"/>
        <c:crosses val="autoZero"/>
        <c:auto val="1"/>
        <c:lblAlgn val="ctr"/>
        <c:lblOffset val="100"/>
        <c:noMultiLvlLbl val="0"/>
      </c:catAx>
      <c:valAx>
        <c:axId val="1224017000"/>
        <c:scaling>
          <c:orientation val="minMax"/>
          <c:max val="1"/>
          <c:min val="0"/>
        </c:scaling>
        <c:delete val="0"/>
        <c:axPos val="l"/>
        <c:numFmt formatCode="0%" sourceLinked="1"/>
        <c:majorTickMark val="none"/>
        <c:minorTickMark val="none"/>
        <c:tickLblPos val="nextTo"/>
        <c:spPr>
          <a:noFill/>
          <a:ln>
            <a:solidFill>
              <a:srgbClr val="660066"/>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24018080"/>
        <c:crosses val="autoZero"/>
        <c:crossBetween val="between"/>
      </c:valAx>
      <c:spPr>
        <a:noFill/>
        <a:ln>
          <a:noFill/>
        </a:ln>
        <a:effectLst/>
      </c:spPr>
    </c:plotArea>
    <c:legend>
      <c:legendPos val="r"/>
      <c:layout>
        <c:manualLayout>
          <c:xMode val="edge"/>
          <c:yMode val="edge"/>
          <c:x val="7.7265714572075941E-2"/>
          <c:y val="0.933423957596895"/>
          <c:w val="0.84018336639217805"/>
          <c:h val="4.8025988762148794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[AHD_Reporting_Form.xlsx]Summary_HIV_new!PivotTable1</c:name>
    <c:fmtId val="1"/>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GB"/>
              <a:t>HIV New pos AHD screening</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F5597"/>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ln w="19050" cap="rnd">
            <a:solidFill>
              <a:srgbClr val="843C0C"/>
            </a:solidFill>
            <a:round/>
          </a:ln>
          <a:effectLst>
            <a:outerShdw blurRad="57150" dist="19050" dir="5400000" algn="ctr" rotWithShape="0">
              <a:srgbClr val="000000">
                <a:alpha val="63000"/>
              </a:srgbClr>
            </a:outerShdw>
          </a:effectLst>
        </c:spPr>
        <c:marker>
          <c:symbol val="circle"/>
          <c:size val="6"/>
          <c:spPr>
            <a:solidFill>
              <a:srgbClr val="843C0C"/>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ED7D31"/>
          </a:solidFill>
          <a:ln>
            <a:noFill/>
          </a:ln>
          <a:effectLst>
            <a:outerShdw blurRad="57150" dist="19050" dir="5400000" algn="ctr" rotWithShape="0">
              <a:srgbClr val="000000">
                <a:alpha val="63000"/>
              </a:srgbClr>
            </a:outerShdw>
          </a:effectLst>
        </c:spPr>
      </c:pivotFmt>
      <c:pivotFmt>
        <c:idx val="8"/>
      </c:pivotFmt>
    </c:pivotFmts>
    <c:plotArea>
      <c:layout>
        <c:manualLayout>
          <c:layoutTarget val="inner"/>
          <c:xMode val="edge"/>
          <c:yMode val="edge"/>
          <c:x val="0.10116120435696385"/>
          <c:y val="0.12646021538633367"/>
          <c:w val="0.85045485695686396"/>
          <c:h val="0.68727976682472713"/>
        </c:manualLayout>
      </c:layout>
      <c:barChart>
        <c:barDir val="col"/>
        <c:grouping val="clustered"/>
        <c:varyColors val="0"/>
        <c:ser>
          <c:idx val="0"/>
          <c:order val="0"/>
          <c:tx>
            <c:strRef>
              <c:f>Summary_HIV_new!$E$3</c:f>
              <c:strCache>
                <c:ptCount val="1"/>
                <c:pt idx="0">
                  <c:v>Total number_of_ROC</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Summary_HIV_new!$D$4:$D$13</c:f>
              <c:multiLvlStrCache>
                <c:ptCount val="6"/>
                <c:lvl>
                  <c:pt idx="0">
                    <c:v>Qtr_2</c:v>
                  </c:pt>
                  <c:pt idx="1">
                    <c:v>Qtr_3</c:v>
                  </c:pt>
                  <c:pt idx="2">
                    <c:v>Qtr_4</c:v>
                  </c:pt>
                  <c:pt idx="3">
                    <c:v>Qtr_1</c:v>
                  </c:pt>
                  <c:pt idx="4">
                    <c:v>Qtr_2</c:v>
                  </c:pt>
                  <c:pt idx="5">
                    <c:v>(blank)</c:v>
                  </c:pt>
                </c:lvl>
                <c:lvl>
                  <c:pt idx="0">
                    <c:v>COP_23</c:v>
                  </c:pt>
                  <c:pt idx="3">
                    <c:v>COP_24</c:v>
                  </c:pt>
                  <c:pt idx="5">
                    <c:v>(blank)</c:v>
                  </c:pt>
                </c:lvl>
              </c:multiLvlStrCache>
            </c:multiLvlStrRef>
          </c:cat>
          <c:val>
            <c:numRef>
              <c:f>Summary_HIV_new!$E$4:$E$13</c:f>
              <c:numCache>
                <c:formatCode>General</c:formatCode>
                <c:ptCount val="6"/>
                <c:pt idx="0">
                  <c:v>1644</c:v>
                </c:pt>
                <c:pt idx="1">
                  <c:v>1498</c:v>
                </c:pt>
                <c:pt idx="2">
                  <c:v>1456</c:v>
                </c:pt>
                <c:pt idx="3">
                  <c:v>1396</c:v>
                </c:pt>
                <c:pt idx="4">
                  <c:v>1100</c:v>
                </c:pt>
                <c:pt idx="5">
                  <c:v>1155</c:v>
                </c:pt>
              </c:numCache>
            </c:numRef>
          </c:val>
          <c:extLst>
            <c:ext xmlns:c16="http://schemas.microsoft.com/office/drawing/2014/chart" uri="{C3380CC4-5D6E-409C-BE32-E72D297353CC}">
              <c16:uniqueId val="{00000000-FA98-4E76-A1AE-C094374742D1}"/>
            </c:ext>
          </c:extLst>
        </c:ser>
        <c:ser>
          <c:idx val="1"/>
          <c:order val="1"/>
          <c:tx>
            <c:strRef>
              <c:f>Summary_HIV_new!$F$3</c:f>
              <c:strCache>
                <c:ptCount val="1"/>
                <c:pt idx="0">
                  <c:v>CD4 tests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Summary_HIV_new!$D$4:$D$13</c:f>
              <c:multiLvlStrCache>
                <c:ptCount val="6"/>
                <c:lvl>
                  <c:pt idx="0">
                    <c:v>Qtr_2</c:v>
                  </c:pt>
                  <c:pt idx="1">
                    <c:v>Qtr_3</c:v>
                  </c:pt>
                  <c:pt idx="2">
                    <c:v>Qtr_4</c:v>
                  </c:pt>
                  <c:pt idx="3">
                    <c:v>Qtr_1</c:v>
                  </c:pt>
                  <c:pt idx="4">
                    <c:v>Qtr_2</c:v>
                  </c:pt>
                  <c:pt idx="5">
                    <c:v>(blank)</c:v>
                  </c:pt>
                </c:lvl>
                <c:lvl>
                  <c:pt idx="0">
                    <c:v>COP_23</c:v>
                  </c:pt>
                  <c:pt idx="3">
                    <c:v>COP_24</c:v>
                  </c:pt>
                  <c:pt idx="5">
                    <c:v>(blank)</c:v>
                  </c:pt>
                </c:lvl>
              </c:multiLvlStrCache>
            </c:multiLvlStrRef>
          </c:cat>
          <c:val>
            <c:numRef>
              <c:f>Summary_HIV_new!$F$4:$F$13</c:f>
              <c:numCache>
                <c:formatCode>General</c:formatCode>
                <c:ptCount val="6"/>
                <c:pt idx="0">
                  <c:v>1396</c:v>
                </c:pt>
                <c:pt idx="1">
                  <c:v>1287</c:v>
                </c:pt>
                <c:pt idx="2">
                  <c:v>1193</c:v>
                </c:pt>
                <c:pt idx="3">
                  <c:v>1154</c:v>
                </c:pt>
                <c:pt idx="4">
                  <c:v>852</c:v>
                </c:pt>
                <c:pt idx="5">
                  <c:v>1057</c:v>
                </c:pt>
              </c:numCache>
            </c:numRef>
          </c:val>
          <c:extLst>
            <c:ext xmlns:c16="http://schemas.microsoft.com/office/drawing/2014/chart" uri="{C3380CC4-5D6E-409C-BE32-E72D297353CC}">
              <c16:uniqueId val="{00000001-FA98-4E76-A1AE-C094374742D1}"/>
            </c:ext>
          </c:extLst>
        </c:ser>
        <c:ser>
          <c:idx val="2"/>
          <c:order val="2"/>
          <c:tx>
            <c:strRef>
              <c:f>Summary_HIV_new!$G$3</c:f>
              <c:strCache>
                <c:ptCount val="1"/>
                <c:pt idx="0">
                  <c:v>CrAg tests</c:v>
                </c:pt>
              </c:strCache>
            </c:strRef>
          </c:tx>
          <c:spPr>
            <a:solidFill>
              <a:srgbClr val="2F5597"/>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Summary_HIV_new!$D$4:$D$13</c:f>
              <c:multiLvlStrCache>
                <c:ptCount val="6"/>
                <c:lvl>
                  <c:pt idx="0">
                    <c:v>Qtr_2</c:v>
                  </c:pt>
                  <c:pt idx="1">
                    <c:v>Qtr_3</c:v>
                  </c:pt>
                  <c:pt idx="2">
                    <c:v>Qtr_4</c:v>
                  </c:pt>
                  <c:pt idx="3">
                    <c:v>Qtr_1</c:v>
                  </c:pt>
                  <c:pt idx="4">
                    <c:v>Qtr_2</c:v>
                  </c:pt>
                  <c:pt idx="5">
                    <c:v>(blank)</c:v>
                  </c:pt>
                </c:lvl>
                <c:lvl>
                  <c:pt idx="0">
                    <c:v>COP_23</c:v>
                  </c:pt>
                  <c:pt idx="3">
                    <c:v>COP_24</c:v>
                  </c:pt>
                  <c:pt idx="5">
                    <c:v>(blank)</c:v>
                  </c:pt>
                </c:lvl>
              </c:multiLvlStrCache>
            </c:multiLvlStrRef>
          </c:cat>
          <c:val>
            <c:numRef>
              <c:f>Summary_HIV_new!$G$4:$G$13</c:f>
              <c:numCache>
                <c:formatCode>General</c:formatCode>
                <c:ptCount val="6"/>
                <c:pt idx="0">
                  <c:v>487</c:v>
                </c:pt>
                <c:pt idx="1">
                  <c:v>512</c:v>
                </c:pt>
                <c:pt idx="2">
                  <c:v>438</c:v>
                </c:pt>
                <c:pt idx="3">
                  <c:v>424</c:v>
                </c:pt>
                <c:pt idx="4">
                  <c:v>255</c:v>
                </c:pt>
                <c:pt idx="5">
                  <c:v>337</c:v>
                </c:pt>
              </c:numCache>
            </c:numRef>
          </c:val>
          <c:extLst>
            <c:ext xmlns:c16="http://schemas.microsoft.com/office/drawing/2014/chart" uri="{C3380CC4-5D6E-409C-BE32-E72D297353CC}">
              <c16:uniqueId val="{00000002-FA98-4E76-A1AE-C094374742D1}"/>
            </c:ext>
          </c:extLst>
        </c:ser>
        <c:ser>
          <c:idx val="3"/>
          <c:order val="3"/>
          <c:tx>
            <c:strRef>
              <c:f>Summary_HIV_new!$H$3</c:f>
              <c:strCache>
                <c:ptCount val="1"/>
                <c:pt idx="0">
                  <c:v>LAM tests</c:v>
                </c:pt>
              </c:strCache>
            </c:strRef>
          </c:tx>
          <c:spPr>
            <a:solidFill>
              <a:srgbClr val="FFC00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Summary_HIV_new!$D$4:$D$13</c:f>
              <c:multiLvlStrCache>
                <c:ptCount val="6"/>
                <c:lvl>
                  <c:pt idx="0">
                    <c:v>Qtr_2</c:v>
                  </c:pt>
                  <c:pt idx="1">
                    <c:v>Qtr_3</c:v>
                  </c:pt>
                  <c:pt idx="2">
                    <c:v>Qtr_4</c:v>
                  </c:pt>
                  <c:pt idx="3">
                    <c:v>Qtr_1</c:v>
                  </c:pt>
                  <c:pt idx="4">
                    <c:v>Qtr_2</c:v>
                  </c:pt>
                  <c:pt idx="5">
                    <c:v>(blank)</c:v>
                  </c:pt>
                </c:lvl>
                <c:lvl>
                  <c:pt idx="0">
                    <c:v>COP_23</c:v>
                  </c:pt>
                  <c:pt idx="3">
                    <c:v>COP_24</c:v>
                  </c:pt>
                  <c:pt idx="5">
                    <c:v>(blank)</c:v>
                  </c:pt>
                </c:lvl>
              </c:multiLvlStrCache>
            </c:multiLvlStrRef>
          </c:cat>
          <c:val>
            <c:numRef>
              <c:f>Summary_HIV_new!$H$4:$H$13</c:f>
              <c:numCache>
                <c:formatCode>General</c:formatCode>
                <c:ptCount val="6"/>
                <c:pt idx="0">
                  <c:v>493</c:v>
                </c:pt>
                <c:pt idx="1">
                  <c:v>152</c:v>
                </c:pt>
                <c:pt idx="2">
                  <c:v>156</c:v>
                </c:pt>
                <c:pt idx="3">
                  <c:v>395</c:v>
                </c:pt>
                <c:pt idx="4">
                  <c:v>284</c:v>
                </c:pt>
                <c:pt idx="5">
                  <c:v>335</c:v>
                </c:pt>
              </c:numCache>
            </c:numRef>
          </c:val>
          <c:extLst>
            <c:ext xmlns:c16="http://schemas.microsoft.com/office/drawing/2014/chart" uri="{C3380CC4-5D6E-409C-BE32-E72D297353CC}">
              <c16:uniqueId val="{00000006-FA98-4E76-A1AE-C094374742D1}"/>
            </c:ext>
          </c:extLst>
        </c:ser>
        <c:dLbls>
          <c:dLblPos val="outEnd"/>
          <c:showLegendKey val="0"/>
          <c:showVal val="1"/>
          <c:showCatName val="0"/>
          <c:showSerName val="0"/>
          <c:showPercent val="0"/>
          <c:showBubbleSize val="0"/>
        </c:dLbls>
        <c:gapWidth val="100"/>
        <c:overlap val="-24"/>
        <c:axId val="798768496"/>
        <c:axId val="798764536"/>
      </c:barChart>
      <c:lineChart>
        <c:grouping val="standard"/>
        <c:varyColors val="0"/>
        <c:ser>
          <c:idx val="4"/>
          <c:order val="4"/>
          <c:tx>
            <c:strRef>
              <c:f>Summary_HIV_new!$I$3</c:f>
              <c:strCache>
                <c:ptCount val="1"/>
                <c:pt idx="0">
                  <c:v>CD4_Cov%</c:v>
                </c:pt>
              </c:strCache>
            </c:strRef>
          </c:tx>
          <c:spPr>
            <a:ln w="19050" cap="rnd">
              <a:solidFill>
                <a:srgbClr val="843C0C"/>
              </a:solidFill>
              <a:round/>
            </a:ln>
            <a:effectLst>
              <a:outerShdw blurRad="57150" dist="19050" dir="5400000" algn="ctr" rotWithShape="0">
                <a:srgbClr val="000000">
                  <a:alpha val="63000"/>
                </a:srgbClr>
              </a:outerShdw>
            </a:effectLst>
          </c:spPr>
          <c:marker>
            <c:symbol val="circle"/>
            <c:size val="6"/>
            <c:spPr>
              <a:solidFill>
                <a:srgbClr val="843C0C"/>
              </a:solidFill>
              <a:ln w="9525">
                <a:no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Summary_HIV_new!$D$4:$D$13</c:f>
              <c:multiLvlStrCache>
                <c:ptCount val="6"/>
                <c:lvl>
                  <c:pt idx="0">
                    <c:v>Qtr_2</c:v>
                  </c:pt>
                  <c:pt idx="1">
                    <c:v>Qtr_3</c:v>
                  </c:pt>
                  <c:pt idx="2">
                    <c:v>Qtr_4</c:v>
                  </c:pt>
                  <c:pt idx="3">
                    <c:v>Qtr_1</c:v>
                  </c:pt>
                  <c:pt idx="4">
                    <c:v>Qtr_2</c:v>
                  </c:pt>
                  <c:pt idx="5">
                    <c:v>(blank)</c:v>
                  </c:pt>
                </c:lvl>
                <c:lvl>
                  <c:pt idx="0">
                    <c:v>COP_23</c:v>
                  </c:pt>
                  <c:pt idx="3">
                    <c:v>COP_24</c:v>
                  </c:pt>
                  <c:pt idx="5">
                    <c:v>(blank)</c:v>
                  </c:pt>
                </c:lvl>
              </c:multiLvlStrCache>
            </c:multiLvlStrRef>
          </c:cat>
          <c:val>
            <c:numRef>
              <c:f>Summary_HIV_new!$I$4:$I$13</c:f>
              <c:numCache>
                <c:formatCode>0%</c:formatCode>
                <c:ptCount val="6"/>
                <c:pt idx="0">
                  <c:v>0.84914841849148415</c:v>
                </c:pt>
                <c:pt idx="1">
                  <c:v>0.85914552736982641</c:v>
                </c:pt>
                <c:pt idx="2">
                  <c:v>0.81936813186813184</c:v>
                </c:pt>
                <c:pt idx="3">
                  <c:v>0.82664756446991405</c:v>
                </c:pt>
                <c:pt idx="4">
                  <c:v>0.77454545454545454</c:v>
                </c:pt>
                <c:pt idx="5">
                  <c:v>0.91515151515151516</c:v>
                </c:pt>
              </c:numCache>
            </c:numRef>
          </c:val>
          <c:smooth val="1"/>
          <c:extLst>
            <c:ext xmlns:c16="http://schemas.microsoft.com/office/drawing/2014/chart" uri="{C3380CC4-5D6E-409C-BE32-E72D297353CC}">
              <c16:uniqueId val="{00000007-FA98-4E76-A1AE-C094374742D1}"/>
            </c:ext>
          </c:extLst>
        </c:ser>
        <c:dLbls>
          <c:showLegendKey val="0"/>
          <c:showVal val="0"/>
          <c:showCatName val="0"/>
          <c:showSerName val="0"/>
          <c:showPercent val="0"/>
          <c:showBubbleSize val="0"/>
        </c:dLbls>
        <c:marker val="1"/>
        <c:smooth val="0"/>
        <c:axId val="937846744"/>
        <c:axId val="937845664"/>
      </c:lineChart>
      <c:catAx>
        <c:axId val="798768496"/>
        <c:scaling>
          <c:orientation val="minMax"/>
        </c:scaling>
        <c:delete val="0"/>
        <c:axPos val="b"/>
        <c:numFmt formatCode="General" sourceLinked="1"/>
        <c:majorTickMark val="none"/>
        <c:minorTickMark val="none"/>
        <c:tickLblPos val="nextTo"/>
        <c:spPr>
          <a:noFill/>
          <a:ln w="9525" cap="flat" cmpd="sng" algn="ctr">
            <a:solidFill>
              <a:schemeClr val="accent5">
                <a:lumMod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98764536"/>
        <c:crosses val="autoZero"/>
        <c:auto val="1"/>
        <c:lblAlgn val="ctr"/>
        <c:lblOffset val="100"/>
        <c:noMultiLvlLbl val="0"/>
      </c:catAx>
      <c:valAx>
        <c:axId val="798764536"/>
        <c:scaling>
          <c:orientation val="minMax"/>
          <c:max val="2000"/>
        </c:scaling>
        <c:delete val="0"/>
        <c:axPos val="l"/>
        <c:title>
          <c:tx>
            <c:rich>
              <a:bodyPr rot="-54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r>
                  <a:rPr lang="en-US"/>
                  <a:t>Number of people screened</a:t>
                </a:r>
              </a:p>
            </c:rich>
          </c:tx>
          <c:layout>
            <c:manualLayout>
              <c:xMode val="edge"/>
              <c:yMode val="edge"/>
              <c:x val="4.8683362343311153E-3"/>
              <c:y val="0.3782149852011733"/>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solidFill>
              <a:schemeClr val="accent5">
                <a:lumMod val="75000"/>
              </a:schemeClr>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98768496"/>
        <c:crosses val="autoZero"/>
        <c:crossBetween val="between"/>
      </c:valAx>
      <c:valAx>
        <c:axId val="937845664"/>
        <c:scaling>
          <c:orientation val="minMax"/>
          <c:max val="1"/>
          <c:min val="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937846744"/>
        <c:crosses val="max"/>
        <c:crossBetween val="between"/>
      </c:valAx>
      <c:catAx>
        <c:axId val="937846744"/>
        <c:scaling>
          <c:orientation val="minMax"/>
        </c:scaling>
        <c:delete val="1"/>
        <c:axPos val="b"/>
        <c:numFmt formatCode="General" sourceLinked="1"/>
        <c:majorTickMark val="out"/>
        <c:minorTickMark val="none"/>
        <c:tickLblPos val="nextTo"/>
        <c:crossAx val="937845664"/>
        <c:crosses val="autoZero"/>
        <c:auto val="1"/>
        <c:lblAlgn val="ctr"/>
        <c:lblOffset val="100"/>
        <c:noMultiLvlLbl val="0"/>
      </c:catAx>
      <c:spPr>
        <a:noFill/>
        <a:ln>
          <a:noFill/>
        </a:ln>
        <a:effectLst/>
      </c:spPr>
    </c:plotArea>
    <c:legend>
      <c:legendPos val="r"/>
      <c:layout>
        <c:manualLayout>
          <c:xMode val="edge"/>
          <c:yMode val="edge"/>
          <c:x val="0"/>
          <c:y val="0.92048176543721505"/>
          <c:w val="0.98034267833241551"/>
          <c:h val="7.6524425863076118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[AHD_Reporting_Form.xlsx]Summary_HIV_new!PivotTable12</c:name>
    <c:fmtId val="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solidFill>
                <a:latin typeface="+mn-lt"/>
                <a:ea typeface="+mn-ea"/>
                <a:cs typeface="+mn-cs"/>
              </a:defRPr>
            </a:pPr>
            <a:r>
              <a:rPr lang="en-GB" sz="1600" b="1" i="0" u="sng" strike="noStrike" kern="1200" baseline="0" dirty="0">
                <a:solidFill>
                  <a:sysClr val="windowText" lastClr="000000"/>
                </a:solidFill>
              </a:rPr>
              <a:t>AHD Yield among new HIV+</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solidFill>
              <a:latin typeface="+mn-lt"/>
              <a:ea typeface="+mn-ea"/>
              <a:cs typeface="+mn-cs"/>
            </a:defRPr>
          </a:pPr>
          <a:endParaRPr lang="en-US"/>
        </a:p>
      </c:txPr>
    </c:title>
    <c:autoTitleDeleted val="0"/>
    <c:pivotFmts>
      <c:pivotFmt>
        <c:idx val="0"/>
        <c:spPr>
          <a:ln w="22225" cap="rnd">
            <a:solidFill>
              <a:srgbClr val="0070C0"/>
            </a:solidFill>
            <a:round/>
          </a:ln>
          <a:effectLst>
            <a:outerShdw blurRad="57150" dist="19050" dir="5400000" algn="ctr" rotWithShape="0">
              <a:srgbClr val="000000">
                <a:alpha val="63000"/>
              </a:srgbClr>
            </a:outerShdw>
          </a:effectLst>
        </c:spPr>
        <c:marker>
          <c:symbol val="circle"/>
          <c:size val="6"/>
          <c:spPr>
            <a:solidFill>
              <a:srgbClr val="0070C0"/>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19050"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19050" cap="rnd">
            <a:solidFill>
              <a:srgbClr val="E6D800"/>
            </a:solidFill>
            <a:round/>
          </a:ln>
          <a:effectLst>
            <a:outerShdw blurRad="57150" dist="19050" dir="5400000" algn="ctr" rotWithShape="0">
              <a:srgbClr val="000000">
                <a:alpha val="63000"/>
              </a:srgbClr>
            </a:outerShdw>
          </a:effectLst>
        </c:spPr>
        <c:marker>
          <c:symbol val="circle"/>
          <c:size val="6"/>
          <c:spPr>
            <a:solidFill>
              <a:srgbClr val="E6D800"/>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190371783340992E-2"/>
          <c:y val="0.12012053078231225"/>
          <c:w val="0.86240336636517434"/>
          <c:h val="0.68169322371224894"/>
        </c:manualLayout>
      </c:layout>
      <c:lineChart>
        <c:grouping val="standard"/>
        <c:varyColors val="0"/>
        <c:ser>
          <c:idx val="0"/>
          <c:order val="0"/>
          <c:tx>
            <c:strRef>
              <c:f>Summary_HIV_new!$M$3</c:f>
              <c:strCache>
                <c:ptCount val="1"/>
                <c:pt idx="0">
                  <c:v>CrAG +%</c:v>
                </c:pt>
              </c:strCache>
            </c:strRef>
          </c:tx>
          <c:spPr>
            <a:ln w="22225" cap="rnd">
              <a:solidFill>
                <a:srgbClr val="0070C0"/>
              </a:solidFill>
              <a:round/>
            </a:ln>
            <a:effectLst>
              <a:outerShdw blurRad="57150" dist="19050" dir="5400000" algn="ctr" rotWithShape="0">
                <a:srgbClr val="000000">
                  <a:alpha val="63000"/>
                </a:srgbClr>
              </a:outerShdw>
            </a:effectLst>
          </c:spPr>
          <c:marker>
            <c:symbol val="circle"/>
            <c:size val="6"/>
            <c:spPr>
              <a:solidFill>
                <a:srgbClr val="0070C0"/>
              </a:solidFill>
              <a:ln w="9525">
                <a:no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Summary_HIV_new!$L$4:$L$13</c:f>
              <c:multiLvlStrCache>
                <c:ptCount val="6"/>
                <c:lvl>
                  <c:pt idx="0">
                    <c:v>Qtr_2</c:v>
                  </c:pt>
                  <c:pt idx="1">
                    <c:v>Qtr_3</c:v>
                  </c:pt>
                  <c:pt idx="2">
                    <c:v>Qtr_4</c:v>
                  </c:pt>
                  <c:pt idx="3">
                    <c:v>Qtr_1</c:v>
                  </c:pt>
                  <c:pt idx="4">
                    <c:v>Qtr_2</c:v>
                  </c:pt>
                  <c:pt idx="5">
                    <c:v>(blank)</c:v>
                  </c:pt>
                </c:lvl>
                <c:lvl>
                  <c:pt idx="0">
                    <c:v>COP_23</c:v>
                  </c:pt>
                  <c:pt idx="3">
                    <c:v>COP_24</c:v>
                  </c:pt>
                  <c:pt idx="5">
                    <c:v>(blank)</c:v>
                  </c:pt>
                </c:lvl>
              </c:multiLvlStrCache>
            </c:multiLvlStrRef>
          </c:cat>
          <c:val>
            <c:numRef>
              <c:f>Summary_HIV_new!$M$4:$M$13</c:f>
              <c:numCache>
                <c:formatCode>0%</c:formatCode>
                <c:ptCount val="6"/>
                <c:pt idx="0">
                  <c:v>4.1067761806981518E-2</c:v>
                </c:pt>
                <c:pt idx="1">
                  <c:v>2.34375E-2</c:v>
                </c:pt>
                <c:pt idx="2">
                  <c:v>2.9680365296803651E-2</c:v>
                </c:pt>
                <c:pt idx="3">
                  <c:v>4.0094339622641507E-2</c:v>
                </c:pt>
                <c:pt idx="4">
                  <c:v>0.11764705882352941</c:v>
                </c:pt>
                <c:pt idx="5">
                  <c:v>5.0445103857566766E-2</c:v>
                </c:pt>
              </c:numCache>
            </c:numRef>
          </c:val>
          <c:smooth val="1"/>
          <c:extLst>
            <c:ext xmlns:c16="http://schemas.microsoft.com/office/drawing/2014/chart" uri="{C3380CC4-5D6E-409C-BE32-E72D297353CC}">
              <c16:uniqueId val="{00000000-A591-4346-8687-9F647C8C25CA}"/>
            </c:ext>
          </c:extLst>
        </c:ser>
        <c:ser>
          <c:idx val="1"/>
          <c:order val="1"/>
          <c:tx>
            <c:strRef>
              <c:f>Summary_HIV_new!$N$3</c:f>
              <c:strCache>
                <c:ptCount val="1"/>
                <c:pt idx="0">
                  <c:v>CD4_&lt;200</c:v>
                </c:pt>
              </c:strCache>
            </c:strRef>
          </c:tx>
          <c:spPr>
            <a:ln w="19050"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Summary_HIV_new!$L$4:$L$13</c:f>
              <c:multiLvlStrCache>
                <c:ptCount val="6"/>
                <c:lvl>
                  <c:pt idx="0">
                    <c:v>Qtr_2</c:v>
                  </c:pt>
                  <c:pt idx="1">
                    <c:v>Qtr_3</c:v>
                  </c:pt>
                  <c:pt idx="2">
                    <c:v>Qtr_4</c:v>
                  </c:pt>
                  <c:pt idx="3">
                    <c:v>Qtr_1</c:v>
                  </c:pt>
                  <c:pt idx="4">
                    <c:v>Qtr_2</c:v>
                  </c:pt>
                  <c:pt idx="5">
                    <c:v>(blank)</c:v>
                  </c:pt>
                </c:lvl>
                <c:lvl>
                  <c:pt idx="0">
                    <c:v>COP_23</c:v>
                  </c:pt>
                  <c:pt idx="3">
                    <c:v>COP_24</c:v>
                  </c:pt>
                  <c:pt idx="5">
                    <c:v>(blank)</c:v>
                  </c:pt>
                </c:lvl>
              </c:multiLvlStrCache>
            </c:multiLvlStrRef>
          </c:cat>
          <c:val>
            <c:numRef>
              <c:f>Summary_HIV_new!$N$4:$N$13</c:f>
              <c:numCache>
                <c:formatCode>0%</c:formatCode>
                <c:ptCount val="6"/>
                <c:pt idx="0">
                  <c:v>0.33595988538681948</c:v>
                </c:pt>
                <c:pt idx="1">
                  <c:v>0.35586635586635584</c:v>
                </c:pt>
                <c:pt idx="2">
                  <c:v>0.31768650461022629</c:v>
                </c:pt>
                <c:pt idx="3">
                  <c:v>0.34055459272097055</c:v>
                </c:pt>
                <c:pt idx="4">
                  <c:v>0.352112676056338</c:v>
                </c:pt>
                <c:pt idx="5">
                  <c:v>0.32923368022705773</c:v>
                </c:pt>
              </c:numCache>
            </c:numRef>
          </c:val>
          <c:smooth val="1"/>
          <c:extLst>
            <c:ext xmlns:c16="http://schemas.microsoft.com/office/drawing/2014/chart" uri="{C3380CC4-5D6E-409C-BE32-E72D297353CC}">
              <c16:uniqueId val="{00000001-A591-4346-8687-9F647C8C25CA}"/>
            </c:ext>
          </c:extLst>
        </c:ser>
        <c:ser>
          <c:idx val="2"/>
          <c:order val="2"/>
          <c:tx>
            <c:strRef>
              <c:f>Summary_HIV_new!$O$3</c:f>
              <c:strCache>
                <c:ptCount val="1"/>
                <c:pt idx="0">
                  <c:v>LAM +%</c:v>
                </c:pt>
              </c:strCache>
            </c:strRef>
          </c:tx>
          <c:spPr>
            <a:ln w="19050" cap="rnd">
              <a:solidFill>
                <a:srgbClr val="E6D800"/>
              </a:solidFill>
              <a:round/>
            </a:ln>
            <a:effectLst>
              <a:outerShdw blurRad="57150" dist="19050" dir="5400000" algn="ctr" rotWithShape="0">
                <a:srgbClr val="000000">
                  <a:alpha val="63000"/>
                </a:srgbClr>
              </a:outerShdw>
            </a:effectLst>
          </c:spPr>
          <c:marker>
            <c:symbol val="circle"/>
            <c:size val="6"/>
            <c:spPr>
              <a:solidFill>
                <a:srgbClr val="E6D800"/>
              </a:solidFill>
              <a:ln w="9525">
                <a:no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Summary_HIV_new!$L$4:$L$13</c:f>
              <c:multiLvlStrCache>
                <c:ptCount val="6"/>
                <c:lvl>
                  <c:pt idx="0">
                    <c:v>Qtr_2</c:v>
                  </c:pt>
                  <c:pt idx="1">
                    <c:v>Qtr_3</c:v>
                  </c:pt>
                  <c:pt idx="2">
                    <c:v>Qtr_4</c:v>
                  </c:pt>
                  <c:pt idx="3">
                    <c:v>Qtr_1</c:v>
                  </c:pt>
                  <c:pt idx="4">
                    <c:v>Qtr_2</c:v>
                  </c:pt>
                  <c:pt idx="5">
                    <c:v>(blank)</c:v>
                  </c:pt>
                </c:lvl>
                <c:lvl>
                  <c:pt idx="0">
                    <c:v>COP_23</c:v>
                  </c:pt>
                  <c:pt idx="3">
                    <c:v>COP_24</c:v>
                  </c:pt>
                  <c:pt idx="5">
                    <c:v>(blank)</c:v>
                  </c:pt>
                </c:lvl>
              </c:multiLvlStrCache>
            </c:multiLvlStrRef>
          </c:cat>
          <c:val>
            <c:numRef>
              <c:f>Summary_HIV_new!$O$4:$O$13</c:f>
              <c:numCache>
                <c:formatCode>0%</c:formatCode>
                <c:ptCount val="6"/>
                <c:pt idx="0">
                  <c:v>0.16835699797160245</c:v>
                </c:pt>
                <c:pt idx="1">
                  <c:v>0.13815789473684212</c:v>
                </c:pt>
                <c:pt idx="2">
                  <c:v>0.13461538461538461</c:v>
                </c:pt>
                <c:pt idx="3">
                  <c:v>0.11645569620253164</c:v>
                </c:pt>
                <c:pt idx="4">
                  <c:v>0.11971830985915492</c:v>
                </c:pt>
                <c:pt idx="5">
                  <c:v>0.15820895522388059</c:v>
                </c:pt>
              </c:numCache>
            </c:numRef>
          </c:val>
          <c:smooth val="1"/>
          <c:extLst>
            <c:ext xmlns:c16="http://schemas.microsoft.com/office/drawing/2014/chart" uri="{C3380CC4-5D6E-409C-BE32-E72D297353CC}">
              <c16:uniqueId val="{00000002-A591-4346-8687-9F647C8C25CA}"/>
            </c:ext>
          </c:extLst>
        </c:ser>
        <c:dLbls>
          <c:showLegendKey val="0"/>
          <c:showVal val="1"/>
          <c:showCatName val="0"/>
          <c:showSerName val="0"/>
          <c:showPercent val="0"/>
          <c:showBubbleSize val="0"/>
        </c:dLbls>
        <c:marker val="1"/>
        <c:smooth val="0"/>
        <c:axId val="1275204032"/>
        <c:axId val="1275204392"/>
      </c:lineChart>
      <c:catAx>
        <c:axId val="1275204032"/>
        <c:scaling>
          <c:orientation val="minMax"/>
        </c:scaling>
        <c:delete val="0"/>
        <c:axPos val="b"/>
        <c:numFmt formatCode="General" sourceLinked="1"/>
        <c:majorTickMark val="none"/>
        <c:minorTickMark val="none"/>
        <c:tickLblPos val="nextTo"/>
        <c:spPr>
          <a:noFill/>
          <a:ln w="6350" cap="flat" cmpd="sng" algn="ctr">
            <a:solidFill>
              <a:schemeClr val="accent5">
                <a:lumMod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75204392"/>
        <c:crosses val="autoZero"/>
        <c:auto val="1"/>
        <c:lblAlgn val="ctr"/>
        <c:lblOffset val="100"/>
        <c:noMultiLvlLbl val="0"/>
      </c:catAx>
      <c:valAx>
        <c:axId val="1275204392"/>
        <c:scaling>
          <c:orientation val="minMax"/>
          <c:max val="1"/>
          <c:min val="0"/>
        </c:scaling>
        <c:delete val="0"/>
        <c:axPos val="l"/>
        <c:numFmt formatCode="0%" sourceLinked="1"/>
        <c:majorTickMark val="none"/>
        <c:minorTickMark val="none"/>
        <c:tickLblPos val="nextTo"/>
        <c:spPr>
          <a:noFill/>
          <a:ln w="6350">
            <a:solidFill>
              <a:schemeClr val="accent5">
                <a:lumMod val="75000"/>
              </a:schemeClr>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75204032"/>
        <c:crosses val="autoZero"/>
        <c:crossBetween val="between"/>
      </c:valAx>
      <c:spPr>
        <a:noFill/>
        <a:ln>
          <a:noFill/>
        </a:ln>
        <a:effectLst/>
      </c:spPr>
    </c:plotArea>
    <c:legend>
      <c:legendPos val="r"/>
      <c:layout>
        <c:manualLayout>
          <c:xMode val="edge"/>
          <c:yMode val="edge"/>
          <c:x val="0"/>
          <c:y val="0.93058970295554888"/>
          <c:w val="0.96783770778652667"/>
          <c:h val="6.7772726277611953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[AHD_Reporting_Form.xlsx]Summary_0-4yrs!PivotTable1</c:name>
    <c:fmtId val="9"/>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GB" sz="1400" b="1" i="0" u="none" strike="noStrike" kern="1200" baseline="0">
                <a:solidFill>
                  <a:sysClr val="windowText" lastClr="000000"/>
                </a:solidFill>
              </a:rPr>
              <a:t>AHD screening in peadiatrics 0-4 yrs</a:t>
            </a:r>
            <a:endParaRPr lang="en-GB"/>
          </a:p>
        </c:rich>
      </c:tx>
      <c:layout>
        <c:manualLayout>
          <c:xMode val="edge"/>
          <c:yMode val="edge"/>
          <c:x val="0.30869268483144907"/>
          <c:y val="3.1380758307376258E-2"/>
        </c:manualLayout>
      </c:layout>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F5597"/>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843C0C"/>
            </a:solidFill>
            <a:round/>
          </a:ln>
          <a:effectLst>
            <a:outerShdw blurRad="57150" dist="19050" dir="5400000" algn="ctr" rotWithShape="0">
              <a:srgbClr val="000000">
                <a:alpha val="63000"/>
              </a:srgbClr>
            </a:outerShdw>
          </a:effectLst>
        </c:spPr>
        <c:marker>
          <c:symbol val="circle"/>
          <c:size val="6"/>
          <c:spPr>
            <a:solidFill>
              <a:srgbClr val="843C0C"/>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ED7D31"/>
          </a:solidFill>
          <a:ln>
            <a:noFill/>
          </a:ln>
          <a:effectLst>
            <a:outerShdw blurRad="57150" dist="19050" dir="5400000" algn="ctr" rotWithShape="0">
              <a:srgbClr val="000000">
                <a:alpha val="63000"/>
              </a:srgbClr>
            </a:outerShdw>
          </a:effectLst>
        </c:spPr>
      </c:pivotFmt>
      <c:pivotFmt>
        <c:idx val="8"/>
        <c:spPr>
          <a:solidFill>
            <a:srgbClr val="2F5597"/>
          </a:solidFill>
          <a:ln>
            <a:noFill/>
          </a:ln>
          <a:effectLst>
            <a:outerShdw blurRad="57150" dist="19050" dir="5400000" algn="ctr" rotWithShape="0">
              <a:srgbClr val="000000">
                <a:alpha val="63000"/>
              </a:srgbClr>
            </a:outerShdw>
          </a:effectLst>
        </c:spPr>
      </c:pivotFmt>
      <c:pivotFmt>
        <c:idx val="9"/>
        <c:spPr>
          <a:solidFill>
            <a:srgbClr val="006699"/>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92957B"/>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92957B"/>
          </a:solidFill>
          <a:ln>
            <a:noFill/>
          </a:ln>
          <a:effectLst>
            <a:outerShdw blurRad="57150" dist="19050" dir="5400000" algn="ctr" rotWithShape="0">
              <a:srgbClr val="000000">
                <a:alpha val="63000"/>
              </a:srgbClr>
            </a:outerShdw>
          </a:effectLst>
        </c:spPr>
      </c:pivotFmt>
      <c:pivotFmt>
        <c:idx val="12"/>
        <c:spPr>
          <a:solidFill>
            <a:srgbClr val="406C5C"/>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CAD62A"/>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cap="rnd">
            <a:solidFill>
              <a:srgbClr val="5B5D4B"/>
            </a:solidFill>
            <a:round/>
          </a:ln>
          <a:effectLst>
            <a:outerShdw blurRad="57150" dist="19050" dir="5400000" algn="ctr" rotWithShape="0">
              <a:srgbClr val="000000">
                <a:alpha val="63000"/>
              </a:srgbClr>
            </a:outerShdw>
          </a:effectLst>
        </c:spPr>
        <c:marker>
          <c:symbol val="circle"/>
          <c:size val="6"/>
          <c:spPr>
            <a:solidFill>
              <a:srgbClr val="5B5D4B"/>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03366"/>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449BCC"/>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406C5C"/>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AF1FC7"/>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cap="rnd">
            <a:solidFill>
              <a:srgbClr val="449BCC"/>
            </a:solidFill>
            <a:round/>
          </a:ln>
          <a:effectLst>
            <a:outerShdw blurRad="57150" dist="19050" dir="5400000" algn="ctr" rotWithShape="0">
              <a:srgbClr val="000000">
                <a:alpha val="63000"/>
              </a:srgbClr>
            </a:outerShdw>
          </a:effectLst>
        </c:spPr>
        <c:marker>
          <c:symbol val="circle"/>
          <c:size val="6"/>
          <c:spPr>
            <a:solidFill>
              <a:srgbClr val="449BCC"/>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6CAEA5"/>
          </a:solidFill>
          <a:ln>
            <a:noFill/>
          </a:ln>
          <a:effectLst>
            <a:outerShdw blurRad="57150" dist="19050" dir="5400000" algn="ctr" rotWithShape="0">
              <a:srgbClr val="000000">
                <a:alpha val="63000"/>
              </a:srgbClr>
            </a:outerShdw>
          </a:effectLst>
        </c:spPr>
      </c:pivotFmt>
      <c:pivotFmt>
        <c:idx val="21"/>
        <c:spPr>
          <a:solidFill>
            <a:schemeClr val="accent4">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EF9B2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1A53FF"/>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1A53FF"/>
          </a:solidFill>
          <a:ln>
            <a:noFill/>
          </a:ln>
          <a:effectLst>
            <a:outerShdw blurRad="57150" dist="19050" dir="5400000" algn="ctr" rotWithShape="0">
              <a:srgbClr val="000000">
                <a:alpha val="63000"/>
              </a:srgbClr>
            </a:outerShdw>
          </a:effectLst>
        </c:spPr>
      </c:pivotFmt>
      <c:pivotFmt>
        <c:idx val="25"/>
        <c:spPr>
          <a:solidFill>
            <a:srgbClr val="E6D8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cap="rnd">
            <a:solidFill>
              <a:srgbClr val="99600B"/>
            </a:solidFill>
            <a:round/>
          </a:ln>
          <a:effectLst>
            <a:outerShdw blurRad="57150" dist="19050" dir="5400000" algn="ctr" rotWithShape="0">
              <a:srgbClr val="000000">
                <a:alpha val="63000"/>
              </a:srgbClr>
            </a:outerShdw>
          </a:effectLst>
        </c:spPr>
        <c:marker>
          <c:symbol val="circle"/>
          <c:size val="6"/>
          <c:spPr>
            <a:solidFill>
              <a:srgbClr val="99600B"/>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4">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EF9B2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EAAEC9"/>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EAAEC9"/>
          </a:solidFill>
          <a:ln>
            <a:noFill/>
          </a:ln>
          <a:effectLst>
            <a:outerShdw blurRad="57150" dist="19050" dir="5400000" algn="ctr" rotWithShape="0">
              <a:srgbClr val="000000">
                <a:alpha val="63000"/>
              </a:srgbClr>
            </a:outerShdw>
          </a:effectLst>
        </c:spPr>
      </c:pivotFmt>
      <c:pivotFmt>
        <c:idx val="31"/>
        <c:spPr>
          <a:solidFill>
            <a:srgbClr val="9A808B"/>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rgbClr val="99600B"/>
            </a:solidFill>
          </a:ln>
          <a:effectLst>
            <a:outerShdw blurRad="57150" dist="19050" dir="5400000" algn="ctr" rotWithShape="0">
              <a:srgbClr val="000000">
                <a:alpha val="63000"/>
              </a:srgbClr>
            </a:outerShdw>
          </a:effectLst>
        </c:spPr>
        <c:marker>
          <c:symbol val="circle"/>
          <c:size val="6"/>
          <c:spPr>
            <a:solidFill>
              <a:srgbClr val="99600B"/>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ln w="19050"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ln w="19050"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layout>
            <c:manualLayout>
              <c:x val="1.0107135637760259E-2"/>
              <c:y val="-7.7240887248909222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ln w="19050"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pivotFmt>
    </c:pivotFmts>
    <c:plotArea>
      <c:layout>
        <c:manualLayout>
          <c:layoutTarget val="inner"/>
          <c:xMode val="edge"/>
          <c:yMode val="edge"/>
          <c:x val="9.5826939662414179E-2"/>
          <c:y val="0.12128429598474104"/>
          <c:w val="0.85045485695686396"/>
          <c:h val="0.71111664598501734"/>
        </c:manualLayout>
      </c:layout>
      <c:barChart>
        <c:barDir val="col"/>
        <c:grouping val="clustered"/>
        <c:varyColors val="0"/>
        <c:ser>
          <c:idx val="0"/>
          <c:order val="0"/>
          <c:tx>
            <c:strRef>
              <c:f>'Summary_0-4yrs'!$E$3</c:f>
              <c:strCache>
                <c:ptCount val="1"/>
                <c:pt idx="0">
                  <c:v>Total-number-of-ROC</c:v>
                </c:pt>
              </c:strCache>
            </c:strRef>
          </c:tx>
          <c:spPr>
            <a:solidFill>
              <a:schemeClr val="accent4">
                <a:lumMod val="75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'Summary_0-4yrs'!$D$4:$D$16</c:f>
              <c:multiLvlStrCache>
                <c:ptCount val="8"/>
                <c:lvl>
                  <c:pt idx="0">
                    <c:v>Qtr_4</c:v>
                  </c:pt>
                  <c:pt idx="1">
                    <c:v>Qtr_1</c:v>
                  </c:pt>
                  <c:pt idx="2">
                    <c:v>Qtr_2</c:v>
                  </c:pt>
                  <c:pt idx="3">
                    <c:v>Qtr_3</c:v>
                  </c:pt>
                  <c:pt idx="4">
                    <c:v>Qtr_4</c:v>
                  </c:pt>
                  <c:pt idx="5">
                    <c:v>Qtr_1</c:v>
                  </c:pt>
                  <c:pt idx="6">
                    <c:v>Qtr_2</c:v>
                  </c:pt>
                  <c:pt idx="7">
                    <c:v>(blank)</c:v>
                  </c:pt>
                </c:lvl>
                <c:lvl>
                  <c:pt idx="0">
                    <c:v>COP_22</c:v>
                  </c:pt>
                  <c:pt idx="1">
                    <c:v>COP_23</c:v>
                  </c:pt>
                  <c:pt idx="5">
                    <c:v>COP_24</c:v>
                  </c:pt>
                  <c:pt idx="7">
                    <c:v>(blank)</c:v>
                  </c:pt>
                </c:lvl>
              </c:multiLvlStrCache>
            </c:multiLvlStrRef>
          </c:cat>
          <c:val>
            <c:numRef>
              <c:f>'Summary_0-4yrs'!$E$4:$E$16</c:f>
              <c:numCache>
                <c:formatCode>General</c:formatCode>
                <c:ptCount val="8"/>
                <c:pt idx="0">
                  <c:v>9</c:v>
                </c:pt>
                <c:pt idx="1">
                  <c:v>24</c:v>
                </c:pt>
                <c:pt idx="2">
                  <c:v>65</c:v>
                </c:pt>
                <c:pt idx="3">
                  <c:v>73</c:v>
                </c:pt>
                <c:pt idx="4">
                  <c:v>64</c:v>
                </c:pt>
                <c:pt idx="5">
                  <c:v>54</c:v>
                </c:pt>
                <c:pt idx="6">
                  <c:v>36</c:v>
                </c:pt>
                <c:pt idx="7">
                  <c:v>40</c:v>
                </c:pt>
              </c:numCache>
            </c:numRef>
          </c:val>
          <c:extLst>
            <c:ext xmlns:c16="http://schemas.microsoft.com/office/drawing/2014/chart" uri="{C3380CC4-5D6E-409C-BE32-E72D297353CC}">
              <c16:uniqueId val="{00000000-F9C6-4612-96D6-61217757E851}"/>
            </c:ext>
          </c:extLst>
        </c:ser>
        <c:ser>
          <c:idx val="1"/>
          <c:order val="1"/>
          <c:tx>
            <c:strRef>
              <c:f>'Summary_0-4yrs'!$F$3</c:f>
              <c:strCache>
                <c:ptCount val="1"/>
                <c:pt idx="0">
                  <c:v>CrAg-tests</c:v>
                </c:pt>
              </c:strCache>
            </c:strRef>
          </c:tx>
          <c:spPr>
            <a:solidFill>
              <a:srgbClr val="EAAEC9"/>
            </a:solidFill>
            <a:ln>
              <a:noFill/>
            </a:ln>
            <a:effectLst>
              <a:outerShdw blurRad="57150" dist="19050" dir="5400000" algn="ctr" rotWithShape="0">
                <a:srgbClr val="000000">
                  <a:alpha val="63000"/>
                </a:srgbClr>
              </a:outerShdw>
            </a:effectLst>
          </c:spPr>
          <c:invertIfNegative val="0"/>
          <c:dPt>
            <c:idx val="3"/>
            <c:invertIfNegative val="0"/>
            <c:bubble3D val="0"/>
            <c:extLst>
              <c:ext xmlns:c16="http://schemas.microsoft.com/office/drawing/2014/chart" uri="{C3380CC4-5D6E-409C-BE32-E72D297353CC}">
                <c16:uniqueId val="{00000001-F9C6-4612-96D6-61217757E85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'Summary_0-4yrs'!$D$4:$D$16</c:f>
              <c:multiLvlStrCache>
                <c:ptCount val="8"/>
                <c:lvl>
                  <c:pt idx="0">
                    <c:v>Qtr_4</c:v>
                  </c:pt>
                  <c:pt idx="1">
                    <c:v>Qtr_1</c:v>
                  </c:pt>
                  <c:pt idx="2">
                    <c:v>Qtr_2</c:v>
                  </c:pt>
                  <c:pt idx="3">
                    <c:v>Qtr_3</c:v>
                  </c:pt>
                  <c:pt idx="4">
                    <c:v>Qtr_4</c:v>
                  </c:pt>
                  <c:pt idx="5">
                    <c:v>Qtr_1</c:v>
                  </c:pt>
                  <c:pt idx="6">
                    <c:v>Qtr_2</c:v>
                  </c:pt>
                  <c:pt idx="7">
                    <c:v>(blank)</c:v>
                  </c:pt>
                </c:lvl>
                <c:lvl>
                  <c:pt idx="0">
                    <c:v>COP_22</c:v>
                  </c:pt>
                  <c:pt idx="1">
                    <c:v>COP_23</c:v>
                  </c:pt>
                  <c:pt idx="5">
                    <c:v>COP_24</c:v>
                  </c:pt>
                  <c:pt idx="7">
                    <c:v>(blank)</c:v>
                  </c:pt>
                </c:lvl>
              </c:multiLvlStrCache>
            </c:multiLvlStrRef>
          </c:cat>
          <c:val>
            <c:numRef>
              <c:f>'Summary_0-4yrs'!$F$4:$F$16</c:f>
              <c:numCache>
                <c:formatCode>General</c:formatCode>
                <c:ptCount val="8"/>
                <c:pt idx="0">
                  <c:v>9</c:v>
                </c:pt>
                <c:pt idx="1">
                  <c:v>17</c:v>
                </c:pt>
                <c:pt idx="2">
                  <c:v>50</c:v>
                </c:pt>
                <c:pt idx="3">
                  <c:v>26</c:v>
                </c:pt>
                <c:pt idx="4">
                  <c:v>48</c:v>
                </c:pt>
                <c:pt idx="5">
                  <c:v>31</c:v>
                </c:pt>
                <c:pt idx="6">
                  <c:v>21</c:v>
                </c:pt>
                <c:pt idx="7">
                  <c:v>27</c:v>
                </c:pt>
              </c:numCache>
            </c:numRef>
          </c:val>
          <c:extLst>
            <c:ext xmlns:c16="http://schemas.microsoft.com/office/drawing/2014/chart" uri="{C3380CC4-5D6E-409C-BE32-E72D297353CC}">
              <c16:uniqueId val="{00000002-F9C6-4612-96D6-61217757E851}"/>
            </c:ext>
          </c:extLst>
        </c:ser>
        <c:ser>
          <c:idx val="2"/>
          <c:order val="2"/>
          <c:tx>
            <c:strRef>
              <c:f>'Summary_0-4yrs'!$G$3</c:f>
              <c:strCache>
                <c:ptCount val="1"/>
                <c:pt idx="0">
                  <c:v>LAM-tests</c:v>
                </c:pt>
              </c:strCache>
            </c:strRef>
          </c:tx>
          <c:spPr>
            <a:solidFill>
              <a:srgbClr val="9A808B"/>
            </a:solidFill>
            <a:ln>
              <a:noFill/>
            </a:ln>
            <a:effectLst>
              <a:outerShdw blurRad="57150" dist="19050" dir="5400000" algn="ctr" rotWithShape="0">
                <a:srgbClr val="000000">
                  <a:alpha val="63000"/>
                </a:srgbClr>
              </a:outerShdw>
            </a:effectLst>
          </c:spPr>
          <c:invertIfNegative val="0"/>
          <c:dPt>
            <c:idx val="3"/>
            <c:invertIfNegative val="0"/>
            <c:bubble3D val="0"/>
            <c:extLst>
              <c:ext xmlns:c16="http://schemas.microsoft.com/office/drawing/2014/chart" uri="{C3380CC4-5D6E-409C-BE32-E72D297353CC}">
                <c16:uniqueId val="{00000004-F9C6-4612-96D6-61217757E85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'Summary_0-4yrs'!$D$4:$D$16</c:f>
              <c:multiLvlStrCache>
                <c:ptCount val="8"/>
                <c:lvl>
                  <c:pt idx="0">
                    <c:v>Qtr_4</c:v>
                  </c:pt>
                  <c:pt idx="1">
                    <c:v>Qtr_1</c:v>
                  </c:pt>
                  <c:pt idx="2">
                    <c:v>Qtr_2</c:v>
                  </c:pt>
                  <c:pt idx="3">
                    <c:v>Qtr_3</c:v>
                  </c:pt>
                  <c:pt idx="4">
                    <c:v>Qtr_4</c:v>
                  </c:pt>
                  <c:pt idx="5">
                    <c:v>Qtr_1</c:v>
                  </c:pt>
                  <c:pt idx="6">
                    <c:v>Qtr_2</c:v>
                  </c:pt>
                  <c:pt idx="7">
                    <c:v>(blank)</c:v>
                  </c:pt>
                </c:lvl>
                <c:lvl>
                  <c:pt idx="0">
                    <c:v>COP_22</c:v>
                  </c:pt>
                  <c:pt idx="1">
                    <c:v>COP_23</c:v>
                  </c:pt>
                  <c:pt idx="5">
                    <c:v>COP_24</c:v>
                  </c:pt>
                  <c:pt idx="7">
                    <c:v>(blank)</c:v>
                  </c:pt>
                </c:lvl>
              </c:multiLvlStrCache>
            </c:multiLvlStrRef>
          </c:cat>
          <c:val>
            <c:numRef>
              <c:f>'Summary_0-4yrs'!$G$4:$G$16</c:f>
              <c:numCache>
                <c:formatCode>General</c:formatCode>
                <c:ptCount val="8"/>
                <c:pt idx="0">
                  <c:v>6</c:v>
                </c:pt>
                <c:pt idx="1">
                  <c:v>19</c:v>
                </c:pt>
                <c:pt idx="2">
                  <c:v>49</c:v>
                </c:pt>
                <c:pt idx="3">
                  <c:v>11</c:v>
                </c:pt>
                <c:pt idx="4">
                  <c:v>5</c:v>
                </c:pt>
                <c:pt idx="5">
                  <c:v>26</c:v>
                </c:pt>
                <c:pt idx="6">
                  <c:v>20</c:v>
                </c:pt>
                <c:pt idx="7">
                  <c:v>24</c:v>
                </c:pt>
              </c:numCache>
            </c:numRef>
          </c:val>
          <c:extLst>
            <c:ext xmlns:c16="http://schemas.microsoft.com/office/drawing/2014/chart" uri="{C3380CC4-5D6E-409C-BE32-E72D297353CC}">
              <c16:uniqueId val="{00000005-F9C6-4612-96D6-61217757E851}"/>
            </c:ext>
          </c:extLst>
        </c:ser>
        <c:dLbls>
          <c:dLblPos val="outEnd"/>
          <c:showLegendKey val="0"/>
          <c:showVal val="1"/>
          <c:showCatName val="0"/>
          <c:showSerName val="0"/>
          <c:showPercent val="0"/>
          <c:showBubbleSize val="0"/>
        </c:dLbls>
        <c:gapWidth val="100"/>
        <c:overlap val="-24"/>
        <c:axId val="798768496"/>
        <c:axId val="798764536"/>
      </c:barChart>
      <c:lineChart>
        <c:grouping val="standard"/>
        <c:varyColors val="0"/>
        <c:ser>
          <c:idx val="3"/>
          <c:order val="3"/>
          <c:tx>
            <c:strRef>
              <c:f>'Summary_0-4yrs'!$H$3</c:f>
              <c:strCache>
                <c:ptCount val="1"/>
                <c:pt idx="0">
                  <c:v>LAM-cov%</c:v>
                </c:pt>
              </c:strCache>
            </c:strRef>
          </c:tx>
          <c:spPr>
            <a:ln w="19050"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Pt>
            <c:idx val="4"/>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2-6226-4EE5-96B9-4F858869A2BE}"/>
              </c:ext>
            </c:extLst>
          </c:dPt>
          <c:dPt>
            <c:idx val="5"/>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bubble3D val="0"/>
            <c:spPr>
              <a:ln w="19050" cap="rnd">
                <a:solidFill>
                  <a:schemeClr val="accent4"/>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C573-4129-8529-E97C756D38B3}"/>
              </c:ext>
            </c:extLst>
          </c:dPt>
          <c:dLbls>
            <c:dLbl>
              <c:idx val="5"/>
              <c:layout>
                <c:manualLayout>
                  <c:x val="1.0107135637760259E-2"/>
                  <c:y val="-7.7240887248909222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573-4129-8529-E97C756D38B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'Summary_0-4yrs'!$D$4:$D$16</c:f>
              <c:multiLvlStrCache>
                <c:ptCount val="8"/>
                <c:lvl>
                  <c:pt idx="0">
                    <c:v>Qtr_4</c:v>
                  </c:pt>
                  <c:pt idx="1">
                    <c:v>Qtr_1</c:v>
                  </c:pt>
                  <c:pt idx="2">
                    <c:v>Qtr_2</c:v>
                  </c:pt>
                  <c:pt idx="3">
                    <c:v>Qtr_3</c:v>
                  </c:pt>
                  <c:pt idx="4">
                    <c:v>Qtr_4</c:v>
                  </c:pt>
                  <c:pt idx="5">
                    <c:v>Qtr_1</c:v>
                  </c:pt>
                  <c:pt idx="6">
                    <c:v>Qtr_2</c:v>
                  </c:pt>
                  <c:pt idx="7">
                    <c:v>(blank)</c:v>
                  </c:pt>
                </c:lvl>
                <c:lvl>
                  <c:pt idx="0">
                    <c:v>COP_22</c:v>
                  </c:pt>
                  <c:pt idx="1">
                    <c:v>COP_23</c:v>
                  </c:pt>
                  <c:pt idx="5">
                    <c:v>COP_24</c:v>
                  </c:pt>
                  <c:pt idx="7">
                    <c:v>(blank)</c:v>
                  </c:pt>
                </c:lvl>
              </c:multiLvlStrCache>
            </c:multiLvlStrRef>
          </c:cat>
          <c:val>
            <c:numRef>
              <c:f>'Summary_0-4yrs'!$H$4:$H$16</c:f>
              <c:numCache>
                <c:formatCode>0%</c:formatCode>
                <c:ptCount val="8"/>
                <c:pt idx="0">
                  <c:v>0.66666666666666663</c:v>
                </c:pt>
                <c:pt idx="1">
                  <c:v>0.79166666666666663</c:v>
                </c:pt>
                <c:pt idx="2">
                  <c:v>0.75384615384615383</c:v>
                </c:pt>
                <c:pt idx="3">
                  <c:v>0.15068493150684931</c:v>
                </c:pt>
                <c:pt idx="4">
                  <c:v>7.8125E-2</c:v>
                </c:pt>
                <c:pt idx="5">
                  <c:v>0.48148148148148145</c:v>
                </c:pt>
                <c:pt idx="6">
                  <c:v>0.55555555555555558</c:v>
                </c:pt>
                <c:pt idx="7">
                  <c:v>0.6</c:v>
                </c:pt>
              </c:numCache>
            </c:numRef>
          </c:val>
          <c:smooth val="1"/>
          <c:extLst>
            <c:ext xmlns:c16="http://schemas.microsoft.com/office/drawing/2014/chart" uri="{C3380CC4-5D6E-409C-BE32-E72D297353CC}">
              <c16:uniqueId val="{00000009-F9C6-4612-96D6-61217757E851}"/>
            </c:ext>
          </c:extLst>
        </c:ser>
        <c:dLbls>
          <c:showLegendKey val="0"/>
          <c:showVal val="0"/>
          <c:showCatName val="0"/>
          <c:showSerName val="0"/>
          <c:showPercent val="0"/>
          <c:showBubbleSize val="0"/>
        </c:dLbls>
        <c:marker val="1"/>
        <c:smooth val="0"/>
        <c:axId val="1879175848"/>
        <c:axId val="1879174768"/>
      </c:lineChart>
      <c:catAx>
        <c:axId val="79876849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98764536"/>
        <c:crosses val="autoZero"/>
        <c:auto val="1"/>
        <c:lblAlgn val="ctr"/>
        <c:lblOffset val="100"/>
        <c:noMultiLvlLbl val="0"/>
      </c:catAx>
      <c:valAx>
        <c:axId val="798764536"/>
        <c:scaling>
          <c:orientation val="minMax"/>
        </c:scaling>
        <c:delete val="0"/>
        <c:axPos val="l"/>
        <c:title>
          <c:tx>
            <c:rich>
              <a:bodyPr rot="-54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r>
                  <a:rPr lang="en-US"/>
                  <a:t>Number of people screened</a:t>
                </a:r>
              </a:p>
            </c:rich>
          </c:tx>
          <c:layout>
            <c:manualLayout>
              <c:xMode val="edge"/>
              <c:yMode val="edge"/>
              <c:x val="4.8683362343311153E-3"/>
              <c:y val="0.3782149852011733"/>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98768496"/>
        <c:crosses val="autoZero"/>
        <c:crossBetween val="between"/>
      </c:valAx>
      <c:valAx>
        <c:axId val="1879174768"/>
        <c:scaling>
          <c:orientation val="minMax"/>
          <c:max val="1"/>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79175848"/>
        <c:crosses val="max"/>
        <c:crossBetween val="between"/>
      </c:valAx>
      <c:catAx>
        <c:axId val="1879175848"/>
        <c:scaling>
          <c:orientation val="minMax"/>
        </c:scaling>
        <c:delete val="1"/>
        <c:axPos val="b"/>
        <c:numFmt formatCode="General" sourceLinked="1"/>
        <c:majorTickMark val="out"/>
        <c:minorTickMark val="none"/>
        <c:tickLblPos val="nextTo"/>
        <c:crossAx val="1879174768"/>
        <c:crosses val="autoZero"/>
        <c:auto val="1"/>
        <c:lblAlgn val="ctr"/>
        <c:lblOffset val="100"/>
        <c:noMultiLvlLbl val="0"/>
      </c:catAx>
      <c:spPr>
        <a:noFill/>
        <a:ln>
          <a:noFill/>
        </a:ln>
        <a:effectLst/>
      </c:spPr>
    </c:plotArea>
    <c:legend>
      <c:legendPos val="r"/>
      <c:layout>
        <c:manualLayout>
          <c:xMode val="edge"/>
          <c:yMode val="edge"/>
          <c:x val="0"/>
          <c:y val="0.93566565671690716"/>
          <c:w val="0.99963796351700751"/>
          <c:h val="4.5505888298667065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[AHD_Reporting_Form.xlsx]Summary_0-4yrs!PivotTable7</c:name>
    <c:fmtId val="15"/>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GB" b="1">
                <a:solidFill>
                  <a:sysClr val="windowText" lastClr="000000"/>
                </a:solidFill>
              </a:rPr>
              <a:t>AHD_Yield in peadiatrics</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ln w="19050" cap="rnd">
            <a:solidFill>
              <a:srgbClr val="EAAEC9"/>
            </a:solidFill>
            <a:round/>
          </a:ln>
          <a:effectLst/>
        </c:spPr>
        <c:marker>
          <c:symbol val="circle"/>
          <c:size val="5"/>
          <c:spPr>
            <a:solidFill>
              <a:srgbClr val="EAAEC9"/>
            </a:solidFill>
            <a:ln w="9525">
              <a:no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19050" cap="rnd">
            <a:solidFill>
              <a:srgbClr val="9A808B"/>
            </a:solidFill>
            <a:round/>
          </a:ln>
          <a:effectLst/>
        </c:spPr>
        <c:marker>
          <c:symbol val="circle"/>
          <c:size val="5"/>
          <c:spPr>
            <a:solidFill>
              <a:srgbClr val="9A808B"/>
            </a:solidFill>
            <a:ln w="9525">
              <a:no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64005817838171E-2"/>
          <c:y val="8.2460441274793836E-2"/>
          <c:w val="0.86304945554848611"/>
          <c:h val="0.76235013637714688"/>
        </c:manualLayout>
      </c:layout>
      <c:lineChart>
        <c:grouping val="standard"/>
        <c:varyColors val="0"/>
        <c:ser>
          <c:idx val="0"/>
          <c:order val="0"/>
          <c:tx>
            <c:strRef>
              <c:f>'Summary_0-4yrs'!$L$3</c:f>
              <c:strCache>
                <c:ptCount val="1"/>
                <c:pt idx="0">
                  <c:v>LAM_pos%</c:v>
                </c:pt>
              </c:strCache>
            </c:strRef>
          </c:tx>
          <c:spPr>
            <a:ln w="19050" cap="rnd">
              <a:solidFill>
                <a:srgbClr val="EAAEC9"/>
              </a:solidFill>
              <a:round/>
            </a:ln>
            <a:effectLst/>
          </c:spPr>
          <c:marker>
            <c:symbol val="circle"/>
            <c:size val="5"/>
            <c:spPr>
              <a:solidFill>
                <a:srgbClr val="EAAEC9"/>
              </a:solidFill>
              <a:ln w="9525">
                <a:noFill/>
              </a:ln>
              <a:effectLst/>
            </c:spPr>
          </c:marker>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'Summary_0-4yrs'!$K$4:$K$16</c:f>
              <c:multiLvlStrCache>
                <c:ptCount val="8"/>
                <c:lvl>
                  <c:pt idx="0">
                    <c:v>Qtr_4</c:v>
                  </c:pt>
                  <c:pt idx="1">
                    <c:v>Qtr_1</c:v>
                  </c:pt>
                  <c:pt idx="2">
                    <c:v>Qtr_2</c:v>
                  </c:pt>
                  <c:pt idx="3">
                    <c:v>Qtr_3</c:v>
                  </c:pt>
                  <c:pt idx="4">
                    <c:v>Qtr_4</c:v>
                  </c:pt>
                  <c:pt idx="5">
                    <c:v>Qtr_1</c:v>
                  </c:pt>
                  <c:pt idx="6">
                    <c:v>Qtr_2</c:v>
                  </c:pt>
                  <c:pt idx="7">
                    <c:v>(blank)</c:v>
                  </c:pt>
                </c:lvl>
                <c:lvl>
                  <c:pt idx="0">
                    <c:v>COP_22</c:v>
                  </c:pt>
                  <c:pt idx="1">
                    <c:v>COP_23</c:v>
                  </c:pt>
                  <c:pt idx="5">
                    <c:v>COP_24</c:v>
                  </c:pt>
                  <c:pt idx="7">
                    <c:v>(blank)</c:v>
                  </c:pt>
                </c:lvl>
              </c:multiLvlStrCache>
            </c:multiLvlStrRef>
          </c:cat>
          <c:val>
            <c:numRef>
              <c:f>'Summary_0-4yrs'!$L$4:$L$16</c:f>
              <c:numCache>
                <c:formatCode>0%</c:formatCode>
                <c:ptCount val="8"/>
                <c:pt idx="0">
                  <c:v>0</c:v>
                </c:pt>
                <c:pt idx="1">
                  <c:v>0.21052631578947367</c:v>
                </c:pt>
                <c:pt idx="2">
                  <c:v>0.12244897959183673</c:v>
                </c:pt>
                <c:pt idx="3">
                  <c:v>9.0909090909090912E-2</c:v>
                </c:pt>
                <c:pt idx="4">
                  <c:v>0</c:v>
                </c:pt>
                <c:pt idx="5">
                  <c:v>0.19230769230769232</c:v>
                </c:pt>
                <c:pt idx="6">
                  <c:v>0.15</c:v>
                </c:pt>
                <c:pt idx="7">
                  <c:v>8.3333333333333329E-2</c:v>
                </c:pt>
              </c:numCache>
            </c:numRef>
          </c:val>
          <c:smooth val="1"/>
          <c:extLst>
            <c:ext xmlns:c16="http://schemas.microsoft.com/office/drawing/2014/chart" uri="{C3380CC4-5D6E-409C-BE32-E72D297353CC}">
              <c16:uniqueId val="{00000000-8930-4D72-82C0-2664B67E906F}"/>
            </c:ext>
          </c:extLst>
        </c:ser>
        <c:ser>
          <c:idx val="1"/>
          <c:order val="1"/>
          <c:tx>
            <c:strRef>
              <c:f>'Summary_0-4yrs'!$M$3</c:f>
              <c:strCache>
                <c:ptCount val="1"/>
                <c:pt idx="0">
                  <c:v>CrAG_pos+%</c:v>
                </c:pt>
              </c:strCache>
            </c:strRef>
          </c:tx>
          <c:spPr>
            <a:ln w="19050" cap="rnd">
              <a:solidFill>
                <a:srgbClr val="9A808B"/>
              </a:solidFill>
              <a:round/>
            </a:ln>
            <a:effectLst/>
          </c:spPr>
          <c:marker>
            <c:symbol val="circle"/>
            <c:size val="5"/>
            <c:spPr>
              <a:solidFill>
                <a:srgbClr val="9A808B"/>
              </a:solidFill>
              <a:ln w="9525">
                <a:noFill/>
              </a:ln>
              <a:effectLst/>
            </c:spPr>
          </c:marker>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'Summary_0-4yrs'!$K$4:$K$16</c:f>
              <c:multiLvlStrCache>
                <c:ptCount val="8"/>
                <c:lvl>
                  <c:pt idx="0">
                    <c:v>Qtr_4</c:v>
                  </c:pt>
                  <c:pt idx="1">
                    <c:v>Qtr_1</c:v>
                  </c:pt>
                  <c:pt idx="2">
                    <c:v>Qtr_2</c:v>
                  </c:pt>
                  <c:pt idx="3">
                    <c:v>Qtr_3</c:v>
                  </c:pt>
                  <c:pt idx="4">
                    <c:v>Qtr_4</c:v>
                  </c:pt>
                  <c:pt idx="5">
                    <c:v>Qtr_1</c:v>
                  </c:pt>
                  <c:pt idx="6">
                    <c:v>Qtr_2</c:v>
                  </c:pt>
                  <c:pt idx="7">
                    <c:v>(blank)</c:v>
                  </c:pt>
                </c:lvl>
                <c:lvl>
                  <c:pt idx="0">
                    <c:v>COP_22</c:v>
                  </c:pt>
                  <c:pt idx="1">
                    <c:v>COP_23</c:v>
                  </c:pt>
                  <c:pt idx="5">
                    <c:v>COP_24</c:v>
                  </c:pt>
                  <c:pt idx="7">
                    <c:v>(blank)</c:v>
                  </c:pt>
                </c:lvl>
              </c:multiLvlStrCache>
            </c:multiLvlStrRef>
          </c:cat>
          <c:val>
            <c:numRef>
              <c:f>'Summary_0-4yrs'!$M$4:$M$16</c:f>
              <c:numCache>
                <c:formatCode>0%</c:formatCode>
                <c:ptCount val="8"/>
                <c:pt idx="0">
                  <c:v>0</c:v>
                </c:pt>
                <c:pt idx="1">
                  <c:v>0</c:v>
                </c:pt>
                <c:pt idx="2">
                  <c:v>0.02</c:v>
                </c:pt>
                <c:pt idx="3">
                  <c:v>0</c:v>
                </c:pt>
                <c:pt idx="4">
                  <c:v>0</c:v>
                </c:pt>
                <c:pt idx="5">
                  <c:v>0</c:v>
                </c:pt>
                <c:pt idx="6">
                  <c:v>0</c:v>
                </c:pt>
                <c:pt idx="7">
                  <c:v>3.7037037037037035E-2</c:v>
                </c:pt>
              </c:numCache>
            </c:numRef>
          </c:val>
          <c:smooth val="1"/>
          <c:extLst>
            <c:ext xmlns:c16="http://schemas.microsoft.com/office/drawing/2014/chart" uri="{C3380CC4-5D6E-409C-BE32-E72D297353CC}">
              <c16:uniqueId val="{00000001-8930-4D72-82C0-2664B67E906F}"/>
            </c:ext>
          </c:extLst>
        </c:ser>
        <c:dLbls>
          <c:dLblPos val="t"/>
          <c:showLegendKey val="0"/>
          <c:showVal val="1"/>
          <c:showCatName val="0"/>
          <c:showSerName val="0"/>
          <c:showPercent val="0"/>
          <c:showBubbleSize val="0"/>
        </c:dLbls>
        <c:marker val="1"/>
        <c:smooth val="0"/>
        <c:axId val="6391839"/>
        <c:axId val="6398319"/>
      </c:lineChart>
      <c:catAx>
        <c:axId val="6391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398319"/>
        <c:crosses val="autoZero"/>
        <c:auto val="1"/>
        <c:lblAlgn val="ctr"/>
        <c:lblOffset val="100"/>
        <c:noMultiLvlLbl val="0"/>
      </c:catAx>
      <c:valAx>
        <c:axId val="6398319"/>
        <c:scaling>
          <c:orientation val="minMax"/>
          <c:max val="1"/>
          <c:min val="0"/>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391839"/>
        <c:crosses val="autoZero"/>
        <c:crossBetween val="between"/>
      </c:valAx>
      <c:spPr>
        <a:noFill/>
        <a:ln>
          <a:noFill/>
        </a:ln>
        <a:effectLst/>
      </c:spPr>
    </c:plotArea>
    <c:legend>
      <c:legendPos val="r"/>
      <c:layout>
        <c:manualLayout>
          <c:xMode val="edge"/>
          <c:yMode val="edge"/>
          <c:x val="0.18702910026542047"/>
          <c:y val="0.95492507664311077"/>
          <c:w val="0.64732001678411855"/>
          <c:h val="4.4016572811393886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[AHD_Reporting_Form.xlsx]Summary_inpatient!PivotTable1</c:name>
    <c:fmtId val="6"/>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GB"/>
              <a:t>HIV</a:t>
            </a:r>
            <a:r>
              <a:rPr lang="en-GB" baseline="0"/>
              <a:t> Pos inpatients </a:t>
            </a:r>
            <a:r>
              <a:rPr lang="en-GB"/>
              <a:t>AHD screening</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F5597"/>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843C0C"/>
            </a:solidFill>
            <a:round/>
          </a:ln>
          <a:effectLst>
            <a:outerShdw blurRad="57150" dist="19050" dir="5400000" algn="ctr" rotWithShape="0">
              <a:srgbClr val="000000">
                <a:alpha val="63000"/>
              </a:srgbClr>
            </a:outerShdw>
          </a:effectLst>
        </c:spPr>
        <c:marker>
          <c:symbol val="circle"/>
          <c:size val="6"/>
          <c:spPr>
            <a:solidFill>
              <a:srgbClr val="843C0C"/>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ED7D31"/>
          </a:solidFill>
          <a:ln>
            <a:noFill/>
          </a:ln>
          <a:effectLst>
            <a:outerShdw blurRad="57150" dist="19050" dir="5400000" algn="ctr" rotWithShape="0">
              <a:srgbClr val="000000">
                <a:alpha val="63000"/>
              </a:srgbClr>
            </a:outerShdw>
          </a:effectLst>
        </c:spPr>
      </c:pivotFmt>
      <c:pivotFmt>
        <c:idx val="8"/>
        <c:spPr>
          <a:solidFill>
            <a:srgbClr val="2F5597"/>
          </a:solidFill>
          <a:ln>
            <a:noFill/>
          </a:ln>
          <a:effectLst>
            <a:outerShdw blurRad="57150" dist="19050" dir="5400000" algn="ctr" rotWithShape="0">
              <a:srgbClr val="000000">
                <a:alpha val="63000"/>
              </a:srgbClr>
            </a:outerShdw>
          </a:effectLst>
        </c:spPr>
      </c:pivotFmt>
      <c:pivotFmt>
        <c:idx val="9"/>
        <c:spPr>
          <a:solidFill>
            <a:srgbClr val="006699"/>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92957B"/>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92957B"/>
          </a:solidFill>
          <a:ln>
            <a:noFill/>
          </a:ln>
          <a:effectLst>
            <a:outerShdw blurRad="57150" dist="19050" dir="5400000" algn="ctr" rotWithShape="0">
              <a:srgbClr val="000000">
                <a:alpha val="63000"/>
              </a:srgbClr>
            </a:outerShdw>
          </a:effectLst>
        </c:spPr>
      </c:pivotFmt>
      <c:pivotFmt>
        <c:idx val="12"/>
        <c:spPr>
          <a:solidFill>
            <a:srgbClr val="406C5C"/>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CAD62A"/>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ln w="12700" cap="rnd">
            <a:solidFill>
              <a:srgbClr val="5B5D4B"/>
            </a:solidFill>
            <a:round/>
          </a:ln>
          <a:effectLst>
            <a:outerShdw blurRad="57150" dist="19050" dir="5400000" algn="ctr" rotWithShape="0">
              <a:srgbClr val="000000">
                <a:alpha val="63000"/>
              </a:srgbClr>
            </a:outerShdw>
          </a:effectLst>
        </c:spPr>
        <c:marker>
          <c:symbol val="circle"/>
          <c:size val="6"/>
          <c:spPr>
            <a:solidFill>
              <a:srgbClr val="5B5D4B"/>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826939662414179E-2"/>
          <c:y val="0.12128429598474104"/>
          <c:w val="0.85045485695686396"/>
          <c:h val="0.65044725383140545"/>
        </c:manualLayout>
      </c:layout>
      <c:barChart>
        <c:barDir val="col"/>
        <c:grouping val="clustered"/>
        <c:varyColors val="0"/>
        <c:ser>
          <c:idx val="0"/>
          <c:order val="0"/>
          <c:tx>
            <c:strRef>
              <c:f>Summary_inpatient!$E$3</c:f>
              <c:strCache>
                <c:ptCount val="1"/>
                <c:pt idx="0">
                  <c:v>Total-number-of-ROC</c:v>
                </c:pt>
              </c:strCache>
            </c:strRef>
          </c:tx>
          <c:spPr>
            <a:solidFill>
              <a:srgbClr val="006699"/>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Summary_inpatient!$D$4:$D$11</c:f>
              <c:multiLvlStrCache>
                <c:ptCount val="5"/>
                <c:lvl>
                  <c:pt idx="0">
                    <c:v>Qtr_1</c:v>
                  </c:pt>
                  <c:pt idx="1">
                    <c:v>Qtr_2</c:v>
                  </c:pt>
                  <c:pt idx="2">
                    <c:v>Qtr_3</c:v>
                  </c:pt>
                  <c:pt idx="3">
                    <c:v>Qtr_4</c:v>
                  </c:pt>
                  <c:pt idx="4">
                    <c:v>(blank)</c:v>
                  </c:pt>
                </c:lvl>
                <c:lvl>
                  <c:pt idx="0">
                    <c:v>COP_23</c:v>
                  </c:pt>
                  <c:pt idx="4">
                    <c:v>(blank)</c:v>
                  </c:pt>
                </c:lvl>
              </c:multiLvlStrCache>
            </c:multiLvlStrRef>
          </c:cat>
          <c:val>
            <c:numRef>
              <c:f>Summary_inpatient!$E$4:$E$11</c:f>
              <c:numCache>
                <c:formatCode>General</c:formatCode>
                <c:ptCount val="5"/>
                <c:pt idx="0">
                  <c:v>1137</c:v>
                </c:pt>
                <c:pt idx="1">
                  <c:v>1213</c:v>
                </c:pt>
                <c:pt idx="2">
                  <c:v>1174</c:v>
                </c:pt>
                <c:pt idx="3">
                  <c:v>1032</c:v>
                </c:pt>
                <c:pt idx="4">
                  <c:v>652</c:v>
                </c:pt>
              </c:numCache>
            </c:numRef>
          </c:val>
          <c:extLst>
            <c:ext xmlns:c16="http://schemas.microsoft.com/office/drawing/2014/chart" uri="{C3380CC4-5D6E-409C-BE32-E72D297353CC}">
              <c16:uniqueId val="{00000000-75E4-4100-BDBE-C00145318071}"/>
            </c:ext>
          </c:extLst>
        </c:ser>
        <c:ser>
          <c:idx val="1"/>
          <c:order val="1"/>
          <c:tx>
            <c:strRef>
              <c:f>Summary_inpatient!$F$3</c:f>
              <c:strCache>
                <c:ptCount val="1"/>
                <c:pt idx="0">
                  <c:v>CD4-tests</c:v>
                </c:pt>
              </c:strCache>
            </c:strRef>
          </c:tx>
          <c:spPr>
            <a:solidFill>
              <a:srgbClr val="92957B"/>
            </a:solidFill>
            <a:ln>
              <a:noFill/>
            </a:ln>
            <a:effectLst>
              <a:outerShdw blurRad="57150" dist="19050" dir="5400000" algn="ctr" rotWithShape="0">
                <a:srgbClr val="000000">
                  <a:alpha val="63000"/>
                </a:srgbClr>
              </a:outerShdw>
            </a:effectLst>
          </c:spPr>
          <c:invertIfNegative val="0"/>
          <c:dPt>
            <c:idx val="3"/>
            <c:invertIfNegative val="0"/>
            <c:bubble3D val="0"/>
            <c:extLst>
              <c:ext xmlns:c16="http://schemas.microsoft.com/office/drawing/2014/chart" uri="{C3380CC4-5D6E-409C-BE32-E72D297353CC}">
                <c16:uniqueId val="{00000002-75E4-4100-BDBE-C0014531807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Summary_inpatient!$D$4:$D$11</c:f>
              <c:multiLvlStrCache>
                <c:ptCount val="5"/>
                <c:lvl>
                  <c:pt idx="0">
                    <c:v>Qtr_1</c:v>
                  </c:pt>
                  <c:pt idx="1">
                    <c:v>Qtr_2</c:v>
                  </c:pt>
                  <c:pt idx="2">
                    <c:v>Qtr_3</c:v>
                  </c:pt>
                  <c:pt idx="3">
                    <c:v>Qtr_4</c:v>
                  </c:pt>
                  <c:pt idx="4">
                    <c:v>(blank)</c:v>
                  </c:pt>
                </c:lvl>
                <c:lvl>
                  <c:pt idx="0">
                    <c:v>COP_23</c:v>
                  </c:pt>
                  <c:pt idx="4">
                    <c:v>(blank)</c:v>
                  </c:pt>
                </c:lvl>
              </c:multiLvlStrCache>
            </c:multiLvlStrRef>
          </c:cat>
          <c:val>
            <c:numRef>
              <c:f>Summary_inpatient!$F$4:$F$11</c:f>
              <c:numCache>
                <c:formatCode>General</c:formatCode>
                <c:ptCount val="5"/>
                <c:pt idx="0">
                  <c:v>1080</c:v>
                </c:pt>
                <c:pt idx="1">
                  <c:v>1158</c:v>
                </c:pt>
                <c:pt idx="2">
                  <c:v>1139</c:v>
                </c:pt>
                <c:pt idx="3">
                  <c:v>990</c:v>
                </c:pt>
                <c:pt idx="4">
                  <c:v>605</c:v>
                </c:pt>
              </c:numCache>
            </c:numRef>
          </c:val>
          <c:extLst>
            <c:ext xmlns:c16="http://schemas.microsoft.com/office/drawing/2014/chart" uri="{C3380CC4-5D6E-409C-BE32-E72D297353CC}">
              <c16:uniqueId val="{00000003-75E4-4100-BDBE-C00145318071}"/>
            </c:ext>
          </c:extLst>
        </c:ser>
        <c:ser>
          <c:idx val="2"/>
          <c:order val="2"/>
          <c:tx>
            <c:strRef>
              <c:f>Summary_inpatient!$G$3</c:f>
              <c:strCache>
                <c:ptCount val="1"/>
                <c:pt idx="0">
                  <c:v>CrAg-tests</c:v>
                </c:pt>
              </c:strCache>
            </c:strRef>
          </c:tx>
          <c:spPr>
            <a:solidFill>
              <a:srgbClr val="406C5C"/>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Summary_inpatient!$D$4:$D$11</c:f>
              <c:multiLvlStrCache>
                <c:ptCount val="5"/>
                <c:lvl>
                  <c:pt idx="0">
                    <c:v>Qtr_1</c:v>
                  </c:pt>
                  <c:pt idx="1">
                    <c:v>Qtr_2</c:v>
                  </c:pt>
                  <c:pt idx="2">
                    <c:v>Qtr_3</c:v>
                  </c:pt>
                  <c:pt idx="3">
                    <c:v>Qtr_4</c:v>
                  </c:pt>
                  <c:pt idx="4">
                    <c:v>(blank)</c:v>
                  </c:pt>
                </c:lvl>
                <c:lvl>
                  <c:pt idx="0">
                    <c:v>COP_23</c:v>
                  </c:pt>
                  <c:pt idx="4">
                    <c:v>(blank)</c:v>
                  </c:pt>
                </c:lvl>
              </c:multiLvlStrCache>
            </c:multiLvlStrRef>
          </c:cat>
          <c:val>
            <c:numRef>
              <c:f>Summary_inpatient!$G$4:$G$11</c:f>
              <c:numCache>
                <c:formatCode>General</c:formatCode>
                <c:ptCount val="5"/>
                <c:pt idx="0">
                  <c:v>555</c:v>
                </c:pt>
                <c:pt idx="1">
                  <c:v>610</c:v>
                </c:pt>
                <c:pt idx="2">
                  <c:v>425</c:v>
                </c:pt>
                <c:pt idx="3">
                  <c:v>479</c:v>
                </c:pt>
                <c:pt idx="4">
                  <c:v>232</c:v>
                </c:pt>
              </c:numCache>
            </c:numRef>
          </c:val>
          <c:extLst>
            <c:ext xmlns:c16="http://schemas.microsoft.com/office/drawing/2014/chart" uri="{C3380CC4-5D6E-409C-BE32-E72D297353CC}">
              <c16:uniqueId val="{00000004-75E4-4100-BDBE-C00145318071}"/>
            </c:ext>
          </c:extLst>
        </c:ser>
        <c:ser>
          <c:idx val="3"/>
          <c:order val="3"/>
          <c:tx>
            <c:strRef>
              <c:f>Summary_inpatient!$H$3</c:f>
              <c:strCache>
                <c:ptCount val="1"/>
                <c:pt idx="0">
                  <c:v>LAM-tests</c:v>
                </c:pt>
              </c:strCache>
            </c:strRef>
          </c:tx>
          <c:spPr>
            <a:solidFill>
              <a:srgbClr val="CAD62A"/>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Summary_inpatient!$D$4:$D$11</c:f>
              <c:multiLvlStrCache>
                <c:ptCount val="5"/>
                <c:lvl>
                  <c:pt idx="0">
                    <c:v>Qtr_1</c:v>
                  </c:pt>
                  <c:pt idx="1">
                    <c:v>Qtr_2</c:v>
                  </c:pt>
                  <c:pt idx="2">
                    <c:v>Qtr_3</c:v>
                  </c:pt>
                  <c:pt idx="3">
                    <c:v>Qtr_4</c:v>
                  </c:pt>
                  <c:pt idx="4">
                    <c:v>(blank)</c:v>
                  </c:pt>
                </c:lvl>
                <c:lvl>
                  <c:pt idx="0">
                    <c:v>COP_23</c:v>
                  </c:pt>
                  <c:pt idx="4">
                    <c:v>(blank)</c:v>
                  </c:pt>
                </c:lvl>
              </c:multiLvlStrCache>
            </c:multiLvlStrRef>
          </c:cat>
          <c:val>
            <c:numRef>
              <c:f>Summary_inpatient!$H$4:$H$11</c:f>
              <c:numCache>
                <c:formatCode>General</c:formatCode>
                <c:ptCount val="5"/>
                <c:pt idx="0">
                  <c:v>507</c:v>
                </c:pt>
                <c:pt idx="1">
                  <c:v>529</c:v>
                </c:pt>
                <c:pt idx="2">
                  <c:v>96</c:v>
                </c:pt>
                <c:pt idx="3">
                  <c:v>163</c:v>
                </c:pt>
                <c:pt idx="4">
                  <c:v>188</c:v>
                </c:pt>
              </c:numCache>
            </c:numRef>
          </c:val>
          <c:extLst>
            <c:ext xmlns:c16="http://schemas.microsoft.com/office/drawing/2014/chart" uri="{C3380CC4-5D6E-409C-BE32-E72D297353CC}">
              <c16:uniqueId val="{00000005-75E4-4100-BDBE-C00145318071}"/>
            </c:ext>
          </c:extLst>
        </c:ser>
        <c:dLbls>
          <c:dLblPos val="outEnd"/>
          <c:showLegendKey val="0"/>
          <c:showVal val="1"/>
          <c:showCatName val="0"/>
          <c:showSerName val="0"/>
          <c:showPercent val="0"/>
          <c:showBubbleSize val="0"/>
        </c:dLbls>
        <c:gapWidth val="100"/>
        <c:overlap val="-24"/>
        <c:axId val="798768496"/>
        <c:axId val="798764536"/>
      </c:barChart>
      <c:lineChart>
        <c:grouping val="standard"/>
        <c:varyColors val="0"/>
        <c:ser>
          <c:idx val="4"/>
          <c:order val="4"/>
          <c:tx>
            <c:strRef>
              <c:f>Summary_inpatient!$I$3</c:f>
              <c:strCache>
                <c:ptCount val="1"/>
                <c:pt idx="0">
                  <c:v>CD4_cov%</c:v>
                </c:pt>
              </c:strCache>
            </c:strRef>
          </c:tx>
          <c:spPr>
            <a:ln w="12700" cap="rnd">
              <a:solidFill>
                <a:srgbClr val="5B5D4B"/>
              </a:solidFill>
              <a:round/>
            </a:ln>
            <a:effectLst>
              <a:outerShdw blurRad="57150" dist="19050" dir="5400000" algn="ctr" rotWithShape="0">
                <a:srgbClr val="000000">
                  <a:alpha val="63000"/>
                </a:srgbClr>
              </a:outerShdw>
            </a:effectLst>
          </c:spPr>
          <c:marker>
            <c:symbol val="circle"/>
            <c:size val="6"/>
            <c:spPr>
              <a:solidFill>
                <a:srgbClr val="5B5D4B"/>
              </a:solidFill>
              <a:ln w="9525">
                <a:no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Summary_inpatient!$D$4:$D$11</c:f>
              <c:multiLvlStrCache>
                <c:ptCount val="5"/>
                <c:lvl>
                  <c:pt idx="0">
                    <c:v>Qtr_1</c:v>
                  </c:pt>
                  <c:pt idx="1">
                    <c:v>Qtr_2</c:v>
                  </c:pt>
                  <c:pt idx="2">
                    <c:v>Qtr_3</c:v>
                  </c:pt>
                  <c:pt idx="3">
                    <c:v>Qtr_4</c:v>
                  </c:pt>
                  <c:pt idx="4">
                    <c:v>(blank)</c:v>
                  </c:pt>
                </c:lvl>
                <c:lvl>
                  <c:pt idx="0">
                    <c:v>COP_23</c:v>
                  </c:pt>
                  <c:pt idx="4">
                    <c:v>(blank)</c:v>
                  </c:pt>
                </c:lvl>
              </c:multiLvlStrCache>
            </c:multiLvlStrRef>
          </c:cat>
          <c:val>
            <c:numRef>
              <c:f>Summary_inpatient!$I$4:$I$11</c:f>
              <c:numCache>
                <c:formatCode>0%</c:formatCode>
                <c:ptCount val="5"/>
                <c:pt idx="0">
                  <c:v>0.94986807387862793</c:v>
                </c:pt>
                <c:pt idx="1">
                  <c:v>0.95465787304204452</c:v>
                </c:pt>
                <c:pt idx="2">
                  <c:v>0.97018739352640548</c:v>
                </c:pt>
                <c:pt idx="3">
                  <c:v>0.95930232558139539</c:v>
                </c:pt>
                <c:pt idx="4">
                  <c:v>0.92791411042944782</c:v>
                </c:pt>
              </c:numCache>
            </c:numRef>
          </c:val>
          <c:smooth val="1"/>
          <c:extLst>
            <c:ext xmlns:c16="http://schemas.microsoft.com/office/drawing/2014/chart" uri="{C3380CC4-5D6E-409C-BE32-E72D297353CC}">
              <c16:uniqueId val="{00000006-75E4-4100-BDBE-C00145318071}"/>
            </c:ext>
          </c:extLst>
        </c:ser>
        <c:dLbls>
          <c:showLegendKey val="0"/>
          <c:showVal val="0"/>
          <c:showCatName val="0"/>
          <c:showSerName val="0"/>
          <c:showPercent val="0"/>
          <c:showBubbleSize val="0"/>
        </c:dLbls>
        <c:marker val="1"/>
        <c:smooth val="0"/>
        <c:axId val="937846744"/>
        <c:axId val="937845664"/>
      </c:lineChart>
      <c:catAx>
        <c:axId val="79876849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98764536"/>
        <c:crosses val="autoZero"/>
        <c:auto val="1"/>
        <c:lblAlgn val="ctr"/>
        <c:lblOffset val="100"/>
        <c:noMultiLvlLbl val="0"/>
      </c:catAx>
      <c:valAx>
        <c:axId val="798764536"/>
        <c:scaling>
          <c:orientation val="minMax"/>
        </c:scaling>
        <c:delete val="0"/>
        <c:axPos val="l"/>
        <c:title>
          <c:tx>
            <c:rich>
              <a:bodyPr rot="-54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r>
                  <a:rPr lang="en-US"/>
                  <a:t>Number of people screened</a:t>
                </a:r>
              </a:p>
            </c:rich>
          </c:tx>
          <c:layout>
            <c:manualLayout>
              <c:xMode val="edge"/>
              <c:yMode val="edge"/>
              <c:x val="4.8683362343311153E-3"/>
              <c:y val="0.3782149852011733"/>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98768496"/>
        <c:crosses val="autoZero"/>
        <c:crossBetween val="between"/>
      </c:valAx>
      <c:valAx>
        <c:axId val="937845664"/>
        <c:scaling>
          <c:orientation val="minMax"/>
          <c:max val="1"/>
          <c:min val="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937846744"/>
        <c:crosses val="max"/>
        <c:crossBetween val="between"/>
      </c:valAx>
      <c:catAx>
        <c:axId val="937846744"/>
        <c:scaling>
          <c:orientation val="minMax"/>
        </c:scaling>
        <c:delete val="1"/>
        <c:axPos val="b"/>
        <c:numFmt formatCode="General" sourceLinked="1"/>
        <c:majorTickMark val="out"/>
        <c:minorTickMark val="none"/>
        <c:tickLblPos val="nextTo"/>
        <c:crossAx val="937845664"/>
        <c:crosses val="autoZero"/>
        <c:auto val="1"/>
        <c:lblAlgn val="ctr"/>
        <c:lblOffset val="100"/>
        <c:noMultiLvlLbl val="0"/>
      </c:catAx>
      <c:spPr>
        <a:noFill/>
        <a:ln>
          <a:noFill/>
        </a:ln>
        <a:effectLst/>
      </c:spPr>
    </c:plotArea>
    <c:legend>
      <c:legendPos val="r"/>
      <c:layout>
        <c:manualLayout>
          <c:xMode val="edge"/>
          <c:yMode val="edge"/>
          <c:x val="0"/>
          <c:y val="0.92311330182439622"/>
          <c:w val="0.98034267833241551"/>
          <c:h val="7.6524425863076118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[AHD_Reporting_Form.xlsx]Summary_inpatient!PivotTable10</c:name>
    <c:fmtId val="8"/>
  </c:pivotSource>
  <c:chart>
    <c:title>
      <c:tx>
        <c:rich>
          <a:bodyPr rot="0" spcFirstLastPara="1" vertOverflow="ellipsis" vert="horz" wrap="square" anchor="ctr" anchorCtr="1"/>
          <a:lstStyle/>
          <a:p>
            <a:pPr algn="ctr" rtl="0">
              <a:defRPr sz="1600" b="1" i="0" u="none" strike="noStrike" kern="1200" baseline="0">
                <a:solidFill>
                  <a:sysClr val="windowText" lastClr="000000"/>
                </a:solidFill>
                <a:latin typeface="+mn-lt"/>
                <a:ea typeface="+mn-ea"/>
                <a:cs typeface="+mn-cs"/>
              </a:defRPr>
            </a:pPr>
            <a:r>
              <a:rPr lang="en-GB"/>
              <a:t>AHD Yield among inpatients</a:t>
            </a:r>
          </a:p>
        </c:rich>
      </c:tx>
      <c:overlay val="0"/>
      <c:spPr>
        <a:noFill/>
        <a:ln>
          <a:noFill/>
        </a:ln>
        <a:effectLst/>
      </c:spPr>
      <c:txPr>
        <a:bodyPr rot="0" spcFirstLastPara="1" vertOverflow="ellipsis" vert="horz" wrap="square" anchor="ctr" anchorCtr="1"/>
        <a:lstStyle/>
        <a:p>
          <a:pPr algn="ctr" rtl="0">
            <a:defRPr sz="1600" b="1" i="0" u="none" strike="noStrike" kern="1200" baseline="0">
              <a:solidFill>
                <a:sysClr val="windowText" lastClr="000000"/>
              </a:solidFill>
              <a:latin typeface="+mn-lt"/>
              <a:ea typeface="+mn-ea"/>
              <a:cs typeface="+mn-cs"/>
            </a:defRPr>
          </a:pPr>
          <a:endParaRPr lang="en-US"/>
        </a:p>
      </c:txPr>
    </c:title>
    <c:autoTitleDeleted val="0"/>
    <c:pivotFmts>
      <c:pivotFmt>
        <c:idx val="0"/>
        <c:spPr>
          <a:ln w="19050" cap="rnd">
            <a:solidFill>
              <a:srgbClr val="92957B"/>
            </a:solidFill>
            <a:round/>
          </a:ln>
          <a:effectLst>
            <a:outerShdw blurRad="57150" dist="19050" dir="5400000" algn="ctr" rotWithShape="0">
              <a:srgbClr val="000000">
                <a:alpha val="63000"/>
              </a:srgbClr>
            </a:outerShdw>
          </a:effectLst>
        </c:spPr>
        <c:marker>
          <c:symbol val="circle"/>
          <c:size val="6"/>
          <c:spPr>
            <a:solidFill>
              <a:srgbClr val="92957B"/>
            </a:solidFill>
            <a:ln w="9525">
              <a:solidFill>
                <a:srgbClr val="92957B"/>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19050" cap="rnd">
            <a:solidFill>
              <a:srgbClr val="CAD62A"/>
            </a:solidFill>
            <a:round/>
          </a:ln>
          <a:effectLst>
            <a:outerShdw blurRad="57150" dist="19050" dir="5400000" algn="ctr" rotWithShape="0">
              <a:srgbClr val="000000">
                <a:alpha val="63000"/>
              </a:srgbClr>
            </a:outerShdw>
          </a:effectLst>
        </c:spPr>
        <c:marker>
          <c:symbol val="circle"/>
          <c:size val="6"/>
          <c:spPr>
            <a:solidFill>
              <a:srgbClr val="CAD62A"/>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19050" cap="rnd">
            <a:solidFill>
              <a:srgbClr val="6CAEA5"/>
            </a:solidFill>
            <a:round/>
          </a:ln>
          <a:effectLst>
            <a:outerShdw blurRad="57150" dist="19050" dir="5400000" algn="ctr" rotWithShape="0">
              <a:srgbClr val="000000">
                <a:alpha val="63000"/>
              </a:srgbClr>
            </a:outerShdw>
          </a:effectLst>
        </c:spPr>
        <c:marker>
          <c:symbol val="circle"/>
          <c:size val="6"/>
          <c:spPr>
            <a:solidFill>
              <a:srgbClr val="6CAEA5"/>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209589637174276E-2"/>
          <c:y val="8.0626094245869709E-2"/>
          <c:w val="0.88061549558213625"/>
          <c:h val="0.77236669908312428"/>
        </c:manualLayout>
      </c:layout>
      <c:lineChart>
        <c:grouping val="standard"/>
        <c:varyColors val="0"/>
        <c:ser>
          <c:idx val="0"/>
          <c:order val="0"/>
          <c:tx>
            <c:strRef>
              <c:f>Summary_inpatient!$M$3</c:f>
              <c:strCache>
                <c:ptCount val="1"/>
                <c:pt idx="0">
                  <c:v>CD4-yield</c:v>
                </c:pt>
              </c:strCache>
            </c:strRef>
          </c:tx>
          <c:spPr>
            <a:ln w="19050" cap="rnd">
              <a:solidFill>
                <a:srgbClr val="92957B"/>
              </a:solidFill>
              <a:round/>
            </a:ln>
            <a:effectLst>
              <a:outerShdw blurRad="57150" dist="19050" dir="5400000" algn="ctr" rotWithShape="0">
                <a:srgbClr val="000000">
                  <a:alpha val="63000"/>
                </a:srgbClr>
              </a:outerShdw>
            </a:effectLst>
          </c:spPr>
          <c:marker>
            <c:symbol val="circle"/>
            <c:size val="6"/>
            <c:spPr>
              <a:solidFill>
                <a:srgbClr val="92957B"/>
              </a:solidFill>
              <a:ln w="9525">
                <a:solidFill>
                  <a:srgbClr val="92957B"/>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Summary_inpatient!$L$4:$L$11</c:f>
              <c:multiLvlStrCache>
                <c:ptCount val="5"/>
                <c:lvl>
                  <c:pt idx="0">
                    <c:v>Qtr_1</c:v>
                  </c:pt>
                  <c:pt idx="1">
                    <c:v>Qtr_2</c:v>
                  </c:pt>
                  <c:pt idx="2">
                    <c:v>Qtr_3</c:v>
                  </c:pt>
                  <c:pt idx="3">
                    <c:v>Qtr_4</c:v>
                  </c:pt>
                  <c:pt idx="4">
                    <c:v>(blank)</c:v>
                  </c:pt>
                </c:lvl>
                <c:lvl>
                  <c:pt idx="0">
                    <c:v>COP_23</c:v>
                  </c:pt>
                  <c:pt idx="4">
                    <c:v>(blank)</c:v>
                  </c:pt>
                </c:lvl>
              </c:multiLvlStrCache>
            </c:multiLvlStrRef>
          </c:cat>
          <c:val>
            <c:numRef>
              <c:f>Summary_inpatient!$M$4:$M$11</c:f>
              <c:numCache>
                <c:formatCode>0%</c:formatCode>
                <c:ptCount val="5"/>
                <c:pt idx="0">
                  <c:v>0.39351851851851855</c:v>
                </c:pt>
                <c:pt idx="1">
                  <c:v>0.40414507772020725</c:v>
                </c:pt>
                <c:pt idx="2">
                  <c:v>0.42844600526777876</c:v>
                </c:pt>
                <c:pt idx="3">
                  <c:v>0.38585858585858585</c:v>
                </c:pt>
                <c:pt idx="4">
                  <c:v>0.41818181818181815</c:v>
                </c:pt>
              </c:numCache>
            </c:numRef>
          </c:val>
          <c:smooth val="1"/>
          <c:extLst>
            <c:ext xmlns:c16="http://schemas.microsoft.com/office/drawing/2014/chart" uri="{C3380CC4-5D6E-409C-BE32-E72D297353CC}">
              <c16:uniqueId val="{00000000-3474-415D-8A4B-0BA9F42E4DA5}"/>
            </c:ext>
          </c:extLst>
        </c:ser>
        <c:ser>
          <c:idx val="1"/>
          <c:order val="1"/>
          <c:tx>
            <c:strRef>
              <c:f>Summary_inpatient!$N$3</c:f>
              <c:strCache>
                <c:ptCount val="1"/>
                <c:pt idx="0">
                  <c:v>LAM_pos%</c:v>
                </c:pt>
              </c:strCache>
            </c:strRef>
          </c:tx>
          <c:spPr>
            <a:ln w="19050" cap="rnd">
              <a:solidFill>
                <a:srgbClr val="CAD62A"/>
              </a:solidFill>
              <a:round/>
            </a:ln>
            <a:effectLst>
              <a:outerShdw blurRad="57150" dist="19050" dir="5400000" algn="ctr" rotWithShape="0">
                <a:srgbClr val="000000">
                  <a:alpha val="63000"/>
                </a:srgbClr>
              </a:outerShdw>
            </a:effectLst>
          </c:spPr>
          <c:marker>
            <c:symbol val="circle"/>
            <c:size val="6"/>
            <c:spPr>
              <a:solidFill>
                <a:srgbClr val="CAD62A"/>
              </a:solidFill>
              <a:ln w="9525">
                <a:no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Summary_inpatient!$L$4:$L$11</c:f>
              <c:multiLvlStrCache>
                <c:ptCount val="5"/>
                <c:lvl>
                  <c:pt idx="0">
                    <c:v>Qtr_1</c:v>
                  </c:pt>
                  <c:pt idx="1">
                    <c:v>Qtr_2</c:v>
                  </c:pt>
                  <c:pt idx="2">
                    <c:v>Qtr_3</c:v>
                  </c:pt>
                  <c:pt idx="3">
                    <c:v>Qtr_4</c:v>
                  </c:pt>
                  <c:pt idx="4">
                    <c:v>(blank)</c:v>
                  </c:pt>
                </c:lvl>
                <c:lvl>
                  <c:pt idx="0">
                    <c:v>COP_23</c:v>
                  </c:pt>
                  <c:pt idx="4">
                    <c:v>(blank)</c:v>
                  </c:pt>
                </c:lvl>
              </c:multiLvlStrCache>
            </c:multiLvlStrRef>
          </c:cat>
          <c:val>
            <c:numRef>
              <c:f>Summary_inpatient!$N$4:$N$11</c:f>
              <c:numCache>
                <c:formatCode>0%</c:formatCode>
                <c:ptCount val="5"/>
                <c:pt idx="0">
                  <c:v>0.1854043392504931</c:v>
                </c:pt>
                <c:pt idx="1">
                  <c:v>0.17013232514177692</c:v>
                </c:pt>
                <c:pt idx="2">
                  <c:v>0.13541666666666666</c:v>
                </c:pt>
                <c:pt idx="3">
                  <c:v>0.17177914110429449</c:v>
                </c:pt>
                <c:pt idx="4">
                  <c:v>0.16489361702127658</c:v>
                </c:pt>
              </c:numCache>
            </c:numRef>
          </c:val>
          <c:smooth val="1"/>
          <c:extLst>
            <c:ext xmlns:c16="http://schemas.microsoft.com/office/drawing/2014/chart" uri="{C3380CC4-5D6E-409C-BE32-E72D297353CC}">
              <c16:uniqueId val="{00000001-3474-415D-8A4B-0BA9F42E4DA5}"/>
            </c:ext>
          </c:extLst>
        </c:ser>
        <c:ser>
          <c:idx val="2"/>
          <c:order val="2"/>
          <c:tx>
            <c:strRef>
              <c:f>Summary_inpatient!$O$3</c:f>
              <c:strCache>
                <c:ptCount val="1"/>
                <c:pt idx="0">
                  <c:v>CrAG_pos%</c:v>
                </c:pt>
              </c:strCache>
            </c:strRef>
          </c:tx>
          <c:spPr>
            <a:ln w="19050" cap="rnd">
              <a:solidFill>
                <a:srgbClr val="6CAEA5"/>
              </a:solidFill>
              <a:round/>
            </a:ln>
            <a:effectLst>
              <a:outerShdw blurRad="57150" dist="19050" dir="5400000" algn="ctr" rotWithShape="0">
                <a:srgbClr val="000000">
                  <a:alpha val="63000"/>
                </a:srgbClr>
              </a:outerShdw>
            </a:effectLst>
          </c:spPr>
          <c:marker>
            <c:symbol val="circle"/>
            <c:size val="6"/>
            <c:spPr>
              <a:solidFill>
                <a:srgbClr val="6CAEA5"/>
              </a:solidFill>
              <a:ln w="9525">
                <a:no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Summary_inpatient!$L$4:$L$11</c:f>
              <c:multiLvlStrCache>
                <c:ptCount val="5"/>
                <c:lvl>
                  <c:pt idx="0">
                    <c:v>Qtr_1</c:v>
                  </c:pt>
                  <c:pt idx="1">
                    <c:v>Qtr_2</c:v>
                  </c:pt>
                  <c:pt idx="2">
                    <c:v>Qtr_3</c:v>
                  </c:pt>
                  <c:pt idx="3">
                    <c:v>Qtr_4</c:v>
                  </c:pt>
                  <c:pt idx="4">
                    <c:v>(blank)</c:v>
                  </c:pt>
                </c:lvl>
                <c:lvl>
                  <c:pt idx="0">
                    <c:v>COP_23</c:v>
                  </c:pt>
                  <c:pt idx="4">
                    <c:v>(blank)</c:v>
                  </c:pt>
                </c:lvl>
              </c:multiLvlStrCache>
            </c:multiLvlStrRef>
          </c:cat>
          <c:val>
            <c:numRef>
              <c:f>Summary_inpatient!$O$4:$O$11</c:f>
              <c:numCache>
                <c:formatCode>0%</c:formatCode>
                <c:ptCount val="5"/>
                <c:pt idx="0">
                  <c:v>3.783783783783784E-2</c:v>
                </c:pt>
                <c:pt idx="1">
                  <c:v>5.5737704918032788E-2</c:v>
                </c:pt>
                <c:pt idx="2">
                  <c:v>7.5294117647058817E-2</c:v>
                </c:pt>
                <c:pt idx="3">
                  <c:v>5.2192066805845511E-2</c:v>
                </c:pt>
                <c:pt idx="4">
                  <c:v>4.3103448275862072E-2</c:v>
                </c:pt>
              </c:numCache>
            </c:numRef>
          </c:val>
          <c:smooth val="0"/>
          <c:extLst>
            <c:ext xmlns:c16="http://schemas.microsoft.com/office/drawing/2014/chart" uri="{C3380CC4-5D6E-409C-BE32-E72D297353CC}">
              <c16:uniqueId val="{00000002-3474-415D-8A4B-0BA9F42E4DA5}"/>
            </c:ext>
          </c:extLst>
        </c:ser>
        <c:dLbls>
          <c:showLegendKey val="0"/>
          <c:showVal val="1"/>
          <c:showCatName val="0"/>
          <c:showSerName val="0"/>
          <c:showPercent val="0"/>
          <c:showBubbleSize val="0"/>
        </c:dLbls>
        <c:marker val="1"/>
        <c:smooth val="0"/>
        <c:axId val="1224018080"/>
        <c:axId val="1224017000"/>
      </c:lineChart>
      <c:catAx>
        <c:axId val="122401808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24017000"/>
        <c:crosses val="autoZero"/>
        <c:auto val="1"/>
        <c:lblAlgn val="ctr"/>
        <c:lblOffset val="100"/>
        <c:noMultiLvlLbl val="0"/>
      </c:catAx>
      <c:valAx>
        <c:axId val="1224017000"/>
        <c:scaling>
          <c:orientation val="minMax"/>
        </c:scaling>
        <c:delete val="0"/>
        <c:axPos val="l"/>
        <c:title>
          <c:overlay val="0"/>
          <c:spPr>
            <a:noFill/>
            <a:ln>
              <a:noFill/>
            </a:ln>
            <a:effectLst/>
          </c:spPr>
          <c:txPr>
            <a:bodyPr rot="-54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24018080"/>
        <c:crosses val="autoZero"/>
        <c:crossBetween val="between"/>
      </c:valAx>
      <c:spPr>
        <a:noFill/>
        <a:ln>
          <a:noFill/>
        </a:ln>
        <a:effectLst/>
      </c:spPr>
    </c:plotArea>
    <c:legend>
      <c:legendPos val="r"/>
      <c:layout>
        <c:manualLayout>
          <c:xMode val="edge"/>
          <c:yMode val="edge"/>
          <c:x val="4.7834986414296218E-2"/>
          <c:y val="0.95008188384051628"/>
          <c:w val="0.84018336639217805"/>
          <c:h val="4.8025988762148794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[AHD_Reporting_Form.xlsx]Summary_RTT!PivotTable1</c:name>
    <c:fmtId val="8"/>
  </c:pivotSource>
  <c:chart>
    <c:title>
      <c:tx>
        <c:rich>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r>
              <a:rPr lang="en-GB" sz="1200" b="1" i="0" u="none" strike="noStrike" kern="1200" baseline="0">
                <a:solidFill>
                  <a:sysClr val="windowText" lastClr="000000"/>
                </a:solidFill>
              </a:rPr>
              <a:t>AHD screening of ROC r</a:t>
            </a:r>
            <a:r>
              <a:rPr lang="en-GB" sz="1200"/>
              <a:t>eturned</a:t>
            </a:r>
            <a:r>
              <a:rPr lang="en-GB" sz="1200" baseline="0"/>
              <a:t> from treatment interruption</a:t>
            </a:r>
            <a:r>
              <a:rPr lang="en-GB" sz="1200"/>
              <a:t> </a:t>
            </a:r>
          </a:p>
        </c:rich>
      </c:tx>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F5597"/>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843C0C"/>
            </a:solidFill>
            <a:round/>
          </a:ln>
          <a:effectLst>
            <a:outerShdw blurRad="57150" dist="19050" dir="5400000" algn="ctr" rotWithShape="0">
              <a:srgbClr val="000000">
                <a:alpha val="63000"/>
              </a:srgbClr>
            </a:outerShdw>
          </a:effectLst>
        </c:spPr>
        <c:marker>
          <c:symbol val="circle"/>
          <c:size val="6"/>
          <c:spPr>
            <a:solidFill>
              <a:srgbClr val="843C0C"/>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ED7D31"/>
          </a:solidFill>
          <a:ln>
            <a:noFill/>
          </a:ln>
          <a:effectLst>
            <a:outerShdw blurRad="57150" dist="19050" dir="5400000" algn="ctr" rotWithShape="0">
              <a:srgbClr val="000000">
                <a:alpha val="63000"/>
              </a:srgbClr>
            </a:outerShdw>
          </a:effectLst>
        </c:spPr>
      </c:pivotFmt>
      <c:pivotFmt>
        <c:idx val="8"/>
        <c:spPr>
          <a:solidFill>
            <a:srgbClr val="2F5597"/>
          </a:solidFill>
          <a:ln>
            <a:noFill/>
          </a:ln>
          <a:effectLst>
            <a:outerShdw blurRad="57150" dist="19050" dir="5400000" algn="ctr" rotWithShape="0">
              <a:srgbClr val="000000">
                <a:alpha val="63000"/>
              </a:srgbClr>
            </a:outerShdw>
          </a:effectLst>
        </c:spPr>
      </c:pivotFmt>
      <c:pivotFmt>
        <c:idx val="9"/>
        <c:spPr>
          <a:solidFill>
            <a:srgbClr val="006699"/>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92957B"/>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92957B"/>
          </a:solidFill>
          <a:ln>
            <a:noFill/>
          </a:ln>
          <a:effectLst>
            <a:outerShdw blurRad="57150" dist="19050" dir="5400000" algn="ctr" rotWithShape="0">
              <a:srgbClr val="000000">
                <a:alpha val="63000"/>
              </a:srgbClr>
            </a:outerShdw>
          </a:effectLst>
        </c:spPr>
      </c:pivotFmt>
      <c:pivotFmt>
        <c:idx val="12"/>
        <c:spPr>
          <a:solidFill>
            <a:srgbClr val="406C5C"/>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CAD62A"/>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cap="rnd">
            <a:solidFill>
              <a:srgbClr val="5B5D4B"/>
            </a:solidFill>
            <a:round/>
          </a:ln>
          <a:effectLst>
            <a:outerShdw blurRad="57150" dist="19050" dir="5400000" algn="ctr" rotWithShape="0">
              <a:srgbClr val="000000">
                <a:alpha val="63000"/>
              </a:srgbClr>
            </a:outerShdw>
          </a:effectLst>
        </c:spPr>
        <c:marker>
          <c:symbol val="circle"/>
          <c:size val="6"/>
          <c:spPr>
            <a:solidFill>
              <a:srgbClr val="5B5D4B"/>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03366"/>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449BCC"/>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406C5C"/>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AF1FC7"/>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cap="rnd">
            <a:solidFill>
              <a:srgbClr val="449BCC"/>
            </a:solidFill>
            <a:round/>
          </a:ln>
          <a:effectLst>
            <a:outerShdw blurRad="57150" dist="19050" dir="5400000" algn="ctr" rotWithShape="0">
              <a:srgbClr val="000000">
                <a:alpha val="63000"/>
              </a:srgbClr>
            </a:outerShdw>
          </a:effectLst>
        </c:spPr>
        <c:marker>
          <c:symbol val="circle"/>
          <c:size val="6"/>
          <c:spPr>
            <a:solidFill>
              <a:srgbClr val="449BCC"/>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6CAEA5"/>
          </a:solidFill>
          <a:ln>
            <a:noFill/>
          </a:ln>
          <a:effectLst>
            <a:outerShdw blurRad="57150" dist="19050" dir="5400000" algn="ctr" rotWithShape="0">
              <a:srgbClr val="000000">
                <a:alpha val="63000"/>
              </a:srgbClr>
            </a:outerShdw>
          </a:effectLst>
        </c:spPr>
      </c:pivotFmt>
      <c:pivotFmt>
        <c:idx val="21"/>
        <c:spPr>
          <a:solidFill>
            <a:schemeClr val="accent4">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EF9B2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1A53FF"/>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1A53FF"/>
          </a:solidFill>
          <a:ln>
            <a:noFill/>
          </a:ln>
          <a:effectLst>
            <a:outerShdw blurRad="57150" dist="19050" dir="5400000" algn="ctr" rotWithShape="0">
              <a:srgbClr val="000000">
                <a:alpha val="63000"/>
              </a:srgbClr>
            </a:outerShdw>
          </a:effectLst>
        </c:spPr>
      </c:pivotFmt>
      <c:pivotFmt>
        <c:idx val="25"/>
        <c:spPr>
          <a:solidFill>
            <a:srgbClr val="E6D8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ln w="12700" cap="rnd">
            <a:solidFill>
              <a:srgbClr val="99600B"/>
            </a:solidFill>
            <a:round/>
          </a:ln>
          <a:effectLst>
            <a:outerShdw blurRad="57150" dist="19050" dir="5400000" algn="ctr" rotWithShape="0">
              <a:srgbClr val="000000">
                <a:alpha val="63000"/>
              </a:srgbClr>
            </a:outerShdw>
          </a:effectLst>
        </c:spPr>
        <c:marker>
          <c:symbol val="circle"/>
          <c:size val="6"/>
          <c:spPr>
            <a:solidFill>
              <a:srgbClr val="99600B"/>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826939662414179E-2"/>
          <c:y val="0.12128429598474104"/>
          <c:w val="0.85045485695686396"/>
          <c:h val="0.70688531983251257"/>
        </c:manualLayout>
      </c:layout>
      <c:barChart>
        <c:barDir val="col"/>
        <c:grouping val="clustered"/>
        <c:varyColors val="0"/>
        <c:ser>
          <c:idx val="0"/>
          <c:order val="0"/>
          <c:tx>
            <c:strRef>
              <c:f>Summary_RTT!$E$3</c:f>
              <c:strCache>
                <c:ptCount val="1"/>
                <c:pt idx="0">
                  <c:v>Total-number-of-ROC</c:v>
                </c:pt>
              </c:strCache>
            </c:strRef>
          </c:tx>
          <c:spPr>
            <a:solidFill>
              <a:schemeClr val="accent4">
                <a:lumMod val="75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Summary_RTT!$D$4:$D$24</c:f>
              <c:multiLvlStrCache>
                <c:ptCount val="1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lvl>
                <c:lvl>
                  <c:pt idx="0">
                    <c:v>2024</c:v>
                  </c:pt>
                  <c:pt idx="12">
                    <c:v>2025</c:v>
                  </c:pt>
                </c:lvl>
              </c:multiLvlStrCache>
            </c:multiLvlStrRef>
          </c:cat>
          <c:val>
            <c:numRef>
              <c:f>Summary_RTT!$E$4:$E$24</c:f>
              <c:numCache>
                <c:formatCode>General</c:formatCode>
                <c:ptCount val="18"/>
                <c:pt idx="0">
                  <c:v>56</c:v>
                </c:pt>
                <c:pt idx="1">
                  <c:v>71</c:v>
                </c:pt>
                <c:pt idx="2">
                  <c:v>82</c:v>
                </c:pt>
                <c:pt idx="3">
                  <c:v>143</c:v>
                </c:pt>
                <c:pt idx="4">
                  <c:v>122</c:v>
                </c:pt>
                <c:pt idx="5">
                  <c:v>125</c:v>
                </c:pt>
                <c:pt idx="6">
                  <c:v>132</c:v>
                </c:pt>
                <c:pt idx="7">
                  <c:v>122</c:v>
                </c:pt>
                <c:pt idx="8">
                  <c:v>105</c:v>
                </c:pt>
                <c:pt idx="9">
                  <c:v>62</c:v>
                </c:pt>
                <c:pt idx="10">
                  <c:v>88</c:v>
                </c:pt>
                <c:pt idx="11">
                  <c:v>89</c:v>
                </c:pt>
                <c:pt idx="12">
                  <c:v>62</c:v>
                </c:pt>
                <c:pt idx="13">
                  <c:v>31</c:v>
                </c:pt>
                <c:pt idx="14">
                  <c:v>83</c:v>
                </c:pt>
                <c:pt idx="15">
                  <c:v>86</c:v>
                </c:pt>
                <c:pt idx="16">
                  <c:v>155</c:v>
                </c:pt>
                <c:pt idx="17">
                  <c:v>164</c:v>
                </c:pt>
              </c:numCache>
            </c:numRef>
          </c:val>
          <c:extLst>
            <c:ext xmlns:c16="http://schemas.microsoft.com/office/drawing/2014/chart" uri="{C3380CC4-5D6E-409C-BE32-E72D297353CC}">
              <c16:uniqueId val="{00000000-6D83-4181-BB9E-A243DA455721}"/>
            </c:ext>
          </c:extLst>
        </c:ser>
        <c:ser>
          <c:idx val="1"/>
          <c:order val="1"/>
          <c:tx>
            <c:strRef>
              <c:f>Summary_RTT!$F$3</c:f>
              <c:strCache>
                <c:ptCount val="1"/>
                <c:pt idx="0">
                  <c:v>CD4-tests</c:v>
                </c:pt>
              </c:strCache>
            </c:strRef>
          </c:tx>
          <c:spPr>
            <a:solidFill>
              <a:srgbClr val="EF9B20"/>
            </a:solidFill>
            <a:ln>
              <a:noFill/>
            </a:ln>
            <a:effectLst>
              <a:outerShdw blurRad="57150" dist="19050" dir="5400000" algn="ctr" rotWithShape="0">
                <a:srgbClr val="000000">
                  <a:alpha val="63000"/>
                </a:srgbClr>
              </a:outerShdw>
            </a:effectLst>
          </c:spPr>
          <c:invertIfNegative val="0"/>
          <c:dPt>
            <c:idx val="3"/>
            <c:invertIfNegative val="0"/>
            <c:bubble3D val="0"/>
            <c:extLst>
              <c:ext xmlns:c16="http://schemas.microsoft.com/office/drawing/2014/chart" uri="{C3380CC4-5D6E-409C-BE32-E72D297353CC}">
                <c16:uniqueId val="{00000001-6D83-4181-BB9E-A243DA45572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Summary_RTT!$D$4:$D$24</c:f>
              <c:multiLvlStrCache>
                <c:ptCount val="1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lvl>
                <c:lvl>
                  <c:pt idx="0">
                    <c:v>2024</c:v>
                  </c:pt>
                  <c:pt idx="12">
                    <c:v>2025</c:v>
                  </c:pt>
                </c:lvl>
              </c:multiLvlStrCache>
            </c:multiLvlStrRef>
          </c:cat>
          <c:val>
            <c:numRef>
              <c:f>Summary_RTT!$F$4:$F$24</c:f>
              <c:numCache>
                <c:formatCode>General</c:formatCode>
                <c:ptCount val="18"/>
                <c:pt idx="0">
                  <c:v>3</c:v>
                </c:pt>
                <c:pt idx="1">
                  <c:v>17</c:v>
                </c:pt>
                <c:pt idx="2">
                  <c:v>30</c:v>
                </c:pt>
                <c:pt idx="3">
                  <c:v>42</c:v>
                </c:pt>
                <c:pt idx="4">
                  <c:v>27</c:v>
                </c:pt>
                <c:pt idx="5">
                  <c:v>19</c:v>
                </c:pt>
                <c:pt idx="6">
                  <c:v>49</c:v>
                </c:pt>
                <c:pt idx="7">
                  <c:v>25</c:v>
                </c:pt>
                <c:pt idx="8">
                  <c:v>35</c:v>
                </c:pt>
                <c:pt idx="9">
                  <c:v>49</c:v>
                </c:pt>
                <c:pt idx="10">
                  <c:v>34</c:v>
                </c:pt>
                <c:pt idx="11">
                  <c:v>20</c:v>
                </c:pt>
                <c:pt idx="12">
                  <c:v>18</c:v>
                </c:pt>
                <c:pt idx="13">
                  <c:v>3</c:v>
                </c:pt>
                <c:pt idx="14">
                  <c:v>28</c:v>
                </c:pt>
                <c:pt idx="15">
                  <c:v>52</c:v>
                </c:pt>
                <c:pt idx="16">
                  <c:v>18</c:v>
                </c:pt>
                <c:pt idx="17">
                  <c:v>19</c:v>
                </c:pt>
              </c:numCache>
            </c:numRef>
          </c:val>
          <c:extLst>
            <c:ext xmlns:c16="http://schemas.microsoft.com/office/drawing/2014/chart" uri="{C3380CC4-5D6E-409C-BE32-E72D297353CC}">
              <c16:uniqueId val="{00000002-6D83-4181-BB9E-A243DA455721}"/>
            </c:ext>
          </c:extLst>
        </c:ser>
        <c:ser>
          <c:idx val="2"/>
          <c:order val="2"/>
          <c:tx>
            <c:strRef>
              <c:f>Summary_RTT!$G$3</c:f>
              <c:strCache>
                <c:ptCount val="1"/>
                <c:pt idx="0">
                  <c:v>CrAg-tests</c:v>
                </c:pt>
              </c:strCache>
            </c:strRef>
          </c:tx>
          <c:spPr>
            <a:solidFill>
              <a:srgbClr val="1A53FF"/>
            </a:solidFill>
            <a:ln>
              <a:noFill/>
            </a:ln>
            <a:effectLst>
              <a:outerShdw blurRad="57150" dist="19050" dir="5400000" algn="ctr" rotWithShape="0">
                <a:srgbClr val="000000">
                  <a:alpha val="63000"/>
                </a:srgbClr>
              </a:outerShdw>
            </a:effectLst>
          </c:spPr>
          <c:invertIfNegative val="0"/>
          <c:dPt>
            <c:idx val="3"/>
            <c:invertIfNegative val="0"/>
            <c:bubble3D val="0"/>
            <c:extLst>
              <c:ext xmlns:c16="http://schemas.microsoft.com/office/drawing/2014/chart" uri="{C3380CC4-5D6E-409C-BE32-E72D297353CC}">
                <c16:uniqueId val="{00000004-6D83-4181-BB9E-A243DA45572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Summary_RTT!$D$4:$D$24</c:f>
              <c:multiLvlStrCache>
                <c:ptCount val="1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lvl>
                <c:lvl>
                  <c:pt idx="0">
                    <c:v>2024</c:v>
                  </c:pt>
                  <c:pt idx="12">
                    <c:v>2025</c:v>
                  </c:pt>
                </c:lvl>
              </c:multiLvlStrCache>
            </c:multiLvlStrRef>
          </c:cat>
          <c:val>
            <c:numRef>
              <c:f>Summary_RTT!$G$4:$G$24</c:f>
              <c:numCache>
                <c:formatCode>General</c:formatCode>
                <c:ptCount val="18"/>
                <c:pt idx="0">
                  <c:v>1</c:v>
                </c:pt>
                <c:pt idx="1">
                  <c:v>8</c:v>
                </c:pt>
                <c:pt idx="2">
                  <c:v>12</c:v>
                </c:pt>
                <c:pt idx="3">
                  <c:v>7</c:v>
                </c:pt>
                <c:pt idx="4">
                  <c:v>3</c:v>
                </c:pt>
                <c:pt idx="5">
                  <c:v>7</c:v>
                </c:pt>
                <c:pt idx="6">
                  <c:v>14</c:v>
                </c:pt>
                <c:pt idx="7">
                  <c:v>2</c:v>
                </c:pt>
                <c:pt idx="8">
                  <c:v>9</c:v>
                </c:pt>
                <c:pt idx="9">
                  <c:v>10</c:v>
                </c:pt>
                <c:pt idx="10">
                  <c:v>10</c:v>
                </c:pt>
                <c:pt idx="11">
                  <c:v>10</c:v>
                </c:pt>
                <c:pt idx="12">
                  <c:v>8</c:v>
                </c:pt>
                <c:pt idx="13">
                  <c:v>3</c:v>
                </c:pt>
                <c:pt idx="14">
                  <c:v>42</c:v>
                </c:pt>
                <c:pt idx="15">
                  <c:v>35</c:v>
                </c:pt>
                <c:pt idx="16">
                  <c:v>16</c:v>
                </c:pt>
                <c:pt idx="17">
                  <c:v>9</c:v>
                </c:pt>
              </c:numCache>
            </c:numRef>
          </c:val>
          <c:extLst>
            <c:ext xmlns:c16="http://schemas.microsoft.com/office/drawing/2014/chart" uri="{C3380CC4-5D6E-409C-BE32-E72D297353CC}">
              <c16:uniqueId val="{00000005-6D83-4181-BB9E-A243DA455721}"/>
            </c:ext>
          </c:extLst>
        </c:ser>
        <c:ser>
          <c:idx val="3"/>
          <c:order val="3"/>
          <c:tx>
            <c:strRef>
              <c:f>Summary_RTT!$H$3</c:f>
              <c:strCache>
                <c:ptCount val="1"/>
                <c:pt idx="0">
                  <c:v>LAM-tests</c:v>
                </c:pt>
              </c:strCache>
            </c:strRef>
          </c:tx>
          <c:spPr>
            <a:solidFill>
              <a:srgbClr val="E6D80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Summary_RTT!$D$4:$D$24</c:f>
              <c:multiLvlStrCache>
                <c:ptCount val="1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lvl>
                <c:lvl>
                  <c:pt idx="0">
                    <c:v>2024</c:v>
                  </c:pt>
                  <c:pt idx="12">
                    <c:v>2025</c:v>
                  </c:pt>
                </c:lvl>
              </c:multiLvlStrCache>
            </c:multiLvlStrRef>
          </c:cat>
          <c:val>
            <c:numRef>
              <c:f>Summary_RTT!$H$4:$H$24</c:f>
              <c:numCache>
                <c:formatCode>General</c:formatCode>
                <c:ptCount val="18"/>
                <c:pt idx="0">
                  <c:v>2</c:v>
                </c:pt>
                <c:pt idx="1">
                  <c:v>11</c:v>
                </c:pt>
                <c:pt idx="2">
                  <c:v>17</c:v>
                </c:pt>
                <c:pt idx="3">
                  <c:v>6</c:v>
                </c:pt>
                <c:pt idx="4">
                  <c:v>1</c:v>
                </c:pt>
                <c:pt idx="5">
                  <c:v>2</c:v>
                </c:pt>
                <c:pt idx="6">
                  <c:v>0</c:v>
                </c:pt>
                <c:pt idx="7">
                  <c:v>0</c:v>
                </c:pt>
                <c:pt idx="8">
                  <c:v>3</c:v>
                </c:pt>
                <c:pt idx="9">
                  <c:v>10</c:v>
                </c:pt>
                <c:pt idx="10">
                  <c:v>10</c:v>
                </c:pt>
                <c:pt idx="11">
                  <c:v>10</c:v>
                </c:pt>
                <c:pt idx="12">
                  <c:v>14</c:v>
                </c:pt>
                <c:pt idx="13">
                  <c:v>3</c:v>
                </c:pt>
                <c:pt idx="14">
                  <c:v>43</c:v>
                </c:pt>
                <c:pt idx="15">
                  <c:v>35</c:v>
                </c:pt>
                <c:pt idx="16">
                  <c:v>29</c:v>
                </c:pt>
                <c:pt idx="17">
                  <c:v>62</c:v>
                </c:pt>
              </c:numCache>
            </c:numRef>
          </c:val>
          <c:extLst>
            <c:ext xmlns:c16="http://schemas.microsoft.com/office/drawing/2014/chart" uri="{C3380CC4-5D6E-409C-BE32-E72D297353CC}">
              <c16:uniqueId val="{00000006-6D83-4181-BB9E-A243DA455721}"/>
            </c:ext>
          </c:extLst>
        </c:ser>
        <c:dLbls>
          <c:dLblPos val="outEnd"/>
          <c:showLegendKey val="0"/>
          <c:showVal val="1"/>
          <c:showCatName val="0"/>
          <c:showSerName val="0"/>
          <c:showPercent val="0"/>
          <c:showBubbleSize val="0"/>
        </c:dLbls>
        <c:gapWidth val="100"/>
        <c:overlap val="-24"/>
        <c:axId val="798768496"/>
        <c:axId val="798764536"/>
      </c:barChart>
      <c:lineChart>
        <c:grouping val="standard"/>
        <c:varyColors val="0"/>
        <c:ser>
          <c:idx val="4"/>
          <c:order val="4"/>
          <c:tx>
            <c:strRef>
              <c:f>Summary_RTT!$I$3</c:f>
              <c:strCache>
                <c:ptCount val="1"/>
                <c:pt idx="0">
                  <c:v>CD4_cov%</c:v>
                </c:pt>
              </c:strCache>
            </c:strRef>
          </c:tx>
          <c:spPr>
            <a:ln w="12700" cap="rnd">
              <a:solidFill>
                <a:srgbClr val="99600B"/>
              </a:solidFill>
              <a:round/>
            </a:ln>
            <a:effectLst>
              <a:outerShdw blurRad="57150" dist="19050" dir="5400000" algn="ctr" rotWithShape="0">
                <a:srgbClr val="000000">
                  <a:alpha val="63000"/>
                </a:srgbClr>
              </a:outerShdw>
            </a:effectLst>
          </c:spPr>
          <c:marker>
            <c:symbol val="circle"/>
            <c:size val="6"/>
            <c:spPr>
              <a:solidFill>
                <a:srgbClr val="99600B"/>
              </a:solidFill>
              <a:ln w="9525">
                <a:no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Summary_RTT!$D$4:$D$24</c:f>
              <c:multiLvlStrCache>
                <c:ptCount val="1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lvl>
                <c:lvl>
                  <c:pt idx="0">
                    <c:v>2024</c:v>
                  </c:pt>
                  <c:pt idx="12">
                    <c:v>2025</c:v>
                  </c:pt>
                </c:lvl>
              </c:multiLvlStrCache>
            </c:multiLvlStrRef>
          </c:cat>
          <c:val>
            <c:numRef>
              <c:f>Summary_RTT!$I$4:$I$24</c:f>
              <c:numCache>
                <c:formatCode>0%</c:formatCode>
                <c:ptCount val="18"/>
                <c:pt idx="0">
                  <c:v>5.3571428571428568E-2</c:v>
                </c:pt>
                <c:pt idx="1">
                  <c:v>0.23943661971830985</c:v>
                </c:pt>
                <c:pt idx="2">
                  <c:v>0.36585365853658536</c:v>
                </c:pt>
                <c:pt idx="3">
                  <c:v>0.2937062937062937</c:v>
                </c:pt>
                <c:pt idx="4">
                  <c:v>0.22131147540983606</c:v>
                </c:pt>
                <c:pt idx="5">
                  <c:v>0.152</c:v>
                </c:pt>
                <c:pt idx="6">
                  <c:v>0.37121212121212122</c:v>
                </c:pt>
                <c:pt idx="7">
                  <c:v>0.20491803278688525</c:v>
                </c:pt>
                <c:pt idx="8">
                  <c:v>0.33333333333333331</c:v>
                </c:pt>
                <c:pt idx="9">
                  <c:v>0.79032258064516125</c:v>
                </c:pt>
                <c:pt idx="10">
                  <c:v>0.38636363636363635</c:v>
                </c:pt>
                <c:pt idx="11">
                  <c:v>0.2247191011235955</c:v>
                </c:pt>
                <c:pt idx="12">
                  <c:v>0.29032258064516131</c:v>
                </c:pt>
                <c:pt idx="13">
                  <c:v>9.6774193548387094E-2</c:v>
                </c:pt>
                <c:pt idx="14">
                  <c:v>0.33734939759036142</c:v>
                </c:pt>
                <c:pt idx="15">
                  <c:v>0.60465116279069764</c:v>
                </c:pt>
                <c:pt idx="16">
                  <c:v>0.11612903225806452</c:v>
                </c:pt>
                <c:pt idx="17">
                  <c:v>0.11585365853658537</c:v>
                </c:pt>
              </c:numCache>
            </c:numRef>
          </c:val>
          <c:smooth val="1"/>
          <c:extLst>
            <c:ext xmlns:c16="http://schemas.microsoft.com/office/drawing/2014/chart" uri="{C3380CC4-5D6E-409C-BE32-E72D297353CC}">
              <c16:uniqueId val="{00000007-6D83-4181-BB9E-A243DA455721}"/>
            </c:ext>
          </c:extLst>
        </c:ser>
        <c:dLbls>
          <c:showLegendKey val="0"/>
          <c:showVal val="0"/>
          <c:showCatName val="0"/>
          <c:showSerName val="0"/>
          <c:showPercent val="0"/>
          <c:showBubbleSize val="0"/>
        </c:dLbls>
        <c:marker val="1"/>
        <c:smooth val="0"/>
        <c:axId val="937846744"/>
        <c:axId val="937845664"/>
      </c:lineChart>
      <c:catAx>
        <c:axId val="79876849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98764536"/>
        <c:crosses val="autoZero"/>
        <c:auto val="1"/>
        <c:lblAlgn val="ctr"/>
        <c:lblOffset val="100"/>
        <c:noMultiLvlLbl val="0"/>
      </c:catAx>
      <c:valAx>
        <c:axId val="798764536"/>
        <c:scaling>
          <c:orientation val="minMax"/>
        </c:scaling>
        <c:delete val="0"/>
        <c:axPos val="l"/>
        <c:title>
          <c:tx>
            <c:rich>
              <a:bodyPr rot="-54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r>
                  <a:rPr lang="en-US"/>
                  <a:t>Number of people screened</a:t>
                </a:r>
              </a:p>
            </c:rich>
          </c:tx>
          <c:layout>
            <c:manualLayout>
              <c:xMode val="edge"/>
              <c:yMode val="edge"/>
              <c:x val="4.8683362343311153E-3"/>
              <c:y val="0.3782149852011733"/>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98768496"/>
        <c:crosses val="autoZero"/>
        <c:crossBetween val="between"/>
      </c:valAx>
      <c:valAx>
        <c:axId val="937845664"/>
        <c:scaling>
          <c:orientation val="minMax"/>
          <c:max val="1"/>
          <c:min val="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937846744"/>
        <c:crosses val="max"/>
        <c:crossBetween val="between"/>
      </c:valAx>
      <c:catAx>
        <c:axId val="937846744"/>
        <c:scaling>
          <c:orientation val="minMax"/>
        </c:scaling>
        <c:delete val="1"/>
        <c:axPos val="b"/>
        <c:numFmt formatCode="General" sourceLinked="1"/>
        <c:majorTickMark val="out"/>
        <c:minorTickMark val="none"/>
        <c:tickLblPos val="nextTo"/>
        <c:crossAx val="937845664"/>
        <c:crosses val="autoZero"/>
        <c:auto val="1"/>
        <c:lblAlgn val="ctr"/>
        <c:lblOffset val="100"/>
        <c:noMultiLvlLbl val="0"/>
      </c:catAx>
      <c:spPr>
        <a:noFill/>
        <a:ln>
          <a:noFill/>
        </a:ln>
        <a:effectLst/>
      </c:spPr>
    </c:plotArea>
    <c:legend>
      <c:legendPos val="r"/>
      <c:layout>
        <c:manualLayout>
          <c:xMode val="edge"/>
          <c:yMode val="edge"/>
          <c:x val="0"/>
          <c:y val="0.92311330182439622"/>
          <c:w val="0.98034267833241551"/>
          <c:h val="7.6524425863076118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[AHD_Reporting_Form.xlsx]Summary_RTT!PivotTable9</c:name>
    <c:fmtId val="10"/>
  </c:pivotSource>
  <c:chart>
    <c:title>
      <c:tx>
        <c:rich>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r>
              <a:rPr lang="en-GB" sz="1200" b="1"/>
              <a:t>AHD Yield among</a:t>
            </a:r>
            <a:r>
              <a:rPr lang="en-GB" sz="1200" b="1" baseline="0"/>
              <a:t> ROC returned from treatment interuption</a:t>
            </a:r>
            <a:endParaRPr lang="en-GB" sz="1200" b="1"/>
          </a:p>
        </c:rich>
      </c:tx>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GB"/>
        </a:p>
      </c:txPr>
    </c:title>
    <c:autoTitleDeleted val="0"/>
    <c:pivotFmts>
      <c:pivotFmt>
        <c:idx val="0"/>
        <c:spPr>
          <a:ln w="19050" cap="rnd">
            <a:solidFill>
              <a:srgbClr val="CAD62A"/>
            </a:solidFill>
            <a:round/>
          </a:ln>
          <a:effectLst>
            <a:outerShdw blurRad="57150" dist="19050" dir="5400000" algn="ctr" rotWithShape="0">
              <a:srgbClr val="000000">
                <a:alpha val="63000"/>
              </a:srgbClr>
            </a:outerShdw>
          </a:effectLst>
        </c:spPr>
        <c:marker>
          <c:symbol val="circle"/>
          <c:size val="6"/>
          <c:spPr>
            <a:solidFill>
              <a:srgbClr val="CAD62A"/>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19050" cap="rnd">
            <a:solidFill>
              <a:srgbClr val="1A53FF"/>
            </a:solidFill>
            <a:round/>
          </a:ln>
          <a:effectLst>
            <a:outerShdw blurRad="57150" dist="19050" dir="5400000" algn="ctr" rotWithShape="0">
              <a:srgbClr val="000000">
                <a:alpha val="63000"/>
              </a:srgbClr>
            </a:outerShdw>
          </a:effectLst>
        </c:spPr>
        <c:marker>
          <c:symbol val="circle"/>
          <c:size val="6"/>
          <c:spPr>
            <a:solidFill>
              <a:srgbClr val="1A53FF"/>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15875" cap="rnd">
            <a:solidFill>
              <a:srgbClr val="EF9B20"/>
            </a:solidFill>
            <a:round/>
          </a:ln>
          <a:effectLst>
            <a:outerShdw blurRad="57150" dist="19050" dir="5400000" algn="ctr" rotWithShape="0">
              <a:srgbClr val="000000">
                <a:alpha val="63000"/>
              </a:srgbClr>
            </a:outerShdw>
          </a:effectLst>
        </c:spPr>
        <c:marker>
          <c:symbol val="circle"/>
          <c:size val="6"/>
          <c:spPr>
            <a:solidFill>
              <a:srgbClr val="EF9B20"/>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63282561622316"/>
          <c:y val="8.621593628932693E-2"/>
          <c:w val="0.74986355760178525"/>
          <c:h val="0.74910831964476432"/>
        </c:manualLayout>
      </c:layout>
      <c:lineChart>
        <c:grouping val="standard"/>
        <c:varyColors val="0"/>
        <c:ser>
          <c:idx val="0"/>
          <c:order val="0"/>
          <c:tx>
            <c:strRef>
              <c:f>Summary_RTT!$M$3</c:f>
              <c:strCache>
                <c:ptCount val="1"/>
                <c:pt idx="0">
                  <c:v>LAM_pos%</c:v>
                </c:pt>
              </c:strCache>
            </c:strRef>
          </c:tx>
          <c:spPr>
            <a:ln w="19050" cap="rnd">
              <a:solidFill>
                <a:srgbClr val="CAD62A"/>
              </a:solidFill>
              <a:round/>
            </a:ln>
            <a:effectLst>
              <a:outerShdw blurRad="57150" dist="19050" dir="5400000" algn="ctr" rotWithShape="0">
                <a:srgbClr val="000000">
                  <a:alpha val="63000"/>
                </a:srgbClr>
              </a:outerShdw>
            </a:effectLst>
          </c:spPr>
          <c:marker>
            <c:symbol val="circle"/>
            <c:size val="6"/>
            <c:spPr>
              <a:solidFill>
                <a:srgbClr val="CAD62A"/>
              </a:solidFill>
              <a:ln w="9525">
                <a:no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Summary_RTT!$L$4:$L$24</c:f>
              <c:multiLvlStrCache>
                <c:ptCount val="1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lvl>
                <c:lvl>
                  <c:pt idx="0">
                    <c:v>2024</c:v>
                  </c:pt>
                  <c:pt idx="12">
                    <c:v>2025</c:v>
                  </c:pt>
                </c:lvl>
              </c:multiLvlStrCache>
            </c:multiLvlStrRef>
          </c:cat>
          <c:val>
            <c:numRef>
              <c:f>Summary_RTT!$M$4:$M$24</c:f>
              <c:numCache>
                <c:formatCode>0%</c:formatCode>
                <c:ptCount val="18"/>
                <c:pt idx="0">
                  <c:v>0.5</c:v>
                </c:pt>
                <c:pt idx="1">
                  <c:v>0.36363636363636365</c:v>
                </c:pt>
                <c:pt idx="2">
                  <c:v>0.41176470588235292</c:v>
                </c:pt>
                <c:pt idx="3">
                  <c:v>0.16666666666666666</c:v>
                </c:pt>
                <c:pt idx="4">
                  <c:v>0</c:v>
                </c:pt>
                <c:pt idx="5">
                  <c:v>0</c:v>
                </c:pt>
                <c:pt idx="6">
                  <c:v>#N/A</c:v>
                </c:pt>
                <c:pt idx="7">
                  <c:v>#N/A</c:v>
                </c:pt>
                <c:pt idx="8">
                  <c:v>0</c:v>
                </c:pt>
                <c:pt idx="9">
                  <c:v>0.1</c:v>
                </c:pt>
                <c:pt idx="10">
                  <c:v>0.2</c:v>
                </c:pt>
                <c:pt idx="11">
                  <c:v>0.1</c:v>
                </c:pt>
                <c:pt idx="12">
                  <c:v>0.14285714285714285</c:v>
                </c:pt>
                <c:pt idx="13">
                  <c:v>0</c:v>
                </c:pt>
                <c:pt idx="14">
                  <c:v>0.23255813953488372</c:v>
                </c:pt>
                <c:pt idx="15">
                  <c:v>0.37142857142857144</c:v>
                </c:pt>
                <c:pt idx="16">
                  <c:v>0.13793103448275862</c:v>
                </c:pt>
                <c:pt idx="17">
                  <c:v>4.8387096774193547E-2</c:v>
                </c:pt>
              </c:numCache>
            </c:numRef>
          </c:val>
          <c:smooth val="1"/>
          <c:extLst>
            <c:ext xmlns:c16="http://schemas.microsoft.com/office/drawing/2014/chart" uri="{C3380CC4-5D6E-409C-BE32-E72D297353CC}">
              <c16:uniqueId val="{00000000-82CC-4186-A4FB-43C072698A6A}"/>
            </c:ext>
          </c:extLst>
        </c:ser>
        <c:ser>
          <c:idx val="1"/>
          <c:order val="1"/>
          <c:tx>
            <c:strRef>
              <c:f>Summary_RTT!$N$3</c:f>
              <c:strCache>
                <c:ptCount val="1"/>
                <c:pt idx="0">
                  <c:v>CrAG_pos%</c:v>
                </c:pt>
              </c:strCache>
            </c:strRef>
          </c:tx>
          <c:spPr>
            <a:ln w="19050" cap="rnd">
              <a:solidFill>
                <a:srgbClr val="1A53FF"/>
              </a:solidFill>
              <a:round/>
            </a:ln>
            <a:effectLst>
              <a:outerShdw blurRad="57150" dist="19050" dir="5400000" algn="ctr" rotWithShape="0">
                <a:srgbClr val="000000">
                  <a:alpha val="63000"/>
                </a:srgbClr>
              </a:outerShdw>
            </a:effectLst>
          </c:spPr>
          <c:marker>
            <c:symbol val="circle"/>
            <c:size val="6"/>
            <c:spPr>
              <a:solidFill>
                <a:srgbClr val="1A53FF"/>
              </a:solidFill>
              <a:ln w="9525">
                <a:no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Summary_RTT!$L$4:$L$24</c:f>
              <c:multiLvlStrCache>
                <c:ptCount val="1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lvl>
                <c:lvl>
                  <c:pt idx="0">
                    <c:v>2024</c:v>
                  </c:pt>
                  <c:pt idx="12">
                    <c:v>2025</c:v>
                  </c:pt>
                </c:lvl>
              </c:multiLvlStrCache>
            </c:multiLvlStrRef>
          </c:cat>
          <c:val>
            <c:numRef>
              <c:f>Summary_RTT!$N$4:$N$24</c:f>
              <c:numCache>
                <c:formatCode>0%</c:formatCode>
                <c:ptCount val="18"/>
                <c:pt idx="0">
                  <c:v>0</c:v>
                </c:pt>
                <c:pt idx="1">
                  <c:v>0</c:v>
                </c:pt>
                <c:pt idx="2">
                  <c:v>0</c:v>
                </c:pt>
                <c:pt idx="3">
                  <c:v>0.14285714285714285</c:v>
                </c:pt>
                <c:pt idx="4">
                  <c:v>0</c:v>
                </c:pt>
                <c:pt idx="5">
                  <c:v>0</c:v>
                </c:pt>
                <c:pt idx="6">
                  <c:v>0</c:v>
                </c:pt>
                <c:pt idx="7">
                  <c:v>0</c:v>
                </c:pt>
                <c:pt idx="8">
                  <c:v>0</c:v>
                </c:pt>
                <c:pt idx="9">
                  <c:v>0.1</c:v>
                </c:pt>
                <c:pt idx="10">
                  <c:v>0</c:v>
                </c:pt>
                <c:pt idx="11">
                  <c:v>0.1</c:v>
                </c:pt>
                <c:pt idx="12">
                  <c:v>0</c:v>
                </c:pt>
                <c:pt idx="13">
                  <c:v>0</c:v>
                </c:pt>
                <c:pt idx="14">
                  <c:v>0</c:v>
                </c:pt>
                <c:pt idx="15">
                  <c:v>0</c:v>
                </c:pt>
                <c:pt idx="16">
                  <c:v>0</c:v>
                </c:pt>
                <c:pt idx="17">
                  <c:v>0</c:v>
                </c:pt>
              </c:numCache>
            </c:numRef>
          </c:val>
          <c:smooth val="1"/>
          <c:extLst>
            <c:ext xmlns:c16="http://schemas.microsoft.com/office/drawing/2014/chart" uri="{C3380CC4-5D6E-409C-BE32-E72D297353CC}">
              <c16:uniqueId val="{00000001-82CC-4186-A4FB-43C072698A6A}"/>
            </c:ext>
          </c:extLst>
        </c:ser>
        <c:ser>
          <c:idx val="2"/>
          <c:order val="2"/>
          <c:tx>
            <c:strRef>
              <c:f>Summary_RTT!$O$3</c:f>
              <c:strCache>
                <c:ptCount val="1"/>
                <c:pt idx="0">
                  <c:v>CD4-yield</c:v>
                </c:pt>
              </c:strCache>
            </c:strRef>
          </c:tx>
          <c:spPr>
            <a:ln w="15875" cap="rnd">
              <a:solidFill>
                <a:srgbClr val="EF9B20"/>
              </a:solidFill>
              <a:round/>
            </a:ln>
            <a:effectLst>
              <a:outerShdw blurRad="57150" dist="19050" dir="5400000" algn="ctr" rotWithShape="0">
                <a:srgbClr val="000000">
                  <a:alpha val="63000"/>
                </a:srgbClr>
              </a:outerShdw>
            </a:effectLst>
          </c:spPr>
          <c:marker>
            <c:symbol val="circle"/>
            <c:size val="6"/>
            <c:spPr>
              <a:solidFill>
                <a:srgbClr val="EF9B20"/>
              </a:solidFill>
              <a:ln w="9525">
                <a:no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Summary_RTT!$L$4:$L$24</c:f>
              <c:multiLvlStrCache>
                <c:ptCount val="1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lvl>
                <c:lvl>
                  <c:pt idx="0">
                    <c:v>2024</c:v>
                  </c:pt>
                  <c:pt idx="12">
                    <c:v>2025</c:v>
                  </c:pt>
                </c:lvl>
              </c:multiLvlStrCache>
            </c:multiLvlStrRef>
          </c:cat>
          <c:val>
            <c:numRef>
              <c:f>Summary_RTT!$O$4:$O$24</c:f>
              <c:numCache>
                <c:formatCode>0%</c:formatCode>
                <c:ptCount val="18"/>
                <c:pt idx="0">
                  <c:v>0.33333333333333331</c:v>
                </c:pt>
                <c:pt idx="1">
                  <c:v>0.29411764705882354</c:v>
                </c:pt>
                <c:pt idx="2">
                  <c:v>0.5</c:v>
                </c:pt>
                <c:pt idx="3">
                  <c:v>0.16666666666666666</c:v>
                </c:pt>
                <c:pt idx="4">
                  <c:v>0.18518518518518517</c:v>
                </c:pt>
                <c:pt idx="5">
                  <c:v>0.57894736842105265</c:v>
                </c:pt>
                <c:pt idx="6">
                  <c:v>0.24489795918367346</c:v>
                </c:pt>
                <c:pt idx="7">
                  <c:v>0.2</c:v>
                </c:pt>
                <c:pt idx="8">
                  <c:v>0.2857142857142857</c:v>
                </c:pt>
                <c:pt idx="9">
                  <c:v>0.16326530612244897</c:v>
                </c:pt>
                <c:pt idx="10">
                  <c:v>0.29411764705882354</c:v>
                </c:pt>
                <c:pt idx="11">
                  <c:v>0.3</c:v>
                </c:pt>
                <c:pt idx="12">
                  <c:v>0.16666666666666666</c:v>
                </c:pt>
                <c:pt idx="13">
                  <c:v>0</c:v>
                </c:pt>
                <c:pt idx="14">
                  <c:v>0.35714285714285715</c:v>
                </c:pt>
                <c:pt idx="15">
                  <c:v>0.34615384615384615</c:v>
                </c:pt>
                <c:pt idx="16">
                  <c:v>0.3888888888888889</c:v>
                </c:pt>
                <c:pt idx="17">
                  <c:v>0.47368421052631576</c:v>
                </c:pt>
              </c:numCache>
            </c:numRef>
          </c:val>
          <c:smooth val="1"/>
          <c:extLst>
            <c:ext xmlns:c16="http://schemas.microsoft.com/office/drawing/2014/chart" uri="{C3380CC4-5D6E-409C-BE32-E72D297353CC}">
              <c16:uniqueId val="{00000003-82CC-4186-A4FB-43C072698A6A}"/>
            </c:ext>
          </c:extLst>
        </c:ser>
        <c:dLbls>
          <c:dLblPos val="t"/>
          <c:showLegendKey val="0"/>
          <c:showVal val="1"/>
          <c:showCatName val="0"/>
          <c:showSerName val="0"/>
          <c:showPercent val="0"/>
          <c:showBubbleSize val="0"/>
        </c:dLbls>
        <c:marker val="1"/>
        <c:smooth val="0"/>
        <c:axId val="6410559"/>
        <c:axId val="6403719"/>
      </c:lineChart>
      <c:catAx>
        <c:axId val="641055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403719"/>
        <c:crosses val="autoZero"/>
        <c:auto val="1"/>
        <c:lblAlgn val="ctr"/>
        <c:lblOffset val="100"/>
        <c:noMultiLvlLbl val="0"/>
      </c:catAx>
      <c:valAx>
        <c:axId val="6403719"/>
        <c:scaling>
          <c:orientation val="minMax"/>
          <c:max val="1"/>
          <c:min val="0"/>
        </c:scaling>
        <c:delete val="0"/>
        <c:axPos val="l"/>
        <c:title>
          <c:tx>
            <c:rich>
              <a:bodyPr rot="-54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r>
                  <a:rPr lang="en-GB"/>
                  <a:t>proportion </a:t>
                </a:r>
                <a:r>
                  <a:rPr lang="en-GB" baseline="0"/>
                  <a:t>of RC with AHD</a:t>
                </a:r>
                <a:endParaRPr lang="en-GB"/>
              </a:p>
            </c:rich>
          </c:tx>
          <c:layout>
            <c:manualLayout>
              <c:xMode val="edge"/>
              <c:yMode val="edge"/>
              <c:x val="1.241860604749658E-2"/>
              <c:y val="0.3468070402544749"/>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GB"/>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410559"/>
        <c:crosses val="autoZero"/>
        <c:crossBetween val="between"/>
      </c:valAx>
      <c:spPr>
        <a:noFill/>
        <a:ln>
          <a:noFill/>
        </a:ln>
        <a:effectLst/>
      </c:spPr>
    </c:plotArea>
    <c:legend>
      <c:legendPos val="r"/>
      <c:layout>
        <c:manualLayout>
          <c:xMode val="edge"/>
          <c:yMode val="edge"/>
          <c:x val="4.2178192014994668E-2"/>
          <c:y val="0.93392008070137655"/>
          <c:w val="0.88560556066641183"/>
          <c:h val="4.7165448297761155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b="0">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[AHD_Reporting_Form.xlsx]Summary_unsuppressed!PivotTable1</c:name>
    <c:fmtId val="7"/>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GB"/>
              <a:t>Unsuppressed </a:t>
            </a:r>
            <a:r>
              <a:rPr lang="en-GB" baseline="0"/>
              <a:t>ROC </a:t>
            </a:r>
            <a:r>
              <a:rPr lang="en-GB"/>
              <a:t>AHD screening</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F5597"/>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843C0C"/>
            </a:solidFill>
            <a:round/>
          </a:ln>
          <a:effectLst>
            <a:outerShdw blurRad="57150" dist="19050" dir="5400000" algn="ctr" rotWithShape="0">
              <a:srgbClr val="000000">
                <a:alpha val="63000"/>
              </a:srgbClr>
            </a:outerShdw>
          </a:effectLst>
        </c:spPr>
        <c:marker>
          <c:symbol val="circle"/>
          <c:size val="6"/>
          <c:spPr>
            <a:solidFill>
              <a:srgbClr val="843C0C"/>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ED7D31"/>
          </a:solidFill>
          <a:ln>
            <a:noFill/>
          </a:ln>
          <a:effectLst>
            <a:outerShdw blurRad="57150" dist="19050" dir="5400000" algn="ctr" rotWithShape="0">
              <a:srgbClr val="000000">
                <a:alpha val="63000"/>
              </a:srgbClr>
            </a:outerShdw>
          </a:effectLst>
        </c:spPr>
      </c:pivotFmt>
      <c:pivotFmt>
        <c:idx val="8"/>
        <c:spPr>
          <a:solidFill>
            <a:srgbClr val="2F5597"/>
          </a:solidFill>
          <a:ln>
            <a:noFill/>
          </a:ln>
          <a:effectLst>
            <a:outerShdw blurRad="57150" dist="19050" dir="5400000" algn="ctr" rotWithShape="0">
              <a:srgbClr val="000000">
                <a:alpha val="63000"/>
              </a:srgbClr>
            </a:outerShdw>
          </a:effectLst>
        </c:spPr>
      </c:pivotFmt>
      <c:pivotFmt>
        <c:idx val="9"/>
        <c:spPr>
          <a:solidFill>
            <a:srgbClr val="006699"/>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92957B"/>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92957B"/>
          </a:solidFill>
          <a:ln>
            <a:noFill/>
          </a:ln>
          <a:effectLst>
            <a:outerShdw blurRad="57150" dist="19050" dir="5400000" algn="ctr" rotWithShape="0">
              <a:srgbClr val="000000">
                <a:alpha val="63000"/>
              </a:srgbClr>
            </a:outerShdw>
          </a:effectLst>
        </c:spPr>
      </c:pivotFmt>
      <c:pivotFmt>
        <c:idx val="12"/>
        <c:spPr>
          <a:solidFill>
            <a:srgbClr val="406C5C"/>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CAD62A"/>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cap="rnd">
            <a:solidFill>
              <a:srgbClr val="5B5D4B"/>
            </a:solidFill>
            <a:round/>
          </a:ln>
          <a:effectLst>
            <a:outerShdw blurRad="57150" dist="19050" dir="5400000" algn="ctr" rotWithShape="0">
              <a:srgbClr val="000000">
                <a:alpha val="63000"/>
              </a:srgbClr>
            </a:outerShdw>
          </a:effectLst>
        </c:spPr>
        <c:marker>
          <c:symbol val="circle"/>
          <c:size val="6"/>
          <c:spPr>
            <a:solidFill>
              <a:srgbClr val="5B5D4B"/>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03366"/>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449BCC"/>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6CAEA5"/>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AF1FC7"/>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ln w="12700" cap="rnd">
            <a:solidFill>
              <a:srgbClr val="449BCC"/>
            </a:solidFill>
            <a:round/>
          </a:ln>
          <a:effectLst>
            <a:outerShdw blurRad="57150" dist="19050" dir="5400000" algn="ctr" rotWithShape="0">
              <a:srgbClr val="000000">
                <a:alpha val="63000"/>
              </a:srgbClr>
            </a:outerShdw>
          </a:effectLst>
        </c:spPr>
        <c:marker>
          <c:symbol val="circle"/>
          <c:size val="6"/>
          <c:spPr>
            <a:solidFill>
              <a:srgbClr val="449BCC"/>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pivotFmt>
    </c:pivotFmts>
    <c:plotArea>
      <c:layout>
        <c:manualLayout>
          <c:layoutTarget val="inner"/>
          <c:xMode val="edge"/>
          <c:yMode val="edge"/>
          <c:x val="0.1174928911018385"/>
          <c:y val="0.10042730656285663"/>
          <c:w val="0.81483474089646168"/>
          <c:h val="0.73397856211370616"/>
        </c:manualLayout>
      </c:layout>
      <c:barChart>
        <c:barDir val="col"/>
        <c:grouping val="clustered"/>
        <c:varyColors val="0"/>
        <c:ser>
          <c:idx val="0"/>
          <c:order val="0"/>
          <c:tx>
            <c:strRef>
              <c:f>Summary_unsuppressed!$E$3</c:f>
              <c:strCache>
                <c:ptCount val="1"/>
                <c:pt idx="0">
                  <c:v>Total-number-of-ROC</c:v>
                </c:pt>
              </c:strCache>
            </c:strRef>
          </c:tx>
          <c:spPr>
            <a:solidFill>
              <a:srgbClr val="003366"/>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Summary_unsuppressed!$D$4:$D$15</c:f>
              <c:multiLvlStrCache>
                <c:ptCount val="7"/>
                <c:lvl>
                  <c:pt idx="0">
                    <c:v>Qtr_4</c:v>
                  </c:pt>
                  <c:pt idx="1">
                    <c:v>Qtr_2</c:v>
                  </c:pt>
                  <c:pt idx="2">
                    <c:v>Qtr_3</c:v>
                  </c:pt>
                  <c:pt idx="3">
                    <c:v>Qtr_4</c:v>
                  </c:pt>
                  <c:pt idx="4">
                    <c:v>Qtr_1</c:v>
                  </c:pt>
                  <c:pt idx="5">
                    <c:v>Qtr_2</c:v>
                  </c:pt>
                  <c:pt idx="6">
                    <c:v>(blank)</c:v>
                  </c:pt>
                </c:lvl>
                <c:lvl>
                  <c:pt idx="0">
                    <c:v>COP_22</c:v>
                  </c:pt>
                  <c:pt idx="1">
                    <c:v>COP_23</c:v>
                  </c:pt>
                  <c:pt idx="4">
                    <c:v>COP_24</c:v>
                  </c:pt>
                  <c:pt idx="6">
                    <c:v>(blank)</c:v>
                  </c:pt>
                </c:lvl>
              </c:multiLvlStrCache>
            </c:multiLvlStrRef>
          </c:cat>
          <c:val>
            <c:numRef>
              <c:f>Summary_unsuppressed!$E$4:$E$15</c:f>
              <c:numCache>
                <c:formatCode>General</c:formatCode>
                <c:ptCount val="7"/>
                <c:pt idx="0">
                  <c:v>0</c:v>
                </c:pt>
                <c:pt idx="1">
                  <c:v>54</c:v>
                </c:pt>
                <c:pt idx="2">
                  <c:v>147</c:v>
                </c:pt>
                <c:pt idx="3">
                  <c:v>157</c:v>
                </c:pt>
                <c:pt idx="4">
                  <c:v>66</c:v>
                </c:pt>
                <c:pt idx="5">
                  <c:v>49</c:v>
                </c:pt>
                <c:pt idx="6">
                  <c:v>71</c:v>
                </c:pt>
              </c:numCache>
            </c:numRef>
          </c:val>
          <c:extLst>
            <c:ext xmlns:c16="http://schemas.microsoft.com/office/drawing/2014/chart" uri="{C3380CC4-5D6E-409C-BE32-E72D297353CC}">
              <c16:uniqueId val="{00000000-ADFE-4B80-8DF6-504C2BD1FE5F}"/>
            </c:ext>
          </c:extLst>
        </c:ser>
        <c:ser>
          <c:idx val="1"/>
          <c:order val="1"/>
          <c:tx>
            <c:strRef>
              <c:f>Summary_unsuppressed!$F$3</c:f>
              <c:strCache>
                <c:ptCount val="1"/>
                <c:pt idx="0">
                  <c:v>CD4-tests</c:v>
                </c:pt>
              </c:strCache>
            </c:strRef>
          </c:tx>
          <c:spPr>
            <a:solidFill>
              <a:srgbClr val="449BCC"/>
            </a:solidFill>
            <a:ln>
              <a:noFill/>
            </a:ln>
            <a:effectLst>
              <a:outerShdw blurRad="57150" dist="19050" dir="5400000" algn="ctr" rotWithShape="0">
                <a:srgbClr val="000000">
                  <a:alpha val="63000"/>
                </a:srgbClr>
              </a:outerShdw>
            </a:effectLst>
          </c:spPr>
          <c:invertIfNegative val="0"/>
          <c:dPt>
            <c:idx val="3"/>
            <c:invertIfNegative val="0"/>
            <c:bubble3D val="0"/>
            <c:extLst>
              <c:ext xmlns:c16="http://schemas.microsoft.com/office/drawing/2014/chart" uri="{C3380CC4-5D6E-409C-BE32-E72D297353CC}">
                <c16:uniqueId val="{00000001-ADFE-4B80-8DF6-504C2BD1FE5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Summary_unsuppressed!$D$4:$D$15</c:f>
              <c:multiLvlStrCache>
                <c:ptCount val="7"/>
                <c:lvl>
                  <c:pt idx="0">
                    <c:v>Qtr_4</c:v>
                  </c:pt>
                  <c:pt idx="1">
                    <c:v>Qtr_2</c:v>
                  </c:pt>
                  <c:pt idx="2">
                    <c:v>Qtr_3</c:v>
                  </c:pt>
                  <c:pt idx="3">
                    <c:v>Qtr_4</c:v>
                  </c:pt>
                  <c:pt idx="4">
                    <c:v>Qtr_1</c:v>
                  </c:pt>
                  <c:pt idx="5">
                    <c:v>Qtr_2</c:v>
                  </c:pt>
                  <c:pt idx="6">
                    <c:v>(blank)</c:v>
                  </c:pt>
                </c:lvl>
                <c:lvl>
                  <c:pt idx="0">
                    <c:v>COP_22</c:v>
                  </c:pt>
                  <c:pt idx="1">
                    <c:v>COP_23</c:v>
                  </c:pt>
                  <c:pt idx="4">
                    <c:v>COP_24</c:v>
                  </c:pt>
                  <c:pt idx="6">
                    <c:v>(blank)</c:v>
                  </c:pt>
                </c:lvl>
              </c:multiLvlStrCache>
            </c:multiLvlStrRef>
          </c:cat>
          <c:val>
            <c:numRef>
              <c:f>Summary_unsuppressed!$F$4:$F$15</c:f>
              <c:numCache>
                <c:formatCode>General</c:formatCode>
                <c:ptCount val="7"/>
                <c:pt idx="0">
                  <c:v>0</c:v>
                </c:pt>
                <c:pt idx="1">
                  <c:v>15</c:v>
                </c:pt>
                <c:pt idx="2">
                  <c:v>36</c:v>
                </c:pt>
                <c:pt idx="3">
                  <c:v>31</c:v>
                </c:pt>
                <c:pt idx="4">
                  <c:v>11</c:v>
                </c:pt>
                <c:pt idx="5">
                  <c:v>12</c:v>
                </c:pt>
                <c:pt idx="6">
                  <c:v>12</c:v>
                </c:pt>
              </c:numCache>
            </c:numRef>
          </c:val>
          <c:extLst>
            <c:ext xmlns:c16="http://schemas.microsoft.com/office/drawing/2014/chart" uri="{C3380CC4-5D6E-409C-BE32-E72D297353CC}">
              <c16:uniqueId val="{00000002-ADFE-4B80-8DF6-504C2BD1FE5F}"/>
            </c:ext>
          </c:extLst>
        </c:ser>
        <c:ser>
          <c:idx val="2"/>
          <c:order val="2"/>
          <c:tx>
            <c:strRef>
              <c:f>Summary_unsuppressed!$G$3</c:f>
              <c:strCache>
                <c:ptCount val="1"/>
                <c:pt idx="0">
                  <c:v>CrAg-tests</c:v>
                </c:pt>
              </c:strCache>
            </c:strRef>
          </c:tx>
          <c:spPr>
            <a:solidFill>
              <a:srgbClr val="6CAEA5"/>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Summary_unsuppressed!$D$4:$D$15</c:f>
              <c:multiLvlStrCache>
                <c:ptCount val="7"/>
                <c:lvl>
                  <c:pt idx="0">
                    <c:v>Qtr_4</c:v>
                  </c:pt>
                  <c:pt idx="1">
                    <c:v>Qtr_2</c:v>
                  </c:pt>
                  <c:pt idx="2">
                    <c:v>Qtr_3</c:v>
                  </c:pt>
                  <c:pt idx="3">
                    <c:v>Qtr_4</c:v>
                  </c:pt>
                  <c:pt idx="4">
                    <c:v>Qtr_1</c:v>
                  </c:pt>
                  <c:pt idx="5">
                    <c:v>Qtr_2</c:v>
                  </c:pt>
                  <c:pt idx="6">
                    <c:v>(blank)</c:v>
                  </c:pt>
                </c:lvl>
                <c:lvl>
                  <c:pt idx="0">
                    <c:v>COP_22</c:v>
                  </c:pt>
                  <c:pt idx="1">
                    <c:v>COP_23</c:v>
                  </c:pt>
                  <c:pt idx="4">
                    <c:v>COP_24</c:v>
                  </c:pt>
                  <c:pt idx="6">
                    <c:v>(blank)</c:v>
                  </c:pt>
                </c:lvl>
              </c:multiLvlStrCache>
            </c:multiLvlStrRef>
          </c:cat>
          <c:val>
            <c:numRef>
              <c:f>Summary_unsuppressed!$G$4:$G$15</c:f>
              <c:numCache>
                <c:formatCode>General</c:formatCode>
                <c:ptCount val="7"/>
                <c:pt idx="0">
                  <c:v>0</c:v>
                </c:pt>
                <c:pt idx="1">
                  <c:v>5</c:v>
                </c:pt>
                <c:pt idx="2">
                  <c:v>4</c:v>
                </c:pt>
                <c:pt idx="3">
                  <c:v>16</c:v>
                </c:pt>
                <c:pt idx="4">
                  <c:v>9</c:v>
                </c:pt>
                <c:pt idx="5">
                  <c:v>18</c:v>
                </c:pt>
                <c:pt idx="6">
                  <c:v>18</c:v>
                </c:pt>
              </c:numCache>
            </c:numRef>
          </c:val>
          <c:extLst>
            <c:ext xmlns:c16="http://schemas.microsoft.com/office/drawing/2014/chart" uri="{C3380CC4-5D6E-409C-BE32-E72D297353CC}">
              <c16:uniqueId val="{00000003-ADFE-4B80-8DF6-504C2BD1FE5F}"/>
            </c:ext>
          </c:extLst>
        </c:ser>
        <c:ser>
          <c:idx val="3"/>
          <c:order val="3"/>
          <c:tx>
            <c:strRef>
              <c:f>Summary_unsuppressed!$H$3</c:f>
              <c:strCache>
                <c:ptCount val="1"/>
                <c:pt idx="0">
                  <c:v>LAM-tests</c:v>
                </c:pt>
              </c:strCache>
            </c:strRef>
          </c:tx>
          <c:spPr>
            <a:solidFill>
              <a:srgbClr val="AF1FC7"/>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Summary_unsuppressed!$D$4:$D$15</c:f>
              <c:multiLvlStrCache>
                <c:ptCount val="7"/>
                <c:lvl>
                  <c:pt idx="0">
                    <c:v>Qtr_4</c:v>
                  </c:pt>
                  <c:pt idx="1">
                    <c:v>Qtr_2</c:v>
                  </c:pt>
                  <c:pt idx="2">
                    <c:v>Qtr_3</c:v>
                  </c:pt>
                  <c:pt idx="3">
                    <c:v>Qtr_4</c:v>
                  </c:pt>
                  <c:pt idx="4">
                    <c:v>Qtr_1</c:v>
                  </c:pt>
                  <c:pt idx="5">
                    <c:v>Qtr_2</c:v>
                  </c:pt>
                  <c:pt idx="6">
                    <c:v>(blank)</c:v>
                  </c:pt>
                </c:lvl>
                <c:lvl>
                  <c:pt idx="0">
                    <c:v>COP_22</c:v>
                  </c:pt>
                  <c:pt idx="1">
                    <c:v>COP_23</c:v>
                  </c:pt>
                  <c:pt idx="4">
                    <c:v>COP_24</c:v>
                  </c:pt>
                  <c:pt idx="6">
                    <c:v>(blank)</c:v>
                  </c:pt>
                </c:lvl>
              </c:multiLvlStrCache>
            </c:multiLvlStrRef>
          </c:cat>
          <c:val>
            <c:numRef>
              <c:f>Summary_unsuppressed!$H$4:$H$15</c:f>
              <c:numCache>
                <c:formatCode>General</c:formatCode>
                <c:ptCount val="7"/>
                <c:pt idx="0">
                  <c:v>0</c:v>
                </c:pt>
                <c:pt idx="1">
                  <c:v>5</c:v>
                </c:pt>
                <c:pt idx="2">
                  <c:v>5</c:v>
                </c:pt>
                <c:pt idx="3">
                  <c:v>10</c:v>
                </c:pt>
                <c:pt idx="4">
                  <c:v>11</c:v>
                </c:pt>
                <c:pt idx="5">
                  <c:v>20</c:v>
                </c:pt>
                <c:pt idx="6">
                  <c:v>30</c:v>
                </c:pt>
              </c:numCache>
            </c:numRef>
          </c:val>
          <c:extLst>
            <c:ext xmlns:c16="http://schemas.microsoft.com/office/drawing/2014/chart" uri="{C3380CC4-5D6E-409C-BE32-E72D297353CC}">
              <c16:uniqueId val="{00000004-ADFE-4B80-8DF6-504C2BD1FE5F}"/>
            </c:ext>
          </c:extLst>
        </c:ser>
        <c:dLbls>
          <c:dLblPos val="outEnd"/>
          <c:showLegendKey val="0"/>
          <c:showVal val="1"/>
          <c:showCatName val="0"/>
          <c:showSerName val="0"/>
          <c:showPercent val="0"/>
          <c:showBubbleSize val="0"/>
        </c:dLbls>
        <c:gapWidth val="100"/>
        <c:overlap val="-24"/>
        <c:axId val="798768496"/>
        <c:axId val="798764536"/>
      </c:barChart>
      <c:lineChart>
        <c:grouping val="standard"/>
        <c:varyColors val="0"/>
        <c:ser>
          <c:idx val="4"/>
          <c:order val="4"/>
          <c:tx>
            <c:strRef>
              <c:f>Summary_unsuppressed!$I$3</c:f>
              <c:strCache>
                <c:ptCount val="1"/>
                <c:pt idx="0">
                  <c:v>CD4_cov%</c:v>
                </c:pt>
              </c:strCache>
            </c:strRef>
          </c:tx>
          <c:spPr>
            <a:ln w="12700" cap="rnd">
              <a:solidFill>
                <a:srgbClr val="449BCC"/>
              </a:solidFill>
              <a:round/>
            </a:ln>
            <a:effectLst>
              <a:outerShdw blurRad="57150" dist="19050" dir="5400000" algn="ctr" rotWithShape="0">
                <a:srgbClr val="000000">
                  <a:alpha val="63000"/>
                </a:srgbClr>
              </a:outerShdw>
            </a:effectLst>
          </c:spPr>
          <c:marker>
            <c:symbol val="circle"/>
            <c:size val="6"/>
            <c:spPr>
              <a:solidFill>
                <a:srgbClr val="449BCC"/>
              </a:solidFill>
              <a:ln w="9525">
                <a:no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Summary_unsuppressed!$D$4:$D$15</c:f>
              <c:multiLvlStrCache>
                <c:ptCount val="7"/>
                <c:lvl>
                  <c:pt idx="0">
                    <c:v>Qtr_4</c:v>
                  </c:pt>
                  <c:pt idx="1">
                    <c:v>Qtr_2</c:v>
                  </c:pt>
                  <c:pt idx="2">
                    <c:v>Qtr_3</c:v>
                  </c:pt>
                  <c:pt idx="3">
                    <c:v>Qtr_4</c:v>
                  </c:pt>
                  <c:pt idx="4">
                    <c:v>Qtr_1</c:v>
                  </c:pt>
                  <c:pt idx="5">
                    <c:v>Qtr_2</c:v>
                  </c:pt>
                  <c:pt idx="6">
                    <c:v>(blank)</c:v>
                  </c:pt>
                </c:lvl>
                <c:lvl>
                  <c:pt idx="0">
                    <c:v>COP_22</c:v>
                  </c:pt>
                  <c:pt idx="1">
                    <c:v>COP_23</c:v>
                  </c:pt>
                  <c:pt idx="4">
                    <c:v>COP_24</c:v>
                  </c:pt>
                  <c:pt idx="6">
                    <c:v>(blank)</c:v>
                  </c:pt>
                </c:lvl>
              </c:multiLvlStrCache>
            </c:multiLvlStrRef>
          </c:cat>
          <c:val>
            <c:numRef>
              <c:f>Summary_unsuppressed!$I$4:$I$15</c:f>
              <c:numCache>
                <c:formatCode>0%</c:formatCode>
                <c:ptCount val="7"/>
                <c:pt idx="0">
                  <c:v>#N/A</c:v>
                </c:pt>
                <c:pt idx="1">
                  <c:v>0.27777777777777779</c:v>
                </c:pt>
                <c:pt idx="2">
                  <c:v>0.24489795918367346</c:v>
                </c:pt>
                <c:pt idx="3">
                  <c:v>0.19745222929936307</c:v>
                </c:pt>
                <c:pt idx="4">
                  <c:v>0.16666666666666666</c:v>
                </c:pt>
                <c:pt idx="5">
                  <c:v>0.24489795918367346</c:v>
                </c:pt>
                <c:pt idx="6">
                  <c:v>0.16901408450704225</c:v>
                </c:pt>
              </c:numCache>
            </c:numRef>
          </c:val>
          <c:smooth val="1"/>
          <c:extLst>
            <c:ext xmlns:c16="http://schemas.microsoft.com/office/drawing/2014/chart" uri="{C3380CC4-5D6E-409C-BE32-E72D297353CC}">
              <c16:uniqueId val="{00000005-ADFE-4B80-8DF6-504C2BD1FE5F}"/>
            </c:ext>
          </c:extLst>
        </c:ser>
        <c:dLbls>
          <c:showLegendKey val="0"/>
          <c:showVal val="0"/>
          <c:showCatName val="0"/>
          <c:showSerName val="0"/>
          <c:showPercent val="0"/>
          <c:showBubbleSize val="0"/>
        </c:dLbls>
        <c:marker val="1"/>
        <c:smooth val="0"/>
        <c:axId val="937846744"/>
        <c:axId val="937845664"/>
      </c:lineChart>
      <c:catAx>
        <c:axId val="79876849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98764536"/>
        <c:crosses val="autoZero"/>
        <c:auto val="1"/>
        <c:lblAlgn val="ctr"/>
        <c:lblOffset val="100"/>
        <c:noMultiLvlLbl val="0"/>
      </c:catAx>
      <c:valAx>
        <c:axId val="798764536"/>
        <c:scaling>
          <c:orientation val="minMax"/>
        </c:scaling>
        <c:delete val="0"/>
        <c:axPos val="l"/>
        <c:title>
          <c:tx>
            <c:rich>
              <a:bodyPr rot="-54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r>
                  <a:rPr lang="en-US"/>
                  <a:t>Number of people screened</a:t>
                </a:r>
              </a:p>
            </c:rich>
          </c:tx>
          <c:layout>
            <c:manualLayout>
              <c:xMode val="edge"/>
              <c:yMode val="edge"/>
              <c:x val="4.8683362343311153E-3"/>
              <c:y val="0.3782149852011733"/>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98768496"/>
        <c:crosses val="autoZero"/>
        <c:crossBetween val="between"/>
      </c:valAx>
      <c:valAx>
        <c:axId val="937845664"/>
        <c:scaling>
          <c:orientation val="minMax"/>
          <c:max val="1"/>
          <c:min val="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937846744"/>
        <c:crosses val="max"/>
        <c:crossBetween val="between"/>
      </c:valAx>
      <c:catAx>
        <c:axId val="937846744"/>
        <c:scaling>
          <c:orientation val="minMax"/>
        </c:scaling>
        <c:delete val="1"/>
        <c:axPos val="b"/>
        <c:numFmt formatCode="General" sourceLinked="1"/>
        <c:majorTickMark val="out"/>
        <c:minorTickMark val="none"/>
        <c:tickLblPos val="nextTo"/>
        <c:crossAx val="937845664"/>
        <c:crosses val="autoZero"/>
        <c:auto val="1"/>
        <c:lblAlgn val="ctr"/>
        <c:lblOffset val="100"/>
        <c:noMultiLvlLbl val="0"/>
      </c:catAx>
      <c:spPr>
        <a:noFill/>
        <a:ln>
          <a:noFill/>
        </a:ln>
        <a:effectLst/>
      </c:spPr>
    </c:plotArea>
    <c:legend>
      <c:legendPos val="r"/>
      <c:layout>
        <c:manualLayout>
          <c:xMode val="edge"/>
          <c:yMode val="edge"/>
          <c:x val="3.9392639934986637E-2"/>
          <c:y val="0.92311330182439622"/>
          <c:w val="0.94094996747005422"/>
          <c:h val="7.6524425863076118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[AHD_Reporting_Form.xlsx]Summary_unsuppressed!PivotTable11</c:name>
    <c:fmtId val="11"/>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GB"/>
              <a:t>AHD Yield among ROC identified with unsuppressed VL</a:t>
            </a:r>
          </a:p>
        </c:rich>
      </c:tx>
      <c:layout>
        <c:manualLayout>
          <c:xMode val="edge"/>
          <c:yMode val="edge"/>
          <c:x val="0.14325633083929337"/>
          <c:y val="1.0564124234100993E-2"/>
        </c:manualLayout>
      </c:layout>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spPr>
          <a:ln w="19050" cap="rnd">
            <a:solidFill>
              <a:srgbClr val="449BCC"/>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19050" cap="rnd">
            <a:solidFill>
              <a:srgbClr val="7030A0"/>
            </a:solidFill>
            <a:round/>
          </a:ln>
          <a:effectLst>
            <a:outerShdw blurRad="57150" dist="19050" dir="5400000" algn="ctr" rotWithShape="0">
              <a:srgbClr val="000000">
                <a:alpha val="63000"/>
              </a:srgbClr>
            </a:outerShdw>
          </a:effectLst>
        </c:spPr>
        <c:marker>
          <c:symbol val="circle"/>
          <c:size val="6"/>
          <c:spPr>
            <a:solidFill>
              <a:srgbClr val="7030A0"/>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19050" cap="rnd">
            <a:solidFill>
              <a:srgbClr val="6CAEA5"/>
            </a:solidFill>
            <a:round/>
          </a:ln>
          <a:effectLst>
            <a:outerShdw blurRad="57150" dist="19050" dir="5400000" algn="ctr" rotWithShape="0">
              <a:srgbClr val="000000">
                <a:alpha val="63000"/>
              </a:srgbClr>
            </a:outerShdw>
          </a:effectLst>
        </c:spPr>
        <c:marker>
          <c:symbol val="circle"/>
          <c:size val="6"/>
          <c:spPr>
            <a:solidFill>
              <a:srgbClr val="6CAEA5"/>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1249603362593"/>
          <c:y val="0.10710109091393162"/>
          <c:w val="0.85829881435525568"/>
          <c:h val="0.70415099739751463"/>
        </c:manualLayout>
      </c:layout>
      <c:lineChart>
        <c:grouping val="standard"/>
        <c:varyColors val="0"/>
        <c:ser>
          <c:idx val="0"/>
          <c:order val="0"/>
          <c:tx>
            <c:strRef>
              <c:f>Summary_unsuppressed!$N$3</c:f>
              <c:strCache>
                <c:ptCount val="1"/>
                <c:pt idx="0">
                  <c:v>Sum of CD4_yield</c:v>
                </c:pt>
              </c:strCache>
            </c:strRef>
          </c:tx>
          <c:spPr>
            <a:ln w="19050" cap="rnd">
              <a:solidFill>
                <a:srgbClr val="449BCC"/>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Summary_unsuppressed!$M$4:$M$15</c:f>
              <c:multiLvlStrCache>
                <c:ptCount val="7"/>
                <c:lvl>
                  <c:pt idx="0">
                    <c:v>Qtr_4</c:v>
                  </c:pt>
                  <c:pt idx="1">
                    <c:v>Qtr_2</c:v>
                  </c:pt>
                  <c:pt idx="2">
                    <c:v>Qtr_3</c:v>
                  </c:pt>
                  <c:pt idx="3">
                    <c:v>Qtr_4</c:v>
                  </c:pt>
                  <c:pt idx="4">
                    <c:v>Qtr_1</c:v>
                  </c:pt>
                  <c:pt idx="5">
                    <c:v>Qtr_2</c:v>
                  </c:pt>
                  <c:pt idx="6">
                    <c:v>(blank)</c:v>
                  </c:pt>
                </c:lvl>
                <c:lvl>
                  <c:pt idx="0">
                    <c:v>COP_22</c:v>
                  </c:pt>
                  <c:pt idx="1">
                    <c:v>COP_23</c:v>
                  </c:pt>
                  <c:pt idx="4">
                    <c:v>COP_24</c:v>
                  </c:pt>
                  <c:pt idx="6">
                    <c:v>(blank)</c:v>
                  </c:pt>
                </c:lvl>
              </c:multiLvlStrCache>
            </c:multiLvlStrRef>
          </c:cat>
          <c:val>
            <c:numRef>
              <c:f>Summary_unsuppressed!$N$4:$N$15</c:f>
              <c:numCache>
                <c:formatCode>0%</c:formatCode>
                <c:ptCount val="7"/>
                <c:pt idx="0">
                  <c:v>#N/A</c:v>
                </c:pt>
                <c:pt idx="1">
                  <c:v>0.26666666666666666</c:v>
                </c:pt>
                <c:pt idx="2">
                  <c:v>0.19444444444444445</c:v>
                </c:pt>
                <c:pt idx="3">
                  <c:v>0.29032258064516131</c:v>
                </c:pt>
                <c:pt idx="4">
                  <c:v>0.27272727272727271</c:v>
                </c:pt>
                <c:pt idx="5">
                  <c:v>8.3333333333333329E-2</c:v>
                </c:pt>
                <c:pt idx="6">
                  <c:v>0.5</c:v>
                </c:pt>
              </c:numCache>
            </c:numRef>
          </c:val>
          <c:smooth val="1"/>
          <c:extLst>
            <c:ext xmlns:c16="http://schemas.microsoft.com/office/drawing/2014/chart" uri="{C3380CC4-5D6E-409C-BE32-E72D297353CC}">
              <c16:uniqueId val="{00000000-3E85-4106-87DD-DA13B5420C8B}"/>
            </c:ext>
          </c:extLst>
        </c:ser>
        <c:ser>
          <c:idx val="1"/>
          <c:order val="1"/>
          <c:tx>
            <c:strRef>
              <c:f>Summary_unsuppressed!$O$3</c:f>
              <c:strCache>
                <c:ptCount val="1"/>
                <c:pt idx="0">
                  <c:v>Sum of LAM+%</c:v>
                </c:pt>
              </c:strCache>
            </c:strRef>
          </c:tx>
          <c:spPr>
            <a:ln w="19050" cap="rnd">
              <a:solidFill>
                <a:srgbClr val="7030A0"/>
              </a:solidFill>
              <a:round/>
            </a:ln>
            <a:effectLst>
              <a:outerShdw blurRad="57150" dist="19050" dir="5400000" algn="ctr" rotWithShape="0">
                <a:srgbClr val="000000">
                  <a:alpha val="63000"/>
                </a:srgbClr>
              </a:outerShdw>
            </a:effectLst>
          </c:spPr>
          <c:marker>
            <c:symbol val="circle"/>
            <c:size val="6"/>
            <c:spPr>
              <a:solidFill>
                <a:srgbClr val="7030A0"/>
              </a:solidFill>
              <a:ln w="9525">
                <a:no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Summary_unsuppressed!$M$4:$M$15</c:f>
              <c:multiLvlStrCache>
                <c:ptCount val="7"/>
                <c:lvl>
                  <c:pt idx="0">
                    <c:v>Qtr_4</c:v>
                  </c:pt>
                  <c:pt idx="1">
                    <c:v>Qtr_2</c:v>
                  </c:pt>
                  <c:pt idx="2">
                    <c:v>Qtr_3</c:v>
                  </c:pt>
                  <c:pt idx="3">
                    <c:v>Qtr_4</c:v>
                  </c:pt>
                  <c:pt idx="4">
                    <c:v>Qtr_1</c:v>
                  </c:pt>
                  <c:pt idx="5">
                    <c:v>Qtr_2</c:v>
                  </c:pt>
                  <c:pt idx="6">
                    <c:v>(blank)</c:v>
                  </c:pt>
                </c:lvl>
                <c:lvl>
                  <c:pt idx="0">
                    <c:v>COP_22</c:v>
                  </c:pt>
                  <c:pt idx="1">
                    <c:v>COP_23</c:v>
                  </c:pt>
                  <c:pt idx="4">
                    <c:v>COP_24</c:v>
                  </c:pt>
                  <c:pt idx="6">
                    <c:v>(blank)</c:v>
                  </c:pt>
                </c:lvl>
              </c:multiLvlStrCache>
            </c:multiLvlStrRef>
          </c:cat>
          <c:val>
            <c:numRef>
              <c:f>Summary_unsuppressed!$O$4:$O$15</c:f>
              <c:numCache>
                <c:formatCode>0%</c:formatCode>
                <c:ptCount val="7"/>
                <c:pt idx="0">
                  <c:v>#N/A</c:v>
                </c:pt>
                <c:pt idx="1">
                  <c:v>0.6</c:v>
                </c:pt>
                <c:pt idx="2">
                  <c:v>0.4</c:v>
                </c:pt>
                <c:pt idx="3">
                  <c:v>0.1</c:v>
                </c:pt>
                <c:pt idx="4">
                  <c:v>0.18181818181818182</c:v>
                </c:pt>
                <c:pt idx="5">
                  <c:v>0.15</c:v>
                </c:pt>
                <c:pt idx="6">
                  <c:v>0.1</c:v>
                </c:pt>
              </c:numCache>
            </c:numRef>
          </c:val>
          <c:smooth val="1"/>
          <c:extLst>
            <c:ext xmlns:c16="http://schemas.microsoft.com/office/drawing/2014/chart" uri="{C3380CC4-5D6E-409C-BE32-E72D297353CC}">
              <c16:uniqueId val="{00000001-3E85-4106-87DD-DA13B5420C8B}"/>
            </c:ext>
          </c:extLst>
        </c:ser>
        <c:ser>
          <c:idx val="2"/>
          <c:order val="2"/>
          <c:tx>
            <c:strRef>
              <c:f>Summary_unsuppressed!$P$3</c:f>
              <c:strCache>
                <c:ptCount val="1"/>
                <c:pt idx="0">
                  <c:v>Sum of CrAG+%</c:v>
                </c:pt>
              </c:strCache>
            </c:strRef>
          </c:tx>
          <c:spPr>
            <a:ln w="19050" cap="rnd">
              <a:solidFill>
                <a:srgbClr val="6CAEA5"/>
              </a:solidFill>
              <a:round/>
            </a:ln>
            <a:effectLst>
              <a:outerShdw blurRad="57150" dist="19050" dir="5400000" algn="ctr" rotWithShape="0">
                <a:srgbClr val="000000">
                  <a:alpha val="63000"/>
                </a:srgbClr>
              </a:outerShdw>
            </a:effectLst>
          </c:spPr>
          <c:marker>
            <c:symbol val="circle"/>
            <c:size val="6"/>
            <c:spPr>
              <a:solidFill>
                <a:srgbClr val="6CAEA5"/>
              </a:solidFill>
              <a:ln w="9525">
                <a:no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Summary_unsuppressed!$M$4:$M$15</c:f>
              <c:multiLvlStrCache>
                <c:ptCount val="7"/>
                <c:lvl>
                  <c:pt idx="0">
                    <c:v>Qtr_4</c:v>
                  </c:pt>
                  <c:pt idx="1">
                    <c:v>Qtr_2</c:v>
                  </c:pt>
                  <c:pt idx="2">
                    <c:v>Qtr_3</c:v>
                  </c:pt>
                  <c:pt idx="3">
                    <c:v>Qtr_4</c:v>
                  </c:pt>
                  <c:pt idx="4">
                    <c:v>Qtr_1</c:v>
                  </c:pt>
                  <c:pt idx="5">
                    <c:v>Qtr_2</c:v>
                  </c:pt>
                  <c:pt idx="6">
                    <c:v>(blank)</c:v>
                  </c:pt>
                </c:lvl>
                <c:lvl>
                  <c:pt idx="0">
                    <c:v>COP_22</c:v>
                  </c:pt>
                  <c:pt idx="1">
                    <c:v>COP_23</c:v>
                  </c:pt>
                  <c:pt idx="4">
                    <c:v>COP_24</c:v>
                  </c:pt>
                  <c:pt idx="6">
                    <c:v>(blank)</c:v>
                  </c:pt>
                </c:lvl>
              </c:multiLvlStrCache>
            </c:multiLvlStrRef>
          </c:cat>
          <c:val>
            <c:numRef>
              <c:f>Summary_unsuppressed!$P$4:$P$15</c:f>
              <c:numCache>
                <c:formatCode>0%</c:formatCode>
                <c:ptCount val="7"/>
                <c:pt idx="0">
                  <c:v>#N/A</c:v>
                </c:pt>
                <c:pt idx="1">
                  <c:v>0</c:v>
                </c:pt>
                <c:pt idx="2">
                  <c:v>0.25</c:v>
                </c:pt>
                <c:pt idx="3">
                  <c:v>0</c:v>
                </c:pt>
                <c:pt idx="4">
                  <c:v>0</c:v>
                </c:pt>
                <c:pt idx="5">
                  <c:v>0</c:v>
                </c:pt>
                <c:pt idx="6">
                  <c:v>0</c:v>
                </c:pt>
              </c:numCache>
            </c:numRef>
          </c:val>
          <c:smooth val="1"/>
          <c:extLst>
            <c:ext xmlns:c16="http://schemas.microsoft.com/office/drawing/2014/chart" uri="{C3380CC4-5D6E-409C-BE32-E72D297353CC}">
              <c16:uniqueId val="{00000002-3E85-4106-87DD-DA13B5420C8B}"/>
            </c:ext>
          </c:extLst>
        </c:ser>
        <c:dLbls>
          <c:showLegendKey val="0"/>
          <c:showVal val="1"/>
          <c:showCatName val="0"/>
          <c:showSerName val="0"/>
          <c:showPercent val="0"/>
          <c:showBubbleSize val="0"/>
        </c:dLbls>
        <c:marker val="1"/>
        <c:smooth val="0"/>
        <c:axId val="1334351632"/>
        <c:axId val="1334360272"/>
      </c:lineChart>
      <c:catAx>
        <c:axId val="133435163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34360272"/>
        <c:crosses val="autoZero"/>
        <c:auto val="1"/>
        <c:lblAlgn val="ctr"/>
        <c:lblOffset val="100"/>
        <c:noMultiLvlLbl val="0"/>
      </c:catAx>
      <c:valAx>
        <c:axId val="1334360272"/>
        <c:scaling>
          <c:orientation val="minMax"/>
          <c:max val="1"/>
          <c:min val="0"/>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34351632"/>
        <c:crosses val="autoZero"/>
        <c:crossBetween val="between"/>
      </c:valAx>
      <c:spPr>
        <a:noFill/>
        <a:ln>
          <a:noFill/>
        </a:ln>
        <a:effectLst/>
      </c:spPr>
    </c:plotArea>
    <c:legend>
      <c:legendPos val="r"/>
      <c:layout>
        <c:manualLayout>
          <c:xMode val="edge"/>
          <c:yMode val="edge"/>
          <c:x val="4.4682140489593564E-3"/>
          <c:y val="0.92617107892149442"/>
          <c:w val="0.97608193877126848"/>
          <c:h val="5.843341523995535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[AHD_Reporting_Form.xlsx]New HIV pos!PivotTable2</c:name>
    <c:fmtId val="169"/>
  </c:pivotSource>
  <c:chart>
    <c:title>
      <c:tx>
        <c:rich>
          <a:bodyPr rot="0" spcFirstLastPara="1" vertOverflow="ellipsis" vert="horz" wrap="square" anchor="ctr" anchorCtr="1"/>
          <a:lstStyle/>
          <a:p>
            <a:pPr>
              <a:defRPr sz="1600" b="1" i="0" u="sng" strike="noStrike" kern="1200" baseline="0">
                <a:solidFill>
                  <a:sysClr val="windowText" lastClr="000000"/>
                </a:solidFill>
                <a:latin typeface="+mn-lt"/>
                <a:ea typeface="+mn-ea"/>
                <a:cs typeface="+mn-cs"/>
              </a:defRPr>
            </a:pPr>
            <a:r>
              <a:rPr lang="en-US" sz="1600" b="1" i="0" u="sng" strike="noStrike" kern="1200" baseline="0">
                <a:solidFill>
                  <a:sysClr val="windowText" lastClr="000000"/>
                </a:solidFill>
              </a:rPr>
              <a:t>AHD Yield among new HIV+ </a:t>
            </a:r>
          </a:p>
        </c:rich>
      </c:tx>
      <c:layout>
        <c:manualLayout>
          <c:xMode val="edge"/>
          <c:yMode val="edge"/>
          <c:x val="0.36045789786849058"/>
          <c:y val="1.0741862550549623E-2"/>
        </c:manualLayout>
      </c:layout>
      <c:overlay val="0"/>
      <c:spPr>
        <a:noFill/>
        <a:ln>
          <a:noFill/>
        </a:ln>
        <a:effectLst/>
      </c:spPr>
      <c:txPr>
        <a:bodyPr rot="0" spcFirstLastPara="1" vertOverflow="ellipsis" vert="horz" wrap="square" anchor="ctr" anchorCtr="1"/>
        <a:lstStyle/>
        <a:p>
          <a:pPr>
            <a:defRPr sz="1600" b="1" i="0" u="sng" strike="noStrike" kern="1200" baseline="0">
              <a:solidFill>
                <a:sysClr val="windowText" lastClr="000000"/>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2"/>
            </a:solidFill>
            <a:round/>
          </a:ln>
          <a:effectLst>
            <a:outerShdw blurRad="57150" dist="19050" dir="5400000" algn="ctr" rotWithShape="0">
              <a:srgbClr val="000000">
                <a:alpha val="63000"/>
              </a:srgbClr>
            </a:outerShdw>
          </a:effectLst>
        </c:spPr>
        <c:marker>
          <c:symbol val="circle"/>
          <c:size val="4"/>
          <c:spPr>
            <a:solidFill>
              <a:schemeClr val="accent2"/>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5"/>
            </a:solidFill>
            <a:round/>
          </a:ln>
          <a:effectLst>
            <a:outerShdw blurRad="57150" dist="19050" dir="5400000" algn="ctr" rotWithShape="0">
              <a:srgbClr val="000000">
                <a:alpha val="63000"/>
              </a:srgbClr>
            </a:outerShdw>
          </a:effectLst>
        </c:spPr>
        <c:marker>
          <c:symbol val="circle"/>
          <c:size val="4"/>
          <c:spPr>
            <a:solidFill>
              <a:schemeClr val="accent5"/>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10"/>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2"/>
            </a:solidFill>
            <a:round/>
          </a:ln>
          <a:effectLst>
            <a:outerShdw blurRad="57150" dist="19050" dir="5400000" algn="ctr" rotWithShape="0">
              <a:srgbClr val="000000">
                <a:alpha val="63000"/>
              </a:srgbClr>
            </a:outerShdw>
          </a:effectLst>
        </c:spPr>
        <c:marker>
          <c:symbol val="circle"/>
          <c:size val="4"/>
          <c:spPr>
            <a:solidFill>
              <a:schemeClr val="accent2"/>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5"/>
            </a:solidFill>
            <a:round/>
          </a:ln>
          <a:effectLst>
            <a:outerShdw blurRad="57150" dist="19050" dir="5400000" algn="ctr" rotWithShape="0">
              <a:srgbClr val="000000">
                <a:alpha val="63000"/>
              </a:srgbClr>
            </a:outerShdw>
          </a:effectLst>
        </c:spPr>
        <c:marker>
          <c:symbol val="circle"/>
          <c:size val="4"/>
          <c:spPr>
            <a:solidFill>
              <a:schemeClr val="accent5"/>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2"/>
            </a:solidFill>
            <a:round/>
          </a:ln>
          <a:effectLst>
            <a:outerShdw blurRad="57150" dist="19050" dir="5400000" algn="ctr" rotWithShape="0">
              <a:srgbClr val="000000">
                <a:alpha val="63000"/>
              </a:srgbClr>
            </a:outerShdw>
          </a:effectLst>
        </c:spPr>
        <c:marker>
          <c:symbol val="circle"/>
          <c:size val="4"/>
          <c:spPr>
            <a:solidFill>
              <a:schemeClr val="accent2"/>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5"/>
            </a:solidFill>
            <a:round/>
          </a:ln>
          <a:effectLst>
            <a:outerShdw blurRad="57150" dist="19050" dir="5400000" algn="ctr" rotWithShape="0">
              <a:srgbClr val="000000">
                <a:alpha val="63000"/>
              </a:srgbClr>
            </a:outerShdw>
          </a:effectLst>
        </c:spPr>
        <c:marker>
          <c:symbol val="circle"/>
          <c:size val="4"/>
          <c:spPr>
            <a:solidFill>
              <a:schemeClr val="accent5"/>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2"/>
            </a:solidFill>
            <a:round/>
          </a:ln>
          <a:effectLst>
            <a:outerShdw blurRad="57150" dist="19050" dir="5400000" algn="ctr" rotWithShape="0">
              <a:srgbClr val="000000">
                <a:alpha val="63000"/>
              </a:srgbClr>
            </a:outerShdw>
          </a:effectLst>
        </c:spPr>
        <c:marker>
          <c:symbol val="circle"/>
          <c:size val="4"/>
          <c:spPr>
            <a:solidFill>
              <a:schemeClr val="accent2"/>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5"/>
            </a:solidFill>
            <a:round/>
          </a:ln>
          <a:effectLst>
            <a:outerShdw blurRad="57150" dist="19050" dir="5400000" algn="ctr" rotWithShape="0">
              <a:srgbClr val="000000">
                <a:alpha val="63000"/>
              </a:srgbClr>
            </a:outerShdw>
          </a:effectLst>
        </c:spPr>
        <c:marker>
          <c:symbol val="circle"/>
          <c:size val="4"/>
          <c:spPr>
            <a:solidFill>
              <a:schemeClr val="accent5"/>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2"/>
            </a:solidFill>
            <a:round/>
          </a:ln>
          <a:effectLst>
            <a:outerShdw blurRad="57150" dist="19050" dir="5400000" algn="ctr" rotWithShape="0">
              <a:srgbClr val="000000">
                <a:alpha val="63000"/>
              </a:srgbClr>
            </a:outerShdw>
          </a:effectLst>
        </c:spPr>
        <c:marker>
          <c:symbol val="circle"/>
          <c:size val="4"/>
          <c:spPr>
            <a:solidFill>
              <a:schemeClr val="accent2"/>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5"/>
            </a:solidFill>
            <a:round/>
          </a:ln>
          <a:effectLst>
            <a:outerShdw blurRad="57150" dist="19050" dir="5400000" algn="ctr" rotWithShape="0">
              <a:srgbClr val="000000">
                <a:alpha val="63000"/>
              </a:srgbClr>
            </a:outerShdw>
          </a:effectLst>
        </c:spPr>
        <c:marker>
          <c:symbol val="circle"/>
          <c:size val="4"/>
          <c:spPr>
            <a:solidFill>
              <a:schemeClr val="accent5"/>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2"/>
            </a:solidFill>
            <a:round/>
          </a:ln>
          <a:effectLst>
            <a:outerShdw blurRad="57150" dist="19050" dir="5400000" algn="ctr" rotWithShape="0">
              <a:srgbClr val="000000">
                <a:alpha val="63000"/>
              </a:srgbClr>
            </a:outerShdw>
          </a:effectLst>
        </c:spPr>
        <c:marker>
          <c:symbol val="circle"/>
          <c:size val="4"/>
          <c:spPr>
            <a:solidFill>
              <a:schemeClr val="accent2"/>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5"/>
            </a:solidFill>
            <a:round/>
          </a:ln>
          <a:effectLst>
            <a:outerShdw blurRad="57150" dist="19050" dir="5400000" algn="ctr" rotWithShape="0">
              <a:srgbClr val="000000">
                <a:alpha val="63000"/>
              </a:srgbClr>
            </a:outerShdw>
          </a:effectLst>
        </c:spPr>
        <c:marker>
          <c:symbol val="circle"/>
          <c:size val="4"/>
          <c:spPr>
            <a:solidFill>
              <a:schemeClr val="accent5"/>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2"/>
            </a:solidFill>
            <a:round/>
          </a:ln>
          <a:effectLst>
            <a:outerShdw blurRad="57150" dist="19050" dir="5400000" algn="ctr" rotWithShape="0">
              <a:srgbClr val="000000">
                <a:alpha val="63000"/>
              </a:srgbClr>
            </a:outerShdw>
          </a:effectLst>
        </c:spPr>
        <c:marker>
          <c:symbol val="circle"/>
          <c:size val="4"/>
          <c:spPr>
            <a:solidFill>
              <a:schemeClr val="accent2"/>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5"/>
            </a:solidFill>
            <a:round/>
          </a:ln>
          <a:effectLst>
            <a:outerShdw blurRad="57150" dist="19050" dir="5400000" algn="ctr" rotWithShape="0">
              <a:srgbClr val="000000">
                <a:alpha val="63000"/>
              </a:srgbClr>
            </a:outerShdw>
          </a:effectLst>
        </c:spPr>
        <c:marker>
          <c:symbol val="circle"/>
          <c:size val="4"/>
          <c:spPr>
            <a:solidFill>
              <a:schemeClr val="accent5"/>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2"/>
            </a:solidFill>
            <a:round/>
          </a:ln>
          <a:effectLst>
            <a:outerShdw blurRad="57150" dist="19050" dir="5400000" algn="ctr" rotWithShape="0">
              <a:srgbClr val="000000">
                <a:alpha val="63000"/>
              </a:srgbClr>
            </a:outerShdw>
          </a:effectLst>
        </c:spPr>
        <c:marker>
          <c:symbol val="circle"/>
          <c:size val="4"/>
          <c:spPr>
            <a:solidFill>
              <a:schemeClr val="accent2"/>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5"/>
            </a:solidFill>
            <a:round/>
          </a:ln>
          <a:effectLst>
            <a:outerShdw blurRad="57150" dist="19050" dir="5400000" algn="ctr" rotWithShape="0">
              <a:srgbClr val="000000">
                <a:alpha val="63000"/>
              </a:srgbClr>
            </a:outerShdw>
          </a:effectLst>
        </c:spPr>
        <c:marker>
          <c:symbol val="circle"/>
          <c:size val="4"/>
          <c:spPr>
            <a:solidFill>
              <a:schemeClr val="accent5"/>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5"/>
        <c:spPr>
          <a:ln w="19050" cap="rnd">
            <a:solidFill>
              <a:schemeClr val="accent2"/>
            </a:solidFill>
            <a:round/>
          </a:ln>
          <a:effectLst>
            <a:outerShdw blurRad="57150" dist="19050" dir="5400000" algn="ctr" rotWithShape="0">
              <a:srgbClr val="000000">
                <a:alpha val="63000"/>
              </a:srgbClr>
            </a:outerShdw>
          </a:effectLst>
        </c:spPr>
        <c:marker>
          <c:symbol val="circle"/>
          <c:size val="4"/>
          <c:spPr>
            <a:solidFill>
              <a:schemeClr val="accent2"/>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6"/>
        <c:spPr>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83"/>
        <c:spPr>
          <a:ln w="19050" cap="rnd">
            <a:solidFill>
              <a:schemeClr val="accent5"/>
            </a:solidFill>
            <a:round/>
          </a:ln>
          <a:effectLst>
            <a:outerShdw blurRad="57150" dist="19050" dir="5400000" algn="ctr" rotWithShape="0">
              <a:srgbClr val="000000">
                <a:alpha val="63000"/>
              </a:srgbClr>
            </a:outerShdw>
          </a:effectLst>
        </c:spPr>
        <c:marker>
          <c:symbol val="circle"/>
          <c:size val="4"/>
          <c:spPr>
            <a:solidFill>
              <a:schemeClr val="accent5"/>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5"/>
            </a:solidFill>
            <a:round/>
          </a:ln>
          <a:effectLst>
            <a:outerShdw blurRad="57150" dist="19050" dir="5400000" algn="ctr" rotWithShape="0">
              <a:srgbClr val="000000">
                <a:alpha val="63000"/>
              </a:srgbClr>
            </a:outerShdw>
          </a:effectLst>
        </c:spPr>
        <c:marker>
          <c:symbol val="circle"/>
          <c:size val="4"/>
          <c:spPr>
            <a:solidFill>
              <a:schemeClr val="accent5"/>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85"/>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86"/>
        <c:spPr>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87"/>
        <c:spPr>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88"/>
        <c:spPr>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89"/>
        <c:spPr>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90"/>
        <c:spPr>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91"/>
        <c:spPr>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s>
    <c:plotArea>
      <c:layout>
        <c:manualLayout>
          <c:layoutTarget val="inner"/>
          <c:xMode val="edge"/>
          <c:yMode val="edge"/>
          <c:x val="0.15376187519955364"/>
          <c:y val="9.04093394699058E-2"/>
          <c:w val="0.79350514113629633"/>
          <c:h val="0.62076919006262854"/>
        </c:manualLayout>
      </c:layout>
      <c:lineChart>
        <c:grouping val="standard"/>
        <c:varyColors val="0"/>
        <c:ser>
          <c:idx val="0"/>
          <c:order val="0"/>
          <c:tx>
            <c:strRef>
              <c:f>'New HIV pos'!$I$5</c:f>
              <c:strCache>
                <c:ptCount val="1"/>
                <c:pt idx="0">
                  <c:v> CD4&lt;200%</c:v>
                </c:pt>
              </c:strCache>
            </c:strRef>
          </c:tx>
          <c:spPr>
            <a:ln w="19050" cap="rnd">
              <a:solidFill>
                <a:schemeClr val="accent2"/>
              </a:solidFill>
              <a:round/>
            </a:ln>
            <a:effectLst>
              <a:outerShdw blurRad="57150" dist="19050" dir="5400000" algn="ctr" rotWithShape="0">
                <a:srgbClr val="000000">
                  <a:alpha val="63000"/>
                </a:srgbClr>
              </a:outerShdw>
            </a:effectLst>
          </c:spPr>
          <c:marker>
            <c:symbol val="circle"/>
            <c:size val="4"/>
            <c:spPr>
              <a:solidFill>
                <a:schemeClr val="accent2"/>
              </a:solidFill>
              <a:ln w="9525">
                <a:noFill/>
                <a:round/>
              </a:ln>
              <a:effectLst>
                <a:outerShdw blurRad="57150" dist="19050" dir="5400000" algn="ctr" rotWithShape="0">
                  <a:srgbClr val="000000">
                    <a:alpha val="63000"/>
                  </a:srgbClr>
                </a:outerShdw>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'New HIV pos'!$H$6:$H$25</c:f>
              <c:multiLvlStrCache>
                <c:ptCount val="1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2024</c:v>
                  </c:pt>
                  <c:pt idx="12">
                    <c:v>2025</c:v>
                  </c:pt>
                </c:lvl>
              </c:multiLvlStrCache>
            </c:multiLvlStrRef>
          </c:cat>
          <c:val>
            <c:numRef>
              <c:f>'New HIV pos'!$I$6:$I$25</c:f>
              <c:numCache>
                <c:formatCode>General</c:formatCode>
                <c:ptCount val="17"/>
                <c:pt idx="0">
                  <c:v>0.41891891891891891</c:v>
                </c:pt>
                <c:pt idx="1">
                  <c:v>0.27160493827160492</c:v>
                </c:pt>
                <c:pt idx="2">
                  <c:v>0.32432432432432434</c:v>
                </c:pt>
                <c:pt idx="3">
                  <c:v>0.48</c:v>
                </c:pt>
                <c:pt idx="4">
                  <c:v>0.42528735632183906</c:v>
                </c:pt>
                <c:pt idx="5">
                  <c:v>0.52777777777777779</c:v>
                </c:pt>
                <c:pt idx="6">
                  <c:v>0.39795918367346939</c:v>
                </c:pt>
                <c:pt idx="7">
                  <c:v>0.40540540540540543</c:v>
                </c:pt>
                <c:pt idx="8">
                  <c:v>0.55384615384615388</c:v>
                </c:pt>
                <c:pt idx="9">
                  <c:v>0.34146341463414637</c:v>
                </c:pt>
                <c:pt idx="10">
                  <c:v>0.40952380952380951</c:v>
                </c:pt>
                <c:pt idx="11">
                  <c:v>0.39603960396039606</c:v>
                </c:pt>
                <c:pt idx="12">
                  <c:v>0.47058823529411764</c:v>
                </c:pt>
                <c:pt idx="13">
                  <c:v>0.35714285714285715</c:v>
                </c:pt>
                <c:pt idx="14">
                  <c:v>0.32203389830508472</c:v>
                </c:pt>
                <c:pt idx="15">
                  <c:v>0.40259740259740262</c:v>
                </c:pt>
                <c:pt idx="16">
                  <c:v>0.4946236559139785</c:v>
                </c:pt>
              </c:numCache>
            </c:numRef>
          </c:val>
          <c:smooth val="1"/>
          <c:extLst>
            <c:ext xmlns:c16="http://schemas.microsoft.com/office/drawing/2014/chart" uri="{C3380CC4-5D6E-409C-BE32-E72D297353CC}">
              <c16:uniqueId val="{00000000-1B82-429B-88F6-B0BC1A89CA72}"/>
            </c:ext>
          </c:extLst>
        </c:ser>
        <c:ser>
          <c:idx val="1"/>
          <c:order val="1"/>
          <c:tx>
            <c:strRef>
              <c:f>'New HIV pos'!$J$5</c:f>
              <c:strCache>
                <c:ptCount val="1"/>
                <c:pt idx="0">
                  <c:v> LAM+%</c:v>
                </c:pt>
              </c:strCache>
            </c:strRef>
          </c:tx>
          <c:spPr>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dPt>
            <c:idx val="0"/>
            <c:marker>
              <c:symbol val="circle"/>
              <c:size val="4"/>
              <c:spPr>
                <a:solidFill>
                  <a:schemeClr val="accent4"/>
                </a:solidFill>
                <a:ln w="9525">
                  <a:noFill/>
                  <a:round/>
                </a:ln>
                <a:effectLst>
                  <a:outerShdw blurRad="57150" dist="19050" dir="5400000" algn="ctr" rotWithShape="0">
                    <a:srgbClr val="000000">
                      <a:alpha val="63000"/>
                    </a:srgbClr>
                  </a:outerShdw>
                </a:effectLst>
              </c:spPr>
            </c:marker>
            <c:bubble3D val="0"/>
            <c:spPr>
              <a:ln w="19050" cap="rnd">
                <a:solidFill>
                  <a:schemeClr val="accent4"/>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1B82-429B-88F6-B0BC1A89CA72}"/>
              </c:ext>
            </c:extLst>
          </c:dPt>
          <c:dPt>
            <c:idx val="1"/>
            <c:marker>
              <c:symbol val="circle"/>
              <c:size val="4"/>
              <c:spPr>
                <a:solidFill>
                  <a:schemeClr val="accent4"/>
                </a:solidFill>
                <a:ln w="9525">
                  <a:noFill/>
                  <a:round/>
                </a:ln>
                <a:effectLst>
                  <a:outerShdw blurRad="57150" dist="19050" dir="5400000" algn="ctr" rotWithShape="0">
                    <a:srgbClr val="000000">
                      <a:alpha val="63000"/>
                    </a:srgbClr>
                  </a:outerShdw>
                </a:effectLst>
              </c:spPr>
            </c:marker>
            <c:bubble3D val="0"/>
            <c:spPr>
              <a:ln w="19050" cap="rnd">
                <a:solidFill>
                  <a:schemeClr val="accent4"/>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1B82-429B-88F6-B0BC1A89CA72}"/>
              </c:ext>
            </c:extLst>
          </c:dPt>
          <c:dPt>
            <c:idx val="2"/>
            <c:marker>
              <c:symbol val="circle"/>
              <c:size val="4"/>
              <c:spPr>
                <a:solidFill>
                  <a:schemeClr val="accent4"/>
                </a:solidFill>
                <a:ln w="9525">
                  <a:noFill/>
                  <a:round/>
                </a:ln>
                <a:effectLst>
                  <a:outerShdw blurRad="57150" dist="19050" dir="5400000" algn="ctr" rotWithShape="0">
                    <a:srgbClr val="000000">
                      <a:alpha val="63000"/>
                    </a:srgbClr>
                  </a:outerShdw>
                </a:effectLst>
              </c:spPr>
            </c:marker>
            <c:bubble3D val="0"/>
            <c:spPr>
              <a:ln w="19050" cap="rnd">
                <a:solidFill>
                  <a:schemeClr val="accent4"/>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1B82-429B-88F6-B0BC1A89CA72}"/>
              </c:ext>
            </c:extLst>
          </c:dPt>
          <c:dPt>
            <c:idx val="3"/>
            <c:marker>
              <c:symbol val="circle"/>
              <c:size val="4"/>
              <c:spPr>
                <a:solidFill>
                  <a:schemeClr val="accent4"/>
                </a:solidFill>
                <a:ln w="9525">
                  <a:noFill/>
                  <a:round/>
                </a:ln>
                <a:effectLst>
                  <a:outerShdw blurRad="57150" dist="19050" dir="5400000" algn="ctr" rotWithShape="0">
                    <a:srgbClr val="000000">
                      <a:alpha val="63000"/>
                    </a:srgbClr>
                  </a:outerShdw>
                </a:effectLst>
              </c:spPr>
            </c:marker>
            <c:bubble3D val="0"/>
            <c:spPr>
              <a:ln w="19050" cap="rnd">
                <a:solidFill>
                  <a:schemeClr val="accent4"/>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1B82-429B-88F6-B0BC1A89CA72}"/>
              </c:ext>
            </c:extLst>
          </c:dPt>
          <c:dPt>
            <c:idx val="4"/>
            <c:marker>
              <c:symbol val="circle"/>
              <c:size val="4"/>
              <c:spPr>
                <a:solidFill>
                  <a:schemeClr val="accent4"/>
                </a:solidFill>
                <a:ln w="9525">
                  <a:noFill/>
                  <a:round/>
                </a:ln>
                <a:effectLst>
                  <a:outerShdw blurRad="57150" dist="19050" dir="5400000" algn="ctr" rotWithShape="0">
                    <a:srgbClr val="000000">
                      <a:alpha val="63000"/>
                    </a:srgbClr>
                  </a:outerShdw>
                </a:effectLst>
              </c:spPr>
            </c:marker>
            <c:bubble3D val="0"/>
            <c:spPr>
              <a:ln w="19050" cap="rnd">
                <a:solidFill>
                  <a:schemeClr val="accent4"/>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1B82-429B-88F6-B0BC1A89CA72}"/>
              </c:ext>
            </c:extLst>
          </c:dPt>
          <c:dPt>
            <c:idx val="5"/>
            <c:marker>
              <c:symbol val="circle"/>
              <c:size val="4"/>
              <c:spPr>
                <a:solidFill>
                  <a:schemeClr val="accent4"/>
                </a:solidFill>
                <a:ln w="9525">
                  <a:noFill/>
                  <a:round/>
                </a:ln>
                <a:effectLst>
                  <a:outerShdw blurRad="57150" dist="19050" dir="5400000" algn="ctr" rotWithShape="0">
                    <a:srgbClr val="000000">
                      <a:alpha val="63000"/>
                    </a:srgbClr>
                  </a:outerShdw>
                </a:effectLst>
              </c:spPr>
            </c:marker>
            <c:bubble3D val="0"/>
            <c:spPr>
              <a:ln w="19050" cap="rnd">
                <a:solidFill>
                  <a:schemeClr val="accent4"/>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1B82-429B-88F6-B0BC1A89CA72}"/>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'New HIV pos'!$H$6:$H$25</c:f>
              <c:multiLvlStrCache>
                <c:ptCount val="1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2024</c:v>
                  </c:pt>
                  <c:pt idx="12">
                    <c:v>2025</c:v>
                  </c:pt>
                </c:lvl>
              </c:multiLvlStrCache>
            </c:multiLvlStrRef>
          </c:cat>
          <c:val>
            <c:numRef>
              <c:f>'New HIV pos'!$J$6:$J$25</c:f>
              <c:numCache>
                <c:formatCode>General</c:formatCode>
                <c:ptCount val="17"/>
                <c:pt idx="0">
                  <c:v>8.8235294117647065E-2</c:v>
                </c:pt>
                <c:pt idx="1">
                  <c:v>0.1</c:v>
                </c:pt>
                <c:pt idx="2">
                  <c:v>0</c:v>
                </c:pt>
                <c:pt idx="3">
                  <c:v>0.1875</c:v>
                </c:pt>
                <c:pt idx="4">
                  <c:v>#N/A</c:v>
                </c:pt>
                <c:pt idx="5">
                  <c:v>#N/A</c:v>
                </c:pt>
                <c:pt idx="6">
                  <c:v>#N/A</c:v>
                </c:pt>
                <c:pt idx="7">
                  <c:v>0</c:v>
                </c:pt>
                <c:pt idx="8">
                  <c:v>0.17241379310344829</c:v>
                </c:pt>
                <c:pt idx="9">
                  <c:v>8.3333333333333329E-2</c:v>
                </c:pt>
                <c:pt idx="10">
                  <c:v>9.7560975609756101E-2</c:v>
                </c:pt>
                <c:pt idx="11">
                  <c:v>0.11627906976744186</c:v>
                </c:pt>
                <c:pt idx="12">
                  <c:v>7.6923076923076927E-2</c:v>
                </c:pt>
                <c:pt idx="13">
                  <c:v>0</c:v>
                </c:pt>
                <c:pt idx="14">
                  <c:v>0.1</c:v>
                </c:pt>
                <c:pt idx="15">
                  <c:v>0.11428571428571428</c:v>
                </c:pt>
                <c:pt idx="16">
                  <c:v>8.1081081081081086E-2</c:v>
                </c:pt>
              </c:numCache>
            </c:numRef>
          </c:val>
          <c:smooth val="1"/>
          <c:extLst>
            <c:ext xmlns:c16="http://schemas.microsoft.com/office/drawing/2014/chart" uri="{C3380CC4-5D6E-409C-BE32-E72D297353CC}">
              <c16:uniqueId val="{0000000D-1B82-429B-88F6-B0BC1A89CA72}"/>
            </c:ext>
          </c:extLst>
        </c:ser>
        <c:ser>
          <c:idx val="2"/>
          <c:order val="2"/>
          <c:tx>
            <c:strRef>
              <c:f>'New HIV pos'!$K$5</c:f>
              <c:strCache>
                <c:ptCount val="1"/>
                <c:pt idx="0">
                  <c:v> CrAg+%</c:v>
                </c:pt>
              </c:strCache>
            </c:strRef>
          </c:tx>
          <c:spPr>
            <a:ln w="19050" cap="rnd">
              <a:solidFill>
                <a:schemeClr val="accent5"/>
              </a:solidFill>
              <a:round/>
            </a:ln>
            <a:effectLst>
              <a:outerShdw blurRad="57150" dist="19050" dir="5400000" algn="ctr" rotWithShape="0">
                <a:srgbClr val="000000">
                  <a:alpha val="63000"/>
                </a:srgbClr>
              </a:outerShdw>
            </a:effectLst>
          </c:spPr>
          <c:marker>
            <c:symbol val="circle"/>
            <c:size val="4"/>
            <c:spPr>
              <a:solidFill>
                <a:schemeClr val="accent5"/>
              </a:solidFill>
              <a:ln w="9525">
                <a:noFill/>
                <a:round/>
              </a:ln>
              <a:effectLst>
                <a:outerShdw blurRad="57150" dist="19050" dir="5400000" algn="ctr" rotWithShape="0">
                  <a:srgbClr val="000000">
                    <a:alpha val="63000"/>
                  </a:srgbClr>
                </a:outerShdw>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'New HIV pos'!$H$6:$H$25</c:f>
              <c:multiLvlStrCache>
                <c:ptCount val="1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2024</c:v>
                  </c:pt>
                  <c:pt idx="12">
                    <c:v>2025</c:v>
                  </c:pt>
                </c:lvl>
              </c:multiLvlStrCache>
            </c:multiLvlStrRef>
          </c:cat>
          <c:val>
            <c:numRef>
              <c:f>'New HIV pos'!$K$6:$K$25</c:f>
              <c:numCache>
                <c:formatCode>General</c:formatCode>
                <c:ptCount val="17"/>
                <c:pt idx="0">
                  <c:v>2.9411764705882353E-2</c:v>
                </c:pt>
                <c:pt idx="1">
                  <c:v>0</c:v>
                </c:pt>
                <c:pt idx="2">
                  <c:v>0</c:v>
                </c:pt>
                <c:pt idx="3">
                  <c:v>0</c:v>
                </c:pt>
                <c:pt idx="4">
                  <c:v>2.1276595744680851E-2</c:v>
                </c:pt>
                <c:pt idx="5">
                  <c:v>0.05</c:v>
                </c:pt>
                <c:pt idx="6">
                  <c:v>2.3809523809523808E-2</c:v>
                </c:pt>
                <c:pt idx="7">
                  <c:v>6.25E-2</c:v>
                </c:pt>
                <c:pt idx="8">
                  <c:v>8.5714285714285715E-2</c:v>
                </c:pt>
                <c:pt idx="9">
                  <c:v>0.13333333333333333</c:v>
                </c:pt>
                <c:pt idx="10">
                  <c:v>2.2222222222222223E-2</c:v>
                </c:pt>
                <c:pt idx="11">
                  <c:v>4.6511627906976744E-2</c:v>
                </c:pt>
                <c:pt idx="12">
                  <c:v>3.8461538461538464E-2</c:v>
                </c:pt>
                <c:pt idx="13">
                  <c:v>6.6666666666666666E-2</c:v>
                </c:pt>
                <c:pt idx="14">
                  <c:v>0</c:v>
                </c:pt>
                <c:pt idx="15">
                  <c:v>2.8571428571428571E-2</c:v>
                </c:pt>
                <c:pt idx="16">
                  <c:v>5.8823529411764705E-2</c:v>
                </c:pt>
              </c:numCache>
            </c:numRef>
          </c:val>
          <c:smooth val="1"/>
          <c:extLst>
            <c:ext xmlns:c16="http://schemas.microsoft.com/office/drawing/2014/chart" uri="{C3380CC4-5D6E-409C-BE32-E72D297353CC}">
              <c16:uniqueId val="{0000000E-1B82-429B-88F6-B0BC1A89CA72}"/>
            </c:ext>
          </c:extLst>
        </c:ser>
        <c:dLbls>
          <c:dLblPos val="t"/>
          <c:showLegendKey val="0"/>
          <c:showVal val="1"/>
          <c:showCatName val="0"/>
          <c:showSerName val="0"/>
          <c:showPercent val="0"/>
          <c:showBubbleSize val="0"/>
        </c:dLbls>
        <c:marker val="1"/>
        <c:smooth val="0"/>
        <c:axId val="1061181040"/>
        <c:axId val="1061182480"/>
      </c:lineChart>
      <c:catAx>
        <c:axId val="1061181040"/>
        <c:scaling>
          <c:orientation val="minMax"/>
        </c:scaling>
        <c:delete val="0"/>
        <c:axPos val="b"/>
        <c:numFmt formatCode="General" sourceLinked="1"/>
        <c:majorTickMark val="none"/>
        <c:minorTickMark val="none"/>
        <c:tickLblPos val="nextTo"/>
        <c:spPr>
          <a:noFill/>
          <a:ln w="12700" cap="flat" cmpd="sng" algn="ctr">
            <a:solidFill>
              <a:schemeClr val="tx2"/>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61182480"/>
        <c:crosses val="autoZero"/>
        <c:auto val="1"/>
        <c:lblAlgn val="ctr"/>
        <c:lblOffset val="100"/>
        <c:noMultiLvlLbl val="0"/>
      </c:catAx>
      <c:valAx>
        <c:axId val="1061182480"/>
        <c:scaling>
          <c:orientation val="minMax"/>
          <c:max val="1"/>
          <c:min val="0"/>
        </c:scaling>
        <c:delete val="0"/>
        <c:axPos val="l"/>
        <c:title>
          <c:tx>
            <c:rich>
              <a:bodyPr rot="-54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r>
                  <a:rPr lang="en-GB"/>
                  <a:t>proporton of ROC with AHD</a:t>
                </a:r>
              </a:p>
            </c:rich>
          </c:tx>
          <c:layout>
            <c:manualLayout>
              <c:xMode val="edge"/>
              <c:yMode val="edge"/>
              <c:x val="1.4477543687895786E-2"/>
              <c:y val="0.34694706527595781"/>
            </c:manualLayout>
          </c:layout>
          <c:overlay val="0"/>
          <c:spPr>
            <a:noFill/>
            <a:ln w="6350">
              <a:noFill/>
            </a:ln>
            <a:effectLst/>
          </c:spPr>
          <c:txPr>
            <a:bodyPr rot="-54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itle>
        <c:numFmt formatCode="0%" sourceLinked="0"/>
        <c:majorTickMark val="none"/>
        <c:minorTickMark val="none"/>
        <c:tickLblPos val="nextTo"/>
        <c:spPr>
          <a:noFill/>
          <a:ln>
            <a:solidFill>
              <a:schemeClr val="tx2"/>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61181040"/>
        <c:crosses val="autoZero"/>
        <c:crossBetween val="between"/>
      </c:valAx>
      <c:spPr>
        <a:noFill/>
        <a:ln>
          <a:noFill/>
        </a:ln>
        <a:effectLst/>
      </c:spPr>
    </c:plotArea>
    <c:legend>
      <c:legendPos val="r"/>
      <c:layout>
        <c:manualLayout>
          <c:xMode val="edge"/>
          <c:yMode val="edge"/>
          <c:x val="9.5967489091219924E-2"/>
          <c:y val="0.92296358832296099"/>
          <c:w val="0.8793571434005748"/>
          <c:h val="6.1407061790987913E-2"/>
        </c:manualLayout>
      </c:layout>
      <c:overlay val="0"/>
      <c:spPr>
        <a:noFill/>
        <a:ln w="6350">
          <a:solidFill>
            <a:schemeClr val="accent5">
              <a:lumMod val="60000"/>
              <a:lumOff val="40000"/>
            </a:schemeClr>
          </a:solid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5">
          <a:lumMod val="60000"/>
          <a:lumOff val="40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[AHD_Reporting_Form.xlsx]peads_0-4!PivotTable1</c:name>
    <c:fmtId val="126"/>
  </c:pivotSource>
  <c:chart>
    <c:title>
      <c:tx>
        <c:rich>
          <a:bodyPr rot="0" spcFirstLastPara="1" vertOverflow="ellipsis" vert="horz" wrap="square" anchor="ctr" anchorCtr="1"/>
          <a:lstStyle/>
          <a:p>
            <a:pPr>
              <a:defRPr sz="1600" b="1" i="0" u="sng" strike="noStrike" kern="1200" baseline="0">
                <a:solidFill>
                  <a:sysClr val="windowText" lastClr="000000"/>
                </a:solidFill>
                <a:latin typeface="+mn-lt"/>
                <a:ea typeface="+mn-ea"/>
                <a:cs typeface="+mn-cs"/>
              </a:defRPr>
            </a:pPr>
            <a:r>
              <a:rPr lang="en-GB" u="sng"/>
              <a:t>AHD screening among Peadiatrics (0-4</a:t>
            </a:r>
            <a:r>
              <a:rPr lang="en-GB" u="sng" baseline="0"/>
              <a:t> years</a:t>
            </a:r>
            <a:r>
              <a:rPr lang="en-GB" u="sng"/>
              <a:t>)</a:t>
            </a:r>
          </a:p>
        </c:rich>
      </c:tx>
      <c:layout>
        <c:manualLayout>
          <c:xMode val="edge"/>
          <c:yMode val="edge"/>
          <c:x val="0.19199063052006909"/>
          <c:y val="3.0971070121032972E-2"/>
        </c:manualLayout>
      </c:layout>
      <c:overlay val="0"/>
      <c:spPr>
        <a:noFill/>
        <a:ln>
          <a:noFill/>
        </a:ln>
        <a:effectLst/>
      </c:spPr>
      <c:txPr>
        <a:bodyPr rot="0" spcFirstLastPara="1" vertOverflow="ellipsis" vert="horz" wrap="square" anchor="ctr" anchorCtr="1"/>
        <a:lstStyle/>
        <a:p>
          <a:pPr>
            <a:defRPr sz="1600" b="1" i="0" u="sng" strike="noStrike" kern="1200" baseline="0">
              <a:solidFill>
                <a:sysClr val="windowText" lastClr="000000"/>
              </a:solidFill>
              <a:latin typeface="+mn-lt"/>
              <a:ea typeface="+mn-ea"/>
              <a:cs typeface="+mn-cs"/>
            </a:defRPr>
          </a:pPr>
          <a:endParaRPr lang="en-US"/>
        </a:p>
      </c:txPr>
    </c:title>
    <c:autoTitleDeleted val="0"/>
    <c:pivotFmts>
      <c:pivotFmt>
        <c:idx val="0"/>
        <c:spPr>
          <a:solidFill>
            <a:schemeClr val="accent2"/>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D80A0359-4340-464C-97BF-50043DB18A22}" type="CELLRANGE">
                  <a:rPr lang="en-US"/>
                  <a:pPr>
                    <a:defRPr sz="900" b="0" i="0" u="none" strike="noStrike" kern="1200" baseline="0">
                      <a:solidFill>
                        <a:sysClr val="windowText" lastClr="000000"/>
                      </a:solidFill>
                      <a:latin typeface="+mn-lt"/>
                      <a:ea typeface="+mn-ea"/>
                      <a:cs typeface="+mn-cs"/>
                    </a:defRPr>
                  </a:pPr>
                  <a:t>[CELLRANGE]</a:t>
                </a:fld>
                <a:r>
                  <a:rPr lang="en-US" baseline="0"/>
                  <a:t>, </a:t>
                </a:r>
                <a:fld id="{619AE429-5DC9-4CD0-95CD-5E4572E53792}" type="VALUE">
                  <a:rPr lang="en-US" baseline="0"/>
                  <a:pPr>
                    <a:defRPr sz="900" b="0" i="0" u="none" strike="noStrike" kern="1200" baseline="0">
                      <a:solidFill>
                        <a:sysClr val="windowText" lastClr="000000"/>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pivotFmt>
      <c:pivotFmt>
        <c:idx val="9"/>
        <c:dLbl>
          <c:idx val="0"/>
          <c:tx>
            <c:rich>
              <a:bodyPr/>
              <a:lstStyle/>
              <a:p>
                <a:fld id="{38B64FBF-4335-4EAD-B861-26F6E525AC74}" type="CELLRANGE">
                  <a:rPr lang="en-US"/>
                  <a:pPr/>
                  <a:t>[CELLRANGE]</a:t>
                </a:fld>
                <a:r>
                  <a:rPr lang="en-US" baseline="0"/>
                  <a:t>, </a:t>
                </a:r>
                <a:fld id="{D6C7321C-6E0F-4D2E-8B46-F65C3D7A4003}"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dLbl>
          <c:idx val="0"/>
          <c:tx>
            <c:rich>
              <a:bodyPr/>
              <a:lstStyle/>
              <a:p>
                <a:fld id="{8C44B063-F912-4FC5-A6C3-78054BAA1475}" type="CELLRANGE">
                  <a:rPr lang="en-US"/>
                  <a:pPr/>
                  <a:t>[CELLRANGE]</a:t>
                </a:fld>
                <a:r>
                  <a:rPr lang="en-US" baseline="0"/>
                  <a:t>, </a:t>
                </a:r>
                <a:fld id="{70B358C0-DB55-4F7E-A4CF-8DEB0B8DBBA3}"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dLbl>
          <c:idx val="0"/>
          <c:tx>
            <c:rich>
              <a:bodyPr/>
              <a:lstStyle/>
              <a:p>
                <a:fld id="{F1E15D6C-0C92-4F9E-8CBC-D5B2D9BC2075}" type="CELLRANGE">
                  <a:rPr lang="en-US"/>
                  <a:pPr/>
                  <a:t>[CELLRANGE]</a:t>
                </a:fld>
                <a:r>
                  <a:rPr lang="en-US" baseline="0"/>
                  <a:t>, </a:t>
                </a:r>
                <a:fld id="{CD39BF99-5182-4B7E-AEC5-5FB76F9FE533}"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2"/>
        <c:dLbl>
          <c:idx val="0"/>
          <c:tx>
            <c:rich>
              <a:bodyPr/>
              <a:lstStyle/>
              <a:p>
                <a:fld id="{AADAE8A4-138F-410E-9AB9-60EEC0EAE95C}" type="CELLRANGE">
                  <a:rPr lang="en-US"/>
                  <a:pPr/>
                  <a:t>[CELLRANGE]</a:t>
                </a:fld>
                <a:r>
                  <a:rPr lang="en-US" baseline="0"/>
                  <a:t>, </a:t>
                </a:r>
                <a:fld id="{200D7C23-70DD-4AC4-951B-7904139BAA90}"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3"/>
        <c:dLbl>
          <c:idx val="0"/>
          <c:tx>
            <c:rich>
              <a:bodyPr/>
              <a:lstStyle/>
              <a:p>
                <a:fld id="{EBB42741-FBB1-42C9-8CA9-7DC956E899D1}" type="CELLRANGE">
                  <a:rPr lang="en-US"/>
                  <a:pPr/>
                  <a:t>[CELLRANGE]</a:t>
                </a:fld>
                <a:r>
                  <a:rPr lang="en-US" baseline="0"/>
                  <a:t>, </a:t>
                </a:r>
                <a:fld id="{300B405C-545E-4C3B-9B9C-A09D74648588}"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4"/>
        <c:dLbl>
          <c:idx val="0"/>
          <c:tx>
            <c:rich>
              <a:bodyPr/>
              <a:lstStyle/>
              <a:p>
                <a:fld id="{5ACDCCC9-477B-4D80-84D3-265AA1551F99}" type="CELLRANGE">
                  <a:rPr lang="en-US"/>
                  <a:pPr/>
                  <a:t>[CELLRANGE]</a:t>
                </a:fld>
                <a:r>
                  <a:rPr lang="en-US" baseline="0"/>
                  <a:t>, </a:t>
                </a:r>
                <a:fld id="{EBF96CAC-98C3-4753-841D-F0B5B77629A4}"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
        <c:dLbl>
          <c:idx val="0"/>
          <c:tx>
            <c:rich>
              <a:bodyPr/>
              <a:lstStyle/>
              <a:p>
                <a:fld id="{85641F05-FEC1-4650-8FDD-8843A09484ED}" type="CELLRANGE">
                  <a:rPr lang="en-US"/>
                  <a:pPr/>
                  <a:t>[CELLRANGE]</a:t>
                </a:fld>
                <a:r>
                  <a:rPr lang="en-US" baseline="0"/>
                  <a:t>, </a:t>
                </a:r>
                <a:fld id="{A601C9D9-40B0-4DB3-A221-74FC1FEA479F}"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7"/>
        <c:dLbl>
          <c:idx val="0"/>
          <c:tx>
            <c:rich>
              <a:bodyPr/>
              <a:lstStyle/>
              <a:p>
                <a:fld id="{FF4EBAB4-9208-426C-A2C0-06A9B7A20937}" type="CELLRANGE">
                  <a:rPr lang="en-US"/>
                  <a:pPr/>
                  <a:t>[CELLRANGE]</a:t>
                </a:fld>
                <a:r>
                  <a:rPr lang="en-US" baseline="0"/>
                  <a:t>, </a:t>
                </a:r>
                <a:fld id="{DF0E314E-1845-4B08-9E93-FA96B8217187}"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8"/>
        <c:dLbl>
          <c:idx val="0"/>
          <c:tx>
            <c:rich>
              <a:bodyPr/>
              <a:lstStyle/>
              <a:p>
                <a:fld id="{DD926363-9992-4DFE-80C3-994ABB41FDA7}" type="CELLRANGE">
                  <a:rPr lang="en-US"/>
                  <a:pPr/>
                  <a:t>[CELLRANGE]</a:t>
                </a:fld>
                <a:r>
                  <a:rPr lang="en-US" baseline="0"/>
                  <a:t>, </a:t>
                </a:r>
                <a:fld id="{C6BB680B-7623-4EA3-B83B-2011C5679ED2}"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9"/>
        <c:dLbl>
          <c:idx val="0"/>
          <c:tx>
            <c:rich>
              <a:bodyPr/>
              <a:lstStyle/>
              <a:p>
                <a:fld id="{50D0BCCD-DA80-4AEC-ADFD-7478183D354A}" type="CELLRANGE">
                  <a:rPr lang="en-US"/>
                  <a:pPr/>
                  <a:t>[CELLRANGE]</a:t>
                </a:fld>
                <a:r>
                  <a:rPr lang="en-US" baseline="0"/>
                  <a:t>, </a:t>
                </a:r>
                <a:fld id="{EE890978-0538-4AD0-BE1B-680453DC062D}"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0"/>
        <c:dLbl>
          <c:idx val="0"/>
          <c:tx>
            <c:rich>
              <a:bodyPr/>
              <a:lstStyle/>
              <a:p>
                <a:fld id="{7D984C0A-AF2C-4FAD-9538-9CE56ED5F567}" type="CELLRANGE">
                  <a:rPr lang="en-US"/>
                  <a:pPr/>
                  <a:t>[CELLRANGE]</a:t>
                </a:fld>
                <a:r>
                  <a:rPr lang="en-US" baseline="0"/>
                  <a:t>, </a:t>
                </a:r>
                <a:fld id="{9F5C0507-D70F-477A-95F2-C63830573DD7}"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1"/>
        <c:dLbl>
          <c:idx val="0"/>
          <c:tx>
            <c:rich>
              <a:bodyPr/>
              <a:lstStyle/>
              <a:p>
                <a:fld id="{CF4FB6D9-9767-42D1-B639-24FD87FBFE31}" type="CELLRANGE">
                  <a:rPr lang="en-US"/>
                  <a:pPr/>
                  <a:t>[CELLRANGE]</a:t>
                </a:fld>
                <a:r>
                  <a:rPr lang="en-US" baseline="0"/>
                  <a:t>, </a:t>
                </a:r>
                <a:fld id="{91BB9253-F401-4063-A925-95408FA77268}"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2"/>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4731A5D9-539A-4F7D-A744-CF24B4E851B3}" type="CELLRANGE">
                  <a:rPr lang="en-US"/>
                  <a:pPr>
                    <a:defRPr sz="900" b="0" i="0" u="none" strike="noStrike" kern="1200" baseline="0">
                      <a:solidFill>
                        <a:sysClr val="windowText" lastClr="000000"/>
                      </a:solidFill>
                      <a:latin typeface="+mn-lt"/>
                      <a:ea typeface="+mn-ea"/>
                      <a:cs typeface="+mn-cs"/>
                    </a:defRPr>
                  </a:pPr>
                  <a:t>[CELLRANGE]</a:t>
                </a:fld>
                <a:r>
                  <a:rPr lang="en-US" baseline="0"/>
                  <a:t>, </a:t>
                </a:r>
                <a:fld id="{B03745B5-70AB-4486-8B6A-5E28FBF5B9A6}" type="VALUE">
                  <a:rPr lang="en-US" baseline="0"/>
                  <a:pPr>
                    <a:defRPr sz="900" b="0" i="0" u="none" strike="noStrike" kern="1200" baseline="0">
                      <a:solidFill>
                        <a:sysClr val="windowText" lastClr="000000"/>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3"/>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C9006498-42A4-45CE-BCE8-EC546067215F}" type="CELLRANGE">
                  <a:rPr lang="en-US"/>
                  <a:pPr>
                    <a:defRPr sz="900" b="0" i="0" u="none" strike="noStrike" kern="1200" baseline="0">
                      <a:solidFill>
                        <a:sysClr val="windowText" lastClr="000000"/>
                      </a:solidFill>
                      <a:latin typeface="+mn-lt"/>
                      <a:ea typeface="+mn-ea"/>
                      <a:cs typeface="+mn-cs"/>
                    </a:defRPr>
                  </a:pPr>
                  <a:t>[CELLRANGE]</a:t>
                </a:fld>
                <a:r>
                  <a:rPr lang="en-US" baseline="0"/>
                  <a:t>, </a:t>
                </a:r>
                <a:fld id="{13415703-C5CA-4787-8825-FCBD5C55B0DC}" type="VALUE">
                  <a:rPr lang="en-US" baseline="0"/>
                  <a:pPr>
                    <a:defRPr sz="900" b="0" i="0" u="none" strike="noStrike" kern="1200" baseline="0">
                      <a:solidFill>
                        <a:sysClr val="windowText" lastClr="000000"/>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4"/>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E39C17C5-A6DE-465E-BA2E-A0457662CE4F}" type="CELLRANGE">
                  <a:rPr lang="en-US"/>
                  <a:pPr>
                    <a:defRPr sz="900" b="0" i="0" u="none" strike="noStrike" kern="1200" baseline="0">
                      <a:solidFill>
                        <a:sysClr val="windowText" lastClr="000000"/>
                      </a:solidFill>
                      <a:latin typeface="+mn-lt"/>
                      <a:ea typeface="+mn-ea"/>
                      <a:cs typeface="+mn-cs"/>
                    </a:defRPr>
                  </a:pPr>
                  <a:t>[CELLRANGE]</a:t>
                </a:fld>
                <a:r>
                  <a:rPr lang="en-US" baseline="0"/>
                  <a:t>, </a:t>
                </a:r>
                <a:fld id="{D26FCEF1-5A34-41A0-B6CD-F3663AD6D4C1}" type="VALUE">
                  <a:rPr lang="en-US" baseline="0"/>
                  <a:pPr>
                    <a:defRPr sz="900" b="0" i="0" u="none" strike="noStrike" kern="1200" baseline="0">
                      <a:solidFill>
                        <a:sysClr val="windowText" lastClr="000000"/>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5"/>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183C6365-A22B-4AE8-B76B-F63703475BFE}" type="CELLRANGE">
                  <a:rPr lang="en-US"/>
                  <a:pPr>
                    <a:defRPr sz="900" b="0" i="0" u="none" strike="noStrike" kern="1200" baseline="0">
                      <a:solidFill>
                        <a:sysClr val="windowText" lastClr="000000"/>
                      </a:solidFill>
                      <a:latin typeface="+mn-lt"/>
                      <a:ea typeface="+mn-ea"/>
                      <a:cs typeface="+mn-cs"/>
                    </a:defRPr>
                  </a:pPr>
                  <a:t>[CELLRANGE]</a:t>
                </a:fld>
                <a:r>
                  <a:rPr lang="en-US" baseline="0"/>
                  <a:t>, </a:t>
                </a:r>
                <a:fld id="{2F81CAD8-CC36-4E7F-B6DF-B7DA1E4CEDA1}" type="VALUE">
                  <a:rPr lang="en-US" baseline="0"/>
                  <a:pPr>
                    <a:defRPr sz="900" b="0" i="0" u="none" strike="noStrike" kern="1200" baseline="0">
                      <a:solidFill>
                        <a:sysClr val="windowText" lastClr="000000"/>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6"/>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847F4BA0-4AA9-499D-BA2A-3AAAC0496E86}" type="CELLRANGE">
                  <a:rPr lang="en-US"/>
                  <a:pPr>
                    <a:defRPr sz="900" b="0" i="0" u="none" strike="noStrike" kern="1200" baseline="0">
                      <a:solidFill>
                        <a:sysClr val="windowText" lastClr="000000"/>
                      </a:solidFill>
                      <a:latin typeface="+mn-lt"/>
                      <a:ea typeface="+mn-ea"/>
                      <a:cs typeface="+mn-cs"/>
                    </a:defRPr>
                  </a:pPr>
                  <a:t>[CELLRANGE]</a:t>
                </a:fld>
                <a:r>
                  <a:rPr lang="en-US" baseline="0"/>
                  <a:t>, </a:t>
                </a:r>
                <a:fld id="{3D14E329-43B4-454C-B933-1CE45CA6E605}" type="VALUE">
                  <a:rPr lang="en-US" baseline="0"/>
                  <a:pPr>
                    <a:defRPr sz="900" b="0" i="0" u="none" strike="noStrike" kern="1200" baseline="0">
                      <a:solidFill>
                        <a:sysClr val="windowText" lastClr="000000"/>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7"/>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5589FF5D-4B2A-47E1-8019-27F023C54ACE}" type="CELLRANGE">
                  <a:rPr lang="en-US"/>
                  <a:pPr>
                    <a:defRPr sz="900" b="0" i="0" u="none" strike="noStrike" kern="1200" baseline="0">
                      <a:solidFill>
                        <a:sysClr val="windowText" lastClr="000000"/>
                      </a:solidFill>
                      <a:latin typeface="+mn-lt"/>
                      <a:ea typeface="+mn-ea"/>
                      <a:cs typeface="+mn-cs"/>
                    </a:defRPr>
                  </a:pPr>
                  <a:t>[CELLRANGE]</a:t>
                </a:fld>
                <a:r>
                  <a:rPr lang="en-US" baseline="0"/>
                  <a:t>, </a:t>
                </a:r>
                <a:fld id="{0AFB73F6-2AF1-48C0-8CBA-C2B6AFAFD8A1}" type="VALUE">
                  <a:rPr lang="en-US" baseline="0"/>
                  <a:pPr>
                    <a:defRPr sz="900" b="0" i="0" u="none" strike="noStrike" kern="1200" baseline="0">
                      <a:solidFill>
                        <a:sysClr val="windowText" lastClr="000000"/>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8"/>
        <c:dLbl>
          <c:idx val="0"/>
          <c:layout>
            <c:manualLayout>
              <c:x val="-1.3084725270352189E-2"/>
              <c:y val="-3.711340206185567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9"/>
        <c:dLbl>
          <c:idx val="0"/>
          <c:layout>
            <c:manualLayout>
              <c:x val="-2.2894524616056434E-2"/>
              <c:y val="-2.472187886279359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0"/>
        <c:dLbl>
          <c:idx val="0"/>
          <c:layout>
            <c:manualLayout>
              <c:x val="-1.7988555055472866E-2"/>
              <c:y val="-2.060156571899464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1"/>
        <c:dLbl>
          <c:idx val="0"/>
          <c:layout>
            <c:manualLayout>
              <c:x val="-1.3082585494889358E-2"/>
              <c:y val="-2.88421920065925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2"/>
        <c:dLbl>
          <c:idx val="0"/>
          <c:layout>
            <c:manualLayout>
              <c:x val="-1.6353231868611758E-2"/>
              <c:y val="-3.2962505150391445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3"/>
        <c:dLbl>
          <c:idx val="0"/>
          <c:layout>
            <c:manualLayout>
              <c:x val="-2.1259201429195206E-2"/>
              <c:y val="-2.472187886279359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1.9623878242334036E-2"/>
              <c:y val="-1.8541409147095178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rgbClr val="EAAEC9"/>
          </a:solidFill>
          <a:ln>
            <a:noFill/>
          </a:ln>
          <a:effectLst>
            <a:outerShdw blurRad="57150" dist="19050" dir="5400000" algn="ctr" rotWithShape="0">
              <a:srgbClr val="000000">
                <a:alpha val="63000"/>
              </a:srgbClr>
            </a:outerShdw>
          </a:effectLst>
        </c:spPr>
        <c:marker>
          <c:symbol val="none"/>
        </c:marker>
        <c:dLbl>
          <c:idx val="0"/>
          <c:spPr>
            <a:solidFill>
              <a:srgbClr val="FFCCCC"/>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rgbClr val="9A808B"/>
          </a:solidFill>
          <a:ln>
            <a:noFill/>
          </a:ln>
          <a:effectLst>
            <a:outerShdw blurRad="57150" dist="19050" dir="5400000" algn="ctr" rotWithShape="0">
              <a:srgbClr val="000000">
                <a:alpha val="63000"/>
              </a:srgbClr>
            </a:outerShdw>
          </a:effectLst>
        </c:spPr>
        <c:marker>
          <c:symbol val="none"/>
        </c:marker>
        <c:dLbl>
          <c:idx val="0"/>
          <c:spPr>
            <a:solidFill>
              <a:srgbClr val="D9A0E4"/>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a:solidFill>
              <a:schemeClr val="accent2">
                <a:lumMod val="50000"/>
              </a:schemeClr>
            </a:solidFill>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EAAEC9"/>
            </a:solidFill>
          </a:ln>
          <a:effectLst>
            <a:outerShdw blurRad="57150" dist="19050" dir="5400000" algn="ctr" rotWithShape="0">
              <a:srgbClr val="000000">
                <a:alpha val="63000"/>
              </a:srgbClr>
            </a:outerShdw>
          </a:effectLst>
        </c:spPr>
        <c:marker>
          <c:symbol val="circle"/>
          <c:size val="6"/>
          <c:spPr>
            <a:solidFill>
              <a:srgbClr val="EAAEC9"/>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rgbClr val="EAAEC9"/>
          </a:solidFill>
          <a:ln>
            <a:noFill/>
          </a:ln>
          <a:effectLst>
            <a:outerShdw blurRad="57150" dist="19050" dir="5400000" algn="ctr" rotWithShape="0">
              <a:srgbClr val="000000">
                <a:alpha val="63000"/>
              </a:srgbClr>
            </a:outerShdw>
          </a:effectLst>
        </c:spPr>
        <c:marker>
          <c:symbol val="none"/>
        </c:marker>
        <c:dLbl>
          <c:idx val="0"/>
          <c:spPr>
            <a:solidFill>
              <a:srgbClr val="FFCCCC"/>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rgbClr val="9A808B"/>
          </a:solidFill>
          <a:ln>
            <a:noFill/>
          </a:ln>
          <a:effectLst>
            <a:outerShdw blurRad="57150" dist="19050" dir="5400000" algn="ctr" rotWithShape="0">
              <a:srgbClr val="000000">
                <a:alpha val="63000"/>
              </a:srgbClr>
            </a:outerShdw>
          </a:effectLst>
        </c:spPr>
        <c:marker>
          <c:symbol val="none"/>
        </c:marker>
        <c:dLbl>
          <c:idx val="0"/>
          <c:spPr>
            <a:solidFill>
              <a:srgbClr val="D9A0E4"/>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EAAEC9"/>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EAAEC9"/>
          </a:solidFill>
          <a:ln>
            <a:noFill/>
          </a:ln>
          <a:effectLst>
            <a:outerShdw blurRad="57150" dist="19050" dir="5400000" algn="ctr" rotWithShape="0">
              <a:srgbClr val="000000">
                <a:alpha val="63000"/>
              </a:srgbClr>
            </a:outerShdw>
          </a:effectLst>
        </c:spPr>
        <c:marker>
          <c:symbol val="none"/>
        </c:marker>
        <c:dLbl>
          <c:idx val="0"/>
          <c:spPr>
            <a:solidFill>
              <a:srgbClr val="FFCCCC"/>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9A808B"/>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EAAEC9"/>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EAAEC9"/>
          </a:solidFill>
          <a:ln>
            <a:noFill/>
          </a:ln>
          <a:effectLst>
            <a:outerShdw blurRad="57150" dist="19050" dir="5400000" algn="ctr" rotWithShape="0">
              <a:srgbClr val="000000">
                <a:alpha val="63000"/>
              </a:srgbClr>
            </a:outerShdw>
          </a:effectLst>
        </c:spPr>
        <c:marker>
          <c:symbol val="none"/>
        </c:marker>
        <c:dLbl>
          <c:idx val="0"/>
          <c:spPr>
            <a:solidFill>
              <a:srgbClr val="FFCCCC"/>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rgbClr val="9A808B"/>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EAAEC9"/>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EAAEC9"/>
          </a:solidFill>
          <a:ln>
            <a:noFill/>
          </a:ln>
          <a:effectLst>
            <a:outerShdw blurRad="57150" dist="19050" dir="5400000" algn="ctr" rotWithShape="0">
              <a:srgbClr val="000000">
                <a:alpha val="63000"/>
              </a:srgbClr>
            </a:outerShdw>
          </a:effectLst>
        </c:spPr>
        <c:marker>
          <c:symbol val="none"/>
        </c:marker>
        <c:dLbl>
          <c:idx val="0"/>
          <c:spPr>
            <a:solidFill>
              <a:srgbClr val="FFCCCC"/>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9A808B"/>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EAAEC9"/>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EAAEC9"/>
          </a:solidFill>
          <a:ln>
            <a:noFill/>
          </a:ln>
          <a:effectLst>
            <a:outerShdw blurRad="57150" dist="19050" dir="5400000" algn="ctr" rotWithShape="0">
              <a:srgbClr val="000000">
                <a:alpha val="63000"/>
              </a:srgbClr>
            </a:outerShdw>
          </a:effectLst>
        </c:spPr>
        <c:marker>
          <c:symbol val="none"/>
        </c:marker>
        <c:dLbl>
          <c:idx val="0"/>
          <c:spPr>
            <a:solidFill>
              <a:srgbClr val="FFCCCC"/>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rgbClr val="9A808B"/>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EAAEC9"/>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7"/>
        <c:spPr>
          <a:solidFill>
            <a:srgbClr val="EAAEC9"/>
          </a:solidFill>
          <a:ln>
            <a:noFill/>
          </a:ln>
          <a:effectLst>
            <a:outerShdw blurRad="57150" dist="19050" dir="5400000" algn="ctr" rotWithShape="0">
              <a:srgbClr val="000000">
                <a:alpha val="63000"/>
              </a:srgbClr>
            </a:outerShdw>
          </a:effectLst>
        </c:spPr>
        <c:marker>
          <c:symbol val="none"/>
        </c:marker>
        <c:dLbl>
          <c:idx val="0"/>
          <c:spPr>
            <a:solidFill>
              <a:srgbClr val="FFCCCC"/>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rgbClr val="9A808B"/>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9"/>
        <c:spPr>
          <a:ln w="34925" cap="rnd">
            <a:solidFill>
              <a:srgbClr val="EAAEC9"/>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EAAEC9"/>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2.3887081814430871E-2"/>
              <c:y val="-3.81376882083115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3194967725402"/>
          <c:y val="0.12969366399110185"/>
          <c:w val="0.80020172358461394"/>
          <c:h val="0.55361659182484979"/>
        </c:manualLayout>
      </c:layout>
      <c:barChart>
        <c:barDir val="col"/>
        <c:grouping val="clustered"/>
        <c:varyColors val="0"/>
        <c:ser>
          <c:idx val="0"/>
          <c:order val="0"/>
          <c:tx>
            <c:strRef>
              <c:f>'peads_0-4'!$B$5</c:f>
              <c:strCache>
                <c:ptCount val="1"/>
                <c:pt idx="0">
                  <c:v> LAM_tests</c:v>
                </c:pt>
              </c:strCache>
            </c:strRef>
          </c:tx>
          <c:spPr>
            <a:solidFill>
              <a:srgbClr val="EAAEC9"/>
            </a:solidFill>
            <a:ln>
              <a:noFill/>
            </a:ln>
            <a:effectLst>
              <a:outerShdw blurRad="57150" dist="19050" dir="5400000" algn="ctr" rotWithShape="0">
                <a:srgbClr val="000000">
                  <a:alpha val="63000"/>
                </a:srgbClr>
              </a:outerShdw>
            </a:effectLst>
          </c:spPr>
          <c:invertIfNegative val="0"/>
          <c:dLbls>
            <c:spPr>
              <a:solidFill>
                <a:srgbClr val="FFCCCC"/>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'peads_0-4'!$A$6:$A$25</c:f>
              <c:multiLvlStrCache>
                <c:ptCount val="1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2024</c:v>
                  </c:pt>
                  <c:pt idx="12">
                    <c:v>2025</c:v>
                  </c:pt>
                </c:lvl>
              </c:multiLvlStrCache>
            </c:multiLvlStrRef>
          </c:cat>
          <c:val>
            <c:numRef>
              <c:f>'peads_0-4'!$B$6:$B$25</c:f>
              <c:numCache>
                <c:formatCode>General</c:formatCode>
                <c:ptCount val="17"/>
                <c:pt idx="0">
                  <c:v>0</c:v>
                </c:pt>
                <c:pt idx="1">
                  <c:v>0</c:v>
                </c:pt>
                <c:pt idx="2">
                  <c:v>8</c:v>
                </c:pt>
                <c:pt idx="3">
                  <c:v>3</c:v>
                </c:pt>
                <c:pt idx="4">
                  <c:v>5</c:v>
                </c:pt>
                <c:pt idx="5">
                  <c:v>0</c:v>
                </c:pt>
                <c:pt idx="6">
                  <c:v>0</c:v>
                </c:pt>
                <c:pt idx="7">
                  <c:v>0</c:v>
                </c:pt>
                <c:pt idx="8">
                  <c:v>0</c:v>
                </c:pt>
                <c:pt idx="9">
                  <c:v>9</c:v>
                </c:pt>
                <c:pt idx="10">
                  <c:v>0</c:v>
                </c:pt>
                <c:pt idx="11">
                  <c:v>1</c:v>
                </c:pt>
                <c:pt idx="12">
                  <c:v>4</c:v>
                </c:pt>
                <c:pt idx="13">
                  <c:v>0</c:v>
                </c:pt>
                <c:pt idx="14">
                  <c:v>3</c:v>
                </c:pt>
                <c:pt idx="15">
                  <c:v>11</c:v>
                </c:pt>
                <c:pt idx="16">
                  <c:v>4</c:v>
                </c:pt>
              </c:numCache>
            </c:numRef>
          </c:val>
          <c:extLst>
            <c:ext xmlns:c16="http://schemas.microsoft.com/office/drawing/2014/chart" uri="{C3380CC4-5D6E-409C-BE32-E72D297353CC}">
              <c16:uniqueId val="{00000000-8F2E-45D0-BC72-6B5645303AE3}"/>
            </c:ext>
          </c:extLst>
        </c:ser>
        <c:ser>
          <c:idx val="1"/>
          <c:order val="1"/>
          <c:tx>
            <c:strRef>
              <c:f>'peads_0-4'!$C$5</c:f>
              <c:strCache>
                <c:ptCount val="1"/>
                <c:pt idx="0">
                  <c:v>CrAg-tests</c:v>
                </c:pt>
              </c:strCache>
            </c:strRef>
          </c:tx>
          <c:spPr>
            <a:solidFill>
              <a:srgbClr val="9A808B"/>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'peads_0-4'!$A$6:$A$25</c:f>
              <c:multiLvlStrCache>
                <c:ptCount val="1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2024</c:v>
                  </c:pt>
                  <c:pt idx="12">
                    <c:v>2025</c:v>
                  </c:pt>
                </c:lvl>
              </c:multiLvlStrCache>
            </c:multiLvlStrRef>
          </c:cat>
          <c:val>
            <c:numRef>
              <c:f>'peads_0-4'!$C$6:$C$25</c:f>
              <c:numCache>
                <c:formatCode>General</c:formatCode>
                <c:ptCount val="17"/>
                <c:pt idx="0">
                  <c:v>4</c:v>
                </c:pt>
                <c:pt idx="1">
                  <c:v>0</c:v>
                </c:pt>
                <c:pt idx="2">
                  <c:v>8</c:v>
                </c:pt>
                <c:pt idx="3">
                  <c:v>0</c:v>
                </c:pt>
                <c:pt idx="4">
                  <c:v>0</c:v>
                </c:pt>
                <c:pt idx="5">
                  <c:v>1</c:v>
                </c:pt>
                <c:pt idx="6">
                  <c:v>20</c:v>
                </c:pt>
                <c:pt idx="7">
                  <c:v>2</c:v>
                </c:pt>
                <c:pt idx="8">
                  <c:v>1</c:v>
                </c:pt>
                <c:pt idx="9">
                  <c:v>9</c:v>
                </c:pt>
                <c:pt idx="10">
                  <c:v>0</c:v>
                </c:pt>
                <c:pt idx="11">
                  <c:v>2</c:v>
                </c:pt>
                <c:pt idx="12">
                  <c:v>8</c:v>
                </c:pt>
                <c:pt idx="13">
                  <c:v>0</c:v>
                </c:pt>
                <c:pt idx="14">
                  <c:v>3</c:v>
                </c:pt>
                <c:pt idx="15">
                  <c:v>12</c:v>
                </c:pt>
                <c:pt idx="16">
                  <c:v>7</c:v>
                </c:pt>
              </c:numCache>
            </c:numRef>
          </c:val>
          <c:extLst>
            <c:ext xmlns:c16="http://schemas.microsoft.com/office/drawing/2014/chart" uri="{C3380CC4-5D6E-409C-BE32-E72D297353CC}">
              <c16:uniqueId val="{00000001-8F2E-45D0-BC72-6B5645303AE3}"/>
            </c:ext>
          </c:extLst>
        </c:ser>
        <c:dLbls>
          <c:dLblPos val="inEnd"/>
          <c:showLegendKey val="0"/>
          <c:showVal val="1"/>
          <c:showCatName val="0"/>
          <c:showSerName val="0"/>
          <c:showPercent val="0"/>
          <c:showBubbleSize val="0"/>
        </c:dLbls>
        <c:gapWidth val="68"/>
        <c:overlap val="34"/>
        <c:axId val="939995816"/>
        <c:axId val="939997976"/>
      </c:barChart>
      <c:lineChart>
        <c:grouping val="standard"/>
        <c:varyColors val="0"/>
        <c:ser>
          <c:idx val="2"/>
          <c:order val="2"/>
          <c:tx>
            <c:strRef>
              <c:f>'peads_0-4'!$D$5</c:f>
              <c:strCache>
                <c:ptCount val="1"/>
                <c:pt idx="0">
                  <c:v> LAM_COV%</c:v>
                </c:pt>
              </c:strCache>
            </c:strRef>
          </c:tx>
          <c:spPr>
            <a:ln w="34925" cap="rnd">
              <a:solidFill>
                <a:srgbClr val="EAAEC9"/>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'peads_0-4'!$A$6:$A$25</c:f>
              <c:multiLvlStrCache>
                <c:ptCount val="1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2024</c:v>
                  </c:pt>
                  <c:pt idx="12">
                    <c:v>2025</c:v>
                  </c:pt>
                </c:lvl>
              </c:multiLvlStrCache>
            </c:multiLvlStrRef>
          </c:cat>
          <c:val>
            <c:numRef>
              <c:f>'peads_0-4'!$D$6:$D$25</c:f>
              <c:numCache>
                <c:formatCode>0%</c:formatCode>
                <c:ptCount val="17"/>
                <c:pt idx="0">
                  <c:v>0</c:v>
                </c:pt>
                <c:pt idx="1">
                  <c:v>#N/A</c:v>
                </c:pt>
                <c:pt idx="2">
                  <c:v>1</c:v>
                </c:pt>
                <c:pt idx="3">
                  <c:v>0.6</c:v>
                </c:pt>
                <c:pt idx="4">
                  <c:v>0.625</c:v>
                </c:pt>
                <c:pt idx="5">
                  <c:v>0</c:v>
                </c:pt>
                <c:pt idx="6">
                  <c:v>0</c:v>
                </c:pt>
                <c:pt idx="7">
                  <c:v>0</c:v>
                </c:pt>
                <c:pt idx="8">
                  <c:v>0</c:v>
                </c:pt>
                <c:pt idx="9">
                  <c:v>1</c:v>
                </c:pt>
                <c:pt idx="10">
                  <c:v>0</c:v>
                </c:pt>
                <c:pt idx="11">
                  <c:v>0.33333333333333331</c:v>
                </c:pt>
                <c:pt idx="12">
                  <c:v>0.5</c:v>
                </c:pt>
                <c:pt idx="13">
                  <c:v>#N/A</c:v>
                </c:pt>
                <c:pt idx="14">
                  <c:v>1</c:v>
                </c:pt>
                <c:pt idx="15">
                  <c:v>0.84615384615384615</c:v>
                </c:pt>
                <c:pt idx="16">
                  <c:v>0.5714285714285714</c:v>
                </c:pt>
              </c:numCache>
            </c:numRef>
          </c:val>
          <c:smooth val="1"/>
          <c:extLst>
            <c:ext xmlns:c16="http://schemas.microsoft.com/office/drawing/2014/chart" uri="{C3380CC4-5D6E-409C-BE32-E72D297353CC}">
              <c16:uniqueId val="{00000002-8F2E-45D0-BC72-6B5645303AE3}"/>
            </c:ext>
          </c:extLst>
        </c:ser>
        <c:dLbls>
          <c:showLegendKey val="0"/>
          <c:showVal val="0"/>
          <c:showCatName val="0"/>
          <c:showSerName val="0"/>
          <c:showPercent val="0"/>
          <c:showBubbleSize val="0"/>
        </c:dLbls>
        <c:marker val="1"/>
        <c:smooth val="0"/>
        <c:axId val="76721471"/>
        <c:axId val="76720751"/>
      </c:lineChart>
      <c:catAx>
        <c:axId val="939995816"/>
        <c:scaling>
          <c:orientation val="minMax"/>
        </c:scaling>
        <c:delete val="0"/>
        <c:axPos val="b"/>
        <c:title>
          <c:tx>
            <c:rich>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r>
                  <a:rPr lang="en-US"/>
                  <a:t>Eligible peads for AHD screening per period</a:t>
                </a:r>
              </a:p>
            </c:rich>
          </c:tx>
          <c:layout>
            <c:manualLayout>
              <c:xMode val="edge"/>
              <c:yMode val="edge"/>
              <c:x val="0.4323768704396187"/>
              <c:y val="0.86901548780527038"/>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accent1">
                <a:lumMod val="50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939997976"/>
        <c:crosses val="autoZero"/>
        <c:auto val="1"/>
        <c:lblAlgn val="ctr"/>
        <c:lblOffset val="100"/>
        <c:noMultiLvlLbl val="0"/>
      </c:catAx>
      <c:valAx>
        <c:axId val="939997976"/>
        <c:scaling>
          <c:orientation val="minMax"/>
          <c:max val="20"/>
        </c:scaling>
        <c:delete val="0"/>
        <c:axPos val="l"/>
        <c:title>
          <c:tx>
            <c:rich>
              <a:bodyPr rot="-54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r>
                  <a:rPr lang="en-US"/>
                  <a:t>Number of recepients screened</a:t>
                </a:r>
              </a:p>
            </c:rich>
          </c:tx>
          <c:layout>
            <c:manualLayout>
              <c:xMode val="edge"/>
              <c:yMode val="edge"/>
              <c:x val="2.031565744137849E-2"/>
              <c:y val="0.2461914327480049"/>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itle>
        <c:numFmt formatCode="#,##0" sourceLinked="0"/>
        <c:majorTickMark val="none"/>
        <c:minorTickMark val="none"/>
        <c:tickLblPos val="nextTo"/>
        <c:spPr>
          <a:noFill/>
          <a:ln>
            <a:solidFill>
              <a:schemeClr val="accent1">
                <a:lumMod val="50000"/>
              </a:schemeClr>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939995816"/>
        <c:crosses val="autoZero"/>
        <c:crossBetween val="between"/>
      </c:valAx>
      <c:valAx>
        <c:axId val="76720751"/>
        <c:scaling>
          <c:orientation val="minMax"/>
          <c:min val="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6721471"/>
        <c:crosses val="max"/>
        <c:crossBetween val="between"/>
      </c:valAx>
      <c:catAx>
        <c:axId val="76721471"/>
        <c:scaling>
          <c:orientation val="minMax"/>
        </c:scaling>
        <c:delete val="1"/>
        <c:axPos val="b"/>
        <c:numFmt formatCode="General" sourceLinked="1"/>
        <c:majorTickMark val="out"/>
        <c:minorTickMark val="none"/>
        <c:tickLblPos val="nextTo"/>
        <c:crossAx val="76720751"/>
        <c:crosses val="autoZero"/>
        <c:auto val="1"/>
        <c:lblAlgn val="ctr"/>
        <c:lblOffset val="100"/>
        <c:noMultiLvlLbl val="0"/>
      </c:catAx>
      <c:spPr>
        <a:noFill/>
        <a:ln>
          <a:noFill/>
        </a:ln>
        <a:effectLst/>
      </c:spPr>
    </c:plotArea>
    <c:legend>
      <c:legendPos val="r"/>
      <c:layout>
        <c:manualLayout>
          <c:xMode val="edge"/>
          <c:yMode val="edge"/>
          <c:x val="0.19094277562718284"/>
          <c:y val="0.92889251628305547"/>
          <c:w val="0.68549588617899559"/>
          <c:h val="4.514692282609277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lumMod val="60000"/>
          <a:lumOff val="40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[AHD_Reporting_Form.xlsx]peads_0-4!PivotTable2</c:name>
    <c:fmtId val="8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sng" strike="noStrike" kern="1200" baseline="0">
                <a:solidFill>
                  <a:sysClr val="windowText" lastClr="000000"/>
                </a:solidFill>
                <a:latin typeface="+mn-lt"/>
                <a:ea typeface="+mn-ea"/>
                <a:cs typeface="+mn-cs"/>
              </a:defRPr>
            </a:pPr>
            <a:r>
              <a:rPr lang="en-US" sz="1600" b="1" i="0" u="sng" strike="noStrike" kern="1200" baseline="0">
                <a:solidFill>
                  <a:sysClr val="windowText" lastClr="000000"/>
                </a:solidFill>
              </a:rPr>
              <a:t>AHD Yield among  peadiatrics (0-4 years old) in 2024</a:t>
            </a:r>
          </a:p>
        </c:rich>
      </c:tx>
      <c:layout>
        <c:manualLayout>
          <c:xMode val="edge"/>
          <c:yMode val="edge"/>
          <c:x val="0.21056659614929493"/>
          <c:y val="1.4278865452952797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sng" strike="noStrike" kern="1200" baseline="0">
              <a:solidFill>
                <a:sysClr val="windowText" lastClr="000000"/>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2"/>
            </a:solidFill>
            <a:round/>
          </a:ln>
          <a:effectLst>
            <a:outerShdw blurRad="57150" dist="19050" dir="5400000" algn="ctr" rotWithShape="0">
              <a:srgbClr val="000000">
                <a:alpha val="63000"/>
              </a:srgbClr>
            </a:outerShdw>
          </a:effectLst>
        </c:spPr>
        <c:marker>
          <c:symbol val="circle"/>
          <c:size val="4"/>
          <c:spPr>
            <a:solidFill>
              <a:schemeClr val="accent2"/>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5"/>
            </a:solidFill>
            <a:round/>
          </a:ln>
          <a:effectLst>
            <a:outerShdw blurRad="57150" dist="19050" dir="5400000" algn="ctr" rotWithShape="0">
              <a:srgbClr val="000000">
                <a:alpha val="63000"/>
              </a:srgbClr>
            </a:outerShdw>
          </a:effectLst>
        </c:spPr>
        <c:marker>
          <c:symbol val="circle"/>
          <c:size val="4"/>
          <c:spPr>
            <a:solidFill>
              <a:schemeClr val="accent5"/>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dLbl>
          <c:idx val="0"/>
          <c:layout>
            <c:manualLayout>
              <c:x val="-3.6779396559352875E-2"/>
              <c:y val="3.23599931903843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2"/>
            </a:solidFill>
            <a:round/>
          </a:ln>
          <a:effectLst>
            <a:outerShdw blurRad="57150" dist="19050" dir="5400000" algn="ctr" rotWithShape="0">
              <a:srgbClr val="000000">
                <a:alpha val="63000"/>
              </a:srgbClr>
            </a:outerShdw>
          </a:effectLst>
        </c:spPr>
        <c:marker>
          <c:symbol val="circle"/>
          <c:size val="4"/>
          <c:spPr>
            <a:solidFill>
              <a:schemeClr val="accent2"/>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AAEC9"/>
            </a:solidFill>
            <a:round/>
          </a:ln>
          <a:effectLst>
            <a:outerShdw blurRad="57150" dist="19050" dir="5400000" algn="ctr" rotWithShape="0">
              <a:srgbClr val="000000">
                <a:alpha val="63000"/>
              </a:srgbClr>
            </a:outerShdw>
          </a:effectLst>
        </c:spPr>
        <c:marker>
          <c:symbol val="circle"/>
          <c:size val="4"/>
          <c:spPr>
            <a:solidFill>
              <a:srgbClr val="EAAEC9"/>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AAEC9"/>
            </a:solidFill>
            <a:round/>
          </a:ln>
          <a:effectLst>
            <a:outerShdw blurRad="57150" dist="19050" dir="5400000" algn="ctr" rotWithShape="0">
              <a:srgbClr val="000000">
                <a:alpha val="63000"/>
              </a:srgbClr>
            </a:outerShdw>
          </a:effectLst>
        </c:spPr>
        <c:marker>
          <c:symbol val="circle"/>
          <c:size val="4"/>
          <c:spPr>
            <a:solidFill>
              <a:srgbClr val="EAAEC9"/>
            </a:solidFill>
            <a:ln w="9525">
              <a:noFill/>
              <a:round/>
            </a:ln>
            <a:effectLst>
              <a:outerShdw blurRad="57150" dist="19050" dir="5400000" algn="ctr" rotWithShape="0">
                <a:srgbClr val="000000">
                  <a:alpha val="63000"/>
                </a:srgbClr>
              </a:outerShdw>
            </a:effectLst>
          </c:spPr>
        </c:marker>
        <c:dLbl>
          <c:idx val="0"/>
          <c:layout>
            <c:manualLayout>
              <c:x val="1.0144536241072326E-2"/>
              <c:y val="-1.8655171992706665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A808B"/>
            </a:solidFill>
            <a:round/>
          </a:ln>
          <a:effectLst>
            <a:outerShdw blurRad="57150" dist="19050" dir="5400000" algn="ctr" rotWithShape="0">
              <a:srgbClr val="000000">
                <a:alpha val="63000"/>
              </a:srgbClr>
            </a:outerShdw>
          </a:effectLst>
        </c:spPr>
        <c:marker>
          <c:symbol val="circle"/>
          <c:size val="4"/>
          <c:spPr>
            <a:solidFill>
              <a:srgbClr val="9A808B"/>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marker>
          <c:symbol val="circle"/>
          <c:size val="4"/>
          <c:spPr>
            <a:solidFill>
              <a:srgbClr val="EAAEC9"/>
            </a:solidFill>
            <a:ln w="9525">
              <a:noFill/>
              <a:round/>
            </a:ln>
            <a:effectLst>
              <a:outerShdw blurRad="57150" dist="19050" dir="5400000" algn="ctr" rotWithShape="0">
                <a:srgbClr val="000000">
                  <a:alpha val="63000"/>
                </a:srgbClr>
              </a:outerShdw>
            </a:effectLst>
          </c:spPr>
        </c:marke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AAEC9"/>
            </a:solidFill>
            <a:round/>
          </a:ln>
          <a:effectLst>
            <a:outerShdw blurRad="57150" dist="19050" dir="5400000" algn="ctr" rotWithShape="0">
              <a:srgbClr val="000000">
                <a:alpha val="63000"/>
              </a:srgbClr>
            </a:outerShdw>
          </a:effectLst>
        </c:spPr>
        <c:marker>
          <c:symbol val="circle"/>
          <c:size val="4"/>
          <c:spPr>
            <a:solidFill>
              <a:srgbClr val="EAAEC9"/>
            </a:solidFill>
            <a:ln w="9525">
              <a:noFill/>
              <a:round/>
            </a:ln>
            <a:effectLst>
              <a:outerShdw blurRad="57150" dist="19050" dir="5400000" algn="ctr" rotWithShape="0">
                <a:srgbClr val="000000">
                  <a:alpha val="63000"/>
                </a:srgbClr>
              </a:outerShdw>
            </a:effectLst>
          </c:spPr>
        </c:marke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AAEC9"/>
            </a:solidFill>
            <a:round/>
          </a:ln>
          <a:effectLst>
            <a:outerShdw blurRad="57150" dist="19050" dir="5400000" algn="ctr" rotWithShape="0">
              <a:srgbClr val="000000">
                <a:alpha val="63000"/>
              </a:srgbClr>
            </a:outerShdw>
          </a:effectLst>
        </c:spPr>
        <c:marker>
          <c:symbol val="circle"/>
          <c:size val="4"/>
          <c:spPr>
            <a:solidFill>
              <a:srgbClr val="EAAEC9"/>
            </a:solidFill>
            <a:ln w="9525">
              <a:noFill/>
              <a:round/>
            </a:ln>
            <a:effectLst>
              <a:outerShdw blurRad="57150" dist="19050" dir="5400000" algn="ctr" rotWithShape="0">
                <a:srgbClr val="000000">
                  <a:alpha val="63000"/>
                </a:srgbClr>
              </a:outerShdw>
            </a:effectLst>
          </c:spPr>
        </c:marke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AAEC9"/>
            </a:solidFill>
            <a:round/>
          </a:ln>
          <a:effectLst>
            <a:outerShdw blurRad="57150" dist="19050" dir="5400000" algn="ctr" rotWithShape="0">
              <a:srgbClr val="000000">
                <a:alpha val="63000"/>
              </a:srgbClr>
            </a:outerShdw>
          </a:effectLst>
        </c:spPr>
        <c:marker>
          <c:symbol val="circle"/>
          <c:size val="4"/>
          <c:spPr>
            <a:solidFill>
              <a:srgbClr val="EAAEC9"/>
            </a:solidFill>
            <a:ln w="9525">
              <a:noFill/>
              <a:round/>
            </a:ln>
            <a:effectLst>
              <a:outerShdw blurRad="57150" dist="19050" dir="5400000" algn="ctr" rotWithShape="0">
                <a:srgbClr val="000000">
                  <a:alpha val="63000"/>
                </a:srgbClr>
              </a:outerShdw>
            </a:effectLst>
          </c:spPr>
        </c:marke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AAEC9"/>
            </a:solidFill>
            <a:round/>
          </a:ln>
          <a:effectLst>
            <a:outerShdw blurRad="57150" dist="19050" dir="5400000" algn="ctr" rotWithShape="0">
              <a:srgbClr val="000000">
                <a:alpha val="63000"/>
              </a:srgbClr>
            </a:outerShdw>
          </a:effectLst>
        </c:spPr>
        <c:marker>
          <c:symbol val="circle"/>
          <c:size val="4"/>
          <c:spPr>
            <a:solidFill>
              <a:srgbClr val="EAAEC9"/>
            </a:solidFill>
            <a:ln w="9525">
              <a:noFill/>
              <a:round/>
            </a:ln>
            <a:effectLst>
              <a:outerShdw blurRad="57150" dist="19050" dir="5400000" algn="ctr" rotWithShape="0">
                <a:srgbClr val="000000">
                  <a:alpha val="63000"/>
                </a:srgbClr>
              </a:outerShdw>
            </a:effectLst>
          </c:spPr>
        </c:marke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AAEC9"/>
            </a:solidFill>
            <a:round/>
          </a:ln>
          <a:effectLst>
            <a:outerShdw blurRad="57150" dist="19050" dir="5400000" algn="ctr" rotWithShape="0">
              <a:srgbClr val="000000">
                <a:alpha val="63000"/>
              </a:srgbClr>
            </a:outerShdw>
          </a:effectLst>
        </c:spPr>
        <c:marker>
          <c:symbol val="circle"/>
          <c:size val="4"/>
          <c:spPr>
            <a:solidFill>
              <a:srgbClr val="EAAEC9"/>
            </a:solidFill>
            <a:ln w="9525">
              <a:noFill/>
              <a:round/>
            </a:ln>
            <a:effectLst>
              <a:outerShdw blurRad="57150" dist="19050" dir="5400000" algn="ctr" rotWithShape="0">
                <a:srgbClr val="000000">
                  <a:alpha val="63000"/>
                </a:srgbClr>
              </a:outerShdw>
            </a:effectLst>
          </c:spPr>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AAEC9"/>
            </a:solidFill>
            <a:round/>
          </a:ln>
          <a:effectLst>
            <a:outerShdw blurRad="57150" dist="19050" dir="5400000" algn="ctr" rotWithShape="0">
              <a:srgbClr val="000000">
                <a:alpha val="63000"/>
              </a:srgbClr>
            </a:outerShdw>
          </a:effectLst>
        </c:spPr>
        <c:marker>
          <c:symbol val="circle"/>
          <c:size val="4"/>
          <c:spPr>
            <a:solidFill>
              <a:srgbClr val="EAAEC9"/>
            </a:solidFill>
            <a:ln w="9525">
              <a:noFill/>
              <a:round/>
            </a:ln>
            <a:effectLst>
              <a:outerShdw blurRad="57150" dist="19050" dir="5400000" algn="ctr" rotWithShape="0">
                <a:srgbClr val="000000">
                  <a:alpha val="63000"/>
                </a:srgbClr>
              </a:outerShdw>
            </a:effectLst>
          </c:spPr>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AAEC9"/>
            </a:solidFill>
            <a:round/>
          </a:ln>
          <a:effectLst>
            <a:outerShdw blurRad="57150" dist="19050" dir="5400000" algn="ctr" rotWithShape="0">
              <a:srgbClr val="000000">
                <a:alpha val="63000"/>
              </a:srgbClr>
            </a:outerShdw>
          </a:effectLst>
        </c:spPr>
        <c:marker>
          <c:symbol val="circle"/>
          <c:size val="4"/>
          <c:spPr>
            <a:solidFill>
              <a:srgbClr val="EAAEC9"/>
            </a:solidFill>
            <a:ln w="9525">
              <a:noFill/>
              <a:round/>
            </a:ln>
            <a:effectLst>
              <a:outerShdw blurRad="57150" dist="19050" dir="5400000" algn="ctr" rotWithShape="0">
                <a:srgbClr val="000000">
                  <a:alpha val="63000"/>
                </a:srgbClr>
              </a:outerShdw>
            </a:effectLst>
          </c:spPr>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AAEC9"/>
            </a:solidFill>
            <a:round/>
          </a:ln>
          <a:effectLst>
            <a:outerShdw blurRad="57150" dist="19050" dir="5400000" algn="ctr" rotWithShape="0">
              <a:srgbClr val="000000">
                <a:alpha val="63000"/>
              </a:srgbClr>
            </a:outerShdw>
          </a:effectLst>
        </c:spPr>
        <c:marker>
          <c:symbol val="circle"/>
          <c:size val="4"/>
          <c:spPr>
            <a:solidFill>
              <a:srgbClr val="EAAEC9"/>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AAEC9"/>
            </a:solidFill>
            <a:round/>
          </a:ln>
          <a:effectLst>
            <a:outerShdw blurRad="57150" dist="19050" dir="5400000" algn="ctr" rotWithShape="0">
              <a:srgbClr val="000000">
                <a:alpha val="63000"/>
              </a:srgbClr>
            </a:outerShdw>
          </a:effectLst>
        </c:spPr>
        <c:marker>
          <c:symbol val="circle"/>
          <c:size val="4"/>
          <c:spPr>
            <a:solidFill>
              <a:srgbClr val="EAAEC9"/>
            </a:solidFill>
            <a:ln w="9525">
              <a:noFill/>
              <a:round/>
            </a:ln>
            <a:effectLst>
              <a:outerShdw blurRad="57150" dist="19050" dir="5400000" algn="ctr" rotWithShape="0">
                <a:srgbClr val="000000">
                  <a:alpha val="63000"/>
                </a:srgbClr>
              </a:outerShdw>
            </a:effectLst>
          </c:spPr>
        </c:marke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AAEC9"/>
            </a:solidFill>
            <a:round/>
          </a:ln>
          <a:effectLst>
            <a:outerShdw blurRad="57150" dist="19050" dir="5400000" algn="ctr" rotWithShape="0">
              <a:srgbClr val="000000">
                <a:alpha val="63000"/>
              </a:srgbClr>
            </a:outerShdw>
          </a:effectLst>
        </c:spPr>
        <c:marker>
          <c:symbol val="circle"/>
          <c:size val="4"/>
          <c:spPr>
            <a:solidFill>
              <a:srgbClr val="EAAEC9"/>
            </a:solidFill>
            <a:ln w="9525">
              <a:noFill/>
              <a:round/>
            </a:ln>
            <a:effectLst>
              <a:outerShdw blurRad="57150" dist="19050" dir="5400000" algn="ctr" rotWithShape="0">
                <a:srgbClr val="000000">
                  <a:alpha val="63000"/>
                </a:srgbClr>
              </a:outerShdw>
            </a:effectLst>
          </c:spPr>
        </c:marker>
        <c:dLbl>
          <c:idx val="0"/>
          <c:layout>
            <c:manualLayout>
              <c:x val="1.0144536241072326E-2"/>
              <c:y val="-1.8655171992706665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AAEC9"/>
            </a:solidFill>
            <a:round/>
          </a:ln>
          <a:effectLst>
            <a:outerShdw blurRad="57150" dist="19050" dir="5400000" algn="ctr" rotWithShape="0">
              <a:srgbClr val="000000">
                <a:alpha val="63000"/>
              </a:srgbClr>
            </a:outerShdw>
          </a:effectLst>
        </c:spPr>
        <c:marker>
          <c:symbol val="circle"/>
          <c:size val="4"/>
          <c:spPr>
            <a:solidFill>
              <a:srgbClr val="EAAEC9"/>
            </a:solidFill>
            <a:ln w="9525">
              <a:noFill/>
              <a:round/>
            </a:ln>
            <a:effectLst>
              <a:outerShdw blurRad="57150" dist="19050" dir="5400000" algn="ctr" rotWithShape="0">
                <a:srgbClr val="000000">
                  <a:alpha val="63000"/>
                </a:srgbClr>
              </a:outerShdw>
            </a:effectLst>
          </c:spPr>
        </c:marke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AAEC9"/>
            </a:solidFill>
            <a:round/>
          </a:ln>
          <a:effectLst>
            <a:outerShdw blurRad="57150" dist="19050" dir="5400000" algn="ctr" rotWithShape="0">
              <a:srgbClr val="000000">
                <a:alpha val="63000"/>
              </a:srgbClr>
            </a:outerShdw>
          </a:effectLst>
        </c:spPr>
        <c:marker>
          <c:symbol val="circle"/>
          <c:size val="4"/>
          <c:spPr>
            <a:solidFill>
              <a:srgbClr val="EAAEC9"/>
            </a:solidFill>
            <a:ln w="9525">
              <a:noFill/>
              <a:round/>
            </a:ln>
            <a:effectLst>
              <a:outerShdw blurRad="57150" dist="19050" dir="5400000" algn="ctr" rotWithShape="0">
                <a:srgbClr val="000000">
                  <a:alpha val="63000"/>
                </a:srgbClr>
              </a:outerShdw>
            </a:effectLst>
          </c:spPr>
        </c:marke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AAEC9"/>
            </a:solidFill>
            <a:round/>
          </a:ln>
          <a:effectLst>
            <a:outerShdw blurRad="57150" dist="19050" dir="5400000" algn="ctr" rotWithShape="0">
              <a:srgbClr val="000000">
                <a:alpha val="63000"/>
              </a:srgbClr>
            </a:outerShdw>
          </a:effectLst>
        </c:spPr>
        <c:marker>
          <c:symbol val="circle"/>
          <c:size val="4"/>
          <c:spPr>
            <a:solidFill>
              <a:srgbClr val="EAAEC9"/>
            </a:solidFill>
            <a:ln w="9525">
              <a:noFill/>
              <a:round/>
            </a:ln>
            <a:effectLst>
              <a:outerShdw blurRad="57150" dist="19050" dir="5400000" algn="ctr" rotWithShape="0">
                <a:srgbClr val="000000">
                  <a:alpha val="63000"/>
                </a:srgbClr>
              </a:outerShdw>
            </a:effectLst>
          </c:spPr>
        </c:marke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AAEC9"/>
            </a:solidFill>
            <a:round/>
          </a:ln>
          <a:effectLst>
            <a:outerShdw blurRad="57150" dist="19050" dir="5400000" algn="ctr" rotWithShape="0">
              <a:srgbClr val="000000">
                <a:alpha val="63000"/>
              </a:srgbClr>
            </a:outerShdw>
          </a:effectLst>
        </c:spPr>
        <c:marker>
          <c:symbol val="circle"/>
          <c:size val="4"/>
          <c:spPr>
            <a:solidFill>
              <a:srgbClr val="EAAEC9"/>
            </a:solidFill>
            <a:ln w="9525">
              <a:noFill/>
              <a:round/>
            </a:ln>
            <a:effectLst>
              <a:outerShdw blurRad="57150" dist="19050" dir="5400000" algn="ctr" rotWithShape="0">
                <a:srgbClr val="000000">
                  <a:alpha val="63000"/>
                </a:srgbClr>
              </a:outerShdw>
            </a:effectLst>
          </c:spPr>
        </c:marke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AAEC9"/>
            </a:solidFill>
            <a:round/>
          </a:ln>
          <a:effectLst>
            <a:outerShdw blurRad="57150" dist="19050" dir="5400000" algn="ctr" rotWithShape="0">
              <a:srgbClr val="000000">
                <a:alpha val="63000"/>
              </a:srgbClr>
            </a:outerShdw>
          </a:effectLst>
        </c:spPr>
        <c:marker>
          <c:symbol val="circle"/>
          <c:size val="4"/>
          <c:spPr>
            <a:solidFill>
              <a:srgbClr val="EAAEC9"/>
            </a:solidFill>
            <a:ln w="9525">
              <a:noFill/>
              <a:round/>
            </a:ln>
            <a:effectLst>
              <a:outerShdw blurRad="57150" dist="19050" dir="5400000" algn="ctr" rotWithShape="0">
                <a:srgbClr val="000000">
                  <a:alpha val="63000"/>
                </a:srgbClr>
              </a:outerShdw>
            </a:effectLst>
          </c:spPr>
        </c:marke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AAEC9"/>
            </a:solidFill>
            <a:round/>
          </a:ln>
          <a:effectLst>
            <a:outerShdw blurRad="57150" dist="19050" dir="5400000" algn="ctr" rotWithShape="0">
              <a:srgbClr val="000000">
                <a:alpha val="63000"/>
              </a:srgbClr>
            </a:outerShdw>
          </a:effectLst>
        </c:spPr>
        <c:marker>
          <c:symbol val="circle"/>
          <c:size val="4"/>
          <c:spPr>
            <a:solidFill>
              <a:srgbClr val="EAAEC9"/>
            </a:solidFill>
            <a:ln w="9525">
              <a:noFill/>
              <a:round/>
            </a:ln>
            <a:effectLst>
              <a:outerShdw blurRad="57150" dist="19050" dir="5400000" algn="ctr" rotWithShape="0">
                <a:srgbClr val="000000">
                  <a:alpha val="63000"/>
                </a:srgbClr>
              </a:outerShdw>
            </a:effectLst>
          </c:spPr>
        </c:marke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A808B"/>
            </a:solidFill>
            <a:round/>
          </a:ln>
          <a:effectLst>
            <a:outerShdw blurRad="57150" dist="19050" dir="5400000" algn="ctr" rotWithShape="0">
              <a:srgbClr val="000000">
                <a:alpha val="63000"/>
              </a:srgbClr>
            </a:outerShdw>
          </a:effectLst>
        </c:spPr>
        <c:marker>
          <c:symbol val="circle"/>
          <c:size val="4"/>
          <c:spPr>
            <a:solidFill>
              <a:srgbClr val="9A808B"/>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AAEC9"/>
            </a:solidFill>
            <a:round/>
          </a:ln>
          <a:effectLst>
            <a:outerShdw blurRad="57150" dist="19050" dir="5400000" algn="ctr" rotWithShape="0">
              <a:srgbClr val="000000">
                <a:alpha val="63000"/>
              </a:srgbClr>
            </a:outerShdw>
          </a:effectLst>
        </c:spPr>
        <c:marker>
          <c:symbol val="circle"/>
          <c:size val="4"/>
          <c:spPr>
            <a:solidFill>
              <a:srgbClr val="EAAEC9"/>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AAEC9"/>
            </a:solidFill>
            <a:round/>
          </a:ln>
          <a:effectLst>
            <a:outerShdw blurRad="57150" dist="19050" dir="5400000" algn="ctr" rotWithShape="0">
              <a:srgbClr val="000000">
                <a:alpha val="63000"/>
              </a:srgbClr>
            </a:outerShdw>
          </a:effectLst>
        </c:spPr>
        <c:marker>
          <c:symbol val="circle"/>
          <c:size val="4"/>
          <c:spPr>
            <a:solidFill>
              <a:srgbClr val="EAAEC9"/>
            </a:solidFill>
            <a:ln w="9525">
              <a:noFill/>
              <a:round/>
            </a:ln>
            <a:effectLst>
              <a:outerShdw blurRad="57150" dist="19050" dir="5400000" algn="ctr" rotWithShape="0">
                <a:srgbClr val="000000">
                  <a:alpha val="63000"/>
                </a:srgbClr>
              </a:outerShdw>
            </a:effectLst>
          </c:spPr>
        </c:marke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AAEC9"/>
            </a:solidFill>
            <a:round/>
          </a:ln>
          <a:effectLst>
            <a:outerShdw blurRad="57150" dist="19050" dir="5400000" algn="ctr" rotWithShape="0">
              <a:srgbClr val="000000">
                <a:alpha val="63000"/>
              </a:srgbClr>
            </a:outerShdw>
          </a:effectLst>
        </c:spPr>
        <c:marker>
          <c:symbol val="circle"/>
          <c:size val="4"/>
          <c:spPr>
            <a:solidFill>
              <a:srgbClr val="EAAEC9"/>
            </a:solidFill>
            <a:ln w="9525">
              <a:noFill/>
              <a:round/>
            </a:ln>
            <a:effectLst>
              <a:outerShdw blurRad="57150" dist="19050" dir="5400000" algn="ctr" rotWithShape="0">
                <a:srgbClr val="000000">
                  <a:alpha val="63000"/>
                </a:srgbClr>
              </a:outerShdw>
            </a:effectLst>
          </c:spPr>
        </c:marker>
        <c:dLbl>
          <c:idx val="0"/>
          <c:layout>
            <c:manualLayout>
              <c:x val="1.0144536241072326E-2"/>
              <c:y val="-1.8655171992706665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AAEC9"/>
            </a:solidFill>
            <a:round/>
          </a:ln>
          <a:effectLst>
            <a:outerShdw blurRad="57150" dist="19050" dir="5400000" algn="ctr" rotWithShape="0">
              <a:srgbClr val="000000">
                <a:alpha val="63000"/>
              </a:srgbClr>
            </a:outerShdw>
          </a:effectLst>
        </c:spPr>
        <c:marker>
          <c:symbol val="circle"/>
          <c:size val="4"/>
          <c:spPr>
            <a:solidFill>
              <a:srgbClr val="EAAEC9"/>
            </a:solidFill>
            <a:ln w="9525">
              <a:noFill/>
              <a:round/>
            </a:ln>
            <a:effectLst>
              <a:outerShdw blurRad="57150" dist="19050" dir="5400000" algn="ctr" rotWithShape="0">
                <a:srgbClr val="000000">
                  <a:alpha val="63000"/>
                </a:srgbClr>
              </a:outerShdw>
            </a:effectLst>
          </c:spPr>
        </c:marke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AAEC9"/>
            </a:solidFill>
            <a:round/>
          </a:ln>
          <a:effectLst>
            <a:outerShdw blurRad="57150" dist="19050" dir="5400000" algn="ctr" rotWithShape="0">
              <a:srgbClr val="000000">
                <a:alpha val="63000"/>
              </a:srgbClr>
            </a:outerShdw>
          </a:effectLst>
        </c:spPr>
        <c:marker>
          <c:symbol val="circle"/>
          <c:size val="4"/>
          <c:spPr>
            <a:solidFill>
              <a:srgbClr val="EAAEC9"/>
            </a:solidFill>
            <a:ln w="9525">
              <a:noFill/>
              <a:round/>
            </a:ln>
            <a:effectLst>
              <a:outerShdw blurRad="57150" dist="19050" dir="5400000" algn="ctr" rotWithShape="0">
                <a:srgbClr val="000000">
                  <a:alpha val="63000"/>
                </a:srgbClr>
              </a:outerShdw>
            </a:effectLst>
          </c:spPr>
        </c:marke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AAEC9"/>
            </a:solidFill>
            <a:round/>
          </a:ln>
          <a:effectLst>
            <a:outerShdw blurRad="57150" dist="19050" dir="5400000" algn="ctr" rotWithShape="0">
              <a:srgbClr val="000000">
                <a:alpha val="63000"/>
              </a:srgbClr>
            </a:outerShdw>
          </a:effectLst>
        </c:spPr>
        <c:marker>
          <c:symbol val="circle"/>
          <c:size val="4"/>
          <c:spPr>
            <a:solidFill>
              <a:srgbClr val="EAAEC9"/>
            </a:solidFill>
            <a:ln w="9525">
              <a:noFill/>
              <a:round/>
            </a:ln>
            <a:effectLst>
              <a:outerShdw blurRad="57150" dist="19050" dir="5400000" algn="ctr" rotWithShape="0">
                <a:srgbClr val="000000">
                  <a:alpha val="63000"/>
                </a:srgbClr>
              </a:outerShdw>
            </a:effectLst>
          </c:spPr>
        </c:marke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AAEC9"/>
            </a:solidFill>
            <a:round/>
          </a:ln>
          <a:effectLst>
            <a:outerShdw blurRad="57150" dist="19050" dir="5400000" algn="ctr" rotWithShape="0">
              <a:srgbClr val="000000">
                <a:alpha val="63000"/>
              </a:srgbClr>
            </a:outerShdw>
          </a:effectLst>
        </c:spPr>
        <c:marker>
          <c:symbol val="circle"/>
          <c:size val="4"/>
          <c:spPr>
            <a:solidFill>
              <a:srgbClr val="EAAEC9"/>
            </a:solidFill>
            <a:ln w="9525">
              <a:noFill/>
              <a:round/>
            </a:ln>
            <a:effectLst>
              <a:outerShdw blurRad="57150" dist="19050" dir="5400000" algn="ctr" rotWithShape="0">
                <a:srgbClr val="000000">
                  <a:alpha val="63000"/>
                </a:srgbClr>
              </a:outerShdw>
            </a:effectLst>
          </c:spPr>
        </c:marke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AAEC9"/>
            </a:solidFill>
            <a:round/>
          </a:ln>
          <a:effectLst>
            <a:outerShdw blurRad="57150" dist="19050" dir="5400000" algn="ctr" rotWithShape="0">
              <a:srgbClr val="000000">
                <a:alpha val="63000"/>
              </a:srgbClr>
            </a:outerShdw>
          </a:effectLst>
        </c:spPr>
        <c:marker>
          <c:symbol val="circle"/>
          <c:size val="4"/>
          <c:spPr>
            <a:solidFill>
              <a:srgbClr val="EAAEC9"/>
            </a:solidFill>
            <a:ln w="9525">
              <a:noFill/>
              <a:round/>
            </a:ln>
            <a:effectLst>
              <a:outerShdw blurRad="57150" dist="19050" dir="5400000" algn="ctr" rotWithShape="0">
                <a:srgbClr val="000000">
                  <a:alpha val="63000"/>
                </a:srgbClr>
              </a:outerShdw>
            </a:effectLst>
          </c:spPr>
        </c:marke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AAEC9"/>
            </a:solidFill>
            <a:round/>
          </a:ln>
          <a:effectLst>
            <a:outerShdw blurRad="57150" dist="19050" dir="5400000" algn="ctr" rotWithShape="0">
              <a:srgbClr val="000000">
                <a:alpha val="63000"/>
              </a:srgbClr>
            </a:outerShdw>
          </a:effectLst>
        </c:spPr>
        <c:marker>
          <c:symbol val="circle"/>
          <c:size val="4"/>
          <c:spPr>
            <a:solidFill>
              <a:srgbClr val="EAAEC9"/>
            </a:solidFill>
            <a:ln w="9525">
              <a:noFill/>
              <a:round/>
            </a:ln>
            <a:effectLst>
              <a:outerShdw blurRad="57150" dist="19050" dir="5400000" algn="ctr" rotWithShape="0">
                <a:srgbClr val="000000">
                  <a:alpha val="63000"/>
                </a:srgbClr>
              </a:outerShdw>
            </a:effectLst>
          </c:spPr>
        </c:marke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A808B"/>
            </a:solidFill>
            <a:round/>
          </a:ln>
          <a:effectLst>
            <a:outerShdw blurRad="57150" dist="19050" dir="5400000" algn="ctr" rotWithShape="0">
              <a:srgbClr val="000000">
                <a:alpha val="63000"/>
              </a:srgbClr>
            </a:outerShdw>
          </a:effectLst>
        </c:spPr>
        <c:marker>
          <c:symbol val="circle"/>
          <c:size val="4"/>
          <c:spPr>
            <a:solidFill>
              <a:srgbClr val="9A808B"/>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AAEC9"/>
            </a:solidFill>
            <a:round/>
          </a:ln>
          <a:effectLst>
            <a:outerShdw blurRad="57150" dist="19050" dir="5400000" algn="ctr" rotWithShape="0">
              <a:srgbClr val="000000">
                <a:alpha val="63000"/>
              </a:srgbClr>
            </a:outerShdw>
          </a:effectLst>
        </c:spPr>
        <c:marker>
          <c:symbol val="circle"/>
          <c:size val="4"/>
          <c:spPr>
            <a:solidFill>
              <a:srgbClr val="EAAEC9"/>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AAEC9"/>
            </a:solidFill>
            <a:round/>
          </a:ln>
          <a:effectLst>
            <a:outerShdw blurRad="57150" dist="19050" dir="5400000" algn="ctr" rotWithShape="0">
              <a:srgbClr val="000000">
                <a:alpha val="63000"/>
              </a:srgbClr>
            </a:outerShdw>
          </a:effectLst>
        </c:spPr>
        <c:marker>
          <c:symbol val="circle"/>
          <c:size val="4"/>
          <c:spPr>
            <a:solidFill>
              <a:srgbClr val="EAAEC9"/>
            </a:solidFill>
            <a:ln w="9525">
              <a:noFill/>
              <a:round/>
            </a:ln>
            <a:effectLst>
              <a:outerShdw blurRad="57150" dist="19050" dir="5400000" algn="ctr" rotWithShape="0">
                <a:srgbClr val="000000">
                  <a:alpha val="63000"/>
                </a:srgbClr>
              </a:outerShdw>
            </a:effectLst>
          </c:spPr>
        </c:marke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AAEC9"/>
            </a:solidFill>
            <a:round/>
          </a:ln>
          <a:effectLst>
            <a:outerShdw blurRad="57150" dist="19050" dir="5400000" algn="ctr" rotWithShape="0">
              <a:srgbClr val="000000">
                <a:alpha val="63000"/>
              </a:srgbClr>
            </a:outerShdw>
          </a:effectLst>
        </c:spPr>
        <c:marker>
          <c:symbol val="circle"/>
          <c:size val="4"/>
          <c:spPr>
            <a:solidFill>
              <a:srgbClr val="EAAEC9"/>
            </a:solidFill>
            <a:ln w="9525">
              <a:noFill/>
              <a:round/>
            </a:ln>
            <a:effectLst>
              <a:outerShdw blurRad="57150" dist="19050" dir="5400000" algn="ctr" rotWithShape="0">
                <a:srgbClr val="000000">
                  <a:alpha val="63000"/>
                </a:srgbClr>
              </a:outerShdw>
            </a:effectLst>
          </c:spPr>
        </c:marker>
        <c:dLbl>
          <c:idx val="0"/>
          <c:layout>
            <c:manualLayout>
              <c:x val="1.0144536241072326E-2"/>
              <c:y val="-1.8655171992706665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AAEC9"/>
            </a:solidFill>
            <a:round/>
          </a:ln>
          <a:effectLst>
            <a:outerShdw blurRad="57150" dist="19050" dir="5400000" algn="ctr" rotWithShape="0">
              <a:srgbClr val="000000">
                <a:alpha val="63000"/>
              </a:srgbClr>
            </a:outerShdw>
          </a:effectLst>
        </c:spPr>
        <c:marker>
          <c:symbol val="circle"/>
          <c:size val="4"/>
          <c:spPr>
            <a:solidFill>
              <a:srgbClr val="EAAEC9"/>
            </a:solidFill>
            <a:ln w="9525">
              <a:noFill/>
              <a:round/>
            </a:ln>
            <a:effectLst>
              <a:outerShdw blurRad="57150" dist="19050" dir="5400000" algn="ctr" rotWithShape="0">
                <a:srgbClr val="000000">
                  <a:alpha val="63000"/>
                </a:srgbClr>
              </a:outerShdw>
            </a:effectLst>
          </c:spPr>
        </c:marke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AAEC9"/>
            </a:solidFill>
            <a:round/>
          </a:ln>
          <a:effectLst>
            <a:outerShdw blurRad="57150" dist="19050" dir="5400000" algn="ctr" rotWithShape="0">
              <a:srgbClr val="000000">
                <a:alpha val="63000"/>
              </a:srgbClr>
            </a:outerShdw>
          </a:effectLst>
        </c:spPr>
        <c:marker>
          <c:symbol val="circle"/>
          <c:size val="4"/>
          <c:spPr>
            <a:solidFill>
              <a:srgbClr val="EAAEC9"/>
            </a:solidFill>
            <a:ln w="9525">
              <a:noFill/>
              <a:round/>
            </a:ln>
            <a:effectLst>
              <a:outerShdw blurRad="57150" dist="19050" dir="5400000" algn="ctr" rotWithShape="0">
                <a:srgbClr val="000000">
                  <a:alpha val="63000"/>
                </a:srgbClr>
              </a:outerShdw>
            </a:effectLst>
          </c:spPr>
        </c:marke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AAEC9"/>
            </a:solidFill>
            <a:round/>
          </a:ln>
          <a:effectLst>
            <a:outerShdw blurRad="57150" dist="19050" dir="5400000" algn="ctr" rotWithShape="0">
              <a:srgbClr val="000000">
                <a:alpha val="63000"/>
              </a:srgbClr>
            </a:outerShdw>
          </a:effectLst>
        </c:spPr>
        <c:marker>
          <c:symbol val="circle"/>
          <c:size val="4"/>
          <c:spPr>
            <a:solidFill>
              <a:srgbClr val="EAAEC9"/>
            </a:solidFill>
            <a:ln w="9525">
              <a:noFill/>
              <a:round/>
            </a:ln>
            <a:effectLst>
              <a:outerShdw blurRad="57150" dist="19050" dir="5400000" algn="ctr" rotWithShape="0">
                <a:srgbClr val="000000">
                  <a:alpha val="63000"/>
                </a:srgbClr>
              </a:outerShdw>
            </a:effectLst>
          </c:spPr>
        </c:marke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AAEC9"/>
            </a:solidFill>
            <a:round/>
          </a:ln>
          <a:effectLst>
            <a:outerShdw blurRad="57150" dist="19050" dir="5400000" algn="ctr" rotWithShape="0">
              <a:srgbClr val="000000">
                <a:alpha val="63000"/>
              </a:srgbClr>
            </a:outerShdw>
          </a:effectLst>
        </c:spPr>
        <c:marker>
          <c:symbol val="circle"/>
          <c:size val="4"/>
          <c:spPr>
            <a:solidFill>
              <a:srgbClr val="EAAEC9"/>
            </a:solidFill>
            <a:ln w="9525">
              <a:noFill/>
              <a:round/>
            </a:ln>
            <a:effectLst>
              <a:outerShdw blurRad="57150" dist="19050" dir="5400000" algn="ctr" rotWithShape="0">
                <a:srgbClr val="000000">
                  <a:alpha val="63000"/>
                </a:srgbClr>
              </a:outerShdw>
            </a:effectLst>
          </c:spPr>
        </c:marke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AAEC9"/>
            </a:solidFill>
            <a:round/>
          </a:ln>
          <a:effectLst>
            <a:outerShdw blurRad="57150" dist="19050" dir="5400000" algn="ctr" rotWithShape="0">
              <a:srgbClr val="000000">
                <a:alpha val="63000"/>
              </a:srgbClr>
            </a:outerShdw>
          </a:effectLst>
        </c:spPr>
        <c:marker>
          <c:symbol val="circle"/>
          <c:size val="4"/>
          <c:spPr>
            <a:solidFill>
              <a:srgbClr val="EAAEC9"/>
            </a:solidFill>
            <a:ln w="9525">
              <a:noFill/>
              <a:round/>
            </a:ln>
            <a:effectLst>
              <a:outerShdw blurRad="57150" dist="19050" dir="5400000" algn="ctr" rotWithShape="0">
                <a:srgbClr val="000000">
                  <a:alpha val="63000"/>
                </a:srgbClr>
              </a:outerShdw>
            </a:effectLst>
          </c:spPr>
        </c:marke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AAEC9"/>
            </a:solidFill>
            <a:round/>
          </a:ln>
          <a:effectLst>
            <a:outerShdw blurRad="57150" dist="19050" dir="5400000" algn="ctr" rotWithShape="0">
              <a:srgbClr val="000000">
                <a:alpha val="63000"/>
              </a:srgbClr>
            </a:outerShdw>
          </a:effectLst>
        </c:spPr>
        <c:marker>
          <c:symbol val="circle"/>
          <c:size val="4"/>
          <c:spPr>
            <a:solidFill>
              <a:srgbClr val="EAAEC9"/>
            </a:solidFill>
            <a:ln w="9525">
              <a:noFill/>
              <a:round/>
            </a:ln>
            <a:effectLst>
              <a:outerShdw blurRad="57150" dist="19050" dir="5400000" algn="ctr" rotWithShape="0">
                <a:srgbClr val="000000">
                  <a:alpha val="63000"/>
                </a:srgbClr>
              </a:outerShdw>
            </a:effectLst>
          </c:spPr>
        </c:marke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A808B"/>
            </a:solidFill>
            <a:round/>
          </a:ln>
          <a:effectLst>
            <a:outerShdw blurRad="57150" dist="19050" dir="5400000" algn="ctr" rotWithShape="0">
              <a:srgbClr val="000000">
                <a:alpha val="63000"/>
              </a:srgbClr>
            </a:outerShdw>
          </a:effectLst>
        </c:spPr>
        <c:marker>
          <c:symbol val="circle"/>
          <c:size val="4"/>
          <c:spPr>
            <a:solidFill>
              <a:srgbClr val="9A808B"/>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7"/>
        <c:spPr>
          <a:ln w="19050" cap="rnd">
            <a:solidFill>
              <a:srgbClr val="EAAEC9"/>
            </a:solidFill>
            <a:round/>
          </a:ln>
          <a:effectLst>
            <a:outerShdw blurRad="57150" dist="19050" dir="5400000" algn="ctr" rotWithShape="0">
              <a:srgbClr val="000000">
                <a:alpha val="63000"/>
              </a:srgbClr>
            </a:outerShdw>
          </a:effectLst>
        </c:spPr>
        <c:marker>
          <c:symbol val="circle"/>
          <c:size val="4"/>
          <c:spPr>
            <a:solidFill>
              <a:srgbClr val="EAAEC9"/>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AAEC9"/>
            </a:solidFill>
            <a:round/>
          </a:ln>
          <a:effectLst>
            <a:outerShdw blurRad="57150" dist="19050" dir="5400000" algn="ctr" rotWithShape="0">
              <a:srgbClr val="000000">
                <a:alpha val="63000"/>
              </a:srgbClr>
            </a:outerShdw>
          </a:effectLst>
        </c:spPr>
        <c:marker>
          <c:symbol val="circle"/>
          <c:size val="4"/>
          <c:spPr>
            <a:solidFill>
              <a:srgbClr val="EAAEC9"/>
            </a:solidFill>
            <a:ln w="9525">
              <a:noFill/>
              <a:round/>
            </a:ln>
            <a:effectLst>
              <a:outerShdw blurRad="57150" dist="19050" dir="5400000" algn="ctr" rotWithShape="0">
                <a:srgbClr val="000000">
                  <a:alpha val="63000"/>
                </a:srgbClr>
              </a:outerShdw>
            </a:effectLst>
          </c:spPr>
        </c:marke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AAEC9"/>
            </a:solidFill>
            <a:round/>
          </a:ln>
          <a:effectLst>
            <a:outerShdw blurRad="57150" dist="19050" dir="5400000" algn="ctr" rotWithShape="0">
              <a:srgbClr val="000000">
                <a:alpha val="63000"/>
              </a:srgbClr>
            </a:outerShdw>
          </a:effectLst>
        </c:spPr>
        <c:marker>
          <c:symbol val="circle"/>
          <c:size val="4"/>
          <c:spPr>
            <a:solidFill>
              <a:srgbClr val="EAAEC9"/>
            </a:solidFill>
            <a:ln w="9525">
              <a:noFill/>
              <a:round/>
            </a:ln>
            <a:effectLst>
              <a:outerShdw blurRad="57150" dist="19050" dir="5400000" algn="ctr" rotWithShape="0">
                <a:srgbClr val="000000">
                  <a:alpha val="63000"/>
                </a:srgbClr>
              </a:outerShdw>
            </a:effectLst>
          </c:spPr>
        </c:marker>
        <c:dLbl>
          <c:idx val="0"/>
          <c:layout>
            <c:manualLayout>
              <c:x val="1.0144536241072326E-2"/>
              <c:y val="-1.8655171992706665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AAEC9"/>
            </a:solidFill>
            <a:round/>
          </a:ln>
          <a:effectLst>
            <a:outerShdw blurRad="57150" dist="19050" dir="5400000" algn="ctr" rotWithShape="0">
              <a:srgbClr val="000000">
                <a:alpha val="63000"/>
              </a:srgbClr>
            </a:outerShdw>
          </a:effectLst>
        </c:spPr>
        <c:marker>
          <c:symbol val="circle"/>
          <c:size val="4"/>
          <c:spPr>
            <a:solidFill>
              <a:srgbClr val="EAAEC9"/>
            </a:solidFill>
            <a:ln w="9525">
              <a:noFill/>
              <a:round/>
            </a:ln>
            <a:effectLst>
              <a:outerShdw blurRad="57150" dist="19050" dir="5400000" algn="ctr" rotWithShape="0">
                <a:srgbClr val="000000">
                  <a:alpha val="63000"/>
                </a:srgbClr>
              </a:outerShdw>
            </a:effectLst>
          </c:spPr>
        </c:marke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AAEC9"/>
            </a:solidFill>
            <a:round/>
          </a:ln>
          <a:effectLst>
            <a:outerShdw blurRad="57150" dist="19050" dir="5400000" algn="ctr" rotWithShape="0">
              <a:srgbClr val="000000">
                <a:alpha val="63000"/>
              </a:srgbClr>
            </a:outerShdw>
          </a:effectLst>
        </c:spPr>
        <c:marker>
          <c:symbol val="circle"/>
          <c:size val="4"/>
          <c:spPr>
            <a:solidFill>
              <a:srgbClr val="EAAEC9"/>
            </a:solidFill>
            <a:ln w="9525">
              <a:noFill/>
              <a:round/>
            </a:ln>
            <a:effectLst>
              <a:outerShdw blurRad="57150" dist="19050" dir="5400000" algn="ctr" rotWithShape="0">
                <a:srgbClr val="000000">
                  <a:alpha val="63000"/>
                </a:srgbClr>
              </a:outerShdw>
            </a:effectLst>
          </c:spPr>
        </c:marke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AAEC9"/>
            </a:solidFill>
            <a:round/>
          </a:ln>
          <a:effectLst>
            <a:outerShdw blurRad="57150" dist="19050" dir="5400000" algn="ctr" rotWithShape="0">
              <a:srgbClr val="000000">
                <a:alpha val="63000"/>
              </a:srgbClr>
            </a:outerShdw>
          </a:effectLst>
        </c:spPr>
        <c:marker>
          <c:symbol val="circle"/>
          <c:size val="4"/>
          <c:spPr>
            <a:solidFill>
              <a:srgbClr val="EAAEC9"/>
            </a:solidFill>
            <a:ln w="9525">
              <a:noFill/>
              <a:round/>
            </a:ln>
            <a:effectLst>
              <a:outerShdw blurRad="57150" dist="19050" dir="5400000" algn="ctr" rotWithShape="0">
                <a:srgbClr val="000000">
                  <a:alpha val="63000"/>
                </a:srgbClr>
              </a:outerShdw>
            </a:effectLst>
          </c:spPr>
        </c:marke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AAEC9"/>
            </a:solidFill>
            <a:round/>
          </a:ln>
          <a:effectLst>
            <a:outerShdw blurRad="57150" dist="19050" dir="5400000" algn="ctr" rotWithShape="0">
              <a:srgbClr val="000000">
                <a:alpha val="63000"/>
              </a:srgbClr>
            </a:outerShdw>
          </a:effectLst>
        </c:spPr>
        <c:marker>
          <c:symbol val="circle"/>
          <c:size val="4"/>
          <c:spPr>
            <a:solidFill>
              <a:srgbClr val="EAAEC9"/>
            </a:solidFill>
            <a:ln w="9525">
              <a:noFill/>
              <a:round/>
            </a:ln>
            <a:effectLst>
              <a:outerShdw blurRad="57150" dist="19050" dir="5400000" algn="ctr" rotWithShape="0">
                <a:srgbClr val="000000">
                  <a:alpha val="63000"/>
                </a:srgbClr>
              </a:outerShdw>
            </a:effectLst>
          </c:spPr>
        </c:marker>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AAEC9"/>
            </a:solidFill>
            <a:round/>
          </a:ln>
          <a:effectLst>
            <a:outerShdw blurRad="57150" dist="19050" dir="5400000" algn="ctr" rotWithShape="0">
              <a:srgbClr val="000000">
                <a:alpha val="63000"/>
              </a:srgbClr>
            </a:outerShdw>
          </a:effectLst>
        </c:spPr>
        <c:marker>
          <c:symbol val="circle"/>
          <c:size val="4"/>
          <c:spPr>
            <a:solidFill>
              <a:srgbClr val="EAAEC9"/>
            </a:solidFill>
            <a:ln w="9525">
              <a:noFill/>
              <a:round/>
            </a:ln>
            <a:effectLst>
              <a:outerShdw blurRad="57150" dist="19050" dir="5400000" algn="ctr" rotWithShape="0">
                <a:srgbClr val="000000">
                  <a:alpha val="63000"/>
                </a:srgbClr>
              </a:outerShdw>
            </a:effectLst>
          </c:spPr>
        </c:marker>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AAEC9"/>
            </a:solidFill>
            <a:round/>
          </a:ln>
          <a:effectLst>
            <a:outerShdw blurRad="57150" dist="19050" dir="5400000" algn="ctr" rotWithShape="0">
              <a:srgbClr val="000000">
                <a:alpha val="63000"/>
              </a:srgbClr>
            </a:outerShdw>
          </a:effectLst>
        </c:spPr>
        <c:marker>
          <c:symbol val="circle"/>
          <c:size val="4"/>
          <c:spPr>
            <a:solidFill>
              <a:srgbClr val="EAAEC9"/>
            </a:solidFill>
            <a:ln w="9525">
              <a:noFill/>
              <a:round/>
            </a:ln>
            <a:effectLst>
              <a:outerShdw blurRad="57150" dist="19050" dir="5400000" algn="ctr" rotWithShape="0">
                <a:srgbClr val="000000">
                  <a:alpha val="63000"/>
                </a:srgbClr>
              </a:outerShdw>
            </a:effectLst>
          </c:spPr>
        </c:marker>
      </c:pivotFmt>
      <c:pivotFmt>
        <c:idx val="56"/>
        <c:spPr>
          <a:ln w="19050" cap="rnd">
            <a:solidFill>
              <a:srgbClr val="9A808B"/>
            </a:solidFill>
            <a:round/>
          </a:ln>
          <a:effectLst>
            <a:outerShdw blurRad="57150" dist="19050" dir="5400000" algn="ctr" rotWithShape="0">
              <a:srgbClr val="000000">
                <a:alpha val="63000"/>
              </a:srgbClr>
            </a:outerShdw>
          </a:effectLst>
        </c:spPr>
        <c:marker>
          <c:symbol val="circle"/>
          <c:size val="4"/>
          <c:spPr>
            <a:solidFill>
              <a:srgbClr val="9A808B"/>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AAEC9"/>
            </a:solidFill>
            <a:round/>
          </a:ln>
          <a:effectLst>
            <a:outerShdw blurRad="57150" dist="19050" dir="5400000" algn="ctr" rotWithShape="0">
              <a:srgbClr val="000000">
                <a:alpha val="63000"/>
              </a:srgbClr>
            </a:outerShdw>
          </a:effectLst>
        </c:spPr>
        <c:marker>
          <c:symbol val="circle"/>
          <c:size val="4"/>
          <c:spPr>
            <a:solidFill>
              <a:srgbClr val="EAAEC9"/>
            </a:solidFill>
            <a:ln w="9525">
              <a:noFill/>
              <a:round/>
            </a:ln>
            <a:effectLst>
              <a:outerShdw blurRad="57150" dist="19050" dir="5400000" algn="ctr" rotWithShape="0">
                <a:srgbClr val="000000">
                  <a:alpha val="63000"/>
                </a:srgbClr>
              </a:outerShdw>
            </a:effectLst>
          </c:spPr>
        </c:marker>
      </c:pivotFmt>
      <c:pivotFmt>
        <c:idx val="58"/>
        <c:spPr>
          <a:ln w="19050" cap="rnd">
            <a:solidFill>
              <a:srgbClr val="EAAEC9"/>
            </a:solidFill>
            <a:round/>
          </a:ln>
          <a:effectLst>
            <a:outerShdw blurRad="57150" dist="19050" dir="5400000" algn="ctr" rotWithShape="0">
              <a:srgbClr val="000000">
                <a:alpha val="63000"/>
              </a:srgbClr>
            </a:outerShdw>
          </a:effectLst>
        </c:spPr>
        <c:marker>
          <c:symbol val="circle"/>
          <c:size val="4"/>
          <c:spPr>
            <a:solidFill>
              <a:srgbClr val="EAAEC9"/>
            </a:solidFill>
            <a:ln w="9525">
              <a:noFill/>
              <a:round/>
            </a:ln>
            <a:effectLst>
              <a:outerShdw blurRad="57150" dist="19050" dir="5400000" algn="ctr" rotWithShape="0">
                <a:srgbClr val="000000">
                  <a:alpha val="63000"/>
                </a:srgbClr>
              </a:outerShdw>
            </a:effectLst>
          </c:spPr>
        </c:marker>
      </c:pivotFmt>
      <c:pivotFmt>
        <c:idx val="59"/>
        <c:spPr>
          <a:ln w="19050" cap="rnd">
            <a:solidFill>
              <a:srgbClr val="EAAEC9"/>
            </a:solidFill>
            <a:round/>
          </a:ln>
          <a:effectLst>
            <a:outerShdw blurRad="57150" dist="19050" dir="5400000" algn="ctr" rotWithShape="0">
              <a:srgbClr val="000000">
                <a:alpha val="63000"/>
              </a:srgbClr>
            </a:outerShdw>
          </a:effectLst>
        </c:spPr>
        <c:marker>
          <c:symbol val="circle"/>
          <c:size val="4"/>
          <c:spPr>
            <a:solidFill>
              <a:srgbClr val="EAAEC9"/>
            </a:solidFill>
            <a:ln w="9525">
              <a:noFill/>
              <a:round/>
            </a:ln>
            <a:effectLst>
              <a:outerShdw blurRad="57150" dist="19050" dir="5400000" algn="ctr" rotWithShape="0">
                <a:srgbClr val="000000">
                  <a:alpha val="63000"/>
                </a:srgbClr>
              </a:outerShdw>
            </a:effectLst>
          </c:spPr>
        </c:marker>
      </c:pivotFmt>
      <c:pivotFmt>
        <c:idx val="60"/>
        <c:spPr>
          <a:ln w="19050" cap="rnd">
            <a:solidFill>
              <a:srgbClr val="EAAEC9"/>
            </a:solidFill>
            <a:round/>
          </a:ln>
          <a:effectLst>
            <a:outerShdw blurRad="57150" dist="19050" dir="5400000" algn="ctr" rotWithShape="0">
              <a:srgbClr val="000000">
                <a:alpha val="63000"/>
              </a:srgbClr>
            </a:outerShdw>
          </a:effectLst>
        </c:spPr>
        <c:marker>
          <c:symbol val="circle"/>
          <c:size val="4"/>
          <c:spPr>
            <a:solidFill>
              <a:srgbClr val="EAAEC9"/>
            </a:solidFill>
            <a:ln w="9525">
              <a:noFill/>
              <a:round/>
            </a:ln>
            <a:effectLst>
              <a:outerShdw blurRad="57150" dist="19050" dir="5400000" algn="ctr" rotWithShape="0">
                <a:srgbClr val="000000">
                  <a:alpha val="63000"/>
                </a:srgbClr>
              </a:outerShdw>
            </a:effectLst>
          </c:spPr>
        </c:marker>
      </c:pivotFmt>
      <c:pivotFmt>
        <c:idx val="61"/>
        <c:spPr>
          <a:ln w="19050" cap="rnd">
            <a:solidFill>
              <a:srgbClr val="EAAEC9"/>
            </a:solidFill>
            <a:round/>
          </a:ln>
          <a:effectLst>
            <a:outerShdw blurRad="57150" dist="19050" dir="5400000" algn="ctr" rotWithShape="0">
              <a:srgbClr val="000000">
                <a:alpha val="63000"/>
              </a:srgbClr>
            </a:outerShdw>
          </a:effectLst>
        </c:spPr>
        <c:marker>
          <c:symbol val="circle"/>
          <c:size val="4"/>
          <c:spPr>
            <a:solidFill>
              <a:srgbClr val="EAAEC9"/>
            </a:solidFill>
            <a:ln w="9525">
              <a:noFill/>
              <a:round/>
            </a:ln>
            <a:effectLst>
              <a:outerShdw blurRad="57150" dist="19050" dir="5400000" algn="ctr" rotWithShape="0">
                <a:srgbClr val="000000">
                  <a:alpha val="63000"/>
                </a:srgbClr>
              </a:outerShdw>
            </a:effectLst>
          </c:spPr>
        </c:marker>
      </c:pivotFmt>
      <c:pivotFmt>
        <c:idx val="62"/>
        <c:spPr>
          <a:ln w="19050" cap="rnd">
            <a:solidFill>
              <a:srgbClr val="EAAEC9"/>
            </a:solidFill>
            <a:round/>
          </a:ln>
          <a:effectLst>
            <a:outerShdw blurRad="57150" dist="19050" dir="5400000" algn="ctr" rotWithShape="0">
              <a:srgbClr val="000000">
                <a:alpha val="63000"/>
              </a:srgbClr>
            </a:outerShdw>
          </a:effectLst>
        </c:spPr>
        <c:marker>
          <c:symbol val="circle"/>
          <c:size val="4"/>
          <c:spPr>
            <a:solidFill>
              <a:srgbClr val="EAAEC9"/>
            </a:solidFill>
            <a:ln w="9525">
              <a:noFill/>
              <a:round/>
            </a:ln>
            <a:effectLst>
              <a:outerShdw blurRad="57150" dist="19050" dir="5400000" algn="ctr" rotWithShape="0">
                <a:srgbClr val="000000">
                  <a:alpha val="63000"/>
                </a:srgbClr>
              </a:outerShdw>
            </a:effectLst>
          </c:spPr>
        </c:marker>
      </c:pivotFmt>
      <c:pivotFmt>
        <c:idx val="63"/>
        <c:spPr>
          <a:ln w="19050" cap="rnd">
            <a:solidFill>
              <a:srgbClr val="EAAEC9"/>
            </a:solidFill>
            <a:round/>
          </a:ln>
          <a:effectLst>
            <a:outerShdw blurRad="57150" dist="19050" dir="5400000" algn="ctr" rotWithShape="0">
              <a:srgbClr val="000000">
                <a:alpha val="63000"/>
              </a:srgbClr>
            </a:outerShdw>
          </a:effectLst>
        </c:spPr>
        <c:marker>
          <c:symbol val="circle"/>
          <c:size val="4"/>
          <c:spPr>
            <a:solidFill>
              <a:srgbClr val="EAAEC9"/>
            </a:solidFill>
            <a:ln w="9525">
              <a:noFill/>
              <a:round/>
            </a:ln>
            <a:effectLst>
              <a:outerShdw blurRad="57150" dist="19050" dir="5400000" algn="ctr" rotWithShape="0">
                <a:srgbClr val="000000">
                  <a:alpha val="63000"/>
                </a:srgbClr>
              </a:outerShdw>
            </a:effectLst>
          </c:spPr>
        </c:marker>
      </c:pivotFmt>
      <c:pivotFmt>
        <c:idx val="64"/>
        <c:spPr>
          <a:ln w="19050" cap="rnd">
            <a:solidFill>
              <a:srgbClr val="EAAEC9"/>
            </a:solidFill>
            <a:round/>
          </a:ln>
          <a:effectLst>
            <a:outerShdw blurRad="57150" dist="19050" dir="5400000" algn="ctr" rotWithShape="0">
              <a:srgbClr val="000000">
                <a:alpha val="63000"/>
              </a:srgbClr>
            </a:outerShdw>
          </a:effectLst>
        </c:spPr>
        <c:marker>
          <c:symbol val="circle"/>
          <c:size val="4"/>
          <c:spPr>
            <a:solidFill>
              <a:srgbClr val="EAAEC9"/>
            </a:solidFill>
            <a:ln w="9525">
              <a:noFill/>
              <a:round/>
            </a:ln>
            <a:effectLst>
              <a:outerShdw blurRad="57150" dist="19050" dir="5400000" algn="ctr" rotWithShape="0">
                <a:srgbClr val="000000">
                  <a:alpha val="63000"/>
                </a:srgbClr>
              </a:outerShdw>
            </a:effectLst>
          </c:spPr>
        </c:marker>
      </c:pivotFmt>
      <c:pivotFmt>
        <c:idx val="65"/>
        <c:spPr>
          <a:ln w="19050" cap="rnd">
            <a:solidFill>
              <a:srgbClr val="EAAEC9"/>
            </a:solidFill>
            <a:round/>
          </a:ln>
          <a:effectLst>
            <a:outerShdw blurRad="57150" dist="19050" dir="5400000" algn="ctr" rotWithShape="0">
              <a:srgbClr val="000000">
                <a:alpha val="63000"/>
              </a:srgbClr>
            </a:outerShdw>
          </a:effectLst>
        </c:spPr>
        <c:marker>
          <c:symbol val="circle"/>
          <c:size val="4"/>
          <c:spPr>
            <a:solidFill>
              <a:srgbClr val="EAAEC9"/>
            </a:solidFill>
            <a:ln w="9525">
              <a:noFill/>
              <a:round/>
            </a:ln>
            <a:effectLst>
              <a:outerShdw blurRad="57150" dist="19050" dir="5400000" algn="ctr" rotWithShape="0">
                <a:srgbClr val="000000">
                  <a:alpha val="63000"/>
                </a:srgbClr>
              </a:outerShdw>
            </a:effectLst>
          </c:spPr>
        </c:marker>
      </c:pivotFmt>
      <c:pivotFmt>
        <c:idx val="66"/>
        <c:spPr>
          <a:ln w="19050" cap="rnd">
            <a:solidFill>
              <a:srgbClr val="EAAEC9"/>
            </a:solidFill>
            <a:round/>
          </a:ln>
          <a:effectLst>
            <a:outerShdw blurRad="57150" dist="19050" dir="5400000" algn="ctr" rotWithShape="0">
              <a:srgbClr val="000000">
                <a:alpha val="63000"/>
              </a:srgbClr>
            </a:outerShdw>
          </a:effectLst>
        </c:spPr>
        <c:marker>
          <c:symbol val="circle"/>
          <c:size val="4"/>
          <c:spPr>
            <a:solidFill>
              <a:srgbClr val="EAAEC9"/>
            </a:solidFill>
            <a:ln w="9525">
              <a:noFill/>
              <a:round/>
            </a:ln>
            <a:effectLst>
              <a:outerShdw blurRad="57150" dist="19050" dir="5400000" algn="ctr" rotWithShape="0">
                <a:srgbClr val="000000">
                  <a:alpha val="63000"/>
                </a:srgbClr>
              </a:outerShdw>
            </a:effectLst>
          </c:spPr>
        </c:marker>
      </c:pivotFmt>
    </c:pivotFmts>
    <c:plotArea>
      <c:layout>
        <c:manualLayout>
          <c:layoutTarget val="inner"/>
          <c:xMode val="edge"/>
          <c:yMode val="edge"/>
          <c:x val="0.16917985339591571"/>
          <c:y val="0.12727791250372136"/>
          <c:w val="0.79722789031508312"/>
          <c:h val="0.56798725916913018"/>
        </c:manualLayout>
      </c:layout>
      <c:lineChart>
        <c:grouping val="standard"/>
        <c:varyColors val="0"/>
        <c:ser>
          <c:idx val="0"/>
          <c:order val="0"/>
          <c:tx>
            <c:strRef>
              <c:f>'peads_0-4'!$I$5</c:f>
              <c:strCache>
                <c:ptCount val="1"/>
                <c:pt idx="0">
                  <c:v> LAM+%</c:v>
                </c:pt>
              </c:strCache>
            </c:strRef>
          </c:tx>
          <c:spPr>
            <a:ln w="19050" cap="rnd">
              <a:solidFill>
                <a:srgbClr val="EAAEC9"/>
              </a:solidFill>
              <a:round/>
            </a:ln>
            <a:effectLst>
              <a:outerShdw blurRad="57150" dist="19050" dir="5400000" algn="ctr" rotWithShape="0">
                <a:srgbClr val="000000">
                  <a:alpha val="63000"/>
                </a:srgbClr>
              </a:outerShdw>
            </a:effectLst>
          </c:spPr>
          <c:marker>
            <c:symbol val="circle"/>
            <c:size val="4"/>
            <c:spPr>
              <a:solidFill>
                <a:srgbClr val="EAAEC9"/>
              </a:solidFill>
              <a:ln w="9525">
                <a:noFill/>
                <a:round/>
              </a:ln>
              <a:effectLst>
                <a:outerShdw blurRad="57150" dist="19050" dir="5400000" algn="ctr" rotWithShape="0">
                  <a:srgbClr val="000000">
                    <a:alpha val="63000"/>
                  </a:srgbClr>
                </a:outerShdw>
              </a:effectLst>
            </c:spPr>
          </c:marker>
          <c:dPt>
            <c:idx val="1"/>
            <c:marker>
              <c:symbol val="circle"/>
              <c:size val="4"/>
              <c:spPr>
                <a:solidFill>
                  <a:srgbClr val="EAAEC9"/>
                </a:solidFill>
                <a:ln w="9525">
                  <a:noFill/>
                  <a:round/>
                </a:ln>
                <a:effectLst>
                  <a:outerShdw blurRad="57150" dist="19050" dir="5400000" algn="ctr" rotWithShape="0">
                    <a:srgbClr val="000000">
                      <a:alpha val="63000"/>
                    </a:srgbClr>
                  </a:outerShdw>
                </a:effectLst>
              </c:spPr>
            </c:marker>
            <c:bubble3D val="0"/>
            <c:spPr>
              <a:ln w="19050" cap="rnd">
                <a:solidFill>
                  <a:srgbClr val="EAAEC9"/>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125-4A50-8652-C9B9C0F8BD12}"/>
              </c:ext>
            </c:extLst>
          </c:dPt>
          <c:dPt>
            <c:idx val="2"/>
            <c:marker>
              <c:symbol val="circle"/>
              <c:size val="4"/>
              <c:spPr>
                <a:solidFill>
                  <a:srgbClr val="EAAEC9"/>
                </a:solidFill>
                <a:ln w="9525">
                  <a:noFill/>
                  <a:round/>
                </a:ln>
                <a:effectLst>
                  <a:outerShdw blurRad="57150" dist="19050" dir="5400000" algn="ctr" rotWithShape="0">
                    <a:srgbClr val="000000">
                      <a:alpha val="63000"/>
                    </a:srgbClr>
                  </a:outerShdw>
                </a:effectLst>
              </c:spPr>
            </c:marker>
            <c:bubble3D val="0"/>
            <c:spPr>
              <a:ln w="19050" cap="rnd">
                <a:solidFill>
                  <a:srgbClr val="EAAEC9"/>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125-4A50-8652-C9B9C0F8BD12}"/>
              </c:ext>
            </c:extLst>
          </c:dPt>
          <c:dPt>
            <c:idx val="3"/>
            <c:marker>
              <c:symbol val="circle"/>
              <c:size val="4"/>
              <c:spPr>
                <a:solidFill>
                  <a:srgbClr val="EAAEC9"/>
                </a:solidFill>
                <a:ln w="9525">
                  <a:noFill/>
                  <a:round/>
                </a:ln>
                <a:effectLst>
                  <a:outerShdw blurRad="57150" dist="19050" dir="5400000" algn="ctr" rotWithShape="0">
                    <a:srgbClr val="000000">
                      <a:alpha val="63000"/>
                    </a:srgbClr>
                  </a:outerShdw>
                </a:effectLst>
              </c:spPr>
            </c:marker>
            <c:bubble3D val="0"/>
            <c:spPr>
              <a:ln w="19050" cap="rnd">
                <a:solidFill>
                  <a:srgbClr val="EAAEC9"/>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125-4A50-8652-C9B9C0F8BD12}"/>
              </c:ext>
            </c:extLst>
          </c:dPt>
          <c:dPt>
            <c:idx val="4"/>
            <c:marker>
              <c:symbol val="circle"/>
              <c:size val="4"/>
              <c:spPr>
                <a:solidFill>
                  <a:srgbClr val="EAAEC9"/>
                </a:solidFill>
                <a:ln w="9525">
                  <a:noFill/>
                  <a:round/>
                </a:ln>
                <a:effectLst>
                  <a:outerShdw blurRad="57150" dist="19050" dir="5400000" algn="ctr" rotWithShape="0">
                    <a:srgbClr val="000000">
                      <a:alpha val="63000"/>
                    </a:srgbClr>
                  </a:outerShdw>
                </a:effectLst>
              </c:spPr>
            </c:marker>
            <c:bubble3D val="0"/>
            <c:spPr>
              <a:ln w="19050" cap="rnd">
                <a:solidFill>
                  <a:srgbClr val="EAAEC9"/>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125-4A50-8652-C9B9C0F8BD12}"/>
              </c:ext>
            </c:extLst>
          </c:dPt>
          <c:dPt>
            <c:idx val="5"/>
            <c:marker>
              <c:symbol val="circle"/>
              <c:size val="4"/>
              <c:spPr>
                <a:solidFill>
                  <a:srgbClr val="EAAEC9"/>
                </a:solidFill>
                <a:ln w="9525">
                  <a:noFill/>
                  <a:round/>
                </a:ln>
                <a:effectLst>
                  <a:outerShdw blurRad="57150" dist="19050" dir="5400000" algn="ctr" rotWithShape="0">
                    <a:srgbClr val="000000">
                      <a:alpha val="63000"/>
                    </a:srgbClr>
                  </a:outerShdw>
                </a:effectLst>
              </c:spPr>
            </c:marker>
            <c:bubble3D val="0"/>
            <c:spPr>
              <a:ln w="19050" cap="rnd">
                <a:solidFill>
                  <a:srgbClr val="EAAEC9"/>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0125-4A50-8652-C9B9C0F8BD12}"/>
              </c:ext>
            </c:extLst>
          </c:dPt>
          <c:dPt>
            <c:idx val="6"/>
            <c:marker>
              <c:symbol val="circle"/>
              <c:size val="4"/>
              <c:spPr>
                <a:solidFill>
                  <a:srgbClr val="EAAEC9"/>
                </a:solidFill>
                <a:ln w="9525">
                  <a:noFill/>
                  <a:round/>
                </a:ln>
                <a:effectLst>
                  <a:outerShdw blurRad="57150" dist="19050" dir="5400000" algn="ctr" rotWithShape="0">
                    <a:srgbClr val="000000">
                      <a:alpha val="63000"/>
                    </a:srgbClr>
                  </a:outerShdw>
                </a:effectLst>
              </c:spPr>
            </c:marker>
            <c:bubble3D val="0"/>
            <c:spPr>
              <a:ln w="19050" cap="rnd">
                <a:solidFill>
                  <a:srgbClr val="EAAEC9"/>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0125-4A50-8652-C9B9C0F8BD12}"/>
              </c:ext>
            </c:extLst>
          </c:dPt>
          <c:dPt>
            <c:idx val="7"/>
            <c:marker>
              <c:symbol val="circle"/>
              <c:size val="4"/>
              <c:spPr>
                <a:solidFill>
                  <a:srgbClr val="EAAEC9"/>
                </a:solidFill>
                <a:ln w="9525">
                  <a:noFill/>
                  <a:round/>
                </a:ln>
                <a:effectLst>
                  <a:outerShdw blurRad="57150" dist="19050" dir="5400000" algn="ctr" rotWithShape="0">
                    <a:srgbClr val="000000">
                      <a:alpha val="63000"/>
                    </a:srgbClr>
                  </a:outerShdw>
                </a:effectLst>
              </c:spPr>
            </c:marker>
            <c:bubble3D val="0"/>
            <c:spPr>
              <a:ln w="19050" cap="rnd">
                <a:solidFill>
                  <a:srgbClr val="EAAEC9"/>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0125-4A50-8652-C9B9C0F8BD12}"/>
              </c:ext>
            </c:extLst>
          </c:dPt>
          <c:dPt>
            <c:idx val="8"/>
            <c:marker>
              <c:symbol val="circle"/>
              <c:size val="4"/>
              <c:spPr>
                <a:solidFill>
                  <a:srgbClr val="EAAEC9"/>
                </a:solidFill>
                <a:ln w="9525">
                  <a:noFill/>
                  <a:round/>
                </a:ln>
                <a:effectLst>
                  <a:outerShdw blurRad="57150" dist="19050" dir="5400000" algn="ctr" rotWithShape="0">
                    <a:srgbClr val="000000">
                      <a:alpha val="63000"/>
                    </a:srgbClr>
                  </a:outerShdw>
                </a:effectLst>
              </c:spPr>
            </c:marker>
            <c:bubble3D val="0"/>
            <c:spPr>
              <a:ln w="19050" cap="rnd">
                <a:solidFill>
                  <a:srgbClr val="EAAEC9"/>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0125-4A50-8652-C9B9C0F8BD12}"/>
              </c:ext>
            </c:extLst>
          </c:dPt>
          <c:dPt>
            <c:idx val="9"/>
            <c:marker>
              <c:symbol val="circle"/>
              <c:size val="4"/>
              <c:spPr>
                <a:solidFill>
                  <a:srgbClr val="EAAEC9"/>
                </a:solidFill>
                <a:ln w="9525">
                  <a:noFill/>
                  <a:round/>
                </a:ln>
                <a:effectLst>
                  <a:outerShdw blurRad="57150" dist="19050" dir="5400000" algn="ctr" rotWithShape="0">
                    <a:srgbClr val="000000">
                      <a:alpha val="63000"/>
                    </a:srgbClr>
                  </a:outerShdw>
                </a:effectLst>
              </c:spPr>
            </c:marker>
            <c:bubble3D val="0"/>
            <c:spPr>
              <a:ln w="19050" cap="rnd">
                <a:solidFill>
                  <a:srgbClr val="EAAEC9"/>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4A00-4B2E-B181-50AD38B26213}"/>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'peads_0-4'!$H$6:$H$25</c:f>
              <c:multiLvlStrCache>
                <c:ptCount val="1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2024</c:v>
                  </c:pt>
                  <c:pt idx="12">
                    <c:v>2025</c:v>
                  </c:pt>
                </c:lvl>
              </c:multiLvlStrCache>
            </c:multiLvlStrRef>
          </c:cat>
          <c:val>
            <c:numRef>
              <c:f>'peads_0-4'!$I$6:$I$25</c:f>
              <c:numCache>
                <c:formatCode>General</c:formatCode>
                <c:ptCount val="17"/>
                <c:pt idx="0">
                  <c:v>#N/A</c:v>
                </c:pt>
                <c:pt idx="1">
                  <c:v>#N/A</c:v>
                </c:pt>
                <c:pt idx="2">
                  <c:v>0</c:v>
                </c:pt>
                <c:pt idx="3">
                  <c:v>0.33333333333333331</c:v>
                </c:pt>
                <c:pt idx="4">
                  <c:v>0</c:v>
                </c:pt>
                <c:pt idx="5">
                  <c:v>#N/A</c:v>
                </c:pt>
                <c:pt idx="6">
                  <c:v>#N/A</c:v>
                </c:pt>
                <c:pt idx="7">
                  <c:v>#N/A</c:v>
                </c:pt>
                <c:pt idx="8">
                  <c:v>#N/A</c:v>
                </c:pt>
                <c:pt idx="9">
                  <c:v>0.1111111111111111</c:v>
                </c:pt>
                <c:pt idx="10">
                  <c:v>#N/A</c:v>
                </c:pt>
                <c:pt idx="11">
                  <c:v>0</c:v>
                </c:pt>
                <c:pt idx="12">
                  <c:v>0.25</c:v>
                </c:pt>
                <c:pt idx="13">
                  <c:v>#N/A</c:v>
                </c:pt>
                <c:pt idx="14">
                  <c:v>0.33333333333333331</c:v>
                </c:pt>
                <c:pt idx="15">
                  <c:v>0</c:v>
                </c:pt>
                <c:pt idx="16">
                  <c:v>0</c:v>
                </c:pt>
              </c:numCache>
            </c:numRef>
          </c:val>
          <c:smooth val="1"/>
          <c:extLst>
            <c:ext xmlns:c16="http://schemas.microsoft.com/office/drawing/2014/chart" uri="{C3380CC4-5D6E-409C-BE32-E72D297353CC}">
              <c16:uniqueId val="{00000010-0125-4A50-8652-C9B9C0F8BD12}"/>
            </c:ext>
          </c:extLst>
        </c:ser>
        <c:ser>
          <c:idx val="1"/>
          <c:order val="1"/>
          <c:tx>
            <c:strRef>
              <c:f>'peads_0-4'!$J$5</c:f>
              <c:strCache>
                <c:ptCount val="1"/>
                <c:pt idx="0">
                  <c:v> CrAg+%</c:v>
                </c:pt>
              </c:strCache>
            </c:strRef>
          </c:tx>
          <c:spPr>
            <a:ln w="19050" cap="rnd">
              <a:solidFill>
                <a:srgbClr val="9A808B"/>
              </a:solidFill>
              <a:round/>
            </a:ln>
            <a:effectLst>
              <a:outerShdw blurRad="57150" dist="19050" dir="5400000" algn="ctr" rotWithShape="0">
                <a:srgbClr val="000000">
                  <a:alpha val="63000"/>
                </a:srgbClr>
              </a:outerShdw>
            </a:effectLst>
          </c:spPr>
          <c:marker>
            <c:symbol val="circle"/>
            <c:size val="4"/>
            <c:spPr>
              <a:solidFill>
                <a:srgbClr val="9A808B"/>
              </a:solidFill>
              <a:ln w="9525">
                <a:noFill/>
                <a:round/>
              </a:ln>
              <a:effectLst>
                <a:outerShdw blurRad="57150" dist="19050" dir="5400000" algn="ctr" rotWithShape="0">
                  <a:srgbClr val="000000">
                    <a:alpha val="63000"/>
                  </a:srgbClr>
                </a:outerShdw>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'peads_0-4'!$H$6:$H$25</c:f>
              <c:multiLvlStrCache>
                <c:ptCount val="1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2024</c:v>
                  </c:pt>
                  <c:pt idx="12">
                    <c:v>2025</c:v>
                  </c:pt>
                </c:lvl>
              </c:multiLvlStrCache>
            </c:multiLvlStrRef>
          </c:cat>
          <c:val>
            <c:numRef>
              <c:f>'peads_0-4'!$J$6:$J$25</c:f>
              <c:numCache>
                <c:formatCode>General</c:formatCode>
                <c:ptCount val="17"/>
                <c:pt idx="0">
                  <c:v>0</c:v>
                </c:pt>
                <c:pt idx="1">
                  <c:v>#N/A</c:v>
                </c:pt>
                <c:pt idx="2">
                  <c:v>0</c:v>
                </c:pt>
                <c:pt idx="3">
                  <c:v>#N/A</c:v>
                </c:pt>
                <c:pt idx="4">
                  <c:v>#N/A</c:v>
                </c:pt>
                <c:pt idx="5">
                  <c:v>0</c:v>
                </c:pt>
                <c:pt idx="6">
                  <c:v>0</c:v>
                </c:pt>
                <c:pt idx="7">
                  <c:v>0</c:v>
                </c:pt>
                <c:pt idx="8">
                  <c:v>0</c:v>
                </c:pt>
                <c:pt idx="9">
                  <c:v>0</c:v>
                </c:pt>
                <c:pt idx="10">
                  <c:v>#N/A</c:v>
                </c:pt>
                <c:pt idx="11">
                  <c:v>0</c:v>
                </c:pt>
                <c:pt idx="12">
                  <c:v>0</c:v>
                </c:pt>
                <c:pt idx="13">
                  <c:v>#N/A</c:v>
                </c:pt>
                <c:pt idx="14">
                  <c:v>0</c:v>
                </c:pt>
                <c:pt idx="15">
                  <c:v>0</c:v>
                </c:pt>
                <c:pt idx="16">
                  <c:v>0.14285714285714285</c:v>
                </c:pt>
              </c:numCache>
            </c:numRef>
          </c:val>
          <c:smooth val="1"/>
          <c:extLst>
            <c:ext xmlns:c16="http://schemas.microsoft.com/office/drawing/2014/chart" uri="{C3380CC4-5D6E-409C-BE32-E72D297353CC}">
              <c16:uniqueId val="{00000011-0125-4A50-8652-C9B9C0F8BD12}"/>
            </c:ext>
          </c:extLst>
        </c:ser>
        <c:dLbls>
          <c:dLblPos val="t"/>
          <c:showLegendKey val="0"/>
          <c:showVal val="1"/>
          <c:showCatName val="0"/>
          <c:showSerName val="0"/>
          <c:showPercent val="0"/>
          <c:showBubbleSize val="0"/>
        </c:dLbls>
        <c:marker val="1"/>
        <c:smooth val="0"/>
        <c:axId val="1061181040"/>
        <c:axId val="1061182480"/>
      </c:lineChart>
      <c:catAx>
        <c:axId val="1061181040"/>
        <c:scaling>
          <c:orientation val="minMax"/>
        </c:scaling>
        <c:delete val="0"/>
        <c:axPos val="b"/>
        <c:title>
          <c:tx>
            <c:rich>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r>
                  <a:rPr lang="en-GB" b="0" u="none"/>
                  <a:t>Period</a:t>
                </a:r>
              </a:p>
            </c:rich>
          </c:tx>
          <c:layout>
            <c:manualLayout>
              <c:xMode val="edge"/>
              <c:yMode val="edge"/>
              <c:x val="0.55779418579879392"/>
              <c:y val="0.86200542007760306"/>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2"/>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61182480"/>
        <c:crosses val="autoZero"/>
        <c:auto val="1"/>
        <c:lblAlgn val="ctr"/>
        <c:lblOffset val="100"/>
        <c:noMultiLvlLbl val="0"/>
      </c:catAx>
      <c:valAx>
        <c:axId val="1061182480"/>
        <c:scaling>
          <c:orientation val="minMax"/>
          <c:max val="1"/>
          <c:min val="0"/>
        </c:scaling>
        <c:delete val="0"/>
        <c:axPos val="l"/>
        <c:title>
          <c:tx>
            <c:rich>
              <a:bodyPr rot="-54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r>
                  <a:rPr lang="en-GB"/>
                  <a:t>proporton of ROC with AHD</a:t>
                </a:r>
              </a:p>
            </c:rich>
          </c:tx>
          <c:layout>
            <c:manualLayout>
              <c:xMode val="edge"/>
              <c:yMode val="edge"/>
              <c:x val="1.4477543687895786E-2"/>
              <c:y val="0.34694706527595781"/>
            </c:manualLayout>
          </c:layout>
          <c:overlay val="0"/>
          <c:spPr>
            <a:noFill/>
            <a:ln w="6350">
              <a:noFill/>
            </a:ln>
            <a:effectLst/>
          </c:spPr>
          <c:txPr>
            <a:bodyPr rot="-54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itle>
        <c:numFmt formatCode="0%" sourceLinked="0"/>
        <c:majorTickMark val="none"/>
        <c:minorTickMark val="none"/>
        <c:tickLblPos val="nextTo"/>
        <c:spPr>
          <a:noFill/>
          <a:ln>
            <a:solidFill>
              <a:schemeClr val="tx2"/>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61181040"/>
        <c:crosses val="autoZero"/>
        <c:crossBetween val="between"/>
      </c:valAx>
      <c:spPr>
        <a:noFill/>
        <a:ln>
          <a:noFill/>
        </a:ln>
        <a:effectLst/>
      </c:spPr>
    </c:plotArea>
    <c:legend>
      <c:legendPos val="r"/>
      <c:layout>
        <c:manualLayout>
          <c:xMode val="edge"/>
          <c:yMode val="edge"/>
          <c:x val="0.25768499157442626"/>
          <c:y val="0.92028906504848729"/>
          <c:w val="0.6913068423332327"/>
          <c:h val="7.5132387759424199E-2"/>
        </c:manualLayout>
      </c:layout>
      <c:overlay val="0"/>
      <c:spPr>
        <a:noFill/>
        <a:ln w="6350">
          <a:solidFill>
            <a:schemeClr val="accent5">
              <a:lumMod val="60000"/>
              <a:lumOff val="40000"/>
            </a:schemeClr>
          </a:solid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lumMod val="60000"/>
          <a:lumOff val="40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[AHD_Reporting_Form.xlsx]peads-5-14!PivotTable1</c:name>
    <c:fmtId val="132"/>
  </c:pivotSource>
  <c:chart>
    <c:title>
      <c:tx>
        <c:rich>
          <a:bodyPr rot="0" spcFirstLastPara="1" vertOverflow="ellipsis" vert="horz" wrap="square" anchor="ctr" anchorCtr="1"/>
          <a:lstStyle/>
          <a:p>
            <a:pPr>
              <a:defRPr sz="1400" b="1" i="0" u="sng" strike="noStrike" kern="1200" baseline="0">
                <a:solidFill>
                  <a:sysClr val="windowText" lastClr="000000"/>
                </a:solidFill>
                <a:latin typeface="+mn-lt"/>
                <a:ea typeface="+mn-ea"/>
                <a:cs typeface="+mn-cs"/>
              </a:defRPr>
            </a:pPr>
            <a:r>
              <a:rPr lang="en-GB" sz="1400" u="sng"/>
              <a:t>AHD screening among children 5-14 years</a:t>
            </a:r>
          </a:p>
        </c:rich>
      </c:tx>
      <c:layout>
        <c:manualLayout>
          <c:xMode val="edge"/>
          <c:yMode val="edge"/>
          <c:x val="0.22532477246337926"/>
          <c:y val="1.4383638635607139E-2"/>
        </c:manualLayout>
      </c:layout>
      <c:overlay val="0"/>
      <c:spPr>
        <a:noFill/>
        <a:ln>
          <a:noFill/>
        </a:ln>
        <a:effectLst/>
      </c:spPr>
      <c:txPr>
        <a:bodyPr rot="0" spcFirstLastPara="1" vertOverflow="ellipsis" vert="horz" wrap="square" anchor="ctr" anchorCtr="1"/>
        <a:lstStyle/>
        <a:p>
          <a:pPr>
            <a:defRPr sz="1400" b="1" i="0" u="sng" strike="noStrike" kern="1200" baseline="0">
              <a:solidFill>
                <a:sysClr val="windowText" lastClr="000000"/>
              </a:solidFill>
              <a:latin typeface="+mn-lt"/>
              <a:ea typeface="+mn-ea"/>
              <a:cs typeface="+mn-cs"/>
            </a:defRPr>
          </a:pPr>
          <a:endParaRPr lang="en-US"/>
        </a:p>
      </c:txPr>
    </c:title>
    <c:autoTitleDeleted val="0"/>
    <c:pivotFmts>
      <c:pivotFmt>
        <c:idx val="0"/>
        <c:spPr>
          <a:solidFill>
            <a:schemeClr val="accent2"/>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alpha val="88000"/>
            </a:scheme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alpha val="84000"/>
            </a:srgb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D80A0359-4340-464C-97BF-50043DB18A22}" type="CELLRANGE">
                  <a:rPr lang="en-US"/>
                  <a:pPr>
                    <a:defRPr sz="900" b="0" i="0" u="none" strike="noStrike" kern="1200" baseline="0">
                      <a:solidFill>
                        <a:sysClr val="windowText" lastClr="000000"/>
                      </a:solidFill>
                      <a:latin typeface="+mn-lt"/>
                      <a:ea typeface="+mn-ea"/>
                      <a:cs typeface="+mn-cs"/>
                    </a:defRPr>
                  </a:pPr>
                  <a:t>[CELLRANGE]</a:t>
                </a:fld>
                <a:r>
                  <a:rPr lang="en-US" baseline="0"/>
                  <a:t>, </a:t>
                </a:r>
                <a:fld id="{619AE429-5DC9-4CD0-95CD-5E4572E53792}" type="VALUE">
                  <a:rPr lang="en-US" baseline="0"/>
                  <a:pPr>
                    <a:defRPr sz="900" b="0" i="0" u="none" strike="noStrike" kern="1200" baseline="0">
                      <a:solidFill>
                        <a:sysClr val="windowText" lastClr="000000"/>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pivotFmt>
      <c:pivotFmt>
        <c:idx val="9"/>
        <c:dLbl>
          <c:idx val="0"/>
          <c:tx>
            <c:rich>
              <a:bodyPr/>
              <a:lstStyle/>
              <a:p>
                <a:fld id="{38B64FBF-4335-4EAD-B861-26F6E525AC74}" type="CELLRANGE">
                  <a:rPr lang="en-US"/>
                  <a:pPr/>
                  <a:t>[CELLRANGE]</a:t>
                </a:fld>
                <a:r>
                  <a:rPr lang="en-US" baseline="0"/>
                  <a:t>, </a:t>
                </a:r>
                <a:fld id="{D6C7321C-6E0F-4D2E-8B46-F65C3D7A4003}"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dLbl>
          <c:idx val="0"/>
          <c:tx>
            <c:rich>
              <a:bodyPr/>
              <a:lstStyle/>
              <a:p>
                <a:fld id="{8C44B063-F912-4FC5-A6C3-78054BAA1475}" type="CELLRANGE">
                  <a:rPr lang="en-US"/>
                  <a:pPr/>
                  <a:t>[CELLRANGE]</a:t>
                </a:fld>
                <a:r>
                  <a:rPr lang="en-US" baseline="0"/>
                  <a:t>, </a:t>
                </a:r>
                <a:fld id="{70B358C0-DB55-4F7E-A4CF-8DEB0B8DBBA3}"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dLbl>
          <c:idx val="0"/>
          <c:tx>
            <c:rich>
              <a:bodyPr/>
              <a:lstStyle/>
              <a:p>
                <a:fld id="{F1E15D6C-0C92-4F9E-8CBC-D5B2D9BC2075}" type="CELLRANGE">
                  <a:rPr lang="en-US"/>
                  <a:pPr/>
                  <a:t>[CELLRANGE]</a:t>
                </a:fld>
                <a:r>
                  <a:rPr lang="en-US" baseline="0"/>
                  <a:t>, </a:t>
                </a:r>
                <a:fld id="{CD39BF99-5182-4B7E-AEC5-5FB76F9FE533}"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2"/>
        <c:dLbl>
          <c:idx val="0"/>
          <c:tx>
            <c:rich>
              <a:bodyPr/>
              <a:lstStyle/>
              <a:p>
                <a:fld id="{AADAE8A4-138F-410E-9AB9-60EEC0EAE95C}" type="CELLRANGE">
                  <a:rPr lang="en-US"/>
                  <a:pPr/>
                  <a:t>[CELLRANGE]</a:t>
                </a:fld>
                <a:r>
                  <a:rPr lang="en-US" baseline="0"/>
                  <a:t>, </a:t>
                </a:r>
                <a:fld id="{200D7C23-70DD-4AC4-951B-7904139BAA90}"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3"/>
        <c:dLbl>
          <c:idx val="0"/>
          <c:tx>
            <c:rich>
              <a:bodyPr/>
              <a:lstStyle/>
              <a:p>
                <a:fld id="{EBB42741-FBB1-42C9-8CA9-7DC956E899D1}" type="CELLRANGE">
                  <a:rPr lang="en-US"/>
                  <a:pPr/>
                  <a:t>[CELLRANGE]</a:t>
                </a:fld>
                <a:r>
                  <a:rPr lang="en-US" baseline="0"/>
                  <a:t>, </a:t>
                </a:r>
                <a:fld id="{300B405C-545E-4C3B-9B9C-A09D74648588}"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4"/>
        <c:dLbl>
          <c:idx val="0"/>
          <c:tx>
            <c:rich>
              <a:bodyPr/>
              <a:lstStyle/>
              <a:p>
                <a:fld id="{5ACDCCC9-477B-4D80-84D3-265AA1551F99}" type="CELLRANGE">
                  <a:rPr lang="en-US"/>
                  <a:pPr/>
                  <a:t>[CELLRANGE]</a:t>
                </a:fld>
                <a:r>
                  <a:rPr lang="en-US" baseline="0"/>
                  <a:t>, </a:t>
                </a:r>
                <a:fld id="{EBF96CAC-98C3-4753-841D-F0B5B77629A4}"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
        <c:dLbl>
          <c:idx val="0"/>
          <c:tx>
            <c:rich>
              <a:bodyPr/>
              <a:lstStyle/>
              <a:p>
                <a:fld id="{85641F05-FEC1-4650-8FDD-8843A09484ED}" type="CELLRANGE">
                  <a:rPr lang="en-US"/>
                  <a:pPr/>
                  <a:t>[CELLRANGE]</a:t>
                </a:fld>
                <a:r>
                  <a:rPr lang="en-US" baseline="0"/>
                  <a:t>, </a:t>
                </a:r>
                <a:fld id="{A601C9D9-40B0-4DB3-A221-74FC1FEA479F}"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7"/>
        <c:dLbl>
          <c:idx val="0"/>
          <c:tx>
            <c:rich>
              <a:bodyPr/>
              <a:lstStyle/>
              <a:p>
                <a:fld id="{FF4EBAB4-9208-426C-A2C0-06A9B7A20937}" type="CELLRANGE">
                  <a:rPr lang="en-US"/>
                  <a:pPr/>
                  <a:t>[CELLRANGE]</a:t>
                </a:fld>
                <a:r>
                  <a:rPr lang="en-US" baseline="0"/>
                  <a:t>, </a:t>
                </a:r>
                <a:fld id="{DF0E314E-1845-4B08-9E93-FA96B8217187}"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8"/>
        <c:dLbl>
          <c:idx val="0"/>
          <c:tx>
            <c:rich>
              <a:bodyPr/>
              <a:lstStyle/>
              <a:p>
                <a:fld id="{DD926363-9992-4DFE-80C3-994ABB41FDA7}" type="CELLRANGE">
                  <a:rPr lang="en-US"/>
                  <a:pPr/>
                  <a:t>[CELLRANGE]</a:t>
                </a:fld>
                <a:r>
                  <a:rPr lang="en-US" baseline="0"/>
                  <a:t>, </a:t>
                </a:r>
                <a:fld id="{C6BB680B-7623-4EA3-B83B-2011C5679ED2}"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9"/>
        <c:dLbl>
          <c:idx val="0"/>
          <c:tx>
            <c:rich>
              <a:bodyPr/>
              <a:lstStyle/>
              <a:p>
                <a:fld id="{50D0BCCD-DA80-4AEC-ADFD-7478183D354A}" type="CELLRANGE">
                  <a:rPr lang="en-US"/>
                  <a:pPr/>
                  <a:t>[CELLRANGE]</a:t>
                </a:fld>
                <a:r>
                  <a:rPr lang="en-US" baseline="0"/>
                  <a:t>, </a:t>
                </a:r>
                <a:fld id="{EE890978-0538-4AD0-BE1B-680453DC062D}"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0"/>
        <c:dLbl>
          <c:idx val="0"/>
          <c:tx>
            <c:rich>
              <a:bodyPr/>
              <a:lstStyle/>
              <a:p>
                <a:fld id="{7D984C0A-AF2C-4FAD-9538-9CE56ED5F567}" type="CELLRANGE">
                  <a:rPr lang="en-US"/>
                  <a:pPr/>
                  <a:t>[CELLRANGE]</a:t>
                </a:fld>
                <a:r>
                  <a:rPr lang="en-US" baseline="0"/>
                  <a:t>, </a:t>
                </a:r>
                <a:fld id="{9F5C0507-D70F-477A-95F2-C63830573DD7}"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1"/>
        <c:dLbl>
          <c:idx val="0"/>
          <c:tx>
            <c:rich>
              <a:bodyPr/>
              <a:lstStyle/>
              <a:p>
                <a:fld id="{CF4FB6D9-9767-42D1-B639-24FD87FBFE31}" type="CELLRANGE">
                  <a:rPr lang="en-US"/>
                  <a:pPr/>
                  <a:t>[CELLRANGE]</a:t>
                </a:fld>
                <a:r>
                  <a:rPr lang="en-US" baseline="0"/>
                  <a:t>, </a:t>
                </a:r>
                <a:fld id="{91BB9253-F401-4063-A925-95408FA77268}"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2"/>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4731A5D9-539A-4F7D-A744-CF24B4E851B3}" type="CELLRANGE">
                  <a:rPr lang="en-US"/>
                  <a:pPr>
                    <a:defRPr sz="900" b="0" i="0" u="none" strike="noStrike" kern="1200" baseline="0">
                      <a:solidFill>
                        <a:sysClr val="windowText" lastClr="000000"/>
                      </a:solidFill>
                      <a:latin typeface="+mn-lt"/>
                      <a:ea typeface="+mn-ea"/>
                      <a:cs typeface="+mn-cs"/>
                    </a:defRPr>
                  </a:pPr>
                  <a:t>[CELLRANGE]</a:t>
                </a:fld>
                <a:r>
                  <a:rPr lang="en-US" baseline="0"/>
                  <a:t>, </a:t>
                </a:r>
                <a:fld id="{B03745B5-70AB-4486-8B6A-5E28FBF5B9A6}" type="VALUE">
                  <a:rPr lang="en-US" baseline="0"/>
                  <a:pPr>
                    <a:defRPr sz="900" b="0" i="0" u="none" strike="noStrike" kern="1200" baseline="0">
                      <a:solidFill>
                        <a:sysClr val="windowText" lastClr="000000"/>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3"/>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C9006498-42A4-45CE-BCE8-EC546067215F}" type="CELLRANGE">
                  <a:rPr lang="en-US"/>
                  <a:pPr>
                    <a:defRPr sz="900" b="0" i="0" u="none" strike="noStrike" kern="1200" baseline="0">
                      <a:solidFill>
                        <a:sysClr val="windowText" lastClr="000000"/>
                      </a:solidFill>
                      <a:latin typeface="+mn-lt"/>
                      <a:ea typeface="+mn-ea"/>
                      <a:cs typeface="+mn-cs"/>
                    </a:defRPr>
                  </a:pPr>
                  <a:t>[CELLRANGE]</a:t>
                </a:fld>
                <a:r>
                  <a:rPr lang="en-US" baseline="0"/>
                  <a:t>, </a:t>
                </a:r>
                <a:fld id="{13415703-C5CA-4787-8825-FCBD5C55B0DC}" type="VALUE">
                  <a:rPr lang="en-US" baseline="0"/>
                  <a:pPr>
                    <a:defRPr sz="900" b="0" i="0" u="none" strike="noStrike" kern="1200" baseline="0">
                      <a:solidFill>
                        <a:sysClr val="windowText" lastClr="000000"/>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4"/>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E39C17C5-A6DE-465E-BA2E-A0457662CE4F}" type="CELLRANGE">
                  <a:rPr lang="en-US"/>
                  <a:pPr>
                    <a:defRPr sz="900" b="0" i="0" u="none" strike="noStrike" kern="1200" baseline="0">
                      <a:solidFill>
                        <a:sysClr val="windowText" lastClr="000000"/>
                      </a:solidFill>
                      <a:latin typeface="+mn-lt"/>
                      <a:ea typeface="+mn-ea"/>
                      <a:cs typeface="+mn-cs"/>
                    </a:defRPr>
                  </a:pPr>
                  <a:t>[CELLRANGE]</a:t>
                </a:fld>
                <a:r>
                  <a:rPr lang="en-US" baseline="0"/>
                  <a:t>, </a:t>
                </a:r>
                <a:fld id="{D26FCEF1-5A34-41A0-B6CD-F3663AD6D4C1}" type="VALUE">
                  <a:rPr lang="en-US" baseline="0"/>
                  <a:pPr>
                    <a:defRPr sz="900" b="0" i="0" u="none" strike="noStrike" kern="1200" baseline="0">
                      <a:solidFill>
                        <a:sysClr val="windowText" lastClr="000000"/>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5"/>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183C6365-A22B-4AE8-B76B-F63703475BFE}" type="CELLRANGE">
                  <a:rPr lang="en-US"/>
                  <a:pPr>
                    <a:defRPr sz="900" b="0" i="0" u="none" strike="noStrike" kern="1200" baseline="0">
                      <a:solidFill>
                        <a:sysClr val="windowText" lastClr="000000"/>
                      </a:solidFill>
                      <a:latin typeface="+mn-lt"/>
                      <a:ea typeface="+mn-ea"/>
                      <a:cs typeface="+mn-cs"/>
                    </a:defRPr>
                  </a:pPr>
                  <a:t>[CELLRANGE]</a:t>
                </a:fld>
                <a:r>
                  <a:rPr lang="en-US" baseline="0"/>
                  <a:t>, </a:t>
                </a:r>
                <a:fld id="{2F81CAD8-CC36-4E7F-B6DF-B7DA1E4CEDA1}" type="VALUE">
                  <a:rPr lang="en-US" baseline="0"/>
                  <a:pPr>
                    <a:defRPr sz="900" b="0" i="0" u="none" strike="noStrike" kern="1200" baseline="0">
                      <a:solidFill>
                        <a:sysClr val="windowText" lastClr="000000"/>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6"/>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847F4BA0-4AA9-499D-BA2A-3AAAC0496E86}" type="CELLRANGE">
                  <a:rPr lang="en-US"/>
                  <a:pPr>
                    <a:defRPr sz="900" b="0" i="0" u="none" strike="noStrike" kern="1200" baseline="0">
                      <a:solidFill>
                        <a:sysClr val="windowText" lastClr="000000"/>
                      </a:solidFill>
                      <a:latin typeface="+mn-lt"/>
                      <a:ea typeface="+mn-ea"/>
                      <a:cs typeface="+mn-cs"/>
                    </a:defRPr>
                  </a:pPr>
                  <a:t>[CELLRANGE]</a:t>
                </a:fld>
                <a:r>
                  <a:rPr lang="en-US" baseline="0"/>
                  <a:t>, </a:t>
                </a:r>
                <a:fld id="{3D14E329-43B4-454C-B933-1CE45CA6E605}" type="VALUE">
                  <a:rPr lang="en-US" baseline="0"/>
                  <a:pPr>
                    <a:defRPr sz="900" b="0" i="0" u="none" strike="noStrike" kern="1200" baseline="0">
                      <a:solidFill>
                        <a:sysClr val="windowText" lastClr="000000"/>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7"/>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5589FF5D-4B2A-47E1-8019-27F023C54ACE}" type="CELLRANGE">
                  <a:rPr lang="en-US"/>
                  <a:pPr>
                    <a:defRPr sz="900" b="0" i="0" u="none" strike="noStrike" kern="1200" baseline="0">
                      <a:solidFill>
                        <a:sysClr val="windowText" lastClr="000000"/>
                      </a:solidFill>
                      <a:latin typeface="+mn-lt"/>
                      <a:ea typeface="+mn-ea"/>
                      <a:cs typeface="+mn-cs"/>
                    </a:defRPr>
                  </a:pPr>
                  <a:t>[CELLRANGE]</a:t>
                </a:fld>
                <a:r>
                  <a:rPr lang="en-US" baseline="0"/>
                  <a:t>, </a:t>
                </a:r>
                <a:fld id="{0AFB73F6-2AF1-48C0-8CBA-C2B6AFAFD8A1}" type="VALUE">
                  <a:rPr lang="en-US" baseline="0"/>
                  <a:pPr>
                    <a:defRPr sz="900" b="0" i="0" u="none" strike="noStrike" kern="1200" baseline="0">
                      <a:solidFill>
                        <a:sysClr val="windowText" lastClr="000000"/>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8"/>
        <c:dLbl>
          <c:idx val="0"/>
          <c:layout>
            <c:manualLayout>
              <c:x val="-1.3084725270352189E-2"/>
              <c:y val="-3.711340206185567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9"/>
        <c:dLbl>
          <c:idx val="0"/>
          <c:layout>
            <c:manualLayout>
              <c:x val="-2.2894524616056434E-2"/>
              <c:y val="-2.472187886279359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0"/>
        <c:dLbl>
          <c:idx val="0"/>
          <c:layout>
            <c:manualLayout>
              <c:x val="-1.7988555055472866E-2"/>
              <c:y val="-2.060156571899464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1"/>
        <c:dLbl>
          <c:idx val="0"/>
          <c:layout>
            <c:manualLayout>
              <c:x val="-1.3082585494889358E-2"/>
              <c:y val="-2.88421920065925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2"/>
        <c:dLbl>
          <c:idx val="0"/>
          <c:layout>
            <c:manualLayout>
              <c:x val="-1.6353231868611758E-2"/>
              <c:y val="-3.2962505150391445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3"/>
        <c:dLbl>
          <c:idx val="0"/>
          <c:layout>
            <c:manualLayout>
              <c:x val="-2.1259201429195206E-2"/>
              <c:y val="-2.472187886279359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1.9623878242334036E-2"/>
              <c:y val="-1.8541409147095178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EF9B2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rgbClr val="E6D800">
              <a:alpha val="93000"/>
            </a:srgbClr>
          </a:solidFill>
          <a:ln>
            <a:noFill/>
          </a:ln>
          <a:effectLst>
            <a:outerShdw blurRad="57150" dist="19050" dir="5400000" algn="ctr" rotWithShape="0">
              <a:srgbClr val="000000">
                <a:alpha val="63000"/>
              </a:srgbClr>
            </a:outerShdw>
          </a:effectLst>
        </c:spPr>
        <c:marker>
          <c:symbol val="none"/>
        </c:marker>
        <c:dLbl>
          <c:idx val="0"/>
          <c:spPr>
            <a:solidFill>
              <a:srgbClr val="FFFF00"/>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rgbClr val="1A53FF">
              <a:alpha val="87451"/>
            </a:srgbClr>
          </a:solidFill>
          <a:ln>
            <a:noFill/>
          </a:ln>
          <a:effectLst>
            <a:outerShdw blurRad="57150" dist="19050" dir="5400000" algn="ctr" rotWithShape="0">
              <a:srgbClr val="000000">
                <a:alpha val="63000"/>
              </a:srgbClr>
            </a:outerShdw>
          </a:effectLst>
        </c:spPr>
        <c:marker>
          <c:symbol val="none"/>
        </c:marker>
        <c:dLbl>
          <c:idx val="0"/>
          <c:spPr>
            <a:solidFill>
              <a:schemeClr val="accent1">
                <a:lumMod val="60000"/>
                <a:lumOff val="4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5875" cap="rnd">
            <a:solidFill>
              <a:srgbClr val="99600B"/>
            </a:solidFill>
            <a:round/>
          </a:ln>
          <a:effectLst>
            <a:outerShdw blurRad="57150" dist="19050" dir="5400000" algn="ctr" rotWithShape="0">
              <a:srgbClr val="000000">
                <a:alpha val="63000"/>
              </a:srgbClr>
            </a:outerShdw>
          </a:effectLst>
        </c:spPr>
        <c:marker>
          <c:symbol val="circle"/>
          <c:size val="6"/>
          <c:spPr>
            <a:solidFill>
              <a:srgbClr val="99600B"/>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1A53FF">
              <a:alpha val="95000"/>
            </a:srgbClr>
          </a:solidFill>
          <a:ln>
            <a:noFill/>
          </a:ln>
          <a:effectLst>
            <a:outerShdw blurRad="57150" dist="19050" dir="5400000" algn="ctr" rotWithShape="0">
              <a:srgbClr val="000000">
                <a:alpha val="63000"/>
              </a:srgbClr>
            </a:outerShdw>
          </a:effectLst>
        </c:spPr>
      </c:pivotFmt>
      <c:pivotFmt>
        <c:idx val="40"/>
        <c:spPr>
          <a:solidFill>
            <a:srgbClr val="449BCC"/>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rgbClr val="AF1FC7">
              <a:alpha val="92941"/>
            </a:srgbClr>
          </a:solidFill>
          <a:ln>
            <a:noFill/>
          </a:ln>
          <a:effectLst>
            <a:outerShdw blurRad="57150" dist="19050" dir="5400000" algn="ctr" rotWithShape="0">
              <a:srgbClr val="000000">
                <a:alpha val="63000"/>
              </a:srgbClr>
            </a:outerShdw>
          </a:effectLst>
        </c:spPr>
        <c:marker>
          <c:symbol val="none"/>
        </c:marker>
        <c:dLbl>
          <c:idx val="0"/>
          <c:spPr>
            <a:solidFill>
              <a:srgbClr val="EAAEC9"/>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rgbClr val="6CAEA5">
              <a:alpha val="87451"/>
            </a:srgbClr>
          </a:solidFill>
          <a:ln>
            <a:noFill/>
          </a:ln>
          <a:effectLst>
            <a:outerShdw blurRad="57150" dist="19050" dir="5400000" algn="ctr" rotWithShape="0">
              <a:srgbClr val="000000">
                <a:alpha val="63000"/>
              </a:srgbClr>
            </a:outerShdw>
          </a:effectLst>
        </c:spPr>
        <c:marker>
          <c:symbol val="none"/>
        </c:marker>
        <c:dLbl>
          <c:idx val="0"/>
          <c:spPr>
            <a:solidFill>
              <a:schemeClr val="accent1">
                <a:lumMod val="40000"/>
                <a:lumOff val="6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5875" cap="rnd">
            <a:solidFill>
              <a:srgbClr val="449BCC"/>
            </a:solidFill>
            <a:round/>
          </a:ln>
          <a:effectLst>
            <a:outerShdw blurRad="57150" dist="19050" dir="5400000" algn="ctr" rotWithShape="0">
              <a:srgbClr val="000000">
                <a:alpha val="63000"/>
              </a:srgbClr>
            </a:outerShdw>
          </a:effectLst>
        </c:spPr>
        <c:marker>
          <c:symbol val="circle"/>
          <c:size val="6"/>
          <c:spPr>
            <a:solidFill>
              <a:srgbClr val="449BCC"/>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92957B"/>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CAD62A">
              <a:alpha val="92549"/>
            </a:srgbClr>
          </a:solidFill>
          <a:ln>
            <a:noFill/>
          </a:ln>
          <a:effectLst>
            <a:outerShdw blurRad="57150" dist="19050" dir="5400000" algn="ctr" rotWithShape="0">
              <a:srgbClr val="000000">
                <a:alpha val="63000"/>
              </a:srgbClr>
            </a:outerShdw>
          </a:effectLst>
        </c:spPr>
        <c:marker>
          <c:symbol val="none"/>
        </c:marker>
        <c:dLbl>
          <c:idx val="0"/>
          <c:spPr>
            <a:solidFill>
              <a:srgbClr val="FFFF00"/>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406C5C">
              <a:alpha val="87451"/>
            </a:srgbClr>
          </a:solidFill>
          <a:ln>
            <a:noFill/>
          </a:ln>
          <a:effectLst>
            <a:outerShdw blurRad="57150" dist="19050" dir="5400000" algn="ctr" rotWithShape="0">
              <a:srgbClr val="000000">
                <a:alpha val="63000"/>
              </a:srgbClr>
            </a:outerShdw>
          </a:effectLst>
        </c:spPr>
        <c:marker>
          <c:symbol val="none"/>
        </c:marker>
        <c:dLbl>
          <c:idx val="0"/>
          <c:spPr>
            <a:solidFill>
              <a:schemeClr val="accent6">
                <a:lumMod val="40000"/>
                <a:lumOff val="6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5875" cap="rnd">
            <a:solidFill>
              <a:srgbClr val="5B5D4B"/>
            </a:solidFill>
            <a:round/>
          </a:ln>
          <a:effectLst>
            <a:outerShdw blurRad="57150" dist="19050" dir="5400000" algn="ctr" rotWithShape="0">
              <a:srgbClr val="000000">
                <a:alpha val="63000"/>
              </a:srgbClr>
            </a:outerShdw>
          </a:effectLst>
        </c:spPr>
        <c:marker>
          <c:symbol val="circle"/>
          <c:size val="6"/>
          <c:spPr>
            <a:solidFill>
              <a:srgbClr val="515343"/>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92957B"/>
          </a:solidFill>
          <a:ln>
            <a:noFill/>
          </a:ln>
          <a:effectLst>
            <a:outerShdw blurRad="57150" dist="19050" dir="5400000" algn="ctr" rotWithShape="0">
              <a:srgbClr val="000000">
                <a:alpha val="63000"/>
              </a:srgbClr>
            </a:outerShdw>
          </a:effectLst>
        </c:spPr>
      </c:pivotFmt>
      <c:pivotFmt>
        <c:idx val="49"/>
        <c:spPr>
          <a:solidFill>
            <a:srgbClr val="9869A7"/>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rgbClr val="FEBAF6">
              <a:alpha val="92157"/>
            </a:srgbClr>
          </a:solidFill>
          <a:ln>
            <a:noFill/>
          </a:ln>
          <a:effectLst>
            <a:outerShdw blurRad="57150" dist="19050" dir="5400000" algn="ctr" rotWithShape="0">
              <a:srgbClr val="000000">
                <a:alpha val="63000"/>
              </a:srgbClr>
            </a:outerShdw>
          </a:effectLst>
        </c:spPr>
        <c:marker>
          <c:symbol val="none"/>
        </c:marker>
        <c:dLbl>
          <c:idx val="0"/>
          <c:spPr>
            <a:solidFill>
              <a:srgbClr val="D9A0E4"/>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B06A74">
              <a:alpha val="87451"/>
            </a:srgbClr>
          </a:solidFill>
          <a:ln>
            <a:noFill/>
          </a:ln>
          <a:effectLst>
            <a:outerShdw blurRad="57150" dist="19050" dir="5400000" algn="ctr" rotWithShape="0">
              <a:srgbClr val="000000">
                <a:alpha val="63000"/>
              </a:srgbClr>
            </a:outerShdw>
          </a:effectLst>
        </c:spPr>
        <c:marker>
          <c:symbol val="none"/>
        </c:marker>
        <c:dLbl>
          <c:idx val="0"/>
          <c:spPr>
            <a:solidFill>
              <a:schemeClr val="accent2">
                <a:lumMod val="40000"/>
                <a:lumOff val="6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5875" cap="rnd">
            <a:solidFill>
              <a:srgbClr val="62406C"/>
            </a:solidFill>
            <a:round/>
          </a:ln>
          <a:effectLst>
            <a:outerShdw blurRad="57150" dist="19050" dir="5400000" algn="ctr" rotWithShape="0">
              <a:srgbClr val="000000">
                <a:alpha val="63000"/>
              </a:srgbClr>
            </a:outerShdw>
          </a:effectLst>
        </c:spPr>
        <c:marker>
          <c:symbol val="circle"/>
          <c:size val="6"/>
          <c:spPr>
            <a:solidFill>
              <a:srgbClr val="62406C"/>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spPr>
          <a:solidFill>
            <a:srgbClr val="9869A7"/>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C979D9">
              <a:alpha val="92157"/>
            </a:srgbClr>
          </a:solidFill>
          <a:ln>
            <a:noFill/>
          </a:ln>
          <a:effectLst>
            <a:outerShdw blurRad="57150" dist="19050" dir="5400000" algn="ctr" rotWithShape="0">
              <a:srgbClr val="000000">
                <a:alpha val="63000"/>
              </a:srgbClr>
            </a:outerShdw>
          </a:effectLst>
        </c:spPr>
        <c:marker>
          <c:symbol val="none"/>
        </c:marker>
        <c:dLbl>
          <c:idx val="0"/>
          <c:spPr>
            <a:solidFill>
              <a:srgbClr val="D9A0E4"/>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rgbClr val="B06A74">
              <a:alpha val="87451"/>
            </a:srgbClr>
          </a:solidFill>
          <a:ln>
            <a:noFill/>
          </a:ln>
          <a:effectLst>
            <a:outerShdw blurRad="57150" dist="19050" dir="5400000" algn="ctr" rotWithShape="0">
              <a:srgbClr val="000000">
                <a:alpha val="63000"/>
              </a:srgbClr>
            </a:outerShdw>
          </a:effectLst>
        </c:spPr>
        <c:marker>
          <c:symbol val="none"/>
        </c:marker>
        <c:dLbl>
          <c:idx val="0"/>
          <c:spPr>
            <a:solidFill>
              <a:schemeClr val="accent2">
                <a:lumMod val="40000"/>
                <a:lumOff val="6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5875" cap="rnd">
            <a:solidFill>
              <a:srgbClr val="62406C"/>
            </a:solidFill>
            <a:round/>
          </a:ln>
          <a:effectLst>
            <a:outerShdw blurRad="57150" dist="19050" dir="5400000" algn="ctr" rotWithShape="0">
              <a:srgbClr val="000000">
                <a:alpha val="63000"/>
              </a:srgbClr>
            </a:outerShdw>
          </a:effectLst>
        </c:spPr>
        <c:marker>
          <c:symbol val="circle"/>
          <c:size val="6"/>
          <c:spPr>
            <a:solidFill>
              <a:srgbClr val="62406C"/>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7"/>
        <c:spPr>
          <a:solidFill>
            <a:srgbClr val="9869A7"/>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rgbClr val="FEBAF6">
              <a:alpha val="92157"/>
            </a:srgbClr>
          </a:solidFill>
          <a:ln>
            <a:noFill/>
          </a:ln>
          <a:effectLst>
            <a:outerShdw blurRad="57150" dist="19050" dir="5400000" algn="ctr" rotWithShape="0">
              <a:srgbClr val="000000">
                <a:alpha val="63000"/>
              </a:srgbClr>
            </a:outerShdw>
          </a:effectLst>
        </c:spPr>
        <c:marker>
          <c:symbol val="none"/>
        </c:marker>
        <c:dLbl>
          <c:idx val="0"/>
          <c:spPr>
            <a:solidFill>
              <a:srgbClr val="D9A0E4"/>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B06A74">
              <a:alpha val="87451"/>
            </a:srgbClr>
          </a:solidFill>
          <a:ln>
            <a:noFill/>
          </a:ln>
          <a:effectLst>
            <a:outerShdw blurRad="57150" dist="19050" dir="5400000" algn="ctr" rotWithShape="0">
              <a:srgbClr val="000000">
                <a:alpha val="63000"/>
              </a:srgbClr>
            </a:outerShdw>
          </a:effectLst>
        </c:spPr>
        <c:marker>
          <c:symbol val="none"/>
        </c:marker>
        <c:dLbl>
          <c:idx val="0"/>
          <c:spPr>
            <a:solidFill>
              <a:schemeClr val="accent2">
                <a:lumMod val="40000"/>
                <a:lumOff val="6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5875" cap="rnd">
            <a:solidFill>
              <a:srgbClr val="62406C"/>
            </a:solidFill>
            <a:round/>
          </a:ln>
          <a:effectLst>
            <a:outerShdw blurRad="57150" dist="19050" dir="5400000" algn="ctr" rotWithShape="0">
              <a:srgbClr val="000000">
                <a:alpha val="63000"/>
              </a:srgbClr>
            </a:outerShdw>
          </a:effectLst>
        </c:spPr>
        <c:marker>
          <c:symbol val="circle"/>
          <c:size val="6"/>
          <c:spPr>
            <a:solidFill>
              <a:srgbClr val="62406C"/>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1"/>
        <c:spPr>
          <a:solidFill>
            <a:srgbClr val="9869A7"/>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2"/>
        <c:spPr>
          <a:solidFill>
            <a:srgbClr val="FEBAF6">
              <a:alpha val="92157"/>
            </a:srgbClr>
          </a:solidFill>
          <a:ln>
            <a:noFill/>
          </a:ln>
          <a:effectLst>
            <a:outerShdw blurRad="57150" dist="19050" dir="5400000" algn="ctr" rotWithShape="0">
              <a:srgbClr val="000000">
                <a:alpha val="63000"/>
              </a:srgbClr>
            </a:outerShdw>
          </a:effectLst>
        </c:spPr>
        <c:marker>
          <c:symbol val="none"/>
        </c:marker>
        <c:dLbl>
          <c:idx val="0"/>
          <c:spPr>
            <a:solidFill>
              <a:srgbClr val="D9A0E4"/>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3"/>
        <c:spPr>
          <a:solidFill>
            <a:srgbClr val="B06A74">
              <a:alpha val="87451"/>
            </a:srgbClr>
          </a:solidFill>
          <a:ln>
            <a:noFill/>
          </a:ln>
          <a:effectLst>
            <a:outerShdw blurRad="57150" dist="19050" dir="5400000" algn="ctr" rotWithShape="0">
              <a:srgbClr val="000000">
                <a:alpha val="63000"/>
              </a:srgbClr>
            </a:outerShdw>
          </a:effectLst>
        </c:spPr>
        <c:marker>
          <c:symbol val="none"/>
        </c:marker>
        <c:dLbl>
          <c:idx val="0"/>
          <c:spPr>
            <a:solidFill>
              <a:schemeClr val="accent2">
                <a:lumMod val="40000"/>
                <a:lumOff val="6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5875" cap="rnd">
            <a:solidFill>
              <a:srgbClr val="62406C"/>
            </a:solidFill>
            <a:round/>
          </a:ln>
          <a:effectLst>
            <a:outerShdw blurRad="57150" dist="19050" dir="5400000" algn="ctr" rotWithShape="0">
              <a:srgbClr val="000000">
                <a:alpha val="63000"/>
              </a:srgbClr>
            </a:outerShdw>
          </a:effectLst>
        </c:spPr>
        <c:marker>
          <c:symbol val="circle"/>
          <c:size val="6"/>
          <c:spPr>
            <a:solidFill>
              <a:srgbClr val="62406C"/>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5"/>
        <c:spPr>
          <a:solidFill>
            <a:srgbClr val="9869A7"/>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6"/>
        <c:spPr>
          <a:solidFill>
            <a:srgbClr val="FEBAF6">
              <a:alpha val="92157"/>
            </a:srgbClr>
          </a:solidFill>
          <a:ln>
            <a:noFill/>
          </a:ln>
          <a:effectLst>
            <a:outerShdw blurRad="57150" dist="19050" dir="5400000" algn="ctr" rotWithShape="0">
              <a:srgbClr val="000000">
                <a:alpha val="63000"/>
              </a:srgbClr>
            </a:outerShdw>
          </a:effectLst>
        </c:spPr>
        <c:marker>
          <c:symbol val="none"/>
        </c:marker>
        <c:dLbl>
          <c:idx val="0"/>
          <c:spPr>
            <a:solidFill>
              <a:srgbClr val="D9A0E4"/>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7"/>
        <c:spPr>
          <a:solidFill>
            <a:srgbClr val="B06A74">
              <a:alpha val="87451"/>
            </a:srgbClr>
          </a:solidFill>
          <a:ln>
            <a:noFill/>
          </a:ln>
          <a:effectLst>
            <a:outerShdw blurRad="57150" dist="19050" dir="5400000" algn="ctr" rotWithShape="0">
              <a:srgbClr val="000000">
                <a:alpha val="63000"/>
              </a:srgbClr>
            </a:outerShdw>
          </a:effectLst>
        </c:spPr>
        <c:marker>
          <c:symbol val="none"/>
        </c:marker>
        <c:dLbl>
          <c:idx val="0"/>
          <c:spPr>
            <a:solidFill>
              <a:schemeClr val="accent2">
                <a:lumMod val="40000"/>
                <a:lumOff val="6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5875" cap="rnd">
            <a:solidFill>
              <a:srgbClr val="62406C"/>
            </a:solidFill>
            <a:round/>
          </a:ln>
          <a:effectLst>
            <a:outerShdw blurRad="57150" dist="19050" dir="5400000" algn="ctr" rotWithShape="0">
              <a:srgbClr val="000000">
                <a:alpha val="63000"/>
              </a:srgbClr>
            </a:outerShdw>
          </a:effectLst>
        </c:spPr>
        <c:marker>
          <c:symbol val="circle"/>
          <c:size val="6"/>
          <c:spPr>
            <a:solidFill>
              <a:srgbClr val="62406C"/>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9"/>
        <c:spPr>
          <a:solidFill>
            <a:srgbClr val="9869A7"/>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0"/>
        <c:spPr>
          <a:solidFill>
            <a:srgbClr val="FEBAF6">
              <a:alpha val="92157"/>
            </a:srgbClr>
          </a:solidFill>
          <a:ln>
            <a:noFill/>
          </a:ln>
          <a:effectLst>
            <a:outerShdw blurRad="57150" dist="19050" dir="5400000" algn="ctr" rotWithShape="0">
              <a:srgbClr val="000000">
                <a:alpha val="63000"/>
              </a:srgbClr>
            </a:outerShdw>
          </a:effectLst>
        </c:spPr>
        <c:marker>
          <c:symbol val="none"/>
        </c:marker>
        <c:dLbl>
          <c:idx val="0"/>
          <c:spPr>
            <a:solidFill>
              <a:srgbClr val="D9A0E4"/>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1"/>
        <c:spPr>
          <a:solidFill>
            <a:srgbClr val="B06A74">
              <a:alpha val="87451"/>
            </a:srgbClr>
          </a:solidFill>
          <a:ln>
            <a:noFill/>
          </a:ln>
          <a:effectLst>
            <a:outerShdw blurRad="57150" dist="19050" dir="5400000" algn="ctr" rotWithShape="0">
              <a:srgbClr val="000000">
                <a:alpha val="63000"/>
              </a:srgbClr>
            </a:outerShdw>
          </a:effectLst>
        </c:spPr>
        <c:marker>
          <c:symbol val="none"/>
        </c:marker>
        <c:dLbl>
          <c:idx val="0"/>
          <c:spPr>
            <a:solidFill>
              <a:schemeClr val="accent2">
                <a:lumMod val="40000"/>
                <a:lumOff val="6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2"/>
        <c:spPr>
          <a:ln w="15875" cap="rnd">
            <a:solidFill>
              <a:srgbClr val="62406C"/>
            </a:solidFill>
            <a:round/>
          </a:ln>
          <a:effectLst>
            <a:outerShdw blurRad="57150" dist="19050" dir="5400000" algn="ctr" rotWithShape="0">
              <a:srgbClr val="000000">
                <a:alpha val="63000"/>
              </a:srgbClr>
            </a:outerShdw>
          </a:effectLst>
        </c:spPr>
        <c:marker>
          <c:symbol val="circle"/>
          <c:size val="6"/>
          <c:spPr>
            <a:solidFill>
              <a:srgbClr val="62406C"/>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5875" cap="rnd">
            <a:solidFill>
              <a:srgbClr val="62406C"/>
            </a:solidFill>
            <a:round/>
          </a:ln>
          <a:effectLst>
            <a:outerShdw blurRad="57150" dist="19050" dir="5400000" algn="ctr" rotWithShape="0">
              <a:srgbClr val="000000">
                <a:alpha val="63000"/>
              </a:srgbClr>
            </a:outerShdw>
          </a:effectLst>
        </c:spPr>
        <c:marker>
          <c:symbol val="circle"/>
          <c:size val="6"/>
          <c:spPr>
            <a:solidFill>
              <a:srgbClr val="62406C"/>
            </a:solidFill>
            <a:ln w="9525">
              <a:noFill/>
              <a:round/>
            </a:ln>
            <a:effectLst>
              <a:outerShdw blurRad="57150" dist="19050" dir="5400000" algn="ctr" rotWithShape="0">
                <a:srgbClr val="000000">
                  <a:alpha val="63000"/>
                </a:srgbClr>
              </a:outerShdw>
            </a:effectLst>
          </c:spPr>
        </c:marker>
        <c:dLbl>
          <c:idx val="0"/>
          <c:layout>
            <c:manualLayout>
              <c:x val="-2.8631430666196209E-2"/>
              <c:y val="-4.65463532904865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5875" cap="rnd">
            <a:solidFill>
              <a:srgbClr val="62406C"/>
            </a:solidFill>
            <a:round/>
          </a:ln>
          <a:effectLst>
            <a:outerShdw blurRad="57150" dist="19050" dir="5400000" algn="ctr" rotWithShape="0">
              <a:srgbClr val="000000">
                <a:alpha val="63000"/>
              </a:srgbClr>
            </a:outerShdw>
          </a:effectLst>
        </c:spPr>
        <c:marker>
          <c:symbol val="circle"/>
          <c:size val="6"/>
          <c:spPr>
            <a:solidFill>
              <a:srgbClr val="62406C"/>
            </a:solidFill>
            <a:ln w="9525">
              <a:noFill/>
              <a:round/>
            </a:ln>
            <a:effectLst>
              <a:outerShdw blurRad="57150" dist="19050" dir="5400000" algn="ctr" rotWithShape="0">
                <a:srgbClr val="000000">
                  <a:alpha val="63000"/>
                </a:srgbClr>
              </a:outerShdw>
            </a:effectLst>
          </c:spPr>
        </c:marker>
        <c:dLbl>
          <c:idx val="0"/>
          <c:layout>
            <c:manualLayout>
              <c:x val="-1.9589926245292329E-2"/>
              <c:y val="-6.5712498763039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5875" cap="rnd">
            <a:solidFill>
              <a:srgbClr val="62406C"/>
            </a:solidFill>
            <a:round/>
          </a:ln>
          <a:effectLst>
            <a:outerShdw blurRad="57150" dist="19050" dir="5400000" algn="ctr" rotWithShape="0">
              <a:srgbClr val="000000">
                <a:alpha val="63000"/>
              </a:srgbClr>
            </a:outerShdw>
          </a:effectLst>
        </c:spPr>
        <c:marker>
          <c:symbol val="circle"/>
          <c:size val="6"/>
          <c:spPr>
            <a:solidFill>
              <a:srgbClr val="62406C"/>
            </a:solidFill>
            <a:ln w="9525">
              <a:noFill/>
              <a:round/>
            </a:ln>
            <a:effectLst>
              <a:outerShdw blurRad="57150" dist="19050" dir="5400000" algn="ctr" rotWithShape="0">
                <a:srgbClr val="000000">
                  <a:alpha val="63000"/>
                </a:srgbClr>
              </a:outerShdw>
            </a:effectLst>
          </c:spPr>
        </c:marker>
        <c:dLbl>
          <c:idx val="0"/>
          <c:layout>
            <c:manualLayout>
              <c:x val="-2.863143066619632E-2"/>
              <c:y val="-5.20223948540731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5875" cap="rnd">
            <a:solidFill>
              <a:srgbClr val="62406C"/>
            </a:solidFill>
            <a:round/>
          </a:ln>
          <a:effectLst>
            <a:outerShdw blurRad="57150" dist="19050" dir="5400000" algn="ctr" rotWithShape="0">
              <a:srgbClr val="000000">
                <a:alpha val="63000"/>
              </a:srgbClr>
            </a:outerShdw>
          </a:effectLst>
        </c:spPr>
        <c:marker>
          <c:symbol val="circle"/>
          <c:size val="6"/>
          <c:spPr>
            <a:solidFill>
              <a:srgbClr val="62406C"/>
            </a:solidFill>
            <a:ln w="9525">
              <a:noFill/>
              <a:round/>
            </a:ln>
            <a:effectLst>
              <a:outerShdw blurRad="57150" dist="19050" dir="5400000" algn="ctr" rotWithShape="0">
                <a:srgbClr val="000000">
                  <a:alpha val="63000"/>
                </a:srgbClr>
              </a:outerShdw>
            </a:effectLst>
          </c:spPr>
        </c:marker>
        <c:dLbl>
          <c:idx val="0"/>
          <c:layout>
            <c:manualLayout>
              <c:x val="-2.2603761052260252E-2"/>
              <c:y val="-7.1188540326626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5875" cap="rnd">
            <a:solidFill>
              <a:srgbClr val="62406C"/>
            </a:solidFill>
            <a:round/>
          </a:ln>
          <a:effectLst>
            <a:outerShdw blurRad="57150" dist="19050" dir="5400000" algn="ctr" rotWithShape="0">
              <a:srgbClr val="000000">
                <a:alpha val="63000"/>
              </a:srgbClr>
            </a:outerShdw>
          </a:effectLst>
        </c:spPr>
        <c:marker>
          <c:symbol val="circle"/>
          <c:size val="6"/>
          <c:spPr>
            <a:solidFill>
              <a:srgbClr val="62406C"/>
            </a:solidFill>
            <a:ln w="9525">
              <a:noFill/>
              <a:round/>
            </a:ln>
            <a:effectLst>
              <a:outerShdw blurRad="57150" dist="19050" dir="5400000" algn="ctr" rotWithShape="0">
                <a:srgbClr val="000000">
                  <a:alpha val="63000"/>
                </a:srgbClr>
              </a:outerShdw>
            </a:effectLst>
          </c:spPr>
        </c:marker>
        <c:dLbl>
          <c:idx val="0"/>
          <c:layout>
            <c:manualLayout>
              <c:x val="-9.0415044209041003E-3"/>
              <c:y val="-6.02364571994531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5875" cap="rnd">
            <a:solidFill>
              <a:srgbClr val="62406C"/>
            </a:solidFill>
            <a:round/>
          </a:ln>
          <a:effectLst>
            <a:outerShdw blurRad="57150" dist="19050" dir="5400000" algn="ctr" rotWithShape="0">
              <a:srgbClr val="000000">
                <a:alpha val="63000"/>
              </a:srgbClr>
            </a:outerShdw>
          </a:effectLst>
        </c:spPr>
        <c:marker>
          <c:symbol val="circle"/>
          <c:size val="6"/>
          <c:spPr>
            <a:solidFill>
              <a:srgbClr val="62406C"/>
            </a:solidFill>
            <a:ln w="9525">
              <a:noFill/>
              <a:round/>
            </a:ln>
            <a:effectLst>
              <a:outerShdw blurRad="57150" dist="19050" dir="5400000" algn="ctr" rotWithShape="0">
                <a:srgbClr val="000000">
                  <a:alpha val="63000"/>
                </a:srgbClr>
              </a:outerShdw>
            </a:effectLst>
          </c:spPr>
        </c:marker>
        <c:dLbl>
          <c:idx val="0"/>
          <c:layout>
            <c:manualLayout>
              <c:x val="-3.0138348069680336E-3"/>
              <c:y val="-5.74984364176598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5875" cap="rnd">
            <a:solidFill>
              <a:srgbClr val="62406C"/>
            </a:solidFill>
            <a:round/>
          </a:ln>
          <a:effectLst>
            <a:outerShdw blurRad="57150" dist="19050" dir="5400000" algn="ctr" rotWithShape="0">
              <a:srgbClr val="000000">
                <a:alpha val="63000"/>
              </a:srgbClr>
            </a:outerShdw>
          </a:effectLst>
        </c:spPr>
        <c:marker>
          <c:symbol val="circle"/>
          <c:size val="6"/>
          <c:spPr>
            <a:solidFill>
              <a:srgbClr val="62406C"/>
            </a:solidFill>
            <a:ln w="9525">
              <a:noFill/>
              <a:round/>
            </a:ln>
            <a:effectLst>
              <a:outerShdw blurRad="57150" dist="19050" dir="5400000" algn="ctr" rotWithShape="0">
                <a:srgbClr val="000000">
                  <a:alpha val="63000"/>
                </a:srgbClr>
              </a:outerShdw>
            </a:effectLst>
          </c:spPr>
        </c:marker>
        <c:dLbl>
          <c:idx val="0"/>
          <c:layout>
            <c:manualLayout>
              <c:x val="-7.5345870174200842E-3"/>
              <c:y val="-4.92843740722798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5875" cap="rnd">
            <a:solidFill>
              <a:srgbClr val="62406C"/>
            </a:solidFill>
            <a:round/>
          </a:ln>
          <a:effectLst>
            <a:outerShdw blurRad="57150" dist="19050" dir="5400000" algn="ctr" rotWithShape="0">
              <a:srgbClr val="000000">
                <a:alpha val="63000"/>
              </a:srgbClr>
            </a:outerShdw>
          </a:effectLst>
        </c:spPr>
        <c:marker>
          <c:symbol val="circle"/>
          <c:size val="6"/>
          <c:spPr>
            <a:solidFill>
              <a:srgbClr val="62406C"/>
            </a:solidFill>
            <a:ln w="9525">
              <a:noFill/>
              <a:round/>
            </a:ln>
            <a:effectLst>
              <a:outerShdw blurRad="57150" dist="19050" dir="5400000" algn="ctr" rotWithShape="0">
                <a:srgbClr val="000000">
                  <a:alpha val="63000"/>
                </a:srgbClr>
              </a:outerShdw>
            </a:effectLst>
          </c:spPr>
        </c:marker>
        <c:dLbl>
          <c:idx val="0"/>
          <c:layout>
            <c:manualLayout>
              <c:x val="-2.5617595859228286E-2"/>
              <c:y val="-0.120472914398906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5875" cap="rnd">
            <a:solidFill>
              <a:srgbClr val="62406C"/>
            </a:solidFill>
            <a:round/>
          </a:ln>
          <a:effectLst>
            <a:outerShdw blurRad="57150" dist="19050" dir="5400000" algn="ctr" rotWithShape="0">
              <a:srgbClr val="000000">
                <a:alpha val="63000"/>
              </a:srgbClr>
            </a:outerShdw>
          </a:effectLst>
        </c:spPr>
        <c:marker>
          <c:symbol val="circle"/>
          <c:size val="6"/>
          <c:spPr>
            <a:solidFill>
              <a:srgbClr val="62406C"/>
            </a:solidFill>
            <a:ln w="9525">
              <a:noFill/>
              <a:round/>
            </a:ln>
            <a:effectLst>
              <a:outerShdw blurRad="57150" dist="19050" dir="5400000" algn="ctr" rotWithShape="0">
                <a:srgbClr val="000000">
                  <a:alpha val="63000"/>
                </a:srgbClr>
              </a:outerShdw>
            </a:effectLst>
          </c:spPr>
        </c:marker>
        <c:dLbl>
          <c:idx val="0"/>
          <c:layout>
            <c:manualLayout>
              <c:x val="-2.1096843648776235E-2"/>
              <c:y val="-5.47604156358665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5875" cap="rnd">
            <a:solidFill>
              <a:srgbClr val="62406C"/>
            </a:solidFill>
            <a:round/>
          </a:ln>
          <a:effectLst>
            <a:outerShdw blurRad="57150" dist="19050" dir="5400000" algn="ctr" rotWithShape="0">
              <a:srgbClr val="000000">
                <a:alpha val="63000"/>
              </a:srgbClr>
            </a:outerShdw>
          </a:effectLst>
        </c:spPr>
        <c:marker>
          <c:symbol val="circle"/>
          <c:size val="6"/>
          <c:spPr>
            <a:solidFill>
              <a:srgbClr val="62406C"/>
            </a:solidFill>
            <a:ln w="9525">
              <a:noFill/>
              <a:round/>
            </a:ln>
            <a:effectLst>
              <a:outerShdw blurRad="57150" dist="19050" dir="5400000" algn="ctr" rotWithShape="0">
                <a:srgbClr val="000000">
                  <a:alpha val="63000"/>
                </a:srgbClr>
              </a:outerShdw>
            </a:effectLst>
          </c:spPr>
        </c:marker>
        <c:dLbl>
          <c:idx val="0"/>
          <c:layout>
            <c:manualLayout>
              <c:x val="-4.5207522104520779E-3"/>
              <c:y val="-5.47604156358665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5875" cap="rnd">
            <a:solidFill>
              <a:srgbClr val="62406C"/>
            </a:solidFill>
            <a:round/>
          </a:ln>
          <a:effectLst>
            <a:outerShdw blurRad="57150" dist="19050" dir="5400000" algn="ctr" rotWithShape="0">
              <a:srgbClr val="000000">
                <a:alpha val="63000"/>
              </a:srgbClr>
            </a:outerShdw>
          </a:effectLst>
        </c:spPr>
        <c:marker>
          <c:symbol val="circle"/>
          <c:size val="6"/>
          <c:spPr>
            <a:solidFill>
              <a:srgbClr val="62406C"/>
            </a:solidFill>
            <a:ln w="9525">
              <a:noFill/>
              <a:round/>
            </a:ln>
            <a:effectLst>
              <a:outerShdw blurRad="57150" dist="19050" dir="5400000" algn="ctr" rotWithShape="0">
                <a:srgbClr val="000000">
                  <a:alpha val="63000"/>
                </a:srgbClr>
              </a:outerShdw>
            </a:effectLst>
          </c:spPr>
        </c:marker>
        <c:dLbl>
          <c:idx val="0"/>
          <c:layout>
            <c:manualLayout>
              <c:x val="-7.5345870174200842E-3"/>
              <c:y val="-4.10703117268999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5875" cap="rnd">
            <a:solidFill>
              <a:srgbClr val="62406C"/>
            </a:solidFill>
            <a:round/>
          </a:ln>
          <a:effectLst>
            <a:outerShdw blurRad="57150" dist="19050" dir="5400000" algn="ctr" rotWithShape="0">
              <a:srgbClr val="000000">
                <a:alpha val="63000"/>
              </a:srgbClr>
            </a:outerShdw>
          </a:effectLst>
        </c:spPr>
        <c:marker>
          <c:symbol val="circle"/>
          <c:size val="6"/>
          <c:spPr>
            <a:solidFill>
              <a:srgbClr val="62406C"/>
            </a:solidFill>
            <a:ln w="9525">
              <a:noFill/>
              <a:round/>
            </a:ln>
            <a:effectLst>
              <a:outerShdw blurRad="57150" dist="19050" dir="5400000" algn="ctr" rotWithShape="0">
                <a:srgbClr val="000000">
                  <a:alpha val="63000"/>
                </a:srgbClr>
              </a:outerShdw>
            </a:effectLst>
          </c:spPr>
        </c:marker>
        <c:dLbl>
          <c:idx val="0"/>
          <c:layout>
            <c:manualLayout>
              <c:x val="-7.5345870174201943E-3"/>
              <c:y val="-5.47604156358665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5"/>
        <c:spPr>
          <a:ln w="15875" cap="rnd">
            <a:solidFill>
              <a:srgbClr val="62406C"/>
            </a:solidFill>
            <a:round/>
          </a:ln>
          <a:effectLst>
            <a:outerShdw blurRad="57150" dist="19050" dir="5400000" algn="ctr" rotWithShape="0">
              <a:srgbClr val="000000">
                <a:alpha val="63000"/>
              </a:srgbClr>
            </a:outerShdw>
          </a:effectLst>
        </c:spPr>
        <c:marker>
          <c:symbol val="circle"/>
          <c:size val="6"/>
          <c:spPr>
            <a:solidFill>
              <a:srgbClr val="62406C"/>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86"/>
        <c:spPr>
          <a:ln w="15875" cap="rnd">
            <a:solidFill>
              <a:srgbClr val="62406C"/>
            </a:solidFill>
            <a:round/>
          </a:ln>
          <a:effectLst>
            <a:outerShdw blurRad="57150" dist="19050" dir="5400000" algn="ctr" rotWithShape="0">
              <a:srgbClr val="000000">
                <a:alpha val="63000"/>
              </a:srgbClr>
            </a:outerShdw>
          </a:effectLst>
        </c:spPr>
        <c:marker>
          <c:symbol val="circle"/>
          <c:size val="6"/>
          <c:spPr>
            <a:solidFill>
              <a:srgbClr val="62406C"/>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87"/>
        <c:spPr>
          <a:ln w="15875" cap="rnd">
            <a:solidFill>
              <a:srgbClr val="62406C"/>
            </a:solidFill>
            <a:round/>
          </a:ln>
          <a:effectLst>
            <a:outerShdw blurRad="57150" dist="19050" dir="5400000" algn="ctr" rotWithShape="0">
              <a:srgbClr val="000000">
                <a:alpha val="63000"/>
              </a:srgbClr>
            </a:outerShdw>
          </a:effectLst>
        </c:spPr>
        <c:marker>
          <c:symbol val="circle"/>
          <c:size val="6"/>
          <c:spPr>
            <a:solidFill>
              <a:srgbClr val="62406C"/>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88"/>
        <c:spPr>
          <a:ln w="15875" cap="rnd">
            <a:solidFill>
              <a:srgbClr val="62406C"/>
            </a:solidFill>
            <a:round/>
          </a:ln>
          <a:effectLst>
            <a:outerShdw blurRad="57150" dist="19050" dir="5400000" algn="ctr" rotWithShape="0">
              <a:srgbClr val="000000">
                <a:alpha val="63000"/>
              </a:srgbClr>
            </a:outerShdw>
          </a:effectLst>
        </c:spPr>
        <c:marker>
          <c:symbol val="circle"/>
          <c:size val="6"/>
          <c:spPr>
            <a:solidFill>
              <a:srgbClr val="62406C"/>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89"/>
        <c:spPr>
          <a:ln w="15875" cap="rnd">
            <a:solidFill>
              <a:srgbClr val="62406C"/>
            </a:solidFill>
            <a:round/>
          </a:ln>
          <a:effectLst>
            <a:outerShdw blurRad="57150" dist="19050" dir="5400000" algn="ctr" rotWithShape="0">
              <a:srgbClr val="000000">
                <a:alpha val="63000"/>
              </a:srgbClr>
            </a:outerShdw>
          </a:effectLst>
        </c:spPr>
        <c:marker>
          <c:symbol val="circle"/>
          <c:size val="6"/>
          <c:spPr>
            <a:solidFill>
              <a:srgbClr val="62406C"/>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2737077742771"/>
          <c:y val="8.9932220931065607E-2"/>
          <c:w val="0.82119254556439047"/>
          <c:h val="0.68740804360920549"/>
        </c:manualLayout>
      </c:layout>
      <c:barChart>
        <c:barDir val="col"/>
        <c:grouping val="clustered"/>
        <c:varyColors val="0"/>
        <c:ser>
          <c:idx val="0"/>
          <c:order val="0"/>
          <c:tx>
            <c:strRef>
              <c:f>'peads-5-14'!$B$5</c:f>
              <c:strCache>
                <c:ptCount val="1"/>
                <c:pt idx="0">
                  <c:v> CD4_tests</c:v>
                </c:pt>
              </c:strCache>
            </c:strRef>
          </c:tx>
          <c:spPr>
            <a:solidFill>
              <a:srgbClr val="9869A7"/>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'peads-5-14'!$A$6:$A$42</c:f>
              <c:multiLvlStrCache>
                <c:ptCount val="17"/>
                <c:lvl>
                  <c:pt idx="0">
                    <c:v>19</c:v>
                  </c:pt>
                  <c:pt idx="1">
                    <c:v>19</c:v>
                  </c:pt>
                  <c:pt idx="2">
                    <c:v>8</c:v>
                  </c:pt>
                  <c:pt idx="3">
                    <c:v>14</c:v>
                  </c:pt>
                  <c:pt idx="4">
                    <c:v>16</c:v>
                  </c:pt>
                  <c:pt idx="5">
                    <c:v>23</c:v>
                  </c:pt>
                  <c:pt idx="6">
                    <c:v>23</c:v>
                  </c:pt>
                  <c:pt idx="7">
                    <c:v>12</c:v>
                  </c:pt>
                  <c:pt idx="8">
                    <c:v>17</c:v>
                  </c:pt>
                  <c:pt idx="9">
                    <c:v>10</c:v>
                  </c:pt>
                  <c:pt idx="10">
                    <c:v>11</c:v>
                  </c:pt>
                  <c:pt idx="11">
                    <c:v>14</c:v>
                  </c:pt>
                  <c:pt idx="12">
                    <c:v>7</c:v>
                  </c:pt>
                  <c:pt idx="13">
                    <c:v>7</c:v>
                  </c:pt>
                  <c:pt idx="14">
                    <c:v>18</c:v>
                  </c:pt>
                  <c:pt idx="15">
                    <c:v>11</c:v>
                  </c:pt>
                  <c:pt idx="16">
                    <c:v>13</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2024</c:v>
                  </c:pt>
                  <c:pt idx="12">
                    <c:v>2025</c:v>
                  </c:pt>
                </c:lvl>
              </c:multiLvlStrCache>
            </c:multiLvlStrRef>
          </c:cat>
          <c:val>
            <c:numRef>
              <c:f>'peads-5-14'!$B$6:$B$42</c:f>
              <c:numCache>
                <c:formatCode>General</c:formatCode>
                <c:ptCount val="17"/>
                <c:pt idx="0">
                  <c:v>19</c:v>
                </c:pt>
                <c:pt idx="1">
                  <c:v>19</c:v>
                </c:pt>
                <c:pt idx="2">
                  <c:v>8</c:v>
                </c:pt>
                <c:pt idx="3">
                  <c:v>13</c:v>
                </c:pt>
                <c:pt idx="4">
                  <c:v>14</c:v>
                </c:pt>
                <c:pt idx="5">
                  <c:v>23</c:v>
                </c:pt>
                <c:pt idx="6">
                  <c:v>20</c:v>
                </c:pt>
                <c:pt idx="7">
                  <c:v>12</c:v>
                </c:pt>
                <c:pt idx="8">
                  <c:v>17</c:v>
                </c:pt>
                <c:pt idx="9">
                  <c:v>10</c:v>
                </c:pt>
                <c:pt idx="10">
                  <c:v>11</c:v>
                </c:pt>
                <c:pt idx="11">
                  <c:v>14</c:v>
                </c:pt>
                <c:pt idx="12">
                  <c:v>7</c:v>
                </c:pt>
                <c:pt idx="13">
                  <c:v>7</c:v>
                </c:pt>
                <c:pt idx="14">
                  <c:v>17</c:v>
                </c:pt>
                <c:pt idx="15">
                  <c:v>11</c:v>
                </c:pt>
                <c:pt idx="16">
                  <c:v>13</c:v>
                </c:pt>
              </c:numCache>
            </c:numRef>
          </c:val>
          <c:extLst>
            <c:ext xmlns:c16="http://schemas.microsoft.com/office/drawing/2014/chart" uri="{C3380CC4-5D6E-409C-BE32-E72D297353CC}">
              <c16:uniqueId val="{00000000-38A9-402D-897F-3BFA157E5173}"/>
            </c:ext>
          </c:extLst>
        </c:ser>
        <c:ser>
          <c:idx val="1"/>
          <c:order val="1"/>
          <c:tx>
            <c:strRef>
              <c:f>'peads-5-14'!$C$5</c:f>
              <c:strCache>
                <c:ptCount val="1"/>
                <c:pt idx="0">
                  <c:v> LAM_tests</c:v>
                </c:pt>
              </c:strCache>
            </c:strRef>
          </c:tx>
          <c:spPr>
            <a:solidFill>
              <a:srgbClr val="FEBAF6">
                <a:alpha val="92157"/>
              </a:srgbClr>
            </a:solidFill>
            <a:ln>
              <a:noFill/>
            </a:ln>
            <a:effectLst>
              <a:outerShdw blurRad="57150" dist="19050" dir="5400000" algn="ctr" rotWithShape="0">
                <a:srgbClr val="000000">
                  <a:alpha val="63000"/>
                </a:srgbClr>
              </a:outerShdw>
            </a:effectLst>
          </c:spPr>
          <c:invertIfNegative val="0"/>
          <c:dLbls>
            <c:spPr>
              <a:solidFill>
                <a:srgbClr val="D9A0E4"/>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'peads-5-14'!$A$6:$A$42</c:f>
              <c:multiLvlStrCache>
                <c:ptCount val="17"/>
                <c:lvl>
                  <c:pt idx="0">
                    <c:v>19</c:v>
                  </c:pt>
                  <c:pt idx="1">
                    <c:v>19</c:v>
                  </c:pt>
                  <c:pt idx="2">
                    <c:v>8</c:v>
                  </c:pt>
                  <c:pt idx="3">
                    <c:v>14</c:v>
                  </c:pt>
                  <c:pt idx="4">
                    <c:v>16</c:v>
                  </c:pt>
                  <c:pt idx="5">
                    <c:v>23</c:v>
                  </c:pt>
                  <c:pt idx="6">
                    <c:v>23</c:v>
                  </c:pt>
                  <c:pt idx="7">
                    <c:v>12</c:v>
                  </c:pt>
                  <c:pt idx="8">
                    <c:v>17</c:v>
                  </c:pt>
                  <c:pt idx="9">
                    <c:v>10</c:v>
                  </c:pt>
                  <c:pt idx="10">
                    <c:v>11</c:v>
                  </c:pt>
                  <c:pt idx="11">
                    <c:v>14</c:v>
                  </c:pt>
                  <c:pt idx="12">
                    <c:v>7</c:v>
                  </c:pt>
                  <c:pt idx="13">
                    <c:v>7</c:v>
                  </c:pt>
                  <c:pt idx="14">
                    <c:v>18</c:v>
                  </c:pt>
                  <c:pt idx="15">
                    <c:v>11</c:v>
                  </c:pt>
                  <c:pt idx="16">
                    <c:v>13</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2024</c:v>
                  </c:pt>
                  <c:pt idx="12">
                    <c:v>2025</c:v>
                  </c:pt>
                </c:lvl>
              </c:multiLvlStrCache>
            </c:multiLvlStrRef>
          </c:cat>
          <c:val>
            <c:numRef>
              <c:f>'peads-5-14'!$C$6:$C$42</c:f>
              <c:numCache>
                <c:formatCode>General</c:formatCode>
                <c:ptCount val="17"/>
                <c:pt idx="0">
                  <c:v>2</c:v>
                </c:pt>
                <c:pt idx="1">
                  <c:v>2</c:v>
                </c:pt>
                <c:pt idx="2">
                  <c:v>2</c:v>
                </c:pt>
                <c:pt idx="3">
                  <c:v>0</c:v>
                </c:pt>
                <c:pt idx="4">
                  <c:v>1</c:v>
                </c:pt>
                <c:pt idx="5">
                  <c:v>0</c:v>
                </c:pt>
                <c:pt idx="6">
                  <c:v>0</c:v>
                </c:pt>
                <c:pt idx="7">
                  <c:v>0</c:v>
                </c:pt>
                <c:pt idx="8">
                  <c:v>4</c:v>
                </c:pt>
                <c:pt idx="9">
                  <c:v>2</c:v>
                </c:pt>
                <c:pt idx="10">
                  <c:v>2</c:v>
                </c:pt>
                <c:pt idx="11">
                  <c:v>2</c:v>
                </c:pt>
                <c:pt idx="12">
                  <c:v>2</c:v>
                </c:pt>
                <c:pt idx="13">
                  <c:v>2</c:v>
                </c:pt>
                <c:pt idx="14">
                  <c:v>3</c:v>
                </c:pt>
                <c:pt idx="15">
                  <c:v>1</c:v>
                </c:pt>
                <c:pt idx="16">
                  <c:v>2</c:v>
                </c:pt>
              </c:numCache>
            </c:numRef>
          </c:val>
          <c:extLst>
            <c:ext xmlns:c16="http://schemas.microsoft.com/office/drawing/2014/chart" uri="{C3380CC4-5D6E-409C-BE32-E72D297353CC}">
              <c16:uniqueId val="{00000001-38A9-402D-897F-3BFA157E5173}"/>
            </c:ext>
          </c:extLst>
        </c:ser>
        <c:ser>
          <c:idx val="2"/>
          <c:order val="2"/>
          <c:tx>
            <c:strRef>
              <c:f>'peads-5-14'!$D$5</c:f>
              <c:strCache>
                <c:ptCount val="1"/>
                <c:pt idx="0">
                  <c:v>CrAg-tests</c:v>
                </c:pt>
              </c:strCache>
            </c:strRef>
          </c:tx>
          <c:spPr>
            <a:solidFill>
              <a:srgbClr val="B06A74">
                <a:alpha val="87451"/>
              </a:srgbClr>
            </a:solidFill>
            <a:ln>
              <a:noFill/>
            </a:ln>
            <a:effectLst>
              <a:outerShdw blurRad="57150" dist="19050" dir="5400000" algn="ctr" rotWithShape="0">
                <a:srgbClr val="000000">
                  <a:alpha val="63000"/>
                </a:srgbClr>
              </a:outerShdw>
            </a:effectLst>
          </c:spPr>
          <c:invertIfNegative val="0"/>
          <c:dLbls>
            <c:spPr>
              <a:solidFill>
                <a:schemeClr val="accent2">
                  <a:lumMod val="40000"/>
                  <a:lumOff val="6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'peads-5-14'!$A$6:$A$42</c:f>
              <c:multiLvlStrCache>
                <c:ptCount val="17"/>
                <c:lvl>
                  <c:pt idx="0">
                    <c:v>19</c:v>
                  </c:pt>
                  <c:pt idx="1">
                    <c:v>19</c:v>
                  </c:pt>
                  <c:pt idx="2">
                    <c:v>8</c:v>
                  </c:pt>
                  <c:pt idx="3">
                    <c:v>14</c:v>
                  </c:pt>
                  <c:pt idx="4">
                    <c:v>16</c:v>
                  </c:pt>
                  <c:pt idx="5">
                    <c:v>23</c:v>
                  </c:pt>
                  <c:pt idx="6">
                    <c:v>23</c:v>
                  </c:pt>
                  <c:pt idx="7">
                    <c:v>12</c:v>
                  </c:pt>
                  <c:pt idx="8">
                    <c:v>17</c:v>
                  </c:pt>
                  <c:pt idx="9">
                    <c:v>10</c:v>
                  </c:pt>
                  <c:pt idx="10">
                    <c:v>11</c:v>
                  </c:pt>
                  <c:pt idx="11">
                    <c:v>14</c:v>
                  </c:pt>
                  <c:pt idx="12">
                    <c:v>7</c:v>
                  </c:pt>
                  <c:pt idx="13">
                    <c:v>7</c:v>
                  </c:pt>
                  <c:pt idx="14">
                    <c:v>18</c:v>
                  </c:pt>
                  <c:pt idx="15">
                    <c:v>11</c:v>
                  </c:pt>
                  <c:pt idx="16">
                    <c:v>13</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2024</c:v>
                  </c:pt>
                  <c:pt idx="12">
                    <c:v>2025</c:v>
                  </c:pt>
                </c:lvl>
              </c:multiLvlStrCache>
            </c:multiLvlStrRef>
          </c:cat>
          <c:val>
            <c:numRef>
              <c:f>'peads-5-14'!$D$6:$D$42</c:f>
              <c:numCache>
                <c:formatCode>General</c:formatCode>
                <c:ptCount val="17"/>
                <c:pt idx="0">
                  <c:v>2</c:v>
                </c:pt>
                <c:pt idx="1">
                  <c:v>0</c:v>
                </c:pt>
                <c:pt idx="2">
                  <c:v>0</c:v>
                </c:pt>
                <c:pt idx="3">
                  <c:v>0</c:v>
                </c:pt>
                <c:pt idx="4">
                  <c:v>4</c:v>
                </c:pt>
                <c:pt idx="5">
                  <c:v>3</c:v>
                </c:pt>
                <c:pt idx="6">
                  <c:v>7</c:v>
                </c:pt>
                <c:pt idx="7">
                  <c:v>0</c:v>
                </c:pt>
                <c:pt idx="8">
                  <c:v>4</c:v>
                </c:pt>
                <c:pt idx="9">
                  <c:v>2</c:v>
                </c:pt>
                <c:pt idx="10">
                  <c:v>2</c:v>
                </c:pt>
                <c:pt idx="11">
                  <c:v>2</c:v>
                </c:pt>
                <c:pt idx="12">
                  <c:v>2</c:v>
                </c:pt>
                <c:pt idx="13">
                  <c:v>2</c:v>
                </c:pt>
                <c:pt idx="14">
                  <c:v>18</c:v>
                </c:pt>
                <c:pt idx="15">
                  <c:v>1</c:v>
                </c:pt>
                <c:pt idx="16">
                  <c:v>2</c:v>
                </c:pt>
              </c:numCache>
            </c:numRef>
          </c:val>
          <c:extLst>
            <c:ext xmlns:c16="http://schemas.microsoft.com/office/drawing/2014/chart" uri="{C3380CC4-5D6E-409C-BE32-E72D297353CC}">
              <c16:uniqueId val="{00000002-38A9-402D-897F-3BFA157E5173}"/>
            </c:ext>
          </c:extLst>
        </c:ser>
        <c:dLbls>
          <c:showLegendKey val="0"/>
          <c:showVal val="0"/>
          <c:showCatName val="0"/>
          <c:showSerName val="0"/>
          <c:showPercent val="0"/>
          <c:showBubbleSize val="0"/>
        </c:dLbls>
        <c:gapWidth val="100"/>
        <c:overlap val="44"/>
        <c:axId val="939995816"/>
        <c:axId val="939997976"/>
      </c:barChart>
      <c:lineChart>
        <c:grouping val="standard"/>
        <c:varyColors val="0"/>
        <c:ser>
          <c:idx val="3"/>
          <c:order val="3"/>
          <c:tx>
            <c:strRef>
              <c:f>'peads-5-14'!$E$5</c:f>
              <c:strCache>
                <c:ptCount val="1"/>
                <c:pt idx="0">
                  <c:v> AHD_screening_cov%</c:v>
                </c:pt>
              </c:strCache>
            </c:strRef>
          </c:tx>
          <c:spPr>
            <a:ln w="15875" cap="rnd">
              <a:solidFill>
                <a:srgbClr val="62406C"/>
              </a:solidFill>
              <a:round/>
            </a:ln>
            <a:effectLst>
              <a:outerShdw blurRad="57150" dist="19050" dir="5400000" algn="ctr" rotWithShape="0">
                <a:srgbClr val="000000">
                  <a:alpha val="63000"/>
                </a:srgbClr>
              </a:outerShdw>
            </a:effectLst>
          </c:spPr>
          <c:marker>
            <c:symbol val="circle"/>
            <c:size val="6"/>
            <c:spPr>
              <a:solidFill>
                <a:srgbClr val="62406C"/>
              </a:solidFill>
              <a:ln w="9525">
                <a:noFill/>
                <a:round/>
              </a:ln>
              <a:effectLst>
                <a:outerShdw blurRad="57150" dist="19050" dir="5400000" algn="ctr" rotWithShape="0">
                  <a:srgbClr val="000000">
                    <a:alpha val="63000"/>
                  </a:srgbClr>
                </a:outerShdw>
              </a:effectLst>
            </c:spPr>
          </c:marker>
          <c:dPt>
            <c:idx val="1"/>
            <c:marker>
              <c:symbol val="circle"/>
              <c:size val="6"/>
              <c:spPr>
                <a:solidFill>
                  <a:srgbClr val="62406C"/>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4-471A-400D-8B35-D1AFF450C385}"/>
              </c:ext>
            </c:extLst>
          </c:dPt>
          <c:dPt>
            <c:idx val="7"/>
            <c:marker>
              <c:symbol val="circle"/>
              <c:size val="6"/>
              <c:spPr>
                <a:solidFill>
                  <a:srgbClr val="62406C"/>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3-471A-400D-8B35-D1AFF450C385}"/>
              </c:ext>
            </c:extLst>
          </c:dPt>
          <c:dPt>
            <c:idx val="9"/>
            <c:marker>
              <c:symbol val="circle"/>
              <c:size val="6"/>
              <c:spPr>
                <a:solidFill>
                  <a:srgbClr val="62406C"/>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2-471A-400D-8B35-D1AFF450C385}"/>
              </c:ext>
            </c:extLst>
          </c:dPt>
          <c:dPt>
            <c:idx val="11"/>
            <c:marker>
              <c:symbol val="circle"/>
              <c:size val="6"/>
              <c:spPr>
                <a:solidFill>
                  <a:srgbClr val="62406C"/>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1-471A-400D-8B35-D1AFF450C385}"/>
              </c:ext>
            </c:extLst>
          </c:dPt>
          <c:dPt>
            <c:idx val="13"/>
            <c:marker>
              <c:symbol val="circle"/>
              <c:size val="6"/>
              <c:spPr>
                <a:solidFill>
                  <a:srgbClr val="62406C"/>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0-471A-400D-8B35-D1AFF450C385}"/>
              </c:ext>
            </c:extLst>
          </c:dPt>
          <c:dLbls>
            <c:dLbl>
              <c:idx val="1"/>
              <c:delete val="1"/>
              <c:extLst>
                <c:ext xmlns:c15="http://schemas.microsoft.com/office/drawing/2012/chart" uri="{CE6537A1-D6FC-4f65-9D91-7224C49458BB}"/>
                <c:ext xmlns:c16="http://schemas.microsoft.com/office/drawing/2014/chart" uri="{C3380CC4-5D6E-409C-BE32-E72D297353CC}">
                  <c16:uniqueId val="{00000004-471A-400D-8B35-D1AFF450C385}"/>
                </c:ext>
              </c:extLst>
            </c:dLbl>
            <c:dLbl>
              <c:idx val="7"/>
              <c:delete val="1"/>
              <c:extLst>
                <c:ext xmlns:c15="http://schemas.microsoft.com/office/drawing/2012/chart" uri="{CE6537A1-D6FC-4f65-9D91-7224C49458BB}"/>
                <c:ext xmlns:c16="http://schemas.microsoft.com/office/drawing/2014/chart" uri="{C3380CC4-5D6E-409C-BE32-E72D297353CC}">
                  <c16:uniqueId val="{00000003-471A-400D-8B35-D1AFF450C385}"/>
                </c:ext>
              </c:extLst>
            </c:dLbl>
            <c:dLbl>
              <c:idx val="9"/>
              <c:delete val="1"/>
              <c:extLst>
                <c:ext xmlns:c15="http://schemas.microsoft.com/office/drawing/2012/chart" uri="{CE6537A1-D6FC-4f65-9D91-7224C49458BB}"/>
                <c:ext xmlns:c16="http://schemas.microsoft.com/office/drawing/2014/chart" uri="{C3380CC4-5D6E-409C-BE32-E72D297353CC}">
                  <c16:uniqueId val="{00000002-471A-400D-8B35-D1AFF450C385}"/>
                </c:ext>
              </c:extLst>
            </c:dLbl>
            <c:dLbl>
              <c:idx val="11"/>
              <c:delete val="1"/>
              <c:extLst>
                <c:ext xmlns:c15="http://schemas.microsoft.com/office/drawing/2012/chart" uri="{CE6537A1-D6FC-4f65-9D91-7224C49458BB}"/>
                <c:ext xmlns:c16="http://schemas.microsoft.com/office/drawing/2014/chart" uri="{C3380CC4-5D6E-409C-BE32-E72D297353CC}">
                  <c16:uniqueId val="{00000001-471A-400D-8B35-D1AFF450C385}"/>
                </c:ext>
              </c:extLst>
            </c:dLbl>
            <c:dLbl>
              <c:idx val="13"/>
              <c:delete val="1"/>
              <c:extLst>
                <c:ext xmlns:c15="http://schemas.microsoft.com/office/drawing/2012/chart" uri="{CE6537A1-D6FC-4f65-9D91-7224C49458BB}"/>
                <c:ext xmlns:c16="http://schemas.microsoft.com/office/drawing/2014/chart" uri="{C3380CC4-5D6E-409C-BE32-E72D297353CC}">
                  <c16:uniqueId val="{00000000-471A-400D-8B35-D1AFF450C38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'peads-5-14'!$A$6:$A$42</c:f>
              <c:multiLvlStrCache>
                <c:ptCount val="17"/>
                <c:lvl>
                  <c:pt idx="0">
                    <c:v>19</c:v>
                  </c:pt>
                  <c:pt idx="1">
                    <c:v>19</c:v>
                  </c:pt>
                  <c:pt idx="2">
                    <c:v>8</c:v>
                  </c:pt>
                  <c:pt idx="3">
                    <c:v>14</c:v>
                  </c:pt>
                  <c:pt idx="4">
                    <c:v>16</c:v>
                  </c:pt>
                  <c:pt idx="5">
                    <c:v>23</c:v>
                  </c:pt>
                  <c:pt idx="6">
                    <c:v>23</c:v>
                  </c:pt>
                  <c:pt idx="7">
                    <c:v>12</c:v>
                  </c:pt>
                  <c:pt idx="8">
                    <c:v>17</c:v>
                  </c:pt>
                  <c:pt idx="9">
                    <c:v>10</c:v>
                  </c:pt>
                  <c:pt idx="10">
                    <c:v>11</c:v>
                  </c:pt>
                  <c:pt idx="11">
                    <c:v>14</c:v>
                  </c:pt>
                  <c:pt idx="12">
                    <c:v>7</c:v>
                  </c:pt>
                  <c:pt idx="13">
                    <c:v>7</c:v>
                  </c:pt>
                  <c:pt idx="14">
                    <c:v>18</c:v>
                  </c:pt>
                  <c:pt idx="15">
                    <c:v>11</c:v>
                  </c:pt>
                  <c:pt idx="16">
                    <c:v>13</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2024</c:v>
                  </c:pt>
                  <c:pt idx="12">
                    <c:v>2025</c:v>
                  </c:pt>
                </c:lvl>
              </c:multiLvlStrCache>
            </c:multiLvlStrRef>
          </c:cat>
          <c:val>
            <c:numRef>
              <c:f>'peads-5-14'!$E$6:$E$42</c:f>
              <c:numCache>
                <c:formatCode>0%</c:formatCode>
                <c:ptCount val="17"/>
                <c:pt idx="0">
                  <c:v>1</c:v>
                </c:pt>
                <c:pt idx="1">
                  <c:v>1</c:v>
                </c:pt>
                <c:pt idx="2">
                  <c:v>1</c:v>
                </c:pt>
                <c:pt idx="3">
                  <c:v>0.9285714285714286</c:v>
                </c:pt>
                <c:pt idx="4">
                  <c:v>0.875</c:v>
                </c:pt>
                <c:pt idx="5">
                  <c:v>1</c:v>
                </c:pt>
                <c:pt idx="6">
                  <c:v>0.86956521739130432</c:v>
                </c:pt>
                <c:pt idx="7">
                  <c:v>1</c:v>
                </c:pt>
                <c:pt idx="8">
                  <c:v>1</c:v>
                </c:pt>
                <c:pt idx="9">
                  <c:v>1</c:v>
                </c:pt>
                <c:pt idx="10">
                  <c:v>1</c:v>
                </c:pt>
                <c:pt idx="11">
                  <c:v>1</c:v>
                </c:pt>
                <c:pt idx="12">
                  <c:v>1</c:v>
                </c:pt>
                <c:pt idx="13">
                  <c:v>1</c:v>
                </c:pt>
                <c:pt idx="14">
                  <c:v>0.94444444444444442</c:v>
                </c:pt>
                <c:pt idx="15">
                  <c:v>1</c:v>
                </c:pt>
                <c:pt idx="16">
                  <c:v>1</c:v>
                </c:pt>
              </c:numCache>
            </c:numRef>
          </c:val>
          <c:smooth val="1"/>
          <c:extLst>
            <c:ext xmlns:c16="http://schemas.microsoft.com/office/drawing/2014/chart" uri="{C3380CC4-5D6E-409C-BE32-E72D297353CC}">
              <c16:uniqueId val="{00000003-38A9-402D-897F-3BFA157E5173}"/>
            </c:ext>
          </c:extLst>
        </c:ser>
        <c:dLbls>
          <c:showLegendKey val="0"/>
          <c:showVal val="0"/>
          <c:showCatName val="0"/>
          <c:showSerName val="0"/>
          <c:showPercent val="0"/>
          <c:showBubbleSize val="0"/>
        </c:dLbls>
        <c:marker val="1"/>
        <c:smooth val="0"/>
        <c:axId val="1224139760"/>
        <c:axId val="1224135080"/>
      </c:lineChart>
      <c:catAx>
        <c:axId val="939995816"/>
        <c:scaling>
          <c:orientation val="minMax"/>
        </c:scaling>
        <c:delete val="0"/>
        <c:axPos val="b"/>
        <c:title>
          <c:tx>
            <c:rich>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r>
                  <a:rPr lang="en-US"/>
                  <a:t>Number of</a:t>
                </a:r>
                <a:r>
                  <a:rPr lang="en-US" baseline="0"/>
                  <a:t> ROC seen</a:t>
                </a:r>
                <a:r>
                  <a:rPr lang="en-US"/>
                  <a:t> per period</a:t>
                </a:r>
              </a:p>
            </c:rich>
          </c:tx>
          <c:layout>
            <c:manualLayout>
              <c:xMode val="edge"/>
              <c:yMode val="edge"/>
              <c:x val="0.38412654668166479"/>
              <c:y val="0.89110940134562178"/>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accent1">
                <a:lumMod val="50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939997976"/>
        <c:crosses val="autoZero"/>
        <c:auto val="1"/>
        <c:lblAlgn val="ctr"/>
        <c:lblOffset val="100"/>
        <c:noMultiLvlLbl val="0"/>
      </c:catAx>
      <c:valAx>
        <c:axId val="939997976"/>
        <c:scaling>
          <c:orientation val="minMax"/>
        </c:scaling>
        <c:delete val="0"/>
        <c:axPos val="l"/>
        <c:title>
          <c:tx>
            <c:rich>
              <a:bodyPr rot="-54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r>
                  <a:rPr lang="en-US"/>
                  <a:t>Number of ROC with 5-14</a:t>
                </a:r>
                <a:r>
                  <a:rPr lang="en-US" baseline="0"/>
                  <a:t> yrs</a:t>
                </a:r>
                <a:r>
                  <a:rPr lang="en-US"/>
                  <a:t> screened</a:t>
                </a:r>
              </a:p>
            </c:rich>
          </c:tx>
          <c:layout>
            <c:manualLayout>
              <c:xMode val="edge"/>
              <c:yMode val="edge"/>
              <c:x val="1.3906166356122017E-2"/>
              <c:y val="0.34258869407059062"/>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solidFill>
              <a:schemeClr val="accent1">
                <a:lumMod val="50000"/>
              </a:schemeClr>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939995816"/>
        <c:crosses val="autoZero"/>
        <c:crossBetween val="between"/>
      </c:valAx>
      <c:valAx>
        <c:axId val="1224135080"/>
        <c:scaling>
          <c:orientation val="minMax"/>
          <c:max val="1.3"/>
          <c:min val="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24139760"/>
        <c:crosses val="max"/>
        <c:crossBetween val="between"/>
      </c:valAx>
      <c:catAx>
        <c:axId val="1224139760"/>
        <c:scaling>
          <c:orientation val="minMax"/>
        </c:scaling>
        <c:delete val="1"/>
        <c:axPos val="b"/>
        <c:numFmt formatCode="General" sourceLinked="1"/>
        <c:majorTickMark val="out"/>
        <c:minorTickMark val="none"/>
        <c:tickLblPos val="nextTo"/>
        <c:crossAx val="1224135080"/>
        <c:crosses val="autoZero"/>
        <c:auto val="1"/>
        <c:lblAlgn val="ctr"/>
        <c:lblOffset val="100"/>
        <c:noMultiLvlLbl val="0"/>
      </c:catAx>
      <c:spPr>
        <a:noFill/>
        <a:ln>
          <a:noFill/>
        </a:ln>
        <a:effectLst/>
      </c:spPr>
    </c:plotArea>
    <c:legend>
      <c:legendPos val="r"/>
      <c:layout>
        <c:manualLayout>
          <c:xMode val="edge"/>
          <c:yMode val="edge"/>
          <c:x val="2.8042903864377261E-3"/>
          <c:y val="0.94148623986414126"/>
          <c:w val="0.9971957096135623"/>
          <c:h val="5.8231684303328674E-2"/>
        </c:manualLayout>
      </c:layout>
      <c:overlay val="0"/>
      <c:spPr>
        <a:noFill/>
        <a:ln w="6350">
          <a:solidFill>
            <a:schemeClr val="accent5">
              <a:lumMod val="40000"/>
              <a:lumOff val="60000"/>
            </a:schemeClr>
          </a:solid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lumMod val="60000"/>
          <a:lumOff val="40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[AHD_Reporting_Form.xlsx]peads-5-14!PivotTable2</c:name>
    <c:fmtId val="97"/>
  </c:pivotSource>
  <c:chart>
    <c:title>
      <c:tx>
        <c:rich>
          <a:bodyPr rot="0" spcFirstLastPara="1" vertOverflow="ellipsis" vert="horz" wrap="square" anchor="ctr" anchorCtr="1"/>
          <a:lstStyle/>
          <a:p>
            <a:pPr>
              <a:defRPr sz="1400" b="1" i="0" u="sng" strike="noStrike" kern="1200" baseline="0">
                <a:solidFill>
                  <a:sysClr val="windowText" lastClr="000000"/>
                </a:solidFill>
                <a:latin typeface="+mn-lt"/>
                <a:ea typeface="+mn-ea"/>
                <a:cs typeface="+mn-cs"/>
              </a:defRPr>
            </a:pPr>
            <a:r>
              <a:rPr lang="en-GB" sz="1400" u="sng"/>
              <a:t>AHD Yield among </a:t>
            </a:r>
            <a:r>
              <a:rPr lang="en-GB" sz="1400" b="1" i="0" u="sng" strike="noStrike" kern="1200" baseline="0">
                <a:solidFill>
                  <a:sysClr val="windowText" lastClr="000000"/>
                </a:solidFill>
              </a:rPr>
              <a:t>among children 5-14 years</a:t>
            </a:r>
            <a:endParaRPr lang="en-GB" sz="1400" u="sng"/>
          </a:p>
        </c:rich>
      </c:tx>
      <c:layout>
        <c:manualLayout>
          <c:xMode val="edge"/>
          <c:yMode val="edge"/>
          <c:x val="0.36246693152324916"/>
          <c:y val="2.0595874738321286E-2"/>
        </c:manualLayout>
      </c:layout>
      <c:overlay val="0"/>
      <c:spPr>
        <a:noFill/>
        <a:ln>
          <a:noFill/>
        </a:ln>
        <a:effectLst/>
      </c:spPr>
      <c:txPr>
        <a:bodyPr rot="0" spcFirstLastPara="1" vertOverflow="ellipsis" vert="horz" wrap="square" anchor="ctr" anchorCtr="1"/>
        <a:lstStyle/>
        <a:p>
          <a:pPr>
            <a:defRPr sz="1400" b="1" i="0" u="sng" strike="noStrike" kern="1200" baseline="0">
              <a:solidFill>
                <a:sysClr val="windowText" lastClr="000000"/>
              </a:solidFill>
              <a:latin typeface="+mn-lt"/>
              <a:ea typeface="+mn-ea"/>
              <a:cs typeface="+mn-cs"/>
            </a:defRPr>
          </a:pPr>
          <a:endParaRPr lang="en-GB"/>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2"/>
            </a:solidFill>
            <a:round/>
          </a:ln>
          <a:effectLst>
            <a:outerShdw blurRad="57150" dist="19050" dir="5400000" algn="ctr" rotWithShape="0">
              <a:srgbClr val="000000">
                <a:alpha val="63000"/>
              </a:srgbClr>
            </a:outerShdw>
          </a:effectLst>
        </c:spPr>
        <c:marker>
          <c:symbol val="circle"/>
          <c:size val="4"/>
          <c:spPr>
            <a:solidFill>
              <a:schemeClr val="accent2"/>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5"/>
            </a:solidFill>
            <a:round/>
          </a:ln>
          <a:effectLst>
            <a:outerShdw blurRad="57150" dist="19050" dir="5400000" algn="ctr" rotWithShape="0">
              <a:srgbClr val="000000">
                <a:alpha val="63000"/>
              </a:srgbClr>
            </a:outerShdw>
          </a:effectLst>
        </c:spPr>
        <c:marker>
          <c:symbol val="circle"/>
          <c:size val="4"/>
          <c:spPr>
            <a:solidFill>
              <a:schemeClr val="accent5"/>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dLbl>
          <c:idx val="0"/>
          <c:layout>
            <c:manualLayout>
              <c:x val="-3.6779396559352875E-2"/>
              <c:y val="3.23599931903843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F9B20"/>
            </a:solidFill>
            <a:round/>
          </a:ln>
          <a:effectLst>
            <a:outerShdw blurRad="57150" dist="19050" dir="5400000" algn="ctr" rotWithShape="0">
              <a:srgbClr val="000000">
                <a:alpha val="63000"/>
              </a:srgbClr>
            </a:outerShdw>
          </a:effectLst>
        </c:spPr>
        <c:marker>
          <c:symbol val="circle"/>
          <c:size val="4"/>
          <c:spPr>
            <a:solidFill>
              <a:srgbClr val="EF9B20"/>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dLbl>
          <c:idx val="0"/>
          <c:layout>
            <c:manualLayout>
              <c:x val="-3.6779396559352875E-2"/>
              <c:y val="3.2359993190384365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1A53FF"/>
            </a:solidFill>
            <a:round/>
          </a:ln>
          <a:effectLst>
            <a:outerShdw blurRad="57150" dist="19050" dir="5400000" algn="ctr" rotWithShape="0">
              <a:srgbClr val="000000">
                <a:alpha val="63000"/>
              </a:srgbClr>
            </a:outerShdw>
          </a:effectLst>
        </c:spPr>
        <c:marker>
          <c:symbol val="circle"/>
          <c:size val="4"/>
          <c:spPr>
            <a:solidFill>
              <a:srgbClr val="1A53FF"/>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449BCC"/>
            </a:solidFill>
            <a:round/>
          </a:ln>
          <a:effectLst>
            <a:outerShdw blurRad="57150" dist="19050" dir="5400000" algn="ctr" rotWithShape="0">
              <a:srgbClr val="000000">
                <a:alpha val="63000"/>
              </a:srgbClr>
            </a:outerShdw>
          </a:effectLst>
        </c:spPr>
        <c:marker>
          <c:symbol val="circle"/>
          <c:size val="4"/>
          <c:spPr>
            <a:solidFill>
              <a:srgbClr val="449BCC"/>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AF1FC7"/>
            </a:solidFill>
            <a:round/>
          </a:ln>
          <a:effectLst>
            <a:outerShdw blurRad="57150" dist="19050" dir="5400000" algn="ctr" rotWithShape="0">
              <a:srgbClr val="000000">
                <a:alpha val="63000"/>
              </a:srgbClr>
            </a:outerShdw>
          </a:effectLst>
        </c:spPr>
        <c:marker>
          <c:symbol val="circle"/>
          <c:size val="4"/>
          <c:spPr>
            <a:solidFill>
              <a:srgbClr val="AF1FC7"/>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AF1FC7"/>
            </a:solidFill>
            <a:round/>
          </a:ln>
          <a:effectLst>
            <a:outerShdw blurRad="57150" dist="19050" dir="5400000" algn="ctr" rotWithShape="0">
              <a:srgbClr val="000000">
                <a:alpha val="63000"/>
              </a:srgbClr>
            </a:outerShdw>
          </a:effectLst>
        </c:spPr>
        <c:marker>
          <c:symbol val="circle"/>
          <c:size val="4"/>
          <c:spPr>
            <a:solidFill>
              <a:srgbClr val="AF1FC7"/>
            </a:solidFill>
            <a:ln w="9525">
              <a:noFill/>
              <a:round/>
            </a:ln>
            <a:effectLst>
              <a:outerShdw blurRad="57150" dist="19050" dir="5400000" algn="ctr" rotWithShape="0">
                <a:srgbClr val="000000">
                  <a:alpha val="63000"/>
                </a:srgbClr>
              </a:outerShdw>
            </a:effectLst>
          </c:spPr>
        </c:marker>
        <c:dLbl>
          <c:idx val="0"/>
          <c:layout>
            <c:manualLayout>
              <c:x val="-3.6779396559352875E-2"/>
              <c:y val="3.2359993190384365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6CAEA5"/>
            </a:solidFill>
            <a:round/>
          </a:ln>
          <a:effectLst>
            <a:outerShdw blurRad="57150" dist="19050" dir="5400000" algn="ctr" rotWithShape="0">
              <a:srgbClr val="000000">
                <a:alpha val="63000"/>
              </a:srgbClr>
            </a:outerShdw>
          </a:effectLst>
        </c:spPr>
        <c:marker>
          <c:symbol val="circle"/>
          <c:size val="4"/>
          <c:spPr>
            <a:solidFill>
              <a:srgbClr val="6CAEA5"/>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dLbl>
          <c:idx val="0"/>
          <c:layout>
            <c:manualLayout>
              <c:x val="-3.6779396559352875E-2"/>
              <c:y val="3.2359993190384365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6CAEA5"/>
            </a:solidFill>
            <a:round/>
          </a:ln>
          <a:effectLst>
            <a:outerShdw blurRad="57150" dist="19050" dir="5400000" algn="ctr" rotWithShape="0">
              <a:srgbClr val="000000">
                <a:alpha val="63000"/>
              </a:srgbClr>
            </a:outerShdw>
          </a:effectLst>
        </c:spPr>
        <c:marker>
          <c:symbol val="circle"/>
          <c:size val="4"/>
          <c:spPr>
            <a:solidFill>
              <a:srgbClr val="6CAEA5"/>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dLbl>
          <c:idx val="0"/>
          <c:layout>
            <c:manualLayout>
              <c:x val="-2.579297218581135E-2"/>
              <c:y val="2.8589607233004296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869A7"/>
            </a:solidFill>
            <a:round/>
          </a:ln>
          <a:effectLst>
            <a:outerShdw blurRad="57150" dist="19050" dir="5400000" algn="ctr" rotWithShape="0">
              <a:srgbClr val="000000">
                <a:alpha val="63000"/>
              </a:srgbClr>
            </a:outerShdw>
          </a:effectLst>
        </c:spPr>
        <c:marker>
          <c:symbol val="circle"/>
          <c:size val="4"/>
          <c:spPr>
            <a:solidFill>
              <a:srgbClr val="9869A7"/>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869A7"/>
            </a:solidFill>
            <a:round/>
          </a:ln>
          <a:effectLst>
            <a:outerShdw blurRad="57150" dist="19050" dir="5400000" algn="ctr" rotWithShape="0">
              <a:srgbClr val="000000">
                <a:alpha val="63000"/>
              </a:srgbClr>
            </a:outerShdw>
          </a:effectLst>
        </c:spPr>
        <c:marker>
          <c:symbol val="circle"/>
          <c:size val="4"/>
          <c:spPr>
            <a:solidFill>
              <a:srgbClr val="9869A7"/>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FEBAF6"/>
            </a:solidFill>
            <a:round/>
          </a:ln>
          <a:effectLst>
            <a:outerShdw blurRad="57150" dist="19050" dir="5400000" algn="ctr" rotWithShape="0">
              <a:srgbClr val="000000">
                <a:alpha val="63000"/>
              </a:srgbClr>
            </a:outerShdw>
          </a:effectLst>
        </c:spPr>
        <c:marker>
          <c:symbol val="circle"/>
          <c:size val="4"/>
          <c:spPr>
            <a:solidFill>
              <a:srgbClr val="FEBAF6"/>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FEBAF6"/>
            </a:solidFill>
            <a:round/>
          </a:ln>
          <a:effectLst>
            <a:outerShdw blurRad="57150" dist="19050" dir="5400000" algn="ctr" rotWithShape="0">
              <a:srgbClr val="000000">
                <a:alpha val="63000"/>
              </a:srgbClr>
            </a:outerShdw>
          </a:effectLst>
        </c:spPr>
        <c:marker>
          <c:symbol val="circle"/>
          <c:size val="4"/>
        </c:marker>
        <c:dLbl>
          <c:idx val="0"/>
          <c:layout>
            <c:manualLayout>
              <c:x val="-1.9493656551666315E-2"/>
              <c:y val="-2.6577976727758263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660066"/>
            </a:solidFill>
            <a:round/>
          </a:ln>
          <a:effectLst>
            <a:outerShdw blurRad="57150" dist="19050" dir="5400000" algn="ctr" rotWithShape="0">
              <a:srgbClr val="000000">
                <a:alpha val="63000"/>
              </a:srgbClr>
            </a:outerShdw>
          </a:effectLst>
        </c:spPr>
        <c:marker>
          <c:symbol val="circle"/>
          <c:size val="4"/>
          <c:spPr>
            <a:solidFill>
              <a:srgbClr val="800271"/>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869A7"/>
            </a:solidFill>
            <a:round/>
          </a:ln>
          <a:effectLst>
            <a:outerShdw blurRad="57150" dist="19050" dir="5400000" algn="ctr" rotWithShape="0">
              <a:srgbClr val="000000">
                <a:alpha val="63000"/>
              </a:srgbClr>
            </a:outerShdw>
          </a:effectLst>
        </c:spPr>
        <c:marker>
          <c:symbol val="circle"/>
          <c:size val="4"/>
          <c:spPr>
            <a:solidFill>
              <a:srgbClr val="9869A7"/>
            </a:solidFill>
            <a:ln w="9525">
              <a:noFill/>
              <a:round/>
            </a:ln>
            <a:effectLst>
              <a:outerShdw blurRad="57150" dist="19050" dir="5400000" algn="ctr" rotWithShape="0">
                <a:srgbClr val="000000">
                  <a:alpha val="63000"/>
                </a:srgbClr>
              </a:outerShdw>
            </a:effectLst>
          </c:spPr>
        </c:marke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FEBAF6"/>
            </a:solidFill>
            <a:round/>
          </a:ln>
          <a:effectLst>
            <a:outerShdw blurRad="57150" dist="19050" dir="5400000" algn="ctr" rotWithShape="0">
              <a:srgbClr val="000000">
                <a:alpha val="63000"/>
              </a:srgbClr>
            </a:outerShdw>
          </a:effectLst>
        </c:spPr>
        <c:marker>
          <c:symbol val="circle"/>
          <c:size val="4"/>
        </c:marke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660066"/>
            </a:solidFill>
            <a:round/>
          </a:ln>
          <a:effectLst>
            <a:outerShdw blurRad="57150" dist="19050" dir="5400000" algn="ctr" rotWithShape="0">
              <a:srgbClr val="000000">
                <a:alpha val="63000"/>
              </a:srgbClr>
            </a:outerShdw>
          </a:effectLst>
        </c:spPr>
        <c:marker>
          <c:symbol val="circle"/>
          <c:size val="4"/>
        </c:marker>
        <c:dLbl>
          <c:idx val="0"/>
          <c:layout>
            <c:manualLayout>
              <c:x val="-7.1337674134639747E-2"/>
              <c:y val="-3.8652615552965335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869A7"/>
            </a:solidFill>
            <a:round/>
          </a:ln>
          <a:effectLst>
            <a:outerShdw blurRad="57150" dist="19050" dir="5400000" algn="ctr" rotWithShape="0">
              <a:srgbClr val="000000">
                <a:alpha val="63000"/>
              </a:srgbClr>
            </a:outerShdw>
          </a:effectLst>
        </c:spPr>
        <c:marker>
          <c:symbol val="circle"/>
          <c:size val="4"/>
          <c:spPr>
            <a:solidFill>
              <a:srgbClr val="9869A7"/>
            </a:solidFill>
            <a:ln w="9525">
              <a:noFill/>
              <a:round/>
            </a:ln>
            <a:effectLst>
              <a:outerShdw blurRad="57150" dist="19050" dir="5400000" algn="ctr" rotWithShape="0">
                <a:srgbClr val="000000">
                  <a:alpha val="63000"/>
                </a:srgbClr>
              </a:outerShdw>
            </a:effectLst>
          </c:spPr>
        </c:marke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FEBAF6"/>
            </a:solidFill>
            <a:round/>
          </a:ln>
          <a:effectLst>
            <a:outerShdw blurRad="57150" dist="19050" dir="5400000" algn="ctr" rotWithShape="0">
              <a:srgbClr val="000000">
                <a:alpha val="63000"/>
              </a:srgbClr>
            </a:outerShdw>
          </a:effectLst>
        </c:spPr>
        <c:marker>
          <c:symbol val="circle"/>
          <c:size val="4"/>
        </c:marke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869A7"/>
            </a:solidFill>
            <a:round/>
          </a:ln>
          <a:effectLst>
            <a:outerShdw blurRad="57150" dist="19050" dir="5400000" algn="ctr" rotWithShape="0">
              <a:srgbClr val="000000">
                <a:alpha val="63000"/>
              </a:srgbClr>
            </a:outerShdw>
          </a:effectLst>
        </c:spPr>
        <c:marker>
          <c:symbol val="circle"/>
          <c:size val="4"/>
          <c:spPr>
            <a:solidFill>
              <a:srgbClr val="9869A7"/>
            </a:solidFill>
            <a:ln w="9525">
              <a:noFill/>
              <a:round/>
            </a:ln>
            <a:effectLst>
              <a:outerShdw blurRad="57150" dist="19050" dir="5400000" algn="ctr" rotWithShape="0">
                <a:srgbClr val="000000">
                  <a:alpha val="63000"/>
                </a:srgbClr>
              </a:outerShdw>
            </a:effectLst>
          </c:spPr>
        </c:marke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FEBAF6"/>
            </a:solidFill>
            <a:round/>
          </a:ln>
          <a:effectLst>
            <a:outerShdw blurRad="57150" dist="19050" dir="5400000" algn="ctr" rotWithShape="0">
              <a:srgbClr val="000000">
                <a:alpha val="63000"/>
              </a:srgbClr>
            </a:outerShdw>
          </a:effectLst>
        </c:spPr>
        <c:marker>
          <c:symbol val="circle"/>
          <c:size val="4"/>
        </c:marke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869A7"/>
            </a:solidFill>
            <a:round/>
          </a:ln>
          <a:effectLst>
            <a:outerShdw blurRad="57150" dist="19050" dir="5400000" algn="ctr" rotWithShape="0">
              <a:srgbClr val="000000">
                <a:alpha val="63000"/>
              </a:srgbClr>
            </a:outerShdw>
          </a:effectLst>
        </c:spPr>
        <c:marker>
          <c:symbol val="circle"/>
          <c:size val="4"/>
          <c:spPr>
            <a:solidFill>
              <a:srgbClr val="9869A7"/>
            </a:solidFill>
            <a:ln w="9525">
              <a:noFill/>
              <a:round/>
            </a:ln>
            <a:effectLst>
              <a:outerShdw blurRad="57150" dist="19050" dir="5400000" algn="ctr" rotWithShape="0">
                <a:srgbClr val="000000">
                  <a:alpha val="63000"/>
                </a:srgbClr>
              </a:outerShdw>
            </a:effectLst>
          </c:spPr>
        </c:marke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869A7"/>
            </a:solidFill>
            <a:round/>
          </a:ln>
          <a:effectLst>
            <a:outerShdw blurRad="57150" dist="19050" dir="5400000" algn="ctr" rotWithShape="0">
              <a:srgbClr val="000000">
                <a:alpha val="63000"/>
              </a:srgbClr>
            </a:outerShdw>
          </a:effectLst>
        </c:spPr>
        <c:marker>
          <c:symbol val="circle"/>
          <c:size val="4"/>
          <c:spPr>
            <a:solidFill>
              <a:srgbClr val="9869A7"/>
            </a:solidFill>
            <a:ln w="9525">
              <a:noFill/>
              <a:round/>
            </a:ln>
            <a:effectLst>
              <a:outerShdw blurRad="57150" dist="19050" dir="5400000" algn="ctr" rotWithShape="0">
                <a:srgbClr val="000000">
                  <a:alpha val="63000"/>
                </a:srgbClr>
              </a:outerShdw>
            </a:effectLst>
          </c:spPr>
        </c:marke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FEBAF6"/>
            </a:solidFill>
            <a:round/>
          </a:ln>
          <a:effectLst>
            <a:outerShdw blurRad="57150" dist="19050" dir="5400000" algn="ctr" rotWithShape="0">
              <a:srgbClr val="000000">
                <a:alpha val="63000"/>
              </a:srgbClr>
            </a:outerShdw>
          </a:effectLst>
        </c:spPr>
        <c:marker>
          <c:symbol val="circle"/>
          <c:size val="4"/>
        </c:marke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FEBAF6"/>
            </a:solidFill>
            <a:round/>
          </a:ln>
          <a:effectLst>
            <a:outerShdw blurRad="57150" dist="19050" dir="5400000" algn="ctr" rotWithShape="0">
              <a:srgbClr val="000000">
                <a:alpha val="63000"/>
              </a:srgbClr>
            </a:outerShdw>
          </a:effectLst>
        </c:spPr>
        <c:marker>
          <c:symbol val="circle"/>
          <c:size val="4"/>
        </c:marke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869A7"/>
            </a:solidFill>
            <a:round/>
          </a:ln>
          <a:effectLst>
            <a:outerShdw blurRad="57150" dist="19050" dir="5400000" algn="ctr" rotWithShape="0">
              <a:srgbClr val="000000">
                <a:alpha val="63000"/>
              </a:srgbClr>
            </a:outerShdw>
          </a:effectLst>
        </c:spPr>
        <c:marker>
          <c:symbol val="circle"/>
          <c:size val="4"/>
          <c:spPr>
            <a:solidFill>
              <a:srgbClr val="9869A7"/>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869A7"/>
            </a:solidFill>
            <a:round/>
          </a:ln>
          <a:effectLst>
            <a:outerShdw blurRad="57150" dist="19050" dir="5400000" algn="ctr" rotWithShape="0">
              <a:srgbClr val="000000">
                <a:alpha val="63000"/>
              </a:srgbClr>
            </a:outerShdw>
          </a:effectLst>
        </c:spPr>
        <c:marker>
          <c:symbol val="circle"/>
          <c:size val="4"/>
          <c:spPr>
            <a:solidFill>
              <a:srgbClr val="9869A7"/>
            </a:solidFill>
            <a:ln w="9525">
              <a:noFill/>
              <a:round/>
            </a:ln>
            <a:effectLst>
              <a:outerShdw blurRad="57150" dist="19050" dir="5400000" algn="ctr" rotWithShape="0">
                <a:srgbClr val="000000">
                  <a:alpha val="63000"/>
                </a:srgbClr>
              </a:outerShdw>
            </a:effectLst>
          </c:spPr>
        </c:marke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869A7"/>
            </a:solidFill>
            <a:round/>
          </a:ln>
          <a:effectLst>
            <a:outerShdw blurRad="57150" dist="19050" dir="5400000" algn="ctr" rotWithShape="0">
              <a:srgbClr val="000000">
                <a:alpha val="63000"/>
              </a:srgbClr>
            </a:outerShdw>
          </a:effectLst>
        </c:spPr>
        <c:marker>
          <c:symbol val="circle"/>
          <c:size val="4"/>
          <c:spPr>
            <a:solidFill>
              <a:srgbClr val="9869A7"/>
            </a:solidFill>
            <a:ln w="9525">
              <a:noFill/>
              <a:round/>
            </a:ln>
            <a:effectLst>
              <a:outerShdw blurRad="57150" dist="19050" dir="5400000" algn="ctr" rotWithShape="0">
                <a:srgbClr val="000000">
                  <a:alpha val="63000"/>
                </a:srgbClr>
              </a:outerShdw>
            </a:effectLst>
          </c:spPr>
        </c:marke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869A7"/>
            </a:solidFill>
            <a:round/>
          </a:ln>
          <a:effectLst>
            <a:outerShdw blurRad="57150" dist="19050" dir="5400000" algn="ctr" rotWithShape="0">
              <a:srgbClr val="000000">
                <a:alpha val="63000"/>
              </a:srgbClr>
            </a:outerShdw>
          </a:effectLst>
        </c:spPr>
        <c:marker>
          <c:symbol val="circle"/>
          <c:size val="4"/>
          <c:spPr>
            <a:solidFill>
              <a:srgbClr val="9869A7"/>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869A7"/>
            </a:solidFill>
            <a:round/>
          </a:ln>
          <a:effectLst>
            <a:outerShdw blurRad="57150" dist="19050" dir="5400000" algn="ctr" rotWithShape="0">
              <a:srgbClr val="000000">
                <a:alpha val="63000"/>
              </a:srgbClr>
            </a:outerShdw>
          </a:effectLst>
        </c:spPr>
        <c:marker>
          <c:symbol val="circle"/>
          <c:size val="4"/>
          <c:spPr>
            <a:solidFill>
              <a:srgbClr val="9869A7"/>
            </a:solidFill>
            <a:ln w="9525">
              <a:noFill/>
              <a:round/>
            </a:ln>
            <a:effectLst>
              <a:outerShdw blurRad="57150" dist="19050" dir="5400000" algn="ctr" rotWithShape="0">
                <a:srgbClr val="000000">
                  <a:alpha val="63000"/>
                </a:srgbClr>
              </a:outerShdw>
            </a:effectLst>
          </c:spPr>
        </c:marke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869A7"/>
            </a:solidFill>
            <a:round/>
          </a:ln>
          <a:effectLst>
            <a:outerShdw blurRad="57150" dist="19050" dir="5400000" algn="ctr" rotWithShape="0">
              <a:srgbClr val="000000">
                <a:alpha val="63000"/>
              </a:srgbClr>
            </a:outerShdw>
          </a:effectLst>
        </c:spPr>
        <c:marker>
          <c:symbol val="circle"/>
          <c:size val="4"/>
          <c:spPr>
            <a:solidFill>
              <a:srgbClr val="9869A7"/>
            </a:solidFill>
            <a:ln w="9525">
              <a:noFill/>
              <a:round/>
            </a:ln>
            <a:effectLst>
              <a:outerShdw blurRad="57150" dist="19050" dir="5400000" algn="ctr" rotWithShape="0">
                <a:srgbClr val="000000">
                  <a:alpha val="63000"/>
                </a:srgbClr>
              </a:outerShdw>
            </a:effectLst>
          </c:spPr>
        </c:marke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869A7"/>
            </a:solidFill>
            <a:round/>
          </a:ln>
          <a:effectLst>
            <a:outerShdw blurRad="57150" dist="19050" dir="5400000" algn="ctr" rotWithShape="0">
              <a:srgbClr val="000000">
                <a:alpha val="63000"/>
              </a:srgbClr>
            </a:outerShdw>
          </a:effectLst>
        </c:spPr>
        <c:marker>
          <c:symbol val="circle"/>
          <c:size val="4"/>
          <c:spPr>
            <a:solidFill>
              <a:srgbClr val="9869A7"/>
            </a:solidFill>
            <a:ln w="9525">
              <a:noFill/>
              <a:round/>
            </a:ln>
            <a:effectLst>
              <a:outerShdw blurRad="57150" dist="19050" dir="5400000" algn="ctr" rotWithShape="0">
                <a:srgbClr val="000000">
                  <a:alpha val="63000"/>
                </a:srgbClr>
              </a:outerShdw>
            </a:effectLst>
          </c:spPr>
        </c:marke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FEBAF6"/>
            </a:solidFill>
            <a:round/>
          </a:ln>
          <a:effectLst>
            <a:outerShdw blurRad="57150" dist="19050" dir="5400000" algn="ctr" rotWithShape="0">
              <a:srgbClr val="000000">
                <a:alpha val="63000"/>
              </a:srgbClr>
            </a:outerShdw>
          </a:effectLst>
        </c:spPr>
        <c:marker>
          <c:symbol val="circle"/>
          <c:size val="4"/>
          <c:spPr>
            <a:solidFill>
              <a:srgbClr val="FEBAF6"/>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FEBAF6"/>
            </a:solidFill>
            <a:round/>
          </a:ln>
          <a:effectLst>
            <a:outerShdw blurRad="57150" dist="19050" dir="5400000" algn="ctr" rotWithShape="0">
              <a:srgbClr val="000000">
                <a:alpha val="63000"/>
              </a:srgbClr>
            </a:outerShdw>
          </a:effectLst>
        </c:spPr>
        <c:marker>
          <c:symbol val="circle"/>
          <c:size val="4"/>
          <c:spPr>
            <a:solidFill>
              <a:srgbClr val="FEBAF6"/>
            </a:solidFill>
            <a:ln w="9525">
              <a:noFill/>
              <a:round/>
            </a:ln>
            <a:effectLst>
              <a:outerShdw blurRad="57150" dist="19050" dir="5400000" algn="ctr" rotWithShape="0">
                <a:srgbClr val="000000">
                  <a:alpha val="63000"/>
                </a:srgbClr>
              </a:outerShdw>
            </a:effectLst>
          </c:spPr>
        </c:marke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FEBAF6"/>
            </a:solidFill>
            <a:round/>
          </a:ln>
          <a:effectLst>
            <a:outerShdw blurRad="57150" dist="19050" dir="5400000" algn="ctr" rotWithShape="0">
              <a:srgbClr val="000000">
                <a:alpha val="63000"/>
              </a:srgbClr>
            </a:outerShdw>
          </a:effectLst>
        </c:spPr>
        <c:marker>
          <c:symbol val="circle"/>
          <c:size val="4"/>
          <c:spPr>
            <a:solidFill>
              <a:srgbClr val="FEBAF6"/>
            </a:solidFill>
            <a:ln w="9525">
              <a:noFill/>
              <a:round/>
            </a:ln>
            <a:effectLst>
              <a:outerShdw blurRad="57150" dist="19050" dir="5400000" algn="ctr" rotWithShape="0">
                <a:srgbClr val="000000">
                  <a:alpha val="63000"/>
                </a:srgbClr>
              </a:outerShdw>
            </a:effectLst>
          </c:spPr>
        </c:marke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FEBAF6"/>
            </a:solidFill>
            <a:round/>
          </a:ln>
          <a:effectLst>
            <a:outerShdw blurRad="57150" dist="19050" dir="5400000" algn="ctr" rotWithShape="0">
              <a:srgbClr val="000000">
                <a:alpha val="63000"/>
              </a:srgbClr>
            </a:outerShdw>
          </a:effectLst>
        </c:spPr>
        <c:marker>
          <c:symbol val="circle"/>
          <c:size val="4"/>
          <c:spPr>
            <a:solidFill>
              <a:srgbClr val="FEBAF6"/>
            </a:solidFill>
            <a:ln w="9525">
              <a:noFill/>
              <a:round/>
            </a:ln>
            <a:effectLst>
              <a:outerShdw blurRad="57150" dist="19050" dir="5400000" algn="ctr" rotWithShape="0">
                <a:srgbClr val="000000">
                  <a:alpha val="63000"/>
                </a:srgbClr>
              </a:outerShdw>
            </a:effectLst>
          </c:spPr>
        </c:marker>
        <c:dLbl>
          <c:idx val="0"/>
          <c:layout>
            <c:manualLayout>
              <c:x val="-1.9493656551666315E-2"/>
              <c:y val="-2.6577976727758263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FEBAF6"/>
            </a:solidFill>
            <a:round/>
          </a:ln>
          <a:effectLst>
            <a:outerShdw blurRad="57150" dist="19050" dir="5400000" algn="ctr" rotWithShape="0">
              <a:srgbClr val="000000">
                <a:alpha val="63000"/>
              </a:srgbClr>
            </a:outerShdw>
          </a:effectLst>
        </c:spPr>
        <c:marker>
          <c:symbol val="circle"/>
          <c:size val="4"/>
          <c:spPr>
            <a:solidFill>
              <a:srgbClr val="FEBAF6"/>
            </a:solidFill>
            <a:ln w="9525">
              <a:noFill/>
              <a:round/>
            </a:ln>
            <a:effectLst>
              <a:outerShdw blurRad="57150" dist="19050" dir="5400000" algn="ctr" rotWithShape="0">
                <a:srgbClr val="000000">
                  <a:alpha val="63000"/>
                </a:srgbClr>
              </a:outerShdw>
            </a:effectLst>
          </c:spPr>
        </c:marke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FEBAF6"/>
            </a:solidFill>
            <a:round/>
          </a:ln>
          <a:effectLst>
            <a:outerShdw blurRad="57150" dist="19050" dir="5400000" algn="ctr" rotWithShape="0">
              <a:srgbClr val="000000">
                <a:alpha val="63000"/>
              </a:srgbClr>
            </a:outerShdw>
          </a:effectLst>
        </c:spPr>
        <c:marker>
          <c:symbol val="circle"/>
          <c:size val="4"/>
          <c:spPr>
            <a:solidFill>
              <a:srgbClr val="FEBAF6"/>
            </a:solidFill>
            <a:ln w="9525">
              <a:noFill/>
              <a:round/>
            </a:ln>
            <a:effectLst>
              <a:outerShdw blurRad="57150" dist="19050" dir="5400000" algn="ctr" rotWithShape="0">
                <a:srgbClr val="000000">
                  <a:alpha val="63000"/>
                </a:srgbClr>
              </a:outerShdw>
            </a:effectLst>
          </c:spPr>
        </c:marke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FEBAF6"/>
            </a:solidFill>
            <a:round/>
          </a:ln>
          <a:effectLst>
            <a:outerShdw blurRad="57150" dist="19050" dir="5400000" algn="ctr" rotWithShape="0">
              <a:srgbClr val="000000">
                <a:alpha val="63000"/>
              </a:srgbClr>
            </a:outerShdw>
          </a:effectLst>
        </c:spPr>
        <c:marker>
          <c:symbol val="circle"/>
          <c:size val="4"/>
          <c:spPr>
            <a:solidFill>
              <a:srgbClr val="FEBAF6"/>
            </a:solidFill>
            <a:ln w="9525">
              <a:noFill/>
              <a:round/>
            </a:ln>
            <a:effectLst>
              <a:outerShdw blurRad="57150" dist="19050" dir="5400000" algn="ctr" rotWithShape="0">
                <a:srgbClr val="000000">
                  <a:alpha val="63000"/>
                </a:srgbClr>
              </a:outerShdw>
            </a:effectLst>
          </c:spPr>
        </c:marke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660066"/>
            </a:solidFill>
            <a:round/>
          </a:ln>
          <a:effectLst>
            <a:outerShdw blurRad="57150" dist="19050" dir="5400000" algn="ctr" rotWithShape="0">
              <a:srgbClr val="000000">
                <a:alpha val="63000"/>
              </a:srgbClr>
            </a:outerShdw>
          </a:effectLst>
        </c:spPr>
        <c:marker>
          <c:symbol val="circle"/>
          <c:size val="4"/>
          <c:spPr>
            <a:solidFill>
              <a:srgbClr val="800271"/>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660066"/>
            </a:solidFill>
            <a:round/>
          </a:ln>
          <a:effectLst>
            <a:outerShdw blurRad="57150" dist="19050" dir="5400000" algn="ctr" rotWithShape="0">
              <a:srgbClr val="000000">
                <a:alpha val="63000"/>
              </a:srgbClr>
            </a:outerShdw>
          </a:effectLst>
        </c:spPr>
        <c:marker>
          <c:symbol val="circle"/>
          <c:size val="4"/>
          <c:spPr>
            <a:solidFill>
              <a:srgbClr val="800271"/>
            </a:solidFill>
            <a:ln w="9525">
              <a:noFill/>
              <a:round/>
            </a:ln>
            <a:effectLst>
              <a:outerShdw blurRad="57150" dist="19050" dir="5400000" algn="ctr" rotWithShape="0">
                <a:srgbClr val="000000">
                  <a:alpha val="63000"/>
                </a:srgbClr>
              </a:outerShdw>
            </a:effectLst>
          </c:spPr>
        </c:marker>
        <c:dLbl>
          <c:idx val="0"/>
          <c:layout>
            <c:manualLayout>
              <c:x val="-7.1337674134639747E-2"/>
              <c:y val="-3.8652615552965335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869A7"/>
            </a:solidFill>
            <a:round/>
          </a:ln>
          <a:effectLst>
            <a:outerShdw blurRad="57150" dist="19050" dir="5400000" algn="ctr" rotWithShape="0">
              <a:srgbClr val="000000">
                <a:alpha val="63000"/>
              </a:srgbClr>
            </a:outerShdw>
          </a:effectLst>
        </c:spPr>
        <c:marker>
          <c:symbol val="circle"/>
          <c:size val="4"/>
          <c:spPr>
            <a:solidFill>
              <a:srgbClr val="9869A7"/>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869A7"/>
            </a:solidFill>
            <a:round/>
          </a:ln>
          <a:effectLst>
            <a:outerShdw blurRad="57150" dist="19050" dir="5400000" algn="ctr" rotWithShape="0">
              <a:srgbClr val="000000">
                <a:alpha val="63000"/>
              </a:srgbClr>
            </a:outerShdw>
          </a:effectLst>
        </c:spPr>
        <c:marker>
          <c:symbol val="circle"/>
          <c:size val="4"/>
          <c:spPr>
            <a:solidFill>
              <a:srgbClr val="9869A7"/>
            </a:solidFill>
            <a:ln w="9525">
              <a:noFill/>
              <a:round/>
            </a:ln>
            <a:effectLst>
              <a:outerShdw blurRad="57150" dist="19050" dir="5400000" algn="ctr" rotWithShape="0">
                <a:srgbClr val="000000">
                  <a:alpha val="63000"/>
                </a:srgbClr>
              </a:outerShdw>
            </a:effectLst>
          </c:spPr>
        </c:marke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869A7"/>
            </a:solidFill>
            <a:round/>
          </a:ln>
          <a:effectLst>
            <a:outerShdw blurRad="57150" dist="19050" dir="5400000" algn="ctr" rotWithShape="0">
              <a:srgbClr val="000000">
                <a:alpha val="63000"/>
              </a:srgbClr>
            </a:outerShdw>
          </a:effectLst>
        </c:spPr>
        <c:marker>
          <c:symbol val="circle"/>
          <c:size val="4"/>
          <c:spPr>
            <a:solidFill>
              <a:srgbClr val="9869A7"/>
            </a:solidFill>
            <a:ln w="9525">
              <a:noFill/>
              <a:round/>
            </a:ln>
            <a:effectLst>
              <a:outerShdw blurRad="57150" dist="19050" dir="5400000" algn="ctr" rotWithShape="0">
                <a:srgbClr val="000000">
                  <a:alpha val="63000"/>
                </a:srgbClr>
              </a:outerShdw>
            </a:effectLst>
          </c:spPr>
        </c:marke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869A7"/>
            </a:solidFill>
            <a:round/>
          </a:ln>
          <a:effectLst>
            <a:outerShdw blurRad="57150" dist="19050" dir="5400000" algn="ctr" rotWithShape="0">
              <a:srgbClr val="000000">
                <a:alpha val="63000"/>
              </a:srgbClr>
            </a:outerShdw>
          </a:effectLst>
        </c:spPr>
        <c:marker>
          <c:symbol val="circle"/>
          <c:size val="4"/>
          <c:spPr>
            <a:solidFill>
              <a:srgbClr val="9869A7"/>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869A7"/>
            </a:solidFill>
            <a:round/>
          </a:ln>
          <a:effectLst>
            <a:outerShdw blurRad="57150" dist="19050" dir="5400000" algn="ctr" rotWithShape="0">
              <a:srgbClr val="000000">
                <a:alpha val="63000"/>
              </a:srgbClr>
            </a:outerShdw>
          </a:effectLst>
        </c:spPr>
        <c:marker>
          <c:symbol val="circle"/>
          <c:size val="4"/>
          <c:spPr>
            <a:solidFill>
              <a:srgbClr val="9869A7"/>
            </a:solidFill>
            <a:ln w="9525">
              <a:noFill/>
              <a:round/>
            </a:ln>
            <a:effectLst>
              <a:outerShdw blurRad="57150" dist="19050" dir="5400000" algn="ctr" rotWithShape="0">
                <a:srgbClr val="000000">
                  <a:alpha val="63000"/>
                </a:srgbClr>
              </a:outerShdw>
            </a:effectLst>
          </c:spPr>
        </c:marker>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869A7"/>
            </a:solidFill>
            <a:round/>
          </a:ln>
          <a:effectLst>
            <a:outerShdw blurRad="57150" dist="19050" dir="5400000" algn="ctr" rotWithShape="0">
              <a:srgbClr val="000000">
                <a:alpha val="63000"/>
              </a:srgbClr>
            </a:outerShdw>
          </a:effectLst>
        </c:spPr>
        <c:marker>
          <c:symbol val="circle"/>
          <c:size val="4"/>
          <c:spPr>
            <a:solidFill>
              <a:srgbClr val="9869A7"/>
            </a:solidFill>
            <a:ln w="9525">
              <a:noFill/>
              <a:round/>
            </a:ln>
            <a:effectLst>
              <a:outerShdw blurRad="57150" dist="19050" dir="5400000" algn="ctr" rotWithShape="0">
                <a:srgbClr val="000000">
                  <a:alpha val="63000"/>
                </a:srgbClr>
              </a:outerShdw>
            </a:effectLst>
          </c:spPr>
        </c:marker>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869A7"/>
            </a:solidFill>
            <a:round/>
          </a:ln>
          <a:effectLst>
            <a:outerShdw blurRad="57150" dist="19050" dir="5400000" algn="ctr" rotWithShape="0">
              <a:srgbClr val="000000">
                <a:alpha val="63000"/>
              </a:srgbClr>
            </a:outerShdw>
          </a:effectLst>
        </c:spPr>
        <c:marker>
          <c:symbol val="circle"/>
          <c:size val="4"/>
          <c:spPr>
            <a:solidFill>
              <a:srgbClr val="9869A7"/>
            </a:solidFill>
            <a:ln w="9525">
              <a:noFill/>
              <a:round/>
            </a:ln>
            <a:effectLst>
              <a:outerShdw blurRad="57150" dist="19050" dir="5400000" algn="ctr" rotWithShape="0">
                <a:srgbClr val="000000">
                  <a:alpha val="63000"/>
                </a:srgbClr>
              </a:outerShdw>
            </a:effectLst>
          </c:spPr>
        </c:marker>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FEBAF6"/>
            </a:solidFill>
            <a:round/>
          </a:ln>
          <a:effectLst>
            <a:outerShdw blurRad="57150" dist="19050" dir="5400000" algn="ctr" rotWithShape="0">
              <a:srgbClr val="000000">
                <a:alpha val="63000"/>
              </a:srgbClr>
            </a:outerShdw>
          </a:effectLst>
        </c:spPr>
        <c:marker>
          <c:symbol val="circle"/>
          <c:size val="4"/>
          <c:spPr>
            <a:solidFill>
              <a:srgbClr val="FEBAF6"/>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FEBAF6"/>
            </a:solidFill>
            <a:round/>
          </a:ln>
          <a:effectLst>
            <a:outerShdw blurRad="57150" dist="19050" dir="5400000" algn="ctr" rotWithShape="0">
              <a:srgbClr val="000000">
                <a:alpha val="63000"/>
              </a:srgbClr>
            </a:outerShdw>
          </a:effectLst>
        </c:spPr>
        <c:marker>
          <c:symbol val="circle"/>
          <c:size val="4"/>
          <c:spPr>
            <a:solidFill>
              <a:srgbClr val="FEBAF6"/>
            </a:solidFill>
            <a:ln w="9525">
              <a:noFill/>
              <a:round/>
            </a:ln>
            <a:effectLst>
              <a:outerShdw blurRad="57150" dist="19050" dir="5400000" algn="ctr" rotWithShape="0">
                <a:srgbClr val="000000">
                  <a:alpha val="63000"/>
                </a:srgbClr>
              </a:outerShdw>
            </a:effectLst>
          </c:spPr>
        </c:marker>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FEBAF6"/>
            </a:solidFill>
            <a:round/>
          </a:ln>
          <a:effectLst>
            <a:outerShdw blurRad="57150" dist="19050" dir="5400000" algn="ctr" rotWithShape="0">
              <a:srgbClr val="000000">
                <a:alpha val="63000"/>
              </a:srgbClr>
            </a:outerShdw>
          </a:effectLst>
        </c:spPr>
        <c:marker>
          <c:symbol val="circle"/>
          <c:size val="4"/>
          <c:spPr>
            <a:solidFill>
              <a:srgbClr val="FEBAF6"/>
            </a:solidFill>
            <a:ln w="9525">
              <a:noFill/>
              <a:round/>
            </a:ln>
            <a:effectLst>
              <a:outerShdw blurRad="57150" dist="19050" dir="5400000" algn="ctr" rotWithShape="0">
                <a:srgbClr val="000000">
                  <a:alpha val="63000"/>
                </a:srgbClr>
              </a:outerShdw>
            </a:effectLst>
          </c:spPr>
        </c:marker>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FEBAF6"/>
            </a:solidFill>
            <a:round/>
          </a:ln>
          <a:effectLst>
            <a:outerShdw blurRad="57150" dist="19050" dir="5400000" algn="ctr" rotWithShape="0">
              <a:srgbClr val="000000">
                <a:alpha val="63000"/>
              </a:srgbClr>
            </a:outerShdw>
          </a:effectLst>
        </c:spPr>
        <c:marker>
          <c:symbol val="circle"/>
          <c:size val="4"/>
          <c:spPr>
            <a:solidFill>
              <a:srgbClr val="FEBAF6"/>
            </a:solidFill>
            <a:ln w="9525">
              <a:noFill/>
              <a:round/>
            </a:ln>
            <a:effectLst>
              <a:outerShdw blurRad="57150" dist="19050" dir="5400000" algn="ctr" rotWithShape="0">
                <a:srgbClr val="000000">
                  <a:alpha val="63000"/>
                </a:srgbClr>
              </a:outerShdw>
            </a:effectLst>
          </c:spPr>
        </c:marker>
        <c:dLbl>
          <c:idx val="0"/>
          <c:layout>
            <c:manualLayout>
              <c:x val="-1.9493656551666315E-2"/>
              <c:y val="-2.6577976727758263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FEBAF6"/>
            </a:solidFill>
            <a:round/>
          </a:ln>
          <a:effectLst>
            <a:outerShdw blurRad="57150" dist="19050" dir="5400000" algn="ctr" rotWithShape="0">
              <a:srgbClr val="000000">
                <a:alpha val="63000"/>
              </a:srgbClr>
            </a:outerShdw>
          </a:effectLst>
        </c:spPr>
        <c:marker>
          <c:symbol val="circle"/>
          <c:size val="4"/>
          <c:spPr>
            <a:solidFill>
              <a:srgbClr val="FEBAF6"/>
            </a:solidFill>
            <a:ln w="9525">
              <a:noFill/>
              <a:round/>
            </a:ln>
            <a:effectLst>
              <a:outerShdw blurRad="57150" dist="19050" dir="5400000" algn="ctr" rotWithShape="0">
                <a:srgbClr val="000000">
                  <a:alpha val="63000"/>
                </a:srgbClr>
              </a:outerShdw>
            </a:effectLst>
          </c:spPr>
        </c:marker>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FEBAF6"/>
            </a:solidFill>
            <a:round/>
          </a:ln>
          <a:effectLst>
            <a:outerShdw blurRad="57150" dist="19050" dir="5400000" algn="ctr" rotWithShape="0">
              <a:srgbClr val="000000">
                <a:alpha val="63000"/>
              </a:srgbClr>
            </a:outerShdw>
          </a:effectLst>
        </c:spPr>
        <c:marker>
          <c:symbol val="circle"/>
          <c:size val="4"/>
          <c:spPr>
            <a:solidFill>
              <a:srgbClr val="FEBAF6"/>
            </a:solidFill>
            <a:ln w="9525">
              <a:noFill/>
              <a:round/>
            </a:ln>
            <a:effectLst>
              <a:outerShdw blurRad="57150" dist="19050" dir="5400000" algn="ctr" rotWithShape="0">
                <a:srgbClr val="000000">
                  <a:alpha val="63000"/>
                </a:srgbClr>
              </a:outerShdw>
            </a:effectLst>
          </c:spPr>
        </c:marker>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FEBAF6"/>
            </a:solidFill>
            <a:round/>
          </a:ln>
          <a:effectLst>
            <a:outerShdw blurRad="57150" dist="19050" dir="5400000" algn="ctr" rotWithShape="0">
              <a:srgbClr val="000000">
                <a:alpha val="63000"/>
              </a:srgbClr>
            </a:outerShdw>
          </a:effectLst>
        </c:spPr>
        <c:marker>
          <c:symbol val="circle"/>
          <c:size val="4"/>
          <c:spPr>
            <a:solidFill>
              <a:srgbClr val="FEBAF6"/>
            </a:solidFill>
            <a:ln w="9525">
              <a:noFill/>
              <a:round/>
            </a:ln>
            <a:effectLst>
              <a:outerShdw blurRad="57150" dist="19050" dir="5400000" algn="ctr" rotWithShape="0">
                <a:srgbClr val="000000">
                  <a:alpha val="63000"/>
                </a:srgbClr>
              </a:outerShdw>
            </a:effectLst>
          </c:spPr>
        </c:marker>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660066"/>
            </a:solidFill>
            <a:round/>
          </a:ln>
          <a:effectLst>
            <a:outerShdw blurRad="57150" dist="19050" dir="5400000" algn="ctr" rotWithShape="0">
              <a:srgbClr val="000000">
                <a:alpha val="63000"/>
              </a:srgbClr>
            </a:outerShdw>
          </a:effectLst>
        </c:spPr>
        <c:marker>
          <c:symbol val="circle"/>
          <c:size val="4"/>
          <c:spPr>
            <a:solidFill>
              <a:srgbClr val="800271"/>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660066"/>
            </a:solidFill>
            <a:round/>
          </a:ln>
          <a:effectLst>
            <a:outerShdw blurRad="57150" dist="19050" dir="5400000" algn="ctr" rotWithShape="0">
              <a:srgbClr val="000000">
                <a:alpha val="63000"/>
              </a:srgbClr>
            </a:outerShdw>
          </a:effectLst>
        </c:spPr>
        <c:marker>
          <c:symbol val="circle"/>
          <c:size val="4"/>
          <c:spPr>
            <a:solidFill>
              <a:srgbClr val="800271"/>
            </a:solidFill>
            <a:ln w="9525">
              <a:noFill/>
              <a:round/>
            </a:ln>
            <a:effectLst>
              <a:outerShdw blurRad="57150" dist="19050" dir="5400000" algn="ctr" rotWithShape="0">
                <a:srgbClr val="000000">
                  <a:alpha val="63000"/>
                </a:srgbClr>
              </a:outerShdw>
            </a:effectLst>
          </c:spPr>
        </c:marker>
        <c:dLbl>
          <c:idx val="0"/>
          <c:layout>
            <c:manualLayout>
              <c:x val="-7.1337674134639747E-2"/>
              <c:y val="-3.8652615552965335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869A7"/>
            </a:solidFill>
            <a:round/>
          </a:ln>
          <a:effectLst>
            <a:outerShdw blurRad="57150" dist="19050" dir="5400000" algn="ctr" rotWithShape="0">
              <a:srgbClr val="000000">
                <a:alpha val="63000"/>
              </a:srgbClr>
            </a:outerShdw>
          </a:effectLst>
        </c:spPr>
        <c:marker>
          <c:symbol val="circle"/>
          <c:size val="4"/>
          <c:spPr>
            <a:solidFill>
              <a:srgbClr val="9869A7"/>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869A7"/>
            </a:solidFill>
            <a:round/>
          </a:ln>
          <a:effectLst>
            <a:outerShdw blurRad="57150" dist="19050" dir="5400000" algn="ctr" rotWithShape="0">
              <a:srgbClr val="000000">
                <a:alpha val="63000"/>
              </a:srgbClr>
            </a:outerShdw>
          </a:effectLst>
        </c:spPr>
        <c:marker>
          <c:symbol val="circle"/>
          <c:size val="4"/>
          <c:spPr>
            <a:solidFill>
              <a:srgbClr val="9869A7"/>
            </a:solidFill>
            <a:ln w="9525">
              <a:noFill/>
              <a:round/>
            </a:ln>
            <a:effectLst>
              <a:outerShdw blurRad="57150" dist="19050" dir="5400000" algn="ctr" rotWithShape="0">
                <a:srgbClr val="000000">
                  <a:alpha val="63000"/>
                </a:srgbClr>
              </a:outerShdw>
            </a:effectLst>
          </c:spPr>
        </c:marker>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869A7"/>
            </a:solidFill>
            <a:round/>
          </a:ln>
          <a:effectLst>
            <a:outerShdw blurRad="57150" dist="19050" dir="5400000" algn="ctr" rotWithShape="0">
              <a:srgbClr val="000000">
                <a:alpha val="63000"/>
              </a:srgbClr>
            </a:outerShdw>
          </a:effectLst>
        </c:spPr>
        <c:marker>
          <c:symbol val="circle"/>
          <c:size val="4"/>
          <c:spPr>
            <a:solidFill>
              <a:srgbClr val="9869A7"/>
            </a:solidFill>
            <a:ln w="9525">
              <a:noFill/>
              <a:round/>
            </a:ln>
            <a:effectLst>
              <a:outerShdw blurRad="57150" dist="19050" dir="5400000" algn="ctr" rotWithShape="0">
                <a:srgbClr val="000000">
                  <a:alpha val="63000"/>
                </a:srgbClr>
              </a:outerShdw>
            </a:effectLst>
          </c:spPr>
        </c:marker>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869A7"/>
            </a:solidFill>
            <a:round/>
          </a:ln>
          <a:effectLst>
            <a:outerShdw blurRad="57150" dist="19050" dir="5400000" algn="ctr" rotWithShape="0">
              <a:srgbClr val="000000">
                <a:alpha val="63000"/>
              </a:srgbClr>
            </a:outerShdw>
          </a:effectLst>
        </c:spPr>
        <c:marker>
          <c:symbol val="circle"/>
          <c:size val="4"/>
          <c:spPr>
            <a:solidFill>
              <a:srgbClr val="9869A7"/>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869A7"/>
            </a:solidFill>
            <a:round/>
          </a:ln>
          <a:effectLst>
            <a:outerShdw blurRad="57150" dist="19050" dir="5400000" algn="ctr" rotWithShape="0">
              <a:srgbClr val="000000">
                <a:alpha val="63000"/>
              </a:srgbClr>
            </a:outerShdw>
          </a:effectLst>
        </c:spPr>
        <c:marker>
          <c:symbol val="circle"/>
          <c:size val="4"/>
          <c:spPr>
            <a:solidFill>
              <a:srgbClr val="9869A7"/>
            </a:solidFill>
            <a:ln w="9525">
              <a:noFill/>
              <a:round/>
            </a:ln>
            <a:effectLst>
              <a:outerShdw blurRad="57150" dist="19050" dir="5400000" algn="ctr" rotWithShape="0">
                <a:srgbClr val="000000">
                  <a:alpha val="63000"/>
                </a:srgbClr>
              </a:outerShdw>
            </a:effectLst>
          </c:spPr>
        </c:marker>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869A7"/>
            </a:solidFill>
            <a:round/>
          </a:ln>
          <a:effectLst>
            <a:outerShdw blurRad="57150" dist="19050" dir="5400000" algn="ctr" rotWithShape="0">
              <a:srgbClr val="000000">
                <a:alpha val="63000"/>
              </a:srgbClr>
            </a:outerShdw>
          </a:effectLst>
        </c:spPr>
        <c:marker>
          <c:symbol val="circle"/>
          <c:size val="4"/>
          <c:spPr>
            <a:solidFill>
              <a:srgbClr val="9869A7"/>
            </a:solidFill>
            <a:ln w="9525">
              <a:noFill/>
              <a:round/>
            </a:ln>
            <a:effectLst>
              <a:outerShdw blurRad="57150" dist="19050" dir="5400000" algn="ctr" rotWithShape="0">
                <a:srgbClr val="000000">
                  <a:alpha val="63000"/>
                </a:srgbClr>
              </a:outerShdw>
            </a:effectLst>
          </c:spPr>
        </c:marker>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869A7"/>
            </a:solidFill>
            <a:round/>
          </a:ln>
          <a:effectLst>
            <a:outerShdw blurRad="57150" dist="19050" dir="5400000" algn="ctr" rotWithShape="0">
              <a:srgbClr val="000000">
                <a:alpha val="63000"/>
              </a:srgbClr>
            </a:outerShdw>
          </a:effectLst>
        </c:spPr>
        <c:marker>
          <c:symbol val="circle"/>
          <c:size val="4"/>
          <c:spPr>
            <a:solidFill>
              <a:srgbClr val="9869A7"/>
            </a:solidFill>
            <a:ln w="9525">
              <a:noFill/>
              <a:round/>
            </a:ln>
            <a:effectLst>
              <a:outerShdw blurRad="57150" dist="19050" dir="5400000" algn="ctr" rotWithShape="0">
                <a:srgbClr val="000000">
                  <a:alpha val="63000"/>
                </a:srgbClr>
              </a:outerShdw>
            </a:effectLst>
          </c:spPr>
        </c:marker>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FEBAF6"/>
            </a:solidFill>
            <a:round/>
          </a:ln>
          <a:effectLst>
            <a:outerShdw blurRad="57150" dist="19050" dir="5400000" algn="ctr" rotWithShape="0">
              <a:srgbClr val="000000">
                <a:alpha val="63000"/>
              </a:srgbClr>
            </a:outerShdw>
          </a:effectLst>
        </c:spPr>
        <c:marker>
          <c:symbol val="circle"/>
          <c:size val="4"/>
          <c:spPr>
            <a:solidFill>
              <a:srgbClr val="FEBAF6"/>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FEBAF6"/>
            </a:solidFill>
            <a:round/>
          </a:ln>
          <a:effectLst>
            <a:outerShdw blurRad="57150" dist="19050" dir="5400000" algn="ctr" rotWithShape="0">
              <a:srgbClr val="000000">
                <a:alpha val="63000"/>
              </a:srgbClr>
            </a:outerShdw>
          </a:effectLst>
        </c:spPr>
        <c:marker>
          <c:symbol val="circle"/>
          <c:size val="4"/>
          <c:spPr>
            <a:solidFill>
              <a:srgbClr val="FEBAF6"/>
            </a:solidFill>
            <a:ln w="9525">
              <a:noFill/>
              <a:round/>
            </a:ln>
            <a:effectLst>
              <a:outerShdw blurRad="57150" dist="19050" dir="5400000" algn="ctr" rotWithShape="0">
                <a:srgbClr val="000000">
                  <a:alpha val="63000"/>
                </a:srgbClr>
              </a:outerShdw>
            </a:effectLst>
          </c:spPr>
        </c:marker>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FEBAF6"/>
            </a:solidFill>
            <a:round/>
          </a:ln>
          <a:effectLst>
            <a:outerShdw blurRad="57150" dist="19050" dir="5400000" algn="ctr" rotWithShape="0">
              <a:srgbClr val="000000">
                <a:alpha val="63000"/>
              </a:srgbClr>
            </a:outerShdw>
          </a:effectLst>
        </c:spPr>
        <c:marker>
          <c:symbol val="circle"/>
          <c:size val="4"/>
          <c:spPr>
            <a:solidFill>
              <a:srgbClr val="FEBAF6"/>
            </a:solidFill>
            <a:ln w="9525">
              <a:noFill/>
              <a:round/>
            </a:ln>
            <a:effectLst>
              <a:outerShdw blurRad="57150" dist="19050" dir="5400000" algn="ctr" rotWithShape="0">
                <a:srgbClr val="000000">
                  <a:alpha val="63000"/>
                </a:srgbClr>
              </a:outerShdw>
            </a:effectLst>
          </c:spPr>
        </c:marker>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FEBAF6"/>
            </a:solidFill>
            <a:round/>
          </a:ln>
          <a:effectLst>
            <a:outerShdw blurRad="57150" dist="19050" dir="5400000" algn="ctr" rotWithShape="0">
              <a:srgbClr val="000000">
                <a:alpha val="63000"/>
              </a:srgbClr>
            </a:outerShdw>
          </a:effectLst>
        </c:spPr>
        <c:marker>
          <c:symbol val="circle"/>
          <c:size val="4"/>
          <c:spPr>
            <a:solidFill>
              <a:srgbClr val="FEBAF6"/>
            </a:solidFill>
            <a:ln w="9525">
              <a:noFill/>
              <a:round/>
            </a:ln>
            <a:effectLst>
              <a:outerShdw blurRad="57150" dist="19050" dir="5400000" algn="ctr" rotWithShape="0">
                <a:srgbClr val="000000">
                  <a:alpha val="63000"/>
                </a:srgbClr>
              </a:outerShdw>
            </a:effectLst>
          </c:spPr>
        </c:marker>
        <c:dLbl>
          <c:idx val="0"/>
          <c:layout>
            <c:manualLayout>
              <c:x val="-1.9493656551666315E-2"/>
              <c:y val="-2.6577976727758263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FEBAF6"/>
            </a:solidFill>
            <a:round/>
          </a:ln>
          <a:effectLst>
            <a:outerShdw blurRad="57150" dist="19050" dir="5400000" algn="ctr" rotWithShape="0">
              <a:srgbClr val="000000">
                <a:alpha val="63000"/>
              </a:srgbClr>
            </a:outerShdw>
          </a:effectLst>
        </c:spPr>
        <c:marker>
          <c:symbol val="circle"/>
          <c:size val="4"/>
          <c:spPr>
            <a:solidFill>
              <a:srgbClr val="FEBAF6"/>
            </a:solidFill>
            <a:ln w="9525">
              <a:noFill/>
              <a:round/>
            </a:ln>
            <a:effectLst>
              <a:outerShdw blurRad="57150" dist="19050" dir="5400000" algn="ctr" rotWithShape="0">
                <a:srgbClr val="000000">
                  <a:alpha val="63000"/>
                </a:srgbClr>
              </a:outerShdw>
            </a:effectLst>
          </c:spPr>
        </c:marker>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FEBAF6"/>
            </a:solidFill>
            <a:round/>
          </a:ln>
          <a:effectLst>
            <a:outerShdw blurRad="57150" dist="19050" dir="5400000" algn="ctr" rotWithShape="0">
              <a:srgbClr val="000000">
                <a:alpha val="63000"/>
              </a:srgbClr>
            </a:outerShdw>
          </a:effectLst>
        </c:spPr>
        <c:marker>
          <c:symbol val="circle"/>
          <c:size val="4"/>
          <c:spPr>
            <a:solidFill>
              <a:srgbClr val="FEBAF6"/>
            </a:solidFill>
            <a:ln w="9525">
              <a:noFill/>
              <a:round/>
            </a:ln>
            <a:effectLst>
              <a:outerShdw blurRad="57150" dist="19050" dir="5400000" algn="ctr" rotWithShape="0">
                <a:srgbClr val="000000">
                  <a:alpha val="63000"/>
                </a:srgbClr>
              </a:outerShdw>
            </a:effectLst>
          </c:spPr>
        </c:marker>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FEBAF6"/>
            </a:solidFill>
            <a:round/>
          </a:ln>
          <a:effectLst>
            <a:outerShdw blurRad="57150" dist="19050" dir="5400000" algn="ctr" rotWithShape="0">
              <a:srgbClr val="000000">
                <a:alpha val="63000"/>
              </a:srgbClr>
            </a:outerShdw>
          </a:effectLst>
        </c:spPr>
        <c:marker>
          <c:symbol val="circle"/>
          <c:size val="4"/>
          <c:spPr>
            <a:solidFill>
              <a:srgbClr val="FEBAF6"/>
            </a:solidFill>
            <a:ln w="9525">
              <a:noFill/>
              <a:round/>
            </a:ln>
            <a:effectLst>
              <a:outerShdw blurRad="57150" dist="19050" dir="5400000" algn="ctr" rotWithShape="0">
                <a:srgbClr val="000000">
                  <a:alpha val="63000"/>
                </a:srgbClr>
              </a:outerShdw>
            </a:effectLst>
          </c:spPr>
        </c:marker>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660066"/>
            </a:solidFill>
            <a:round/>
          </a:ln>
          <a:effectLst>
            <a:outerShdw blurRad="57150" dist="19050" dir="5400000" algn="ctr" rotWithShape="0">
              <a:srgbClr val="000000">
                <a:alpha val="63000"/>
              </a:srgbClr>
            </a:outerShdw>
          </a:effectLst>
        </c:spPr>
        <c:marker>
          <c:symbol val="circle"/>
          <c:size val="4"/>
          <c:spPr>
            <a:solidFill>
              <a:srgbClr val="800271"/>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660066"/>
            </a:solidFill>
            <a:round/>
          </a:ln>
          <a:effectLst>
            <a:outerShdw blurRad="57150" dist="19050" dir="5400000" algn="ctr" rotWithShape="0">
              <a:srgbClr val="000000">
                <a:alpha val="63000"/>
              </a:srgbClr>
            </a:outerShdw>
          </a:effectLst>
        </c:spPr>
        <c:marker>
          <c:symbol val="circle"/>
          <c:size val="4"/>
          <c:spPr>
            <a:solidFill>
              <a:srgbClr val="800271"/>
            </a:solidFill>
            <a:ln w="9525">
              <a:noFill/>
              <a:round/>
            </a:ln>
            <a:effectLst>
              <a:outerShdw blurRad="57150" dist="19050" dir="5400000" algn="ctr" rotWithShape="0">
                <a:srgbClr val="000000">
                  <a:alpha val="63000"/>
                </a:srgbClr>
              </a:outerShdw>
            </a:effectLst>
          </c:spPr>
        </c:marker>
        <c:dLbl>
          <c:idx val="0"/>
          <c:layout>
            <c:manualLayout>
              <c:x val="-7.1337674134639747E-2"/>
              <c:y val="-3.8652615552965335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2"/>
        <c:spPr>
          <a:ln w="19050" cap="rnd">
            <a:solidFill>
              <a:srgbClr val="9869A7"/>
            </a:solidFill>
            <a:round/>
          </a:ln>
          <a:effectLst>
            <a:outerShdw blurRad="57150" dist="19050" dir="5400000" algn="ctr" rotWithShape="0">
              <a:srgbClr val="000000">
                <a:alpha val="63000"/>
              </a:srgbClr>
            </a:outerShdw>
          </a:effectLst>
        </c:spPr>
        <c:marker>
          <c:symbol val="circle"/>
          <c:size val="4"/>
          <c:spPr>
            <a:solidFill>
              <a:srgbClr val="9869A7"/>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869A7"/>
            </a:solidFill>
            <a:round/>
          </a:ln>
          <a:effectLst>
            <a:outerShdw blurRad="57150" dist="19050" dir="5400000" algn="ctr" rotWithShape="0">
              <a:srgbClr val="000000">
                <a:alpha val="63000"/>
              </a:srgbClr>
            </a:outerShdw>
          </a:effectLst>
        </c:spPr>
        <c:marker>
          <c:symbol val="circle"/>
          <c:size val="4"/>
          <c:spPr>
            <a:solidFill>
              <a:srgbClr val="9869A7"/>
            </a:solidFill>
            <a:ln w="9525">
              <a:noFill/>
              <a:round/>
            </a:ln>
            <a:effectLst>
              <a:outerShdw blurRad="57150" dist="19050" dir="5400000" algn="ctr" rotWithShape="0">
                <a:srgbClr val="000000">
                  <a:alpha val="63000"/>
                </a:srgbClr>
              </a:outerShdw>
            </a:effectLst>
          </c:spPr>
        </c:marker>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869A7"/>
            </a:solidFill>
            <a:round/>
          </a:ln>
          <a:effectLst>
            <a:outerShdw blurRad="57150" dist="19050" dir="5400000" algn="ctr" rotWithShape="0">
              <a:srgbClr val="000000">
                <a:alpha val="63000"/>
              </a:srgbClr>
            </a:outerShdw>
          </a:effectLst>
        </c:spPr>
        <c:marker>
          <c:symbol val="circle"/>
          <c:size val="4"/>
          <c:spPr>
            <a:solidFill>
              <a:srgbClr val="9869A7"/>
            </a:solidFill>
            <a:ln w="9525">
              <a:noFill/>
              <a:round/>
            </a:ln>
            <a:effectLst>
              <a:outerShdw blurRad="57150" dist="19050" dir="5400000" algn="ctr" rotWithShape="0">
                <a:srgbClr val="000000">
                  <a:alpha val="63000"/>
                </a:srgbClr>
              </a:outerShdw>
            </a:effectLst>
          </c:spPr>
        </c:marker>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869A7"/>
            </a:solidFill>
            <a:round/>
          </a:ln>
          <a:effectLst>
            <a:outerShdw blurRad="57150" dist="19050" dir="5400000" algn="ctr" rotWithShape="0">
              <a:srgbClr val="000000">
                <a:alpha val="63000"/>
              </a:srgbClr>
            </a:outerShdw>
          </a:effectLst>
        </c:spPr>
        <c:marker>
          <c:symbol val="circle"/>
          <c:size val="4"/>
          <c:spPr>
            <a:solidFill>
              <a:srgbClr val="9869A7"/>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869A7"/>
            </a:solidFill>
            <a:round/>
          </a:ln>
          <a:effectLst>
            <a:outerShdw blurRad="57150" dist="19050" dir="5400000" algn="ctr" rotWithShape="0">
              <a:srgbClr val="000000">
                <a:alpha val="63000"/>
              </a:srgbClr>
            </a:outerShdw>
          </a:effectLst>
        </c:spPr>
        <c:marker>
          <c:symbol val="circle"/>
          <c:size val="4"/>
          <c:spPr>
            <a:solidFill>
              <a:srgbClr val="9869A7"/>
            </a:solidFill>
            <a:ln w="9525">
              <a:noFill/>
              <a:round/>
            </a:ln>
            <a:effectLst>
              <a:outerShdw blurRad="57150" dist="19050" dir="5400000" algn="ctr" rotWithShape="0">
                <a:srgbClr val="000000">
                  <a:alpha val="63000"/>
                </a:srgbClr>
              </a:outerShdw>
            </a:effectLst>
          </c:spPr>
        </c:marker>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869A7"/>
            </a:solidFill>
            <a:round/>
          </a:ln>
          <a:effectLst>
            <a:outerShdw blurRad="57150" dist="19050" dir="5400000" algn="ctr" rotWithShape="0">
              <a:srgbClr val="000000">
                <a:alpha val="63000"/>
              </a:srgbClr>
            </a:outerShdw>
          </a:effectLst>
        </c:spPr>
        <c:marker>
          <c:symbol val="circle"/>
          <c:size val="4"/>
          <c:spPr>
            <a:solidFill>
              <a:srgbClr val="9869A7"/>
            </a:solidFill>
            <a:ln w="9525">
              <a:noFill/>
              <a:round/>
            </a:ln>
            <a:effectLst>
              <a:outerShdw blurRad="57150" dist="19050" dir="5400000" algn="ctr" rotWithShape="0">
                <a:srgbClr val="000000">
                  <a:alpha val="63000"/>
                </a:srgbClr>
              </a:outerShdw>
            </a:effectLst>
          </c:spPr>
        </c:marker>
      </c:pivotFmt>
      <c:pivotFmt>
        <c:idx val="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869A7"/>
            </a:solidFill>
            <a:round/>
          </a:ln>
          <a:effectLst>
            <a:outerShdw blurRad="57150" dist="19050" dir="5400000" algn="ctr" rotWithShape="0">
              <a:srgbClr val="000000">
                <a:alpha val="63000"/>
              </a:srgbClr>
            </a:outerShdw>
          </a:effectLst>
        </c:spPr>
        <c:marker>
          <c:symbol val="circle"/>
          <c:size val="4"/>
          <c:spPr>
            <a:solidFill>
              <a:srgbClr val="9869A7"/>
            </a:solidFill>
            <a:ln w="9525">
              <a:noFill/>
              <a:round/>
            </a:ln>
            <a:effectLst>
              <a:outerShdw blurRad="57150" dist="19050" dir="5400000" algn="ctr" rotWithShape="0">
                <a:srgbClr val="000000">
                  <a:alpha val="63000"/>
                </a:srgbClr>
              </a:outerShdw>
            </a:effectLst>
          </c:spPr>
        </c:marker>
      </c:pivotFmt>
      <c:pivotFmt>
        <c:idx val="89"/>
        <c:spPr>
          <a:ln w="19050" cap="rnd">
            <a:solidFill>
              <a:srgbClr val="FEBAF6"/>
            </a:solidFill>
            <a:round/>
          </a:ln>
          <a:effectLst>
            <a:outerShdw blurRad="57150" dist="19050" dir="5400000" algn="ctr" rotWithShape="0">
              <a:srgbClr val="000000">
                <a:alpha val="63000"/>
              </a:srgbClr>
            </a:outerShdw>
          </a:effectLst>
        </c:spPr>
        <c:marker>
          <c:symbol val="circle"/>
          <c:size val="4"/>
          <c:spPr>
            <a:solidFill>
              <a:srgbClr val="FEBAF6"/>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FEBAF6"/>
            </a:solidFill>
            <a:round/>
          </a:ln>
          <a:effectLst>
            <a:outerShdw blurRad="57150" dist="19050" dir="5400000" algn="ctr" rotWithShape="0">
              <a:srgbClr val="000000">
                <a:alpha val="63000"/>
              </a:srgbClr>
            </a:outerShdw>
          </a:effectLst>
        </c:spPr>
        <c:marker>
          <c:symbol val="circle"/>
          <c:size val="4"/>
          <c:spPr>
            <a:solidFill>
              <a:srgbClr val="FEBAF6"/>
            </a:solidFill>
            <a:ln w="9525">
              <a:noFill/>
              <a:round/>
            </a:ln>
            <a:effectLst>
              <a:outerShdw blurRad="57150" dist="19050" dir="5400000" algn="ctr" rotWithShape="0">
                <a:srgbClr val="000000">
                  <a:alpha val="63000"/>
                </a:srgbClr>
              </a:outerShdw>
            </a:effectLst>
          </c:spPr>
        </c:marker>
      </c:pivotFmt>
      <c:pivotFmt>
        <c:idx val="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FEBAF6"/>
            </a:solidFill>
            <a:round/>
          </a:ln>
          <a:effectLst>
            <a:outerShdw blurRad="57150" dist="19050" dir="5400000" algn="ctr" rotWithShape="0">
              <a:srgbClr val="000000">
                <a:alpha val="63000"/>
              </a:srgbClr>
            </a:outerShdw>
          </a:effectLst>
        </c:spPr>
        <c:marker>
          <c:symbol val="circle"/>
          <c:size val="4"/>
          <c:spPr>
            <a:solidFill>
              <a:srgbClr val="FEBAF6"/>
            </a:solidFill>
            <a:ln w="9525">
              <a:noFill/>
              <a:round/>
            </a:ln>
            <a:effectLst>
              <a:outerShdw blurRad="57150" dist="19050" dir="5400000" algn="ctr" rotWithShape="0">
                <a:srgbClr val="000000">
                  <a:alpha val="63000"/>
                </a:srgbClr>
              </a:outerShdw>
            </a:effectLst>
          </c:spPr>
        </c:marker>
      </c:pivotFmt>
      <c:pivotFmt>
        <c:idx val="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FEBAF6"/>
            </a:solidFill>
            <a:round/>
          </a:ln>
          <a:effectLst>
            <a:outerShdw blurRad="57150" dist="19050" dir="5400000" algn="ctr" rotWithShape="0">
              <a:srgbClr val="000000">
                <a:alpha val="63000"/>
              </a:srgbClr>
            </a:outerShdw>
          </a:effectLst>
        </c:spPr>
        <c:marker>
          <c:symbol val="circle"/>
          <c:size val="4"/>
          <c:spPr>
            <a:solidFill>
              <a:srgbClr val="FEBAF6"/>
            </a:solidFill>
            <a:ln w="9525">
              <a:noFill/>
              <a:round/>
            </a:ln>
            <a:effectLst>
              <a:outerShdw blurRad="57150" dist="19050" dir="5400000" algn="ctr" rotWithShape="0">
                <a:srgbClr val="000000">
                  <a:alpha val="63000"/>
                </a:srgbClr>
              </a:outerShdw>
            </a:effectLst>
          </c:spPr>
        </c:marker>
        <c:dLbl>
          <c:idx val="0"/>
          <c:layout>
            <c:manualLayout>
              <c:x val="-1.9493656551666315E-2"/>
              <c:y val="-2.6577976727758263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FEBAF6"/>
            </a:solidFill>
            <a:round/>
          </a:ln>
          <a:effectLst>
            <a:outerShdw blurRad="57150" dist="19050" dir="5400000" algn="ctr" rotWithShape="0">
              <a:srgbClr val="000000">
                <a:alpha val="63000"/>
              </a:srgbClr>
            </a:outerShdw>
          </a:effectLst>
        </c:spPr>
        <c:marker>
          <c:symbol val="circle"/>
          <c:size val="4"/>
          <c:spPr>
            <a:solidFill>
              <a:srgbClr val="FEBAF6"/>
            </a:solidFill>
            <a:ln w="9525">
              <a:noFill/>
              <a:round/>
            </a:ln>
            <a:effectLst>
              <a:outerShdw blurRad="57150" dist="19050" dir="5400000" algn="ctr" rotWithShape="0">
                <a:srgbClr val="000000">
                  <a:alpha val="63000"/>
                </a:srgbClr>
              </a:outerShdw>
            </a:effectLst>
          </c:spPr>
        </c:marker>
      </c:pivotFmt>
      <c:pivotFmt>
        <c:idx val="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FEBAF6"/>
            </a:solidFill>
            <a:round/>
          </a:ln>
          <a:effectLst>
            <a:outerShdw blurRad="57150" dist="19050" dir="5400000" algn="ctr" rotWithShape="0">
              <a:srgbClr val="000000">
                <a:alpha val="63000"/>
              </a:srgbClr>
            </a:outerShdw>
          </a:effectLst>
        </c:spPr>
        <c:marker>
          <c:symbol val="circle"/>
          <c:size val="4"/>
          <c:spPr>
            <a:solidFill>
              <a:srgbClr val="FEBAF6"/>
            </a:solidFill>
            <a:ln w="9525">
              <a:noFill/>
              <a:round/>
            </a:ln>
            <a:effectLst>
              <a:outerShdw blurRad="57150" dist="19050" dir="5400000" algn="ctr" rotWithShape="0">
                <a:srgbClr val="000000">
                  <a:alpha val="63000"/>
                </a:srgbClr>
              </a:outerShdw>
            </a:effectLst>
          </c:spPr>
        </c:marker>
      </c:pivotFmt>
      <c:pivotFmt>
        <c:idx val="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FEBAF6"/>
            </a:solidFill>
            <a:round/>
          </a:ln>
          <a:effectLst>
            <a:outerShdw blurRad="57150" dist="19050" dir="5400000" algn="ctr" rotWithShape="0">
              <a:srgbClr val="000000">
                <a:alpha val="63000"/>
              </a:srgbClr>
            </a:outerShdw>
          </a:effectLst>
        </c:spPr>
        <c:marker>
          <c:symbol val="circle"/>
          <c:size val="4"/>
          <c:spPr>
            <a:solidFill>
              <a:srgbClr val="FEBAF6"/>
            </a:solidFill>
            <a:ln w="9525">
              <a:noFill/>
              <a:round/>
            </a:ln>
            <a:effectLst>
              <a:outerShdw blurRad="57150" dist="19050" dir="5400000" algn="ctr" rotWithShape="0">
                <a:srgbClr val="000000">
                  <a:alpha val="63000"/>
                </a:srgbClr>
              </a:outerShdw>
            </a:effectLst>
          </c:spPr>
        </c:marker>
      </c:pivotFmt>
      <c:pivotFmt>
        <c:idx val="96"/>
        <c:spPr>
          <a:ln w="19050" cap="rnd">
            <a:solidFill>
              <a:srgbClr val="660066"/>
            </a:solidFill>
            <a:round/>
          </a:ln>
          <a:effectLst>
            <a:outerShdw blurRad="57150" dist="19050" dir="5400000" algn="ctr" rotWithShape="0">
              <a:srgbClr val="000000">
                <a:alpha val="63000"/>
              </a:srgbClr>
            </a:outerShdw>
          </a:effectLst>
        </c:spPr>
        <c:marker>
          <c:symbol val="circle"/>
          <c:size val="4"/>
          <c:spPr>
            <a:solidFill>
              <a:srgbClr val="800271"/>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660066"/>
            </a:solidFill>
            <a:round/>
          </a:ln>
          <a:effectLst>
            <a:outerShdw blurRad="57150" dist="19050" dir="5400000" algn="ctr" rotWithShape="0">
              <a:srgbClr val="000000">
                <a:alpha val="63000"/>
              </a:srgbClr>
            </a:outerShdw>
          </a:effectLst>
        </c:spPr>
        <c:marker>
          <c:symbol val="circle"/>
          <c:size val="4"/>
          <c:spPr>
            <a:solidFill>
              <a:srgbClr val="800271"/>
            </a:solidFill>
            <a:ln w="9525">
              <a:noFill/>
              <a:round/>
            </a:ln>
            <a:effectLst>
              <a:outerShdw blurRad="57150" dist="19050" dir="5400000" algn="ctr" rotWithShape="0">
                <a:srgbClr val="000000">
                  <a:alpha val="63000"/>
                </a:srgbClr>
              </a:outerShdw>
            </a:effectLst>
          </c:spPr>
        </c:marker>
        <c:dLbl>
          <c:idx val="0"/>
          <c:layout>
            <c:manualLayout>
              <c:x val="-7.1337674134639747E-2"/>
              <c:y val="-3.8652615552965335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869A7"/>
            </a:solidFill>
            <a:round/>
          </a:ln>
          <a:effectLst>
            <a:outerShdw blurRad="57150" dist="19050" dir="5400000" algn="ctr" rotWithShape="0">
              <a:srgbClr val="000000">
                <a:alpha val="63000"/>
              </a:srgbClr>
            </a:outerShdw>
          </a:effectLst>
        </c:spPr>
        <c:marker>
          <c:symbol val="circle"/>
          <c:size val="4"/>
          <c:spPr>
            <a:solidFill>
              <a:srgbClr val="9869A7"/>
            </a:solidFill>
            <a:ln w="9525">
              <a:noFill/>
              <a:round/>
            </a:ln>
            <a:effectLst>
              <a:outerShdw blurRad="57150" dist="19050" dir="5400000" algn="ctr" rotWithShape="0">
                <a:srgbClr val="000000">
                  <a:alpha val="63000"/>
                </a:srgbClr>
              </a:outerShdw>
            </a:effectLst>
          </c:spPr>
        </c:marker>
      </c:pivotFmt>
      <c:pivotFmt>
        <c:idx val="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869A7"/>
            </a:solidFill>
            <a:round/>
          </a:ln>
          <a:effectLst>
            <a:outerShdw blurRad="57150" dist="19050" dir="5400000" algn="ctr" rotWithShape="0">
              <a:srgbClr val="000000">
                <a:alpha val="63000"/>
              </a:srgbClr>
            </a:outerShdw>
          </a:effectLst>
        </c:spPr>
        <c:marker>
          <c:symbol val="circle"/>
          <c:size val="4"/>
          <c:spPr>
            <a:solidFill>
              <a:srgbClr val="9869A7"/>
            </a:solidFill>
            <a:ln w="9525">
              <a:noFill/>
              <a:round/>
            </a:ln>
            <a:effectLst>
              <a:outerShdw blurRad="57150" dist="19050" dir="5400000" algn="ctr" rotWithShape="0">
                <a:srgbClr val="000000">
                  <a:alpha val="63000"/>
                </a:srgbClr>
              </a:outerShdw>
            </a:effectLst>
          </c:spPr>
        </c:marker>
      </c:pivotFmt>
      <c:pivotFmt>
        <c:idx val="1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FEBAF6"/>
            </a:solidFill>
            <a:round/>
          </a:ln>
          <a:effectLst>
            <a:outerShdw blurRad="57150" dist="19050" dir="5400000" algn="ctr" rotWithShape="0">
              <a:srgbClr val="000000">
                <a:alpha val="63000"/>
              </a:srgbClr>
            </a:outerShdw>
          </a:effectLst>
        </c:spPr>
        <c:marker>
          <c:symbol val="circle"/>
          <c:size val="4"/>
          <c:spPr>
            <a:solidFill>
              <a:srgbClr val="FEBAF6"/>
            </a:solidFill>
            <a:ln w="9525">
              <a:noFill/>
              <a:round/>
            </a:ln>
            <a:effectLst>
              <a:outerShdw blurRad="57150" dist="19050" dir="5400000" algn="ctr" rotWithShape="0">
                <a:srgbClr val="000000">
                  <a:alpha val="63000"/>
                </a:srgbClr>
              </a:outerShdw>
            </a:effectLst>
          </c:spPr>
        </c:marker>
      </c:pivotFmt>
      <c:pivotFmt>
        <c:idx val="1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FEBAF6"/>
            </a:solidFill>
            <a:round/>
          </a:ln>
          <a:effectLst>
            <a:outerShdw blurRad="57150" dist="19050" dir="5400000" algn="ctr" rotWithShape="0">
              <a:srgbClr val="000000">
                <a:alpha val="63000"/>
              </a:srgbClr>
            </a:outerShdw>
          </a:effectLst>
        </c:spPr>
        <c:marker>
          <c:symbol val="circle"/>
          <c:size val="4"/>
          <c:spPr>
            <a:solidFill>
              <a:srgbClr val="FEBAF6"/>
            </a:solidFill>
            <a:ln w="9525">
              <a:noFill/>
              <a:round/>
            </a:ln>
            <a:effectLst>
              <a:outerShdw blurRad="57150" dist="19050" dir="5400000" algn="ctr" rotWithShape="0">
                <a:srgbClr val="000000">
                  <a:alpha val="63000"/>
                </a:srgbClr>
              </a:outerShdw>
            </a:effectLst>
          </c:spPr>
        </c:marker>
      </c:pivotFmt>
      <c:pivotFmt>
        <c:idx val="1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660066"/>
            </a:solidFill>
            <a:round/>
          </a:ln>
          <a:effectLst>
            <a:outerShdw blurRad="57150" dist="19050" dir="5400000" algn="ctr" rotWithShape="0">
              <a:srgbClr val="000000">
                <a:alpha val="63000"/>
              </a:srgbClr>
            </a:outerShdw>
          </a:effectLst>
        </c:spPr>
        <c:marker>
          <c:symbol val="circle"/>
          <c:size val="4"/>
          <c:spPr>
            <a:solidFill>
              <a:srgbClr val="800271"/>
            </a:solidFill>
            <a:ln w="9525">
              <a:noFill/>
              <a:round/>
            </a:ln>
            <a:effectLst>
              <a:outerShdw blurRad="57150" dist="19050" dir="5400000" algn="ctr" rotWithShape="0">
                <a:srgbClr val="000000">
                  <a:alpha val="63000"/>
                </a:srgbClr>
              </a:outerShdw>
            </a:effectLst>
          </c:spPr>
        </c:marker>
      </c:pivotFmt>
      <c:pivotFmt>
        <c:idx val="1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660066"/>
            </a:solidFill>
            <a:round/>
          </a:ln>
          <a:effectLst>
            <a:outerShdw blurRad="57150" dist="19050" dir="5400000" algn="ctr" rotWithShape="0">
              <a:srgbClr val="000000">
                <a:alpha val="63000"/>
              </a:srgbClr>
            </a:outerShdw>
          </a:effectLst>
        </c:spPr>
        <c:marker>
          <c:symbol val="circle"/>
          <c:size val="4"/>
          <c:spPr>
            <a:solidFill>
              <a:srgbClr val="800271"/>
            </a:solidFill>
            <a:ln w="9525">
              <a:noFill/>
              <a:round/>
            </a:ln>
            <a:effectLst>
              <a:outerShdw blurRad="57150" dist="19050" dir="5400000" algn="ctr" rotWithShape="0">
                <a:srgbClr val="000000">
                  <a:alpha val="63000"/>
                </a:srgbClr>
              </a:outerShdw>
            </a:effectLst>
          </c:spPr>
        </c:marker>
      </c:pivotFmt>
      <c:pivotFmt>
        <c:idx val="104"/>
        <c:spPr>
          <a:ln w="19050" cap="rnd">
            <a:solidFill>
              <a:srgbClr val="9869A7"/>
            </a:solidFill>
            <a:round/>
          </a:ln>
          <a:effectLst>
            <a:outerShdw blurRad="57150" dist="19050" dir="5400000" algn="ctr" rotWithShape="0">
              <a:srgbClr val="000000">
                <a:alpha val="63000"/>
              </a:srgbClr>
            </a:outerShdw>
          </a:effectLst>
        </c:spPr>
        <c:marker>
          <c:symbol val="circle"/>
          <c:size val="4"/>
          <c:spPr>
            <a:solidFill>
              <a:srgbClr val="9869A7"/>
            </a:solidFill>
            <a:ln w="9525">
              <a:noFill/>
              <a:round/>
            </a:ln>
            <a:effectLst>
              <a:outerShdw blurRad="57150" dist="19050" dir="5400000" algn="ctr" rotWithShape="0">
                <a:srgbClr val="000000">
                  <a:alpha val="63000"/>
                </a:srgbClr>
              </a:outerShdw>
            </a:effectLst>
          </c:spPr>
        </c:marker>
      </c:pivotFmt>
      <c:pivotFmt>
        <c:idx val="105"/>
        <c:spPr>
          <a:ln w="19050" cap="rnd">
            <a:solidFill>
              <a:srgbClr val="9869A7"/>
            </a:solidFill>
            <a:round/>
          </a:ln>
          <a:effectLst>
            <a:outerShdw blurRad="57150" dist="19050" dir="5400000" algn="ctr" rotWithShape="0">
              <a:srgbClr val="000000">
                <a:alpha val="63000"/>
              </a:srgbClr>
            </a:outerShdw>
          </a:effectLst>
        </c:spPr>
        <c:marker>
          <c:symbol val="circle"/>
          <c:size val="4"/>
          <c:spPr>
            <a:solidFill>
              <a:srgbClr val="9869A7"/>
            </a:solidFill>
            <a:ln w="9525">
              <a:noFill/>
              <a:round/>
            </a:ln>
            <a:effectLst>
              <a:outerShdw blurRad="57150" dist="19050" dir="5400000" algn="ctr" rotWithShape="0">
                <a:srgbClr val="000000">
                  <a:alpha val="63000"/>
                </a:srgbClr>
              </a:outerShdw>
            </a:effectLst>
          </c:spPr>
        </c:marker>
      </c:pivotFmt>
      <c:pivotFmt>
        <c:idx val="106"/>
        <c:spPr>
          <a:ln w="19050" cap="rnd">
            <a:solidFill>
              <a:srgbClr val="9869A7"/>
            </a:solidFill>
            <a:round/>
          </a:ln>
          <a:effectLst>
            <a:outerShdw blurRad="57150" dist="19050" dir="5400000" algn="ctr" rotWithShape="0">
              <a:srgbClr val="000000">
                <a:alpha val="63000"/>
              </a:srgbClr>
            </a:outerShdw>
          </a:effectLst>
        </c:spPr>
        <c:marker>
          <c:symbol val="circle"/>
          <c:size val="4"/>
          <c:spPr>
            <a:solidFill>
              <a:srgbClr val="9869A7"/>
            </a:solidFill>
            <a:ln w="9525">
              <a:noFill/>
              <a:round/>
            </a:ln>
            <a:effectLst>
              <a:outerShdw blurRad="57150" dist="19050" dir="5400000" algn="ctr" rotWithShape="0">
                <a:srgbClr val="000000">
                  <a:alpha val="63000"/>
                </a:srgbClr>
              </a:outerShdw>
            </a:effectLst>
          </c:spPr>
        </c:marker>
      </c:pivotFmt>
      <c:pivotFmt>
        <c:idx val="107"/>
        <c:spPr>
          <a:ln w="19050" cap="rnd">
            <a:solidFill>
              <a:srgbClr val="9869A7"/>
            </a:solidFill>
            <a:round/>
          </a:ln>
          <a:effectLst>
            <a:outerShdw blurRad="57150" dist="19050" dir="5400000" algn="ctr" rotWithShape="0">
              <a:srgbClr val="000000">
                <a:alpha val="63000"/>
              </a:srgbClr>
            </a:outerShdw>
          </a:effectLst>
        </c:spPr>
        <c:marker>
          <c:symbol val="circle"/>
          <c:size val="4"/>
          <c:spPr>
            <a:solidFill>
              <a:srgbClr val="9869A7"/>
            </a:solidFill>
            <a:ln w="9525">
              <a:noFill/>
              <a:round/>
            </a:ln>
            <a:effectLst>
              <a:outerShdw blurRad="57150" dist="19050" dir="5400000" algn="ctr" rotWithShape="0">
                <a:srgbClr val="000000">
                  <a:alpha val="63000"/>
                </a:srgbClr>
              </a:outerShdw>
            </a:effectLst>
          </c:spPr>
        </c:marker>
      </c:pivotFmt>
      <c:pivotFmt>
        <c:idx val="108"/>
        <c:spPr>
          <a:ln w="19050" cap="rnd">
            <a:solidFill>
              <a:srgbClr val="9869A7"/>
            </a:solidFill>
            <a:round/>
          </a:ln>
          <a:effectLst>
            <a:outerShdw blurRad="57150" dist="19050" dir="5400000" algn="ctr" rotWithShape="0">
              <a:srgbClr val="000000">
                <a:alpha val="63000"/>
              </a:srgbClr>
            </a:outerShdw>
          </a:effectLst>
        </c:spPr>
        <c:marker>
          <c:symbol val="circle"/>
          <c:size val="4"/>
          <c:spPr>
            <a:solidFill>
              <a:srgbClr val="9869A7"/>
            </a:solidFill>
            <a:ln w="9525">
              <a:noFill/>
              <a:round/>
            </a:ln>
            <a:effectLst>
              <a:outerShdw blurRad="57150" dist="19050" dir="5400000" algn="ctr" rotWithShape="0">
                <a:srgbClr val="000000">
                  <a:alpha val="63000"/>
                </a:srgbClr>
              </a:outerShdw>
            </a:effectLst>
          </c:spPr>
        </c:marker>
      </c:pivotFmt>
      <c:pivotFmt>
        <c:idx val="109"/>
        <c:spPr>
          <a:ln w="19050" cap="rnd">
            <a:solidFill>
              <a:srgbClr val="9869A7"/>
            </a:solidFill>
            <a:round/>
          </a:ln>
          <a:effectLst>
            <a:outerShdw blurRad="57150" dist="19050" dir="5400000" algn="ctr" rotWithShape="0">
              <a:srgbClr val="000000">
                <a:alpha val="63000"/>
              </a:srgbClr>
            </a:outerShdw>
          </a:effectLst>
        </c:spPr>
        <c:marker>
          <c:symbol val="circle"/>
          <c:size val="4"/>
          <c:spPr>
            <a:solidFill>
              <a:srgbClr val="9869A7"/>
            </a:solidFill>
            <a:ln w="9525">
              <a:noFill/>
              <a:round/>
            </a:ln>
            <a:effectLst>
              <a:outerShdw blurRad="57150" dist="19050" dir="5400000" algn="ctr" rotWithShape="0">
                <a:srgbClr val="000000">
                  <a:alpha val="63000"/>
                </a:srgbClr>
              </a:outerShdw>
            </a:effectLst>
          </c:spPr>
        </c:marker>
      </c:pivotFmt>
      <c:pivotFmt>
        <c:idx val="110"/>
        <c:spPr>
          <a:ln w="19050" cap="rnd">
            <a:solidFill>
              <a:srgbClr val="9869A7"/>
            </a:solidFill>
            <a:round/>
          </a:ln>
          <a:effectLst>
            <a:outerShdw blurRad="57150" dist="19050" dir="5400000" algn="ctr" rotWithShape="0">
              <a:srgbClr val="000000">
                <a:alpha val="63000"/>
              </a:srgbClr>
            </a:outerShdw>
          </a:effectLst>
        </c:spPr>
        <c:marker>
          <c:symbol val="circle"/>
          <c:size val="4"/>
          <c:spPr>
            <a:solidFill>
              <a:srgbClr val="9869A7"/>
            </a:solidFill>
            <a:ln w="9525">
              <a:noFill/>
              <a:round/>
            </a:ln>
            <a:effectLst>
              <a:outerShdw blurRad="57150" dist="19050" dir="5400000" algn="ctr" rotWithShape="0">
                <a:srgbClr val="000000">
                  <a:alpha val="63000"/>
                </a:srgbClr>
              </a:outerShdw>
            </a:effectLst>
          </c:spPr>
        </c:marker>
      </c:pivotFmt>
      <c:pivotFmt>
        <c:idx val="111"/>
        <c:spPr>
          <a:ln w="19050" cap="rnd">
            <a:solidFill>
              <a:srgbClr val="9869A7"/>
            </a:solidFill>
            <a:round/>
          </a:ln>
          <a:effectLst>
            <a:outerShdw blurRad="57150" dist="19050" dir="5400000" algn="ctr" rotWithShape="0">
              <a:srgbClr val="000000">
                <a:alpha val="63000"/>
              </a:srgbClr>
            </a:outerShdw>
          </a:effectLst>
        </c:spPr>
        <c:marker>
          <c:symbol val="circle"/>
          <c:size val="4"/>
          <c:spPr>
            <a:solidFill>
              <a:srgbClr val="9869A7"/>
            </a:solidFill>
            <a:ln w="9525">
              <a:noFill/>
              <a:round/>
            </a:ln>
            <a:effectLst>
              <a:outerShdw blurRad="57150" dist="19050" dir="5400000" algn="ctr" rotWithShape="0">
                <a:srgbClr val="000000">
                  <a:alpha val="63000"/>
                </a:srgbClr>
              </a:outerShdw>
            </a:effectLst>
          </c:spPr>
        </c:marker>
      </c:pivotFmt>
      <c:pivotFmt>
        <c:idx val="112"/>
        <c:spPr>
          <a:ln w="19050" cap="rnd">
            <a:solidFill>
              <a:srgbClr val="FEBAF6"/>
            </a:solidFill>
            <a:round/>
          </a:ln>
          <a:effectLst>
            <a:outerShdw blurRad="57150" dist="19050" dir="5400000" algn="ctr" rotWithShape="0">
              <a:srgbClr val="000000">
                <a:alpha val="63000"/>
              </a:srgbClr>
            </a:outerShdw>
          </a:effectLst>
        </c:spPr>
        <c:marker>
          <c:symbol val="circle"/>
          <c:size val="4"/>
          <c:spPr>
            <a:solidFill>
              <a:srgbClr val="FEBAF6"/>
            </a:solidFill>
            <a:ln w="9525">
              <a:noFill/>
              <a:round/>
            </a:ln>
            <a:effectLst>
              <a:outerShdw blurRad="57150" dist="19050" dir="5400000" algn="ctr" rotWithShape="0">
                <a:srgbClr val="000000">
                  <a:alpha val="63000"/>
                </a:srgbClr>
              </a:outerShdw>
            </a:effectLst>
          </c:spPr>
        </c:marker>
      </c:pivotFmt>
      <c:pivotFmt>
        <c:idx val="113"/>
        <c:spPr>
          <a:ln w="19050" cap="rnd">
            <a:solidFill>
              <a:srgbClr val="FEBAF6"/>
            </a:solidFill>
            <a:round/>
          </a:ln>
          <a:effectLst>
            <a:outerShdw blurRad="57150" dist="19050" dir="5400000" algn="ctr" rotWithShape="0">
              <a:srgbClr val="000000">
                <a:alpha val="63000"/>
              </a:srgbClr>
            </a:outerShdw>
          </a:effectLst>
        </c:spPr>
        <c:marker>
          <c:symbol val="circle"/>
          <c:size val="4"/>
          <c:spPr>
            <a:solidFill>
              <a:srgbClr val="FEBAF6"/>
            </a:solidFill>
            <a:ln w="9525">
              <a:noFill/>
              <a:round/>
            </a:ln>
            <a:effectLst>
              <a:outerShdw blurRad="57150" dist="19050" dir="5400000" algn="ctr" rotWithShape="0">
                <a:srgbClr val="000000">
                  <a:alpha val="63000"/>
                </a:srgbClr>
              </a:outerShdw>
            </a:effectLst>
          </c:spPr>
        </c:marker>
      </c:pivotFmt>
      <c:pivotFmt>
        <c:idx val="114"/>
        <c:spPr>
          <a:ln w="19050" cap="rnd">
            <a:solidFill>
              <a:srgbClr val="FEBAF6"/>
            </a:solidFill>
            <a:round/>
          </a:ln>
          <a:effectLst>
            <a:outerShdw blurRad="57150" dist="19050" dir="5400000" algn="ctr" rotWithShape="0">
              <a:srgbClr val="000000">
                <a:alpha val="63000"/>
              </a:srgbClr>
            </a:outerShdw>
          </a:effectLst>
        </c:spPr>
        <c:marker>
          <c:symbol val="circle"/>
          <c:size val="4"/>
          <c:spPr>
            <a:solidFill>
              <a:srgbClr val="FEBAF6"/>
            </a:solidFill>
            <a:ln w="9525">
              <a:noFill/>
              <a:round/>
            </a:ln>
            <a:effectLst>
              <a:outerShdw blurRad="57150" dist="19050" dir="5400000" algn="ctr" rotWithShape="0">
                <a:srgbClr val="000000">
                  <a:alpha val="63000"/>
                </a:srgbClr>
              </a:outerShdw>
            </a:effectLst>
          </c:spPr>
        </c:marker>
      </c:pivotFmt>
      <c:pivotFmt>
        <c:idx val="115"/>
        <c:spPr>
          <a:ln w="19050" cap="rnd">
            <a:solidFill>
              <a:srgbClr val="FEBAF6"/>
            </a:solidFill>
            <a:round/>
          </a:ln>
          <a:effectLst>
            <a:outerShdw blurRad="57150" dist="19050" dir="5400000" algn="ctr" rotWithShape="0">
              <a:srgbClr val="000000">
                <a:alpha val="63000"/>
              </a:srgbClr>
            </a:outerShdw>
          </a:effectLst>
        </c:spPr>
        <c:marker>
          <c:symbol val="circle"/>
          <c:size val="4"/>
          <c:spPr>
            <a:solidFill>
              <a:srgbClr val="FEBAF6"/>
            </a:solidFill>
            <a:ln w="9525">
              <a:noFill/>
              <a:round/>
            </a:ln>
            <a:effectLst>
              <a:outerShdw blurRad="57150" dist="19050" dir="5400000" algn="ctr" rotWithShape="0">
                <a:srgbClr val="000000">
                  <a:alpha val="63000"/>
                </a:srgbClr>
              </a:outerShdw>
            </a:effectLst>
          </c:spPr>
        </c:marker>
      </c:pivotFmt>
      <c:pivotFmt>
        <c:idx val="116"/>
        <c:spPr>
          <a:ln w="19050" cap="rnd">
            <a:solidFill>
              <a:srgbClr val="FEBAF6"/>
            </a:solidFill>
            <a:round/>
          </a:ln>
          <a:effectLst>
            <a:outerShdw blurRad="57150" dist="19050" dir="5400000" algn="ctr" rotWithShape="0">
              <a:srgbClr val="000000">
                <a:alpha val="63000"/>
              </a:srgbClr>
            </a:outerShdw>
          </a:effectLst>
        </c:spPr>
        <c:marker>
          <c:symbol val="circle"/>
          <c:size val="4"/>
          <c:spPr>
            <a:solidFill>
              <a:srgbClr val="FEBAF6"/>
            </a:solidFill>
            <a:ln w="9525">
              <a:noFill/>
              <a:round/>
            </a:ln>
            <a:effectLst>
              <a:outerShdw blurRad="57150" dist="19050" dir="5400000" algn="ctr" rotWithShape="0">
                <a:srgbClr val="000000">
                  <a:alpha val="63000"/>
                </a:srgbClr>
              </a:outerShdw>
            </a:effectLst>
          </c:spPr>
        </c:marker>
      </c:pivotFmt>
      <c:pivotFmt>
        <c:idx val="117"/>
        <c:spPr>
          <a:ln w="19050" cap="rnd">
            <a:solidFill>
              <a:srgbClr val="FEBAF6"/>
            </a:solidFill>
            <a:round/>
          </a:ln>
          <a:effectLst>
            <a:outerShdw blurRad="57150" dist="19050" dir="5400000" algn="ctr" rotWithShape="0">
              <a:srgbClr val="000000">
                <a:alpha val="63000"/>
              </a:srgbClr>
            </a:outerShdw>
          </a:effectLst>
        </c:spPr>
        <c:marker>
          <c:symbol val="circle"/>
          <c:size val="4"/>
          <c:spPr>
            <a:solidFill>
              <a:srgbClr val="FEBAF6"/>
            </a:solidFill>
            <a:ln w="9525">
              <a:noFill/>
              <a:round/>
            </a:ln>
            <a:effectLst>
              <a:outerShdw blurRad="57150" dist="19050" dir="5400000" algn="ctr" rotWithShape="0">
                <a:srgbClr val="000000">
                  <a:alpha val="63000"/>
                </a:srgbClr>
              </a:outerShdw>
            </a:effectLst>
          </c:spPr>
        </c:marker>
      </c:pivotFmt>
      <c:pivotFmt>
        <c:idx val="118"/>
        <c:spPr>
          <a:ln w="19050" cap="rnd">
            <a:solidFill>
              <a:srgbClr val="FEBAF6"/>
            </a:solidFill>
            <a:round/>
          </a:ln>
          <a:effectLst>
            <a:outerShdw blurRad="57150" dist="19050" dir="5400000" algn="ctr" rotWithShape="0">
              <a:srgbClr val="000000">
                <a:alpha val="63000"/>
              </a:srgbClr>
            </a:outerShdw>
          </a:effectLst>
        </c:spPr>
        <c:marker>
          <c:symbol val="circle"/>
          <c:size val="4"/>
          <c:spPr>
            <a:solidFill>
              <a:srgbClr val="FEBAF6"/>
            </a:solidFill>
            <a:ln w="9525">
              <a:noFill/>
              <a:round/>
            </a:ln>
            <a:effectLst>
              <a:outerShdw blurRad="57150" dist="19050" dir="5400000" algn="ctr" rotWithShape="0">
                <a:srgbClr val="000000">
                  <a:alpha val="63000"/>
                </a:srgbClr>
              </a:outerShdw>
            </a:effectLst>
          </c:spPr>
        </c:marker>
      </c:pivotFmt>
      <c:pivotFmt>
        <c:idx val="119"/>
        <c:spPr>
          <a:ln w="19050" cap="rnd">
            <a:solidFill>
              <a:srgbClr val="FEBAF6"/>
            </a:solidFill>
            <a:round/>
          </a:ln>
          <a:effectLst>
            <a:outerShdw blurRad="57150" dist="19050" dir="5400000" algn="ctr" rotWithShape="0">
              <a:srgbClr val="000000">
                <a:alpha val="63000"/>
              </a:srgbClr>
            </a:outerShdw>
          </a:effectLst>
        </c:spPr>
        <c:marker>
          <c:symbol val="circle"/>
          <c:size val="4"/>
          <c:spPr>
            <a:solidFill>
              <a:srgbClr val="FEBAF6"/>
            </a:solidFill>
            <a:ln w="9525">
              <a:noFill/>
              <a:round/>
            </a:ln>
            <a:effectLst>
              <a:outerShdw blurRad="57150" dist="19050" dir="5400000" algn="ctr" rotWithShape="0">
                <a:srgbClr val="000000">
                  <a:alpha val="63000"/>
                </a:srgbClr>
              </a:outerShdw>
            </a:effectLst>
          </c:spPr>
        </c:marker>
      </c:pivotFmt>
      <c:pivotFmt>
        <c:idx val="120"/>
        <c:spPr>
          <a:ln w="19050" cap="rnd">
            <a:solidFill>
              <a:srgbClr val="660066"/>
            </a:solidFill>
            <a:round/>
          </a:ln>
          <a:effectLst>
            <a:outerShdw blurRad="57150" dist="19050" dir="5400000" algn="ctr" rotWithShape="0">
              <a:srgbClr val="000000">
                <a:alpha val="63000"/>
              </a:srgbClr>
            </a:outerShdw>
          </a:effectLst>
        </c:spPr>
        <c:marker>
          <c:symbol val="circle"/>
          <c:size val="4"/>
          <c:spPr>
            <a:solidFill>
              <a:srgbClr val="800271"/>
            </a:solidFill>
            <a:ln w="9525">
              <a:noFill/>
              <a:round/>
            </a:ln>
            <a:effectLst>
              <a:outerShdw blurRad="57150" dist="19050" dir="5400000" algn="ctr" rotWithShape="0">
                <a:srgbClr val="000000">
                  <a:alpha val="63000"/>
                </a:srgbClr>
              </a:outerShdw>
            </a:effectLst>
          </c:spPr>
        </c:marker>
      </c:pivotFmt>
      <c:pivotFmt>
        <c:idx val="121"/>
        <c:spPr>
          <a:ln w="19050" cap="rnd">
            <a:solidFill>
              <a:srgbClr val="660066"/>
            </a:solidFill>
            <a:round/>
          </a:ln>
          <a:effectLst>
            <a:outerShdw blurRad="57150" dist="19050" dir="5400000" algn="ctr" rotWithShape="0">
              <a:srgbClr val="000000">
                <a:alpha val="63000"/>
              </a:srgbClr>
            </a:outerShdw>
          </a:effectLst>
        </c:spPr>
        <c:marker>
          <c:symbol val="circle"/>
          <c:size val="4"/>
          <c:spPr>
            <a:solidFill>
              <a:srgbClr val="800271"/>
            </a:solidFill>
            <a:ln w="9525">
              <a:noFill/>
              <a:round/>
            </a:ln>
            <a:effectLst>
              <a:outerShdw blurRad="57150" dist="19050" dir="5400000" algn="ctr" rotWithShape="0">
                <a:srgbClr val="000000">
                  <a:alpha val="63000"/>
                </a:srgbClr>
              </a:outerShdw>
            </a:effectLst>
          </c:spPr>
        </c:marker>
      </c:pivotFmt>
      <c:pivotFmt>
        <c:idx val="122"/>
        <c:spPr>
          <a:ln w="19050" cap="rnd">
            <a:solidFill>
              <a:srgbClr val="660066"/>
            </a:solidFill>
            <a:round/>
          </a:ln>
          <a:effectLst>
            <a:outerShdw blurRad="57150" dist="19050" dir="5400000" algn="ctr" rotWithShape="0">
              <a:srgbClr val="000000">
                <a:alpha val="63000"/>
              </a:srgbClr>
            </a:outerShdw>
          </a:effectLst>
        </c:spPr>
        <c:marker>
          <c:symbol val="circle"/>
          <c:size val="4"/>
          <c:spPr>
            <a:solidFill>
              <a:srgbClr val="800271"/>
            </a:solidFill>
            <a:ln w="9525">
              <a:noFill/>
              <a:round/>
            </a:ln>
            <a:effectLst>
              <a:outerShdw blurRad="57150" dist="19050" dir="5400000" algn="ctr" rotWithShape="0">
                <a:srgbClr val="000000">
                  <a:alpha val="63000"/>
                </a:srgbClr>
              </a:outerShdw>
            </a:effectLst>
          </c:spPr>
        </c:marker>
      </c:pivotFmt>
    </c:pivotFmts>
    <c:plotArea>
      <c:layout>
        <c:manualLayout>
          <c:layoutTarget val="inner"/>
          <c:xMode val="edge"/>
          <c:yMode val="edge"/>
          <c:x val="0.21134261344786323"/>
          <c:y val="0.15542488020298842"/>
          <c:w val="0.74241762704090741"/>
          <c:h val="0.62403581107923012"/>
        </c:manualLayout>
      </c:layout>
      <c:lineChart>
        <c:grouping val="standard"/>
        <c:varyColors val="0"/>
        <c:ser>
          <c:idx val="0"/>
          <c:order val="0"/>
          <c:tx>
            <c:strRef>
              <c:f>'peads-5-14'!$J$5</c:f>
              <c:strCache>
                <c:ptCount val="1"/>
                <c:pt idx="0">
                  <c:v> CD4&lt;200%</c:v>
                </c:pt>
              </c:strCache>
            </c:strRef>
          </c:tx>
          <c:spPr>
            <a:ln w="19050" cap="rnd">
              <a:solidFill>
                <a:srgbClr val="9869A7"/>
              </a:solidFill>
              <a:round/>
            </a:ln>
            <a:effectLst>
              <a:outerShdw blurRad="57150" dist="19050" dir="5400000" algn="ctr" rotWithShape="0">
                <a:srgbClr val="000000">
                  <a:alpha val="63000"/>
                </a:srgbClr>
              </a:outerShdw>
            </a:effectLst>
          </c:spPr>
          <c:marker>
            <c:symbol val="circle"/>
            <c:size val="4"/>
            <c:spPr>
              <a:solidFill>
                <a:srgbClr val="9869A7"/>
              </a:solidFill>
              <a:ln w="9525">
                <a:noFill/>
                <a:round/>
              </a:ln>
              <a:effectLst>
                <a:outerShdw blurRad="57150" dist="19050" dir="5400000" algn="ctr" rotWithShape="0">
                  <a:srgbClr val="000000">
                    <a:alpha val="63000"/>
                  </a:srgbClr>
                </a:outerShdw>
              </a:effectLst>
            </c:spPr>
          </c:marker>
          <c:dPt>
            <c:idx val="0"/>
            <c:marker>
              <c:symbol val="circle"/>
              <c:size val="4"/>
              <c:spPr>
                <a:solidFill>
                  <a:srgbClr val="9869A7"/>
                </a:solidFill>
                <a:ln w="9525">
                  <a:noFill/>
                  <a:round/>
                </a:ln>
                <a:effectLst>
                  <a:outerShdw blurRad="57150" dist="19050" dir="5400000" algn="ctr" rotWithShape="0">
                    <a:srgbClr val="000000">
                      <a:alpha val="63000"/>
                    </a:srgbClr>
                  </a:outerShdw>
                </a:effectLst>
              </c:spPr>
            </c:marker>
            <c:bubble3D val="0"/>
            <c:spPr>
              <a:ln w="19050" cap="rnd">
                <a:solidFill>
                  <a:srgbClr val="9869A7"/>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E4C-4D93-A8B7-03EA24B7C173}"/>
              </c:ext>
            </c:extLst>
          </c:dPt>
          <c:dPt>
            <c:idx val="1"/>
            <c:marker>
              <c:symbol val="circle"/>
              <c:size val="4"/>
              <c:spPr>
                <a:solidFill>
                  <a:srgbClr val="9869A7"/>
                </a:solidFill>
                <a:ln w="9525">
                  <a:noFill/>
                  <a:round/>
                </a:ln>
                <a:effectLst>
                  <a:outerShdw blurRad="57150" dist="19050" dir="5400000" algn="ctr" rotWithShape="0">
                    <a:srgbClr val="000000">
                      <a:alpha val="63000"/>
                    </a:srgbClr>
                  </a:outerShdw>
                </a:effectLst>
              </c:spPr>
            </c:marker>
            <c:bubble3D val="0"/>
            <c:spPr>
              <a:ln w="19050" cap="rnd">
                <a:solidFill>
                  <a:srgbClr val="9869A7"/>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E4C-4D93-A8B7-03EA24B7C173}"/>
              </c:ext>
            </c:extLst>
          </c:dPt>
          <c:dPt>
            <c:idx val="2"/>
            <c:marker>
              <c:symbol val="circle"/>
              <c:size val="4"/>
              <c:spPr>
                <a:solidFill>
                  <a:srgbClr val="9869A7"/>
                </a:solidFill>
                <a:ln w="9525">
                  <a:noFill/>
                  <a:round/>
                </a:ln>
                <a:effectLst>
                  <a:outerShdw blurRad="57150" dist="19050" dir="5400000" algn="ctr" rotWithShape="0">
                    <a:srgbClr val="000000">
                      <a:alpha val="63000"/>
                    </a:srgbClr>
                  </a:outerShdw>
                </a:effectLst>
              </c:spPr>
            </c:marker>
            <c:bubble3D val="0"/>
            <c:spPr>
              <a:ln w="19050" cap="rnd">
                <a:solidFill>
                  <a:srgbClr val="9869A7"/>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E4C-4D93-A8B7-03EA24B7C173}"/>
              </c:ext>
            </c:extLst>
          </c:dPt>
          <c:dPt>
            <c:idx val="3"/>
            <c:marker>
              <c:symbol val="circle"/>
              <c:size val="4"/>
              <c:spPr>
                <a:solidFill>
                  <a:srgbClr val="9869A7"/>
                </a:solidFill>
                <a:ln w="9525">
                  <a:noFill/>
                  <a:round/>
                </a:ln>
                <a:effectLst>
                  <a:outerShdw blurRad="57150" dist="19050" dir="5400000" algn="ctr" rotWithShape="0">
                    <a:srgbClr val="000000">
                      <a:alpha val="63000"/>
                    </a:srgbClr>
                  </a:outerShdw>
                </a:effectLst>
              </c:spPr>
            </c:marker>
            <c:bubble3D val="0"/>
            <c:spPr>
              <a:ln w="19050" cap="rnd">
                <a:solidFill>
                  <a:srgbClr val="9869A7"/>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1E4C-4D93-A8B7-03EA24B7C173}"/>
              </c:ext>
            </c:extLst>
          </c:dPt>
          <c:dPt>
            <c:idx val="4"/>
            <c:marker>
              <c:symbol val="circle"/>
              <c:size val="4"/>
              <c:spPr>
                <a:solidFill>
                  <a:srgbClr val="9869A7"/>
                </a:solidFill>
                <a:ln w="9525">
                  <a:noFill/>
                  <a:round/>
                </a:ln>
                <a:effectLst>
                  <a:outerShdw blurRad="57150" dist="19050" dir="5400000" algn="ctr" rotWithShape="0">
                    <a:srgbClr val="000000">
                      <a:alpha val="63000"/>
                    </a:srgbClr>
                  </a:outerShdw>
                </a:effectLst>
              </c:spPr>
            </c:marker>
            <c:bubble3D val="0"/>
            <c:spPr>
              <a:ln w="19050" cap="rnd">
                <a:solidFill>
                  <a:srgbClr val="9869A7"/>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1E4C-4D93-A8B7-03EA24B7C173}"/>
              </c:ext>
            </c:extLst>
          </c:dPt>
          <c:dPt>
            <c:idx val="5"/>
            <c:marker>
              <c:symbol val="circle"/>
              <c:size val="4"/>
              <c:spPr>
                <a:solidFill>
                  <a:srgbClr val="9869A7"/>
                </a:solidFill>
                <a:ln w="9525">
                  <a:noFill/>
                  <a:round/>
                </a:ln>
                <a:effectLst>
                  <a:outerShdw blurRad="57150" dist="19050" dir="5400000" algn="ctr" rotWithShape="0">
                    <a:srgbClr val="000000">
                      <a:alpha val="63000"/>
                    </a:srgbClr>
                  </a:outerShdw>
                </a:effectLst>
              </c:spPr>
            </c:marker>
            <c:bubble3D val="0"/>
            <c:spPr>
              <a:ln w="19050" cap="rnd">
                <a:solidFill>
                  <a:srgbClr val="9869A7"/>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1E4C-4D93-A8B7-03EA24B7C173}"/>
              </c:ext>
            </c:extLst>
          </c:dPt>
          <c:dPt>
            <c:idx val="6"/>
            <c:marker>
              <c:symbol val="circle"/>
              <c:size val="4"/>
              <c:spPr>
                <a:solidFill>
                  <a:srgbClr val="9869A7"/>
                </a:solidFill>
                <a:ln w="9525">
                  <a:noFill/>
                  <a:round/>
                </a:ln>
                <a:effectLst>
                  <a:outerShdw blurRad="57150" dist="19050" dir="5400000" algn="ctr" rotWithShape="0">
                    <a:srgbClr val="000000">
                      <a:alpha val="63000"/>
                    </a:srgbClr>
                  </a:outerShdw>
                </a:effectLst>
              </c:spPr>
            </c:marker>
            <c:bubble3D val="0"/>
            <c:spPr>
              <a:ln w="19050" cap="rnd">
                <a:solidFill>
                  <a:srgbClr val="9869A7"/>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1F7C-4869-9AF1-87CF8470C703}"/>
              </c:ext>
            </c:extLst>
          </c:dPt>
          <c:dPt>
            <c:idx val="7"/>
            <c:marker>
              <c:symbol val="circle"/>
              <c:size val="4"/>
              <c:spPr>
                <a:solidFill>
                  <a:srgbClr val="9869A7"/>
                </a:solidFill>
                <a:ln w="9525">
                  <a:noFill/>
                  <a:round/>
                </a:ln>
                <a:effectLst>
                  <a:outerShdw blurRad="57150" dist="19050" dir="5400000" algn="ctr" rotWithShape="0">
                    <a:srgbClr val="000000">
                      <a:alpha val="63000"/>
                    </a:srgbClr>
                  </a:outerShdw>
                </a:effectLst>
              </c:spPr>
            </c:marker>
            <c:bubble3D val="0"/>
            <c:spPr>
              <a:ln w="19050" cap="rnd">
                <a:solidFill>
                  <a:srgbClr val="9869A7"/>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1F7C-4869-9AF1-87CF8470C703}"/>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'peads-5-14'!$I$6:$I$25</c:f>
              <c:multiLvlStrCache>
                <c:ptCount val="1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2024</c:v>
                  </c:pt>
                  <c:pt idx="12">
                    <c:v>2025</c:v>
                  </c:pt>
                </c:lvl>
              </c:multiLvlStrCache>
            </c:multiLvlStrRef>
          </c:cat>
          <c:val>
            <c:numRef>
              <c:f>'peads-5-14'!$J$6:$J$25</c:f>
              <c:numCache>
                <c:formatCode>General</c:formatCode>
                <c:ptCount val="17"/>
                <c:pt idx="0">
                  <c:v>0.15789473684210525</c:v>
                </c:pt>
                <c:pt idx="1">
                  <c:v>0.15789473684210525</c:v>
                </c:pt>
                <c:pt idx="2">
                  <c:v>0.25</c:v>
                </c:pt>
                <c:pt idx="3">
                  <c:v>0</c:v>
                </c:pt>
                <c:pt idx="4">
                  <c:v>0.21428571428571427</c:v>
                </c:pt>
                <c:pt idx="5">
                  <c:v>0.13043478260869565</c:v>
                </c:pt>
                <c:pt idx="6">
                  <c:v>0.2</c:v>
                </c:pt>
                <c:pt idx="7">
                  <c:v>0.25</c:v>
                </c:pt>
                <c:pt idx="8">
                  <c:v>0.23529411764705882</c:v>
                </c:pt>
                <c:pt idx="9">
                  <c:v>0.2</c:v>
                </c:pt>
                <c:pt idx="10">
                  <c:v>0.18181818181818182</c:v>
                </c:pt>
                <c:pt idx="11">
                  <c:v>0.14285714285714285</c:v>
                </c:pt>
                <c:pt idx="12">
                  <c:v>0.2857142857142857</c:v>
                </c:pt>
                <c:pt idx="13">
                  <c:v>0.2857142857142857</c:v>
                </c:pt>
                <c:pt idx="14">
                  <c:v>0.11764705882352941</c:v>
                </c:pt>
                <c:pt idx="15">
                  <c:v>9.0909090909090912E-2</c:v>
                </c:pt>
                <c:pt idx="16">
                  <c:v>0.15384615384615385</c:v>
                </c:pt>
              </c:numCache>
            </c:numRef>
          </c:val>
          <c:smooth val="1"/>
          <c:extLst>
            <c:ext xmlns:c16="http://schemas.microsoft.com/office/drawing/2014/chart" uri="{C3380CC4-5D6E-409C-BE32-E72D297353CC}">
              <c16:uniqueId val="{0000000C-1E4C-4D93-A8B7-03EA24B7C173}"/>
            </c:ext>
          </c:extLst>
        </c:ser>
        <c:ser>
          <c:idx val="1"/>
          <c:order val="1"/>
          <c:tx>
            <c:strRef>
              <c:f>'peads-5-14'!$K$5</c:f>
              <c:strCache>
                <c:ptCount val="1"/>
                <c:pt idx="0">
                  <c:v> LAM+%</c:v>
                </c:pt>
              </c:strCache>
            </c:strRef>
          </c:tx>
          <c:spPr>
            <a:ln w="19050" cap="rnd">
              <a:solidFill>
                <a:srgbClr val="FEBAF6"/>
              </a:solidFill>
              <a:round/>
            </a:ln>
            <a:effectLst>
              <a:outerShdw blurRad="57150" dist="19050" dir="5400000" algn="ctr" rotWithShape="0">
                <a:srgbClr val="000000">
                  <a:alpha val="63000"/>
                </a:srgbClr>
              </a:outerShdw>
            </a:effectLst>
          </c:spPr>
          <c:marker>
            <c:symbol val="circle"/>
            <c:size val="4"/>
            <c:spPr>
              <a:solidFill>
                <a:srgbClr val="FEBAF6"/>
              </a:solidFill>
              <a:ln w="9525">
                <a:noFill/>
                <a:round/>
              </a:ln>
              <a:effectLst>
                <a:outerShdw blurRad="57150" dist="19050" dir="5400000" algn="ctr" rotWithShape="0">
                  <a:srgbClr val="000000">
                    <a:alpha val="63000"/>
                  </a:srgbClr>
                </a:outerShdw>
              </a:effectLst>
            </c:spPr>
          </c:marker>
          <c:dPt>
            <c:idx val="0"/>
            <c:marker>
              <c:symbol val="circle"/>
              <c:size val="4"/>
              <c:spPr>
                <a:solidFill>
                  <a:srgbClr val="FEBAF6"/>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E-1E4C-4D93-A8B7-03EA24B7C173}"/>
              </c:ext>
            </c:extLst>
          </c:dPt>
          <c:dPt>
            <c:idx val="1"/>
            <c:marker>
              <c:symbol val="circle"/>
              <c:size val="4"/>
              <c:spPr>
                <a:solidFill>
                  <a:srgbClr val="FEBAF6"/>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10-1E4C-4D93-A8B7-03EA24B7C173}"/>
              </c:ext>
            </c:extLst>
          </c:dPt>
          <c:dPt>
            <c:idx val="2"/>
            <c:marker>
              <c:symbol val="circle"/>
              <c:size val="4"/>
              <c:spPr>
                <a:solidFill>
                  <a:srgbClr val="FEBAF6"/>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12-1E4C-4D93-A8B7-03EA24B7C173}"/>
              </c:ext>
            </c:extLst>
          </c:dPt>
          <c:dPt>
            <c:idx val="3"/>
            <c:marker>
              <c:symbol val="circle"/>
              <c:size val="4"/>
              <c:spPr>
                <a:solidFill>
                  <a:srgbClr val="FEBAF6"/>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14-1E4C-4D93-A8B7-03EA24B7C173}"/>
              </c:ext>
            </c:extLst>
          </c:dPt>
          <c:dPt>
            <c:idx val="4"/>
            <c:marker>
              <c:symbol val="circle"/>
              <c:size val="4"/>
              <c:spPr>
                <a:solidFill>
                  <a:srgbClr val="FEBAF6"/>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16-1E4C-4D93-A8B7-03EA24B7C173}"/>
              </c:ext>
            </c:extLst>
          </c:dPt>
          <c:dPt>
            <c:idx val="5"/>
            <c:marker>
              <c:symbol val="circle"/>
              <c:size val="4"/>
              <c:spPr>
                <a:solidFill>
                  <a:srgbClr val="FEBAF6"/>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18-1E4C-4D93-A8B7-03EA24B7C173}"/>
              </c:ext>
            </c:extLst>
          </c:dPt>
          <c:dPt>
            <c:idx val="6"/>
            <c:marker>
              <c:symbol val="circle"/>
              <c:size val="4"/>
              <c:spPr>
                <a:solidFill>
                  <a:srgbClr val="FEBAF6"/>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1D-1F7C-4869-9AF1-87CF8470C703}"/>
              </c:ext>
            </c:extLst>
          </c:dPt>
          <c:dPt>
            <c:idx val="7"/>
            <c:marker>
              <c:symbol val="circle"/>
              <c:size val="4"/>
              <c:spPr>
                <a:solidFill>
                  <a:srgbClr val="FEBAF6"/>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1F-1F7C-4869-9AF1-87CF8470C703}"/>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'peads-5-14'!$I$6:$I$25</c:f>
              <c:multiLvlStrCache>
                <c:ptCount val="1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2024</c:v>
                  </c:pt>
                  <c:pt idx="12">
                    <c:v>2025</c:v>
                  </c:pt>
                </c:lvl>
              </c:multiLvlStrCache>
            </c:multiLvlStrRef>
          </c:cat>
          <c:val>
            <c:numRef>
              <c:f>'peads-5-14'!$K$6:$K$25</c:f>
              <c:numCache>
                <c:formatCode>General</c:formatCode>
                <c:ptCount val="17"/>
                <c:pt idx="0">
                  <c:v>0</c:v>
                </c:pt>
                <c:pt idx="1">
                  <c:v>0</c:v>
                </c:pt>
                <c:pt idx="2">
                  <c:v>0</c:v>
                </c:pt>
                <c:pt idx="3">
                  <c:v>#N/A</c:v>
                </c:pt>
                <c:pt idx="4">
                  <c:v>0</c:v>
                </c:pt>
                <c:pt idx="5">
                  <c:v>#N/A</c:v>
                </c:pt>
                <c:pt idx="6">
                  <c:v>#N/A</c:v>
                </c:pt>
                <c:pt idx="7">
                  <c:v>#N/A</c:v>
                </c:pt>
                <c:pt idx="8">
                  <c:v>0</c:v>
                </c:pt>
                <c:pt idx="9">
                  <c:v>0</c:v>
                </c:pt>
                <c:pt idx="10">
                  <c:v>0</c:v>
                </c:pt>
                <c:pt idx="11">
                  <c:v>0</c:v>
                </c:pt>
                <c:pt idx="12">
                  <c:v>0</c:v>
                </c:pt>
                <c:pt idx="13">
                  <c:v>0</c:v>
                </c:pt>
                <c:pt idx="14">
                  <c:v>0</c:v>
                </c:pt>
                <c:pt idx="15">
                  <c:v>0</c:v>
                </c:pt>
                <c:pt idx="16">
                  <c:v>0</c:v>
                </c:pt>
              </c:numCache>
            </c:numRef>
          </c:val>
          <c:smooth val="1"/>
          <c:extLst>
            <c:ext xmlns:c16="http://schemas.microsoft.com/office/drawing/2014/chart" uri="{C3380CC4-5D6E-409C-BE32-E72D297353CC}">
              <c16:uniqueId val="{00000019-1E4C-4D93-A8B7-03EA24B7C173}"/>
            </c:ext>
          </c:extLst>
        </c:ser>
        <c:ser>
          <c:idx val="2"/>
          <c:order val="2"/>
          <c:tx>
            <c:strRef>
              <c:f>'peads-5-14'!$L$5</c:f>
              <c:strCache>
                <c:ptCount val="1"/>
                <c:pt idx="0">
                  <c:v> CrAg+%</c:v>
                </c:pt>
              </c:strCache>
            </c:strRef>
          </c:tx>
          <c:spPr>
            <a:ln w="19050" cap="rnd">
              <a:solidFill>
                <a:srgbClr val="660066"/>
              </a:solidFill>
              <a:round/>
            </a:ln>
            <a:effectLst>
              <a:outerShdw blurRad="57150" dist="19050" dir="5400000" algn="ctr" rotWithShape="0">
                <a:srgbClr val="000000">
                  <a:alpha val="63000"/>
                </a:srgbClr>
              </a:outerShdw>
            </a:effectLst>
          </c:spPr>
          <c:marker>
            <c:symbol val="circle"/>
            <c:size val="4"/>
            <c:spPr>
              <a:solidFill>
                <a:srgbClr val="800271"/>
              </a:solidFill>
              <a:ln w="9525">
                <a:noFill/>
                <a:round/>
              </a:ln>
              <a:effectLst>
                <a:outerShdw blurRad="57150" dist="19050" dir="5400000" algn="ctr" rotWithShape="0">
                  <a:srgbClr val="000000">
                    <a:alpha val="63000"/>
                  </a:srgbClr>
                </a:outerShdw>
              </a:effectLst>
            </c:spPr>
          </c:marker>
          <c:dPt>
            <c:idx val="1"/>
            <c:marker>
              <c:symbol val="circle"/>
              <c:size val="4"/>
              <c:spPr>
                <a:solidFill>
                  <a:srgbClr val="800271"/>
                </a:solidFill>
                <a:ln w="9525">
                  <a:noFill/>
                  <a:round/>
                </a:ln>
                <a:effectLst>
                  <a:outerShdw blurRad="57150" dist="19050" dir="5400000" algn="ctr" rotWithShape="0">
                    <a:srgbClr val="000000">
                      <a:alpha val="63000"/>
                    </a:srgbClr>
                  </a:outerShdw>
                </a:effectLst>
              </c:spPr>
            </c:marker>
            <c:bubble3D val="0"/>
            <c:spPr>
              <a:ln w="19050" cap="rnd">
                <a:solidFill>
                  <a:srgbClr val="660066"/>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1575-45C8-AE62-E1545144B1FC}"/>
              </c:ext>
            </c:extLst>
          </c:dPt>
          <c:dPt>
            <c:idx val="2"/>
            <c:marker>
              <c:symbol val="circle"/>
              <c:size val="4"/>
              <c:spPr>
                <a:solidFill>
                  <a:srgbClr val="800271"/>
                </a:solidFill>
                <a:ln w="9525">
                  <a:noFill/>
                  <a:round/>
                </a:ln>
                <a:effectLst>
                  <a:outerShdw blurRad="57150" dist="19050" dir="5400000" algn="ctr" rotWithShape="0">
                    <a:srgbClr val="000000">
                      <a:alpha val="63000"/>
                    </a:srgbClr>
                  </a:outerShdw>
                </a:effectLst>
              </c:spPr>
            </c:marker>
            <c:bubble3D val="0"/>
            <c:spPr>
              <a:ln w="19050" cap="rnd">
                <a:solidFill>
                  <a:srgbClr val="660066"/>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1E4C-4D93-A8B7-03EA24B7C173}"/>
              </c:ext>
            </c:extLst>
          </c:dPt>
          <c:dPt>
            <c:idx val="3"/>
            <c:marker>
              <c:symbol val="circle"/>
              <c:size val="4"/>
              <c:spPr>
                <a:solidFill>
                  <a:srgbClr val="800271"/>
                </a:solidFill>
                <a:ln w="9525">
                  <a:noFill/>
                  <a:round/>
                </a:ln>
                <a:effectLst>
                  <a:outerShdw blurRad="57150" dist="19050" dir="5400000" algn="ctr" rotWithShape="0">
                    <a:srgbClr val="000000">
                      <a:alpha val="63000"/>
                    </a:srgbClr>
                  </a:outerShdw>
                </a:effectLst>
              </c:spPr>
            </c:marker>
            <c:bubble3D val="0"/>
            <c:spPr>
              <a:ln w="19050" cap="rnd">
                <a:solidFill>
                  <a:srgbClr val="660066"/>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4-1F7C-4869-9AF1-87CF8470C703}"/>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'peads-5-14'!$I$6:$I$25</c:f>
              <c:multiLvlStrCache>
                <c:ptCount val="1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2024</c:v>
                  </c:pt>
                  <c:pt idx="12">
                    <c:v>2025</c:v>
                  </c:pt>
                </c:lvl>
              </c:multiLvlStrCache>
            </c:multiLvlStrRef>
          </c:cat>
          <c:val>
            <c:numRef>
              <c:f>'peads-5-14'!$L$6:$L$25</c:f>
              <c:numCache>
                <c:formatCode>General</c:formatCode>
                <c:ptCount val="17"/>
                <c:pt idx="0">
                  <c:v>0</c:v>
                </c:pt>
                <c:pt idx="1">
                  <c:v>#N/A</c:v>
                </c:pt>
                <c:pt idx="2">
                  <c:v>#N/A</c:v>
                </c:pt>
                <c:pt idx="3">
                  <c:v>#N/A</c:v>
                </c:pt>
                <c:pt idx="4">
                  <c:v>0</c:v>
                </c:pt>
                <c:pt idx="5">
                  <c:v>0</c:v>
                </c:pt>
                <c:pt idx="6">
                  <c:v>0</c:v>
                </c:pt>
                <c:pt idx="7">
                  <c:v>#N/A</c:v>
                </c:pt>
                <c:pt idx="8">
                  <c:v>0</c:v>
                </c:pt>
                <c:pt idx="9">
                  <c:v>0</c:v>
                </c:pt>
                <c:pt idx="10">
                  <c:v>0</c:v>
                </c:pt>
                <c:pt idx="11">
                  <c:v>0</c:v>
                </c:pt>
                <c:pt idx="12">
                  <c:v>0</c:v>
                </c:pt>
                <c:pt idx="13">
                  <c:v>0</c:v>
                </c:pt>
                <c:pt idx="14">
                  <c:v>0.1111111111111111</c:v>
                </c:pt>
                <c:pt idx="15">
                  <c:v>0</c:v>
                </c:pt>
                <c:pt idx="16">
                  <c:v>0</c:v>
                </c:pt>
              </c:numCache>
            </c:numRef>
          </c:val>
          <c:smooth val="1"/>
          <c:extLst>
            <c:ext xmlns:c16="http://schemas.microsoft.com/office/drawing/2014/chart" uri="{C3380CC4-5D6E-409C-BE32-E72D297353CC}">
              <c16:uniqueId val="{0000001C-1E4C-4D93-A8B7-03EA24B7C173}"/>
            </c:ext>
          </c:extLst>
        </c:ser>
        <c:dLbls>
          <c:dLblPos val="t"/>
          <c:showLegendKey val="0"/>
          <c:showVal val="1"/>
          <c:showCatName val="0"/>
          <c:showSerName val="0"/>
          <c:showPercent val="0"/>
          <c:showBubbleSize val="0"/>
        </c:dLbls>
        <c:marker val="1"/>
        <c:smooth val="0"/>
        <c:axId val="1061181040"/>
        <c:axId val="1061182480"/>
      </c:lineChart>
      <c:catAx>
        <c:axId val="1061181040"/>
        <c:scaling>
          <c:orientation val="minMax"/>
        </c:scaling>
        <c:delete val="0"/>
        <c:axPos val="b"/>
        <c:title>
          <c:tx>
            <c:rich>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r>
                  <a:rPr lang="en-GB" b="0" u="none"/>
                  <a:t>Period</a:t>
                </a:r>
              </a:p>
            </c:rich>
          </c:tx>
          <c:layout>
            <c:manualLayout>
              <c:xMode val="edge"/>
              <c:yMode val="edge"/>
              <c:x val="0.51206248650816766"/>
              <c:y val="0.88730556833204599"/>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2"/>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61182480"/>
        <c:crosses val="autoZero"/>
        <c:auto val="1"/>
        <c:lblAlgn val="ctr"/>
        <c:lblOffset val="100"/>
        <c:noMultiLvlLbl val="0"/>
      </c:catAx>
      <c:valAx>
        <c:axId val="1061182480"/>
        <c:scaling>
          <c:orientation val="minMax"/>
          <c:max val="1"/>
          <c:min val="0"/>
        </c:scaling>
        <c:delete val="0"/>
        <c:axPos val="l"/>
        <c:title>
          <c:tx>
            <c:rich>
              <a:bodyPr rot="-54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r>
                  <a:rPr lang="en-GB"/>
                  <a:t>proporton of ROC with AHD</a:t>
                </a:r>
              </a:p>
            </c:rich>
          </c:tx>
          <c:layout>
            <c:manualLayout>
              <c:xMode val="edge"/>
              <c:yMode val="edge"/>
              <c:x val="1.4477543687895786E-2"/>
              <c:y val="0.34694706527595781"/>
            </c:manualLayout>
          </c:layout>
          <c:overlay val="0"/>
          <c:spPr>
            <a:noFill/>
            <a:ln w="6350">
              <a:noFill/>
            </a:ln>
            <a:effectLst/>
          </c:spPr>
          <c:txPr>
            <a:bodyPr rot="-54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itle>
        <c:numFmt formatCode="0%" sourceLinked="0"/>
        <c:majorTickMark val="none"/>
        <c:minorTickMark val="none"/>
        <c:tickLblPos val="nextTo"/>
        <c:spPr>
          <a:noFill/>
          <a:ln>
            <a:solidFill>
              <a:schemeClr val="tx2"/>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61181040"/>
        <c:crosses val="autoZero"/>
        <c:crossBetween val="between"/>
      </c:valAx>
      <c:spPr>
        <a:noFill/>
        <a:ln>
          <a:noFill/>
        </a:ln>
        <a:effectLst/>
      </c:spPr>
    </c:plotArea>
    <c:legend>
      <c:legendPos val="r"/>
      <c:layout>
        <c:manualLayout>
          <c:xMode val="edge"/>
          <c:yMode val="edge"/>
          <c:x val="0.15521042495619217"/>
          <c:y val="0.9403744492046916"/>
          <c:w val="0.7041295086564634"/>
          <c:h val="5.3198252883228013E-2"/>
        </c:manualLayout>
      </c:layout>
      <c:overlay val="0"/>
      <c:spPr>
        <a:noFill/>
        <a:ln w="6350">
          <a:solidFill>
            <a:schemeClr val="accent5">
              <a:lumMod val="60000"/>
              <a:lumOff val="40000"/>
            </a:schemeClr>
          </a:solid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lumMod val="60000"/>
          <a:lumOff val="40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[AHD_Reporting_Form.xlsx]Inpatient!PivotTable1</c:name>
    <c:fmtId val="112"/>
  </c:pivotSource>
  <c:chart>
    <c:title>
      <c:tx>
        <c:rich>
          <a:bodyPr rot="0" spcFirstLastPara="1" vertOverflow="ellipsis" vert="horz" wrap="square" anchor="ctr" anchorCtr="1"/>
          <a:lstStyle/>
          <a:p>
            <a:pPr>
              <a:defRPr sz="1200" b="1" i="0" u="sng" strike="noStrike" kern="1200" baseline="0">
                <a:solidFill>
                  <a:sysClr val="windowText" lastClr="000000"/>
                </a:solidFill>
                <a:latin typeface="+mn-lt"/>
                <a:ea typeface="+mn-ea"/>
                <a:cs typeface="+mn-cs"/>
              </a:defRPr>
            </a:pPr>
            <a:r>
              <a:rPr lang="en-GB" sz="1200" u="sng"/>
              <a:t>AHD screening for</a:t>
            </a:r>
            <a:r>
              <a:rPr lang="en-GB" sz="1200" u="sng" baseline="0"/>
              <a:t> inpatient wards</a:t>
            </a:r>
            <a:r>
              <a:rPr lang="en-GB" sz="1200" u="sng"/>
              <a:t> (ROC</a:t>
            </a:r>
            <a:r>
              <a:rPr lang="en-GB" sz="1200" u="sng" baseline="0"/>
              <a:t> seriously ill)</a:t>
            </a:r>
            <a:endParaRPr lang="en-GB" sz="1200" u="sng"/>
          </a:p>
        </c:rich>
      </c:tx>
      <c:layout>
        <c:manualLayout>
          <c:xMode val="edge"/>
          <c:yMode val="edge"/>
          <c:x val="0.24720578226410736"/>
          <c:y val="2.8026516912026744E-2"/>
        </c:manualLayout>
      </c:layout>
      <c:overlay val="0"/>
      <c:spPr>
        <a:noFill/>
        <a:ln>
          <a:noFill/>
        </a:ln>
        <a:effectLst/>
      </c:spPr>
      <c:txPr>
        <a:bodyPr rot="0" spcFirstLastPara="1" vertOverflow="ellipsis" vert="horz" wrap="square" anchor="ctr" anchorCtr="1"/>
        <a:lstStyle/>
        <a:p>
          <a:pPr>
            <a:defRPr sz="1200" b="1" i="0" u="sng" strike="noStrike" kern="1200" baseline="0">
              <a:solidFill>
                <a:sysClr val="windowText" lastClr="000000"/>
              </a:solidFill>
              <a:latin typeface="+mn-lt"/>
              <a:ea typeface="+mn-ea"/>
              <a:cs typeface="+mn-cs"/>
            </a:defRPr>
          </a:pPr>
          <a:endParaRPr lang="en-GB"/>
        </a:p>
      </c:txPr>
    </c:title>
    <c:autoTitleDeleted val="0"/>
    <c:pivotFmts>
      <c:pivotFmt>
        <c:idx val="0"/>
        <c:spPr>
          <a:solidFill>
            <a:schemeClr val="accent2"/>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alpha val="88000"/>
            </a:scheme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alpha val="84000"/>
            </a:srgb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D80A0359-4340-464C-97BF-50043DB18A22}" type="CELLRANGE">
                  <a:rPr lang="en-US"/>
                  <a:pPr>
                    <a:defRPr sz="900" b="0" i="0" u="none" strike="noStrike" kern="1200" baseline="0">
                      <a:solidFill>
                        <a:sysClr val="windowText" lastClr="000000"/>
                      </a:solidFill>
                      <a:latin typeface="+mn-lt"/>
                      <a:ea typeface="+mn-ea"/>
                      <a:cs typeface="+mn-cs"/>
                    </a:defRPr>
                  </a:pPr>
                  <a:t>[CELLRANGE]</a:t>
                </a:fld>
                <a:r>
                  <a:rPr lang="en-US" baseline="0"/>
                  <a:t>, </a:t>
                </a:r>
                <a:fld id="{619AE429-5DC9-4CD0-95CD-5E4572E53792}" type="VALUE">
                  <a:rPr lang="en-US" baseline="0"/>
                  <a:pPr>
                    <a:defRPr sz="900" b="0" i="0" u="none" strike="noStrike" kern="1200" baseline="0">
                      <a:solidFill>
                        <a:sysClr val="windowText" lastClr="000000"/>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pivotFmt>
      <c:pivotFmt>
        <c:idx val="9"/>
        <c:dLbl>
          <c:idx val="0"/>
          <c:tx>
            <c:rich>
              <a:bodyPr/>
              <a:lstStyle/>
              <a:p>
                <a:fld id="{38B64FBF-4335-4EAD-B861-26F6E525AC74}" type="CELLRANGE">
                  <a:rPr lang="en-US"/>
                  <a:pPr/>
                  <a:t>[CELLRANGE]</a:t>
                </a:fld>
                <a:r>
                  <a:rPr lang="en-US" baseline="0"/>
                  <a:t>, </a:t>
                </a:r>
                <a:fld id="{D6C7321C-6E0F-4D2E-8B46-F65C3D7A4003}"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dLbl>
          <c:idx val="0"/>
          <c:tx>
            <c:rich>
              <a:bodyPr/>
              <a:lstStyle/>
              <a:p>
                <a:fld id="{8C44B063-F912-4FC5-A6C3-78054BAA1475}" type="CELLRANGE">
                  <a:rPr lang="en-US"/>
                  <a:pPr/>
                  <a:t>[CELLRANGE]</a:t>
                </a:fld>
                <a:r>
                  <a:rPr lang="en-US" baseline="0"/>
                  <a:t>, </a:t>
                </a:r>
                <a:fld id="{70B358C0-DB55-4F7E-A4CF-8DEB0B8DBBA3}"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dLbl>
          <c:idx val="0"/>
          <c:tx>
            <c:rich>
              <a:bodyPr/>
              <a:lstStyle/>
              <a:p>
                <a:fld id="{F1E15D6C-0C92-4F9E-8CBC-D5B2D9BC2075}" type="CELLRANGE">
                  <a:rPr lang="en-US"/>
                  <a:pPr/>
                  <a:t>[CELLRANGE]</a:t>
                </a:fld>
                <a:r>
                  <a:rPr lang="en-US" baseline="0"/>
                  <a:t>, </a:t>
                </a:r>
                <a:fld id="{CD39BF99-5182-4B7E-AEC5-5FB76F9FE533}"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2"/>
        <c:dLbl>
          <c:idx val="0"/>
          <c:tx>
            <c:rich>
              <a:bodyPr/>
              <a:lstStyle/>
              <a:p>
                <a:fld id="{AADAE8A4-138F-410E-9AB9-60EEC0EAE95C}" type="CELLRANGE">
                  <a:rPr lang="en-US"/>
                  <a:pPr/>
                  <a:t>[CELLRANGE]</a:t>
                </a:fld>
                <a:r>
                  <a:rPr lang="en-US" baseline="0"/>
                  <a:t>, </a:t>
                </a:r>
                <a:fld id="{200D7C23-70DD-4AC4-951B-7904139BAA90}"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3"/>
        <c:dLbl>
          <c:idx val="0"/>
          <c:tx>
            <c:rich>
              <a:bodyPr/>
              <a:lstStyle/>
              <a:p>
                <a:fld id="{EBB42741-FBB1-42C9-8CA9-7DC956E899D1}" type="CELLRANGE">
                  <a:rPr lang="en-US"/>
                  <a:pPr/>
                  <a:t>[CELLRANGE]</a:t>
                </a:fld>
                <a:r>
                  <a:rPr lang="en-US" baseline="0"/>
                  <a:t>, </a:t>
                </a:r>
                <a:fld id="{300B405C-545E-4C3B-9B9C-A09D74648588}"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4"/>
        <c:dLbl>
          <c:idx val="0"/>
          <c:tx>
            <c:rich>
              <a:bodyPr/>
              <a:lstStyle/>
              <a:p>
                <a:fld id="{5ACDCCC9-477B-4D80-84D3-265AA1551F99}" type="CELLRANGE">
                  <a:rPr lang="en-US"/>
                  <a:pPr/>
                  <a:t>[CELLRANGE]</a:t>
                </a:fld>
                <a:r>
                  <a:rPr lang="en-US" baseline="0"/>
                  <a:t>, </a:t>
                </a:r>
                <a:fld id="{EBF96CAC-98C3-4753-841D-F0B5B77629A4}"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
        <c:dLbl>
          <c:idx val="0"/>
          <c:tx>
            <c:rich>
              <a:bodyPr/>
              <a:lstStyle/>
              <a:p>
                <a:fld id="{85641F05-FEC1-4650-8FDD-8843A09484ED}" type="CELLRANGE">
                  <a:rPr lang="en-US"/>
                  <a:pPr/>
                  <a:t>[CELLRANGE]</a:t>
                </a:fld>
                <a:r>
                  <a:rPr lang="en-US" baseline="0"/>
                  <a:t>, </a:t>
                </a:r>
                <a:fld id="{A601C9D9-40B0-4DB3-A221-74FC1FEA479F}"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7"/>
        <c:dLbl>
          <c:idx val="0"/>
          <c:tx>
            <c:rich>
              <a:bodyPr/>
              <a:lstStyle/>
              <a:p>
                <a:fld id="{FF4EBAB4-9208-426C-A2C0-06A9B7A20937}" type="CELLRANGE">
                  <a:rPr lang="en-US"/>
                  <a:pPr/>
                  <a:t>[CELLRANGE]</a:t>
                </a:fld>
                <a:r>
                  <a:rPr lang="en-US" baseline="0"/>
                  <a:t>, </a:t>
                </a:r>
                <a:fld id="{DF0E314E-1845-4B08-9E93-FA96B8217187}"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8"/>
        <c:dLbl>
          <c:idx val="0"/>
          <c:tx>
            <c:rich>
              <a:bodyPr/>
              <a:lstStyle/>
              <a:p>
                <a:fld id="{DD926363-9992-4DFE-80C3-994ABB41FDA7}" type="CELLRANGE">
                  <a:rPr lang="en-US"/>
                  <a:pPr/>
                  <a:t>[CELLRANGE]</a:t>
                </a:fld>
                <a:r>
                  <a:rPr lang="en-US" baseline="0"/>
                  <a:t>, </a:t>
                </a:r>
                <a:fld id="{C6BB680B-7623-4EA3-B83B-2011C5679ED2}"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9"/>
        <c:dLbl>
          <c:idx val="0"/>
          <c:tx>
            <c:rich>
              <a:bodyPr/>
              <a:lstStyle/>
              <a:p>
                <a:fld id="{50D0BCCD-DA80-4AEC-ADFD-7478183D354A}" type="CELLRANGE">
                  <a:rPr lang="en-US"/>
                  <a:pPr/>
                  <a:t>[CELLRANGE]</a:t>
                </a:fld>
                <a:r>
                  <a:rPr lang="en-US" baseline="0"/>
                  <a:t>, </a:t>
                </a:r>
                <a:fld id="{EE890978-0538-4AD0-BE1B-680453DC062D}"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0"/>
        <c:dLbl>
          <c:idx val="0"/>
          <c:tx>
            <c:rich>
              <a:bodyPr/>
              <a:lstStyle/>
              <a:p>
                <a:fld id="{7D984C0A-AF2C-4FAD-9538-9CE56ED5F567}" type="CELLRANGE">
                  <a:rPr lang="en-US"/>
                  <a:pPr/>
                  <a:t>[CELLRANGE]</a:t>
                </a:fld>
                <a:r>
                  <a:rPr lang="en-US" baseline="0"/>
                  <a:t>, </a:t>
                </a:r>
                <a:fld id="{9F5C0507-D70F-477A-95F2-C63830573DD7}"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1"/>
        <c:dLbl>
          <c:idx val="0"/>
          <c:tx>
            <c:rich>
              <a:bodyPr/>
              <a:lstStyle/>
              <a:p>
                <a:fld id="{CF4FB6D9-9767-42D1-B639-24FD87FBFE31}" type="CELLRANGE">
                  <a:rPr lang="en-US"/>
                  <a:pPr/>
                  <a:t>[CELLRANGE]</a:t>
                </a:fld>
                <a:r>
                  <a:rPr lang="en-US" baseline="0"/>
                  <a:t>, </a:t>
                </a:r>
                <a:fld id="{91BB9253-F401-4063-A925-95408FA77268}"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2"/>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4731A5D9-539A-4F7D-A744-CF24B4E851B3}" type="CELLRANGE">
                  <a:rPr lang="en-US"/>
                  <a:pPr>
                    <a:defRPr sz="900" b="0" i="0" u="none" strike="noStrike" kern="1200" baseline="0">
                      <a:solidFill>
                        <a:sysClr val="windowText" lastClr="000000"/>
                      </a:solidFill>
                      <a:latin typeface="+mn-lt"/>
                      <a:ea typeface="+mn-ea"/>
                      <a:cs typeface="+mn-cs"/>
                    </a:defRPr>
                  </a:pPr>
                  <a:t>[CELLRANGE]</a:t>
                </a:fld>
                <a:r>
                  <a:rPr lang="en-US" baseline="0"/>
                  <a:t>, </a:t>
                </a:r>
                <a:fld id="{B03745B5-70AB-4486-8B6A-5E28FBF5B9A6}" type="VALUE">
                  <a:rPr lang="en-US" baseline="0"/>
                  <a:pPr>
                    <a:defRPr sz="900" b="0" i="0" u="none" strike="noStrike" kern="1200" baseline="0">
                      <a:solidFill>
                        <a:sysClr val="windowText" lastClr="000000"/>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3"/>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C9006498-42A4-45CE-BCE8-EC546067215F}" type="CELLRANGE">
                  <a:rPr lang="en-US"/>
                  <a:pPr>
                    <a:defRPr sz="900" b="0" i="0" u="none" strike="noStrike" kern="1200" baseline="0">
                      <a:solidFill>
                        <a:sysClr val="windowText" lastClr="000000"/>
                      </a:solidFill>
                      <a:latin typeface="+mn-lt"/>
                      <a:ea typeface="+mn-ea"/>
                      <a:cs typeface="+mn-cs"/>
                    </a:defRPr>
                  </a:pPr>
                  <a:t>[CELLRANGE]</a:t>
                </a:fld>
                <a:r>
                  <a:rPr lang="en-US" baseline="0"/>
                  <a:t>, </a:t>
                </a:r>
                <a:fld id="{13415703-C5CA-4787-8825-FCBD5C55B0DC}" type="VALUE">
                  <a:rPr lang="en-US" baseline="0"/>
                  <a:pPr>
                    <a:defRPr sz="900" b="0" i="0" u="none" strike="noStrike" kern="1200" baseline="0">
                      <a:solidFill>
                        <a:sysClr val="windowText" lastClr="000000"/>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4"/>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E39C17C5-A6DE-465E-BA2E-A0457662CE4F}" type="CELLRANGE">
                  <a:rPr lang="en-US"/>
                  <a:pPr>
                    <a:defRPr sz="900" b="0" i="0" u="none" strike="noStrike" kern="1200" baseline="0">
                      <a:solidFill>
                        <a:sysClr val="windowText" lastClr="000000"/>
                      </a:solidFill>
                      <a:latin typeface="+mn-lt"/>
                      <a:ea typeface="+mn-ea"/>
                      <a:cs typeface="+mn-cs"/>
                    </a:defRPr>
                  </a:pPr>
                  <a:t>[CELLRANGE]</a:t>
                </a:fld>
                <a:r>
                  <a:rPr lang="en-US" baseline="0"/>
                  <a:t>, </a:t>
                </a:r>
                <a:fld id="{D26FCEF1-5A34-41A0-B6CD-F3663AD6D4C1}" type="VALUE">
                  <a:rPr lang="en-US" baseline="0"/>
                  <a:pPr>
                    <a:defRPr sz="900" b="0" i="0" u="none" strike="noStrike" kern="1200" baseline="0">
                      <a:solidFill>
                        <a:sysClr val="windowText" lastClr="000000"/>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5"/>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183C6365-A22B-4AE8-B76B-F63703475BFE}" type="CELLRANGE">
                  <a:rPr lang="en-US"/>
                  <a:pPr>
                    <a:defRPr sz="900" b="0" i="0" u="none" strike="noStrike" kern="1200" baseline="0">
                      <a:solidFill>
                        <a:sysClr val="windowText" lastClr="000000"/>
                      </a:solidFill>
                      <a:latin typeface="+mn-lt"/>
                      <a:ea typeface="+mn-ea"/>
                      <a:cs typeface="+mn-cs"/>
                    </a:defRPr>
                  </a:pPr>
                  <a:t>[CELLRANGE]</a:t>
                </a:fld>
                <a:r>
                  <a:rPr lang="en-US" baseline="0"/>
                  <a:t>, </a:t>
                </a:r>
                <a:fld id="{2F81CAD8-CC36-4E7F-B6DF-B7DA1E4CEDA1}" type="VALUE">
                  <a:rPr lang="en-US" baseline="0"/>
                  <a:pPr>
                    <a:defRPr sz="900" b="0" i="0" u="none" strike="noStrike" kern="1200" baseline="0">
                      <a:solidFill>
                        <a:sysClr val="windowText" lastClr="000000"/>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6"/>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847F4BA0-4AA9-499D-BA2A-3AAAC0496E86}" type="CELLRANGE">
                  <a:rPr lang="en-US"/>
                  <a:pPr>
                    <a:defRPr sz="900" b="0" i="0" u="none" strike="noStrike" kern="1200" baseline="0">
                      <a:solidFill>
                        <a:sysClr val="windowText" lastClr="000000"/>
                      </a:solidFill>
                      <a:latin typeface="+mn-lt"/>
                      <a:ea typeface="+mn-ea"/>
                      <a:cs typeface="+mn-cs"/>
                    </a:defRPr>
                  </a:pPr>
                  <a:t>[CELLRANGE]</a:t>
                </a:fld>
                <a:r>
                  <a:rPr lang="en-US" baseline="0"/>
                  <a:t>, </a:t>
                </a:r>
                <a:fld id="{3D14E329-43B4-454C-B933-1CE45CA6E605}" type="VALUE">
                  <a:rPr lang="en-US" baseline="0"/>
                  <a:pPr>
                    <a:defRPr sz="900" b="0" i="0" u="none" strike="noStrike" kern="1200" baseline="0">
                      <a:solidFill>
                        <a:sysClr val="windowText" lastClr="000000"/>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7"/>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5589FF5D-4B2A-47E1-8019-27F023C54ACE}" type="CELLRANGE">
                  <a:rPr lang="en-US"/>
                  <a:pPr>
                    <a:defRPr sz="900" b="0" i="0" u="none" strike="noStrike" kern="1200" baseline="0">
                      <a:solidFill>
                        <a:sysClr val="windowText" lastClr="000000"/>
                      </a:solidFill>
                      <a:latin typeface="+mn-lt"/>
                      <a:ea typeface="+mn-ea"/>
                      <a:cs typeface="+mn-cs"/>
                    </a:defRPr>
                  </a:pPr>
                  <a:t>[CELLRANGE]</a:t>
                </a:fld>
                <a:r>
                  <a:rPr lang="en-US" baseline="0"/>
                  <a:t>, </a:t>
                </a:r>
                <a:fld id="{0AFB73F6-2AF1-48C0-8CBA-C2B6AFAFD8A1}" type="VALUE">
                  <a:rPr lang="en-US" baseline="0"/>
                  <a:pPr>
                    <a:defRPr sz="900" b="0" i="0" u="none" strike="noStrike" kern="1200" baseline="0">
                      <a:solidFill>
                        <a:sysClr val="windowText" lastClr="000000"/>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8"/>
        <c:dLbl>
          <c:idx val="0"/>
          <c:layout>
            <c:manualLayout>
              <c:x val="-1.3084725270352189E-2"/>
              <c:y val="-3.711340206185567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9"/>
        <c:dLbl>
          <c:idx val="0"/>
          <c:layout>
            <c:manualLayout>
              <c:x val="-2.2894524616056434E-2"/>
              <c:y val="-2.472187886279359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0"/>
        <c:dLbl>
          <c:idx val="0"/>
          <c:layout>
            <c:manualLayout>
              <c:x val="-1.7988555055472866E-2"/>
              <c:y val="-2.060156571899464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1"/>
        <c:dLbl>
          <c:idx val="0"/>
          <c:layout>
            <c:manualLayout>
              <c:x val="-1.3082585494889358E-2"/>
              <c:y val="-2.88421920065925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2"/>
        <c:dLbl>
          <c:idx val="0"/>
          <c:layout>
            <c:manualLayout>
              <c:x val="-1.6353231868611758E-2"/>
              <c:y val="-3.2962505150391445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3"/>
        <c:dLbl>
          <c:idx val="0"/>
          <c:layout>
            <c:manualLayout>
              <c:x val="-2.1259201429195206E-2"/>
              <c:y val="-2.472187886279359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1.9623878242334036E-2"/>
              <c:y val="-1.8541409147095178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EF9B2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rgbClr val="E6D800">
              <a:alpha val="93000"/>
            </a:srgbClr>
          </a:solidFill>
          <a:ln>
            <a:noFill/>
          </a:ln>
          <a:effectLst>
            <a:outerShdw blurRad="57150" dist="19050" dir="5400000" algn="ctr" rotWithShape="0">
              <a:srgbClr val="000000">
                <a:alpha val="63000"/>
              </a:srgbClr>
            </a:outerShdw>
          </a:effectLst>
        </c:spPr>
        <c:marker>
          <c:symbol val="none"/>
        </c:marker>
        <c:dLbl>
          <c:idx val="0"/>
          <c:spPr>
            <a:solidFill>
              <a:srgbClr val="FFFF00"/>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rgbClr val="1A53FF">
              <a:alpha val="87451"/>
            </a:srgbClr>
          </a:solidFill>
          <a:ln>
            <a:noFill/>
          </a:ln>
          <a:effectLst>
            <a:outerShdw blurRad="57150" dist="19050" dir="5400000" algn="ctr" rotWithShape="0">
              <a:srgbClr val="000000">
                <a:alpha val="63000"/>
              </a:srgbClr>
            </a:outerShdw>
          </a:effectLst>
        </c:spPr>
        <c:marker>
          <c:symbol val="none"/>
        </c:marker>
        <c:dLbl>
          <c:idx val="0"/>
          <c:spPr>
            <a:solidFill>
              <a:schemeClr val="accent1">
                <a:lumMod val="60000"/>
                <a:lumOff val="4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5875" cap="rnd">
            <a:solidFill>
              <a:srgbClr val="99600B"/>
            </a:solidFill>
            <a:round/>
          </a:ln>
          <a:effectLst>
            <a:outerShdw blurRad="57150" dist="19050" dir="5400000" algn="ctr" rotWithShape="0">
              <a:srgbClr val="000000">
                <a:alpha val="63000"/>
              </a:srgbClr>
            </a:outerShdw>
          </a:effectLst>
        </c:spPr>
        <c:marker>
          <c:symbol val="circle"/>
          <c:size val="6"/>
          <c:spPr>
            <a:solidFill>
              <a:srgbClr val="99600B"/>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1A53FF">
              <a:alpha val="95000"/>
            </a:srgbClr>
          </a:solidFill>
          <a:ln>
            <a:noFill/>
          </a:ln>
          <a:effectLst>
            <a:outerShdw blurRad="57150" dist="19050" dir="5400000" algn="ctr" rotWithShape="0">
              <a:srgbClr val="000000">
                <a:alpha val="63000"/>
              </a:srgbClr>
            </a:outerShdw>
          </a:effectLst>
        </c:spPr>
      </c:pivotFmt>
      <c:pivotFmt>
        <c:idx val="40"/>
        <c:spPr>
          <a:solidFill>
            <a:srgbClr val="449BCC"/>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rgbClr val="AF1FC7">
              <a:alpha val="92941"/>
            </a:srgbClr>
          </a:solidFill>
          <a:ln>
            <a:noFill/>
          </a:ln>
          <a:effectLst>
            <a:outerShdw blurRad="57150" dist="19050" dir="5400000" algn="ctr" rotWithShape="0">
              <a:srgbClr val="000000">
                <a:alpha val="63000"/>
              </a:srgbClr>
            </a:outerShdw>
          </a:effectLst>
        </c:spPr>
        <c:marker>
          <c:symbol val="none"/>
        </c:marker>
        <c:dLbl>
          <c:idx val="0"/>
          <c:spPr>
            <a:solidFill>
              <a:srgbClr val="EAAEC9"/>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rgbClr val="6CAEA5">
              <a:alpha val="87451"/>
            </a:srgbClr>
          </a:solidFill>
          <a:ln>
            <a:noFill/>
          </a:ln>
          <a:effectLst>
            <a:outerShdw blurRad="57150" dist="19050" dir="5400000" algn="ctr" rotWithShape="0">
              <a:srgbClr val="000000">
                <a:alpha val="63000"/>
              </a:srgbClr>
            </a:outerShdw>
          </a:effectLst>
        </c:spPr>
        <c:marker>
          <c:symbol val="none"/>
        </c:marker>
        <c:dLbl>
          <c:idx val="0"/>
          <c:spPr>
            <a:solidFill>
              <a:schemeClr val="accent1">
                <a:lumMod val="40000"/>
                <a:lumOff val="6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5875" cap="rnd">
            <a:solidFill>
              <a:srgbClr val="449BCC"/>
            </a:solidFill>
            <a:round/>
          </a:ln>
          <a:effectLst>
            <a:outerShdw blurRad="57150" dist="19050" dir="5400000" algn="ctr" rotWithShape="0">
              <a:srgbClr val="000000">
                <a:alpha val="63000"/>
              </a:srgbClr>
            </a:outerShdw>
          </a:effectLst>
        </c:spPr>
        <c:marker>
          <c:symbol val="circle"/>
          <c:size val="6"/>
          <c:spPr>
            <a:solidFill>
              <a:srgbClr val="449BCC"/>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92957B"/>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CAD62A">
              <a:alpha val="92549"/>
            </a:srgbClr>
          </a:solidFill>
          <a:ln>
            <a:noFill/>
          </a:ln>
          <a:effectLst>
            <a:outerShdw blurRad="57150" dist="19050" dir="5400000" algn="ctr" rotWithShape="0">
              <a:srgbClr val="000000">
                <a:alpha val="63000"/>
              </a:srgbClr>
            </a:outerShdw>
          </a:effectLst>
        </c:spPr>
        <c:marker>
          <c:symbol val="none"/>
        </c:marker>
        <c:dLbl>
          <c:idx val="0"/>
          <c:spPr>
            <a:solidFill>
              <a:srgbClr val="FFFF00"/>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406C5C">
              <a:alpha val="87451"/>
            </a:srgbClr>
          </a:solidFill>
          <a:ln>
            <a:noFill/>
          </a:ln>
          <a:effectLst>
            <a:outerShdw blurRad="57150" dist="19050" dir="5400000" algn="ctr" rotWithShape="0">
              <a:srgbClr val="000000">
                <a:alpha val="63000"/>
              </a:srgbClr>
            </a:outerShdw>
          </a:effectLst>
        </c:spPr>
        <c:marker>
          <c:symbol val="none"/>
        </c:marker>
        <c:dLbl>
          <c:idx val="0"/>
          <c:spPr>
            <a:solidFill>
              <a:schemeClr val="accent6">
                <a:lumMod val="40000"/>
                <a:lumOff val="6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5875">
            <a:solidFill>
              <a:srgbClr val="5B5D4B"/>
            </a:solidFill>
          </a:ln>
          <a:effectLst>
            <a:outerShdw blurRad="57150" dist="19050" dir="5400000" algn="ctr" rotWithShape="0">
              <a:srgbClr val="000000">
                <a:alpha val="63000"/>
              </a:srgbClr>
            </a:outerShdw>
          </a:effectLst>
        </c:spPr>
        <c:marker>
          <c:symbol val="circle"/>
          <c:size val="6"/>
          <c:spPr>
            <a:solidFill>
              <a:srgbClr val="515343"/>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rgbClr val="92957B"/>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CAD62A">
              <a:alpha val="92549"/>
            </a:srgbClr>
          </a:solidFill>
          <a:ln>
            <a:noFill/>
          </a:ln>
          <a:effectLst>
            <a:outerShdw blurRad="57150" dist="19050" dir="5400000" algn="ctr" rotWithShape="0">
              <a:srgbClr val="000000">
                <a:alpha val="63000"/>
              </a:srgbClr>
            </a:outerShdw>
          </a:effectLst>
        </c:spPr>
        <c:marker>
          <c:symbol val="none"/>
        </c:marker>
        <c:dLbl>
          <c:idx val="0"/>
          <c:spPr>
            <a:solidFill>
              <a:srgbClr val="FFFF00"/>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406C5C">
              <a:alpha val="87451"/>
            </a:srgbClr>
          </a:solidFill>
          <a:ln>
            <a:noFill/>
          </a:ln>
          <a:effectLst>
            <a:outerShdw blurRad="57150" dist="19050" dir="5400000" algn="ctr" rotWithShape="0">
              <a:srgbClr val="000000">
                <a:alpha val="63000"/>
              </a:srgbClr>
            </a:outerShdw>
          </a:effectLst>
        </c:spPr>
        <c:marker>
          <c:symbol val="none"/>
        </c:marker>
        <c:dLbl>
          <c:idx val="0"/>
          <c:spPr>
            <a:solidFill>
              <a:schemeClr val="accent6">
                <a:lumMod val="40000"/>
                <a:lumOff val="6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5875">
            <a:solidFill>
              <a:srgbClr val="5B5D4B"/>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92957B"/>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spPr>
          <a:solidFill>
            <a:srgbClr val="CAD62A">
              <a:alpha val="92549"/>
            </a:srgbClr>
          </a:solidFill>
          <a:ln>
            <a:noFill/>
          </a:ln>
          <a:effectLst>
            <a:outerShdw blurRad="57150" dist="19050" dir="5400000" algn="ctr" rotWithShape="0">
              <a:srgbClr val="000000">
                <a:alpha val="63000"/>
              </a:srgbClr>
            </a:outerShdw>
          </a:effectLst>
        </c:spPr>
        <c:marker>
          <c:symbol val="none"/>
        </c:marker>
        <c:dLbl>
          <c:idx val="0"/>
          <c:spPr>
            <a:solidFill>
              <a:srgbClr val="FFFF00"/>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solidFill>
            <a:srgbClr val="406C5C">
              <a:alpha val="87451"/>
            </a:srgbClr>
          </a:solidFill>
          <a:ln>
            <a:noFill/>
          </a:ln>
          <a:effectLst>
            <a:outerShdw blurRad="57150" dist="19050" dir="5400000" algn="ctr" rotWithShape="0">
              <a:srgbClr val="000000">
                <a:alpha val="63000"/>
              </a:srgbClr>
            </a:outerShdw>
          </a:effectLst>
        </c:spPr>
        <c:marker>
          <c:symbol val="none"/>
        </c:marker>
        <c:dLbl>
          <c:idx val="0"/>
          <c:spPr>
            <a:solidFill>
              <a:schemeClr val="accent6">
                <a:lumMod val="40000"/>
                <a:lumOff val="6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rgbClr val="5B5D4B"/>
            </a:solidFill>
            <a:round/>
          </a:ln>
          <a:effectLst>
            <a:outerShdw blurRad="57150" dist="19050" dir="5400000" algn="ctr" rotWithShape="0">
              <a:srgbClr val="000000">
                <a:alpha val="63000"/>
              </a:srgbClr>
            </a:outerShdw>
          </a:effectLst>
        </c:spPr>
        <c:marker>
          <c:symbol val="circle"/>
          <c:size val="6"/>
          <c:spPr>
            <a:solidFill>
              <a:schemeClr val="accent6">
                <a:lumMod val="50000"/>
              </a:schemeClr>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8"/>
        <c:spPr>
          <a:solidFill>
            <a:srgbClr val="92957B"/>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CAD62A">
              <a:alpha val="92549"/>
            </a:srgbClr>
          </a:solidFill>
          <a:ln>
            <a:noFill/>
          </a:ln>
          <a:effectLst>
            <a:outerShdw blurRad="57150" dist="19050" dir="5400000" algn="ctr" rotWithShape="0">
              <a:srgbClr val="000000">
                <a:alpha val="63000"/>
              </a:srgbClr>
            </a:outerShdw>
          </a:effectLst>
        </c:spPr>
        <c:marker>
          <c:symbol val="none"/>
        </c:marker>
        <c:dLbl>
          <c:idx val="0"/>
          <c:spPr>
            <a:solidFill>
              <a:srgbClr val="FFFF00"/>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rgbClr val="406C5C">
              <a:alpha val="87451"/>
            </a:srgbClr>
          </a:solidFill>
          <a:ln>
            <a:noFill/>
          </a:ln>
          <a:effectLst>
            <a:outerShdw blurRad="57150" dist="19050" dir="5400000" algn="ctr" rotWithShape="0">
              <a:srgbClr val="000000">
                <a:alpha val="63000"/>
              </a:srgbClr>
            </a:outerShdw>
          </a:effectLst>
        </c:spPr>
        <c:marker>
          <c:symbol val="none"/>
        </c:marker>
        <c:dLbl>
          <c:idx val="0"/>
          <c:spPr>
            <a:solidFill>
              <a:schemeClr val="accent6">
                <a:lumMod val="40000"/>
                <a:lumOff val="6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rgbClr val="5B5D4B"/>
            </a:solidFill>
            <a:round/>
          </a:ln>
          <a:effectLst>
            <a:outerShdw blurRad="57150" dist="19050" dir="5400000" algn="ctr" rotWithShape="0">
              <a:srgbClr val="000000">
                <a:alpha val="63000"/>
              </a:srgbClr>
            </a:outerShdw>
          </a:effectLst>
        </c:spPr>
        <c:marker>
          <c:symbol val="circle"/>
          <c:size val="6"/>
          <c:spPr>
            <a:solidFill>
              <a:schemeClr val="accent6">
                <a:lumMod val="50000"/>
              </a:schemeClr>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2"/>
        <c:spPr>
          <a:solidFill>
            <a:srgbClr val="92957B"/>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3"/>
        <c:spPr>
          <a:solidFill>
            <a:srgbClr val="CAD62A">
              <a:alpha val="92549"/>
            </a:srgbClr>
          </a:solidFill>
          <a:ln>
            <a:noFill/>
          </a:ln>
          <a:effectLst>
            <a:outerShdw blurRad="57150" dist="19050" dir="5400000" algn="ctr" rotWithShape="0">
              <a:srgbClr val="000000">
                <a:alpha val="63000"/>
              </a:srgbClr>
            </a:outerShdw>
          </a:effectLst>
        </c:spPr>
        <c:marker>
          <c:symbol val="none"/>
        </c:marker>
        <c:dLbl>
          <c:idx val="0"/>
          <c:spPr>
            <a:solidFill>
              <a:srgbClr val="FFFF00"/>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4"/>
        <c:spPr>
          <a:solidFill>
            <a:srgbClr val="406C5C">
              <a:alpha val="87451"/>
            </a:srgbClr>
          </a:solidFill>
          <a:ln>
            <a:noFill/>
          </a:ln>
          <a:effectLst>
            <a:outerShdw blurRad="57150" dist="19050" dir="5400000" algn="ctr" rotWithShape="0">
              <a:srgbClr val="000000">
                <a:alpha val="63000"/>
              </a:srgbClr>
            </a:outerShdw>
          </a:effectLst>
        </c:spPr>
        <c:marker>
          <c:symbol val="none"/>
        </c:marker>
        <c:dLbl>
          <c:idx val="0"/>
          <c:spPr>
            <a:solidFill>
              <a:schemeClr val="accent6">
                <a:lumMod val="40000"/>
                <a:lumOff val="6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rgbClr val="5B5D4B"/>
            </a:solidFill>
            <a:round/>
          </a:ln>
          <a:effectLst>
            <a:outerShdw blurRad="57150" dist="19050" dir="5400000" algn="ctr" rotWithShape="0">
              <a:srgbClr val="000000">
                <a:alpha val="63000"/>
              </a:srgbClr>
            </a:outerShdw>
          </a:effectLst>
        </c:spPr>
        <c:marker>
          <c:symbol val="circle"/>
          <c:size val="6"/>
          <c:spPr>
            <a:solidFill>
              <a:schemeClr val="accent6">
                <a:lumMod val="50000"/>
              </a:schemeClr>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6"/>
        <c:spPr>
          <a:solidFill>
            <a:srgbClr val="92957B"/>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7"/>
        <c:spPr>
          <a:solidFill>
            <a:srgbClr val="CAD62A">
              <a:alpha val="92549"/>
            </a:srgbClr>
          </a:solidFill>
          <a:ln>
            <a:noFill/>
          </a:ln>
          <a:effectLst>
            <a:outerShdw blurRad="57150" dist="19050" dir="5400000" algn="ctr" rotWithShape="0">
              <a:srgbClr val="000000">
                <a:alpha val="63000"/>
              </a:srgbClr>
            </a:outerShdw>
          </a:effectLst>
        </c:spPr>
        <c:marker>
          <c:symbol val="none"/>
        </c:marker>
        <c:dLbl>
          <c:idx val="0"/>
          <c:spPr>
            <a:solidFill>
              <a:srgbClr val="FFFF00"/>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8"/>
        <c:spPr>
          <a:solidFill>
            <a:srgbClr val="406C5C">
              <a:alpha val="87451"/>
            </a:srgbClr>
          </a:solidFill>
          <a:ln>
            <a:noFill/>
          </a:ln>
          <a:effectLst>
            <a:outerShdw blurRad="57150" dist="19050" dir="5400000" algn="ctr" rotWithShape="0">
              <a:srgbClr val="000000">
                <a:alpha val="63000"/>
              </a:srgbClr>
            </a:outerShdw>
          </a:effectLst>
        </c:spPr>
        <c:marker>
          <c:symbol val="none"/>
        </c:marker>
        <c:dLbl>
          <c:idx val="0"/>
          <c:spPr>
            <a:solidFill>
              <a:schemeClr val="accent6">
                <a:lumMod val="40000"/>
                <a:lumOff val="6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rgbClr val="5B5D4B"/>
            </a:solidFill>
            <a:round/>
          </a:ln>
          <a:effectLst>
            <a:outerShdw blurRad="57150" dist="19050" dir="5400000" algn="ctr" rotWithShape="0">
              <a:srgbClr val="000000">
                <a:alpha val="63000"/>
              </a:srgbClr>
            </a:outerShdw>
          </a:effectLst>
        </c:spPr>
        <c:marker>
          <c:symbol val="circle"/>
          <c:size val="6"/>
          <c:spPr>
            <a:solidFill>
              <a:schemeClr val="accent6">
                <a:lumMod val="50000"/>
              </a:schemeClr>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0"/>
        <c:spPr>
          <a:solidFill>
            <a:srgbClr val="92957B"/>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1"/>
        <c:spPr>
          <a:solidFill>
            <a:srgbClr val="CAD62A">
              <a:alpha val="92549"/>
            </a:srgbClr>
          </a:solidFill>
          <a:ln>
            <a:noFill/>
          </a:ln>
          <a:effectLst>
            <a:outerShdw blurRad="57150" dist="19050" dir="5400000" algn="ctr" rotWithShape="0">
              <a:srgbClr val="000000">
                <a:alpha val="63000"/>
              </a:srgbClr>
            </a:outerShdw>
          </a:effectLst>
        </c:spPr>
        <c:marker>
          <c:symbol val="none"/>
        </c:marker>
        <c:dLbl>
          <c:idx val="0"/>
          <c:spPr>
            <a:solidFill>
              <a:srgbClr val="FFFF00"/>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2"/>
        <c:spPr>
          <a:solidFill>
            <a:srgbClr val="406C5C">
              <a:alpha val="87451"/>
            </a:srgbClr>
          </a:solidFill>
          <a:ln>
            <a:noFill/>
          </a:ln>
          <a:effectLst>
            <a:outerShdw blurRad="57150" dist="19050" dir="5400000" algn="ctr" rotWithShape="0">
              <a:srgbClr val="000000">
                <a:alpha val="63000"/>
              </a:srgbClr>
            </a:outerShdw>
          </a:effectLst>
        </c:spPr>
        <c:marker>
          <c:symbol val="none"/>
        </c:marker>
        <c:dLbl>
          <c:idx val="0"/>
          <c:spPr>
            <a:solidFill>
              <a:schemeClr val="accent6">
                <a:lumMod val="40000"/>
                <a:lumOff val="6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3"/>
        <c:spPr>
          <a:ln w="22225" cap="rnd">
            <a:solidFill>
              <a:srgbClr val="5B5D4B"/>
            </a:solidFill>
            <a:round/>
          </a:ln>
          <a:effectLst>
            <a:outerShdw blurRad="57150" dist="19050" dir="5400000" algn="ctr" rotWithShape="0">
              <a:srgbClr val="000000">
                <a:alpha val="63000"/>
              </a:srgbClr>
            </a:outerShdw>
          </a:effectLst>
        </c:spPr>
        <c:marker>
          <c:symbol val="circle"/>
          <c:size val="6"/>
          <c:spPr>
            <a:solidFill>
              <a:schemeClr val="accent6">
                <a:lumMod val="50000"/>
              </a:schemeClr>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34119408290132"/>
          <c:y val="0.16480330078474076"/>
          <c:w val="0.77208230987450011"/>
          <c:h val="0.52493801149666841"/>
        </c:manualLayout>
      </c:layout>
      <c:barChart>
        <c:barDir val="col"/>
        <c:grouping val="clustered"/>
        <c:varyColors val="0"/>
        <c:ser>
          <c:idx val="0"/>
          <c:order val="0"/>
          <c:tx>
            <c:strRef>
              <c:f>Inpatient!$B$5</c:f>
              <c:strCache>
                <c:ptCount val="1"/>
                <c:pt idx="0">
                  <c:v> CD4_tests</c:v>
                </c:pt>
              </c:strCache>
            </c:strRef>
          </c:tx>
          <c:spPr>
            <a:solidFill>
              <a:srgbClr val="92957B"/>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Inpatient!$A$6:$A$44</c:f>
              <c:multiLvlStrCache>
                <c:ptCount val="18"/>
                <c:lvl>
                  <c:pt idx="0">
                    <c:v>219</c:v>
                  </c:pt>
                  <c:pt idx="1">
                    <c:v>214</c:v>
                  </c:pt>
                  <c:pt idx="2">
                    <c:v>198</c:v>
                  </c:pt>
                  <c:pt idx="3">
                    <c:v>143</c:v>
                  </c:pt>
                  <c:pt idx="4">
                    <c:v>187</c:v>
                  </c:pt>
                  <c:pt idx="5">
                    <c:v>170</c:v>
                  </c:pt>
                  <c:pt idx="6">
                    <c:v>196</c:v>
                  </c:pt>
                  <c:pt idx="7">
                    <c:v>116</c:v>
                  </c:pt>
                  <c:pt idx="8">
                    <c:v>137</c:v>
                  </c:pt>
                  <c:pt idx="9">
                    <c:v>165</c:v>
                  </c:pt>
                  <c:pt idx="10">
                    <c:v>198</c:v>
                  </c:pt>
                  <c:pt idx="11">
                    <c:v>135</c:v>
                  </c:pt>
                  <c:pt idx="12">
                    <c:v>186</c:v>
                  </c:pt>
                  <c:pt idx="13">
                    <c:v>0</c:v>
                  </c:pt>
                  <c:pt idx="14">
                    <c:v>0</c:v>
                  </c:pt>
                  <c:pt idx="15">
                    <c:v>116</c:v>
                  </c:pt>
                  <c:pt idx="16">
                    <c:v>182</c:v>
                  </c:pt>
                  <c:pt idx="17">
                    <c:v>163</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lvl>
                <c:lvl>
                  <c:pt idx="0">
                    <c:v>2024</c:v>
                  </c:pt>
                  <c:pt idx="12">
                    <c:v>2025</c:v>
                  </c:pt>
                </c:lvl>
              </c:multiLvlStrCache>
            </c:multiLvlStrRef>
          </c:cat>
          <c:val>
            <c:numRef>
              <c:f>Inpatient!$B$6:$B$44</c:f>
              <c:numCache>
                <c:formatCode>General</c:formatCode>
                <c:ptCount val="18"/>
                <c:pt idx="0">
                  <c:v>209</c:v>
                </c:pt>
                <c:pt idx="1">
                  <c:v>208</c:v>
                </c:pt>
                <c:pt idx="2">
                  <c:v>185</c:v>
                </c:pt>
                <c:pt idx="3">
                  <c:v>133</c:v>
                </c:pt>
                <c:pt idx="4">
                  <c:v>184</c:v>
                </c:pt>
                <c:pt idx="5">
                  <c:v>170</c:v>
                </c:pt>
                <c:pt idx="6">
                  <c:v>196</c:v>
                </c:pt>
                <c:pt idx="7">
                  <c:v>113</c:v>
                </c:pt>
                <c:pt idx="8">
                  <c:v>125</c:v>
                </c:pt>
                <c:pt idx="9">
                  <c:v>156</c:v>
                </c:pt>
                <c:pt idx="10">
                  <c:v>191</c:v>
                </c:pt>
                <c:pt idx="11">
                  <c:v>127</c:v>
                </c:pt>
                <c:pt idx="12">
                  <c:v>179</c:v>
                </c:pt>
                <c:pt idx="13">
                  <c:v>0</c:v>
                </c:pt>
                <c:pt idx="14">
                  <c:v>0</c:v>
                </c:pt>
                <c:pt idx="15">
                  <c:v>107</c:v>
                </c:pt>
                <c:pt idx="16">
                  <c:v>174</c:v>
                </c:pt>
                <c:pt idx="17">
                  <c:v>156</c:v>
                </c:pt>
              </c:numCache>
            </c:numRef>
          </c:val>
          <c:extLst>
            <c:ext xmlns:c16="http://schemas.microsoft.com/office/drawing/2014/chart" uri="{C3380CC4-5D6E-409C-BE32-E72D297353CC}">
              <c16:uniqueId val="{00000000-1BF5-4AB8-9832-AC004EB86615}"/>
            </c:ext>
          </c:extLst>
        </c:ser>
        <c:ser>
          <c:idx val="1"/>
          <c:order val="1"/>
          <c:tx>
            <c:strRef>
              <c:f>Inpatient!$C$5</c:f>
              <c:strCache>
                <c:ptCount val="1"/>
                <c:pt idx="0">
                  <c:v> LAM_tests</c:v>
                </c:pt>
              </c:strCache>
            </c:strRef>
          </c:tx>
          <c:spPr>
            <a:solidFill>
              <a:srgbClr val="CAD62A">
                <a:alpha val="92549"/>
              </a:srgbClr>
            </a:solidFill>
            <a:ln>
              <a:noFill/>
            </a:ln>
            <a:effectLst>
              <a:outerShdw blurRad="57150" dist="19050" dir="5400000" algn="ctr" rotWithShape="0">
                <a:srgbClr val="000000">
                  <a:alpha val="63000"/>
                </a:srgbClr>
              </a:outerShdw>
            </a:effectLst>
          </c:spPr>
          <c:invertIfNegative val="0"/>
          <c:dLbls>
            <c:spPr>
              <a:solidFill>
                <a:srgbClr val="FFFF00"/>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Inpatient!$A$6:$A$44</c:f>
              <c:multiLvlStrCache>
                <c:ptCount val="18"/>
                <c:lvl>
                  <c:pt idx="0">
                    <c:v>219</c:v>
                  </c:pt>
                  <c:pt idx="1">
                    <c:v>214</c:v>
                  </c:pt>
                  <c:pt idx="2">
                    <c:v>198</c:v>
                  </c:pt>
                  <c:pt idx="3">
                    <c:v>143</c:v>
                  </c:pt>
                  <c:pt idx="4">
                    <c:v>187</c:v>
                  </c:pt>
                  <c:pt idx="5">
                    <c:v>170</c:v>
                  </c:pt>
                  <c:pt idx="6">
                    <c:v>196</c:v>
                  </c:pt>
                  <c:pt idx="7">
                    <c:v>116</c:v>
                  </c:pt>
                  <c:pt idx="8">
                    <c:v>137</c:v>
                  </c:pt>
                  <c:pt idx="9">
                    <c:v>165</c:v>
                  </c:pt>
                  <c:pt idx="10">
                    <c:v>198</c:v>
                  </c:pt>
                  <c:pt idx="11">
                    <c:v>135</c:v>
                  </c:pt>
                  <c:pt idx="12">
                    <c:v>186</c:v>
                  </c:pt>
                  <c:pt idx="13">
                    <c:v>0</c:v>
                  </c:pt>
                  <c:pt idx="14">
                    <c:v>0</c:v>
                  </c:pt>
                  <c:pt idx="15">
                    <c:v>116</c:v>
                  </c:pt>
                  <c:pt idx="16">
                    <c:v>182</c:v>
                  </c:pt>
                  <c:pt idx="17">
                    <c:v>163</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lvl>
                <c:lvl>
                  <c:pt idx="0">
                    <c:v>2024</c:v>
                  </c:pt>
                  <c:pt idx="12">
                    <c:v>2025</c:v>
                  </c:pt>
                </c:lvl>
              </c:multiLvlStrCache>
            </c:multiLvlStrRef>
          </c:cat>
          <c:val>
            <c:numRef>
              <c:f>Inpatient!$C$6:$C$44</c:f>
              <c:numCache>
                <c:formatCode>General</c:formatCode>
                <c:ptCount val="18"/>
                <c:pt idx="0">
                  <c:v>82</c:v>
                </c:pt>
                <c:pt idx="1">
                  <c:v>52</c:v>
                </c:pt>
                <c:pt idx="2">
                  <c:v>53</c:v>
                </c:pt>
                <c:pt idx="3">
                  <c:v>14</c:v>
                </c:pt>
                <c:pt idx="4">
                  <c:v>0</c:v>
                </c:pt>
                <c:pt idx="5">
                  <c:v>0</c:v>
                </c:pt>
                <c:pt idx="6">
                  <c:v>0</c:v>
                </c:pt>
                <c:pt idx="7">
                  <c:v>4</c:v>
                </c:pt>
                <c:pt idx="8">
                  <c:v>34</c:v>
                </c:pt>
                <c:pt idx="9">
                  <c:v>43</c:v>
                </c:pt>
                <c:pt idx="10">
                  <c:v>59</c:v>
                </c:pt>
                <c:pt idx="11">
                  <c:v>36</c:v>
                </c:pt>
                <c:pt idx="12">
                  <c:v>54</c:v>
                </c:pt>
                <c:pt idx="13">
                  <c:v>0</c:v>
                </c:pt>
                <c:pt idx="14">
                  <c:v>0</c:v>
                </c:pt>
                <c:pt idx="15">
                  <c:v>24</c:v>
                </c:pt>
                <c:pt idx="16">
                  <c:v>22</c:v>
                </c:pt>
                <c:pt idx="17">
                  <c:v>43</c:v>
                </c:pt>
              </c:numCache>
            </c:numRef>
          </c:val>
          <c:extLst>
            <c:ext xmlns:c16="http://schemas.microsoft.com/office/drawing/2014/chart" uri="{C3380CC4-5D6E-409C-BE32-E72D297353CC}">
              <c16:uniqueId val="{00000001-1BF5-4AB8-9832-AC004EB86615}"/>
            </c:ext>
          </c:extLst>
        </c:ser>
        <c:ser>
          <c:idx val="2"/>
          <c:order val="2"/>
          <c:tx>
            <c:strRef>
              <c:f>Inpatient!$D$5</c:f>
              <c:strCache>
                <c:ptCount val="1"/>
                <c:pt idx="0">
                  <c:v>CrAg-tests</c:v>
                </c:pt>
              </c:strCache>
            </c:strRef>
          </c:tx>
          <c:spPr>
            <a:solidFill>
              <a:srgbClr val="406C5C">
                <a:alpha val="87451"/>
              </a:srgbClr>
            </a:solidFill>
            <a:ln>
              <a:noFill/>
            </a:ln>
            <a:effectLst>
              <a:outerShdw blurRad="57150" dist="19050" dir="5400000" algn="ctr" rotWithShape="0">
                <a:srgbClr val="000000">
                  <a:alpha val="63000"/>
                </a:srgbClr>
              </a:outerShdw>
            </a:effectLst>
          </c:spPr>
          <c:invertIfNegative val="0"/>
          <c:dLbls>
            <c:spPr>
              <a:solidFill>
                <a:schemeClr val="accent6">
                  <a:lumMod val="40000"/>
                  <a:lumOff val="6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Inpatient!$A$6:$A$44</c:f>
              <c:multiLvlStrCache>
                <c:ptCount val="18"/>
                <c:lvl>
                  <c:pt idx="0">
                    <c:v>219</c:v>
                  </c:pt>
                  <c:pt idx="1">
                    <c:v>214</c:v>
                  </c:pt>
                  <c:pt idx="2">
                    <c:v>198</c:v>
                  </c:pt>
                  <c:pt idx="3">
                    <c:v>143</c:v>
                  </c:pt>
                  <c:pt idx="4">
                    <c:v>187</c:v>
                  </c:pt>
                  <c:pt idx="5">
                    <c:v>170</c:v>
                  </c:pt>
                  <c:pt idx="6">
                    <c:v>196</c:v>
                  </c:pt>
                  <c:pt idx="7">
                    <c:v>116</c:v>
                  </c:pt>
                  <c:pt idx="8">
                    <c:v>137</c:v>
                  </c:pt>
                  <c:pt idx="9">
                    <c:v>165</c:v>
                  </c:pt>
                  <c:pt idx="10">
                    <c:v>198</c:v>
                  </c:pt>
                  <c:pt idx="11">
                    <c:v>135</c:v>
                  </c:pt>
                  <c:pt idx="12">
                    <c:v>186</c:v>
                  </c:pt>
                  <c:pt idx="13">
                    <c:v>0</c:v>
                  </c:pt>
                  <c:pt idx="14">
                    <c:v>0</c:v>
                  </c:pt>
                  <c:pt idx="15">
                    <c:v>116</c:v>
                  </c:pt>
                  <c:pt idx="16">
                    <c:v>182</c:v>
                  </c:pt>
                  <c:pt idx="17">
                    <c:v>163</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lvl>
                <c:lvl>
                  <c:pt idx="0">
                    <c:v>2024</c:v>
                  </c:pt>
                  <c:pt idx="12">
                    <c:v>2025</c:v>
                  </c:pt>
                </c:lvl>
              </c:multiLvlStrCache>
            </c:multiLvlStrRef>
          </c:cat>
          <c:val>
            <c:numRef>
              <c:f>Inpatient!$D$6:$D$44</c:f>
              <c:numCache>
                <c:formatCode>General</c:formatCode>
                <c:ptCount val="18"/>
                <c:pt idx="0">
                  <c:v>98</c:v>
                </c:pt>
                <c:pt idx="1">
                  <c:v>71</c:v>
                </c:pt>
                <c:pt idx="2">
                  <c:v>85</c:v>
                </c:pt>
                <c:pt idx="3">
                  <c:v>48</c:v>
                </c:pt>
                <c:pt idx="4">
                  <c:v>0</c:v>
                </c:pt>
                <c:pt idx="5">
                  <c:v>0</c:v>
                </c:pt>
                <c:pt idx="6">
                  <c:v>78</c:v>
                </c:pt>
                <c:pt idx="7">
                  <c:v>58</c:v>
                </c:pt>
                <c:pt idx="8">
                  <c:v>8</c:v>
                </c:pt>
                <c:pt idx="9">
                  <c:v>60</c:v>
                </c:pt>
                <c:pt idx="10">
                  <c:v>0</c:v>
                </c:pt>
                <c:pt idx="11">
                  <c:v>47</c:v>
                </c:pt>
                <c:pt idx="12">
                  <c:v>71</c:v>
                </c:pt>
                <c:pt idx="13">
                  <c:v>0</c:v>
                </c:pt>
                <c:pt idx="14">
                  <c:v>0</c:v>
                </c:pt>
                <c:pt idx="15">
                  <c:v>44</c:v>
                </c:pt>
                <c:pt idx="16">
                  <c:v>0</c:v>
                </c:pt>
                <c:pt idx="17">
                  <c:v>62</c:v>
                </c:pt>
              </c:numCache>
            </c:numRef>
          </c:val>
          <c:extLst>
            <c:ext xmlns:c16="http://schemas.microsoft.com/office/drawing/2014/chart" uri="{C3380CC4-5D6E-409C-BE32-E72D297353CC}">
              <c16:uniqueId val="{00000002-1BF5-4AB8-9832-AC004EB86615}"/>
            </c:ext>
          </c:extLst>
        </c:ser>
        <c:dLbls>
          <c:showLegendKey val="0"/>
          <c:showVal val="0"/>
          <c:showCatName val="0"/>
          <c:showSerName val="0"/>
          <c:showPercent val="0"/>
          <c:showBubbleSize val="0"/>
        </c:dLbls>
        <c:gapWidth val="100"/>
        <c:overlap val="44"/>
        <c:axId val="939995816"/>
        <c:axId val="939997976"/>
      </c:barChart>
      <c:lineChart>
        <c:grouping val="standard"/>
        <c:varyColors val="0"/>
        <c:ser>
          <c:idx val="3"/>
          <c:order val="3"/>
          <c:tx>
            <c:strRef>
              <c:f>Inpatient!$E$5</c:f>
              <c:strCache>
                <c:ptCount val="1"/>
                <c:pt idx="0">
                  <c:v> AHD_screening_cov%</c:v>
                </c:pt>
              </c:strCache>
            </c:strRef>
          </c:tx>
          <c:spPr>
            <a:ln w="22225" cap="rnd">
              <a:solidFill>
                <a:srgbClr val="5B5D4B"/>
              </a:solidFill>
              <a:round/>
            </a:ln>
            <a:effectLst>
              <a:outerShdw blurRad="57150" dist="19050" dir="5400000" algn="ctr" rotWithShape="0">
                <a:srgbClr val="000000">
                  <a:alpha val="63000"/>
                </a:srgbClr>
              </a:outerShdw>
            </a:effectLst>
          </c:spPr>
          <c:marker>
            <c:symbol val="circle"/>
            <c:size val="6"/>
            <c:spPr>
              <a:solidFill>
                <a:schemeClr val="accent6">
                  <a:lumMod val="50000"/>
                </a:schemeClr>
              </a:solidFill>
              <a:ln w="9525">
                <a:no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Inpatient!$A$6:$A$44</c:f>
              <c:multiLvlStrCache>
                <c:ptCount val="18"/>
                <c:lvl>
                  <c:pt idx="0">
                    <c:v>219</c:v>
                  </c:pt>
                  <c:pt idx="1">
                    <c:v>214</c:v>
                  </c:pt>
                  <c:pt idx="2">
                    <c:v>198</c:v>
                  </c:pt>
                  <c:pt idx="3">
                    <c:v>143</c:v>
                  </c:pt>
                  <c:pt idx="4">
                    <c:v>187</c:v>
                  </c:pt>
                  <c:pt idx="5">
                    <c:v>170</c:v>
                  </c:pt>
                  <c:pt idx="6">
                    <c:v>196</c:v>
                  </c:pt>
                  <c:pt idx="7">
                    <c:v>116</c:v>
                  </c:pt>
                  <c:pt idx="8">
                    <c:v>137</c:v>
                  </c:pt>
                  <c:pt idx="9">
                    <c:v>165</c:v>
                  </c:pt>
                  <c:pt idx="10">
                    <c:v>198</c:v>
                  </c:pt>
                  <c:pt idx="11">
                    <c:v>135</c:v>
                  </c:pt>
                  <c:pt idx="12">
                    <c:v>186</c:v>
                  </c:pt>
                  <c:pt idx="13">
                    <c:v>0</c:v>
                  </c:pt>
                  <c:pt idx="14">
                    <c:v>0</c:v>
                  </c:pt>
                  <c:pt idx="15">
                    <c:v>116</c:v>
                  </c:pt>
                  <c:pt idx="16">
                    <c:v>182</c:v>
                  </c:pt>
                  <c:pt idx="17">
                    <c:v>163</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lvl>
                <c:lvl>
                  <c:pt idx="0">
                    <c:v>2024</c:v>
                  </c:pt>
                  <c:pt idx="12">
                    <c:v>2025</c:v>
                  </c:pt>
                </c:lvl>
              </c:multiLvlStrCache>
            </c:multiLvlStrRef>
          </c:cat>
          <c:val>
            <c:numRef>
              <c:f>Inpatient!$E$6:$E$44</c:f>
              <c:numCache>
                <c:formatCode>0%</c:formatCode>
                <c:ptCount val="18"/>
                <c:pt idx="0">
                  <c:v>0.954337899543379</c:v>
                </c:pt>
                <c:pt idx="1">
                  <c:v>0.9719626168224299</c:v>
                </c:pt>
                <c:pt idx="2">
                  <c:v>0.93434343434343436</c:v>
                </c:pt>
                <c:pt idx="3">
                  <c:v>0.93006993006993011</c:v>
                </c:pt>
                <c:pt idx="4">
                  <c:v>0.98395721925133695</c:v>
                </c:pt>
                <c:pt idx="5">
                  <c:v>1</c:v>
                </c:pt>
                <c:pt idx="6">
                  <c:v>1</c:v>
                </c:pt>
                <c:pt idx="7">
                  <c:v>0.97413793103448276</c:v>
                </c:pt>
                <c:pt idx="8">
                  <c:v>0.91240875912408759</c:v>
                </c:pt>
                <c:pt idx="9">
                  <c:v>0.94545454545454544</c:v>
                </c:pt>
                <c:pt idx="10">
                  <c:v>0.96464646464646464</c:v>
                </c:pt>
                <c:pt idx="11">
                  <c:v>0.94074074074074077</c:v>
                </c:pt>
                <c:pt idx="12">
                  <c:v>0.9623655913978495</c:v>
                </c:pt>
                <c:pt idx="13">
                  <c:v>#N/A</c:v>
                </c:pt>
                <c:pt idx="14">
                  <c:v>#N/A</c:v>
                </c:pt>
                <c:pt idx="15">
                  <c:v>0.92241379310344829</c:v>
                </c:pt>
                <c:pt idx="16">
                  <c:v>0.95604395604395609</c:v>
                </c:pt>
                <c:pt idx="17">
                  <c:v>0.95705521472392641</c:v>
                </c:pt>
              </c:numCache>
            </c:numRef>
          </c:val>
          <c:smooth val="1"/>
          <c:extLst>
            <c:ext xmlns:c16="http://schemas.microsoft.com/office/drawing/2014/chart" uri="{C3380CC4-5D6E-409C-BE32-E72D297353CC}">
              <c16:uniqueId val="{00000003-1BF5-4AB8-9832-AC004EB86615}"/>
            </c:ext>
          </c:extLst>
        </c:ser>
        <c:dLbls>
          <c:showLegendKey val="0"/>
          <c:showVal val="0"/>
          <c:showCatName val="0"/>
          <c:showSerName val="0"/>
          <c:showPercent val="0"/>
          <c:showBubbleSize val="0"/>
        </c:dLbls>
        <c:marker val="1"/>
        <c:smooth val="0"/>
        <c:axId val="1194562352"/>
        <c:axId val="1194570632"/>
      </c:lineChart>
      <c:catAx>
        <c:axId val="939995816"/>
        <c:scaling>
          <c:orientation val="minMax"/>
        </c:scaling>
        <c:delete val="0"/>
        <c:axPos val="b"/>
        <c:title>
          <c:tx>
            <c:rich>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r>
                  <a:rPr lang="en-US"/>
                  <a:t>Number of HVL</a:t>
                </a:r>
                <a:r>
                  <a:rPr lang="en-US" baseline="0"/>
                  <a:t> ROC seen</a:t>
                </a:r>
                <a:r>
                  <a:rPr lang="en-US"/>
                  <a:t> per period</a:t>
                </a:r>
              </a:p>
            </c:rich>
          </c:tx>
          <c:layout>
            <c:manualLayout>
              <c:xMode val="edge"/>
              <c:yMode val="edge"/>
              <c:x val="0.41442544954141969"/>
              <c:y val="0.87376313591756294"/>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accent1">
                <a:lumMod val="50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939997976"/>
        <c:crosses val="autoZero"/>
        <c:auto val="1"/>
        <c:lblAlgn val="ctr"/>
        <c:lblOffset val="100"/>
        <c:noMultiLvlLbl val="0"/>
      </c:catAx>
      <c:valAx>
        <c:axId val="939997976"/>
        <c:scaling>
          <c:orientation val="minMax"/>
          <c:max val="250"/>
          <c:min val="0"/>
        </c:scaling>
        <c:delete val="0"/>
        <c:axPos val="l"/>
        <c:title>
          <c:tx>
            <c:rich>
              <a:bodyPr rot="-54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r>
                  <a:rPr lang="en-US"/>
                  <a:t>Number of ROC with HVL screened</a:t>
                </a:r>
              </a:p>
            </c:rich>
          </c:tx>
          <c:layout>
            <c:manualLayout>
              <c:xMode val="edge"/>
              <c:yMode val="edge"/>
              <c:x val="1.153877493068561E-3"/>
              <c:y val="0.34269789414346724"/>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solidFill>
              <a:schemeClr val="accent1">
                <a:lumMod val="50000"/>
              </a:schemeClr>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939995816"/>
        <c:crosses val="autoZero"/>
        <c:crossBetween val="between"/>
      </c:valAx>
      <c:valAx>
        <c:axId val="1194570632"/>
        <c:scaling>
          <c:orientation val="minMax"/>
          <c:max val="1"/>
          <c:min val="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194562352"/>
        <c:crosses val="max"/>
        <c:crossBetween val="between"/>
      </c:valAx>
      <c:catAx>
        <c:axId val="1194562352"/>
        <c:scaling>
          <c:orientation val="minMax"/>
        </c:scaling>
        <c:delete val="1"/>
        <c:axPos val="b"/>
        <c:numFmt formatCode="General" sourceLinked="1"/>
        <c:majorTickMark val="out"/>
        <c:minorTickMark val="none"/>
        <c:tickLblPos val="nextTo"/>
        <c:crossAx val="1194570632"/>
        <c:crosses val="autoZero"/>
        <c:auto val="1"/>
        <c:lblAlgn val="ctr"/>
        <c:lblOffset val="100"/>
        <c:noMultiLvlLbl val="0"/>
      </c:catAx>
      <c:spPr>
        <a:noFill/>
        <a:ln>
          <a:noFill/>
        </a:ln>
        <a:effectLst/>
      </c:spPr>
    </c:plotArea>
    <c:legend>
      <c:legendPos val="r"/>
      <c:layout>
        <c:manualLayout>
          <c:xMode val="edge"/>
          <c:yMode val="edge"/>
          <c:x val="0.13614695101174873"/>
          <c:y val="0.91387459751039546"/>
          <c:w val="0.76049011022209589"/>
          <c:h val="7.6861283297034677E-2"/>
        </c:manualLayout>
      </c:layout>
      <c:overlay val="0"/>
      <c:spPr>
        <a:noFill/>
        <a:ln w="6350">
          <a:solidFill>
            <a:schemeClr val="accent5">
              <a:lumMod val="40000"/>
              <a:lumOff val="60000"/>
            </a:schemeClr>
          </a:solid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5">
          <a:lumMod val="40000"/>
          <a:lumOff val="60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[AHD_Reporting_Form.xlsx]Inpatient!PivotTable2</c:name>
    <c:fmtId val="87"/>
  </c:pivotSource>
  <c:chart>
    <c:title>
      <c:tx>
        <c:rich>
          <a:bodyPr rot="0" spcFirstLastPara="1" vertOverflow="ellipsis" vert="horz" wrap="square" anchor="ctr" anchorCtr="1"/>
          <a:lstStyle/>
          <a:p>
            <a:pPr>
              <a:defRPr sz="1400" b="1" i="0" u="sng" strike="noStrike" kern="1200" baseline="0">
                <a:solidFill>
                  <a:sysClr val="windowText" lastClr="000000"/>
                </a:solidFill>
                <a:latin typeface="+mn-lt"/>
                <a:ea typeface="+mn-ea"/>
                <a:cs typeface="+mn-cs"/>
              </a:defRPr>
            </a:pPr>
            <a:r>
              <a:rPr lang="en-GB" sz="1400" u="sng"/>
              <a:t>AHD Yield among inpatients</a:t>
            </a:r>
          </a:p>
        </c:rich>
      </c:tx>
      <c:layout>
        <c:manualLayout>
          <c:xMode val="edge"/>
          <c:yMode val="edge"/>
          <c:x val="0.31871396480594527"/>
          <c:y val="1.8829532165005203E-2"/>
        </c:manualLayout>
      </c:layout>
      <c:overlay val="0"/>
      <c:spPr>
        <a:noFill/>
        <a:ln>
          <a:noFill/>
        </a:ln>
        <a:effectLst/>
      </c:spPr>
      <c:txPr>
        <a:bodyPr rot="0" spcFirstLastPara="1" vertOverflow="ellipsis" vert="horz" wrap="square" anchor="ctr" anchorCtr="1"/>
        <a:lstStyle/>
        <a:p>
          <a:pPr>
            <a:defRPr sz="1400" b="1" i="0" u="sng" strike="noStrike" kern="1200" baseline="0">
              <a:solidFill>
                <a:sysClr val="windowText" lastClr="000000"/>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2"/>
            </a:solidFill>
            <a:round/>
          </a:ln>
          <a:effectLst>
            <a:outerShdw blurRad="57150" dist="19050" dir="5400000" algn="ctr" rotWithShape="0">
              <a:srgbClr val="000000">
                <a:alpha val="63000"/>
              </a:srgbClr>
            </a:outerShdw>
          </a:effectLst>
        </c:spPr>
        <c:marker>
          <c:symbol val="circle"/>
          <c:size val="4"/>
          <c:spPr>
            <a:solidFill>
              <a:schemeClr val="accent2"/>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5"/>
            </a:solidFill>
            <a:round/>
          </a:ln>
          <a:effectLst>
            <a:outerShdw blurRad="57150" dist="19050" dir="5400000" algn="ctr" rotWithShape="0">
              <a:srgbClr val="000000">
                <a:alpha val="63000"/>
              </a:srgbClr>
            </a:outerShdw>
          </a:effectLst>
        </c:spPr>
        <c:marker>
          <c:symbol val="circle"/>
          <c:size val="4"/>
          <c:spPr>
            <a:solidFill>
              <a:schemeClr val="accent5"/>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dLbl>
          <c:idx val="0"/>
          <c:layout>
            <c:manualLayout>
              <c:x val="-3.6779396559352875E-2"/>
              <c:y val="3.23599931903843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F9B20"/>
            </a:solidFill>
            <a:round/>
          </a:ln>
          <a:effectLst>
            <a:outerShdw blurRad="57150" dist="19050" dir="5400000" algn="ctr" rotWithShape="0">
              <a:srgbClr val="000000">
                <a:alpha val="63000"/>
              </a:srgbClr>
            </a:outerShdw>
          </a:effectLst>
        </c:spPr>
        <c:marker>
          <c:symbol val="circle"/>
          <c:size val="4"/>
          <c:spPr>
            <a:solidFill>
              <a:srgbClr val="EF9B20"/>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dLbl>
          <c:idx val="0"/>
          <c:layout>
            <c:manualLayout>
              <c:x val="-3.6779396559352875E-2"/>
              <c:y val="3.2359993190384365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1A53FF"/>
            </a:solidFill>
            <a:round/>
          </a:ln>
          <a:effectLst>
            <a:outerShdw blurRad="57150" dist="19050" dir="5400000" algn="ctr" rotWithShape="0">
              <a:srgbClr val="000000">
                <a:alpha val="63000"/>
              </a:srgbClr>
            </a:outerShdw>
          </a:effectLst>
        </c:spPr>
        <c:marker>
          <c:symbol val="circle"/>
          <c:size val="4"/>
          <c:spPr>
            <a:solidFill>
              <a:srgbClr val="1A53FF"/>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449BCC"/>
            </a:solidFill>
            <a:round/>
          </a:ln>
          <a:effectLst>
            <a:outerShdw blurRad="57150" dist="19050" dir="5400000" algn="ctr" rotWithShape="0">
              <a:srgbClr val="000000">
                <a:alpha val="63000"/>
              </a:srgbClr>
            </a:outerShdw>
          </a:effectLst>
        </c:spPr>
        <c:marker>
          <c:symbol val="circle"/>
          <c:size val="4"/>
          <c:spPr>
            <a:solidFill>
              <a:srgbClr val="449BCC"/>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AF1FC7"/>
            </a:solidFill>
            <a:round/>
          </a:ln>
          <a:effectLst>
            <a:outerShdw blurRad="57150" dist="19050" dir="5400000" algn="ctr" rotWithShape="0">
              <a:srgbClr val="000000">
                <a:alpha val="63000"/>
              </a:srgbClr>
            </a:outerShdw>
          </a:effectLst>
        </c:spPr>
        <c:marker>
          <c:symbol val="circle"/>
          <c:size val="4"/>
          <c:spPr>
            <a:solidFill>
              <a:srgbClr val="AF1FC7"/>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AF1FC7"/>
            </a:solidFill>
            <a:round/>
          </a:ln>
          <a:effectLst>
            <a:outerShdw blurRad="57150" dist="19050" dir="5400000" algn="ctr" rotWithShape="0">
              <a:srgbClr val="000000">
                <a:alpha val="63000"/>
              </a:srgbClr>
            </a:outerShdw>
          </a:effectLst>
        </c:spPr>
        <c:marker>
          <c:symbol val="circle"/>
          <c:size val="4"/>
          <c:spPr>
            <a:solidFill>
              <a:srgbClr val="AF1FC7"/>
            </a:solidFill>
            <a:ln w="9525">
              <a:noFill/>
              <a:round/>
            </a:ln>
            <a:effectLst>
              <a:outerShdw blurRad="57150" dist="19050" dir="5400000" algn="ctr" rotWithShape="0">
                <a:srgbClr val="000000">
                  <a:alpha val="63000"/>
                </a:srgbClr>
              </a:outerShdw>
            </a:effectLst>
          </c:spPr>
        </c:marker>
        <c:dLbl>
          <c:idx val="0"/>
          <c:layout>
            <c:manualLayout>
              <c:x val="-3.6779396559352875E-2"/>
              <c:y val="3.2359993190384365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6CAEA5"/>
            </a:solidFill>
            <a:round/>
          </a:ln>
          <a:effectLst>
            <a:outerShdw blurRad="57150" dist="19050" dir="5400000" algn="ctr" rotWithShape="0">
              <a:srgbClr val="000000">
                <a:alpha val="63000"/>
              </a:srgbClr>
            </a:outerShdw>
          </a:effectLst>
        </c:spPr>
        <c:marker>
          <c:symbol val="circle"/>
          <c:size val="4"/>
          <c:spPr>
            <a:solidFill>
              <a:srgbClr val="6CAEA5"/>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dLbl>
          <c:idx val="0"/>
          <c:layout>
            <c:manualLayout>
              <c:x val="-3.6779396559352875E-2"/>
              <c:y val="3.2359993190384365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6CAEA5"/>
            </a:solidFill>
            <a:round/>
          </a:ln>
          <a:effectLst>
            <a:outerShdw blurRad="57150" dist="19050" dir="5400000" algn="ctr" rotWithShape="0">
              <a:srgbClr val="000000">
                <a:alpha val="63000"/>
              </a:srgbClr>
            </a:outerShdw>
          </a:effectLst>
        </c:spPr>
        <c:marker>
          <c:symbol val="circle"/>
          <c:size val="4"/>
          <c:spPr>
            <a:solidFill>
              <a:srgbClr val="6CAEA5"/>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dLbl>
          <c:idx val="0"/>
          <c:layout>
            <c:manualLayout>
              <c:x val="-2.579297218581135E-2"/>
              <c:y val="2.8589607233004296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
        <c:idx val="20"/>
      </c:pivotFmt>
      <c:pivotFmt>
        <c:idx val="21"/>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dLbl>
          <c:idx val="0"/>
          <c:layout>
            <c:manualLayout>
              <c:x val="-2.579297218581135E-2"/>
              <c:y val="2.8589607233004296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dLbl>
          <c:idx val="0"/>
          <c:layout>
            <c:manualLayout>
              <c:x val="-3.2632136494020157E-2"/>
              <c:y val="-1.7285326572641667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6CAEA5"/>
            </a:solidFill>
            <a:round/>
          </a:ln>
          <a:effectLst>
            <a:outerShdw blurRad="57150" dist="19050" dir="5400000" algn="ctr" rotWithShape="0">
              <a:srgbClr val="000000">
                <a:alpha val="63000"/>
              </a:srgbClr>
            </a:outerShdw>
          </a:effectLst>
        </c:spPr>
        <c:marker>
          <c:symbol val="circle"/>
          <c:size val="4"/>
          <c:spPr>
            <a:solidFill>
              <a:srgbClr val="6CAEA5"/>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dLbl>
          <c:idx val="0"/>
          <c:layout>
            <c:manualLayout>
              <c:x val="-2.579297218581135E-2"/>
              <c:y val="2.8589607233004296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dLbl>
          <c:idx val="0"/>
          <c:layout>
            <c:manualLayout>
              <c:x val="-3.2632136494020157E-2"/>
              <c:y val="-1.7285326572641667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6CAEA5"/>
            </a:solidFill>
            <a:round/>
          </a:ln>
          <a:effectLst>
            <a:outerShdw blurRad="57150" dist="19050" dir="5400000" algn="ctr" rotWithShape="0">
              <a:srgbClr val="000000">
                <a:alpha val="63000"/>
              </a:srgbClr>
            </a:outerShdw>
          </a:effectLst>
        </c:spPr>
        <c:marker>
          <c:symbol val="circle"/>
          <c:size val="4"/>
          <c:spPr>
            <a:solidFill>
              <a:srgbClr val="6CAEA5"/>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dLbl>
          <c:idx val="0"/>
          <c:layout>
            <c:manualLayout>
              <c:x val="-2.579297218581135E-2"/>
              <c:y val="2.8589607233004296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dLbl>
          <c:idx val="0"/>
          <c:layout>
            <c:manualLayout>
              <c:x val="-3.2632136494020157E-2"/>
              <c:y val="-1.7285326572641667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6CAEA5"/>
            </a:solidFill>
            <a:round/>
          </a:ln>
          <a:effectLst>
            <a:outerShdw blurRad="57150" dist="19050" dir="5400000" algn="ctr" rotWithShape="0">
              <a:srgbClr val="000000">
                <a:alpha val="63000"/>
              </a:srgbClr>
            </a:outerShdw>
          </a:effectLst>
        </c:spPr>
        <c:marker>
          <c:symbol val="circle"/>
          <c:size val="4"/>
          <c:spPr>
            <a:solidFill>
              <a:srgbClr val="6CAEA5"/>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dLbl>
          <c:idx val="0"/>
          <c:layout>
            <c:manualLayout>
              <c:x val="-2.579297218581135E-2"/>
              <c:y val="2.8589607233004296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dLbl>
          <c:idx val="0"/>
          <c:layout>
            <c:manualLayout>
              <c:x val="-3.2632136494020157E-2"/>
              <c:y val="-1.7285326572641667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6CAEA5"/>
            </a:solidFill>
            <a:round/>
          </a:ln>
          <a:effectLst>
            <a:outerShdw blurRad="57150" dist="19050" dir="5400000" algn="ctr" rotWithShape="0">
              <a:srgbClr val="000000">
                <a:alpha val="63000"/>
              </a:srgbClr>
            </a:outerShdw>
          </a:effectLst>
        </c:spPr>
        <c:marker>
          <c:symbol val="circle"/>
          <c:size val="4"/>
          <c:spPr>
            <a:solidFill>
              <a:srgbClr val="6CAEA5"/>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8"/>
        <c:spPr>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dLbl>
          <c:idx val="0"/>
          <c:layout>
            <c:manualLayout>
              <c:x val="-2.579297218581135E-2"/>
              <c:y val="2.8589607233004296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95"/>
        <c:spPr>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
        <c:idx val="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dLbl>
          <c:idx val="0"/>
          <c:layout>
            <c:manualLayout>
              <c:x val="-3.2632136494020157E-2"/>
              <c:y val="-1.7285326572641667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
        <c:idx val="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
        <c:idx val="1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
        <c:idx val="1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
        <c:idx val="102"/>
        <c:spPr>
          <a:ln w="19050" cap="rnd">
            <a:solidFill>
              <a:srgbClr val="6CAEA5"/>
            </a:solidFill>
            <a:round/>
          </a:ln>
          <a:effectLst>
            <a:outerShdw blurRad="57150" dist="19050" dir="5400000" algn="ctr" rotWithShape="0">
              <a:srgbClr val="000000">
                <a:alpha val="63000"/>
              </a:srgbClr>
            </a:outerShdw>
          </a:effectLst>
        </c:spPr>
        <c:marker>
          <c:symbol val="circle"/>
          <c:size val="4"/>
          <c:spPr>
            <a:solidFill>
              <a:srgbClr val="6CAEA5"/>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1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1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
        <c:idx val="1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
        <c:idx val="1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1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
        <c:idx val="1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1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
        <c:idx val="1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1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1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
        <c:idx val="1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
        <c:idx val="1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1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
        <c:idx val="1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1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1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1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
        <c:idx val="1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
        <c:idx val="1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
        <c:idx val="123"/>
        <c:spPr>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124"/>
        <c:spPr>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125"/>
        <c:spPr>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126"/>
        <c:spPr>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127"/>
        <c:spPr>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128"/>
        <c:spPr>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129"/>
        <c:spPr>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130"/>
        <c:spPr>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131"/>
        <c:spPr>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132"/>
        <c:spPr>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133"/>
        <c:spPr>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134"/>
        <c:spPr>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135"/>
        <c:spPr>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
        <c:idx val="136"/>
        <c:spPr>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
        <c:idx val="137"/>
        <c:spPr>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
        <c:idx val="138"/>
        <c:spPr>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
        <c:idx val="139"/>
        <c:spPr>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
        <c:idx val="140"/>
        <c:spPr>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
        <c:idx val="141"/>
        <c:spPr>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
        <c:idx val="142"/>
        <c:spPr>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
        <c:idx val="143"/>
        <c:spPr>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
        <c:idx val="144"/>
        <c:spPr>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
        <c:idx val="145"/>
        <c:spPr>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
        <c:idx val="146"/>
        <c:spPr>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
        <c:idx val="147"/>
        <c:spPr>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148"/>
        <c:spPr>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
        <c:idx val="149"/>
        <c:spPr>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150"/>
        <c:spPr>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
        <c:idx val="151"/>
        <c:spPr>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152"/>
        <c:spPr>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
        <c:idx val="153"/>
        <c:spPr>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154"/>
        <c:spPr>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155"/>
        <c:spPr>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156"/>
        <c:spPr>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
        <c:idx val="157"/>
        <c:spPr>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
        <c:idx val="158"/>
        <c:spPr>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s>
    <c:plotArea>
      <c:layout>
        <c:manualLayout>
          <c:layoutTarget val="inner"/>
          <c:xMode val="edge"/>
          <c:yMode val="edge"/>
          <c:x val="0.13375684616236402"/>
          <c:y val="0.11721388715452766"/>
          <c:w val="0.84588288234156939"/>
          <c:h val="0.67080805367261886"/>
        </c:manualLayout>
      </c:layout>
      <c:lineChart>
        <c:grouping val="standard"/>
        <c:varyColors val="0"/>
        <c:ser>
          <c:idx val="0"/>
          <c:order val="0"/>
          <c:tx>
            <c:strRef>
              <c:f>Inpatient!$J$5</c:f>
              <c:strCache>
                <c:ptCount val="1"/>
                <c:pt idx="0">
                  <c:v> CD4&lt;200%</c:v>
                </c:pt>
              </c:strCache>
            </c:strRef>
          </c:tx>
          <c:spPr>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dPt>
            <c:idx val="0"/>
            <c:marker>
              <c:symbol val="circle"/>
              <c:size val="4"/>
              <c:spPr>
                <a:solidFill>
                  <a:srgbClr val="92957B"/>
                </a:solidFill>
                <a:ln w="9525">
                  <a:noFill/>
                  <a:round/>
                </a:ln>
                <a:effectLst>
                  <a:outerShdw blurRad="57150" dist="19050" dir="5400000" algn="ctr" rotWithShape="0">
                    <a:srgbClr val="000000">
                      <a:alpha val="63000"/>
                    </a:srgbClr>
                  </a:outerShdw>
                </a:effectLst>
              </c:spPr>
            </c:marker>
            <c:bubble3D val="0"/>
            <c:spPr>
              <a:ln w="19050" cap="rnd">
                <a:solidFill>
                  <a:srgbClr val="92957B"/>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62A-4D65-9ED7-8899E1876833}"/>
              </c:ext>
            </c:extLst>
          </c:dPt>
          <c:dPt>
            <c:idx val="1"/>
            <c:marker>
              <c:symbol val="circle"/>
              <c:size val="4"/>
              <c:spPr>
                <a:solidFill>
                  <a:srgbClr val="92957B"/>
                </a:solidFill>
                <a:ln w="9525">
                  <a:noFill/>
                  <a:round/>
                </a:ln>
                <a:effectLst>
                  <a:outerShdw blurRad="57150" dist="19050" dir="5400000" algn="ctr" rotWithShape="0">
                    <a:srgbClr val="000000">
                      <a:alpha val="63000"/>
                    </a:srgbClr>
                  </a:outerShdw>
                </a:effectLst>
              </c:spPr>
            </c:marker>
            <c:bubble3D val="0"/>
            <c:spPr>
              <a:ln w="19050" cap="rnd">
                <a:solidFill>
                  <a:srgbClr val="92957B"/>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7F0-4725-8FB8-1F42F594BA08}"/>
              </c:ext>
            </c:extLst>
          </c:dPt>
          <c:dPt>
            <c:idx val="2"/>
            <c:marker>
              <c:symbol val="circle"/>
              <c:size val="4"/>
              <c:spPr>
                <a:solidFill>
                  <a:srgbClr val="92957B"/>
                </a:solidFill>
                <a:ln w="9525">
                  <a:noFill/>
                  <a:round/>
                </a:ln>
                <a:effectLst>
                  <a:outerShdw blurRad="57150" dist="19050" dir="5400000" algn="ctr" rotWithShape="0">
                    <a:srgbClr val="000000">
                      <a:alpha val="63000"/>
                    </a:srgbClr>
                  </a:outerShdw>
                </a:effectLst>
              </c:spPr>
            </c:marker>
            <c:bubble3D val="0"/>
            <c:spPr>
              <a:ln w="19050" cap="rnd">
                <a:solidFill>
                  <a:srgbClr val="92957B"/>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7F0-4725-8FB8-1F42F594BA08}"/>
              </c:ext>
            </c:extLst>
          </c:dPt>
          <c:dPt>
            <c:idx val="3"/>
            <c:marker>
              <c:symbol val="circle"/>
              <c:size val="4"/>
              <c:spPr>
                <a:solidFill>
                  <a:srgbClr val="92957B"/>
                </a:solidFill>
                <a:ln w="9525">
                  <a:noFill/>
                  <a:round/>
                </a:ln>
                <a:effectLst>
                  <a:outerShdw blurRad="57150" dist="19050" dir="5400000" algn="ctr" rotWithShape="0">
                    <a:srgbClr val="000000">
                      <a:alpha val="63000"/>
                    </a:srgbClr>
                  </a:outerShdw>
                </a:effectLst>
              </c:spPr>
            </c:marker>
            <c:bubble3D val="0"/>
            <c:spPr>
              <a:ln w="19050" cap="rnd">
                <a:solidFill>
                  <a:srgbClr val="92957B"/>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7F0-4725-8FB8-1F42F594BA08}"/>
              </c:ext>
            </c:extLst>
          </c:dPt>
          <c:dPt>
            <c:idx val="4"/>
            <c:marker>
              <c:symbol val="circle"/>
              <c:size val="4"/>
              <c:spPr>
                <a:solidFill>
                  <a:srgbClr val="92957B"/>
                </a:solidFill>
                <a:ln w="9525">
                  <a:noFill/>
                  <a:round/>
                </a:ln>
                <a:effectLst>
                  <a:outerShdw blurRad="57150" dist="19050" dir="5400000" algn="ctr" rotWithShape="0">
                    <a:srgbClr val="000000">
                      <a:alpha val="63000"/>
                    </a:srgbClr>
                  </a:outerShdw>
                </a:effectLst>
              </c:spPr>
            </c:marker>
            <c:bubble3D val="0"/>
            <c:spPr>
              <a:ln w="19050" cap="rnd">
                <a:solidFill>
                  <a:srgbClr val="92957B"/>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17F0-4725-8FB8-1F42F594BA08}"/>
              </c:ext>
            </c:extLst>
          </c:dPt>
          <c:dPt>
            <c:idx val="5"/>
            <c:marker>
              <c:symbol val="circle"/>
              <c:size val="4"/>
              <c:spPr>
                <a:solidFill>
                  <a:srgbClr val="92957B"/>
                </a:solidFill>
                <a:ln w="9525">
                  <a:noFill/>
                  <a:round/>
                </a:ln>
                <a:effectLst>
                  <a:outerShdw blurRad="57150" dist="19050" dir="5400000" algn="ctr" rotWithShape="0">
                    <a:srgbClr val="000000">
                      <a:alpha val="63000"/>
                    </a:srgbClr>
                  </a:outerShdw>
                </a:effectLst>
              </c:spPr>
            </c:marker>
            <c:bubble3D val="0"/>
            <c:spPr>
              <a:ln w="19050" cap="rnd">
                <a:solidFill>
                  <a:srgbClr val="92957B"/>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17F0-4725-8FB8-1F42F594BA08}"/>
              </c:ext>
            </c:extLst>
          </c:dPt>
          <c:dPt>
            <c:idx val="6"/>
            <c:marker>
              <c:symbol val="circle"/>
              <c:size val="4"/>
              <c:spPr>
                <a:solidFill>
                  <a:srgbClr val="92957B"/>
                </a:solidFill>
                <a:ln w="9525">
                  <a:noFill/>
                  <a:round/>
                </a:ln>
                <a:effectLst>
                  <a:outerShdw blurRad="57150" dist="19050" dir="5400000" algn="ctr" rotWithShape="0">
                    <a:srgbClr val="000000">
                      <a:alpha val="63000"/>
                    </a:srgbClr>
                  </a:outerShdw>
                </a:effectLst>
              </c:spPr>
            </c:marker>
            <c:bubble3D val="0"/>
            <c:spPr>
              <a:ln w="19050" cap="rnd">
                <a:solidFill>
                  <a:srgbClr val="92957B"/>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17F0-4725-8FB8-1F42F594BA08}"/>
              </c:ext>
            </c:extLst>
          </c:dPt>
          <c:dPt>
            <c:idx val="7"/>
            <c:marker>
              <c:symbol val="circle"/>
              <c:size val="4"/>
              <c:spPr>
                <a:solidFill>
                  <a:srgbClr val="92957B"/>
                </a:solidFill>
                <a:ln w="9525">
                  <a:noFill/>
                  <a:round/>
                </a:ln>
                <a:effectLst>
                  <a:outerShdw blurRad="57150" dist="19050" dir="5400000" algn="ctr" rotWithShape="0">
                    <a:srgbClr val="000000">
                      <a:alpha val="63000"/>
                    </a:srgbClr>
                  </a:outerShdw>
                </a:effectLst>
              </c:spPr>
            </c:marker>
            <c:bubble3D val="0"/>
            <c:spPr>
              <a:ln w="19050" cap="rnd">
                <a:solidFill>
                  <a:srgbClr val="92957B"/>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C631-4830-AF7C-A25F79199E98}"/>
              </c:ext>
            </c:extLst>
          </c:dPt>
          <c:dPt>
            <c:idx val="8"/>
            <c:marker>
              <c:symbol val="circle"/>
              <c:size val="4"/>
              <c:spPr>
                <a:solidFill>
                  <a:srgbClr val="92957B"/>
                </a:solidFill>
                <a:ln w="9525">
                  <a:noFill/>
                  <a:round/>
                </a:ln>
                <a:effectLst>
                  <a:outerShdw blurRad="57150" dist="19050" dir="5400000" algn="ctr" rotWithShape="0">
                    <a:srgbClr val="000000">
                      <a:alpha val="63000"/>
                    </a:srgbClr>
                  </a:outerShdw>
                </a:effectLst>
              </c:spPr>
            </c:marker>
            <c:bubble3D val="0"/>
            <c:spPr>
              <a:ln w="19050" cap="rnd">
                <a:solidFill>
                  <a:srgbClr val="92957B"/>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2CF6-45C7-B7E5-64DAAA9D0F9A}"/>
              </c:ext>
            </c:extLst>
          </c:dPt>
          <c:dPt>
            <c:idx val="9"/>
            <c:marker>
              <c:symbol val="circle"/>
              <c:size val="4"/>
              <c:spPr>
                <a:solidFill>
                  <a:srgbClr val="92957B"/>
                </a:solidFill>
                <a:ln w="9525">
                  <a:noFill/>
                  <a:round/>
                </a:ln>
                <a:effectLst>
                  <a:outerShdw blurRad="57150" dist="19050" dir="5400000" algn="ctr" rotWithShape="0">
                    <a:srgbClr val="000000">
                      <a:alpha val="63000"/>
                    </a:srgbClr>
                  </a:outerShdw>
                </a:effectLst>
              </c:spPr>
            </c:marker>
            <c:bubble3D val="0"/>
            <c:spPr>
              <a:ln w="19050" cap="rnd">
                <a:solidFill>
                  <a:srgbClr val="92957B"/>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C631-4830-AF7C-A25F79199E98}"/>
              </c:ext>
            </c:extLst>
          </c:dPt>
          <c:dPt>
            <c:idx val="10"/>
            <c:marker>
              <c:symbol val="circle"/>
              <c:size val="4"/>
              <c:spPr>
                <a:solidFill>
                  <a:srgbClr val="92957B"/>
                </a:solidFill>
                <a:ln w="9525">
                  <a:noFill/>
                  <a:round/>
                </a:ln>
                <a:effectLst>
                  <a:outerShdw blurRad="57150" dist="19050" dir="5400000" algn="ctr" rotWithShape="0">
                    <a:srgbClr val="000000">
                      <a:alpha val="63000"/>
                    </a:srgbClr>
                  </a:outerShdw>
                </a:effectLst>
              </c:spPr>
            </c:marker>
            <c:bubble3D val="0"/>
            <c:spPr>
              <a:ln w="19050" cap="rnd">
                <a:solidFill>
                  <a:srgbClr val="92957B"/>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0-2CF6-45C7-B7E5-64DAAA9D0F9A}"/>
              </c:ext>
            </c:extLst>
          </c:dPt>
          <c:dPt>
            <c:idx val="11"/>
            <c:marker>
              <c:symbol val="circle"/>
              <c:size val="4"/>
              <c:spPr>
                <a:solidFill>
                  <a:srgbClr val="92957B"/>
                </a:solidFill>
                <a:ln w="9525">
                  <a:noFill/>
                  <a:round/>
                </a:ln>
                <a:effectLst>
                  <a:outerShdw blurRad="57150" dist="19050" dir="5400000" algn="ctr" rotWithShape="0">
                    <a:srgbClr val="000000">
                      <a:alpha val="63000"/>
                    </a:srgbClr>
                  </a:outerShdw>
                </a:effectLst>
              </c:spPr>
            </c:marker>
            <c:bubble3D val="0"/>
            <c:spPr>
              <a:ln w="19050" cap="rnd">
                <a:solidFill>
                  <a:srgbClr val="92957B"/>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C631-4830-AF7C-A25F79199E98}"/>
              </c:ext>
            </c:extLst>
          </c:dPt>
          <c:dPt>
            <c:idx val="12"/>
            <c:marker>
              <c:symbol val="circle"/>
              <c:size val="4"/>
              <c:spPr>
                <a:solidFill>
                  <a:srgbClr val="92957B"/>
                </a:solidFill>
                <a:ln w="9525">
                  <a:noFill/>
                  <a:round/>
                </a:ln>
                <a:effectLst>
                  <a:outerShdw blurRad="57150" dist="19050" dir="5400000" algn="ctr" rotWithShape="0">
                    <a:srgbClr val="000000">
                      <a:alpha val="63000"/>
                    </a:srgbClr>
                  </a:outerShdw>
                </a:effectLst>
              </c:spPr>
            </c:marker>
            <c:bubble3D val="0"/>
            <c:spPr>
              <a:ln w="19050" cap="rnd">
                <a:solidFill>
                  <a:srgbClr val="92957B"/>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C631-4830-AF7C-A25F79199E98}"/>
              </c:ext>
            </c:extLst>
          </c:dPt>
          <c:dPt>
            <c:idx val="13"/>
            <c:marker>
              <c:symbol val="circle"/>
              <c:size val="4"/>
              <c:spPr>
                <a:solidFill>
                  <a:srgbClr val="92957B"/>
                </a:solidFill>
                <a:ln w="9525">
                  <a:noFill/>
                  <a:round/>
                </a:ln>
                <a:effectLst>
                  <a:outerShdw blurRad="57150" dist="19050" dir="5400000" algn="ctr" rotWithShape="0">
                    <a:srgbClr val="000000">
                      <a:alpha val="63000"/>
                    </a:srgbClr>
                  </a:outerShdw>
                </a:effectLst>
              </c:spPr>
            </c:marker>
            <c:bubble3D val="0"/>
            <c:spPr>
              <a:ln w="19050" cap="rnd">
                <a:solidFill>
                  <a:srgbClr val="92957B"/>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C631-4830-AF7C-A25F79199E98}"/>
              </c:ext>
            </c:extLst>
          </c:dPt>
          <c:dPt>
            <c:idx val="14"/>
            <c:marker>
              <c:symbol val="circle"/>
              <c:size val="4"/>
              <c:spPr>
                <a:solidFill>
                  <a:srgbClr val="92957B"/>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1D-C631-4830-AF7C-A25F79199E98}"/>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Inpatient!$I$6:$I$26</c:f>
              <c:multiLvlStrCache>
                <c:ptCount val="1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lvl>
                <c:lvl>
                  <c:pt idx="0">
                    <c:v>2024</c:v>
                  </c:pt>
                  <c:pt idx="12">
                    <c:v>2025</c:v>
                  </c:pt>
                </c:lvl>
              </c:multiLvlStrCache>
            </c:multiLvlStrRef>
          </c:cat>
          <c:val>
            <c:numRef>
              <c:f>Inpatient!$J$6:$J$26</c:f>
              <c:numCache>
                <c:formatCode>General</c:formatCode>
                <c:ptCount val="18"/>
                <c:pt idx="0">
                  <c:v>0.37799043062200954</c:v>
                </c:pt>
                <c:pt idx="1">
                  <c:v>0.34134615384615385</c:v>
                </c:pt>
                <c:pt idx="2">
                  <c:v>0.4</c:v>
                </c:pt>
                <c:pt idx="3">
                  <c:v>0.3007518796992481</c:v>
                </c:pt>
                <c:pt idx="4">
                  <c:v>0.43478260869565216</c:v>
                </c:pt>
                <c:pt idx="5">
                  <c:v>0.47058823529411764</c:v>
                </c:pt>
                <c:pt idx="6">
                  <c:v>0.40816326530612246</c:v>
                </c:pt>
                <c:pt idx="7">
                  <c:v>0.47787610619469029</c:v>
                </c:pt>
                <c:pt idx="8">
                  <c:v>0.08</c:v>
                </c:pt>
                <c:pt idx="9">
                  <c:v>0.37179487179487181</c:v>
                </c:pt>
                <c:pt idx="10">
                  <c:v>0.34031413612565448</c:v>
                </c:pt>
                <c:pt idx="11">
                  <c:v>0.33070866141732286</c:v>
                </c:pt>
                <c:pt idx="12">
                  <c:v>0.37988826815642457</c:v>
                </c:pt>
                <c:pt idx="13">
                  <c:v>#N/A</c:v>
                </c:pt>
                <c:pt idx="14">
                  <c:v>#N/A</c:v>
                </c:pt>
                <c:pt idx="15">
                  <c:v>0.37383177570093457</c:v>
                </c:pt>
                <c:pt idx="16">
                  <c:v>0.40229885057471265</c:v>
                </c:pt>
                <c:pt idx="17">
                  <c:v>0.37179487179487181</c:v>
                </c:pt>
              </c:numCache>
            </c:numRef>
          </c:val>
          <c:smooth val="1"/>
          <c:extLst>
            <c:ext xmlns:c16="http://schemas.microsoft.com/office/drawing/2014/chart" uri="{C3380CC4-5D6E-409C-BE32-E72D297353CC}">
              <c16:uniqueId val="{0000000C-17F0-4725-8FB8-1F42F594BA08}"/>
            </c:ext>
          </c:extLst>
        </c:ser>
        <c:ser>
          <c:idx val="1"/>
          <c:order val="1"/>
          <c:tx>
            <c:strRef>
              <c:f>Inpatient!$K$5</c:f>
              <c:strCache>
                <c:ptCount val="1"/>
                <c:pt idx="0">
                  <c:v> LAM+%</c:v>
                </c:pt>
              </c:strCache>
            </c:strRef>
          </c:tx>
          <c:spPr>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dPt>
            <c:idx val="0"/>
            <c:marker>
              <c:symbol val="circle"/>
              <c:size val="4"/>
              <c:spPr>
                <a:solidFill>
                  <a:srgbClr val="CAD62A"/>
                </a:solidFill>
                <a:ln w="9525">
                  <a:noFill/>
                  <a:round/>
                </a:ln>
                <a:effectLst>
                  <a:outerShdw blurRad="57150" dist="19050" dir="5400000" algn="ctr" rotWithShape="0">
                    <a:srgbClr val="000000">
                      <a:alpha val="63000"/>
                    </a:srgbClr>
                  </a:outerShdw>
                </a:effectLst>
              </c:spPr>
            </c:marker>
            <c:bubble3D val="0"/>
            <c:spPr>
              <a:ln w="19050" cap="rnd">
                <a:solidFill>
                  <a:srgbClr val="CAD62A"/>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262A-4D65-9ED7-8899E1876833}"/>
              </c:ext>
            </c:extLst>
          </c:dPt>
          <c:dPt>
            <c:idx val="1"/>
            <c:marker>
              <c:symbol val="circle"/>
              <c:size val="4"/>
              <c:spPr>
                <a:solidFill>
                  <a:srgbClr val="CAD62A"/>
                </a:solidFill>
                <a:ln w="9525">
                  <a:noFill/>
                  <a:round/>
                </a:ln>
                <a:effectLst>
                  <a:outerShdw blurRad="57150" dist="19050" dir="5400000" algn="ctr" rotWithShape="0">
                    <a:srgbClr val="000000">
                      <a:alpha val="63000"/>
                    </a:srgbClr>
                  </a:outerShdw>
                </a:effectLst>
              </c:spPr>
            </c:marker>
            <c:bubble3D val="0"/>
            <c:spPr>
              <a:ln w="19050" cap="rnd">
                <a:solidFill>
                  <a:srgbClr val="CAD62A"/>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17F0-4725-8FB8-1F42F594BA08}"/>
              </c:ext>
            </c:extLst>
          </c:dPt>
          <c:dPt>
            <c:idx val="2"/>
            <c:marker>
              <c:symbol val="circle"/>
              <c:size val="4"/>
              <c:spPr>
                <a:solidFill>
                  <a:srgbClr val="CAD62A"/>
                </a:solidFill>
                <a:ln w="9525">
                  <a:noFill/>
                  <a:round/>
                </a:ln>
                <a:effectLst>
                  <a:outerShdw blurRad="57150" dist="19050" dir="5400000" algn="ctr" rotWithShape="0">
                    <a:srgbClr val="000000">
                      <a:alpha val="63000"/>
                    </a:srgbClr>
                  </a:outerShdw>
                </a:effectLst>
              </c:spPr>
            </c:marker>
            <c:bubble3D val="0"/>
            <c:spPr>
              <a:ln w="19050" cap="rnd">
                <a:solidFill>
                  <a:srgbClr val="CAD62A"/>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0-17F0-4725-8FB8-1F42F594BA08}"/>
              </c:ext>
            </c:extLst>
          </c:dPt>
          <c:dPt>
            <c:idx val="3"/>
            <c:marker>
              <c:symbol val="circle"/>
              <c:size val="4"/>
              <c:spPr>
                <a:solidFill>
                  <a:srgbClr val="CAD62A"/>
                </a:solidFill>
                <a:ln w="9525">
                  <a:noFill/>
                  <a:round/>
                </a:ln>
                <a:effectLst>
                  <a:outerShdw blurRad="57150" dist="19050" dir="5400000" algn="ctr" rotWithShape="0">
                    <a:srgbClr val="000000">
                      <a:alpha val="63000"/>
                    </a:srgbClr>
                  </a:outerShdw>
                </a:effectLst>
              </c:spPr>
            </c:marker>
            <c:bubble3D val="0"/>
            <c:spPr>
              <a:ln w="19050" cap="rnd">
                <a:solidFill>
                  <a:srgbClr val="CAD62A"/>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2-17F0-4725-8FB8-1F42F594BA08}"/>
              </c:ext>
            </c:extLst>
          </c:dPt>
          <c:dPt>
            <c:idx val="4"/>
            <c:marker>
              <c:symbol val="circle"/>
              <c:size val="4"/>
              <c:spPr>
                <a:solidFill>
                  <a:srgbClr val="CAD62A"/>
                </a:solidFill>
                <a:ln w="9525">
                  <a:noFill/>
                  <a:round/>
                </a:ln>
                <a:effectLst>
                  <a:outerShdw blurRad="57150" dist="19050" dir="5400000" algn="ctr" rotWithShape="0">
                    <a:srgbClr val="000000">
                      <a:alpha val="63000"/>
                    </a:srgbClr>
                  </a:outerShdw>
                </a:effectLst>
              </c:spPr>
            </c:marker>
            <c:bubble3D val="0"/>
            <c:spPr>
              <a:ln w="19050" cap="rnd">
                <a:solidFill>
                  <a:srgbClr val="CAD62A"/>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4-17F0-4725-8FB8-1F42F594BA08}"/>
              </c:ext>
            </c:extLst>
          </c:dPt>
          <c:dPt>
            <c:idx val="5"/>
            <c:marker>
              <c:symbol val="circle"/>
              <c:size val="4"/>
              <c:spPr>
                <a:solidFill>
                  <a:srgbClr val="CAD62A"/>
                </a:solidFill>
                <a:ln w="9525">
                  <a:noFill/>
                  <a:round/>
                </a:ln>
                <a:effectLst>
                  <a:outerShdw blurRad="57150" dist="19050" dir="5400000" algn="ctr" rotWithShape="0">
                    <a:srgbClr val="000000">
                      <a:alpha val="63000"/>
                    </a:srgbClr>
                  </a:outerShdw>
                </a:effectLst>
              </c:spPr>
            </c:marker>
            <c:bubble3D val="0"/>
            <c:spPr>
              <a:ln w="19050" cap="rnd">
                <a:solidFill>
                  <a:srgbClr val="CAD62A"/>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6-17F0-4725-8FB8-1F42F594BA08}"/>
              </c:ext>
            </c:extLst>
          </c:dPt>
          <c:dPt>
            <c:idx val="6"/>
            <c:marker>
              <c:symbol val="circle"/>
              <c:size val="4"/>
              <c:spPr>
                <a:solidFill>
                  <a:srgbClr val="CAD62A"/>
                </a:solidFill>
                <a:ln w="9525">
                  <a:noFill/>
                  <a:round/>
                </a:ln>
                <a:effectLst>
                  <a:outerShdw blurRad="57150" dist="19050" dir="5400000" algn="ctr" rotWithShape="0">
                    <a:srgbClr val="000000">
                      <a:alpha val="63000"/>
                    </a:srgbClr>
                  </a:outerShdw>
                </a:effectLst>
              </c:spPr>
            </c:marker>
            <c:bubble3D val="0"/>
            <c:spPr>
              <a:ln w="19050" cap="rnd">
                <a:solidFill>
                  <a:srgbClr val="CAD62A"/>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8-17F0-4725-8FB8-1F42F594BA08}"/>
              </c:ext>
            </c:extLst>
          </c:dPt>
          <c:dPt>
            <c:idx val="7"/>
            <c:marker>
              <c:symbol val="circle"/>
              <c:size val="4"/>
              <c:spPr>
                <a:solidFill>
                  <a:srgbClr val="CAD62A"/>
                </a:solidFill>
                <a:ln w="9525">
                  <a:noFill/>
                  <a:round/>
                </a:ln>
                <a:effectLst>
                  <a:outerShdw blurRad="57150" dist="19050" dir="5400000" algn="ctr" rotWithShape="0">
                    <a:srgbClr val="000000">
                      <a:alpha val="63000"/>
                    </a:srgbClr>
                  </a:outerShdw>
                </a:effectLst>
              </c:spPr>
            </c:marker>
            <c:bubble3D val="0"/>
            <c:spPr>
              <a:ln w="19050" cap="rnd">
                <a:solidFill>
                  <a:srgbClr val="CAD62A"/>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C631-4830-AF7C-A25F79199E98}"/>
              </c:ext>
            </c:extLst>
          </c:dPt>
          <c:dPt>
            <c:idx val="8"/>
            <c:marker>
              <c:symbol val="circle"/>
              <c:size val="4"/>
              <c:spPr>
                <a:solidFill>
                  <a:srgbClr val="CAD62A"/>
                </a:solidFill>
                <a:ln w="9525">
                  <a:noFill/>
                  <a:round/>
                </a:ln>
                <a:effectLst>
                  <a:outerShdw blurRad="57150" dist="19050" dir="5400000" algn="ctr" rotWithShape="0">
                    <a:srgbClr val="000000">
                      <a:alpha val="63000"/>
                    </a:srgbClr>
                  </a:outerShdw>
                </a:effectLst>
              </c:spPr>
            </c:marker>
            <c:bubble3D val="0"/>
            <c:spPr>
              <a:ln w="19050" cap="rnd">
                <a:solidFill>
                  <a:srgbClr val="CAD62A"/>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2CF6-45C7-B7E5-64DAAA9D0F9A}"/>
              </c:ext>
            </c:extLst>
          </c:dPt>
          <c:dPt>
            <c:idx val="9"/>
            <c:marker>
              <c:symbol val="circle"/>
              <c:size val="4"/>
              <c:spPr>
                <a:solidFill>
                  <a:srgbClr val="CAD62A"/>
                </a:solidFill>
                <a:ln w="9525">
                  <a:noFill/>
                  <a:round/>
                </a:ln>
                <a:effectLst>
                  <a:outerShdw blurRad="57150" dist="19050" dir="5400000" algn="ctr" rotWithShape="0">
                    <a:srgbClr val="000000">
                      <a:alpha val="63000"/>
                    </a:srgbClr>
                  </a:outerShdw>
                </a:effectLst>
              </c:spPr>
            </c:marker>
            <c:bubble3D val="0"/>
            <c:spPr>
              <a:ln w="19050" cap="rnd">
                <a:solidFill>
                  <a:srgbClr val="CAD62A"/>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C631-4830-AF7C-A25F79199E98}"/>
              </c:ext>
            </c:extLst>
          </c:dPt>
          <c:dPt>
            <c:idx val="10"/>
            <c:marker>
              <c:symbol val="circle"/>
              <c:size val="4"/>
              <c:spPr>
                <a:solidFill>
                  <a:srgbClr val="CAD62A"/>
                </a:solidFill>
                <a:ln w="9525">
                  <a:noFill/>
                  <a:round/>
                </a:ln>
                <a:effectLst>
                  <a:outerShdw blurRad="57150" dist="19050" dir="5400000" algn="ctr" rotWithShape="0">
                    <a:srgbClr val="000000">
                      <a:alpha val="63000"/>
                    </a:srgbClr>
                  </a:outerShdw>
                </a:effectLst>
              </c:spPr>
            </c:marker>
            <c:bubble3D val="0"/>
            <c:spPr>
              <a:ln w="19050" cap="rnd">
                <a:solidFill>
                  <a:srgbClr val="CAD62A"/>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2CF6-45C7-B7E5-64DAAA9D0F9A}"/>
              </c:ext>
            </c:extLst>
          </c:dPt>
          <c:dPt>
            <c:idx val="11"/>
            <c:marker>
              <c:symbol val="circle"/>
              <c:size val="4"/>
              <c:spPr>
                <a:solidFill>
                  <a:srgbClr val="CAD62A"/>
                </a:solidFill>
                <a:ln w="9525">
                  <a:noFill/>
                  <a:round/>
                </a:ln>
                <a:effectLst>
                  <a:outerShdw blurRad="57150" dist="19050" dir="5400000" algn="ctr" rotWithShape="0">
                    <a:srgbClr val="000000">
                      <a:alpha val="63000"/>
                    </a:srgbClr>
                  </a:outerShdw>
                </a:effectLst>
              </c:spPr>
            </c:marker>
            <c:bubble3D val="0"/>
            <c:spPr>
              <a:ln w="19050" cap="rnd">
                <a:solidFill>
                  <a:srgbClr val="CAD62A"/>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C631-4830-AF7C-A25F79199E98}"/>
              </c:ext>
            </c:extLst>
          </c:dPt>
          <c:dPt>
            <c:idx val="12"/>
            <c:marker>
              <c:symbol val="circle"/>
              <c:size val="4"/>
              <c:spPr>
                <a:solidFill>
                  <a:srgbClr val="CAD62A"/>
                </a:solidFill>
                <a:ln w="9525">
                  <a:noFill/>
                  <a:round/>
                </a:ln>
                <a:effectLst>
                  <a:outerShdw blurRad="57150" dist="19050" dir="5400000" algn="ctr" rotWithShape="0">
                    <a:srgbClr val="000000">
                      <a:alpha val="63000"/>
                    </a:srgbClr>
                  </a:outerShdw>
                </a:effectLst>
              </c:spPr>
            </c:marker>
            <c:bubble3D val="0"/>
            <c:spPr>
              <a:ln w="19050" cap="rnd">
                <a:solidFill>
                  <a:srgbClr val="CAD62A"/>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C631-4830-AF7C-A25F79199E98}"/>
              </c:ext>
            </c:extLst>
          </c:dPt>
          <c:dPt>
            <c:idx val="13"/>
            <c:marker>
              <c:symbol val="circle"/>
              <c:size val="4"/>
              <c:spPr>
                <a:solidFill>
                  <a:srgbClr val="CAD62A"/>
                </a:solidFill>
                <a:ln w="9525">
                  <a:noFill/>
                  <a:round/>
                </a:ln>
                <a:effectLst>
                  <a:outerShdw blurRad="57150" dist="19050" dir="5400000" algn="ctr" rotWithShape="0">
                    <a:srgbClr val="000000">
                      <a:alpha val="63000"/>
                    </a:srgbClr>
                  </a:outerShdw>
                </a:effectLst>
              </c:spPr>
            </c:marker>
            <c:bubble3D val="0"/>
            <c:spPr>
              <a:ln w="19050" cap="rnd">
                <a:solidFill>
                  <a:srgbClr val="CAD62A"/>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C631-4830-AF7C-A25F79199E98}"/>
              </c:ext>
            </c:extLst>
          </c:dPt>
          <c:dPt>
            <c:idx val="14"/>
            <c:marker>
              <c:symbol val="circle"/>
              <c:size val="4"/>
              <c:spPr>
                <a:solidFill>
                  <a:srgbClr val="CAD62A"/>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3B-C631-4830-AF7C-A25F79199E98}"/>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Inpatient!$I$6:$I$26</c:f>
              <c:multiLvlStrCache>
                <c:ptCount val="1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lvl>
                <c:lvl>
                  <c:pt idx="0">
                    <c:v>2024</c:v>
                  </c:pt>
                  <c:pt idx="12">
                    <c:v>2025</c:v>
                  </c:pt>
                </c:lvl>
              </c:multiLvlStrCache>
            </c:multiLvlStrRef>
          </c:cat>
          <c:val>
            <c:numRef>
              <c:f>Inpatient!$K$6:$K$26</c:f>
              <c:numCache>
                <c:formatCode>General</c:formatCode>
                <c:ptCount val="18"/>
                <c:pt idx="0">
                  <c:v>9.7560975609756101E-2</c:v>
                </c:pt>
                <c:pt idx="1">
                  <c:v>0.15384615384615385</c:v>
                </c:pt>
                <c:pt idx="2">
                  <c:v>0.11320754716981132</c:v>
                </c:pt>
                <c:pt idx="3">
                  <c:v>0</c:v>
                </c:pt>
                <c:pt idx="4">
                  <c:v>#N/A</c:v>
                </c:pt>
                <c:pt idx="5">
                  <c:v>#N/A</c:v>
                </c:pt>
                <c:pt idx="6">
                  <c:v>#N/A</c:v>
                </c:pt>
                <c:pt idx="7">
                  <c:v>0.25</c:v>
                </c:pt>
                <c:pt idx="8">
                  <c:v>0.23529411764705882</c:v>
                </c:pt>
                <c:pt idx="9">
                  <c:v>9.3023255813953487E-2</c:v>
                </c:pt>
                <c:pt idx="10">
                  <c:v>0.15254237288135594</c:v>
                </c:pt>
                <c:pt idx="11">
                  <c:v>0.27777777777777779</c:v>
                </c:pt>
                <c:pt idx="12">
                  <c:v>0.18518518518518517</c:v>
                </c:pt>
                <c:pt idx="13">
                  <c:v>#N/A</c:v>
                </c:pt>
                <c:pt idx="14">
                  <c:v>#N/A</c:v>
                </c:pt>
                <c:pt idx="15">
                  <c:v>0.25</c:v>
                </c:pt>
                <c:pt idx="16">
                  <c:v>9.0909090909090912E-2</c:v>
                </c:pt>
                <c:pt idx="17">
                  <c:v>0.23255813953488372</c:v>
                </c:pt>
              </c:numCache>
            </c:numRef>
          </c:val>
          <c:smooth val="1"/>
          <c:extLst>
            <c:ext xmlns:c16="http://schemas.microsoft.com/office/drawing/2014/chart" uri="{C3380CC4-5D6E-409C-BE32-E72D297353CC}">
              <c16:uniqueId val="{00000019-17F0-4725-8FB8-1F42F594BA08}"/>
            </c:ext>
          </c:extLst>
        </c:ser>
        <c:ser>
          <c:idx val="2"/>
          <c:order val="2"/>
          <c:tx>
            <c:strRef>
              <c:f>Inpatient!$L$5</c:f>
              <c:strCache>
                <c:ptCount val="1"/>
                <c:pt idx="0">
                  <c:v> CrAg+%</c:v>
                </c:pt>
              </c:strCache>
            </c:strRef>
          </c:tx>
          <c:spPr>
            <a:ln w="19050" cap="rnd">
              <a:solidFill>
                <a:srgbClr val="6CAEA5"/>
              </a:solidFill>
              <a:round/>
            </a:ln>
            <a:effectLst>
              <a:outerShdw blurRad="57150" dist="19050" dir="5400000" algn="ctr" rotWithShape="0">
                <a:srgbClr val="000000">
                  <a:alpha val="63000"/>
                </a:srgbClr>
              </a:outerShdw>
            </a:effectLst>
          </c:spPr>
          <c:marker>
            <c:symbol val="circle"/>
            <c:size val="4"/>
            <c:spPr>
              <a:solidFill>
                <a:srgbClr val="6CAEA5"/>
              </a:solidFill>
              <a:ln w="9525">
                <a:noFill/>
                <a:round/>
              </a:ln>
              <a:effectLst>
                <a:outerShdw blurRad="57150" dist="19050" dir="5400000" algn="ctr" rotWithShape="0">
                  <a:srgbClr val="000000">
                    <a:alpha val="63000"/>
                  </a:srgbClr>
                </a:outerShdw>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Inpatient!$I$6:$I$26</c:f>
              <c:multiLvlStrCache>
                <c:ptCount val="1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lvl>
                <c:lvl>
                  <c:pt idx="0">
                    <c:v>2024</c:v>
                  </c:pt>
                  <c:pt idx="12">
                    <c:v>2025</c:v>
                  </c:pt>
                </c:lvl>
              </c:multiLvlStrCache>
            </c:multiLvlStrRef>
          </c:cat>
          <c:val>
            <c:numRef>
              <c:f>Inpatient!$L$6:$L$26</c:f>
              <c:numCache>
                <c:formatCode>General</c:formatCode>
                <c:ptCount val="18"/>
                <c:pt idx="0">
                  <c:v>2.0408163265306121E-2</c:v>
                </c:pt>
                <c:pt idx="1">
                  <c:v>2.8169014084507043E-2</c:v>
                </c:pt>
                <c:pt idx="2">
                  <c:v>7.0588235294117646E-2</c:v>
                </c:pt>
                <c:pt idx="3">
                  <c:v>6.25E-2</c:v>
                </c:pt>
                <c:pt idx="4">
                  <c:v>#N/A</c:v>
                </c:pt>
                <c:pt idx="5">
                  <c:v>#N/A</c:v>
                </c:pt>
                <c:pt idx="6">
                  <c:v>2.564102564102564E-2</c:v>
                </c:pt>
                <c:pt idx="7">
                  <c:v>6.8965517241379309E-2</c:v>
                </c:pt>
                <c:pt idx="8">
                  <c:v>0.375</c:v>
                </c:pt>
                <c:pt idx="9">
                  <c:v>0.1</c:v>
                </c:pt>
                <c:pt idx="10">
                  <c:v>#N/A</c:v>
                </c:pt>
                <c:pt idx="11">
                  <c:v>6.3829787234042548E-2</c:v>
                </c:pt>
                <c:pt idx="12">
                  <c:v>8.4507042253521125E-2</c:v>
                </c:pt>
                <c:pt idx="13">
                  <c:v>#N/A</c:v>
                </c:pt>
                <c:pt idx="14">
                  <c:v>#N/A</c:v>
                </c:pt>
                <c:pt idx="15">
                  <c:v>9.0909090909090912E-2</c:v>
                </c:pt>
                <c:pt idx="16">
                  <c:v>#N/A</c:v>
                </c:pt>
                <c:pt idx="17">
                  <c:v>3.2258064516129031E-2</c:v>
                </c:pt>
              </c:numCache>
            </c:numRef>
          </c:val>
          <c:smooth val="1"/>
          <c:extLst>
            <c:ext xmlns:c16="http://schemas.microsoft.com/office/drawing/2014/chart" uri="{C3380CC4-5D6E-409C-BE32-E72D297353CC}">
              <c16:uniqueId val="{0000001A-17F0-4725-8FB8-1F42F594BA08}"/>
            </c:ext>
          </c:extLst>
        </c:ser>
        <c:dLbls>
          <c:dLblPos val="t"/>
          <c:showLegendKey val="0"/>
          <c:showVal val="1"/>
          <c:showCatName val="0"/>
          <c:showSerName val="0"/>
          <c:showPercent val="0"/>
          <c:showBubbleSize val="0"/>
        </c:dLbls>
        <c:marker val="1"/>
        <c:smooth val="0"/>
        <c:axId val="1061181040"/>
        <c:axId val="1061182480"/>
      </c:lineChart>
      <c:catAx>
        <c:axId val="1061181040"/>
        <c:scaling>
          <c:orientation val="minMax"/>
        </c:scaling>
        <c:delete val="0"/>
        <c:axPos val="b"/>
        <c:title>
          <c:tx>
            <c:rich>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r>
                  <a:rPr lang="en-GB" b="0" u="none"/>
                  <a:t>Period</a:t>
                </a:r>
              </a:p>
            </c:rich>
          </c:tx>
          <c:layout>
            <c:manualLayout>
              <c:xMode val="edge"/>
              <c:yMode val="edge"/>
              <c:x val="0.51394763177480252"/>
              <c:y val="0.90388031525144963"/>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2"/>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61182480"/>
        <c:crosses val="autoZero"/>
        <c:auto val="1"/>
        <c:lblAlgn val="ctr"/>
        <c:lblOffset val="100"/>
        <c:noMultiLvlLbl val="0"/>
      </c:catAx>
      <c:valAx>
        <c:axId val="1061182480"/>
        <c:scaling>
          <c:orientation val="minMax"/>
          <c:max val="1"/>
          <c:min val="0"/>
        </c:scaling>
        <c:delete val="0"/>
        <c:axPos val="l"/>
        <c:title>
          <c:tx>
            <c:rich>
              <a:bodyPr rot="-54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r>
                  <a:rPr lang="en-GB"/>
                  <a:t>proporton of ROC with AHD</a:t>
                </a:r>
              </a:p>
            </c:rich>
          </c:tx>
          <c:layout>
            <c:manualLayout>
              <c:xMode val="edge"/>
              <c:yMode val="edge"/>
              <c:x val="1.8247774301445779E-2"/>
              <c:y val="0.38631190356285167"/>
            </c:manualLayout>
          </c:layout>
          <c:overlay val="0"/>
          <c:spPr>
            <a:noFill/>
            <a:ln w="6350">
              <a:noFill/>
            </a:ln>
            <a:effectLst/>
          </c:spPr>
          <c:txPr>
            <a:bodyPr rot="-54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itle>
        <c:numFmt formatCode="0%" sourceLinked="0"/>
        <c:majorTickMark val="none"/>
        <c:minorTickMark val="none"/>
        <c:tickLblPos val="nextTo"/>
        <c:spPr>
          <a:noFill/>
          <a:ln>
            <a:solidFill>
              <a:schemeClr val="tx2"/>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61181040"/>
        <c:crosses val="autoZero"/>
        <c:crossBetween val="between"/>
      </c:valAx>
      <c:spPr>
        <a:noFill/>
        <a:ln>
          <a:noFill/>
        </a:ln>
        <a:effectLst/>
      </c:spPr>
    </c:plotArea>
    <c:legend>
      <c:legendPos val="r"/>
      <c:layout>
        <c:manualLayout>
          <c:xMode val="edge"/>
          <c:yMode val="edge"/>
          <c:x val="0.15521042495619217"/>
          <c:y val="0.9403744492046916"/>
          <c:w val="0.7041295086564634"/>
          <c:h val="5.3198252883228013E-2"/>
        </c:manualLayout>
      </c:layout>
      <c:overlay val="0"/>
      <c:spPr>
        <a:noFill/>
        <a:ln w="6350">
          <a:solidFill>
            <a:schemeClr val="accent5">
              <a:lumMod val="60000"/>
              <a:lumOff val="40000"/>
            </a:schemeClr>
          </a:solid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5">
          <a:lumMod val="60000"/>
          <a:lumOff val="40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[AHD_Reporting_Form.xlsx]HVL!PivotTable1</c:name>
    <c:fmtId val="106"/>
  </c:pivotSource>
  <c:chart>
    <c:title>
      <c:tx>
        <c:rich>
          <a:bodyPr rot="0" spcFirstLastPara="1" vertOverflow="ellipsis" vert="horz" wrap="square" anchor="ctr" anchorCtr="1"/>
          <a:lstStyle/>
          <a:p>
            <a:pPr>
              <a:defRPr sz="1200" b="1" i="0" u="sng" strike="noStrike" kern="1200" baseline="0">
                <a:solidFill>
                  <a:sysClr val="windowText" lastClr="000000"/>
                </a:solidFill>
                <a:latin typeface="+mn-lt"/>
                <a:ea typeface="+mn-ea"/>
                <a:cs typeface="+mn-cs"/>
              </a:defRPr>
            </a:pPr>
            <a:r>
              <a:rPr lang="en-GB" sz="1200" u="sng"/>
              <a:t>AHD screening among ROC identified with unsuppressed VL</a:t>
            </a:r>
          </a:p>
        </c:rich>
      </c:tx>
      <c:overlay val="0"/>
      <c:spPr>
        <a:noFill/>
        <a:ln>
          <a:noFill/>
        </a:ln>
        <a:effectLst/>
      </c:spPr>
      <c:txPr>
        <a:bodyPr rot="0" spcFirstLastPara="1" vertOverflow="ellipsis" vert="horz" wrap="square" anchor="ctr" anchorCtr="1"/>
        <a:lstStyle/>
        <a:p>
          <a:pPr>
            <a:defRPr sz="1200" b="1" i="0" u="sng" strike="noStrike" kern="1200" baseline="0">
              <a:solidFill>
                <a:sysClr val="windowText" lastClr="000000"/>
              </a:solidFill>
              <a:latin typeface="+mn-lt"/>
              <a:ea typeface="+mn-ea"/>
              <a:cs typeface="+mn-cs"/>
            </a:defRPr>
          </a:pPr>
          <a:endParaRPr lang="en-US"/>
        </a:p>
      </c:txPr>
    </c:title>
    <c:autoTitleDeleted val="0"/>
    <c:pivotFmts>
      <c:pivotFmt>
        <c:idx val="0"/>
        <c:spPr>
          <a:solidFill>
            <a:schemeClr val="accent2"/>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alpha val="88000"/>
            </a:scheme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alpha val="84000"/>
            </a:srgb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D80A0359-4340-464C-97BF-50043DB18A22}" type="CELLRANGE">
                  <a:rPr lang="en-US"/>
                  <a:pPr>
                    <a:defRPr sz="900" b="0" i="0" u="none" strike="noStrike" kern="1200" baseline="0">
                      <a:solidFill>
                        <a:sysClr val="windowText" lastClr="000000"/>
                      </a:solidFill>
                      <a:latin typeface="+mn-lt"/>
                      <a:ea typeface="+mn-ea"/>
                      <a:cs typeface="+mn-cs"/>
                    </a:defRPr>
                  </a:pPr>
                  <a:t>[CELLRANGE]</a:t>
                </a:fld>
                <a:r>
                  <a:rPr lang="en-US" baseline="0"/>
                  <a:t>, </a:t>
                </a:r>
                <a:fld id="{619AE429-5DC9-4CD0-95CD-5E4572E53792}" type="VALUE">
                  <a:rPr lang="en-US" baseline="0"/>
                  <a:pPr>
                    <a:defRPr sz="900" b="0" i="0" u="none" strike="noStrike" kern="1200" baseline="0">
                      <a:solidFill>
                        <a:sysClr val="windowText" lastClr="000000"/>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pivotFmt>
      <c:pivotFmt>
        <c:idx val="9"/>
        <c:dLbl>
          <c:idx val="0"/>
          <c:tx>
            <c:rich>
              <a:bodyPr/>
              <a:lstStyle/>
              <a:p>
                <a:fld id="{38B64FBF-4335-4EAD-B861-26F6E525AC74}" type="CELLRANGE">
                  <a:rPr lang="en-US"/>
                  <a:pPr/>
                  <a:t>[CELLRANGE]</a:t>
                </a:fld>
                <a:r>
                  <a:rPr lang="en-US" baseline="0"/>
                  <a:t>, </a:t>
                </a:r>
                <a:fld id="{D6C7321C-6E0F-4D2E-8B46-F65C3D7A4003}"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dLbl>
          <c:idx val="0"/>
          <c:tx>
            <c:rich>
              <a:bodyPr/>
              <a:lstStyle/>
              <a:p>
                <a:fld id="{8C44B063-F912-4FC5-A6C3-78054BAA1475}" type="CELLRANGE">
                  <a:rPr lang="en-US"/>
                  <a:pPr/>
                  <a:t>[CELLRANGE]</a:t>
                </a:fld>
                <a:r>
                  <a:rPr lang="en-US" baseline="0"/>
                  <a:t>, </a:t>
                </a:r>
                <a:fld id="{70B358C0-DB55-4F7E-A4CF-8DEB0B8DBBA3}"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dLbl>
          <c:idx val="0"/>
          <c:tx>
            <c:rich>
              <a:bodyPr/>
              <a:lstStyle/>
              <a:p>
                <a:fld id="{F1E15D6C-0C92-4F9E-8CBC-D5B2D9BC2075}" type="CELLRANGE">
                  <a:rPr lang="en-US"/>
                  <a:pPr/>
                  <a:t>[CELLRANGE]</a:t>
                </a:fld>
                <a:r>
                  <a:rPr lang="en-US" baseline="0"/>
                  <a:t>, </a:t>
                </a:r>
                <a:fld id="{CD39BF99-5182-4B7E-AEC5-5FB76F9FE533}"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2"/>
        <c:dLbl>
          <c:idx val="0"/>
          <c:tx>
            <c:rich>
              <a:bodyPr/>
              <a:lstStyle/>
              <a:p>
                <a:fld id="{AADAE8A4-138F-410E-9AB9-60EEC0EAE95C}" type="CELLRANGE">
                  <a:rPr lang="en-US"/>
                  <a:pPr/>
                  <a:t>[CELLRANGE]</a:t>
                </a:fld>
                <a:r>
                  <a:rPr lang="en-US" baseline="0"/>
                  <a:t>, </a:t>
                </a:r>
                <a:fld id="{200D7C23-70DD-4AC4-951B-7904139BAA90}"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3"/>
        <c:dLbl>
          <c:idx val="0"/>
          <c:tx>
            <c:rich>
              <a:bodyPr/>
              <a:lstStyle/>
              <a:p>
                <a:fld id="{EBB42741-FBB1-42C9-8CA9-7DC956E899D1}" type="CELLRANGE">
                  <a:rPr lang="en-US"/>
                  <a:pPr/>
                  <a:t>[CELLRANGE]</a:t>
                </a:fld>
                <a:r>
                  <a:rPr lang="en-US" baseline="0"/>
                  <a:t>, </a:t>
                </a:r>
                <a:fld id="{300B405C-545E-4C3B-9B9C-A09D74648588}"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4"/>
        <c:dLbl>
          <c:idx val="0"/>
          <c:tx>
            <c:rich>
              <a:bodyPr/>
              <a:lstStyle/>
              <a:p>
                <a:fld id="{5ACDCCC9-477B-4D80-84D3-265AA1551F99}" type="CELLRANGE">
                  <a:rPr lang="en-US"/>
                  <a:pPr/>
                  <a:t>[CELLRANGE]</a:t>
                </a:fld>
                <a:r>
                  <a:rPr lang="en-US" baseline="0"/>
                  <a:t>, </a:t>
                </a:r>
                <a:fld id="{EBF96CAC-98C3-4753-841D-F0B5B77629A4}"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
        <c:dLbl>
          <c:idx val="0"/>
          <c:tx>
            <c:rich>
              <a:bodyPr/>
              <a:lstStyle/>
              <a:p>
                <a:fld id="{85641F05-FEC1-4650-8FDD-8843A09484ED}" type="CELLRANGE">
                  <a:rPr lang="en-US"/>
                  <a:pPr/>
                  <a:t>[CELLRANGE]</a:t>
                </a:fld>
                <a:r>
                  <a:rPr lang="en-US" baseline="0"/>
                  <a:t>, </a:t>
                </a:r>
                <a:fld id="{A601C9D9-40B0-4DB3-A221-74FC1FEA479F}"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7"/>
        <c:dLbl>
          <c:idx val="0"/>
          <c:tx>
            <c:rich>
              <a:bodyPr/>
              <a:lstStyle/>
              <a:p>
                <a:fld id="{FF4EBAB4-9208-426C-A2C0-06A9B7A20937}" type="CELLRANGE">
                  <a:rPr lang="en-US"/>
                  <a:pPr/>
                  <a:t>[CELLRANGE]</a:t>
                </a:fld>
                <a:r>
                  <a:rPr lang="en-US" baseline="0"/>
                  <a:t>, </a:t>
                </a:r>
                <a:fld id="{DF0E314E-1845-4B08-9E93-FA96B8217187}"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8"/>
        <c:dLbl>
          <c:idx val="0"/>
          <c:tx>
            <c:rich>
              <a:bodyPr/>
              <a:lstStyle/>
              <a:p>
                <a:fld id="{DD926363-9992-4DFE-80C3-994ABB41FDA7}" type="CELLRANGE">
                  <a:rPr lang="en-US"/>
                  <a:pPr/>
                  <a:t>[CELLRANGE]</a:t>
                </a:fld>
                <a:r>
                  <a:rPr lang="en-US" baseline="0"/>
                  <a:t>, </a:t>
                </a:r>
                <a:fld id="{C6BB680B-7623-4EA3-B83B-2011C5679ED2}"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9"/>
        <c:dLbl>
          <c:idx val="0"/>
          <c:tx>
            <c:rich>
              <a:bodyPr/>
              <a:lstStyle/>
              <a:p>
                <a:fld id="{50D0BCCD-DA80-4AEC-ADFD-7478183D354A}" type="CELLRANGE">
                  <a:rPr lang="en-US"/>
                  <a:pPr/>
                  <a:t>[CELLRANGE]</a:t>
                </a:fld>
                <a:r>
                  <a:rPr lang="en-US" baseline="0"/>
                  <a:t>, </a:t>
                </a:r>
                <a:fld id="{EE890978-0538-4AD0-BE1B-680453DC062D}"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0"/>
        <c:dLbl>
          <c:idx val="0"/>
          <c:tx>
            <c:rich>
              <a:bodyPr/>
              <a:lstStyle/>
              <a:p>
                <a:fld id="{7D984C0A-AF2C-4FAD-9538-9CE56ED5F567}" type="CELLRANGE">
                  <a:rPr lang="en-US"/>
                  <a:pPr/>
                  <a:t>[CELLRANGE]</a:t>
                </a:fld>
                <a:r>
                  <a:rPr lang="en-US" baseline="0"/>
                  <a:t>, </a:t>
                </a:r>
                <a:fld id="{9F5C0507-D70F-477A-95F2-C63830573DD7}"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1"/>
        <c:dLbl>
          <c:idx val="0"/>
          <c:tx>
            <c:rich>
              <a:bodyPr/>
              <a:lstStyle/>
              <a:p>
                <a:fld id="{CF4FB6D9-9767-42D1-B639-24FD87FBFE31}" type="CELLRANGE">
                  <a:rPr lang="en-US"/>
                  <a:pPr/>
                  <a:t>[CELLRANGE]</a:t>
                </a:fld>
                <a:r>
                  <a:rPr lang="en-US" baseline="0"/>
                  <a:t>, </a:t>
                </a:r>
                <a:fld id="{91BB9253-F401-4063-A925-95408FA77268}"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2"/>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4731A5D9-539A-4F7D-A744-CF24B4E851B3}" type="CELLRANGE">
                  <a:rPr lang="en-US"/>
                  <a:pPr>
                    <a:defRPr sz="900" b="0" i="0" u="none" strike="noStrike" kern="1200" baseline="0">
                      <a:solidFill>
                        <a:sysClr val="windowText" lastClr="000000"/>
                      </a:solidFill>
                      <a:latin typeface="+mn-lt"/>
                      <a:ea typeface="+mn-ea"/>
                      <a:cs typeface="+mn-cs"/>
                    </a:defRPr>
                  </a:pPr>
                  <a:t>[CELLRANGE]</a:t>
                </a:fld>
                <a:r>
                  <a:rPr lang="en-US" baseline="0"/>
                  <a:t>, </a:t>
                </a:r>
                <a:fld id="{B03745B5-70AB-4486-8B6A-5E28FBF5B9A6}" type="VALUE">
                  <a:rPr lang="en-US" baseline="0"/>
                  <a:pPr>
                    <a:defRPr sz="900" b="0" i="0" u="none" strike="noStrike" kern="1200" baseline="0">
                      <a:solidFill>
                        <a:sysClr val="windowText" lastClr="000000"/>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3"/>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C9006498-42A4-45CE-BCE8-EC546067215F}" type="CELLRANGE">
                  <a:rPr lang="en-US"/>
                  <a:pPr>
                    <a:defRPr sz="900" b="0" i="0" u="none" strike="noStrike" kern="1200" baseline="0">
                      <a:solidFill>
                        <a:sysClr val="windowText" lastClr="000000"/>
                      </a:solidFill>
                      <a:latin typeface="+mn-lt"/>
                      <a:ea typeface="+mn-ea"/>
                      <a:cs typeface="+mn-cs"/>
                    </a:defRPr>
                  </a:pPr>
                  <a:t>[CELLRANGE]</a:t>
                </a:fld>
                <a:r>
                  <a:rPr lang="en-US" baseline="0"/>
                  <a:t>, </a:t>
                </a:r>
                <a:fld id="{13415703-C5CA-4787-8825-FCBD5C55B0DC}" type="VALUE">
                  <a:rPr lang="en-US" baseline="0"/>
                  <a:pPr>
                    <a:defRPr sz="900" b="0" i="0" u="none" strike="noStrike" kern="1200" baseline="0">
                      <a:solidFill>
                        <a:sysClr val="windowText" lastClr="000000"/>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4"/>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E39C17C5-A6DE-465E-BA2E-A0457662CE4F}" type="CELLRANGE">
                  <a:rPr lang="en-US"/>
                  <a:pPr>
                    <a:defRPr sz="900" b="0" i="0" u="none" strike="noStrike" kern="1200" baseline="0">
                      <a:solidFill>
                        <a:sysClr val="windowText" lastClr="000000"/>
                      </a:solidFill>
                      <a:latin typeface="+mn-lt"/>
                      <a:ea typeface="+mn-ea"/>
                      <a:cs typeface="+mn-cs"/>
                    </a:defRPr>
                  </a:pPr>
                  <a:t>[CELLRANGE]</a:t>
                </a:fld>
                <a:r>
                  <a:rPr lang="en-US" baseline="0"/>
                  <a:t>, </a:t>
                </a:r>
                <a:fld id="{D26FCEF1-5A34-41A0-B6CD-F3663AD6D4C1}" type="VALUE">
                  <a:rPr lang="en-US" baseline="0"/>
                  <a:pPr>
                    <a:defRPr sz="900" b="0" i="0" u="none" strike="noStrike" kern="1200" baseline="0">
                      <a:solidFill>
                        <a:sysClr val="windowText" lastClr="000000"/>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5"/>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183C6365-A22B-4AE8-B76B-F63703475BFE}" type="CELLRANGE">
                  <a:rPr lang="en-US"/>
                  <a:pPr>
                    <a:defRPr sz="900" b="0" i="0" u="none" strike="noStrike" kern="1200" baseline="0">
                      <a:solidFill>
                        <a:sysClr val="windowText" lastClr="000000"/>
                      </a:solidFill>
                      <a:latin typeface="+mn-lt"/>
                      <a:ea typeface="+mn-ea"/>
                      <a:cs typeface="+mn-cs"/>
                    </a:defRPr>
                  </a:pPr>
                  <a:t>[CELLRANGE]</a:t>
                </a:fld>
                <a:r>
                  <a:rPr lang="en-US" baseline="0"/>
                  <a:t>, </a:t>
                </a:r>
                <a:fld id="{2F81CAD8-CC36-4E7F-B6DF-B7DA1E4CEDA1}" type="VALUE">
                  <a:rPr lang="en-US" baseline="0"/>
                  <a:pPr>
                    <a:defRPr sz="900" b="0" i="0" u="none" strike="noStrike" kern="1200" baseline="0">
                      <a:solidFill>
                        <a:sysClr val="windowText" lastClr="000000"/>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6"/>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847F4BA0-4AA9-499D-BA2A-3AAAC0496E86}" type="CELLRANGE">
                  <a:rPr lang="en-US"/>
                  <a:pPr>
                    <a:defRPr sz="900" b="0" i="0" u="none" strike="noStrike" kern="1200" baseline="0">
                      <a:solidFill>
                        <a:sysClr val="windowText" lastClr="000000"/>
                      </a:solidFill>
                      <a:latin typeface="+mn-lt"/>
                      <a:ea typeface="+mn-ea"/>
                      <a:cs typeface="+mn-cs"/>
                    </a:defRPr>
                  </a:pPr>
                  <a:t>[CELLRANGE]</a:t>
                </a:fld>
                <a:r>
                  <a:rPr lang="en-US" baseline="0"/>
                  <a:t>, </a:t>
                </a:r>
                <a:fld id="{3D14E329-43B4-454C-B933-1CE45CA6E605}" type="VALUE">
                  <a:rPr lang="en-US" baseline="0"/>
                  <a:pPr>
                    <a:defRPr sz="900" b="0" i="0" u="none" strike="noStrike" kern="1200" baseline="0">
                      <a:solidFill>
                        <a:sysClr val="windowText" lastClr="000000"/>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7"/>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5589FF5D-4B2A-47E1-8019-27F023C54ACE}" type="CELLRANGE">
                  <a:rPr lang="en-US"/>
                  <a:pPr>
                    <a:defRPr sz="900" b="0" i="0" u="none" strike="noStrike" kern="1200" baseline="0">
                      <a:solidFill>
                        <a:sysClr val="windowText" lastClr="000000"/>
                      </a:solidFill>
                      <a:latin typeface="+mn-lt"/>
                      <a:ea typeface="+mn-ea"/>
                      <a:cs typeface="+mn-cs"/>
                    </a:defRPr>
                  </a:pPr>
                  <a:t>[CELLRANGE]</a:t>
                </a:fld>
                <a:r>
                  <a:rPr lang="en-US" baseline="0"/>
                  <a:t>, </a:t>
                </a:r>
                <a:fld id="{0AFB73F6-2AF1-48C0-8CBA-C2B6AFAFD8A1}" type="VALUE">
                  <a:rPr lang="en-US" baseline="0"/>
                  <a:pPr>
                    <a:defRPr sz="900" b="0" i="0" u="none" strike="noStrike" kern="1200" baseline="0">
                      <a:solidFill>
                        <a:sysClr val="windowText" lastClr="000000"/>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8"/>
        <c:dLbl>
          <c:idx val="0"/>
          <c:layout>
            <c:manualLayout>
              <c:x val="-1.3084725270352189E-2"/>
              <c:y val="-3.711340206185567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9"/>
        <c:dLbl>
          <c:idx val="0"/>
          <c:layout>
            <c:manualLayout>
              <c:x val="-2.2894524616056434E-2"/>
              <c:y val="-2.472187886279359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0"/>
        <c:dLbl>
          <c:idx val="0"/>
          <c:layout>
            <c:manualLayout>
              <c:x val="-1.7988555055472866E-2"/>
              <c:y val="-2.060156571899464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1"/>
        <c:dLbl>
          <c:idx val="0"/>
          <c:layout>
            <c:manualLayout>
              <c:x val="-1.3082585494889358E-2"/>
              <c:y val="-2.88421920065925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2"/>
        <c:dLbl>
          <c:idx val="0"/>
          <c:layout>
            <c:manualLayout>
              <c:x val="-1.6353231868611758E-2"/>
              <c:y val="-3.2962505150391445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3"/>
        <c:dLbl>
          <c:idx val="0"/>
          <c:layout>
            <c:manualLayout>
              <c:x val="-2.1259201429195206E-2"/>
              <c:y val="-2.472187886279359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1.9623878242334036E-2"/>
              <c:y val="-1.8541409147095178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EF9B2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rgbClr val="E6D800">
              <a:alpha val="93000"/>
            </a:srgbClr>
          </a:solidFill>
          <a:ln>
            <a:noFill/>
          </a:ln>
          <a:effectLst>
            <a:outerShdw blurRad="57150" dist="19050" dir="5400000" algn="ctr" rotWithShape="0">
              <a:srgbClr val="000000">
                <a:alpha val="63000"/>
              </a:srgbClr>
            </a:outerShdw>
          </a:effectLst>
        </c:spPr>
        <c:marker>
          <c:symbol val="none"/>
        </c:marker>
        <c:dLbl>
          <c:idx val="0"/>
          <c:spPr>
            <a:solidFill>
              <a:srgbClr val="FFFF00"/>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rgbClr val="1A53FF">
              <a:alpha val="87451"/>
            </a:srgbClr>
          </a:solidFill>
          <a:ln>
            <a:noFill/>
          </a:ln>
          <a:effectLst>
            <a:outerShdw blurRad="57150" dist="19050" dir="5400000" algn="ctr" rotWithShape="0">
              <a:srgbClr val="000000">
                <a:alpha val="63000"/>
              </a:srgbClr>
            </a:outerShdw>
          </a:effectLst>
        </c:spPr>
        <c:marker>
          <c:symbol val="none"/>
        </c:marker>
        <c:dLbl>
          <c:idx val="0"/>
          <c:spPr>
            <a:solidFill>
              <a:schemeClr val="accent1">
                <a:lumMod val="60000"/>
                <a:lumOff val="4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5875" cap="rnd">
            <a:solidFill>
              <a:srgbClr val="99600B"/>
            </a:solidFill>
            <a:round/>
          </a:ln>
          <a:effectLst>
            <a:outerShdw blurRad="57150" dist="19050" dir="5400000" algn="ctr" rotWithShape="0">
              <a:srgbClr val="000000">
                <a:alpha val="63000"/>
              </a:srgbClr>
            </a:outerShdw>
          </a:effectLst>
        </c:spPr>
        <c:marker>
          <c:symbol val="circle"/>
          <c:size val="6"/>
          <c:spPr>
            <a:solidFill>
              <a:srgbClr val="99600B"/>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1A53FF">
              <a:alpha val="95000"/>
            </a:srgbClr>
          </a:solidFill>
          <a:ln>
            <a:noFill/>
          </a:ln>
          <a:effectLst>
            <a:outerShdw blurRad="57150" dist="19050" dir="5400000" algn="ctr" rotWithShape="0">
              <a:srgbClr val="000000">
                <a:alpha val="63000"/>
              </a:srgbClr>
            </a:outerShdw>
          </a:effectLst>
        </c:spPr>
      </c:pivotFmt>
      <c:pivotFmt>
        <c:idx val="40"/>
        <c:spPr>
          <a:solidFill>
            <a:srgbClr val="449BCC"/>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rgbClr val="AF1FC7">
              <a:alpha val="92941"/>
            </a:srgbClr>
          </a:solidFill>
          <a:ln>
            <a:noFill/>
          </a:ln>
          <a:effectLst>
            <a:outerShdw blurRad="57150" dist="19050" dir="5400000" algn="ctr" rotWithShape="0">
              <a:srgbClr val="000000">
                <a:alpha val="63000"/>
              </a:srgbClr>
            </a:outerShdw>
          </a:effectLst>
        </c:spPr>
        <c:marker>
          <c:symbol val="none"/>
        </c:marker>
        <c:dLbl>
          <c:idx val="0"/>
          <c:spPr>
            <a:solidFill>
              <a:srgbClr val="EAAEC9"/>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rgbClr val="6CAEA5">
              <a:alpha val="87451"/>
            </a:srgbClr>
          </a:solidFill>
          <a:ln>
            <a:noFill/>
          </a:ln>
          <a:effectLst>
            <a:outerShdw blurRad="57150" dist="19050" dir="5400000" algn="ctr" rotWithShape="0">
              <a:srgbClr val="000000">
                <a:alpha val="63000"/>
              </a:srgbClr>
            </a:outerShdw>
          </a:effectLst>
        </c:spPr>
        <c:marker>
          <c:symbol val="none"/>
        </c:marker>
        <c:dLbl>
          <c:idx val="0"/>
          <c:spPr>
            <a:solidFill>
              <a:schemeClr val="accent1">
                <a:lumMod val="40000"/>
                <a:lumOff val="6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5875" cap="rnd">
            <a:solidFill>
              <a:srgbClr val="449BCC"/>
            </a:solidFill>
            <a:round/>
          </a:ln>
          <a:effectLst>
            <a:outerShdw blurRad="57150" dist="19050" dir="5400000" algn="ctr" rotWithShape="0">
              <a:srgbClr val="000000">
                <a:alpha val="63000"/>
              </a:srgbClr>
            </a:outerShdw>
          </a:effectLst>
        </c:spPr>
        <c:marker>
          <c:symbol val="circle"/>
          <c:size val="6"/>
          <c:spPr>
            <a:solidFill>
              <a:srgbClr val="449BCC"/>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449BCC"/>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AF1FC7">
              <a:alpha val="92941"/>
            </a:srgbClr>
          </a:solidFill>
          <a:ln>
            <a:noFill/>
          </a:ln>
          <a:effectLst>
            <a:outerShdw blurRad="57150" dist="19050" dir="5400000" algn="ctr" rotWithShape="0">
              <a:srgbClr val="000000">
                <a:alpha val="63000"/>
              </a:srgbClr>
            </a:outerShdw>
          </a:effectLst>
        </c:spPr>
        <c:marker>
          <c:symbol val="none"/>
        </c:marker>
        <c:dLbl>
          <c:idx val="0"/>
          <c:spPr>
            <a:solidFill>
              <a:srgbClr val="EAAEC9"/>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6CAEA5">
              <a:alpha val="87451"/>
            </a:srgbClr>
          </a:solidFill>
          <a:ln>
            <a:noFill/>
          </a:ln>
          <a:effectLst>
            <a:outerShdw blurRad="57150" dist="19050" dir="5400000" algn="ctr" rotWithShape="0">
              <a:srgbClr val="000000">
                <a:alpha val="63000"/>
              </a:srgbClr>
            </a:outerShdw>
          </a:effectLst>
        </c:spPr>
        <c:marker>
          <c:symbol val="none"/>
        </c:marker>
        <c:dLbl>
          <c:idx val="0"/>
          <c:spPr>
            <a:solidFill>
              <a:schemeClr val="accent1">
                <a:lumMod val="40000"/>
                <a:lumOff val="6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5875" cap="rnd">
            <a:solidFill>
              <a:srgbClr val="449BCC"/>
            </a:solidFill>
            <a:round/>
          </a:ln>
          <a:effectLst>
            <a:outerShdw blurRad="57150" dist="19050" dir="5400000" algn="ctr" rotWithShape="0">
              <a:srgbClr val="000000">
                <a:alpha val="63000"/>
              </a:srgbClr>
            </a:outerShdw>
          </a:effectLst>
        </c:spPr>
        <c:marker>
          <c:symbol val="circle"/>
          <c:size val="6"/>
          <c:spPr>
            <a:solidFill>
              <a:srgbClr val="449BCC"/>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449BCC"/>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spPr>
          <a:solidFill>
            <a:srgbClr val="AF1FC7">
              <a:alpha val="92941"/>
            </a:srgbClr>
          </a:solidFill>
          <a:ln>
            <a:noFill/>
          </a:ln>
          <a:effectLst>
            <a:outerShdw blurRad="57150" dist="19050" dir="5400000" algn="ctr" rotWithShape="0">
              <a:srgbClr val="000000">
                <a:alpha val="63000"/>
              </a:srgbClr>
            </a:outerShdw>
          </a:effectLst>
        </c:spPr>
        <c:marker>
          <c:symbol val="none"/>
        </c:marker>
        <c:dLbl>
          <c:idx val="0"/>
          <c:spPr>
            <a:solidFill>
              <a:srgbClr val="EAAEC9"/>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rgbClr val="6CAEA5">
              <a:alpha val="87451"/>
            </a:srgbClr>
          </a:solidFill>
          <a:ln>
            <a:noFill/>
          </a:ln>
          <a:effectLst>
            <a:outerShdw blurRad="57150" dist="19050" dir="5400000" algn="ctr" rotWithShape="0">
              <a:srgbClr val="000000">
                <a:alpha val="63000"/>
              </a:srgbClr>
            </a:outerShdw>
          </a:effectLst>
        </c:spPr>
        <c:marker>
          <c:symbol val="none"/>
        </c:marker>
        <c:dLbl>
          <c:idx val="0"/>
          <c:spPr>
            <a:solidFill>
              <a:schemeClr val="accent1">
                <a:lumMod val="40000"/>
                <a:lumOff val="6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5875" cap="rnd">
            <a:solidFill>
              <a:srgbClr val="449BCC"/>
            </a:solidFill>
            <a:round/>
          </a:ln>
          <a:effectLst>
            <a:outerShdw blurRad="57150" dist="19050" dir="5400000" algn="ctr" rotWithShape="0">
              <a:srgbClr val="000000">
                <a:alpha val="63000"/>
              </a:srgbClr>
            </a:outerShdw>
          </a:effectLst>
        </c:spPr>
        <c:marker>
          <c:symbol val="circle"/>
          <c:size val="6"/>
          <c:spPr>
            <a:solidFill>
              <a:srgbClr val="449BCC"/>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449BCC"/>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spPr>
          <a:solidFill>
            <a:srgbClr val="AF1FC7">
              <a:alpha val="92941"/>
            </a:srgbClr>
          </a:solidFill>
          <a:ln>
            <a:noFill/>
          </a:ln>
          <a:effectLst>
            <a:outerShdw blurRad="57150" dist="19050" dir="5400000" algn="ctr" rotWithShape="0">
              <a:srgbClr val="000000">
                <a:alpha val="63000"/>
              </a:srgbClr>
            </a:outerShdw>
          </a:effectLst>
        </c:spPr>
        <c:marker>
          <c:symbol val="none"/>
        </c:marker>
        <c:dLbl>
          <c:idx val="0"/>
          <c:spPr>
            <a:solidFill>
              <a:srgbClr val="EAAEC9"/>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6CAEA5">
              <a:alpha val="87451"/>
            </a:srgbClr>
          </a:solidFill>
          <a:ln>
            <a:noFill/>
          </a:ln>
          <a:effectLst>
            <a:outerShdw blurRad="57150" dist="19050" dir="5400000" algn="ctr" rotWithShape="0">
              <a:srgbClr val="000000">
                <a:alpha val="63000"/>
              </a:srgbClr>
            </a:outerShdw>
          </a:effectLst>
        </c:spPr>
        <c:marker>
          <c:symbol val="none"/>
        </c:marker>
        <c:dLbl>
          <c:idx val="0"/>
          <c:spPr>
            <a:solidFill>
              <a:schemeClr val="accent1">
                <a:lumMod val="40000"/>
                <a:lumOff val="6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5875" cap="rnd">
            <a:solidFill>
              <a:srgbClr val="449BCC"/>
            </a:solidFill>
            <a:round/>
          </a:ln>
          <a:effectLst>
            <a:outerShdw blurRad="57150" dist="19050" dir="5400000" algn="ctr" rotWithShape="0">
              <a:srgbClr val="000000">
                <a:alpha val="63000"/>
              </a:srgbClr>
            </a:outerShdw>
          </a:effectLst>
        </c:spPr>
        <c:marker>
          <c:symbol val="circle"/>
          <c:size val="6"/>
          <c:spPr>
            <a:solidFill>
              <a:srgbClr val="449BCC"/>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6"/>
        <c:spPr>
          <a:solidFill>
            <a:srgbClr val="449BCC"/>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7"/>
        <c:spPr>
          <a:solidFill>
            <a:srgbClr val="AF1FC7">
              <a:alpha val="92941"/>
            </a:srgbClr>
          </a:solidFill>
          <a:ln>
            <a:noFill/>
          </a:ln>
          <a:effectLst>
            <a:outerShdw blurRad="57150" dist="19050" dir="5400000" algn="ctr" rotWithShape="0">
              <a:srgbClr val="000000">
                <a:alpha val="63000"/>
              </a:srgbClr>
            </a:outerShdw>
          </a:effectLst>
        </c:spPr>
        <c:marker>
          <c:symbol val="none"/>
        </c:marker>
        <c:dLbl>
          <c:idx val="0"/>
          <c:spPr>
            <a:solidFill>
              <a:srgbClr val="EAAEC9"/>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rgbClr val="6CAEA5">
              <a:alpha val="87451"/>
            </a:srgbClr>
          </a:solidFill>
          <a:ln>
            <a:noFill/>
          </a:ln>
          <a:effectLst>
            <a:outerShdw blurRad="57150" dist="19050" dir="5400000" algn="ctr" rotWithShape="0">
              <a:srgbClr val="000000">
                <a:alpha val="63000"/>
              </a:srgbClr>
            </a:outerShdw>
          </a:effectLst>
        </c:spPr>
        <c:marker>
          <c:symbol val="none"/>
        </c:marker>
        <c:dLbl>
          <c:idx val="0"/>
          <c:spPr>
            <a:solidFill>
              <a:schemeClr val="accent1">
                <a:lumMod val="40000"/>
                <a:lumOff val="6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9"/>
        <c:spPr>
          <a:ln w="15875" cap="rnd">
            <a:solidFill>
              <a:srgbClr val="449BCC"/>
            </a:solidFill>
            <a:round/>
          </a:ln>
          <a:effectLst>
            <a:outerShdw blurRad="57150" dist="19050" dir="5400000" algn="ctr" rotWithShape="0">
              <a:srgbClr val="000000">
                <a:alpha val="63000"/>
              </a:srgbClr>
            </a:outerShdw>
          </a:effectLst>
        </c:spPr>
        <c:marker>
          <c:symbol val="circle"/>
          <c:size val="6"/>
          <c:spPr>
            <a:solidFill>
              <a:srgbClr val="449BCC"/>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52854536938493"/>
          <c:y val="0.11932748571081926"/>
          <c:w val="0.81702413325828271"/>
          <c:h val="0.5956773107653901"/>
        </c:manualLayout>
      </c:layout>
      <c:barChart>
        <c:barDir val="col"/>
        <c:grouping val="clustered"/>
        <c:varyColors val="0"/>
        <c:ser>
          <c:idx val="0"/>
          <c:order val="0"/>
          <c:tx>
            <c:strRef>
              <c:f>HVL!$B$5</c:f>
              <c:strCache>
                <c:ptCount val="1"/>
                <c:pt idx="0">
                  <c:v> CD4_tests</c:v>
                </c:pt>
              </c:strCache>
            </c:strRef>
          </c:tx>
          <c:spPr>
            <a:solidFill>
              <a:srgbClr val="449BCC"/>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HVL!$A$6:$A$42</c:f>
              <c:multiLvlStrCache>
                <c:ptCount val="17"/>
                <c:lvl>
                  <c:pt idx="0">
                    <c:v>103</c:v>
                  </c:pt>
                  <c:pt idx="1">
                    <c:v>95</c:v>
                  </c:pt>
                  <c:pt idx="2">
                    <c:v>97</c:v>
                  </c:pt>
                  <c:pt idx="3">
                    <c:v>102</c:v>
                  </c:pt>
                  <c:pt idx="4">
                    <c:v>98</c:v>
                  </c:pt>
                  <c:pt idx="5">
                    <c:v>123</c:v>
                  </c:pt>
                  <c:pt idx="6">
                    <c:v>148</c:v>
                  </c:pt>
                  <c:pt idx="7">
                    <c:v>82</c:v>
                  </c:pt>
                  <c:pt idx="8">
                    <c:v>91</c:v>
                  </c:pt>
                  <c:pt idx="9">
                    <c:v>87</c:v>
                  </c:pt>
                  <c:pt idx="10">
                    <c:v>84</c:v>
                  </c:pt>
                  <c:pt idx="11">
                    <c:v>74</c:v>
                  </c:pt>
                  <c:pt idx="12">
                    <c:v>95</c:v>
                  </c:pt>
                  <c:pt idx="13">
                    <c:v>32</c:v>
                  </c:pt>
                  <c:pt idx="14">
                    <c:v>49</c:v>
                  </c:pt>
                  <c:pt idx="15">
                    <c:v>94</c:v>
                  </c:pt>
                  <c:pt idx="16">
                    <c:v>88</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2024</c:v>
                  </c:pt>
                  <c:pt idx="12">
                    <c:v>2025</c:v>
                  </c:pt>
                </c:lvl>
              </c:multiLvlStrCache>
            </c:multiLvlStrRef>
          </c:cat>
          <c:val>
            <c:numRef>
              <c:f>HVL!$B$6:$B$42</c:f>
              <c:numCache>
                <c:formatCode>General</c:formatCode>
                <c:ptCount val="17"/>
                <c:pt idx="0">
                  <c:v>102</c:v>
                </c:pt>
                <c:pt idx="1">
                  <c:v>95</c:v>
                </c:pt>
                <c:pt idx="2">
                  <c:v>97</c:v>
                </c:pt>
                <c:pt idx="3">
                  <c:v>92</c:v>
                </c:pt>
                <c:pt idx="4">
                  <c:v>96</c:v>
                </c:pt>
                <c:pt idx="5">
                  <c:v>122</c:v>
                </c:pt>
                <c:pt idx="6">
                  <c:v>128</c:v>
                </c:pt>
                <c:pt idx="7">
                  <c:v>81</c:v>
                </c:pt>
                <c:pt idx="8">
                  <c:v>91</c:v>
                </c:pt>
                <c:pt idx="9">
                  <c:v>83</c:v>
                </c:pt>
                <c:pt idx="10">
                  <c:v>81</c:v>
                </c:pt>
                <c:pt idx="11">
                  <c:v>74</c:v>
                </c:pt>
                <c:pt idx="12">
                  <c:v>92</c:v>
                </c:pt>
                <c:pt idx="13">
                  <c:v>32</c:v>
                </c:pt>
                <c:pt idx="14">
                  <c:v>48</c:v>
                </c:pt>
                <c:pt idx="15">
                  <c:v>68</c:v>
                </c:pt>
                <c:pt idx="16">
                  <c:v>71</c:v>
                </c:pt>
              </c:numCache>
            </c:numRef>
          </c:val>
          <c:extLst>
            <c:ext xmlns:c16="http://schemas.microsoft.com/office/drawing/2014/chart" uri="{C3380CC4-5D6E-409C-BE32-E72D297353CC}">
              <c16:uniqueId val="{00000000-A8D3-4A91-A483-949679189B19}"/>
            </c:ext>
          </c:extLst>
        </c:ser>
        <c:ser>
          <c:idx val="1"/>
          <c:order val="1"/>
          <c:tx>
            <c:strRef>
              <c:f>HVL!$C$5</c:f>
              <c:strCache>
                <c:ptCount val="1"/>
                <c:pt idx="0">
                  <c:v> LAM_tests</c:v>
                </c:pt>
              </c:strCache>
            </c:strRef>
          </c:tx>
          <c:spPr>
            <a:solidFill>
              <a:srgbClr val="AF1FC7">
                <a:alpha val="92941"/>
              </a:srgbClr>
            </a:solidFill>
            <a:ln>
              <a:noFill/>
            </a:ln>
            <a:effectLst>
              <a:outerShdw blurRad="57150" dist="19050" dir="5400000" algn="ctr" rotWithShape="0">
                <a:srgbClr val="000000">
                  <a:alpha val="63000"/>
                </a:srgbClr>
              </a:outerShdw>
            </a:effectLst>
          </c:spPr>
          <c:invertIfNegative val="0"/>
          <c:dLbls>
            <c:spPr>
              <a:solidFill>
                <a:srgbClr val="EAAEC9"/>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HVL!$A$6:$A$42</c:f>
              <c:multiLvlStrCache>
                <c:ptCount val="17"/>
                <c:lvl>
                  <c:pt idx="0">
                    <c:v>103</c:v>
                  </c:pt>
                  <c:pt idx="1">
                    <c:v>95</c:v>
                  </c:pt>
                  <c:pt idx="2">
                    <c:v>97</c:v>
                  </c:pt>
                  <c:pt idx="3">
                    <c:v>102</c:v>
                  </c:pt>
                  <c:pt idx="4">
                    <c:v>98</c:v>
                  </c:pt>
                  <c:pt idx="5">
                    <c:v>123</c:v>
                  </c:pt>
                  <c:pt idx="6">
                    <c:v>148</c:v>
                  </c:pt>
                  <c:pt idx="7">
                    <c:v>82</c:v>
                  </c:pt>
                  <c:pt idx="8">
                    <c:v>91</c:v>
                  </c:pt>
                  <c:pt idx="9">
                    <c:v>87</c:v>
                  </c:pt>
                  <c:pt idx="10">
                    <c:v>84</c:v>
                  </c:pt>
                  <c:pt idx="11">
                    <c:v>74</c:v>
                  </c:pt>
                  <c:pt idx="12">
                    <c:v>95</c:v>
                  </c:pt>
                  <c:pt idx="13">
                    <c:v>32</c:v>
                  </c:pt>
                  <c:pt idx="14">
                    <c:v>49</c:v>
                  </c:pt>
                  <c:pt idx="15">
                    <c:v>94</c:v>
                  </c:pt>
                  <c:pt idx="16">
                    <c:v>88</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2024</c:v>
                  </c:pt>
                  <c:pt idx="12">
                    <c:v>2025</c:v>
                  </c:pt>
                </c:lvl>
              </c:multiLvlStrCache>
            </c:multiLvlStrRef>
          </c:cat>
          <c:val>
            <c:numRef>
              <c:f>HVL!$C$6:$C$42</c:f>
              <c:numCache>
                <c:formatCode>General</c:formatCode>
                <c:ptCount val="17"/>
                <c:pt idx="0">
                  <c:v>34</c:v>
                </c:pt>
                <c:pt idx="1">
                  <c:v>22</c:v>
                </c:pt>
                <c:pt idx="2">
                  <c:v>22</c:v>
                </c:pt>
                <c:pt idx="3">
                  <c:v>20</c:v>
                </c:pt>
                <c:pt idx="4">
                  <c:v>0</c:v>
                </c:pt>
                <c:pt idx="5">
                  <c:v>0</c:v>
                </c:pt>
                <c:pt idx="6">
                  <c:v>0</c:v>
                </c:pt>
                <c:pt idx="7">
                  <c:v>7</c:v>
                </c:pt>
                <c:pt idx="8">
                  <c:v>19</c:v>
                </c:pt>
                <c:pt idx="9">
                  <c:v>20</c:v>
                </c:pt>
                <c:pt idx="10">
                  <c:v>24</c:v>
                </c:pt>
                <c:pt idx="11">
                  <c:v>23</c:v>
                </c:pt>
                <c:pt idx="12">
                  <c:v>35</c:v>
                </c:pt>
                <c:pt idx="13">
                  <c:v>10</c:v>
                </c:pt>
                <c:pt idx="14">
                  <c:v>13</c:v>
                </c:pt>
                <c:pt idx="15">
                  <c:v>16</c:v>
                </c:pt>
                <c:pt idx="16">
                  <c:v>23</c:v>
                </c:pt>
              </c:numCache>
            </c:numRef>
          </c:val>
          <c:extLst>
            <c:ext xmlns:c16="http://schemas.microsoft.com/office/drawing/2014/chart" uri="{C3380CC4-5D6E-409C-BE32-E72D297353CC}">
              <c16:uniqueId val="{00000001-A8D3-4A91-A483-949679189B19}"/>
            </c:ext>
          </c:extLst>
        </c:ser>
        <c:ser>
          <c:idx val="2"/>
          <c:order val="2"/>
          <c:tx>
            <c:strRef>
              <c:f>HVL!$D$5</c:f>
              <c:strCache>
                <c:ptCount val="1"/>
                <c:pt idx="0">
                  <c:v>CrAg-tests</c:v>
                </c:pt>
              </c:strCache>
            </c:strRef>
          </c:tx>
          <c:spPr>
            <a:solidFill>
              <a:srgbClr val="6CAEA5">
                <a:alpha val="87451"/>
              </a:srgbClr>
            </a:solidFill>
            <a:ln>
              <a:noFill/>
            </a:ln>
            <a:effectLst>
              <a:outerShdw blurRad="57150" dist="19050" dir="5400000" algn="ctr" rotWithShape="0">
                <a:srgbClr val="000000">
                  <a:alpha val="63000"/>
                </a:srgbClr>
              </a:outerShdw>
            </a:effectLst>
          </c:spPr>
          <c:invertIfNegative val="0"/>
          <c:dLbls>
            <c:spPr>
              <a:solidFill>
                <a:schemeClr val="accent1">
                  <a:lumMod val="40000"/>
                  <a:lumOff val="6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HVL!$A$6:$A$42</c:f>
              <c:multiLvlStrCache>
                <c:ptCount val="17"/>
                <c:lvl>
                  <c:pt idx="0">
                    <c:v>103</c:v>
                  </c:pt>
                  <c:pt idx="1">
                    <c:v>95</c:v>
                  </c:pt>
                  <c:pt idx="2">
                    <c:v>97</c:v>
                  </c:pt>
                  <c:pt idx="3">
                    <c:v>102</c:v>
                  </c:pt>
                  <c:pt idx="4">
                    <c:v>98</c:v>
                  </c:pt>
                  <c:pt idx="5">
                    <c:v>123</c:v>
                  </c:pt>
                  <c:pt idx="6">
                    <c:v>148</c:v>
                  </c:pt>
                  <c:pt idx="7">
                    <c:v>82</c:v>
                  </c:pt>
                  <c:pt idx="8">
                    <c:v>91</c:v>
                  </c:pt>
                  <c:pt idx="9">
                    <c:v>87</c:v>
                  </c:pt>
                  <c:pt idx="10">
                    <c:v>84</c:v>
                  </c:pt>
                  <c:pt idx="11">
                    <c:v>74</c:v>
                  </c:pt>
                  <c:pt idx="12">
                    <c:v>95</c:v>
                  </c:pt>
                  <c:pt idx="13">
                    <c:v>32</c:v>
                  </c:pt>
                  <c:pt idx="14">
                    <c:v>49</c:v>
                  </c:pt>
                  <c:pt idx="15">
                    <c:v>94</c:v>
                  </c:pt>
                  <c:pt idx="16">
                    <c:v>88</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2024</c:v>
                  </c:pt>
                  <c:pt idx="12">
                    <c:v>2025</c:v>
                  </c:pt>
                </c:lvl>
              </c:multiLvlStrCache>
            </c:multiLvlStrRef>
          </c:cat>
          <c:val>
            <c:numRef>
              <c:f>HVL!$D$6:$D$42</c:f>
              <c:numCache>
                <c:formatCode>General</c:formatCode>
                <c:ptCount val="17"/>
                <c:pt idx="0">
                  <c:v>34</c:v>
                </c:pt>
                <c:pt idx="1">
                  <c:v>23</c:v>
                </c:pt>
                <c:pt idx="2">
                  <c:v>23</c:v>
                </c:pt>
                <c:pt idx="3">
                  <c:v>20</c:v>
                </c:pt>
                <c:pt idx="4">
                  <c:v>29</c:v>
                </c:pt>
                <c:pt idx="5">
                  <c:v>32</c:v>
                </c:pt>
                <c:pt idx="6">
                  <c:v>41</c:v>
                </c:pt>
                <c:pt idx="7">
                  <c:v>18</c:v>
                </c:pt>
                <c:pt idx="8">
                  <c:v>19</c:v>
                </c:pt>
                <c:pt idx="9">
                  <c:v>24</c:v>
                </c:pt>
                <c:pt idx="10">
                  <c:v>26</c:v>
                </c:pt>
                <c:pt idx="11">
                  <c:v>23</c:v>
                </c:pt>
                <c:pt idx="12">
                  <c:v>37</c:v>
                </c:pt>
                <c:pt idx="13">
                  <c:v>10</c:v>
                </c:pt>
                <c:pt idx="14">
                  <c:v>13</c:v>
                </c:pt>
                <c:pt idx="15">
                  <c:v>20</c:v>
                </c:pt>
                <c:pt idx="16">
                  <c:v>22</c:v>
                </c:pt>
              </c:numCache>
            </c:numRef>
          </c:val>
          <c:extLst>
            <c:ext xmlns:c16="http://schemas.microsoft.com/office/drawing/2014/chart" uri="{C3380CC4-5D6E-409C-BE32-E72D297353CC}">
              <c16:uniqueId val="{00000002-A8D3-4A91-A483-949679189B19}"/>
            </c:ext>
          </c:extLst>
        </c:ser>
        <c:dLbls>
          <c:showLegendKey val="0"/>
          <c:showVal val="0"/>
          <c:showCatName val="0"/>
          <c:showSerName val="0"/>
          <c:showPercent val="0"/>
          <c:showBubbleSize val="0"/>
        </c:dLbls>
        <c:gapWidth val="100"/>
        <c:overlap val="44"/>
        <c:axId val="939995816"/>
        <c:axId val="939997976"/>
      </c:barChart>
      <c:lineChart>
        <c:grouping val="standard"/>
        <c:varyColors val="0"/>
        <c:ser>
          <c:idx val="3"/>
          <c:order val="3"/>
          <c:tx>
            <c:strRef>
              <c:f>HVL!$E$5</c:f>
              <c:strCache>
                <c:ptCount val="1"/>
                <c:pt idx="0">
                  <c:v> AHD_screening_cov%</c:v>
                </c:pt>
              </c:strCache>
            </c:strRef>
          </c:tx>
          <c:spPr>
            <a:ln w="15875" cap="rnd">
              <a:solidFill>
                <a:srgbClr val="449BCC"/>
              </a:solidFill>
              <a:round/>
            </a:ln>
            <a:effectLst>
              <a:outerShdw blurRad="57150" dist="19050" dir="5400000" algn="ctr" rotWithShape="0">
                <a:srgbClr val="000000">
                  <a:alpha val="63000"/>
                </a:srgbClr>
              </a:outerShdw>
            </a:effectLst>
          </c:spPr>
          <c:marker>
            <c:symbol val="circle"/>
            <c:size val="6"/>
            <c:spPr>
              <a:solidFill>
                <a:srgbClr val="449BCC"/>
              </a:solidFill>
              <a:ln w="9525">
                <a:no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HVL!$A$6:$A$42</c:f>
              <c:multiLvlStrCache>
                <c:ptCount val="17"/>
                <c:lvl>
                  <c:pt idx="0">
                    <c:v>103</c:v>
                  </c:pt>
                  <c:pt idx="1">
                    <c:v>95</c:v>
                  </c:pt>
                  <c:pt idx="2">
                    <c:v>97</c:v>
                  </c:pt>
                  <c:pt idx="3">
                    <c:v>102</c:v>
                  </c:pt>
                  <c:pt idx="4">
                    <c:v>98</c:v>
                  </c:pt>
                  <c:pt idx="5">
                    <c:v>123</c:v>
                  </c:pt>
                  <c:pt idx="6">
                    <c:v>148</c:v>
                  </c:pt>
                  <c:pt idx="7">
                    <c:v>82</c:v>
                  </c:pt>
                  <c:pt idx="8">
                    <c:v>91</c:v>
                  </c:pt>
                  <c:pt idx="9">
                    <c:v>87</c:v>
                  </c:pt>
                  <c:pt idx="10">
                    <c:v>84</c:v>
                  </c:pt>
                  <c:pt idx="11">
                    <c:v>74</c:v>
                  </c:pt>
                  <c:pt idx="12">
                    <c:v>95</c:v>
                  </c:pt>
                  <c:pt idx="13">
                    <c:v>32</c:v>
                  </c:pt>
                  <c:pt idx="14">
                    <c:v>49</c:v>
                  </c:pt>
                  <c:pt idx="15">
                    <c:v>94</c:v>
                  </c:pt>
                  <c:pt idx="16">
                    <c:v>88</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2024</c:v>
                  </c:pt>
                  <c:pt idx="12">
                    <c:v>2025</c:v>
                  </c:pt>
                </c:lvl>
              </c:multiLvlStrCache>
            </c:multiLvlStrRef>
          </c:cat>
          <c:val>
            <c:numRef>
              <c:f>HVL!$E$6:$E$42</c:f>
              <c:numCache>
                <c:formatCode>0%</c:formatCode>
                <c:ptCount val="17"/>
                <c:pt idx="0">
                  <c:v>0.99029126213592233</c:v>
                </c:pt>
                <c:pt idx="1">
                  <c:v>1</c:v>
                </c:pt>
                <c:pt idx="2">
                  <c:v>1</c:v>
                </c:pt>
                <c:pt idx="3">
                  <c:v>0.90196078431372551</c:v>
                </c:pt>
                <c:pt idx="4">
                  <c:v>0.97959183673469385</c:v>
                </c:pt>
                <c:pt idx="5">
                  <c:v>0.99186991869918695</c:v>
                </c:pt>
                <c:pt idx="6">
                  <c:v>0.86486486486486491</c:v>
                </c:pt>
                <c:pt idx="7">
                  <c:v>0.98780487804878048</c:v>
                </c:pt>
                <c:pt idx="8">
                  <c:v>1</c:v>
                </c:pt>
                <c:pt idx="9">
                  <c:v>0.95402298850574707</c:v>
                </c:pt>
                <c:pt idx="10">
                  <c:v>0.9642857142857143</c:v>
                </c:pt>
                <c:pt idx="11">
                  <c:v>1</c:v>
                </c:pt>
                <c:pt idx="12">
                  <c:v>0.96842105263157896</c:v>
                </c:pt>
                <c:pt idx="13">
                  <c:v>1</c:v>
                </c:pt>
                <c:pt idx="14">
                  <c:v>0.97959183673469385</c:v>
                </c:pt>
                <c:pt idx="15">
                  <c:v>0.72340425531914898</c:v>
                </c:pt>
                <c:pt idx="16">
                  <c:v>0.80681818181818177</c:v>
                </c:pt>
              </c:numCache>
            </c:numRef>
          </c:val>
          <c:smooth val="1"/>
          <c:extLst>
            <c:ext xmlns:c16="http://schemas.microsoft.com/office/drawing/2014/chart" uri="{C3380CC4-5D6E-409C-BE32-E72D297353CC}">
              <c16:uniqueId val="{00000003-A8D3-4A91-A483-949679189B19}"/>
            </c:ext>
          </c:extLst>
        </c:ser>
        <c:dLbls>
          <c:showLegendKey val="0"/>
          <c:showVal val="0"/>
          <c:showCatName val="0"/>
          <c:showSerName val="0"/>
          <c:showPercent val="0"/>
          <c:showBubbleSize val="0"/>
        </c:dLbls>
        <c:marker val="1"/>
        <c:smooth val="0"/>
        <c:axId val="1224139760"/>
        <c:axId val="1224135080"/>
      </c:lineChart>
      <c:catAx>
        <c:axId val="939995816"/>
        <c:scaling>
          <c:orientation val="minMax"/>
        </c:scaling>
        <c:delete val="0"/>
        <c:axPos val="b"/>
        <c:title>
          <c:tx>
            <c:rich>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r>
                  <a:rPr lang="en-US"/>
                  <a:t>Number of HVL</a:t>
                </a:r>
                <a:r>
                  <a:rPr lang="en-US" baseline="0"/>
                  <a:t> ROC seen</a:t>
                </a:r>
                <a:r>
                  <a:rPr lang="en-US"/>
                  <a:t> per period</a:t>
                </a:r>
              </a:p>
            </c:rich>
          </c:tx>
          <c:layout>
            <c:manualLayout>
              <c:xMode val="edge"/>
              <c:yMode val="edge"/>
              <c:x val="0.39144070801218556"/>
              <c:y val="0.8819936180985225"/>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accent1">
                <a:lumMod val="50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939997976"/>
        <c:crosses val="autoZero"/>
        <c:auto val="1"/>
        <c:lblAlgn val="ctr"/>
        <c:lblOffset val="100"/>
        <c:noMultiLvlLbl val="0"/>
      </c:catAx>
      <c:valAx>
        <c:axId val="939997976"/>
        <c:scaling>
          <c:orientation val="minMax"/>
          <c:max val="150"/>
        </c:scaling>
        <c:delete val="0"/>
        <c:axPos val="l"/>
        <c:title>
          <c:tx>
            <c:rich>
              <a:bodyPr rot="-54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r>
                  <a:rPr lang="en-US"/>
                  <a:t>Number of ROC with HVL screened</a:t>
                </a:r>
              </a:p>
            </c:rich>
          </c:tx>
          <c:layout>
            <c:manualLayout>
              <c:xMode val="edge"/>
              <c:yMode val="edge"/>
              <c:x val="1.3452530477973255E-2"/>
              <c:y val="0.35510004187773037"/>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solidFill>
              <a:schemeClr val="accent1">
                <a:lumMod val="50000"/>
              </a:schemeClr>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939995816"/>
        <c:crosses val="autoZero"/>
        <c:crossBetween val="between"/>
      </c:valAx>
      <c:valAx>
        <c:axId val="1224135080"/>
        <c:scaling>
          <c:orientation val="minMax"/>
          <c:max val="1"/>
          <c:min val="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24139760"/>
        <c:crosses val="max"/>
        <c:crossBetween val="between"/>
      </c:valAx>
      <c:catAx>
        <c:axId val="1224139760"/>
        <c:scaling>
          <c:orientation val="minMax"/>
        </c:scaling>
        <c:delete val="1"/>
        <c:axPos val="b"/>
        <c:numFmt formatCode="General" sourceLinked="1"/>
        <c:majorTickMark val="out"/>
        <c:minorTickMark val="none"/>
        <c:tickLblPos val="nextTo"/>
        <c:crossAx val="1224135080"/>
        <c:crosses val="autoZero"/>
        <c:auto val="1"/>
        <c:lblAlgn val="ctr"/>
        <c:lblOffset val="100"/>
        <c:noMultiLvlLbl val="0"/>
      </c:catAx>
      <c:spPr>
        <a:noFill/>
        <a:ln>
          <a:noFill/>
        </a:ln>
        <a:effectLst/>
      </c:spPr>
    </c:plotArea>
    <c:legend>
      <c:legendPos val="r"/>
      <c:layout>
        <c:manualLayout>
          <c:xMode val="edge"/>
          <c:yMode val="edge"/>
          <c:x val="0.13985142251870933"/>
          <c:y val="0.92313864042643623"/>
          <c:w val="0.7146788690248671"/>
          <c:h val="7.6579246111048646E-2"/>
        </c:manualLayout>
      </c:layout>
      <c:overlay val="0"/>
      <c:spPr>
        <a:noFill/>
        <a:ln w="6350">
          <a:solidFill>
            <a:schemeClr val="accent5">
              <a:lumMod val="40000"/>
              <a:lumOff val="60000"/>
            </a:schemeClr>
          </a:solid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lumMod val="60000"/>
          <a:lumOff val="40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[AHD_Reporting_Form.xlsx]HVL!PivotTable2</c:name>
    <c:fmtId val="103"/>
  </c:pivotSource>
  <c:chart>
    <c:title>
      <c:tx>
        <c:rich>
          <a:bodyPr rot="0" spcFirstLastPara="1" vertOverflow="ellipsis" vert="horz" wrap="square" anchor="ctr" anchorCtr="1"/>
          <a:lstStyle/>
          <a:p>
            <a:pPr>
              <a:defRPr sz="1400" b="1" i="0" u="sng" strike="noStrike" kern="1200" baseline="0">
                <a:solidFill>
                  <a:sysClr val="windowText" lastClr="000000"/>
                </a:solidFill>
                <a:latin typeface="+mn-lt"/>
                <a:ea typeface="+mn-ea"/>
                <a:cs typeface="+mn-cs"/>
              </a:defRPr>
            </a:pPr>
            <a:r>
              <a:rPr lang="en-GB" sz="1400" u="sng"/>
              <a:t>AHD Yield among ROC identified with unsuppressed VL</a:t>
            </a:r>
          </a:p>
        </c:rich>
      </c:tx>
      <c:layout>
        <c:manualLayout>
          <c:xMode val="edge"/>
          <c:yMode val="edge"/>
          <c:x val="0.16191758112589666"/>
          <c:y val="3.208634678218731E-2"/>
        </c:manualLayout>
      </c:layout>
      <c:overlay val="0"/>
      <c:spPr>
        <a:noFill/>
        <a:ln>
          <a:noFill/>
        </a:ln>
        <a:effectLst/>
      </c:spPr>
      <c:txPr>
        <a:bodyPr rot="0" spcFirstLastPara="1" vertOverflow="ellipsis" vert="horz" wrap="square" anchor="ctr" anchorCtr="1"/>
        <a:lstStyle/>
        <a:p>
          <a:pPr>
            <a:defRPr sz="1400" b="1" i="0" u="sng" strike="noStrike" kern="1200" baseline="0">
              <a:solidFill>
                <a:sysClr val="windowText" lastClr="000000"/>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2"/>
            </a:solidFill>
            <a:round/>
          </a:ln>
          <a:effectLst>
            <a:outerShdw blurRad="57150" dist="19050" dir="5400000" algn="ctr" rotWithShape="0">
              <a:srgbClr val="000000">
                <a:alpha val="63000"/>
              </a:srgbClr>
            </a:outerShdw>
          </a:effectLst>
        </c:spPr>
        <c:marker>
          <c:symbol val="circle"/>
          <c:size val="4"/>
          <c:spPr>
            <a:solidFill>
              <a:schemeClr val="accent2"/>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5"/>
            </a:solidFill>
            <a:round/>
          </a:ln>
          <a:effectLst>
            <a:outerShdw blurRad="57150" dist="19050" dir="5400000" algn="ctr" rotWithShape="0">
              <a:srgbClr val="000000">
                <a:alpha val="63000"/>
              </a:srgbClr>
            </a:outerShdw>
          </a:effectLst>
        </c:spPr>
        <c:marker>
          <c:symbol val="circle"/>
          <c:size val="4"/>
          <c:spPr>
            <a:solidFill>
              <a:schemeClr val="accent5"/>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dLbl>
          <c:idx val="0"/>
          <c:layout>
            <c:manualLayout>
              <c:x val="-3.6779396559352875E-2"/>
              <c:y val="3.23599931903843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F9B20"/>
            </a:solidFill>
            <a:round/>
          </a:ln>
          <a:effectLst>
            <a:outerShdw blurRad="57150" dist="19050" dir="5400000" algn="ctr" rotWithShape="0">
              <a:srgbClr val="000000">
                <a:alpha val="63000"/>
              </a:srgbClr>
            </a:outerShdw>
          </a:effectLst>
        </c:spPr>
        <c:marker>
          <c:symbol val="circle"/>
          <c:size val="4"/>
          <c:spPr>
            <a:solidFill>
              <a:srgbClr val="EF9B20"/>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dLbl>
          <c:idx val="0"/>
          <c:layout>
            <c:manualLayout>
              <c:x val="-3.6779396559352875E-2"/>
              <c:y val="3.2359993190384365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1A53FF"/>
            </a:solidFill>
            <a:round/>
          </a:ln>
          <a:effectLst>
            <a:outerShdw blurRad="57150" dist="19050" dir="5400000" algn="ctr" rotWithShape="0">
              <a:srgbClr val="000000">
                <a:alpha val="63000"/>
              </a:srgbClr>
            </a:outerShdw>
          </a:effectLst>
        </c:spPr>
        <c:marker>
          <c:symbol val="circle"/>
          <c:size val="4"/>
          <c:spPr>
            <a:solidFill>
              <a:srgbClr val="1A53FF"/>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449BCC"/>
            </a:solidFill>
            <a:round/>
          </a:ln>
          <a:effectLst>
            <a:outerShdw blurRad="57150" dist="19050" dir="5400000" algn="ctr" rotWithShape="0">
              <a:srgbClr val="000000">
                <a:alpha val="63000"/>
              </a:srgbClr>
            </a:outerShdw>
          </a:effectLst>
        </c:spPr>
        <c:marker>
          <c:symbol val="circle"/>
          <c:size val="4"/>
          <c:spPr>
            <a:solidFill>
              <a:srgbClr val="449BCC"/>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AF1FC7"/>
            </a:solidFill>
            <a:round/>
          </a:ln>
          <a:effectLst>
            <a:outerShdw blurRad="57150" dist="19050" dir="5400000" algn="ctr" rotWithShape="0">
              <a:srgbClr val="000000">
                <a:alpha val="63000"/>
              </a:srgbClr>
            </a:outerShdw>
          </a:effectLst>
        </c:spPr>
        <c:marker>
          <c:symbol val="circle"/>
          <c:size val="4"/>
          <c:spPr>
            <a:solidFill>
              <a:srgbClr val="AF1FC7"/>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AF1FC7"/>
            </a:solidFill>
            <a:round/>
          </a:ln>
          <a:effectLst>
            <a:outerShdw blurRad="57150" dist="19050" dir="5400000" algn="ctr" rotWithShape="0">
              <a:srgbClr val="000000">
                <a:alpha val="63000"/>
              </a:srgbClr>
            </a:outerShdw>
          </a:effectLst>
        </c:spPr>
        <c:marker>
          <c:symbol val="circle"/>
          <c:size val="4"/>
          <c:spPr>
            <a:solidFill>
              <a:srgbClr val="AF1FC7"/>
            </a:solidFill>
            <a:ln w="9525">
              <a:noFill/>
              <a:round/>
            </a:ln>
            <a:effectLst>
              <a:outerShdw blurRad="57150" dist="19050" dir="5400000" algn="ctr" rotWithShape="0">
                <a:srgbClr val="000000">
                  <a:alpha val="63000"/>
                </a:srgbClr>
              </a:outerShdw>
            </a:effectLst>
          </c:spPr>
        </c:marker>
        <c:dLbl>
          <c:idx val="0"/>
          <c:layout>
            <c:manualLayout>
              <c:x val="-3.6779396559352875E-2"/>
              <c:y val="3.2359993190384365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6CAEA5"/>
            </a:solidFill>
            <a:round/>
          </a:ln>
          <a:effectLst>
            <a:outerShdw blurRad="57150" dist="19050" dir="5400000" algn="ctr" rotWithShape="0">
              <a:srgbClr val="000000">
                <a:alpha val="63000"/>
              </a:srgbClr>
            </a:outerShdw>
          </a:effectLst>
        </c:spPr>
        <c:marker>
          <c:symbol val="circle"/>
          <c:size val="4"/>
          <c:spPr>
            <a:solidFill>
              <a:srgbClr val="6CAEA5"/>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AF1FC7"/>
            </a:solidFill>
            <a:round/>
          </a:ln>
          <a:effectLst>
            <a:outerShdw blurRad="57150" dist="19050" dir="5400000" algn="ctr" rotWithShape="0">
              <a:srgbClr val="000000">
                <a:alpha val="63000"/>
              </a:srgbClr>
            </a:outerShdw>
          </a:effectLst>
        </c:spPr>
        <c:marker>
          <c:symbol val="circle"/>
          <c:size val="4"/>
          <c:spPr>
            <a:solidFill>
              <a:srgbClr val="AF1FC7"/>
            </a:solidFill>
            <a:ln w="9525">
              <a:noFill/>
              <a:round/>
            </a:ln>
            <a:effectLst>
              <a:outerShdw blurRad="57150" dist="19050" dir="5400000" algn="ctr" rotWithShape="0">
                <a:srgbClr val="000000">
                  <a:alpha val="63000"/>
                </a:srgbClr>
              </a:outerShdw>
            </a:effectLst>
          </c:spPr>
        </c:marke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AF1FC7"/>
            </a:solidFill>
            <a:round/>
          </a:ln>
          <a:effectLst>
            <a:outerShdw blurRad="57150" dist="19050" dir="5400000" algn="ctr" rotWithShape="0">
              <a:srgbClr val="000000">
                <a:alpha val="63000"/>
              </a:srgbClr>
            </a:outerShdw>
          </a:effectLst>
        </c:spPr>
        <c:marker>
          <c:symbol val="circle"/>
          <c:size val="4"/>
          <c:spPr>
            <a:solidFill>
              <a:srgbClr val="AF1FC7"/>
            </a:solidFill>
            <a:ln w="9525">
              <a:noFill/>
              <a:round/>
            </a:ln>
            <a:effectLst>
              <a:outerShdw blurRad="57150" dist="19050" dir="5400000" algn="ctr" rotWithShape="0">
                <a:srgbClr val="000000">
                  <a:alpha val="63000"/>
                </a:srgbClr>
              </a:outerShdw>
            </a:effectLst>
          </c:spPr>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AF1FC7"/>
            </a:solidFill>
            <a:round/>
          </a:ln>
          <a:effectLst>
            <a:outerShdw blurRad="57150" dist="19050" dir="5400000" algn="ctr" rotWithShape="0">
              <a:srgbClr val="000000">
                <a:alpha val="63000"/>
              </a:srgbClr>
            </a:outerShdw>
          </a:effectLst>
        </c:spPr>
        <c:marker>
          <c:symbol val="circle"/>
          <c:size val="4"/>
          <c:spPr>
            <a:solidFill>
              <a:srgbClr val="AF1FC7"/>
            </a:solidFill>
            <a:ln w="9525">
              <a:noFill/>
              <a:round/>
            </a:ln>
            <a:effectLst>
              <a:outerShdw blurRad="57150" dist="19050" dir="5400000" algn="ctr" rotWithShape="0">
                <a:srgbClr val="000000">
                  <a:alpha val="63000"/>
                </a:srgbClr>
              </a:outerShdw>
            </a:effectLst>
          </c:spPr>
        </c:marker>
        <c:dLbl>
          <c:idx val="0"/>
          <c:layout>
            <c:manualLayout>
              <c:x val="4.9739537324830795E-2"/>
              <c:y val="-2.2218006540072138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AF1FC7"/>
            </a:solidFill>
            <a:round/>
          </a:ln>
          <a:effectLst>
            <a:outerShdw blurRad="57150" dist="19050" dir="5400000" algn="ctr" rotWithShape="0">
              <a:srgbClr val="000000">
                <a:alpha val="63000"/>
              </a:srgbClr>
            </a:outerShdw>
          </a:effectLst>
        </c:spPr>
        <c:marker>
          <c:symbol val="circle"/>
          <c:size val="4"/>
          <c:spPr>
            <a:solidFill>
              <a:srgbClr val="AF1FC7"/>
            </a:solidFill>
            <a:ln w="9525">
              <a:noFill/>
              <a:round/>
            </a:ln>
            <a:effectLst>
              <a:outerShdw blurRad="57150" dist="19050" dir="5400000" algn="ctr" rotWithShape="0">
                <a:srgbClr val="000000">
                  <a:alpha val="63000"/>
                </a:srgbClr>
              </a:outerShdw>
            </a:effectLst>
          </c:spPr>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AF1FC7"/>
            </a:solidFill>
            <a:round/>
          </a:ln>
          <a:effectLst>
            <a:outerShdw blurRad="57150" dist="19050" dir="5400000" algn="ctr" rotWithShape="0">
              <a:srgbClr val="000000">
                <a:alpha val="63000"/>
              </a:srgbClr>
            </a:outerShdw>
          </a:effectLst>
        </c:spPr>
        <c:marker>
          <c:symbol val="circle"/>
          <c:size val="4"/>
          <c:spPr>
            <a:solidFill>
              <a:srgbClr val="AF1FC7"/>
            </a:solidFill>
            <a:ln w="9525">
              <a:noFill/>
              <a:round/>
            </a:ln>
            <a:effectLst>
              <a:outerShdw blurRad="57150" dist="19050" dir="5400000" algn="ctr" rotWithShape="0">
                <a:srgbClr val="000000">
                  <a:alpha val="63000"/>
                </a:srgbClr>
              </a:outerShdw>
            </a:effectLst>
          </c:spPr>
        </c:marke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AF1FC7"/>
            </a:solidFill>
            <a:round/>
          </a:ln>
          <a:effectLst>
            <a:outerShdw blurRad="57150" dist="19050" dir="5400000" algn="ctr" rotWithShape="0">
              <a:srgbClr val="000000">
                <a:alpha val="63000"/>
              </a:srgbClr>
            </a:outerShdw>
          </a:effectLst>
        </c:spPr>
        <c:marker>
          <c:symbol val="circle"/>
          <c:size val="4"/>
          <c:spPr>
            <a:solidFill>
              <a:srgbClr val="AF1FC7"/>
            </a:solidFill>
            <a:ln w="9525">
              <a:noFill/>
              <a:round/>
            </a:ln>
            <a:effectLst>
              <a:outerShdw blurRad="57150" dist="19050" dir="5400000" algn="ctr" rotWithShape="0">
                <a:srgbClr val="000000">
                  <a:alpha val="63000"/>
                </a:srgbClr>
              </a:outerShdw>
            </a:effectLst>
          </c:spPr>
        </c:marke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449BCC"/>
            </a:solidFill>
            <a:round/>
          </a:ln>
          <a:effectLst>
            <a:outerShdw blurRad="57150" dist="19050" dir="5400000" algn="ctr" rotWithShape="0">
              <a:srgbClr val="000000">
                <a:alpha val="63000"/>
              </a:srgbClr>
            </a:outerShdw>
          </a:effectLst>
        </c:spPr>
        <c:marker>
          <c:symbol val="circle"/>
          <c:size val="4"/>
          <c:spPr>
            <a:solidFill>
              <a:srgbClr val="449BCC"/>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AF1FC7"/>
            </a:solidFill>
            <a:round/>
          </a:ln>
          <a:effectLst>
            <a:outerShdw blurRad="57150" dist="19050" dir="5400000" algn="ctr" rotWithShape="0">
              <a:srgbClr val="000000">
                <a:alpha val="63000"/>
              </a:srgbClr>
            </a:outerShdw>
          </a:effectLst>
        </c:spPr>
        <c:marker>
          <c:symbol val="circle"/>
          <c:size val="4"/>
          <c:spPr>
            <a:solidFill>
              <a:srgbClr val="AF1FC7"/>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AF1FC7"/>
            </a:solidFill>
            <a:round/>
          </a:ln>
          <a:effectLst>
            <a:outerShdw blurRad="57150" dist="19050" dir="5400000" algn="ctr" rotWithShape="0">
              <a:srgbClr val="000000">
                <a:alpha val="63000"/>
              </a:srgbClr>
            </a:outerShdw>
          </a:effectLst>
        </c:spPr>
        <c:marker>
          <c:symbol val="circle"/>
          <c:size val="4"/>
          <c:spPr>
            <a:solidFill>
              <a:srgbClr val="AF1FC7"/>
            </a:solidFill>
            <a:ln w="9525">
              <a:noFill/>
              <a:round/>
            </a:ln>
            <a:effectLst>
              <a:outerShdw blurRad="57150" dist="19050" dir="5400000" algn="ctr" rotWithShape="0">
                <a:srgbClr val="000000">
                  <a:alpha val="63000"/>
                </a:srgbClr>
              </a:outerShdw>
            </a:effectLst>
          </c:spPr>
        </c:marker>
        <c:dLbl>
          <c:idx val="0"/>
          <c:layout>
            <c:manualLayout>
              <c:x val="-3.6779396559352875E-2"/>
              <c:y val="3.2359993190384365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AF1FC7"/>
            </a:solidFill>
            <a:round/>
          </a:ln>
          <a:effectLst>
            <a:outerShdw blurRad="57150" dist="19050" dir="5400000" algn="ctr" rotWithShape="0">
              <a:srgbClr val="000000">
                <a:alpha val="63000"/>
              </a:srgbClr>
            </a:outerShdw>
          </a:effectLst>
        </c:spPr>
        <c:marker>
          <c:symbol val="circle"/>
          <c:size val="4"/>
          <c:spPr>
            <a:solidFill>
              <a:srgbClr val="AF1FC7"/>
            </a:solidFill>
            <a:ln w="9525">
              <a:noFill/>
              <a:round/>
            </a:ln>
            <a:effectLst>
              <a:outerShdw blurRad="57150" dist="19050" dir="5400000" algn="ctr" rotWithShape="0">
                <a:srgbClr val="000000">
                  <a:alpha val="63000"/>
                </a:srgbClr>
              </a:outerShdw>
            </a:effectLst>
          </c:spPr>
        </c:marker>
        <c:dLbl>
          <c:idx val="0"/>
          <c:layout>
            <c:manualLayout>
              <c:x val="4.9739537324830795E-2"/>
              <c:y val="-2.2218006540072138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AF1FC7"/>
            </a:solidFill>
            <a:round/>
          </a:ln>
          <a:effectLst>
            <a:outerShdw blurRad="57150" dist="19050" dir="5400000" algn="ctr" rotWithShape="0">
              <a:srgbClr val="000000">
                <a:alpha val="63000"/>
              </a:srgbClr>
            </a:outerShdw>
          </a:effectLst>
        </c:spPr>
        <c:marker>
          <c:symbol val="circle"/>
          <c:size val="4"/>
          <c:spPr>
            <a:solidFill>
              <a:srgbClr val="AF1FC7"/>
            </a:solidFill>
            <a:ln w="9525">
              <a:noFill/>
              <a:round/>
            </a:ln>
            <a:effectLst>
              <a:outerShdw blurRad="57150" dist="19050" dir="5400000" algn="ctr" rotWithShape="0">
                <a:srgbClr val="000000">
                  <a:alpha val="63000"/>
                </a:srgbClr>
              </a:outerShdw>
            </a:effectLst>
          </c:spPr>
        </c:marke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AF1FC7"/>
            </a:solidFill>
            <a:round/>
          </a:ln>
          <a:effectLst>
            <a:outerShdw blurRad="57150" dist="19050" dir="5400000" algn="ctr" rotWithShape="0">
              <a:srgbClr val="000000">
                <a:alpha val="63000"/>
              </a:srgbClr>
            </a:outerShdw>
          </a:effectLst>
        </c:spPr>
        <c:marker>
          <c:symbol val="circle"/>
          <c:size val="4"/>
          <c:spPr>
            <a:solidFill>
              <a:srgbClr val="AF1FC7"/>
            </a:solidFill>
            <a:ln w="9525">
              <a:noFill/>
              <a:round/>
            </a:ln>
            <a:effectLst>
              <a:outerShdw blurRad="57150" dist="19050" dir="5400000" algn="ctr" rotWithShape="0">
                <a:srgbClr val="000000">
                  <a:alpha val="63000"/>
                </a:srgbClr>
              </a:outerShdw>
            </a:effectLst>
          </c:spPr>
        </c:marke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AF1FC7"/>
            </a:solidFill>
            <a:round/>
          </a:ln>
          <a:effectLst>
            <a:outerShdw blurRad="57150" dist="19050" dir="5400000" algn="ctr" rotWithShape="0">
              <a:srgbClr val="000000">
                <a:alpha val="63000"/>
              </a:srgbClr>
            </a:outerShdw>
          </a:effectLst>
        </c:spPr>
        <c:marker>
          <c:symbol val="circle"/>
          <c:size val="4"/>
          <c:spPr>
            <a:solidFill>
              <a:srgbClr val="AF1FC7"/>
            </a:solidFill>
            <a:ln w="9525">
              <a:noFill/>
              <a:round/>
            </a:ln>
            <a:effectLst>
              <a:outerShdw blurRad="57150" dist="19050" dir="5400000" algn="ctr" rotWithShape="0">
                <a:srgbClr val="000000">
                  <a:alpha val="63000"/>
                </a:srgbClr>
              </a:outerShdw>
            </a:effectLst>
          </c:spPr>
        </c:marke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AF1FC7"/>
            </a:solidFill>
            <a:round/>
          </a:ln>
          <a:effectLst>
            <a:outerShdw blurRad="57150" dist="19050" dir="5400000" algn="ctr" rotWithShape="0">
              <a:srgbClr val="000000">
                <a:alpha val="63000"/>
              </a:srgbClr>
            </a:outerShdw>
          </a:effectLst>
        </c:spPr>
        <c:marker>
          <c:symbol val="circle"/>
          <c:size val="4"/>
          <c:spPr>
            <a:solidFill>
              <a:srgbClr val="AF1FC7"/>
            </a:solidFill>
            <a:ln w="9525">
              <a:noFill/>
              <a:round/>
            </a:ln>
            <a:effectLst>
              <a:outerShdw blurRad="57150" dist="19050" dir="5400000" algn="ctr" rotWithShape="0">
                <a:srgbClr val="000000">
                  <a:alpha val="63000"/>
                </a:srgbClr>
              </a:outerShdw>
            </a:effectLst>
          </c:spPr>
        </c:marke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AF1FC7"/>
            </a:solidFill>
            <a:round/>
          </a:ln>
          <a:effectLst>
            <a:outerShdw blurRad="57150" dist="19050" dir="5400000" algn="ctr" rotWithShape="0">
              <a:srgbClr val="000000">
                <a:alpha val="63000"/>
              </a:srgbClr>
            </a:outerShdw>
          </a:effectLst>
        </c:spPr>
        <c:marker>
          <c:symbol val="circle"/>
          <c:size val="4"/>
          <c:spPr>
            <a:solidFill>
              <a:srgbClr val="AF1FC7"/>
            </a:solidFill>
            <a:ln w="9525">
              <a:noFill/>
              <a:round/>
            </a:ln>
            <a:effectLst>
              <a:outerShdw blurRad="57150" dist="19050" dir="5400000" algn="ctr" rotWithShape="0">
                <a:srgbClr val="000000">
                  <a:alpha val="63000"/>
                </a:srgbClr>
              </a:outerShdw>
            </a:effectLst>
          </c:spPr>
        </c:marke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6CAEA5"/>
            </a:solidFill>
            <a:round/>
          </a:ln>
          <a:effectLst>
            <a:outerShdw blurRad="57150" dist="19050" dir="5400000" algn="ctr" rotWithShape="0">
              <a:srgbClr val="000000">
                <a:alpha val="63000"/>
              </a:srgbClr>
            </a:outerShdw>
          </a:effectLst>
        </c:spPr>
        <c:marker>
          <c:symbol val="circle"/>
          <c:size val="4"/>
          <c:spPr>
            <a:solidFill>
              <a:srgbClr val="6CAEA5"/>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449BCC"/>
            </a:solidFill>
            <a:round/>
          </a:ln>
          <a:effectLst>
            <a:outerShdw blurRad="57150" dist="19050" dir="5400000" algn="ctr" rotWithShape="0">
              <a:srgbClr val="000000">
                <a:alpha val="63000"/>
              </a:srgbClr>
            </a:outerShdw>
          </a:effectLst>
        </c:spPr>
        <c:marker>
          <c:symbol val="circle"/>
          <c:size val="4"/>
          <c:spPr>
            <a:solidFill>
              <a:srgbClr val="449BCC"/>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AF1FC7"/>
            </a:solidFill>
            <a:round/>
          </a:ln>
          <a:effectLst>
            <a:outerShdw blurRad="57150" dist="19050" dir="5400000" algn="ctr" rotWithShape="0">
              <a:srgbClr val="000000">
                <a:alpha val="63000"/>
              </a:srgbClr>
            </a:outerShdw>
          </a:effectLst>
        </c:spPr>
        <c:marker>
          <c:symbol val="circle"/>
          <c:size val="4"/>
          <c:spPr>
            <a:solidFill>
              <a:srgbClr val="AF1FC7"/>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AF1FC7"/>
            </a:solidFill>
            <a:round/>
          </a:ln>
          <a:effectLst>
            <a:outerShdw blurRad="57150" dist="19050" dir="5400000" algn="ctr" rotWithShape="0">
              <a:srgbClr val="000000">
                <a:alpha val="63000"/>
              </a:srgbClr>
            </a:outerShdw>
          </a:effectLst>
        </c:spPr>
        <c:marker>
          <c:symbol val="circle"/>
          <c:size val="4"/>
          <c:spPr>
            <a:solidFill>
              <a:srgbClr val="AF1FC7"/>
            </a:solidFill>
            <a:ln w="9525">
              <a:noFill/>
              <a:round/>
            </a:ln>
            <a:effectLst>
              <a:outerShdw blurRad="57150" dist="19050" dir="5400000" algn="ctr" rotWithShape="0">
                <a:srgbClr val="000000">
                  <a:alpha val="63000"/>
                </a:srgbClr>
              </a:outerShdw>
            </a:effectLst>
          </c:spPr>
        </c:marker>
        <c:dLbl>
          <c:idx val="0"/>
          <c:layout>
            <c:manualLayout>
              <c:x val="-3.6779396559352875E-2"/>
              <c:y val="3.2359993190384365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AF1FC7"/>
            </a:solidFill>
            <a:round/>
          </a:ln>
          <a:effectLst>
            <a:outerShdw blurRad="57150" dist="19050" dir="5400000" algn="ctr" rotWithShape="0">
              <a:srgbClr val="000000">
                <a:alpha val="63000"/>
              </a:srgbClr>
            </a:outerShdw>
          </a:effectLst>
        </c:spPr>
        <c:marker>
          <c:symbol val="circle"/>
          <c:size val="4"/>
          <c:spPr>
            <a:solidFill>
              <a:srgbClr val="AF1FC7"/>
            </a:solidFill>
            <a:ln w="9525">
              <a:noFill/>
              <a:round/>
            </a:ln>
            <a:effectLst>
              <a:outerShdw blurRad="57150" dist="19050" dir="5400000" algn="ctr" rotWithShape="0">
                <a:srgbClr val="000000">
                  <a:alpha val="63000"/>
                </a:srgbClr>
              </a:outerShdw>
            </a:effectLst>
          </c:spPr>
        </c:marker>
        <c:dLbl>
          <c:idx val="0"/>
          <c:layout>
            <c:manualLayout>
              <c:x val="4.9739537324830795E-2"/>
              <c:y val="-2.2218006540072138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AF1FC7"/>
            </a:solidFill>
            <a:round/>
          </a:ln>
          <a:effectLst>
            <a:outerShdw blurRad="57150" dist="19050" dir="5400000" algn="ctr" rotWithShape="0">
              <a:srgbClr val="000000">
                <a:alpha val="63000"/>
              </a:srgbClr>
            </a:outerShdw>
          </a:effectLst>
        </c:spPr>
        <c:marker>
          <c:symbol val="circle"/>
          <c:size val="4"/>
          <c:spPr>
            <a:solidFill>
              <a:srgbClr val="AF1FC7"/>
            </a:solidFill>
            <a:ln w="9525">
              <a:noFill/>
              <a:round/>
            </a:ln>
            <a:effectLst>
              <a:outerShdw blurRad="57150" dist="19050" dir="5400000" algn="ctr" rotWithShape="0">
                <a:srgbClr val="000000">
                  <a:alpha val="63000"/>
                </a:srgbClr>
              </a:outerShdw>
            </a:effectLst>
          </c:spPr>
        </c:marke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AF1FC7"/>
            </a:solidFill>
            <a:round/>
          </a:ln>
          <a:effectLst>
            <a:outerShdw blurRad="57150" dist="19050" dir="5400000" algn="ctr" rotWithShape="0">
              <a:srgbClr val="000000">
                <a:alpha val="63000"/>
              </a:srgbClr>
            </a:outerShdw>
          </a:effectLst>
        </c:spPr>
        <c:marker>
          <c:symbol val="circle"/>
          <c:size val="4"/>
          <c:spPr>
            <a:solidFill>
              <a:srgbClr val="AF1FC7"/>
            </a:solidFill>
            <a:ln w="9525">
              <a:noFill/>
              <a:round/>
            </a:ln>
            <a:effectLst>
              <a:outerShdw blurRad="57150" dist="19050" dir="5400000" algn="ctr" rotWithShape="0">
                <a:srgbClr val="000000">
                  <a:alpha val="63000"/>
                </a:srgbClr>
              </a:outerShdw>
            </a:effectLst>
          </c:spPr>
        </c:marke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AF1FC7"/>
            </a:solidFill>
            <a:round/>
          </a:ln>
          <a:effectLst>
            <a:outerShdw blurRad="57150" dist="19050" dir="5400000" algn="ctr" rotWithShape="0">
              <a:srgbClr val="000000">
                <a:alpha val="63000"/>
              </a:srgbClr>
            </a:outerShdw>
          </a:effectLst>
        </c:spPr>
        <c:marker>
          <c:symbol val="circle"/>
          <c:size val="4"/>
          <c:spPr>
            <a:solidFill>
              <a:srgbClr val="AF1FC7"/>
            </a:solidFill>
            <a:ln w="9525">
              <a:noFill/>
              <a:round/>
            </a:ln>
            <a:effectLst>
              <a:outerShdw blurRad="57150" dist="19050" dir="5400000" algn="ctr" rotWithShape="0">
                <a:srgbClr val="000000">
                  <a:alpha val="63000"/>
                </a:srgbClr>
              </a:outerShdw>
            </a:effectLst>
          </c:spPr>
        </c:marke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AF1FC7"/>
            </a:solidFill>
            <a:round/>
          </a:ln>
          <a:effectLst>
            <a:outerShdw blurRad="57150" dist="19050" dir="5400000" algn="ctr" rotWithShape="0">
              <a:srgbClr val="000000">
                <a:alpha val="63000"/>
              </a:srgbClr>
            </a:outerShdw>
          </a:effectLst>
        </c:spPr>
        <c:marker>
          <c:symbol val="circle"/>
          <c:size val="4"/>
          <c:spPr>
            <a:solidFill>
              <a:srgbClr val="AF1FC7"/>
            </a:solidFill>
            <a:ln w="9525">
              <a:noFill/>
              <a:round/>
            </a:ln>
            <a:effectLst>
              <a:outerShdw blurRad="57150" dist="19050" dir="5400000" algn="ctr" rotWithShape="0">
                <a:srgbClr val="000000">
                  <a:alpha val="63000"/>
                </a:srgbClr>
              </a:outerShdw>
            </a:effectLst>
          </c:spPr>
        </c:marke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AF1FC7"/>
            </a:solidFill>
            <a:round/>
          </a:ln>
          <a:effectLst>
            <a:outerShdw blurRad="57150" dist="19050" dir="5400000" algn="ctr" rotWithShape="0">
              <a:srgbClr val="000000">
                <a:alpha val="63000"/>
              </a:srgbClr>
            </a:outerShdw>
          </a:effectLst>
        </c:spPr>
        <c:marker>
          <c:symbol val="circle"/>
          <c:size val="4"/>
          <c:spPr>
            <a:solidFill>
              <a:srgbClr val="AF1FC7"/>
            </a:solidFill>
            <a:ln w="9525">
              <a:noFill/>
              <a:round/>
            </a:ln>
            <a:effectLst>
              <a:outerShdw blurRad="57150" dist="19050" dir="5400000" algn="ctr" rotWithShape="0">
                <a:srgbClr val="000000">
                  <a:alpha val="63000"/>
                </a:srgbClr>
              </a:outerShdw>
            </a:effectLst>
          </c:spPr>
        </c:marke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6CAEA5"/>
            </a:solidFill>
            <a:round/>
          </a:ln>
          <a:effectLst>
            <a:outerShdw blurRad="57150" dist="19050" dir="5400000" algn="ctr" rotWithShape="0">
              <a:srgbClr val="000000">
                <a:alpha val="63000"/>
              </a:srgbClr>
            </a:outerShdw>
          </a:effectLst>
        </c:spPr>
        <c:marker>
          <c:symbol val="circle"/>
          <c:size val="4"/>
          <c:spPr>
            <a:solidFill>
              <a:srgbClr val="6CAEA5"/>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449BCC"/>
            </a:solidFill>
            <a:round/>
          </a:ln>
          <a:effectLst>
            <a:outerShdw blurRad="57150" dist="19050" dir="5400000" algn="ctr" rotWithShape="0">
              <a:srgbClr val="000000">
                <a:alpha val="63000"/>
              </a:srgbClr>
            </a:outerShdw>
          </a:effectLst>
        </c:spPr>
        <c:marker>
          <c:symbol val="circle"/>
          <c:size val="4"/>
          <c:spPr>
            <a:solidFill>
              <a:srgbClr val="449BCC"/>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AF1FC7"/>
            </a:solidFill>
            <a:round/>
          </a:ln>
          <a:effectLst>
            <a:outerShdw blurRad="57150" dist="19050" dir="5400000" algn="ctr" rotWithShape="0">
              <a:srgbClr val="000000">
                <a:alpha val="63000"/>
              </a:srgbClr>
            </a:outerShdw>
          </a:effectLst>
        </c:spPr>
        <c:marker>
          <c:symbol val="circle"/>
          <c:size val="4"/>
          <c:spPr>
            <a:solidFill>
              <a:srgbClr val="AF1FC7"/>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AF1FC7"/>
            </a:solidFill>
            <a:round/>
          </a:ln>
          <a:effectLst>
            <a:outerShdw blurRad="57150" dist="19050" dir="5400000" algn="ctr" rotWithShape="0">
              <a:srgbClr val="000000">
                <a:alpha val="63000"/>
              </a:srgbClr>
            </a:outerShdw>
          </a:effectLst>
        </c:spPr>
        <c:marker>
          <c:symbol val="circle"/>
          <c:size val="4"/>
          <c:spPr>
            <a:solidFill>
              <a:srgbClr val="AF1FC7"/>
            </a:solidFill>
            <a:ln w="9525">
              <a:noFill/>
              <a:round/>
            </a:ln>
            <a:effectLst>
              <a:outerShdw blurRad="57150" dist="19050" dir="5400000" algn="ctr" rotWithShape="0">
                <a:srgbClr val="000000">
                  <a:alpha val="63000"/>
                </a:srgbClr>
              </a:outerShdw>
            </a:effectLst>
          </c:spPr>
        </c:marker>
        <c:dLbl>
          <c:idx val="0"/>
          <c:layout>
            <c:manualLayout>
              <c:x val="-3.6779396559352875E-2"/>
              <c:y val="3.2359993190384365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AF1FC7"/>
            </a:solidFill>
            <a:round/>
          </a:ln>
          <a:effectLst>
            <a:outerShdw blurRad="57150" dist="19050" dir="5400000" algn="ctr" rotWithShape="0">
              <a:srgbClr val="000000">
                <a:alpha val="63000"/>
              </a:srgbClr>
            </a:outerShdw>
          </a:effectLst>
        </c:spPr>
        <c:marker>
          <c:symbol val="circle"/>
          <c:size val="4"/>
          <c:spPr>
            <a:solidFill>
              <a:srgbClr val="AF1FC7"/>
            </a:solidFill>
            <a:ln w="9525">
              <a:noFill/>
              <a:round/>
            </a:ln>
            <a:effectLst>
              <a:outerShdw blurRad="57150" dist="19050" dir="5400000" algn="ctr" rotWithShape="0">
                <a:srgbClr val="000000">
                  <a:alpha val="63000"/>
                </a:srgbClr>
              </a:outerShdw>
            </a:effectLst>
          </c:spPr>
        </c:marker>
        <c:dLbl>
          <c:idx val="0"/>
          <c:layout>
            <c:manualLayout>
              <c:x val="4.9739537324830795E-2"/>
              <c:y val="-2.2218006540072138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AF1FC7"/>
            </a:solidFill>
            <a:round/>
          </a:ln>
          <a:effectLst>
            <a:outerShdw blurRad="57150" dist="19050" dir="5400000" algn="ctr" rotWithShape="0">
              <a:srgbClr val="000000">
                <a:alpha val="63000"/>
              </a:srgbClr>
            </a:outerShdw>
          </a:effectLst>
        </c:spPr>
        <c:marker>
          <c:symbol val="circle"/>
          <c:size val="4"/>
          <c:spPr>
            <a:solidFill>
              <a:srgbClr val="AF1FC7"/>
            </a:solidFill>
            <a:ln w="9525">
              <a:noFill/>
              <a:round/>
            </a:ln>
            <a:effectLst>
              <a:outerShdw blurRad="57150" dist="19050" dir="5400000" algn="ctr" rotWithShape="0">
                <a:srgbClr val="000000">
                  <a:alpha val="63000"/>
                </a:srgbClr>
              </a:outerShdw>
            </a:effectLst>
          </c:spPr>
        </c:marke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AF1FC7"/>
            </a:solidFill>
            <a:round/>
          </a:ln>
          <a:effectLst>
            <a:outerShdw blurRad="57150" dist="19050" dir="5400000" algn="ctr" rotWithShape="0">
              <a:srgbClr val="000000">
                <a:alpha val="63000"/>
              </a:srgbClr>
            </a:outerShdw>
          </a:effectLst>
        </c:spPr>
        <c:marker>
          <c:symbol val="circle"/>
          <c:size val="4"/>
          <c:spPr>
            <a:solidFill>
              <a:srgbClr val="AF1FC7"/>
            </a:solidFill>
            <a:ln w="9525">
              <a:noFill/>
              <a:round/>
            </a:ln>
            <a:effectLst>
              <a:outerShdw blurRad="57150" dist="19050" dir="5400000" algn="ctr" rotWithShape="0">
                <a:srgbClr val="000000">
                  <a:alpha val="63000"/>
                </a:srgbClr>
              </a:outerShdw>
            </a:effectLst>
          </c:spPr>
        </c:marke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AF1FC7"/>
            </a:solidFill>
            <a:round/>
          </a:ln>
          <a:effectLst>
            <a:outerShdw blurRad="57150" dist="19050" dir="5400000" algn="ctr" rotWithShape="0">
              <a:srgbClr val="000000">
                <a:alpha val="63000"/>
              </a:srgbClr>
            </a:outerShdw>
          </a:effectLst>
        </c:spPr>
        <c:marker>
          <c:symbol val="circle"/>
          <c:size val="4"/>
          <c:spPr>
            <a:solidFill>
              <a:srgbClr val="AF1FC7"/>
            </a:solidFill>
            <a:ln w="9525">
              <a:noFill/>
              <a:round/>
            </a:ln>
            <a:effectLst>
              <a:outerShdw blurRad="57150" dist="19050" dir="5400000" algn="ctr" rotWithShape="0">
                <a:srgbClr val="000000">
                  <a:alpha val="63000"/>
                </a:srgbClr>
              </a:outerShdw>
            </a:effectLst>
          </c:spPr>
        </c:marke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AF1FC7"/>
            </a:solidFill>
            <a:round/>
          </a:ln>
          <a:effectLst>
            <a:outerShdw blurRad="57150" dist="19050" dir="5400000" algn="ctr" rotWithShape="0">
              <a:srgbClr val="000000">
                <a:alpha val="63000"/>
              </a:srgbClr>
            </a:outerShdw>
          </a:effectLst>
        </c:spPr>
        <c:marker>
          <c:symbol val="circle"/>
          <c:size val="4"/>
          <c:spPr>
            <a:solidFill>
              <a:srgbClr val="AF1FC7"/>
            </a:solidFill>
            <a:ln w="9525">
              <a:noFill/>
              <a:round/>
            </a:ln>
            <a:effectLst>
              <a:outerShdw blurRad="57150" dist="19050" dir="5400000" algn="ctr" rotWithShape="0">
                <a:srgbClr val="000000">
                  <a:alpha val="63000"/>
                </a:srgbClr>
              </a:outerShdw>
            </a:effectLst>
          </c:spPr>
        </c:marke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AF1FC7"/>
            </a:solidFill>
            <a:round/>
          </a:ln>
          <a:effectLst>
            <a:outerShdw blurRad="57150" dist="19050" dir="5400000" algn="ctr" rotWithShape="0">
              <a:srgbClr val="000000">
                <a:alpha val="63000"/>
              </a:srgbClr>
            </a:outerShdw>
          </a:effectLst>
        </c:spPr>
        <c:marker>
          <c:symbol val="circle"/>
          <c:size val="4"/>
          <c:spPr>
            <a:solidFill>
              <a:srgbClr val="AF1FC7"/>
            </a:solidFill>
            <a:ln w="9525">
              <a:noFill/>
              <a:round/>
            </a:ln>
            <a:effectLst>
              <a:outerShdw blurRad="57150" dist="19050" dir="5400000" algn="ctr" rotWithShape="0">
                <a:srgbClr val="000000">
                  <a:alpha val="63000"/>
                </a:srgbClr>
              </a:outerShdw>
            </a:effectLst>
          </c:spPr>
        </c:marke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6CAEA5"/>
            </a:solidFill>
            <a:round/>
          </a:ln>
          <a:effectLst>
            <a:outerShdw blurRad="57150" dist="19050" dir="5400000" algn="ctr" rotWithShape="0">
              <a:srgbClr val="000000">
                <a:alpha val="63000"/>
              </a:srgbClr>
            </a:outerShdw>
          </a:effectLst>
        </c:spPr>
        <c:marker>
          <c:symbol val="circle"/>
          <c:size val="4"/>
          <c:spPr>
            <a:solidFill>
              <a:srgbClr val="6CAEA5"/>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9"/>
        <c:spPr>
          <a:ln w="19050" cap="rnd">
            <a:solidFill>
              <a:srgbClr val="449BCC"/>
            </a:solidFill>
            <a:round/>
          </a:ln>
          <a:effectLst>
            <a:outerShdw blurRad="57150" dist="19050" dir="5400000" algn="ctr" rotWithShape="0">
              <a:srgbClr val="000000">
                <a:alpha val="63000"/>
              </a:srgbClr>
            </a:outerShdw>
          </a:effectLst>
        </c:spPr>
        <c:marker>
          <c:symbol val="circle"/>
          <c:size val="4"/>
          <c:spPr>
            <a:solidFill>
              <a:srgbClr val="449BCC"/>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0"/>
        <c:spPr>
          <a:ln w="19050" cap="rnd">
            <a:solidFill>
              <a:srgbClr val="AF1FC7"/>
            </a:solidFill>
            <a:round/>
          </a:ln>
          <a:effectLst>
            <a:outerShdw blurRad="57150" dist="19050" dir="5400000" algn="ctr" rotWithShape="0">
              <a:srgbClr val="000000">
                <a:alpha val="63000"/>
              </a:srgbClr>
            </a:outerShdw>
          </a:effectLst>
        </c:spPr>
        <c:marker>
          <c:symbol val="circle"/>
          <c:size val="4"/>
          <c:spPr>
            <a:solidFill>
              <a:srgbClr val="AF1FC7"/>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AF1FC7"/>
            </a:solidFill>
            <a:round/>
          </a:ln>
          <a:effectLst>
            <a:outerShdw blurRad="57150" dist="19050" dir="5400000" algn="ctr" rotWithShape="0">
              <a:srgbClr val="000000">
                <a:alpha val="63000"/>
              </a:srgbClr>
            </a:outerShdw>
          </a:effectLst>
        </c:spPr>
        <c:marker>
          <c:symbol val="circle"/>
          <c:size val="4"/>
          <c:spPr>
            <a:solidFill>
              <a:srgbClr val="AF1FC7"/>
            </a:solidFill>
            <a:ln w="9525">
              <a:noFill/>
              <a:round/>
            </a:ln>
            <a:effectLst>
              <a:outerShdw blurRad="57150" dist="19050" dir="5400000" algn="ctr" rotWithShape="0">
                <a:srgbClr val="000000">
                  <a:alpha val="63000"/>
                </a:srgbClr>
              </a:outerShdw>
            </a:effectLst>
          </c:spPr>
        </c:marker>
        <c:dLbl>
          <c:idx val="0"/>
          <c:layout>
            <c:manualLayout>
              <c:x val="-3.6779396559352875E-2"/>
              <c:y val="3.2359993190384365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AF1FC7"/>
            </a:solidFill>
            <a:round/>
          </a:ln>
          <a:effectLst>
            <a:outerShdw blurRad="57150" dist="19050" dir="5400000" algn="ctr" rotWithShape="0">
              <a:srgbClr val="000000">
                <a:alpha val="63000"/>
              </a:srgbClr>
            </a:outerShdw>
          </a:effectLst>
        </c:spPr>
        <c:marker>
          <c:symbol val="circle"/>
          <c:size val="4"/>
          <c:spPr>
            <a:solidFill>
              <a:srgbClr val="AF1FC7"/>
            </a:solidFill>
            <a:ln w="9525">
              <a:noFill/>
              <a:round/>
            </a:ln>
            <a:effectLst>
              <a:outerShdw blurRad="57150" dist="19050" dir="5400000" algn="ctr" rotWithShape="0">
                <a:srgbClr val="000000">
                  <a:alpha val="63000"/>
                </a:srgbClr>
              </a:outerShdw>
            </a:effectLst>
          </c:spPr>
        </c:marker>
        <c:dLbl>
          <c:idx val="0"/>
          <c:layout>
            <c:manualLayout>
              <c:x val="4.9739537324830795E-2"/>
              <c:y val="-2.2218006540072138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AF1FC7"/>
            </a:solidFill>
            <a:round/>
          </a:ln>
          <a:effectLst>
            <a:outerShdw blurRad="57150" dist="19050" dir="5400000" algn="ctr" rotWithShape="0">
              <a:srgbClr val="000000">
                <a:alpha val="63000"/>
              </a:srgbClr>
            </a:outerShdw>
          </a:effectLst>
        </c:spPr>
        <c:marker>
          <c:symbol val="circle"/>
          <c:size val="4"/>
          <c:spPr>
            <a:solidFill>
              <a:srgbClr val="AF1FC7"/>
            </a:solidFill>
            <a:ln w="9525">
              <a:noFill/>
              <a:round/>
            </a:ln>
            <a:effectLst>
              <a:outerShdw blurRad="57150" dist="19050" dir="5400000" algn="ctr" rotWithShape="0">
                <a:srgbClr val="000000">
                  <a:alpha val="63000"/>
                </a:srgbClr>
              </a:outerShdw>
            </a:effectLst>
          </c:spPr>
        </c:marker>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AF1FC7"/>
            </a:solidFill>
            <a:round/>
          </a:ln>
          <a:effectLst>
            <a:outerShdw blurRad="57150" dist="19050" dir="5400000" algn="ctr" rotWithShape="0">
              <a:srgbClr val="000000">
                <a:alpha val="63000"/>
              </a:srgbClr>
            </a:outerShdw>
          </a:effectLst>
        </c:spPr>
        <c:marker>
          <c:symbol val="circle"/>
          <c:size val="4"/>
          <c:spPr>
            <a:solidFill>
              <a:srgbClr val="AF1FC7"/>
            </a:solidFill>
            <a:ln w="9525">
              <a:noFill/>
              <a:round/>
            </a:ln>
            <a:effectLst>
              <a:outerShdw blurRad="57150" dist="19050" dir="5400000" algn="ctr" rotWithShape="0">
                <a:srgbClr val="000000">
                  <a:alpha val="63000"/>
                </a:srgbClr>
              </a:outerShdw>
            </a:effectLst>
          </c:spPr>
        </c:marker>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AF1FC7"/>
            </a:solidFill>
            <a:round/>
          </a:ln>
          <a:effectLst>
            <a:outerShdw blurRad="57150" dist="19050" dir="5400000" algn="ctr" rotWithShape="0">
              <a:srgbClr val="000000">
                <a:alpha val="63000"/>
              </a:srgbClr>
            </a:outerShdw>
          </a:effectLst>
        </c:spPr>
        <c:marker>
          <c:symbol val="circle"/>
          <c:size val="4"/>
          <c:spPr>
            <a:solidFill>
              <a:srgbClr val="AF1FC7"/>
            </a:solidFill>
            <a:ln w="9525">
              <a:noFill/>
              <a:round/>
            </a:ln>
            <a:effectLst>
              <a:outerShdw blurRad="57150" dist="19050" dir="5400000" algn="ctr" rotWithShape="0">
                <a:srgbClr val="000000">
                  <a:alpha val="63000"/>
                </a:srgbClr>
              </a:outerShdw>
            </a:effectLst>
          </c:spPr>
        </c:marker>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AF1FC7"/>
            </a:solidFill>
            <a:round/>
          </a:ln>
          <a:effectLst>
            <a:outerShdw blurRad="57150" dist="19050" dir="5400000" algn="ctr" rotWithShape="0">
              <a:srgbClr val="000000">
                <a:alpha val="63000"/>
              </a:srgbClr>
            </a:outerShdw>
          </a:effectLst>
        </c:spPr>
        <c:marker>
          <c:symbol val="circle"/>
          <c:size val="4"/>
          <c:spPr>
            <a:solidFill>
              <a:srgbClr val="AF1FC7"/>
            </a:solidFill>
            <a:ln w="9525">
              <a:noFill/>
              <a:round/>
            </a:ln>
            <a:effectLst>
              <a:outerShdw blurRad="57150" dist="19050" dir="5400000" algn="ctr" rotWithShape="0">
                <a:srgbClr val="000000">
                  <a:alpha val="63000"/>
                </a:srgbClr>
              </a:outerShdw>
            </a:effectLst>
          </c:spPr>
        </c:marker>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AF1FC7"/>
            </a:solidFill>
            <a:round/>
          </a:ln>
          <a:effectLst>
            <a:outerShdw blurRad="57150" dist="19050" dir="5400000" algn="ctr" rotWithShape="0">
              <a:srgbClr val="000000">
                <a:alpha val="63000"/>
              </a:srgbClr>
            </a:outerShdw>
          </a:effectLst>
        </c:spPr>
        <c:marker>
          <c:symbol val="circle"/>
          <c:size val="4"/>
          <c:spPr>
            <a:solidFill>
              <a:srgbClr val="AF1FC7"/>
            </a:solidFill>
            <a:ln w="9525">
              <a:noFill/>
              <a:round/>
            </a:ln>
            <a:effectLst>
              <a:outerShdw blurRad="57150" dist="19050" dir="5400000" algn="ctr" rotWithShape="0">
                <a:srgbClr val="000000">
                  <a:alpha val="63000"/>
                </a:srgbClr>
              </a:outerShdw>
            </a:effectLst>
          </c:spPr>
        </c:marker>
      </c:pivotFmt>
      <c:pivotFmt>
        <c:idx val="58"/>
        <c:spPr>
          <a:ln w="19050" cap="rnd">
            <a:solidFill>
              <a:srgbClr val="6CAEA5"/>
            </a:solidFill>
            <a:round/>
          </a:ln>
          <a:effectLst>
            <a:outerShdw blurRad="57150" dist="19050" dir="5400000" algn="ctr" rotWithShape="0">
              <a:srgbClr val="000000">
                <a:alpha val="63000"/>
              </a:srgbClr>
            </a:outerShdw>
          </a:effectLst>
        </c:spPr>
        <c:marker>
          <c:symbol val="circle"/>
          <c:size val="4"/>
          <c:spPr>
            <a:solidFill>
              <a:srgbClr val="6CAEA5"/>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AF1FC7"/>
            </a:solidFill>
            <a:round/>
          </a:ln>
          <a:effectLst>
            <a:outerShdw blurRad="57150" dist="19050" dir="5400000" algn="ctr" rotWithShape="0">
              <a:srgbClr val="000000">
                <a:alpha val="63000"/>
              </a:srgbClr>
            </a:outerShdw>
          </a:effectLst>
        </c:spPr>
        <c:marker>
          <c:symbol val="circle"/>
          <c:size val="4"/>
          <c:spPr>
            <a:solidFill>
              <a:srgbClr val="AF1FC7"/>
            </a:solidFill>
            <a:ln w="9525">
              <a:noFill/>
              <a:round/>
            </a:ln>
            <a:effectLst>
              <a:outerShdw blurRad="57150" dist="19050" dir="5400000" algn="ctr" rotWithShape="0">
                <a:srgbClr val="000000">
                  <a:alpha val="63000"/>
                </a:srgbClr>
              </a:outerShdw>
            </a:effectLst>
          </c:spPr>
        </c:marker>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AF1FC7"/>
            </a:solidFill>
            <a:round/>
          </a:ln>
          <a:effectLst>
            <a:outerShdw blurRad="57150" dist="19050" dir="5400000" algn="ctr" rotWithShape="0">
              <a:srgbClr val="000000">
                <a:alpha val="63000"/>
              </a:srgbClr>
            </a:outerShdw>
          </a:effectLst>
        </c:spPr>
        <c:marker>
          <c:symbol val="circle"/>
          <c:size val="4"/>
          <c:spPr>
            <a:solidFill>
              <a:srgbClr val="AF1FC7"/>
            </a:solidFill>
            <a:ln w="9525">
              <a:noFill/>
              <a:round/>
            </a:ln>
            <a:effectLst>
              <a:outerShdw blurRad="57150" dist="19050" dir="5400000" algn="ctr" rotWithShape="0">
                <a:srgbClr val="000000">
                  <a:alpha val="63000"/>
                </a:srgbClr>
              </a:outerShdw>
            </a:effectLst>
          </c:spPr>
        </c:marker>
        <c:dLbl>
          <c:idx val="0"/>
          <c:layout>
            <c:manualLayout>
              <c:x val="-3.6779396559352875E-2"/>
              <c:y val="3.2359993190384365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1"/>
        <c:spPr>
          <a:ln w="19050" cap="rnd">
            <a:solidFill>
              <a:srgbClr val="AF1FC7"/>
            </a:solidFill>
            <a:round/>
          </a:ln>
          <a:effectLst>
            <a:outerShdw blurRad="57150" dist="19050" dir="5400000" algn="ctr" rotWithShape="0">
              <a:srgbClr val="000000">
                <a:alpha val="63000"/>
              </a:srgbClr>
            </a:outerShdw>
          </a:effectLst>
        </c:spPr>
        <c:marker>
          <c:symbol val="circle"/>
          <c:size val="4"/>
          <c:spPr>
            <a:solidFill>
              <a:srgbClr val="AF1FC7"/>
            </a:solidFill>
            <a:ln w="9525">
              <a:noFill/>
              <a:round/>
            </a:ln>
            <a:effectLst>
              <a:outerShdw blurRad="57150" dist="19050" dir="5400000" algn="ctr" rotWithShape="0">
                <a:srgbClr val="000000">
                  <a:alpha val="63000"/>
                </a:srgbClr>
              </a:outerShdw>
            </a:effectLst>
          </c:spPr>
        </c:marker>
      </c:pivotFmt>
      <c:pivotFmt>
        <c:idx val="62"/>
        <c:spPr>
          <a:ln w="19050" cap="rnd">
            <a:solidFill>
              <a:srgbClr val="AF1FC7"/>
            </a:solidFill>
            <a:round/>
          </a:ln>
          <a:effectLst>
            <a:outerShdw blurRad="57150" dist="19050" dir="5400000" algn="ctr" rotWithShape="0">
              <a:srgbClr val="000000">
                <a:alpha val="63000"/>
              </a:srgbClr>
            </a:outerShdw>
          </a:effectLst>
        </c:spPr>
        <c:marker>
          <c:symbol val="circle"/>
          <c:size val="4"/>
          <c:spPr>
            <a:solidFill>
              <a:srgbClr val="AF1FC7"/>
            </a:solidFill>
            <a:ln w="9525">
              <a:noFill/>
              <a:round/>
            </a:ln>
            <a:effectLst>
              <a:outerShdw blurRad="57150" dist="19050" dir="5400000" algn="ctr" rotWithShape="0">
                <a:srgbClr val="000000">
                  <a:alpha val="63000"/>
                </a:srgbClr>
              </a:outerShdw>
            </a:effectLst>
          </c:spPr>
        </c:marker>
      </c:pivotFmt>
      <c:pivotFmt>
        <c:idx val="63"/>
        <c:spPr>
          <a:ln w="19050" cap="rnd">
            <a:solidFill>
              <a:srgbClr val="AF1FC7"/>
            </a:solidFill>
            <a:round/>
          </a:ln>
          <a:effectLst>
            <a:outerShdw blurRad="57150" dist="19050" dir="5400000" algn="ctr" rotWithShape="0">
              <a:srgbClr val="000000">
                <a:alpha val="63000"/>
              </a:srgbClr>
            </a:outerShdw>
          </a:effectLst>
        </c:spPr>
        <c:marker>
          <c:symbol val="circle"/>
          <c:size val="4"/>
          <c:spPr>
            <a:solidFill>
              <a:srgbClr val="AF1FC7"/>
            </a:solidFill>
            <a:ln w="9525">
              <a:noFill/>
              <a:round/>
            </a:ln>
            <a:effectLst>
              <a:outerShdw blurRad="57150" dist="19050" dir="5400000" algn="ctr" rotWithShape="0">
                <a:srgbClr val="000000">
                  <a:alpha val="63000"/>
                </a:srgbClr>
              </a:outerShdw>
            </a:effectLst>
          </c:spPr>
        </c:marker>
      </c:pivotFmt>
      <c:pivotFmt>
        <c:idx val="64"/>
        <c:spPr>
          <a:ln w="19050" cap="rnd">
            <a:solidFill>
              <a:srgbClr val="AF1FC7"/>
            </a:solidFill>
            <a:round/>
          </a:ln>
          <a:effectLst>
            <a:outerShdw blurRad="57150" dist="19050" dir="5400000" algn="ctr" rotWithShape="0">
              <a:srgbClr val="000000">
                <a:alpha val="63000"/>
              </a:srgbClr>
            </a:outerShdw>
          </a:effectLst>
        </c:spPr>
        <c:marker>
          <c:symbol val="circle"/>
          <c:size val="4"/>
          <c:spPr>
            <a:solidFill>
              <a:srgbClr val="AF1FC7"/>
            </a:solidFill>
            <a:ln w="9525">
              <a:noFill/>
              <a:round/>
            </a:ln>
            <a:effectLst>
              <a:outerShdw blurRad="57150" dist="19050" dir="5400000" algn="ctr" rotWithShape="0">
                <a:srgbClr val="000000">
                  <a:alpha val="63000"/>
                </a:srgbClr>
              </a:outerShdw>
            </a:effectLst>
          </c:spPr>
        </c:marker>
      </c:pivotFmt>
      <c:pivotFmt>
        <c:idx val="65"/>
        <c:spPr>
          <a:ln w="19050" cap="rnd">
            <a:solidFill>
              <a:srgbClr val="AF1FC7"/>
            </a:solidFill>
            <a:round/>
          </a:ln>
          <a:effectLst>
            <a:outerShdw blurRad="57150" dist="19050" dir="5400000" algn="ctr" rotWithShape="0">
              <a:srgbClr val="000000">
                <a:alpha val="63000"/>
              </a:srgbClr>
            </a:outerShdw>
          </a:effectLst>
        </c:spPr>
        <c:marker>
          <c:symbol val="circle"/>
          <c:size val="4"/>
          <c:spPr>
            <a:solidFill>
              <a:srgbClr val="AF1FC7"/>
            </a:solidFill>
            <a:ln w="9525">
              <a:noFill/>
              <a:round/>
            </a:ln>
            <a:effectLst>
              <a:outerShdw blurRad="57150" dist="19050" dir="5400000" algn="ctr" rotWithShape="0">
                <a:srgbClr val="000000">
                  <a:alpha val="63000"/>
                </a:srgbClr>
              </a:outerShdw>
            </a:effectLst>
          </c:spPr>
        </c:marker>
      </c:pivotFmt>
      <c:pivotFmt>
        <c:idx val="66"/>
        <c:spPr>
          <a:ln w="19050" cap="rnd">
            <a:solidFill>
              <a:srgbClr val="AF1FC7"/>
            </a:solidFill>
            <a:round/>
          </a:ln>
          <a:effectLst>
            <a:outerShdw blurRad="57150" dist="19050" dir="5400000" algn="ctr" rotWithShape="0">
              <a:srgbClr val="000000">
                <a:alpha val="63000"/>
              </a:srgbClr>
            </a:outerShdw>
          </a:effectLst>
        </c:spPr>
        <c:marker>
          <c:symbol val="circle"/>
          <c:size val="4"/>
          <c:spPr>
            <a:solidFill>
              <a:srgbClr val="AF1FC7"/>
            </a:solidFill>
            <a:ln w="9525">
              <a:noFill/>
              <a:round/>
            </a:ln>
            <a:effectLst>
              <a:outerShdw blurRad="57150" dist="19050" dir="5400000" algn="ctr" rotWithShape="0">
                <a:srgbClr val="000000">
                  <a:alpha val="63000"/>
                </a:srgbClr>
              </a:outerShdw>
            </a:effectLst>
          </c:spPr>
        </c:marker>
      </c:pivotFmt>
      <c:pivotFmt>
        <c:idx val="67"/>
        <c:spPr>
          <a:ln w="19050" cap="rnd">
            <a:solidFill>
              <a:srgbClr val="AF1FC7"/>
            </a:solidFill>
            <a:round/>
          </a:ln>
          <a:effectLst>
            <a:outerShdw blurRad="57150" dist="19050" dir="5400000" algn="ctr" rotWithShape="0">
              <a:srgbClr val="000000">
                <a:alpha val="63000"/>
              </a:srgbClr>
            </a:outerShdw>
          </a:effectLst>
        </c:spPr>
        <c:marker>
          <c:symbol val="circle"/>
          <c:size val="4"/>
          <c:spPr>
            <a:solidFill>
              <a:srgbClr val="AF1FC7"/>
            </a:solidFill>
            <a:ln w="9525">
              <a:noFill/>
              <a:round/>
            </a:ln>
            <a:effectLst>
              <a:outerShdw blurRad="57150" dist="19050" dir="5400000" algn="ctr" rotWithShape="0">
                <a:srgbClr val="000000">
                  <a:alpha val="63000"/>
                </a:srgbClr>
              </a:outerShdw>
            </a:effectLst>
          </c:spPr>
        </c:marker>
      </c:pivotFmt>
      <c:pivotFmt>
        <c:idx val="68"/>
        <c:spPr>
          <a:ln w="19050" cap="rnd">
            <a:solidFill>
              <a:srgbClr val="AF1FC7"/>
            </a:solidFill>
            <a:round/>
          </a:ln>
          <a:effectLst>
            <a:outerShdw blurRad="57150" dist="19050" dir="5400000" algn="ctr" rotWithShape="0">
              <a:srgbClr val="000000">
                <a:alpha val="63000"/>
              </a:srgbClr>
            </a:outerShdw>
          </a:effectLst>
        </c:spPr>
        <c:marker>
          <c:symbol val="circle"/>
          <c:size val="4"/>
          <c:spPr>
            <a:solidFill>
              <a:srgbClr val="AF1FC7"/>
            </a:solidFill>
            <a:ln w="9525">
              <a:noFill/>
              <a:round/>
            </a:ln>
            <a:effectLst>
              <a:outerShdw blurRad="57150" dist="19050" dir="5400000" algn="ctr" rotWithShape="0">
                <a:srgbClr val="000000">
                  <a:alpha val="63000"/>
                </a:srgbClr>
              </a:outerShdw>
            </a:effectLst>
          </c:spPr>
        </c:marker>
      </c:pivotFmt>
      <c:pivotFmt>
        <c:idx val="69"/>
        <c:spPr>
          <a:ln w="19050" cap="rnd">
            <a:solidFill>
              <a:srgbClr val="AF1FC7"/>
            </a:solidFill>
            <a:round/>
          </a:ln>
          <a:effectLst>
            <a:outerShdw blurRad="57150" dist="19050" dir="5400000" algn="ctr" rotWithShape="0">
              <a:srgbClr val="000000">
                <a:alpha val="63000"/>
              </a:srgbClr>
            </a:outerShdw>
          </a:effectLst>
        </c:spPr>
        <c:marker>
          <c:symbol val="circle"/>
          <c:size val="4"/>
          <c:spPr>
            <a:solidFill>
              <a:srgbClr val="AF1FC7"/>
            </a:solidFill>
            <a:ln w="9525">
              <a:noFill/>
              <a:round/>
            </a:ln>
            <a:effectLst>
              <a:outerShdw blurRad="57150" dist="19050" dir="5400000" algn="ctr" rotWithShape="0">
                <a:srgbClr val="000000">
                  <a:alpha val="63000"/>
                </a:srgbClr>
              </a:outerShdw>
            </a:effectLst>
          </c:spPr>
        </c:marker>
      </c:pivotFmt>
    </c:pivotFmts>
    <c:plotArea>
      <c:layout>
        <c:manualLayout>
          <c:layoutTarget val="inner"/>
          <c:xMode val="edge"/>
          <c:yMode val="edge"/>
          <c:x val="0.1255580149820017"/>
          <c:y val="0.12216494966150693"/>
          <c:w val="0.82935067224286607"/>
          <c:h val="0.59697609781372551"/>
        </c:manualLayout>
      </c:layout>
      <c:lineChart>
        <c:grouping val="standard"/>
        <c:varyColors val="0"/>
        <c:ser>
          <c:idx val="0"/>
          <c:order val="0"/>
          <c:tx>
            <c:strRef>
              <c:f>HVL!$J$5</c:f>
              <c:strCache>
                <c:ptCount val="1"/>
                <c:pt idx="0">
                  <c:v> CD4&lt;200%</c:v>
                </c:pt>
              </c:strCache>
            </c:strRef>
          </c:tx>
          <c:spPr>
            <a:ln w="19050" cap="rnd">
              <a:solidFill>
                <a:srgbClr val="449BCC"/>
              </a:solidFill>
              <a:round/>
            </a:ln>
            <a:effectLst>
              <a:outerShdw blurRad="57150" dist="19050" dir="5400000" algn="ctr" rotWithShape="0">
                <a:srgbClr val="000000">
                  <a:alpha val="63000"/>
                </a:srgbClr>
              </a:outerShdw>
            </a:effectLst>
          </c:spPr>
          <c:marker>
            <c:symbol val="circle"/>
            <c:size val="4"/>
            <c:spPr>
              <a:solidFill>
                <a:srgbClr val="449BCC"/>
              </a:solidFill>
              <a:ln w="9525">
                <a:noFill/>
                <a:round/>
              </a:ln>
              <a:effectLst>
                <a:outerShdw blurRad="57150" dist="19050" dir="5400000" algn="ctr" rotWithShape="0">
                  <a:srgbClr val="000000">
                    <a:alpha val="63000"/>
                  </a:srgbClr>
                </a:outerShdw>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HVL!$I$6:$I$25</c:f>
              <c:multiLvlStrCache>
                <c:ptCount val="1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2024</c:v>
                  </c:pt>
                  <c:pt idx="12">
                    <c:v>2025</c:v>
                  </c:pt>
                </c:lvl>
              </c:multiLvlStrCache>
            </c:multiLvlStrRef>
          </c:cat>
          <c:val>
            <c:numRef>
              <c:f>HVL!$J$6:$J$25</c:f>
              <c:numCache>
                <c:formatCode>General</c:formatCode>
                <c:ptCount val="17"/>
                <c:pt idx="0">
                  <c:v>0.33333333333333331</c:v>
                </c:pt>
                <c:pt idx="1">
                  <c:v>0.24210526315789474</c:v>
                </c:pt>
                <c:pt idx="2">
                  <c:v>0.23711340206185566</c:v>
                </c:pt>
                <c:pt idx="3">
                  <c:v>0.21739130434782608</c:v>
                </c:pt>
                <c:pt idx="4">
                  <c:v>0.30208333333333331</c:v>
                </c:pt>
                <c:pt idx="5">
                  <c:v>0.26229508196721313</c:v>
                </c:pt>
                <c:pt idx="6">
                  <c:v>0.234375</c:v>
                </c:pt>
                <c:pt idx="7">
                  <c:v>0.22222222222222221</c:v>
                </c:pt>
                <c:pt idx="8">
                  <c:v>0.2087912087912088</c:v>
                </c:pt>
                <c:pt idx="9">
                  <c:v>0.21686746987951808</c:v>
                </c:pt>
                <c:pt idx="10">
                  <c:v>0.30864197530864196</c:v>
                </c:pt>
                <c:pt idx="11">
                  <c:v>0.3108108108108108</c:v>
                </c:pt>
                <c:pt idx="12">
                  <c:v>0.33695652173913043</c:v>
                </c:pt>
                <c:pt idx="13">
                  <c:v>0.3125</c:v>
                </c:pt>
                <c:pt idx="14">
                  <c:v>0.25</c:v>
                </c:pt>
                <c:pt idx="15">
                  <c:v>0.23529411764705882</c:v>
                </c:pt>
                <c:pt idx="16">
                  <c:v>0.3380281690140845</c:v>
                </c:pt>
              </c:numCache>
            </c:numRef>
          </c:val>
          <c:smooth val="1"/>
          <c:extLst>
            <c:ext xmlns:c16="http://schemas.microsoft.com/office/drawing/2014/chart" uri="{C3380CC4-5D6E-409C-BE32-E72D297353CC}">
              <c16:uniqueId val="{00000000-DCB4-434A-A26F-20705FC61EF9}"/>
            </c:ext>
          </c:extLst>
        </c:ser>
        <c:ser>
          <c:idx val="1"/>
          <c:order val="1"/>
          <c:tx>
            <c:strRef>
              <c:f>HVL!$K$5</c:f>
              <c:strCache>
                <c:ptCount val="1"/>
                <c:pt idx="0">
                  <c:v> LAM+%</c:v>
                </c:pt>
              </c:strCache>
            </c:strRef>
          </c:tx>
          <c:spPr>
            <a:ln w="19050" cap="rnd">
              <a:solidFill>
                <a:srgbClr val="AF1FC7"/>
              </a:solidFill>
              <a:round/>
            </a:ln>
            <a:effectLst>
              <a:outerShdw blurRad="57150" dist="19050" dir="5400000" algn="ctr" rotWithShape="0">
                <a:srgbClr val="000000">
                  <a:alpha val="63000"/>
                </a:srgbClr>
              </a:outerShdw>
            </a:effectLst>
          </c:spPr>
          <c:marker>
            <c:symbol val="circle"/>
            <c:size val="4"/>
            <c:spPr>
              <a:solidFill>
                <a:srgbClr val="AF1FC7"/>
              </a:solidFill>
              <a:ln w="9525">
                <a:noFill/>
                <a:round/>
              </a:ln>
              <a:effectLst>
                <a:outerShdw blurRad="57150" dist="19050" dir="5400000" algn="ctr" rotWithShape="0">
                  <a:srgbClr val="000000">
                    <a:alpha val="63000"/>
                  </a:srgbClr>
                </a:outerShdw>
              </a:effectLst>
            </c:spPr>
          </c:marker>
          <c:dPt>
            <c:idx val="2"/>
            <c:marker>
              <c:symbol val="circle"/>
              <c:size val="4"/>
              <c:spPr>
                <a:solidFill>
                  <a:srgbClr val="AF1FC7"/>
                </a:solidFill>
                <a:ln w="9525">
                  <a:noFill/>
                  <a:round/>
                </a:ln>
                <a:effectLst>
                  <a:outerShdw blurRad="57150" dist="19050" dir="5400000" algn="ctr" rotWithShape="0">
                    <a:srgbClr val="000000">
                      <a:alpha val="63000"/>
                    </a:srgbClr>
                  </a:outerShdw>
                </a:effectLst>
              </c:spPr>
            </c:marker>
            <c:bubble3D val="0"/>
            <c:spPr>
              <a:ln w="19050" cap="rnd">
                <a:solidFill>
                  <a:srgbClr val="AF1FC7"/>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DCB4-434A-A26F-20705FC61EF9}"/>
              </c:ext>
            </c:extLst>
          </c:dPt>
          <c:dPt>
            <c:idx val="3"/>
            <c:marker>
              <c:symbol val="circle"/>
              <c:size val="4"/>
              <c:spPr>
                <a:solidFill>
                  <a:srgbClr val="AF1FC7"/>
                </a:solidFill>
                <a:ln w="9525">
                  <a:noFill/>
                  <a:round/>
                </a:ln>
                <a:effectLst>
                  <a:outerShdw blurRad="57150" dist="19050" dir="5400000" algn="ctr" rotWithShape="0">
                    <a:srgbClr val="000000">
                      <a:alpha val="63000"/>
                    </a:srgbClr>
                  </a:outerShdw>
                </a:effectLst>
              </c:spPr>
            </c:marker>
            <c:bubble3D val="0"/>
            <c:spPr>
              <a:ln w="19050" cap="rnd">
                <a:solidFill>
                  <a:srgbClr val="AF1FC7"/>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DCB4-434A-A26F-20705FC61EF9}"/>
              </c:ext>
            </c:extLst>
          </c:dPt>
          <c:dPt>
            <c:idx val="4"/>
            <c:marker>
              <c:symbol val="circle"/>
              <c:size val="4"/>
              <c:spPr>
                <a:solidFill>
                  <a:srgbClr val="AF1FC7"/>
                </a:solidFill>
                <a:ln w="9525">
                  <a:noFill/>
                  <a:round/>
                </a:ln>
                <a:effectLst>
                  <a:outerShdw blurRad="57150" dist="19050" dir="5400000" algn="ctr" rotWithShape="0">
                    <a:srgbClr val="000000">
                      <a:alpha val="63000"/>
                    </a:srgbClr>
                  </a:outerShdw>
                </a:effectLst>
              </c:spPr>
            </c:marker>
            <c:bubble3D val="0"/>
            <c:spPr>
              <a:ln w="19050" cap="rnd">
                <a:solidFill>
                  <a:srgbClr val="AF1FC7"/>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DCB4-434A-A26F-20705FC61EF9}"/>
              </c:ext>
            </c:extLst>
          </c:dPt>
          <c:dPt>
            <c:idx val="5"/>
            <c:marker>
              <c:symbol val="circle"/>
              <c:size val="4"/>
              <c:spPr>
                <a:solidFill>
                  <a:srgbClr val="AF1FC7"/>
                </a:solidFill>
                <a:ln w="9525">
                  <a:noFill/>
                  <a:round/>
                </a:ln>
                <a:effectLst>
                  <a:outerShdw blurRad="57150" dist="19050" dir="5400000" algn="ctr" rotWithShape="0">
                    <a:srgbClr val="000000">
                      <a:alpha val="63000"/>
                    </a:srgbClr>
                  </a:outerShdw>
                </a:effectLst>
              </c:spPr>
            </c:marker>
            <c:bubble3D val="0"/>
            <c:spPr>
              <a:ln w="19050" cap="rnd">
                <a:solidFill>
                  <a:srgbClr val="AF1FC7"/>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DCB4-434A-A26F-20705FC61EF9}"/>
              </c:ext>
            </c:extLst>
          </c:dPt>
          <c:dPt>
            <c:idx val="6"/>
            <c:marker>
              <c:symbol val="circle"/>
              <c:size val="4"/>
              <c:spPr>
                <a:solidFill>
                  <a:srgbClr val="AF1FC7"/>
                </a:solidFill>
                <a:ln w="9525">
                  <a:noFill/>
                  <a:round/>
                </a:ln>
                <a:effectLst>
                  <a:outerShdw blurRad="57150" dist="19050" dir="5400000" algn="ctr" rotWithShape="0">
                    <a:srgbClr val="000000">
                      <a:alpha val="63000"/>
                    </a:srgbClr>
                  </a:outerShdw>
                </a:effectLst>
              </c:spPr>
            </c:marker>
            <c:bubble3D val="0"/>
            <c:spPr>
              <a:ln w="19050" cap="rnd">
                <a:solidFill>
                  <a:srgbClr val="AF1FC7"/>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DCB4-434A-A26F-20705FC61EF9}"/>
              </c:ext>
            </c:extLst>
          </c:dPt>
          <c:dPt>
            <c:idx val="7"/>
            <c:marker>
              <c:symbol val="circle"/>
              <c:size val="4"/>
              <c:spPr>
                <a:solidFill>
                  <a:srgbClr val="AF1FC7"/>
                </a:solidFill>
                <a:ln w="9525">
                  <a:noFill/>
                  <a:round/>
                </a:ln>
                <a:effectLst>
                  <a:outerShdw blurRad="57150" dist="19050" dir="5400000" algn="ctr" rotWithShape="0">
                    <a:srgbClr val="000000">
                      <a:alpha val="63000"/>
                    </a:srgbClr>
                  </a:outerShdw>
                </a:effectLst>
              </c:spPr>
            </c:marker>
            <c:bubble3D val="0"/>
            <c:spPr>
              <a:ln w="19050" cap="rnd">
                <a:solidFill>
                  <a:srgbClr val="AF1FC7"/>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DCB4-434A-A26F-20705FC61EF9}"/>
              </c:ext>
            </c:extLst>
          </c:dPt>
          <c:dPt>
            <c:idx val="8"/>
            <c:marker>
              <c:symbol val="circle"/>
              <c:size val="4"/>
              <c:spPr>
                <a:solidFill>
                  <a:srgbClr val="AF1FC7"/>
                </a:solidFill>
                <a:ln w="9525">
                  <a:noFill/>
                  <a:round/>
                </a:ln>
                <a:effectLst>
                  <a:outerShdw blurRad="57150" dist="19050" dir="5400000" algn="ctr" rotWithShape="0">
                    <a:srgbClr val="000000">
                      <a:alpha val="63000"/>
                    </a:srgbClr>
                  </a:outerShdw>
                </a:effectLst>
              </c:spPr>
            </c:marker>
            <c:bubble3D val="0"/>
            <c:spPr>
              <a:ln w="19050" cap="rnd">
                <a:solidFill>
                  <a:srgbClr val="AF1FC7"/>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DCB4-434A-A26F-20705FC61EF9}"/>
              </c:ext>
            </c:extLst>
          </c:dPt>
          <c:dPt>
            <c:idx val="9"/>
            <c:marker>
              <c:symbol val="circle"/>
              <c:size val="4"/>
              <c:spPr>
                <a:solidFill>
                  <a:srgbClr val="AF1FC7"/>
                </a:solidFill>
                <a:ln w="9525">
                  <a:noFill/>
                  <a:round/>
                </a:ln>
                <a:effectLst>
                  <a:outerShdw blurRad="57150" dist="19050" dir="5400000" algn="ctr" rotWithShape="0">
                    <a:srgbClr val="000000">
                      <a:alpha val="63000"/>
                    </a:srgbClr>
                  </a:outerShdw>
                </a:effectLst>
              </c:spPr>
            </c:marker>
            <c:bubble3D val="0"/>
            <c:spPr>
              <a:ln w="19050" cap="rnd">
                <a:solidFill>
                  <a:srgbClr val="AF1FC7"/>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D117-4007-AFD7-83DF979C8AD8}"/>
              </c:ext>
            </c:extLst>
          </c:dPt>
          <c:dPt>
            <c:idx val="14"/>
            <c:marker>
              <c:symbol val="circle"/>
              <c:size val="4"/>
              <c:spPr>
                <a:solidFill>
                  <a:srgbClr val="AF1FC7"/>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11-D117-4007-AFD7-83DF979C8AD8}"/>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HVL!$I$6:$I$25</c:f>
              <c:multiLvlStrCache>
                <c:ptCount val="1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2024</c:v>
                  </c:pt>
                  <c:pt idx="12">
                    <c:v>2025</c:v>
                  </c:pt>
                </c:lvl>
              </c:multiLvlStrCache>
            </c:multiLvlStrRef>
          </c:cat>
          <c:val>
            <c:numRef>
              <c:f>HVL!$K$6:$K$25</c:f>
              <c:numCache>
                <c:formatCode>General</c:formatCode>
                <c:ptCount val="17"/>
                <c:pt idx="0">
                  <c:v>0</c:v>
                </c:pt>
                <c:pt idx="1">
                  <c:v>0</c:v>
                </c:pt>
                <c:pt idx="2">
                  <c:v>4.5454545454545456E-2</c:v>
                </c:pt>
                <c:pt idx="3">
                  <c:v>0.1</c:v>
                </c:pt>
                <c:pt idx="4">
                  <c:v>#N/A</c:v>
                </c:pt>
                <c:pt idx="5">
                  <c:v>#N/A</c:v>
                </c:pt>
                <c:pt idx="6">
                  <c:v>#N/A</c:v>
                </c:pt>
                <c:pt idx="7">
                  <c:v>0</c:v>
                </c:pt>
                <c:pt idx="8">
                  <c:v>5.2631578947368418E-2</c:v>
                </c:pt>
                <c:pt idx="9">
                  <c:v>0.05</c:v>
                </c:pt>
                <c:pt idx="10">
                  <c:v>0</c:v>
                </c:pt>
                <c:pt idx="11">
                  <c:v>4.3478260869565216E-2</c:v>
                </c:pt>
                <c:pt idx="12">
                  <c:v>0</c:v>
                </c:pt>
                <c:pt idx="13">
                  <c:v>0</c:v>
                </c:pt>
                <c:pt idx="14">
                  <c:v>0</c:v>
                </c:pt>
                <c:pt idx="15">
                  <c:v>0</c:v>
                </c:pt>
                <c:pt idx="16">
                  <c:v>8.6956521739130432E-2</c:v>
                </c:pt>
              </c:numCache>
            </c:numRef>
          </c:val>
          <c:smooth val="1"/>
          <c:extLst>
            <c:ext xmlns:c16="http://schemas.microsoft.com/office/drawing/2014/chart" uri="{C3380CC4-5D6E-409C-BE32-E72D297353CC}">
              <c16:uniqueId val="{0000000F-DCB4-434A-A26F-20705FC61EF9}"/>
            </c:ext>
          </c:extLst>
        </c:ser>
        <c:ser>
          <c:idx val="2"/>
          <c:order val="2"/>
          <c:tx>
            <c:strRef>
              <c:f>HVL!$L$5</c:f>
              <c:strCache>
                <c:ptCount val="1"/>
                <c:pt idx="0">
                  <c:v> CrAg+%</c:v>
                </c:pt>
              </c:strCache>
            </c:strRef>
          </c:tx>
          <c:spPr>
            <a:ln w="19050" cap="rnd">
              <a:solidFill>
                <a:srgbClr val="6CAEA5"/>
              </a:solidFill>
              <a:round/>
            </a:ln>
            <a:effectLst>
              <a:outerShdw blurRad="57150" dist="19050" dir="5400000" algn="ctr" rotWithShape="0">
                <a:srgbClr val="000000">
                  <a:alpha val="63000"/>
                </a:srgbClr>
              </a:outerShdw>
            </a:effectLst>
          </c:spPr>
          <c:marker>
            <c:symbol val="circle"/>
            <c:size val="4"/>
            <c:spPr>
              <a:solidFill>
                <a:srgbClr val="6CAEA5"/>
              </a:solidFill>
              <a:ln w="9525">
                <a:noFill/>
                <a:round/>
              </a:ln>
              <a:effectLst>
                <a:outerShdw blurRad="57150" dist="19050" dir="5400000" algn="ctr" rotWithShape="0">
                  <a:srgbClr val="000000">
                    <a:alpha val="63000"/>
                  </a:srgbClr>
                </a:outerShdw>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HVL!$I$6:$I$25</c:f>
              <c:multiLvlStrCache>
                <c:ptCount val="1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2024</c:v>
                  </c:pt>
                  <c:pt idx="12">
                    <c:v>2025</c:v>
                  </c:pt>
                </c:lvl>
              </c:multiLvlStrCache>
            </c:multiLvlStrRef>
          </c:cat>
          <c:val>
            <c:numRef>
              <c:f>HVL!$L$6:$L$25</c:f>
              <c:numCache>
                <c:formatCode>General</c:formatCode>
                <c:ptCount val="17"/>
                <c:pt idx="0">
                  <c:v>0</c:v>
                </c:pt>
                <c:pt idx="1">
                  <c:v>4.3478260869565216E-2</c:v>
                </c:pt>
                <c:pt idx="2">
                  <c:v>0</c:v>
                </c:pt>
                <c:pt idx="3">
                  <c:v>0</c:v>
                </c:pt>
                <c:pt idx="4">
                  <c:v>0</c:v>
                </c:pt>
                <c:pt idx="5">
                  <c:v>3.125E-2</c:v>
                </c:pt>
                <c:pt idx="6">
                  <c:v>2.4390243902439025E-2</c:v>
                </c:pt>
                <c:pt idx="7">
                  <c:v>0</c:v>
                </c:pt>
                <c:pt idx="8">
                  <c:v>5.2631578947368418E-2</c:v>
                </c:pt>
                <c:pt idx="9">
                  <c:v>0</c:v>
                </c:pt>
                <c:pt idx="10">
                  <c:v>3.8461538461538464E-2</c:v>
                </c:pt>
                <c:pt idx="11">
                  <c:v>8.6956521739130432E-2</c:v>
                </c:pt>
                <c:pt idx="12">
                  <c:v>2.7027027027027029E-2</c:v>
                </c:pt>
                <c:pt idx="13">
                  <c:v>0.3</c:v>
                </c:pt>
                <c:pt idx="14">
                  <c:v>0</c:v>
                </c:pt>
                <c:pt idx="15">
                  <c:v>0.05</c:v>
                </c:pt>
                <c:pt idx="16">
                  <c:v>0</c:v>
                </c:pt>
              </c:numCache>
            </c:numRef>
          </c:val>
          <c:smooth val="1"/>
          <c:extLst>
            <c:ext xmlns:c16="http://schemas.microsoft.com/office/drawing/2014/chart" uri="{C3380CC4-5D6E-409C-BE32-E72D297353CC}">
              <c16:uniqueId val="{00000010-DCB4-434A-A26F-20705FC61EF9}"/>
            </c:ext>
          </c:extLst>
        </c:ser>
        <c:dLbls>
          <c:dLblPos val="t"/>
          <c:showLegendKey val="0"/>
          <c:showVal val="1"/>
          <c:showCatName val="0"/>
          <c:showSerName val="0"/>
          <c:showPercent val="0"/>
          <c:showBubbleSize val="0"/>
        </c:dLbls>
        <c:marker val="1"/>
        <c:smooth val="0"/>
        <c:axId val="1061181040"/>
        <c:axId val="1061182480"/>
      </c:lineChart>
      <c:catAx>
        <c:axId val="1061181040"/>
        <c:scaling>
          <c:orientation val="minMax"/>
        </c:scaling>
        <c:delete val="0"/>
        <c:axPos val="b"/>
        <c:numFmt formatCode="General" sourceLinked="1"/>
        <c:majorTickMark val="none"/>
        <c:minorTickMark val="none"/>
        <c:tickLblPos val="nextTo"/>
        <c:spPr>
          <a:noFill/>
          <a:ln w="12700" cap="flat" cmpd="sng" algn="ctr">
            <a:solidFill>
              <a:schemeClr val="tx2"/>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61182480"/>
        <c:crosses val="autoZero"/>
        <c:auto val="1"/>
        <c:lblAlgn val="ctr"/>
        <c:lblOffset val="100"/>
        <c:noMultiLvlLbl val="0"/>
      </c:catAx>
      <c:valAx>
        <c:axId val="1061182480"/>
        <c:scaling>
          <c:orientation val="minMax"/>
          <c:max val="1"/>
          <c:min val="0"/>
        </c:scaling>
        <c:delete val="0"/>
        <c:axPos val="l"/>
        <c:title>
          <c:tx>
            <c:rich>
              <a:bodyPr rot="-54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r>
                  <a:rPr lang="en-GB"/>
                  <a:t>proporton of ROC with AHD</a:t>
                </a:r>
              </a:p>
            </c:rich>
          </c:tx>
          <c:layout>
            <c:manualLayout>
              <c:xMode val="edge"/>
              <c:yMode val="edge"/>
              <c:x val="1.8493126754159431E-2"/>
              <c:y val="0.39059530569825962"/>
            </c:manualLayout>
          </c:layout>
          <c:overlay val="0"/>
          <c:spPr>
            <a:noFill/>
            <a:ln w="6350">
              <a:noFill/>
            </a:ln>
            <a:effectLst/>
          </c:spPr>
          <c:txPr>
            <a:bodyPr rot="-54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itle>
        <c:numFmt formatCode="0%" sourceLinked="0"/>
        <c:majorTickMark val="none"/>
        <c:minorTickMark val="none"/>
        <c:tickLblPos val="nextTo"/>
        <c:spPr>
          <a:noFill/>
          <a:ln>
            <a:solidFill>
              <a:schemeClr val="tx2"/>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61181040"/>
        <c:crosses val="autoZero"/>
        <c:crossBetween val="between"/>
      </c:valAx>
      <c:spPr>
        <a:noFill/>
        <a:ln>
          <a:noFill/>
        </a:ln>
        <a:effectLst/>
      </c:spPr>
    </c:plotArea>
    <c:legend>
      <c:legendPos val="r"/>
      <c:layout>
        <c:manualLayout>
          <c:xMode val="edge"/>
          <c:yMode val="edge"/>
          <c:x val="0.15521042495619217"/>
          <c:y val="0.9403744492046916"/>
          <c:w val="0.7041295086564634"/>
          <c:h val="5.3198252883228013E-2"/>
        </c:manualLayout>
      </c:layout>
      <c:overlay val="0"/>
      <c:spPr>
        <a:noFill/>
        <a:ln w="6350">
          <a:solidFill>
            <a:schemeClr val="accent5">
              <a:lumMod val="60000"/>
              <a:lumOff val="40000"/>
            </a:schemeClr>
          </a:solid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lumMod val="60000"/>
          <a:lumOff val="40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[AHD_Reporting_Form.xlsx]RTT!PivotTable1</c:name>
    <c:fmtId val="125"/>
  </c:pivotSource>
  <c:chart>
    <c:title>
      <c:tx>
        <c:rich>
          <a:bodyPr rot="0" spcFirstLastPara="1" vertOverflow="ellipsis" vert="horz" wrap="square" anchor="ctr" anchorCtr="1"/>
          <a:lstStyle/>
          <a:p>
            <a:pPr>
              <a:defRPr sz="1200" b="1" i="0" u="sng" strike="noStrike" kern="1200" baseline="0">
                <a:solidFill>
                  <a:sysClr val="windowText" lastClr="000000"/>
                </a:solidFill>
                <a:latin typeface="+mn-lt"/>
                <a:ea typeface="+mn-ea"/>
                <a:cs typeface="+mn-cs"/>
              </a:defRPr>
            </a:pPr>
            <a:r>
              <a:rPr lang="en-GB" sz="1200" u="sng"/>
              <a:t>AHD screening among Treatment interrupters who returned to care</a:t>
            </a:r>
          </a:p>
        </c:rich>
      </c:tx>
      <c:layout>
        <c:manualLayout>
          <c:xMode val="edge"/>
          <c:yMode val="edge"/>
          <c:x val="0.22012132282022609"/>
          <c:y val="1.1612340786045693E-2"/>
        </c:manualLayout>
      </c:layout>
      <c:overlay val="0"/>
      <c:spPr>
        <a:noFill/>
        <a:ln>
          <a:noFill/>
        </a:ln>
        <a:effectLst/>
      </c:spPr>
      <c:txPr>
        <a:bodyPr rot="0" spcFirstLastPara="1" vertOverflow="ellipsis" vert="horz" wrap="square" anchor="ctr" anchorCtr="1"/>
        <a:lstStyle/>
        <a:p>
          <a:pPr>
            <a:defRPr sz="1200" b="1" i="0" u="sng" strike="noStrike" kern="1200" baseline="0">
              <a:solidFill>
                <a:sysClr val="windowText" lastClr="000000"/>
              </a:solidFill>
              <a:latin typeface="+mn-lt"/>
              <a:ea typeface="+mn-ea"/>
              <a:cs typeface="+mn-cs"/>
            </a:defRPr>
          </a:pPr>
          <a:endParaRPr lang="en-US"/>
        </a:p>
      </c:txPr>
    </c:title>
    <c:autoTitleDeleted val="0"/>
    <c:pivotFmts>
      <c:pivotFmt>
        <c:idx val="0"/>
        <c:spPr>
          <a:solidFill>
            <a:schemeClr val="accent2"/>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alpha val="88000"/>
            </a:scheme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alpha val="84000"/>
            </a:srgb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D80A0359-4340-464C-97BF-50043DB18A22}" type="CELLRANGE">
                  <a:rPr lang="en-US"/>
                  <a:pPr>
                    <a:defRPr sz="900" b="0" i="0" u="none" strike="noStrike" kern="1200" baseline="0">
                      <a:solidFill>
                        <a:sysClr val="windowText" lastClr="000000"/>
                      </a:solidFill>
                      <a:latin typeface="+mn-lt"/>
                      <a:ea typeface="+mn-ea"/>
                      <a:cs typeface="+mn-cs"/>
                    </a:defRPr>
                  </a:pPr>
                  <a:t>[CELLRANGE]</a:t>
                </a:fld>
                <a:r>
                  <a:rPr lang="en-US" baseline="0"/>
                  <a:t>, </a:t>
                </a:r>
                <a:fld id="{619AE429-5DC9-4CD0-95CD-5E4572E53792}" type="VALUE">
                  <a:rPr lang="en-US" baseline="0"/>
                  <a:pPr>
                    <a:defRPr sz="900" b="0" i="0" u="none" strike="noStrike" kern="1200" baseline="0">
                      <a:solidFill>
                        <a:sysClr val="windowText" lastClr="000000"/>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pivotFmt>
      <c:pivotFmt>
        <c:idx val="9"/>
        <c:dLbl>
          <c:idx val="0"/>
          <c:tx>
            <c:rich>
              <a:bodyPr/>
              <a:lstStyle/>
              <a:p>
                <a:fld id="{38B64FBF-4335-4EAD-B861-26F6E525AC74}" type="CELLRANGE">
                  <a:rPr lang="en-US"/>
                  <a:pPr/>
                  <a:t>[CELLRANGE]</a:t>
                </a:fld>
                <a:r>
                  <a:rPr lang="en-US" baseline="0"/>
                  <a:t>, </a:t>
                </a:r>
                <a:fld id="{D6C7321C-6E0F-4D2E-8B46-F65C3D7A4003}"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dLbl>
          <c:idx val="0"/>
          <c:tx>
            <c:rich>
              <a:bodyPr/>
              <a:lstStyle/>
              <a:p>
                <a:fld id="{8C44B063-F912-4FC5-A6C3-78054BAA1475}" type="CELLRANGE">
                  <a:rPr lang="en-US"/>
                  <a:pPr/>
                  <a:t>[CELLRANGE]</a:t>
                </a:fld>
                <a:r>
                  <a:rPr lang="en-US" baseline="0"/>
                  <a:t>, </a:t>
                </a:r>
                <a:fld id="{70B358C0-DB55-4F7E-A4CF-8DEB0B8DBBA3}"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dLbl>
          <c:idx val="0"/>
          <c:tx>
            <c:rich>
              <a:bodyPr/>
              <a:lstStyle/>
              <a:p>
                <a:fld id="{F1E15D6C-0C92-4F9E-8CBC-D5B2D9BC2075}" type="CELLRANGE">
                  <a:rPr lang="en-US"/>
                  <a:pPr/>
                  <a:t>[CELLRANGE]</a:t>
                </a:fld>
                <a:r>
                  <a:rPr lang="en-US" baseline="0"/>
                  <a:t>, </a:t>
                </a:r>
                <a:fld id="{CD39BF99-5182-4B7E-AEC5-5FB76F9FE533}"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2"/>
        <c:dLbl>
          <c:idx val="0"/>
          <c:tx>
            <c:rich>
              <a:bodyPr/>
              <a:lstStyle/>
              <a:p>
                <a:fld id="{AADAE8A4-138F-410E-9AB9-60EEC0EAE95C}" type="CELLRANGE">
                  <a:rPr lang="en-US"/>
                  <a:pPr/>
                  <a:t>[CELLRANGE]</a:t>
                </a:fld>
                <a:r>
                  <a:rPr lang="en-US" baseline="0"/>
                  <a:t>, </a:t>
                </a:r>
                <a:fld id="{200D7C23-70DD-4AC4-951B-7904139BAA90}"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3"/>
        <c:dLbl>
          <c:idx val="0"/>
          <c:tx>
            <c:rich>
              <a:bodyPr/>
              <a:lstStyle/>
              <a:p>
                <a:fld id="{EBB42741-FBB1-42C9-8CA9-7DC956E899D1}" type="CELLRANGE">
                  <a:rPr lang="en-US"/>
                  <a:pPr/>
                  <a:t>[CELLRANGE]</a:t>
                </a:fld>
                <a:r>
                  <a:rPr lang="en-US" baseline="0"/>
                  <a:t>, </a:t>
                </a:r>
                <a:fld id="{300B405C-545E-4C3B-9B9C-A09D74648588}"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4"/>
        <c:dLbl>
          <c:idx val="0"/>
          <c:tx>
            <c:rich>
              <a:bodyPr/>
              <a:lstStyle/>
              <a:p>
                <a:fld id="{5ACDCCC9-477B-4D80-84D3-265AA1551F99}" type="CELLRANGE">
                  <a:rPr lang="en-US"/>
                  <a:pPr/>
                  <a:t>[CELLRANGE]</a:t>
                </a:fld>
                <a:r>
                  <a:rPr lang="en-US" baseline="0"/>
                  <a:t>, </a:t>
                </a:r>
                <a:fld id="{EBF96CAC-98C3-4753-841D-F0B5B77629A4}"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
        <c:dLbl>
          <c:idx val="0"/>
          <c:tx>
            <c:rich>
              <a:bodyPr/>
              <a:lstStyle/>
              <a:p>
                <a:fld id="{85641F05-FEC1-4650-8FDD-8843A09484ED}" type="CELLRANGE">
                  <a:rPr lang="en-US"/>
                  <a:pPr/>
                  <a:t>[CELLRANGE]</a:t>
                </a:fld>
                <a:r>
                  <a:rPr lang="en-US" baseline="0"/>
                  <a:t>, </a:t>
                </a:r>
                <a:fld id="{A601C9D9-40B0-4DB3-A221-74FC1FEA479F}"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7"/>
        <c:dLbl>
          <c:idx val="0"/>
          <c:tx>
            <c:rich>
              <a:bodyPr/>
              <a:lstStyle/>
              <a:p>
                <a:fld id="{FF4EBAB4-9208-426C-A2C0-06A9B7A20937}" type="CELLRANGE">
                  <a:rPr lang="en-US"/>
                  <a:pPr/>
                  <a:t>[CELLRANGE]</a:t>
                </a:fld>
                <a:r>
                  <a:rPr lang="en-US" baseline="0"/>
                  <a:t>, </a:t>
                </a:r>
                <a:fld id="{DF0E314E-1845-4B08-9E93-FA96B8217187}"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8"/>
        <c:dLbl>
          <c:idx val="0"/>
          <c:tx>
            <c:rich>
              <a:bodyPr/>
              <a:lstStyle/>
              <a:p>
                <a:fld id="{DD926363-9992-4DFE-80C3-994ABB41FDA7}" type="CELLRANGE">
                  <a:rPr lang="en-US"/>
                  <a:pPr/>
                  <a:t>[CELLRANGE]</a:t>
                </a:fld>
                <a:r>
                  <a:rPr lang="en-US" baseline="0"/>
                  <a:t>, </a:t>
                </a:r>
                <a:fld id="{C6BB680B-7623-4EA3-B83B-2011C5679ED2}"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9"/>
        <c:dLbl>
          <c:idx val="0"/>
          <c:tx>
            <c:rich>
              <a:bodyPr/>
              <a:lstStyle/>
              <a:p>
                <a:fld id="{50D0BCCD-DA80-4AEC-ADFD-7478183D354A}" type="CELLRANGE">
                  <a:rPr lang="en-US"/>
                  <a:pPr/>
                  <a:t>[CELLRANGE]</a:t>
                </a:fld>
                <a:r>
                  <a:rPr lang="en-US" baseline="0"/>
                  <a:t>, </a:t>
                </a:r>
                <a:fld id="{EE890978-0538-4AD0-BE1B-680453DC062D}"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0"/>
        <c:dLbl>
          <c:idx val="0"/>
          <c:tx>
            <c:rich>
              <a:bodyPr/>
              <a:lstStyle/>
              <a:p>
                <a:fld id="{7D984C0A-AF2C-4FAD-9538-9CE56ED5F567}" type="CELLRANGE">
                  <a:rPr lang="en-US"/>
                  <a:pPr/>
                  <a:t>[CELLRANGE]</a:t>
                </a:fld>
                <a:r>
                  <a:rPr lang="en-US" baseline="0"/>
                  <a:t>, </a:t>
                </a:r>
                <a:fld id="{9F5C0507-D70F-477A-95F2-C63830573DD7}"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1"/>
        <c:dLbl>
          <c:idx val="0"/>
          <c:tx>
            <c:rich>
              <a:bodyPr/>
              <a:lstStyle/>
              <a:p>
                <a:fld id="{CF4FB6D9-9767-42D1-B639-24FD87FBFE31}" type="CELLRANGE">
                  <a:rPr lang="en-US"/>
                  <a:pPr/>
                  <a:t>[CELLRANGE]</a:t>
                </a:fld>
                <a:r>
                  <a:rPr lang="en-US" baseline="0"/>
                  <a:t>, </a:t>
                </a:r>
                <a:fld id="{91BB9253-F401-4063-A925-95408FA77268}"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2"/>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4731A5D9-539A-4F7D-A744-CF24B4E851B3}" type="CELLRANGE">
                  <a:rPr lang="en-US"/>
                  <a:pPr>
                    <a:defRPr sz="900" b="0" i="0" u="none" strike="noStrike" kern="1200" baseline="0">
                      <a:solidFill>
                        <a:sysClr val="windowText" lastClr="000000"/>
                      </a:solidFill>
                      <a:latin typeface="+mn-lt"/>
                      <a:ea typeface="+mn-ea"/>
                      <a:cs typeface="+mn-cs"/>
                    </a:defRPr>
                  </a:pPr>
                  <a:t>[CELLRANGE]</a:t>
                </a:fld>
                <a:r>
                  <a:rPr lang="en-US" baseline="0"/>
                  <a:t>, </a:t>
                </a:r>
                <a:fld id="{B03745B5-70AB-4486-8B6A-5E28FBF5B9A6}" type="VALUE">
                  <a:rPr lang="en-US" baseline="0"/>
                  <a:pPr>
                    <a:defRPr sz="900" b="0" i="0" u="none" strike="noStrike" kern="1200" baseline="0">
                      <a:solidFill>
                        <a:sysClr val="windowText" lastClr="000000"/>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3"/>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C9006498-42A4-45CE-BCE8-EC546067215F}" type="CELLRANGE">
                  <a:rPr lang="en-US"/>
                  <a:pPr>
                    <a:defRPr sz="900" b="0" i="0" u="none" strike="noStrike" kern="1200" baseline="0">
                      <a:solidFill>
                        <a:sysClr val="windowText" lastClr="000000"/>
                      </a:solidFill>
                      <a:latin typeface="+mn-lt"/>
                      <a:ea typeface="+mn-ea"/>
                      <a:cs typeface="+mn-cs"/>
                    </a:defRPr>
                  </a:pPr>
                  <a:t>[CELLRANGE]</a:t>
                </a:fld>
                <a:r>
                  <a:rPr lang="en-US" baseline="0"/>
                  <a:t>, </a:t>
                </a:r>
                <a:fld id="{13415703-C5CA-4787-8825-FCBD5C55B0DC}" type="VALUE">
                  <a:rPr lang="en-US" baseline="0"/>
                  <a:pPr>
                    <a:defRPr sz="900" b="0" i="0" u="none" strike="noStrike" kern="1200" baseline="0">
                      <a:solidFill>
                        <a:sysClr val="windowText" lastClr="000000"/>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4"/>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E39C17C5-A6DE-465E-BA2E-A0457662CE4F}" type="CELLRANGE">
                  <a:rPr lang="en-US"/>
                  <a:pPr>
                    <a:defRPr sz="900" b="0" i="0" u="none" strike="noStrike" kern="1200" baseline="0">
                      <a:solidFill>
                        <a:sysClr val="windowText" lastClr="000000"/>
                      </a:solidFill>
                      <a:latin typeface="+mn-lt"/>
                      <a:ea typeface="+mn-ea"/>
                      <a:cs typeface="+mn-cs"/>
                    </a:defRPr>
                  </a:pPr>
                  <a:t>[CELLRANGE]</a:t>
                </a:fld>
                <a:r>
                  <a:rPr lang="en-US" baseline="0"/>
                  <a:t>, </a:t>
                </a:r>
                <a:fld id="{D26FCEF1-5A34-41A0-B6CD-F3663AD6D4C1}" type="VALUE">
                  <a:rPr lang="en-US" baseline="0"/>
                  <a:pPr>
                    <a:defRPr sz="900" b="0" i="0" u="none" strike="noStrike" kern="1200" baseline="0">
                      <a:solidFill>
                        <a:sysClr val="windowText" lastClr="000000"/>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5"/>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183C6365-A22B-4AE8-B76B-F63703475BFE}" type="CELLRANGE">
                  <a:rPr lang="en-US"/>
                  <a:pPr>
                    <a:defRPr sz="900" b="0" i="0" u="none" strike="noStrike" kern="1200" baseline="0">
                      <a:solidFill>
                        <a:sysClr val="windowText" lastClr="000000"/>
                      </a:solidFill>
                      <a:latin typeface="+mn-lt"/>
                      <a:ea typeface="+mn-ea"/>
                      <a:cs typeface="+mn-cs"/>
                    </a:defRPr>
                  </a:pPr>
                  <a:t>[CELLRANGE]</a:t>
                </a:fld>
                <a:r>
                  <a:rPr lang="en-US" baseline="0"/>
                  <a:t>, </a:t>
                </a:r>
                <a:fld id="{2F81CAD8-CC36-4E7F-B6DF-B7DA1E4CEDA1}" type="VALUE">
                  <a:rPr lang="en-US" baseline="0"/>
                  <a:pPr>
                    <a:defRPr sz="900" b="0" i="0" u="none" strike="noStrike" kern="1200" baseline="0">
                      <a:solidFill>
                        <a:sysClr val="windowText" lastClr="000000"/>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6"/>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847F4BA0-4AA9-499D-BA2A-3AAAC0496E86}" type="CELLRANGE">
                  <a:rPr lang="en-US"/>
                  <a:pPr>
                    <a:defRPr sz="900" b="0" i="0" u="none" strike="noStrike" kern="1200" baseline="0">
                      <a:solidFill>
                        <a:sysClr val="windowText" lastClr="000000"/>
                      </a:solidFill>
                      <a:latin typeface="+mn-lt"/>
                      <a:ea typeface="+mn-ea"/>
                      <a:cs typeface="+mn-cs"/>
                    </a:defRPr>
                  </a:pPr>
                  <a:t>[CELLRANGE]</a:t>
                </a:fld>
                <a:r>
                  <a:rPr lang="en-US" baseline="0"/>
                  <a:t>, </a:t>
                </a:r>
                <a:fld id="{3D14E329-43B4-454C-B933-1CE45CA6E605}" type="VALUE">
                  <a:rPr lang="en-US" baseline="0"/>
                  <a:pPr>
                    <a:defRPr sz="900" b="0" i="0" u="none" strike="noStrike" kern="1200" baseline="0">
                      <a:solidFill>
                        <a:sysClr val="windowText" lastClr="000000"/>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7"/>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5589FF5D-4B2A-47E1-8019-27F023C54ACE}" type="CELLRANGE">
                  <a:rPr lang="en-US"/>
                  <a:pPr>
                    <a:defRPr sz="900" b="0" i="0" u="none" strike="noStrike" kern="1200" baseline="0">
                      <a:solidFill>
                        <a:sysClr val="windowText" lastClr="000000"/>
                      </a:solidFill>
                      <a:latin typeface="+mn-lt"/>
                      <a:ea typeface="+mn-ea"/>
                      <a:cs typeface="+mn-cs"/>
                    </a:defRPr>
                  </a:pPr>
                  <a:t>[CELLRANGE]</a:t>
                </a:fld>
                <a:r>
                  <a:rPr lang="en-US" baseline="0"/>
                  <a:t>, </a:t>
                </a:r>
                <a:fld id="{0AFB73F6-2AF1-48C0-8CBA-C2B6AFAFD8A1}" type="VALUE">
                  <a:rPr lang="en-US" baseline="0"/>
                  <a:pPr>
                    <a:defRPr sz="900" b="0" i="0" u="none" strike="noStrike" kern="1200" baseline="0">
                      <a:solidFill>
                        <a:sysClr val="windowText" lastClr="000000"/>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8"/>
        <c:dLbl>
          <c:idx val="0"/>
          <c:layout>
            <c:manualLayout>
              <c:x val="-1.3084725270352189E-2"/>
              <c:y val="-3.711340206185567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9"/>
        <c:dLbl>
          <c:idx val="0"/>
          <c:layout>
            <c:manualLayout>
              <c:x val="-2.2894524616056434E-2"/>
              <c:y val="-2.472187886279359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0"/>
        <c:dLbl>
          <c:idx val="0"/>
          <c:layout>
            <c:manualLayout>
              <c:x val="-1.7988555055472866E-2"/>
              <c:y val="-2.060156571899464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1"/>
        <c:dLbl>
          <c:idx val="0"/>
          <c:layout>
            <c:manualLayout>
              <c:x val="-1.3082585494889358E-2"/>
              <c:y val="-2.88421920065925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2"/>
        <c:dLbl>
          <c:idx val="0"/>
          <c:layout>
            <c:manualLayout>
              <c:x val="-1.6353231868611758E-2"/>
              <c:y val="-3.2962505150391445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3"/>
        <c:dLbl>
          <c:idx val="0"/>
          <c:layout>
            <c:manualLayout>
              <c:x val="-2.1259201429195206E-2"/>
              <c:y val="-2.472187886279359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1.9623878242334036E-2"/>
              <c:y val="-1.8541409147095178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EF9B2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rgbClr val="E6D800">
              <a:alpha val="93000"/>
            </a:srgbClr>
          </a:solidFill>
          <a:ln>
            <a:noFill/>
          </a:ln>
          <a:effectLst>
            <a:outerShdw blurRad="57150" dist="19050" dir="5400000" algn="ctr" rotWithShape="0">
              <a:srgbClr val="000000">
                <a:alpha val="63000"/>
              </a:srgbClr>
            </a:outerShdw>
          </a:effectLst>
        </c:spPr>
        <c:marker>
          <c:symbol val="none"/>
        </c:marker>
        <c:dLbl>
          <c:idx val="0"/>
          <c:spPr>
            <a:solidFill>
              <a:srgbClr val="FFFF00"/>
            </a:solidFill>
            <a:ln>
              <a:noFill/>
            </a:ln>
            <a:effectLst>
              <a:softEdge rad="31750"/>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rgbClr val="1A53FF">
              <a:alpha val="87451"/>
            </a:srgbClr>
          </a:solidFill>
          <a:ln>
            <a:noFill/>
          </a:ln>
          <a:effectLst>
            <a:outerShdw blurRad="57150" dist="19050" dir="5400000" algn="ctr" rotWithShape="0">
              <a:srgbClr val="000000">
                <a:alpha val="63000"/>
              </a:srgbClr>
            </a:outerShdw>
          </a:effectLst>
        </c:spPr>
        <c:marker>
          <c:symbol val="none"/>
        </c:marker>
        <c:dLbl>
          <c:idx val="0"/>
          <c:spPr>
            <a:solidFill>
              <a:schemeClr val="accent1">
                <a:lumMod val="60000"/>
                <a:lumOff val="40000"/>
              </a:schemeClr>
            </a:solidFill>
            <a:ln>
              <a:noFill/>
            </a:ln>
            <a:effectLst>
              <a:softEdge rad="31750"/>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5875" cap="rnd">
            <a:solidFill>
              <a:srgbClr val="99600B"/>
            </a:solidFill>
            <a:round/>
          </a:ln>
          <a:effectLst>
            <a:outerShdw blurRad="57150" dist="19050" dir="5400000" algn="ctr" rotWithShape="0">
              <a:srgbClr val="000000">
                <a:alpha val="63000"/>
              </a:srgbClr>
            </a:outerShdw>
          </a:effectLst>
        </c:spPr>
        <c:marker>
          <c:symbol val="circle"/>
          <c:size val="6"/>
          <c:spPr>
            <a:solidFill>
              <a:srgbClr val="99600B"/>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1A53FF">
              <a:alpha val="95000"/>
            </a:srgbClr>
          </a:solidFill>
          <a:ln>
            <a:noFill/>
          </a:ln>
          <a:effectLst>
            <a:outerShdw blurRad="57150" dist="19050" dir="5400000" algn="ctr" rotWithShape="0">
              <a:srgbClr val="000000">
                <a:alpha val="63000"/>
              </a:srgbClr>
            </a:outerShdw>
          </a:effectLst>
        </c:spPr>
      </c:pivotFmt>
      <c:pivotFmt>
        <c:idx val="40"/>
        <c:spPr>
          <a:solidFill>
            <a:srgbClr val="EF9B2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rgbClr val="E6D800">
              <a:alpha val="93000"/>
            </a:srgbClr>
          </a:solidFill>
          <a:ln>
            <a:noFill/>
          </a:ln>
          <a:effectLst>
            <a:outerShdw blurRad="57150" dist="19050" dir="5400000" algn="ctr" rotWithShape="0">
              <a:srgbClr val="000000">
                <a:alpha val="63000"/>
              </a:srgbClr>
            </a:outerShdw>
          </a:effectLst>
        </c:spPr>
        <c:marker>
          <c:symbol val="none"/>
        </c:marker>
        <c:dLbl>
          <c:idx val="0"/>
          <c:spPr>
            <a:solidFill>
              <a:srgbClr val="FFFF00"/>
            </a:solidFill>
            <a:ln>
              <a:noFill/>
            </a:ln>
            <a:effectLst>
              <a:softEdge rad="31750"/>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rgbClr val="1A53FF">
              <a:alpha val="87451"/>
            </a:srgbClr>
          </a:solidFill>
          <a:ln>
            <a:noFill/>
          </a:ln>
          <a:effectLst>
            <a:outerShdw blurRad="57150" dist="19050" dir="5400000" algn="ctr" rotWithShape="0">
              <a:srgbClr val="000000">
                <a:alpha val="63000"/>
              </a:srgbClr>
            </a:outerShdw>
          </a:effectLst>
        </c:spPr>
        <c:marker>
          <c:symbol val="none"/>
        </c:marker>
        <c:dLbl>
          <c:idx val="0"/>
          <c:spPr>
            <a:solidFill>
              <a:schemeClr val="accent1">
                <a:lumMod val="60000"/>
                <a:lumOff val="40000"/>
              </a:schemeClr>
            </a:solidFill>
            <a:ln>
              <a:noFill/>
            </a:ln>
            <a:effectLst>
              <a:softEdge rad="31750"/>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5875" cap="rnd">
            <a:solidFill>
              <a:srgbClr val="99600B"/>
            </a:solidFill>
            <a:round/>
          </a:ln>
          <a:effectLst>
            <a:outerShdw blurRad="57150" dist="19050" dir="5400000" algn="ctr" rotWithShape="0">
              <a:srgbClr val="000000">
                <a:alpha val="63000"/>
              </a:srgbClr>
            </a:outerShdw>
          </a:effectLst>
        </c:spPr>
        <c:marker>
          <c:symbol val="circle"/>
          <c:size val="6"/>
          <c:spPr>
            <a:solidFill>
              <a:srgbClr val="99600B"/>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EF9B2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E6D800">
              <a:alpha val="93000"/>
            </a:srgbClr>
          </a:solidFill>
          <a:ln>
            <a:noFill/>
          </a:ln>
          <a:effectLst>
            <a:outerShdw blurRad="57150" dist="19050" dir="5400000" algn="ctr" rotWithShape="0">
              <a:srgbClr val="000000">
                <a:alpha val="63000"/>
              </a:srgbClr>
            </a:outerShdw>
          </a:effectLst>
        </c:spPr>
        <c:marker>
          <c:symbol val="none"/>
        </c:marker>
        <c:dLbl>
          <c:idx val="0"/>
          <c:spPr>
            <a:solidFill>
              <a:srgbClr val="FFFF00"/>
            </a:solidFill>
            <a:ln>
              <a:noFill/>
            </a:ln>
            <a:effectLst>
              <a:softEdge rad="31750"/>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1A53FF">
              <a:alpha val="87451"/>
            </a:srgbClr>
          </a:solidFill>
          <a:ln>
            <a:noFill/>
          </a:ln>
          <a:effectLst>
            <a:outerShdw blurRad="57150" dist="19050" dir="5400000" algn="ctr" rotWithShape="0">
              <a:srgbClr val="000000">
                <a:alpha val="63000"/>
              </a:srgbClr>
            </a:outerShdw>
          </a:effectLst>
        </c:spPr>
        <c:marker>
          <c:symbol val="none"/>
        </c:marker>
        <c:dLbl>
          <c:idx val="0"/>
          <c:spPr>
            <a:solidFill>
              <a:schemeClr val="accent1">
                <a:lumMod val="60000"/>
                <a:lumOff val="40000"/>
              </a:schemeClr>
            </a:solidFill>
            <a:ln>
              <a:noFill/>
            </a:ln>
            <a:effectLst>
              <a:softEdge rad="31750"/>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5875" cap="rnd">
            <a:solidFill>
              <a:srgbClr val="99600B"/>
            </a:solidFill>
            <a:round/>
          </a:ln>
          <a:effectLst>
            <a:outerShdw blurRad="57150" dist="19050" dir="5400000" algn="ctr" rotWithShape="0">
              <a:srgbClr val="000000">
                <a:alpha val="63000"/>
              </a:srgbClr>
            </a:outerShdw>
          </a:effectLst>
        </c:spPr>
        <c:marker>
          <c:symbol val="circle"/>
          <c:size val="6"/>
          <c:spPr>
            <a:solidFill>
              <a:srgbClr val="99600B"/>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EF9B2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rgbClr val="E6D800">
              <a:alpha val="93000"/>
            </a:srgbClr>
          </a:solidFill>
          <a:ln>
            <a:noFill/>
          </a:ln>
          <a:effectLst>
            <a:outerShdw blurRad="57150" dist="19050" dir="5400000" algn="ctr" rotWithShape="0">
              <a:srgbClr val="000000">
                <a:alpha val="63000"/>
              </a:srgbClr>
            </a:outerShdw>
          </a:effectLst>
        </c:spPr>
        <c:marker>
          <c:symbol val="none"/>
        </c:marker>
        <c:dLbl>
          <c:idx val="0"/>
          <c:spPr>
            <a:solidFill>
              <a:srgbClr val="FFFF00"/>
            </a:solidFill>
            <a:ln>
              <a:noFill/>
            </a:ln>
            <a:effectLst>
              <a:softEdge rad="31750"/>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rgbClr val="1A53FF">
              <a:alpha val="87451"/>
            </a:srgbClr>
          </a:solidFill>
          <a:ln>
            <a:noFill/>
          </a:ln>
          <a:effectLst>
            <a:outerShdw blurRad="57150" dist="19050" dir="5400000" algn="ctr" rotWithShape="0">
              <a:srgbClr val="000000">
                <a:alpha val="63000"/>
              </a:srgbClr>
            </a:outerShdw>
          </a:effectLst>
        </c:spPr>
        <c:marker>
          <c:symbol val="none"/>
        </c:marker>
        <c:dLbl>
          <c:idx val="0"/>
          <c:spPr>
            <a:solidFill>
              <a:schemeClr val="accent1">
                <a:lumMod val="60000"/>
                <a:lumOff val="40000"/>
              </a:schemeClr>
            </a:solidFill>
            <a:ln>
              <a:noFill/>
            </a:ln>
            <a:effectLst>
              <a:softEdge rad="31750"/>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5875" cap="rnd">
            <a:solidFill>
              <a:srgbClr val="99600B"/>
            </a:solidFill>
            <a:round/>
          </a:ln>
          <a:effectLst>
            <a:outerShdw blurRad="57150" dist="19050" dir="5400000" algn="ctr" rotWithShape="0">
              <a:srgbClr val="000000">
                <a:alpha val="63000"/>
              </a:srgbClr>
            </a:outerShdw>
          </a:effectLst>
        </c:spPr>
        <c:marker>
          <c:symbol val="circle"/>
          <c:size val="6"/>
          <c:spPr>
            <a:solidFill>
              <a:schemeClr val="accent4">
                <a:lumMod val="50000"/>
              </a:schemeClr>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EF9B2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rgbClr val="E6D800">
              <a:alpha val="93000"/>
            </a:srgbClr>
          </a:solidFill>
          <a:ln>
            <a:noFill/>
          </a:ln>
          <a:effectLst>
            <a:outerShdw blurRad="57150" dist="19050" dir="5400000" algn="ctr" rotWithShape="0">
              <a:srgbClr val="000000">
                <a:alpha val="63000"/>
              </a:srgbClr>
            </a:outerShdw>
          </a:effectLst>
        </c:spPr>
        <c:marker>
          <c:symbol val="none"/>
        </c:marker>
        <c:dLbl>
          <c:idx val="0"/>
          <c:spPr>
            <a:solidFill>
              <a:srgbClr val="FFFF00"/>
            </a:solidFill>
            <a:ln>
              <a:noFill/>
            </a:ln>
            <a:effectLst>
              <a:softEdge rad="31750"/>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1A53FF">
              <a:alpha val="87451"/>
            </a:srgbClr>
          </a:solidFill>
          <a:ln>
            <a:noFill/>
          </a:ln>
          <a:effectLst>
            <a:outerShdw blurRad="57150" dist="19050" dir="5400000" algn="ctr" rotWithShape="0">
              <a:srgbClr val="000000">
                <a:alpha val="63000"/>
              </a:srgbClr>
            </a:outerShdw>
          </a:effectLst>
        </c:spPr>
        <c:marker>
          <c:symbol val="none"/>
        </c:marker>
        <c:dLbl>
          <c:idx val="0"/>
          <c:spPr>
            <a:solidFill>
              <a:schemeClr val="accent1">
                <a:lumMod val="60000"/>
                <a:lumOff val="40000"/>
              </a:schemeClr>
            </a:solidFill>
            <a:ln>
              <a:noFill/>
            </a:ln>
            <a:effectLst>
              <a:softEdge rad="31750"/>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5875" cap="rnd">
            <a:solidFill>
              <a:srgbClr val="99600B"/>
            </a:solidFill>
            <a:round/>
          </a:ln>
          <a:effectLst>
            <a:outerShdw blurRad="57150" dist="19050" dir="5400000" algn="ctr" rotWithShape="0">
              <a:srgbClr val="000000">
                <a:alpha val="63000"/>
              </a:srgbClr>
            </a:outerShdw>
          </a:effectLst>
        </c:spPr>
        <c:marker>
          <c:symbol val="circle"/>
          <c:size val="6"/>
          <c:spPr>
            <a:solidFill>
              <a:schemeClr val="accent4">
                <a:lumMod val="50000"/>
              </a:schemeClr>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
        <c:spPr>
          <a:solidFill>
            <a:srgbClr val="EF9B2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rgbClr val="E6D800">
              <a:alpha val="93000"/>
            </a:srgbClr>
          </a:solidFill>
          <a:ln>
            <a:noFill/>
          </a:ln>
          <a:effectLst>
            <a:outerShdw blurRad="57150" dist="19050" dir="5400000" algn="ctr" rotWithShape="0">
              <a:srgbClr val="000000">
                <a:alpha val="63000"/>
              </a:srgbClr>
            </a:outerShdw>
          </a:effectLst>
        </c:spPr>
        <c:marker>
          <c:symbol val="none"/>
        </c:marker>
        <c:dLbl>
          <c:idx val="0"/>
          <c:spPr>
            <a:solidFill>
              <a:srgbClr val="FFFF00"/>
            </a:solidFill>
            <a:ln>
              <a:noFill/>
            </a:ln>
            <a:effectLst>
              <a:softEdge rad="31750"/>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rgbClr val="1A53FF">
              <a:alpha val="87451"/>
            </a:srgbClr>
          </a:solidFill>
          <a:ln>
            <a:noFill/>
          </a:ln>
          <a:effectLst>
            <a:outerShdw blurRad="57150" dist="19050" dir="5400000" algn="ctr" rotWithShape="0">
              <a:srgbClr val="000000">
                <a:alpha val="63000"/>
              </a:srgbClr>
            </a:outerShdw>
          </a:effectLst>
        </c:spPr>
        <c:marker>
          <c:symbol val="none"/>
        </c:marker>
        <c:dLbl>
          <c:idx val="0"/>
          <c:spPr>
            <a:solidFill>
              <a:schemeClr val="accent1">
                <a:lumMod val="60000"/>
                <a:lumOff val="40000"/>
              </a:schemeClr>
            </a:solidFill>
            <a:ln>
              <a:noFill/>
            </a:ln>
            <a:effectLst>
              <a:softEdge rad="31750"/>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5875" cap="rnd">
            <a:solidFill>
              <a:srgbClr val="99600B"/>
            </a:solidFill>
            <a:round/>
          </a:ln>
          <a:effectLst>
            <a:outerShdw blurRad="57150" dist="19050" dir="5400000" algn="ctr" rotWithShape="0">
              <a:srgbClr val="000000">
                <a:alpha val="63000"/>
              </a:srgbClr>
            </a:outerShdw>
          </a:effectLst>
        </c:spPr>
        <c:marker>
          <c:symbol val="circle"/>
          <c:size val="6"/>
          <c:spPr>
            <a:solidFill>
              <a:schemeClr val="accent4">
                <a:lumMod val="50000"/>
              </a:schemeClr>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0"/>
        <c:spPr>
          <a:solidFill>
            <a:srgbClr val="EF9B2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1"/>
        <c:spPr>
          <a:solidFill>
            <a:srgbClr val="E6D800">
              <a:alpha val="93000"/>
            </a:srgbClr>
          </a:solidFill>
          <a:ln>
            <a:noFill/>
          </a:ln>
          <a:effectLst>
            <a:outerShdw blurRad="57150" dist="19050" dir="5400000" algn="ctr" rotWithShape="0">
              <a:srgbClr val="000000">
                <a:alpha val="63000"/>
              </a:srgbClr>
            </a:outerShdw>
          </a:effectLst>
        </c:spPr>
        <c:marker>
          <c:symbol val="none"/>
        </c:marker>
        <c:dLbl>
          <c:idx val="0"/>
          <c:spPr>
            <a:solidFill>
              <a:srgbClr val="FFFF00"/>
            </a:solidFill>
            <a:ln>
              <a:noFill/>
            </a:ln>
            <a:effectLst>
              <a:softEdge rad="31750"/>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2"/>
        <c:spPr>
          <a:solidFill>
            <a:srgbClr val="1A53FF">
              <a:alpha val="87451"/>
            </a:srgbClr>
          </a:solidFill>
          <a:ln>
            <a:noFill/>
          </a:ln>
          <a:effectLst>
            <a:outerShdw blurRad="57150" dist="19050" dir="5400000" algn="ctr" rotWithShape="0">
              <a:srgbClr val="000000">
                <a:alpha val="63000"/>
              </a:srgbClr>
            </a:outerShdw>
          </a:effectLst>
        </c:spPr>
        <c:marker>
          <c:symbol val="none"/>
        </c:marker>
        <c:dLbl>
          <c:idx val="0"/>
          <c:spPr>
            <a:solidFill>
              <a:schemeClr val="accent1">
                <a:lumMod val="60000"/>
                <a:lumOff val="40000"/>
              </a:schemeClr>
            </a:solidFill>
            <a:ln>
              <a:noFill/>
            </a:ln>
            <a:effectLst>
              <a:softEdge rad="31750"/>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5875" cap="rnd">
            <a:solidFill>
              <a:srgbClr val="99600B"/>
            </a:solidFill>
            <a:round/>
          </a:ln>
          <a:effectLst>
            <a:outerShdw blurRad="57150" dist="19050" dir="5400000" algn="ctr" rotWithShape="0">
              <a:srgbClr val="000000">
                <a:alpha val="63000"/>
              </a:srgbClr>
            </a:outerShdw>
          </a:effectLst>
        </c:spPr>
        <c:marker>
          <c:symbol val="circle"/>
          <c:size val="6"/>
          <c:spPr>
            <a:solidFill>
              <a:schemeClr val="accent4">
                <a:lumMod val="50000"/>
              </a:schemeClr>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4"/>
        <c:spPr>
          <a:solidFill>
            <a:srgbClr val="EF9B2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5"/>
        <c:spPr>
          <a:solidFill>
            <a:srgbClr val="E6D800">
              <a:alpha val="93000"/>
            </a:srgbClr>
          </a:solidFill>
          <a:ln>
            <a:noFill/>
          </a:ln>
          <a:effectLst>
            <a:outerShdw blurRad="57150" dist="19050" dir="5400000" algn="ctr" rotWithShape="0">
              <a:srgbClr val="000000">
                <a:alpha val="63000"/>
              </a:srgbClr>
            </a:outerShdw>
          </a:effectLst>
        </c:spPr>
        <c:marker>
          <c:symbol val="none"/>
        </c:marker>
        <c:dLbl>
          <c:idx val="0"/>
          <c:spPr>
            <a:solidFill>
              <a:srgbClr val="FFFF00"/>
            </a:solidFill>
            <a:ln>
              <a:noFill/>
            </a:ln>
            <a:effectLst>
              <a:softEdge rad="31750"/>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solidFill>
            <a:srgbClr val="1A53FF">
              <a:alpha val="87451"/>
            </a:srgbClr>
          </a:solidFill>
          <a:ln>
            <a:noFill/>
          </a:ln>
          <a:effectLst>
            <a:outerShdw blurRad="57150" dist="19050" dir="5400000" algn="ctr" rotWithShape="0">
              <a:srgbClr val="000000">
                <a:alpha val="63000"/>
              </a:srgbClr>
            </a:outerShdw>
          </a:effectLst>
        </c:spPr>
        <c:marker>
          <c:symbol val="none"/>
        </c:marker>
        <c:dLbl>
          <c:idx val="0"/>
          <c:spPr>
            <a:solidFill>
              <a:schemeClr val="accent1">
                <a:lumMod val="60000"/>
                <a:lumOff val="40000"/>
              </a:schemeClr>
            </a:solidFill>
            <a:ln>
              <a:noFill/>
            </a:ln>
            <a:effectLst>
              <a:softEdge rad="31750"/>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7"/>
        <c:spPr>
          <a:ln w="15875" cap="rnd">
            <a:solidFill>
              <a:srgbClr val="99600B"/>
            </a:solidFill>
            <a:round/>
          </a:ln>
          <a:effectLst>
            <a:outerShdw blurRad="57150" dist="19050" dir="5400000" algn="ctr" rotWithShape="0">
              <a:srgbClr val="000000">
                <a:alpha val="63000"/>
              </a:srgbClr>
            </a:outerShdw>
          </a:effectLst>
        </c:spPr>
        <c:marker>
          <c:symbol val="circle"/>
          <c:size val="6"/>
          <c:spPr>
            <a:solidFill>
              <a:schemeClr val="accent4">
                <a:lumMod val="50000"/>
              </a:schemeClr>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5875" cap="rnd">
            <a:solidFill>
              <a:srgbClr val="99600B"/>
            </a:solidFill>
            <a:round/>
          </a:ln>
          <a:effectLst>
            <a:outerShdw blurRad="57150" dist="19050" dir="5400000" algn="ctr" rotWithShape="0">
              <a:srgbClr val="000000">
                <a:alpha val="63000"/>
              </a:srgbClr>
            </a:outerShdw>
          </a:effectLst>
        </c:spPr>
        <c:marker>
          <c:symbol val="circle"/>
          <c:size val="6"/>
          <c:spPr>
            <a:solidFill>
              <a:schemeClr val="accent4">
                <a:lumMod val="50000"/>
              </a:schemeClr>
            </a:solidFill>
            <a:ln w="9525">
              <a:noFill/>
              <a:round/>
            </a:ln>
            <a:effectLst>
              <a:outerShdw blurRad="57150" dist="19050" dir="5400000" algn="ctr" rotWithShape="0">
                <a:srgbClr val="000000">
                  <a:alpha val="63000"/>
                </a:srgbClr>
              </a:outerShdw>
            </a:effectLst>
          </c:spPr>
        </c:marker>
        <c:dLbl>
          <c:idx val="0"/>
          <c:layout>
            <c:manualLayout>
              <c:x val="-2.7259585303720791E-2"/>
              <c:y val="-3.4131206269391978E-2"/>
            </c:manualLayout>
          </c:layout>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5875" cap="rnd">
            <a:solidFill>
              <a:srgbClr val="99600B"/>
            </a:solidFill>
            <a:round/>
          </a:ln>
          <a:effectLst>
            <a:outerShdw blurRad="57150" dist="19050" dir="5400000" algn="ctr" rotWithShape="0">
              <a:srgbClr val="000000">
                <a:alpha val="63000"/>
              </a:srgbClr>
            </a:outerShdw>
          </a:effectLst>
        </c:spPr>
        <c:marker>
          <c:symbol val="circle"/>
          <c:size val="6"/>
          <c:spPr>
            <a:solidFill>
              <a:schemeClr val="accent4">
                <a:lumMod val="50000"/>
              </a:schemeClr>
            </a:solidFill>
            <a:ln w="9525">
              <a:noFill/>
              <a:round/>
            </a:ln>
            <a:effectLst>
              <a:outerShdw blurRad="57150" dist="19050" dir="5400000" algn="ctr" rotWithShape="0">
                <a:srgbClr val="000000">
                  <a:alpha val="63000"/>
                </a:srgbClr>
              </a:outerShdw>
            </a:effectLst>
          </c:spPr>
        </c:marker>
        <c:dLbl>
          <c:idx val="0"/>
          <c:layout>
            <c:manualLayout>
              <c:x val="-2.8774006709483057E-2"/>
              <c:y val="-3.6569149574348557E-2"/>
            </c:manualLayout>
          </c:layout>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5875" cap="rnd">
            <a:solidFill>
              <a:srgbClr val="99600B"/>
            </a:solidFill>
            <a:round/>
          </a:ln>
          <a:effectLst>
            <a:outerShdw blurRad="57150" dist="19050" dir="5400000" algn="ctr" rotWithShape="0">
              <a:srgbClr val="000000">
                <a:alpha val="63000"/>
              </a:srgbClr>
            </a:outerShdw>
          </a:effectLst>
        </c:spPr>
        <c:marker>
          <c:symbol val="circle"/>
          <c:size val="6"/>
          <c:spPr>
            <a:solidFill>
              <a:schemeClr val="accent4">
                <a:lumMod val="50000"/>
              </a:schemeClr>
            </a:solidFill>
            <a:ln w="9525">
              <a:noFill/>
              <a:round/>
            </a:ln>
            <a:effectLst>
              <a:outerShdw blurRad="57150" dist="19050" dir="5400000" algn="ctr" rotWithShape="0">
                <a:srgbClr val="000000">
                  <a:alpha val="63000"/>
                </a:srgbClr>
              </a:outerShdw>
            </a:effectLst>
          </c:spPr>
        </c:marker>
        <c:dLbl>
          <c:idx val="0"/>
          <c:layout>
            <c:manualLayout>
              <c:x val="-2.2716321086434049E-2"/>
              <c:y val="-3.4131206269391978E-2"/>
            </c:manualLayout>
          </c:layout>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5875" cap="rnd">
            <a:solidFill>
              <a:srgbClr val="99600B"/>
            </a:solidFill>
            <a:round/>
          </a:ln>
          <a:effectLst>
            <a:outerShdw blurRad="57150" dist="19050" dir="5400000" algn="ctr" rotWithShape="0">
              <a:srgbClr val="000000">
                <a:alpha val="63000"/>
              </a:srgbClr>
            </a:outerShdw>
          </a:effectLst>
        </c:spPr>
        <c:marker>
          <c:symbol val="circle"/>
          <c:size val="6"/>
          <c:spPr>
            <a:solidFill>
              <a:schemeClr val="accent4">
                <a:lumMod val="50000"/>
              </a:schemeClr>
            </a:solidFill>
            <a:ln w="9525">
              <a:noFill/>
              <a:round/>
            </a:ln>
            <a:effectLst>
              <a:outerShdw blurRad="57150" dist="19050" dir="5400000" algn="ctr" rotWithShape="0">
                <a:srgbClr val="000000">
                  <a:alpha val="63000"/>
                </a:srgbClr>
              </a:outerShdw>
            </a:effectLst>
          </c:spPr>
        </c:marker>
        <c:dLbl>
          <c:idx val="0"/>
          <c:layout>
            <c:manualLayout>
              <c:x val="-6.0576856230490648E-3"/>
              <c:y val="-2.4379433049565712E-2"/>
            </c:manualLayout>
          </c:layout>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5875" cap="rnd">
            <a:solidFill>
              <a:srgbClr val="99600B"/>
            </a:solidFill>
            <a:round/>
          </a:ln>
          <a:effectLst>
            <a:outerShdw blurRad="57150" dist="19050" dir="5400000" algn="ctr" rotWithShape="0">
              <a:srgbClr val="000000">
                <a:alpha val="63000"/>
              </a:srgbClr>
            </a:outerShdw>
          </a:effectLst>
        </c:spPr>
        <c:marker>
          <c:symbol val="circle"/>
          <c:size val="6"/>
          <c:spPr>
            <a:solidFill>
              <a:schemeClr val="accent4">
                <a:lumMod val="50000"/>
              </a:schemeClr>
            </a:solidFill>
            <a:ln w="9525">
              <a:noFill/>
              <a:round/>
            </a:ln>
            <a:effectLst>
              <a:outerShdw blurRad="57150" dist="19050" dir="5400000" algn="ctr" rotWithShape="0">
                <a:srgbClr val="000000">
                  <a:alpha val="63000"/>
                </a:srgbClr>
              </a:outerShdw>
            </a:effectLst>
          </c:spPr>
        </c:marker>
        <c:dLbl>
          <c:idx val="0"/>
          <c:layout>
            <c:manualLayout>
              <c:x val="1.5144214057622107E-3"/>
              <c:y val="-3.9007092879305115E-2"/>
            </c:manualLayout>
          </c:layout>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5875" cap="rnd">
            <a:solidFill>
              <a:srgbClr val="99600B"/>
            </a:solidFill>
            <a:round/>
          </a:ln>
          <a:effectLst>
            <a:outerShdw blurRad="57150" dist="19050" dir="5400000" algn="ctr" rotWithShape="0">
              <a:srgbClr val="000000">
                <a:alpha val="63000"/>
              </a:srgbClr>
            </a:outerShdw>
          </a:effectLst>
        </c:spPr>
        <c:marker>
          <c:symbol val="circle"/>
          <c:size val="6"/>
          <c:spPr>
            <a:solidFill>
              <a:schemeClr val="accent4">
                <a:lumMod val="50000"/>
              </a:schemeClr>
            </a:solidFill>
            <a:ln w="9525">
              <a:noFill/>
              <a:round/>
            </a:ln>
            <a:effectLst>
              <a:outerShdw blurRad="57150" dist="19050" dir="5400000" algn="ctr" rotWithShape="0">
                <a:srgbClr val="000000">
                  <a:alpha val="63000"/>
                </a:srgbClr>
              </a:outerShdw>
            </a:effectLst>
          </c:spPr>
        </c:marker>
        <c:dLbl>
          <c:idx val="0"/>
          <c:layout>
            <c:manualLayout>
              <c:x val="-4.5432642172867988E-3"/>
              <c:y val="-4.1445036184261687E-2"/>
            </c:manualLayout>
          </c:layout>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5875" cap="rnd">
            <a:solidFill>
              <a:srgbClr val="99600B"/>
            </a:solidFill>
            <a:round/>
          </a:ln>
          <a:effectLst>
            <a:outerShdw blurRad="57150" dist="19050" dir="5400000" algn="ctr" rotWithShape="0">
              <a:srgbClr val="000000">
                <a:alpha val="63000"/>
              </a:srgbClr>
            </a:outerShdw>
          </a:effectLst>
        </c:spPr>
        <c:marker>
          <c:symbol val="circle"/>
          <c:size val="6"/>
          <c:spPr>
            <a:solidFill>
              <a:schemeClr val="accent4">
                <a:lumMod val="50000"/>
              </a:schemeClr>
            </a:solidFill>
            <a:ln w="9525">
              <a:noFill/>
              <a:round/>
            </a:ln>
            <a:effectLst>
              <a:outerShdw blurRad="57150" dist="19050" dir="5400000" algn="ctr" rotWithShape="0">
                <a:srgbClr val="000000">
                  <a:alpha val="63000"/>
                </a:srgbClr>
              </a:outerShdw>
            </a:effectLst>
          </c:spPr>
        </c:marker>
        <c:dLbl>
          <c:idx val="0"/>
          <c:layout>
            <c:manualLayout>
              <c:x val="3.0288428115244214E-3"/>
              <c:y val="-3.6569149574348557E-2"/>
            </c:manualLayout>
          </c:layout>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5875" cap="rnd">
            <a:solidFill>
              <a:srgbClr val="99600B"/>
            </a:solidFill>
            <a:round/>
          </a:ln>
          <a:effectLst>
            <a:outerShdw blurRad="57150" dist="19050" dir="5400000" algn="ctr" rotWithShape="0">
              <a:srgbClr val="000000">
                <a:alpha val="63000"/>
              </a:srgbClr>
            </a:outerShdw>
          </a:effectLst>
        </c:spPr>
        <c:marker>
          <c:symbol val="circle"/>
          <c:size val="6"/>
          <c:spPr>
            <a:solidFill>
              <a:schemeClr val="accent4">
                <a:lumMod val="50000"/>
              </a:schemeClr>
            </a:solidFill>
            <a:ln w="9525">
              <a:noFill/>
              <a:round/>
            </a:ln>
            <a:effectLst>
              <a:outerShdw blurRad="57150" dist="19050" dir="5400000" algn="ctr" rotWithShape="0">
                <a:srgbClr val="000000">
                  <a:alpha val="63000"/>
                </a:srgbClr>
              </a:outerShdw>
            </a:effectLst>
          </c:spPr>
        </c:marker>
        <c:dLbl>
          <c:idx val="0"/>
          <c:layout>
            <c:manualLayout>
              <c:x val="-1.3629792651860395E-2"/>
              <c:y val="-4.632092279417481E-2"/>
            </c:manualLayout>
          </c:layout>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5875" cap="rnd">
            <a:solidFill>
              <a:srgbClr val="99600B"/>
            </a:solidFill>
            <a:round/>
          </a:ln>
          <a:effectLst>
            <a:outerShdw blurRad="57150" dist="19050" dir="5400000" algn="ctr" rotWithShape="0">
              <a:srgbClr val="000000">
                <a:alpha val="63000"/>
              </a:srgbClr>
            </a:outerShdw>
          </a:effectLst>
        </c:spPr>
        <c:marker>
          <c:symbol val="circle"/>
          <c:size val="6"/>
          <c:spPr>
            <a:solidFill>
              <a:schemeClr val="accent4">
                <a:lumMod val="50000"/>
              </a:schemeClr>
            </a:solidFill>
            <a:ln w="9525">
              <a:noFill/>
              <a:round/>
            </a:ln>
            <a:effectLst>
              <a:outerShdw blurRad="57150" dist="19050" dir="5400000" algn="ctr" rotWithShape="0">
                <a:srgbClr val="000000">
                  <a:alpha val="63000"/>
                </a:srgbClr>
              </a:outerShdw>
            </a:effectLst>
          </c:spPr>
        </c:marker>
        <c:dLbl>
          <c:idx val="0"/>
          <c:layout>
            <c:manualLayout>
              <c:x val="-1.0600949840335864E-2"/>
              <c:y val="-3.9007092879305115E-2"/>
            </c:manualLayout>
          </c:layout>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7"/>
        <c:spPr>
          <a:ln w="15875" cap="rnd">
            <a:solidFill>
              <a:srgbClr val="99600B"/>
            </a:solidFill>
            <a:round/>
          </a:ln>
          <a:effectLst>
            <a:outerShdw blurRad="57150" dist="19050" dir="5400000" algn="ctr" rotWithShape="0">
              <a:srgbClr val="000000">
                <a:alpha val="63000"/>
              </a:srgbClr>
            </a:outerShdw>
          </a:effectLst>
        </c:spPr>
        <c:marker>
          <c:symbol val="circle"/>
          <c:size val="6"/>
          <c:spPr>
            <a:solidFill>
              <a:schemeClr val="accent4">
                <a:lumMod val="50000"/>
              </a:schemeClr>
            </a:solidFill>
            <a:ln w="9525">
              <a:noFill/>
              <a:round/>
            </a:ln>
            <a:effectLst>
              <a:outerShdw blurRad="57150" dist="19050" dir="5400000" algn="ctr" rotWithShape="0">
                <a:srgbClr val="000000">
                  <a:alpha val="63000"/>
                </a:srgbClr>
              </a:outerShdw>
            </a:effectLst>
          </c:spPr>
        </c:marker>
      </c:pivotFmt>
      <c:pivotFmt>
        <c:idx val="78"/>
        <c:spPr>
          <a:ln w="15875" cap="rnd">
            <a:solidFill>
              <a:srgbClr val="99600B"/>
            </a:solidFill>
            <a:round/>
          </a:ln>
          <a:effectLst>
            <a:outerShdw blurRad="57150" dist="19050" dir="5400000" algn="ctr" rotWithShape="0">
              <a:srgbClr val="000000">
                <a:alpha val="63000"/>
              </a:srgbClr>
            </a:outerShdw>
          </a:effectLst>
        </c:spPr>
        <c:marker>
          <c:symbol val="circle"/>
          <c:size val="6"/>
          <c:spPr>
            <a:solidFill>
              <a:schemeClr val="accent4">
                <a:lumMod val="50000"/>
              </a:schemeClr>
            </a:solidFill>
            <a:ln w="9525">
              <a:noFill/>
              <a:round/>
            </a:ln>
            <a:effectLst>
              <a:outerShdw blurRad="57150" dist="19050" dir="5400000" algn="ctr" rotWithShape="0">
                <a:srgbClr val="000000">
                  <a:alpha val="63000"/>
                </a:srgbClr>
              </a:outerShdw>
            </a:effectLst>
          </c:spPr>
        </c:marker>
      </c:pivotFmt>
      <c:pivotFmt>
        <c:idx val="79"/>
        <c:spPr>
          <a:ln w="15875" cap="rnd">
            <a:solidFill>
              <a:srgbClr val="99600B"/>
            </a:solidFill>
            <a:round/>
          </a:ln>
          <a:effectLst>
            <a:outerShdw blurRad="57150" dist="19050" dir="5400000" algn="ctr" rotWithShape="0">
              <a:srgbClr val="000000">
                <a:alpha val="63000"/>
              </a:srgbClr>
            </a:outerShdw>
          </a:effectLst>
        </c:spPr>
        <c:marker>
          <c:symbol val="circle"/>
          <c:size val="6"/>
          <c:spPr>
            <a:solidFill>
              <a:schemeClr val="accent4">
                <a:lumMod val="50000"/>
              </a:schemeClr>
            </a:solidFill>
            <a:ln w="9525">
              <a:noFill/>
              <a:round/>
            </a:ln>
            <a:effectLst>
              <a:outerShdw blurRad="57150" dist="19050" dir="5400000" algn="ctr" rotWithShape="0">
                <a:srgbClr val="000000">
                  <a:alpha val="63000"/>
                </a:srgbClr>
              </a:outerShdw>
            </a:effectLst>
          </c:spPr>
        </c:marker>
      </c:pivotFmt>
      <c:pivotFmt>
        <c:idx val="80"/>
        <c:spPr>
          <a:ln w="15875" cap="rnd">
            <a:solidFill>
              <a:srgbClr val="99600B"/>
            </a:solidFill>
            <a:round/>
          </a:ln>
          <a:effectLst>
            <a:outerShdw blurRad="57150" dist="19050" dir="5400000" algn="ctr" rotWithShape="0">
              <a:srgbClr val="000000">
                <a:alpha val="63000"/>
              </a:srgbClr>
            </a:outerShdw>
          </a:effectLst>
        </c:spPr>
        <c:marker>
          <c:symbol val="circle"/>
          <c:size val="6"/>
          <c:spPr>
            <a:solidFill>
              <a:schemeClr val="accent4">
                <a:lumMod val="50000"/>
              </a:schemeClr>
            </a:solidFill>
            <a:ln w="9525">
              <a:noFill/>
              <a:round/>
            </a:ln>
            <a:effectLst>
              <a:outerShdw blurRad="57150" dist="19050" dir="5400000" algn="ctr" rotWithShape="0">
                <a:srgbClr val="000000">
                  <a:alpha val="63000"/>
                </a:srgbClr>
              </a:outerShdw>
            </a:effectLst>
          </c:spPr>
        </c:marker>
      </c:pivotFmt>
      <c:pivotFmt>
        <c:idx val="81"/>
        <c:spPr>
          <a:ln w="15875" cap="rnd">
            <a:solidFill>
              <a:srgbClr val="99600B"/>
            </a:solidFill>
            <a:round/>
          </a:ln>
          <a:effectLst>
            <a:outerShdw blurRad="57150" dist="19050" dir="5400000" algn="ctr" rotWithShape="0">
              <a:srgbClr val="000000">
                <a:alpha val="63000"/>
              </a:srgbClr>
            </a:outerShdw>
          </a:effectLst>
        </c:spPr>
        <c:marker>
          <c:symbol val="circle"/>
          <c:size val="6"/>
          <c:spPr>
            <a:solidFill>
              <a:schemeClr val="accent4">
                <a:lumMod val="50000"/>
              </a:schemeClr>
            </a:solidFill>
            <a:ln w="9525">
              <a:noFill/>
              <a:round/>
            </a:ln>
            <a:effectLst>
              <a:outerShdw blurRad="57150" dist="19050" dir="5400000" algn="ctr" rotWithShape="0">
                <a:srgbClr val="000000">
                  <a:alpha val="63000"/>
                </a:srgbClr>
              </a:outerShdw>
            </a:effectLst>
          </c:spPr>
        </c:marker>
      </c:pivotFmt>
    </c:pivotFmts>
    <c:plotArea>
      <c:layout>
        <c:manualLayout>
          <c:layoutTarget val="inner"/>
          <c:xMode val="edge"/>
          <c:yMode val="edge"/>
          <c:x val="0.11987562038524821"/>
          <c:y val="0.13727177831294327"/>
          <c:w val="0.78288603842881155"/>
          <c:h val="0.54729047109604667"/>
        </c:manualLayout>
      </c:layout>
      <c:barChart>
        <c:barDir val="col"/>
        <c:grouping val="clustered"/>
        <c:varyColors val="0"/>
        <c:ser>
          <c:idx val="0"/>
          <c:order val="0"/>
          <c:tx>
            <c:strRef>
              <c:f>RTT!$B$5</c:f>
              <c:strCache>
                <c:ptCount val="1"/>
                <c:pt idx="0">
                  <c:v> CD4_tests</c:v>
                </c:pt>
              </c:strCache>
            </c:strRef>
          </c:tx>
          <c:spPr>
            <a:solidFill>
              <a:srgbClr val="EF9B2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RTT!$A$6:$A$42</c:f>
              <c:multiLvlStrCache>
                <c:ptCount val="17"/>
                <c:lvl>
                  <c:pt idx="0">
                    <c:v>14</c:v>
                  </c:pt>
                  <c:pt idx="1">
                    <c:v>36</c:v>
                  </c:pt>
                  <c:pt idx="2">
                    <c:v>44</c:v>
                  </c:pt>
                  <c:pt idx="3">
                    <c:v>50</c:v>
                  </c:pt>
                  <c:pt idx="4">
                    <c:v>67</c:v>
                  </c:pt>
                  <c:pt idx="5">
                    <c:v>45</c:v>
                  </c:pt>
                  <c:pt idx="6">
                    <c:v>64</c:v>
                  </c:pt>
                  <c:pt idx="7">
                    <c:v>44</c:v>
                  </c:pt>
                  <c:pt idx="8">
                    <c:v>48</c:v>
                  </c:pt>
                  <c:pt idx="9">
                    <c:v>41</c:v>
                  </c:pt>
                  <c:pt idx="10">
                    <c:v>29</c:v>
                  </c:pt>
                  <c:pt idx="11">
                    <c:v>50</c:v>
                  </c:pt>
                  <c:pt idx="12">
                    <c:v>44</c:v>
                  </c:pt>
                  <c:pt idx="13">
                    <c:v>26</c:v>
                  </c:pt>
                  <c:pt idx="14">
                    <c:v>24</c:v>
                  </c:pt>
                  <c:pt idx="15">
                    <c:v>35</c:v>
                  </c:pt>
                  <c:pt idx="16">
                    <c:v>69</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2024</c:v>
                  </c:pt>
                  <c:pt idx="12">
                    <c:v>2025</c:v>
                  </c:pt>
                </c:lvl>
              </c:multiLvlStrCache>
            </c:multiLvlStrRef>
          </c:cat>
          <c:val>
            <c:numRef>
              <c:f>RTT!$B$6:$B$42</c:f>
              <c:numCache>
                <c:formatCode>General</c:formatCode>
                <c:ptCount val="17"/>
                <c:pt idx="0">
                  <c:v>14</c:v>
                </c:pt>
                <c:pt idx="1">
                  <c:v>36</c:v>
                </c:pt>
                <c:pt idx="2">
                  <c:v>44</c:v>
                </c:pt>
                <c:pt idx="3">
                  <c:v>37</c:v>
                </c:pt>
                <c:pt idx="4">
                  <c:v>42</c:v>
                </c:pt>
                <c:pt idx="5">
                  <c:v>45</c:v>
                </c:pt>
                <c:pt idx="6">
                  <c:v>64</c:v>
                </c:pt>
                <c:pt idx="7">
                  <c:v>44</c:v>
                </c:pt>
                <c:pt idx="8">
                  <c:v>48</c:v>
                </c:pt>
                <c:pt idx="9">
                  <c:v>41</c:v>
                </c:pt>
                <c:pt idx="10">
                  <c:v>29</c:v>
                </c:pt>
                <c:pt idx="11">
                  <c:v>50</c:v>
                </c:pt>
                <c:pt idx="12">
                  <c:v>44</c:v>
                </c:pt>
                <c:pt idx="13">
                  <c:v>26</c:v>
                </c:pt>
                <c:pt idx="14">
                  <c:v>24</c:v>
                </c:pt>
                <c:pt idx="15">
                  <c:v>34</c:v>
                </c:pt>
                <c:pt idx="16">
                  <c:v>35</c:v>
                </c:pt>
              </c:numCache>
            </c:numRef>
          </c:val>
          <c:extLst>
            <c:ext xmlns:c16="http://schemas.microsoft.com/office/drawing/2014/chart" uri="{C3380CC4-5D6E-409C-BE32-E72D297353CC}">
              <c16:uniqueId val="{00000000-2052-4E65-A5A9-962A6AFD74C0}"/>
            </c:ext>
          </c:extLst>
        </c:ser>
        <c:ser>
          <c:idx val="1"/>
          <c:order val="1"/>
          <c:tx>
            <c:strRef>
              <c:f>RTT!$C$5</c:f>
              <c:strCache>
                <c:ptCount val="1"/>
                <c:pt idx="0">
                  <c:v> LAM_tests</c:v>
                </c:pt>
              </c:strCache>
            </c:strRef>
          </c:tx>
          <c:spPr>
            <a:solidFill>
              <a:srgbClr val="E6D800">
                <a:alpha val="93000"/>
              </a:srgbClr>
            </a:solidFill>
            <a:ln>
              <a:noFill/>
            </a:ln>
            <a:effectLst>
              <a:outerShdw blurRad="57150" dist="19050" dir="5400000" algn="ctr" rotWithShape="0">
                <a:srgbClr val="000000">
                  <a:alpha val="63000"/>
                </a:srgbClr>
              </a:outerShdw>
            </a:effectLst>
          </c:spPr>
          <c:invertIfNegative val="0"/>
          <c:dLbls>
            <c:spPr>
              <a:solidFill>
                <a:srgbClr val="FFFF00"/>
              </a:solidFill>
              <a:ln>
                <a:noFill/>
              </a:ln>
              <a:effectLst>
                <a:softEdge rad="31750"/>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RTT!$A$6:$A$42</c:f>
              <c:multiLvlStrCache>
                <c:ptCount val="17"/>
                <c:lvl>
                  <c:pt idx="0">
                    <c:v>14</c:v>
                  </c:pt>
                  <c:pt idx="1">
                    <c:v>36</c:v>
                  </c:pt>
                  <c:pt idx="2">
                    <c:v>44</c:v>
                  </c:pt>
                  <c:pt idx="3">
                    <c:v>50</c:v>
                  </c:pt>
                  <c:pt idx="4">
                    <c:v>67</c:v>
                  </c:pt>
                  <c:pt idx="5">
                    <c:v>45</c:v>
                  </c:pt>
                  <c:pt idx="6">
                    <c:v>64</c:v>
                  </c:pt>
                  <c:pt idx="7">
                    <c:v>44</c:v>
                  </c:pt>
                  <c:pt idx="8">
                    <c:v>48</c:v>
                  </c:pt>
                  <c:pt idx="9">
                    <c:v>41</c:v>
                  </c:pt>
                  <c:pt idx="10">
                    <c:v>29</c:v>
                  </c:pt>
                  <c:pt idx="11">
                    <c:v>50</c:v>
                  </c:pt>
                  <c:pt idx="12">
                    <c:v>44</c:v>
                  </c:pt>
                  <c:pt idx="13">
                    <c:v>26</c:v>
                  </c:pt>
                  <c:pt idx="14">
                    <c:v>24</c:v>
                  </c:pt>
                  <c:pt idx="15">
                    <c:v>35</c:v>
                  </c:pt>
                  <c:pt idx="16">
                    <c:v>69</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2024</c:v>
                  </c:pt>
                  <c:pt idx="12">
                    <c:v>2025</c:v>
                  </c:pt>
                </c:lvl>
              </c:multiLvlStrCache>
            </c:multiLvlStrRef>
          </c:cat>
          <c:val>
            <c:numRef>
              <c:f>RTT!$C$6:$C$42</c:f>
              <c:numCache>
                <c:formatCode>General</c:formatCode>
                <c:ptCount val="17"/>
                <c:pt idx="0">
                  <c:v>2</c:v>
                </c:pt>
                <c:pt idx="1">
                  <c:v>10</c:v>
                </c:pt>
                <c:pt idx="2">
                  <c:v>11</c:v>
                </c:pt>
                <c:pt idx="3">
                  <c:v>0</c:v>
                </c:pt>
                <c:pt idx="4">
                  <c:v>0</c:v>
                </c:pt>
                <c:pt idx="5">
                  <c:v>0</c:v>
                </c:pt>
                <c:pt idx="6">
                  <c:v>0</c:v>
                </c:pt>
                <c:pt idx="7">
                  <c:v>2</c:v>
                </c:pt>
                <c:pt idx="8">
                  <c:v>20</c:v>
                </c:pt>
                <c:pt idx="9">
                  <c:v>11</c:v>
                </c:pt>
                <c:pt idx="10">
                  <c:v>5</c:v>
                </c:pt>
                <c:pt idx="11">
                  <c:v>16</c:v>
                </c:pt>
                <c:pt idx="12">
                  <c:v>9</c:v>
                </c:pt>
                <c:pt idx="13">
                  <c:v>5</c:v>
                </c:pt>
                <c:pt idx="14">
                  <c:v>4</c:v>
                </c:pt>
                <c:pt idx="15">
                  <c:v>6</c:v>
                </c:pt>
                <c:pt idx="16">
                  <c:v>3</c:v>
                </c:pt>
              </c:numCache>
            </c:numRef>
          </c:val>
          <c:extLst>
            <c:ext xmlns:c16="http://schemas.microsoft.com/office/drawing/2014/chart" uri="{C3380CC4-5D6E-409C-BE32-E72D297353CC}">
              <c16:uniqueId val="{00000001-2052-4E65-A5A9-962A6AFD74C0}"/>
            </c:ext>
          </c:extLst>
        </c:ser>
        <c:ser>
          <c:idx val="2"/>
          <c:order val="2"/>
          <c:tx>
            <c:strRef>
              <c:f>RTT!$D$5</c:f>
              <c:strCache>
                <c:ptCount val="1"/>
                <c:pt idx="0">
                  <c:v>CrAg-tests</c:v>
                </c:pt>
              </c:strCache>
            </c:strRef>
          </c:tx>
          <c:spPr>
            <a:solidFill>
              <a:srgbClr val="1A53FF">
                <a:alpha val="87451"/>
              </a:srgbClr>
            </a:solidFill>
            <a:ln>
              <a:noFill/>
            </a:ln>
            <a:effectLst>
              <a:outerShdw blurRad="57150" dist="19050" dir="5400000" algn="ctr" rotWithShape="0">
                <a:srgbClr val="000000">
                  <a:alpha val="63000"/>
                </a:srgbClr>
              </a:outerShdw>
            </a:effectLst>
          </c:spPr>
          <c:invertIfNegative val="0"/>
          <c:dLbls>
            <c:spPr>
              <a:solidFill>
                <a:schemeClr val="accent1">
                  <a:lumMod val="60000"/>
                  <a:lumOff val="40000"/>
                </a:schemeClr>
              </a:solidFill>
              <a:ln>
                <a:noFill/>
              </a:ln>
              <a:effectLst>
                <a:softEdge rad="31750"/>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RTT!$A$6:$A$42</c:f>
              <c:multiLvlStrCache>
                <c:ptCount val="17"/>
                <c:lvl>
                  <c:pt idx="0">
                    <c:v>14</c:v>
                  </c:pt>
                  <c:pt idx="1">
                    <c:v>36</c:v>
                  </c:pt>
                  <c:pt idx="2">
                    <c:v>44</c:v>
                  </c:pt>
                  <c:pt idx="3">
                    <c:v>50</c:v>
                  </c:pt>
                  <c:pt idx="4">
                    <c:v>67</c:v>
                  </c:pt>
                  <c:pt idx="5">
                    <c:v>45</c:v>
                  </c:pt>
                  <c:pt idx="6">
                    <c:v>64</c:v>
                  </c:pt>
                  <c:pt idx="7">
                    <c:v>44</c:v>
                  </c:pt>
                  <c:pt idx="8">
                    <c:v>48</c:v>
                  </c:pt>
                  <c:pt idx="9">
                    <c:v>41</c:v>
                  </c:pt>
                  <c:pt idx="10">
                    <c:v>29</c:v>
                  </c:pt>
                  <c:pt idx="11">
                    <c:v>50</c:v>
                  </c:pt>
                  <c:pt idx="12">
                    <c:v>44</c:v>
                  </c:pt>
                  <c:pt idx="13">
                    <c:v>26</c:v>
                  </c:pt>
                  <c:pt idx="14">
                    <c:v>24</c:v>
                  </c:pt>
                  <c:pt idx="15">
                    <c:v>35</c:v>
                  </c:pt>
                  <c:pt idx="16">
                    <c:v>69</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2024</c:v>
                  </c:pt>
                  <c:pt idx="12">
                    <c:v>2025</c:v>
                  </c:pt>
                </c:lvl>
              </c:multiLvlStrCache>
            </c:multiLvlStrRef>
          </c:cat>
          <c:val>
            <c:numRef>
              <c:f>RTT!$D$6:$D$42</c:f>
              <c:numCache>
                <c:formatCode>General</c:formatCode>
                <c:ptCount val="17"/>
                <c:pt idx="0">
                  <c:v>2</c:v>
                </c:pt>
                <c:pt idx="1">
                  <c:v>10</c:v>
                </c:pt>
                <c:pt idx="2">
                  <c:v>11</c:v>
                </c:pt>
                <c:pt idx="3">
                  <c:v>8</c:v>
                </c:pt>
                <c:pt idx="4">
                  <c:v>11</c:v>
                </c:pt>
                <c:pt idx="5">
                  <c:v>0</c:v>
                </c:pt>
                <c:pt idx="6">
                  <c:v>16</c:v>
                </c:pt>
                <c:pt idx="7">
                  <c:v>11</c:v>
                </c:pt>
                <c:pt idx="8">
                  <c:v>20</c:v>
                </c:pt>
                <c:pt idx="9">
                  <c:v>11</c:v>
                </c:pt>
                <c:pt idx="10">
                  <c:v>5</c:v>
                </c:pt>
                <c:pt idx="11">
                  <c:v>16</c:v>
                </c:pt>
                <c:pt idx="12">
                  <c:v>9</c:v>
                </c:pt>
                <c:pt idx="13">
                  <c:v>5</c:v>
                </c:pt>
                <c:pt idx="14">
                  <c:v>4</c:v>
                </c:pt>
                <c:pt idx="15">
                  <c:v>6</c:v>
                </c:pt>
                <c:pt idx="16">
                  <c:v>3</c:v>
                </c:pt>
              </c:numCache>
            </c:numRef>
          </c:val>
          <c:extLst>
            <c:ext xmlns:c16="http://schemas.microsoft.com/office/drawing/2014/chart" uri="{C3380CC4-5D6E-409C-BE32-E72D297353CC}">
              <c16:uniqueId val="{00000002-2052-4E65-A5A9-962A6AFD74C0}"/>
            </c:ext>
          </c:extLst>
        </c:ser>
        <c:dLbls>
          <c:showLegendKey val="0"/>
          <c:showVal val="0"/>
          <c:showCatName val="0"/>
          <c:showSerName val="0"/>
          <c:showPercent val="0"/>
          <c:showBubbleSize val="0"/>
        </c:dLbls>
        <c:gapWidth val="100"/>
        <c:overlap val="44"/>
        <c:axId val="939995816"/>
        <c:axId val="939997976"/>
      </c:barChart>
      <c:lineChart>
        <c:grouping val="standard"/>
        <c:varyColors val="0"/>
        <c:ser>
          <c:idx val="3"/>
          <c:order val="3"/>
          <c:tx>
            <c:strRef>
              <c:f>RTT!$E$5</c:f>
              <c:strCache>
                <c:ptCount val="1"/>
                <c:pt idx="0">
                  <c:v> AHD_screening_cov%</c:v>
                </c:pt>
              </c:strCache>
            </c:strRef>
          </c:tx>
          <c:spPr>
            <a:ln w="15875" cap="rnd">
              <a:solidFill>
                <a:srgbClr val="99600B"/>
              </a:solidFill>
              <a:round/>
            </a:ln>
            <a:effectLst>
              <a:outerShdw blurRad="57150" dist="19050" dir="5400000" algn="ctr" rotWithShape="0">
                <a:srgbClr val="000000">
                  <a:alpha val="63000"/>
                </a:srgbClr>
              </a:outerShdw>
            </a:effectLst>
          </c:spPr>
          <c:marker>
            <c:symbol val="circle"/>
            <c:size val="6"/>
            <c:spPr>
              <a:solidFill>
                <a:schemeClr val="accent4">
                  <a:lumMod val="50000"/>
                </a:schemeClr>
              </a:solidFill>
              <a:ln w="9525">
                <a:no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RTT!$A$6:$A$42</c:f>
              <c:multiLvlStrCache>
                <c:ptCount val="17"/>
                <c:lvl>
                  <c:pt idx="0">
                    <c:v>14</c:v>
                  </c:pt>
                  <c:pt idx="1">
                    <c:v>36</c:v>
                  </c:pt>
                  <c:pt idx="2">
                    <c:v>44</c:v>
                  </c:pt>
                  <c:pt idx="3">
                    <c:v>50</c:v>
                  </c:pt>
                  <c:pt idx="4">
                    <c:v>67</c:v>
                  </c:pt>
                  <c:pt idx="5">
                    <c:v>45</c:v>
                  </c:pt>
                  <c:pt idx="6">
                    <c:v>64</c:v>
                  </c:pt>
                  <c:pt idx="7">
                    <c:v>44</c:v>
                  </c:pt>
                  <c:pt idx="8">
                    <c:v>48</c:v>
                  </c:pt>
                  <c:pt idx="9">
                    <c:v>41</c:v>
                  </c:pt>
                  <c:pt idx="10">
                    <c:v>29</c:v>
                  </c:pt>
                  <c:pt idx="11">
                    <c:v>50</c:v>
                  </c:pt>
                  <c:pt idx="12">
                    <c:v>44</c:v>
                  </c:pt>
                  <c:pt idx="13">
                    <c:v>26</c:v>
                  </c:pt>
                  <c:pt idx="14">
                    <c:v>24</c:v>
                  </c:pt>
                  <c:pt idx="15">
                    <c:v>35</c:v>
                  </c:pt>
                  <c:pt idx="16">
                    <c:v>69</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2024</c:v>
                  </c:pt>
                  <c:pt idx="12">
                    <c:v>2025</c:v>
                  </c:pt>
                </c:lvl>
              </c:multiLvlStrCache>
            </c:multiLvlStrRef>
          </c:cat>
          <c:val>
            <c:numRef>
              <c:f>RTT!$E$6:$E$42</c:f>
              <c:numCache>
                <c:formatCode>0%</c:formatCode>
                <c:ptCount val="17"/>
                <c:pt idx="0">
                  <c:v>1</c:v>
                </c:pt>
                <c:pt idx="1">
                  <c:v>1</c:v>
                </c:pt>
                <c:pt idx="2">
                  <c:v>1</c:v>
                </c:pt>
                <c:pt idx="3">
                  <c:v>0.74</c:v>
                </c:pt>
                <c:pt idx="4">
                  <c:v>0.62686567164179108</c:v>
                </c:pt>
                <c:pt idx="5">
                  <c:v>1</c:v>
                </c:pt>
                <c:pt idx="6">
                  <c:v>1</c:v>
                </c:pt>
                <c:pt idx="7">
                  <c:v>1</c:v>
                </c:pt>
                <c:pt idx="8">
                  <c:v>1</c:v>
                </c:pt>
                <c:pt idx="9">
                  <c:v>1</c:v>
                </c:pt>
                <c:pt idx="10">
                  <c:v>1</c:v>
                </c:pt>
                <c:pt idx="11">
                  <c:v>1</c:v>
                </c:pt>
                <c:pt idx="12">
                  <c:v>1</c:v>
                </c:pt>
                <c:pt idx="13">
                  <c:v>1</c:v>
                </c:pt>
                <c:pt idx="14">
                  <c:v>1</c:v>
                </c:pt>
                <c:pt idx="15">
                  <c:v>0.97142857142857142</c:v>
                </c:pt>
                <c:pt idx="16">
                  <c:v>0.50724637681159424</c:v>
                </c:pt>
              </c:numCache>
            </c:numRef>
          </c:val>
          <c:smooth val="1"/>
          <c:extLst>
            <c:ext xmlns:c16="http://schemas.microsoft.com/office/drawing/2014/chart" uri="{C3380CC4-5D6E-409C-BE32-E72D297353CC}">
              <c16:uniqueId val="{00000003-2052-4E65-A5A9-962A6AFD74C0}"/>
            </c:ext>
          </c:extLst>
        </c:ser>
        <c:dLbls>
          <c:showLegendKey val="0"/>
          <c:showVal val="0"/>
          <c:showCatName val="0"/>
          <c:showSerName val="0"/>
          <c:showPercent val="0"/>
          <c:showBubbleSize val="0"/>
        </c:dLbls>
        <c:marker val="1"/>
        <c:smooth val="0"/>
        <c:axId val="76707791"/>
        <c:axId val="76703471"/>
      </c:lineChart>
      <c:catAx>
        <c:axId val="939995816"/>
        <c:scaling>
          <c:orientation val="minMax"/>
        </c:scaling>
        <c:delete val="0"/>
        <c:axPos val="b"/>
        <c:title>
          <c:tx>
            <c:rich>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r>
                  <a:rPr lang="en-US"/>
                  <a:t>Number of RTTs per period</a:t>
                </a:r>
              </a:p>
            </c:rich>
          </c:tx>
          <c:layout>
            <c:manualLayout>
              <c:xMode val="edge"/>
              <c:yMode val="edge"/>
              <c:x val="0.41096463338797851"/>
              <c:y val="0.86945154104513156"/>
            </c:manualLayout>
          </c:layout>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accent1">
                <a:lumMod val="50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939997976"/>
        <c:crosses val="autoZero"/>
        <c:auto val="1"/>
        <c:lblAlgn val="ctr"/>
        <c:lblOffset val="100"/>
        <c:noMultiLvlLbl val="0"/>
      </c:catAx>
      <c:valAx>
        <c:axId val="939997976"/>
        <c:scaling>
          <c:orientation val="minMax"/>
          <c:max val="70"/>
          <c:min val="0"/>
        </c:scaling>
        <c:delete val="0"/>
        <c:axPos val="l"/>
        <c:title>
          <c:tx>
            <c:rich>
              <a:bodyPr rot="-54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r>
                  <a:rPr lang="en-US"/>
                  <a:t>Number of RTTs screened</a:t>
                </a:r>
              </a:p>
            </c:rich>
          </c:tx>
          <c:layout>
            <c:manualLayout>
              <c:xMode val="edge"/>
              <c:yMode val="edge"/>
              <c:x val="2.0439085632044572E-2"/>
              <c:y val="0.3572817205765732"/>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solidFill>
              <a:schemeClr val="accent1">
                <a:lumMod val="50000"/>
              </a:schemeClr>
            </a:solid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939995816"/>
        <c:crosses val="autoZero"/>
        <c:crossBetween val="between"/>
      </c:valAx>
      <c:valAx>
        <c:axId val="76703471"/>
        <c:scaling>
          <c:orientation val="minMax"/>
          <c:max val="1"/>
          <c:min val="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76707791"/>
        <c:crosses val="max"/>
        <c:crossBetween val="between"/>
      </c:valAx>
      <c:catAx>
        <c:axId val="76707791"/>
        <c:scaling>
          <c:orientation val="minMax"/>
        </c:scaling>
        <c:delete val="1"/>
        <c:axPos val="b"/>
        <c:numFmt formatCode="General" sourceLinked="1"/>
        <c:majorTickMark val="out"/>
        <c:minorTickMark val="none"/>
        <c:tickLblPos val="nextTo"/>
        <c:crossAx val="76703471"/>
        <c:crosses val="autoZero"/>
        <c:auto val="1"/>
        <c:lblAlgn val="ctr"/>
        <c:lblOffset val="100"/>
        <c:noMultiLvlLbl val="0"/>
      </c:catAx>
      <c:spPr>
        <a:noFill/>
        <a:ln>
          <a:noFill/>
        </a:ln>
        <a:effectLst/>
      </c:spPr>
    </c:plotArea>
    <c:legend>
      <c:legendPos val="r"/>
      <c:layout>
        <c:manualLayout>
          <c:xMode val="edge"/>
          <c:yMode val="edge"/>
          <c:x val="9.6936922174505377E-2"/>
          <c:y val="0.92507533192923752"/>
          <c:w val="0.81364850615199191"/>
          <c:h val="5.5643355908072963E-2"/>
        </c:manualLayout>
      </c:layout>
      <c:overlay val="0"/>
      <c:spPr>
        <a:noFill/>
        <a:ln w="6350">
          <a:solidFill>
            <a:schemeClr val="accent5">
              <a:lumMod val="40000"/>
              <a:lumOff val="60000"/>
            </a:schemeClr>
          </a:solid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lumMod val="60000"/>
          <a:lumOff val="40000"/>
        </a:schemeClr>
      </a:solidFill>
      <a:round/>
    </a:ln>
    <a:effectLst/>
  </c:spPr>
  <c:txPr>
    <a:bodyPr/>
    <a:lstStyle/>
    <a:p>
      <a:pPr>
        <a:defRPr sz="1100">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[AHD_Reporting_Form.xlsx]RTT!PivotTable2</c:name>
    <c:fmtId val="104"/>
  </c:pivotSource>
  <c:chart>
    <c:title>
      <c:tx>
        <c:rich>
          <a:bodyPr rot="0" spcFirstLastPara="1" vertOverflow="ellipsis" vert="horz" wrap="square" anchor="ctr" anchorCtr="1"/>
          <a:lstStyle/>
          <a:p>
            <a:pPr>
              <a:defRPr sz="1200" b="1" i="0" u="sng" strike="noStrike" kern="1200" baseline="0">
                <a:solidFill>
                  <a:sysClr val="windowText" lastClr="000000"/>
                </a:solidFill>
                <a:latin typeface="+mn-lt"/>
                <a:ea typeface="+mn-ea"/>
                <a:cs typeface="+mn-cs"/>
              </a:defRPr>
            </a:pPr>
            <a:r>
              <a:rPr lang="en-GB" sz="1200" u="sng"/>
              <a:t>AHD Yield among treatment Interrupters who returned to care</a:t>
            </a:r>
          </a:p>
        </c:rich>
      </c:tx>
      <c:layout>
        <c:manualLayout>
          <c:xMode val="edge"/>
          <c:yMode val="edge"/>
          <c:x val="0.27705729739804225"/>
          <c:y val="1.9702709185342424E-2"/>
        </c:manualLayout>
      </c:layout>
      <c:overlay val="0"/>
      <c:spPr>
        <a:noFill/>
        <a:ln>
          <a:noFill/>
        </a:ln>
        <a:effectLst/>
      </c:spPr>
      <c:txPr>
        <a:bodyPr rot="0" spcFirstLastPara="1" vertOverflow="ellipsis" vert="horz" wrap="square" anchor="ctr" anchorCtr="1"/>
        <a:lstStyle/>
        <a:p>
          <a:pPr>
            <a:defRPr sz="1200" b="1" i="0" u="sng" strike="noStrike" kern="1200" baseline="0">
              <a:solidFill>
                <a:sysClr val="windowText" lastClr="000000"/>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2"/>
            </a:solidFill>
            <a:round/>
          </a:ln>
          <a:effectLst>
            <a:outerShdw blurRad="57150" dist="19050" dir="5400000" algn="ctr" rotWithShape="0">
              <a:srgbClr val="000000">
                <a:alpha val="63000"/>
              </a:srgbClr>
            </a:outerShdw>
          </a:effectLst>
        </c:spPr>
        <c:marker>
          <c:symbol val="circle"/>
          <c:size val="4"/>
          <c:spPr>
            <a:solidFill>
              <a:schemeClr val="accent2"/>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5"/>
            </a:solidFill>
            <a:round/>
          </a:ln>
          <a:effectLst>
            <a:outerShdw blurRad="57150" dist="19050" dir="5400000" algn="ctr" rotWithShape="0">
              <a:srgbClr val="000000">
                <a:alpha val="63000"/>
              </a:srgbClr>
            </a:outerShdw>
          </a:effectLst>
        </c:spPr>
        <c:marker>
          <c:symbol val="circle"/>
          <c:size val="4"/>
          <c:spPr>
            <a:solidFill>
              <a:schemeClr val="accent5"/>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dLbl>
          <c:idx val="0"/>
          <c:layout>
            <c:manualLayout>
              <c:x val="-3.6779396559352875E-2"/>
              <c:y val="3.23599931903843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F9B20"/>
            </a:solidFill>
            <a:round/>
          </a:ln>
          <a:effectLst>
            <a:outerShdw blurRad="57150" dist="19050" dir="5400000" algn="ctr" rotWithShape="0">
              <a:srgbClr val="000000">
                <a:alpha val="63000"/>
              </a:srgbClr>
            </a:outerShdw>
          </a:effectLst>
        </c:spPr>
        <c:marker>
          <c:symbol val="circle"/>
          <c:size val="4"/>
          <c:spPr>
            <a:solidFill>
              <a:srgbClr val="EF9B20"/>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1A53FF"/>
            </a:solidFill>
            <a:round/>
          </a:ln>
          <a:effectLst>
            <a:outerShdw blurRad="57150" dist="19050" dir="5400000" algn="ctr" rotWithShape="0">
              <a:srgbClr val="000000">
                <a:alpha val="63000"/>
              </a:srgbClr>
            </a:outerShdw>
          </a:effectLst>
        </c:spPr>
        <c:marker>
          <c:symbol val="circle"/>
          <c:size val="4"/>
          <c:spPr>
            <a:solidFill>
              <a:srgbClr val="1A53FF"/>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dLbl>
          <c:idx val="0"/>
          <c:layout>
            <c:manualLayout>
              <c:x val="2.9845988186046887E-2"/>
              <c:y val="-1.793741126407416E-3"/>
            </c:manualLayout>
          </c:layout>
          <c:numFmt formatCode="0%" sourceLinked="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F9B20"/>
            </a:solidFill>
            <a:round/>
          </a:ln>
          <a:effectLst>
            <a:outerShdw blurRad="57150" dist="19050" dir="5400000" algn="ctr" rotWithShape="0">
              <a:srgbClr val="000000">
                <a:alpha val="63000"/>
              </a:srgbClr>
            </a:outerShdw>
          </a:effectLst>
        </c:spPr>
        <c:marker>
          <c:symbol val="circle"/>
          <c:size val="4"/>
          <c:spPr>
            <a:solidFill>
              <a:srgbClr val="EF9B20"/>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dLbl>
          <c:idx val="0"/>
          <c:layout>
            <c:manualLayout>
              <c:x val="2.9845988186046887E-2"/>
              <c:y val="-1.793741126407416E-3"/>
            </c:manualLayout>
          </c:layout>
          <c:numFmt formatCode="0%" sourceLinked="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1A53FF"/>
            </a:solidFill>
            <a:round/>
          </a:ln>
          <a:effectLst>
            <a:outerShdw blurRad="57150" dist="19050" dir="5400000" algn="ctr" rotWithShape="0">
              <a:srgbClr val="000000">
                <a:alpha val="63000"/>
              </a:srgbClr>
            </a:outerShdw>
          </a:effectLst>
        </c:spPr>
        <c:marker>
          <c:symbol val="circle"/>
          <c:size val="4"/>
          <c:spPr>
            <a:solidFill>
              <a:srgbClr val="1A53FF"/>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F9B20"/>
            </a:solidFill>
            <a:round/>
          </a:ln>
          <a:effectLst>
            <a:outerShdw blurRad="57150" dist="19050" dir="5400000" algn="ctr" rotWithShape="0">
              <a:srgbClr val="000000">
                <a:alpha val="63000"/>
              </a:srgbClr>
            </a:outerShdw>
          </a:effectLst>
        </c:spPr>
        <c:marker>
          <c:symbol val="circle"/>
          <c:size val="4"/>
          <c:spPr>
            <a:solidFill>
              <a:srgbClr val="EF9B20"/>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dLbl>
          <c:idx val="0"/>
          <c:layout>
            <c:manualLayout>
              <c:x val="2.9845988186046887E-2"/>
              <c:y val="-1.793741126407416E-3"/>
            </c:manualLayout>
          </c:layout>
          <c:numFmt formatCode="0%" sourceLinked="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1A53FF"/>
            </a:solidFill>
            <a:round/>
          </a:ln>
          <a:effectLst>
            <a:outerShdw blurRad="57150" dist="19050" dir="5400000" algn="ctr" rotWithShape="0">
              <a:srgbClr val="000000">
                <a:alpha val="63000"/>
              </a:srgbClr>
            </a:outerShdw>
          </a:effectLst>
        </c:spPr>
        <c:marker>
          <c:symbol val="circle"/>
          <c:size val="4"/>
          <c:spPr>
            <a:solidFill>
              <a:srgbClr val="1A53FF"/>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1A53FF"/>
            </a:solidFill>
            <a:round/>
          </a:ln>
          <a:effectLst>
            <a:outerShdw blurRad="57150" dist="19050" dir="5400000" algn="ctr" rotWithShape="0">
              <a:srgbClr val="000000">
                <a:alpha val="63000"/>
              </a:srgbClr>
            </a:outerShdw>
          </a:effectLst>
        </c:spPr>
        <c:marker>
          <c:symbol val="circle"/>
          <c:size val="4"/>
          <c:spPr>
            <a:solidFill>
              <a:srgbClr val="1A53FF"/>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1A53FF"/>
            </a:solidFill>
            <a:round/>
          </a:ln>
          <a:effectLst>
            <a:outerShdw blurRad="57150" dist="19050" dir="5400000" algn="ctr" rotWithShape="0">
              <a:srgbClr val="000000">
                <a:alpha val="63000"/>
              </a:srgbClr>
            </a:outerShdw>
          </a:effectLst>
        </c:spPr>
        <c:marker>
          <c:symbol val="circle"/>
          <c:size val="4"/>
          <c:spPr>
            <a:solidFill>
              <a:srgbClr val="1A53FF"/>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F9B20"/>
            </a:solidFill>
            <a:round/>
          </a:ln>
          <a:effectLst>
            <a:outerShdw blurRad="57150" dist="19050" dir="5400000" algn="ctr" rotWithShape="0">
              <a:srgbClr val="000000">
                <a:alpha val="63000"/>
              </a:srgbClr>
            </a:outerShdw>
          </a:effectLst>
        </c:spPr>
        <c:marker>
          <c:symbol val="circle"/>
          <c:size val="4"/>
          <c:spPr>
            <a:solidFill>
              <a:srgbClr val="EF9B20"/>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dLbl>
          <c:idx val="0"/>
          <c:layout>
            <c:manualLayout>
              <c:x val="2.9845988186046887E-2"/>
              <c:y val="-1.793741126407416E-3"/>
            </c:manualLayout>
          </c:layout>
          <c:numFmt formatCode="0%" sourceLinked="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1A53FF"/>
            </a:solidFill>
            <a:round/>
          </a:ln>
          <a:effectLst>
            <a:outerShdw blurRad="57150" dist="19050" dir="5400000" algn="ctr" rotWithShape="0">
              <a:srgbClr val="000000">
                <a:alpha val="63000"/>
              </a:srgbClr>
            </a:outerShdw>
          </a:effectLst>
        </c:spPr>
        <c:marker>
          <c:symbol val="circle"/>
          <c:size val="4"/>
          <c:spPr>
            <a:solidFill>
              <a:srgbClr val="1A53FF"/>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1A53FF"/>
            </a:solidFill>
            <a:round/>
          </a:ln>
          <a:effectLst>
            <a:outerShdw blurRad="57150" dist="19050" dir="5400000" algn="ctr" rotWithShape="0">
              <a:srgbClr val="000000">
                <a:alpha val="63000"/>
              </a:srgbClr>
            </a:outerShdw>
          </a:effectLst>
        </c:spPr>
        <c:marker>
          <c:symbol val="circle"/>
          <c:size val="4"/>
          <c:spPr>
            <a:solidFill>
              <a:srgbClr val="1A53FF"/>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1A53FF"/>
            </a:solidFill>
            <a:round/>
          </a:ln>
          <a:effectLst>
            <a:outerShdw blurRad="57150" dist="19050" dir="5400000" algn="ctr" rotWithShape="0">
              <a:srgbClr val="000000">
                <a:alpha val="63000"/>
              </a:srgbClr>
            </a:outerShdw>
          </a:effectLst>
        </c:spPr>
        <c:marker>
          <c:symbol val="circle"/>
          <c:size val="4"/>
          <c:spPr>
            <a:solidFill>
              <a:srgbClr val="1A53FF"/>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F9B20"/>
            </a:solidFill>
            <a:round/>
          </a:ln>
          <a:effectLst>
            <a:outerShdw blurRad="57150" dist="19050" dir="5400000" algn="ctr" rotWithShape="0">
              <a:srgbClr val="000000">
                <a:alpha val="63000"/>
              </a:srgbClr>
            </a:outerShdw>
          </a:effectLst>
        </c:spPr>
        <c:marker>
          <c:symbol val="circle"/>
          <c:size val="4"/>
          <c:spPr>
            <a:solidFill>
              <a:srgbClr val="EF9B20"/>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dLbl>
          <c:idx val="0"/>
          <c:layout>
            <c:manualLayout>
              <c:x val="2.9845988186046887E-2"/>
              <c:y val="-1.793741126407416E-3"/>
            </c:manualLayout>
          </c:layout>
          <c:numFmt formatCode="0%" sourceLinked="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1A53FF"/>
            </a:solidFill>
            <a:round/>
          </a:ln>
          <a:effectLst>
            <a:outerShdw blurRad="57150" dist="19050" dir="5400000" algn="ctr" rotWithShape="0">
              <a:srgbClr val="000000">
                <a:alpha val="63000"/>
              </a:srgbClr>
            </a:outerShdw>
          </a:effectLst>
        </c:spPr>
        <c:marker>
          <c:symbol val="circle"/>
          <c:size val="4"/>
          <c:spPr>
            <a:solidFill>
              <a:srgbClr val="1A53FF"/>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1A53FF"/>
            </a:solidFill>
            <a:round/>
          </a:ln>
          <a:effectLst>
            <a:outerShdw blurRad="57150" dist="19050" dir="5400000" algn="ctr" rotWithShape="0">
              <a:srgbClr val="000000">
                <a:alpha val="63000"/>
              </a:srgbClr>
            </a:outerShdw>
          </a:effectLst>
        </c:spPr>
        <c:marker>
          <c:symbol val="circle"/>
          <c:size val="4"/>
          <c:spPr>
            <a:solidFill>
              <a:srgbClr val="1A53FF"/>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1A53FF"/>
            </a:solidFill>
            <a:round/>
          </a:ln>
          <a:effectLst>
            <a:outerShdw blurRad="57150" dist="19050" dir="5400000" algn="ctr" rotWithShape="0">
              <a:srgbClr val="000000">
                <a:alpha val="63000"/>
              </a:srgbClr>
            </a:outerShdw>
          </a:effectLst>
        </c:spPr>
        <c:marker>
          <c:symbol val="circle"/>
          <c:size val="4"/>
          <c:spPr>
            <a:solidFill>
              <a:srgbClr val="1A53FF"/>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F9B20"/>
            </a:solidFill>
            <a:round/>
          </a:ln>
          <a:effectLst>
            <a:outerShdw blurRad="57150" dist="19050" dir="5400000" algn="ctr" rotWithShape="0">
              <a:srgbClr val="000000">
                <a:alpha val="63000"/>
              </a:srgbClr>
            </a:outerShdw>
          </a:effectLst>
        </c:spPr>
        <c:marker>
          <c:symbol val="circle"/>
          <c:size val="4"/>
          <c:spPr>
            <a:solidFill>
              <a:srgbClr val="EF9B20"/>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dLbl>
          <c:idx val="0"/>
          <c:layout>
            <c:manualLayout>
              <c:x val="2.9845988186046887E-2"/>
              <c:y val="-1.793741126407416E-3"/>
            </c:manualLayout>
          </c:layout>
          <c:numFmt formatCode="0%" sourceLinked="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1A53FF"/>
            </a:solidFill>
            <a:round/>
          </a:ln>
          <a:effectLst>
            <a:outerShdw blurRad="57150" dist="19050" dir="5400000" algn="ctr" rotWithShape="0">
              <a:srgbClr val="000000">
                <a:alpha val="63000"/>
              </a:srgbClr>
            </a:outerShdw>
          </a:effectLst>
        </c:spPr>
        <c:marker>
          <c:symbol val="circle"/>
          <c:size val="4"/>
          <c:spPr>
            <a:solidFill>
              <a:srgbClr val="1A53FF"/>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1A53FF"/>
            </a:solidFill>
            <a:round/>
          </a:ln>
          <a:effectLst>
            <a:outerShdw blurRad="57150" dist="19050" dir="5400000" algn="ctr" rotWithShape="0">
              <a:srgbClr val="000000">
                <a:alpha val="63000"/>
              </a:srgbClr>
            </a:outerShdw>
          </a:effectLst>
        </c:spPr>
        <c:marker>
          <c:symbol val="circle"/>
          <c:size val="4"/>
          <c:spPr>
            <a:solidFill>
              <a:srgbClr val="1A53FF"/>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1A53FF"/>
            </a:solidFill>
            <a:round/>
          </a:ln>
          <a:effectLst>
            <a:outerShdw blurRad="57150" dist="19050" dir="5400000" algn="ctr" rotWithShape="0">
              <a:srgbClr val="000000">
                <a:alpha val="63000"/>
              </a:srgbClr>
            </a:outerShdw>
          </a:effectLst>
        </c:spPr>
        <c:marker>
          <c:symbol val="circle"/>
          <c:size val="4"/>
          <c:spPr>
            <a:solidFill>
              <a:srgbClr val="1A53FF"/>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ln w="19050" cap="rnd">
            <a:solidFill>
              <a:srgbClr val="EF9B20"/>
            </a:solidFill>
            <a:round/>
          </a:ln>
          <a:effectLst>
            <a:outerShdw blurRad="57150" dist="19050" dir="5400000" algn="ctr" rotWithShape="0">
              <a:srgbClr val="000000">
                <a:alpha val="63000"/>
              </a:srgbClr>
            </a:outerShdw>
          </a:effectLst>
        </c:spPr>
        <c:marker>
          <c:symbol val="circle"/>
          <c:size val="4"/>
          <c:spPr>
            <a:solidFill>
              <a:srgbClr val="EF9B20"/>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2"/>
        <c:spPr>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dLbl>
          <c:idx val="0"/>
          <c:layout>
            <c:manualLayout>
              <c:x val="2.9845988186046887E-2"/>
              <c:y val="-1.793741126407416E-3"/>
            </c:manualLayout>
          </c:layout>
          <c:numFmt formatCode="0%" sourceLinked="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pivotFmt>
      <c:pivotFmt>
        <c:idx val="81"/>
        <c:spPr>
          <a:ln w="19050" cap="rnd">
            <a:solidFill>
              <a:srgbClr val="1A53FF"/>
            </a:solidFill>
            <a:round/>
          </a:ln>
          <a:effectLst>
            <a:outerShdw blurRad="57150" dist="19050" dir="5400000" algn="ctr" rotWithShape="0">
              <a:srgbClr val="000000">
                <a:alpha val="63000"/>
              </a:srgbClr>
            </a:outerShdw>
          </a:effectLst>
        </c:spPr>
        <c:marker>
          <c:symbol val="circle"/>
          <c:size val="4"/>
          <c:spPr>
            <a:solidFill>
              <a:srgbClr val="1A53FF"/>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1A53FF"/>
            </a:solidFill>
            <a:round/>
          </a:ln>
          <a:effectLst>
            <a:outerShdw blurRad="57150" dist="19050" dir="5400000" algn="ctr" rotWithShape="0">
              <a:srgbClr val="000000">
                <a:alpha val="63000"/>
              </a:srgbClr>
            </a:outerShdw>
          </a:effectLst>
        </c:spPr>
        <c:marker>
          <c:symbol val="circle"/>
          <c:size val="4"/>
          <c:spPr>
            <a:solidFill>
              <a:srgbClr val="1A53FF"/>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1A53FF"/>
            </a:solidFill>
            <a:round/>
          </a:ln>
          <a:effectLst>
            <a:outerShdw blurRad="57150" dist="19050" dir="5400000" algn="ctr" rotWithShape="0">
              <a:srgbClr val="000000">
                <a:alpha val="63000"/>
              </a:srgbClr>
            </a:outerShdw>
          </a:effectLst>
        </c:spPr>
        <c:marker>
          <c:symbol val="circle"/>
          <c:size val="4"/>
          <c:spPr>
            <a:solidFill>
              <a:srgbClr val="1A53FF"/>
            </a:solidFill>
            <a:ln w="9525">
              <a:noFill/>
              <a:round/>
            </a:ln>
            <a:effectLst>
              <a:outerShdw blurRad="57150" dist="19050" dir="5400000" algn="ctr" rotWithShape="0">
                <a:srgbClr val="000000">
                  <a:alpha val="63000"/>
                </a:srgbClr>
              </a:outerShdw>
            </a:effectLst>
          </c:spPr>
        </c:marker>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1A53FF"/>
            </a:solidFill>
            <a:round/>
          </a:ln>
          <a:effectLst>
            <a:outerShdw blurRad="57150" dist="19050" dir="5400000" algn="ctr" rotWithShape="0">
              <a:srgbClr val="000000">
                <a:alpha val="63000"/>
              </a:srgbClr>
            </a:outerShdw>
          </a:effectLst>
        </c:spPr>
        <c:marker>
          <c:symbol val="circle"/>
          <c:size val="4"/>
          <c:spPr>
            <a:solidFill>
              <a:srgbClr val="1A53FF"/>
            </a:solidFill>
            <a:ln w="9525">
              <a:noFill/>
              <a:round/>
            </a:ln>
            <a:effectLst>
              <a:outerShdw blurRad="57150" dist="19050" dir="5400000" algn="ctr" rotWithShape="0">
                <a:srgbClr val="000000">
                  <a:alpha val="63000"/>
                </a:srgbClr>
              </a:outerShdw>
            </a:effectLst>
          </c:spPr>
        </c:marker>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1A53FF"/>
            </a:solidFill>
            <a:round/>
          </a:ln>
          <a:effectLst>
            <a:outerShdw blurRad="57150" dist="19050" dir="5400000" algn="ctr" rotWithShape="0">
              <a:srgbClr val="000000">
                <a:alpha val="63000"/>
              </a:srgbClr>
            </a:outerShdw>
          </a:effectLst>
        </c:spPr>
        <c:marker>
          <c:symbol val="circle"/>
          <c:size val="4"/>
          <c:spPr>
            <a:solidFill>
              <a:srgbClr val="1A53FF"/>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dLbl>
          <c:idx val="0"/>
          <c:layout>
            <c:manualLayout>
              <c:x val="2.9845988186046887E-2"/>
              <c:y val="-1.793741126407416E-3"/>
            </c:manualLayout>
          </c:layout>
          <c:numFmt formatCode="0%" sourceLinked="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pivotFmt>
      <c:pivotFmt>
        <c:idx val="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F9B20"/>
            </a:solidFill>
            <a:round/>
          </a:ln>
          <a:effectLst>
            <a:outerShdw blurRad="57150" dist="19050" dir="5400000" algn="ctr" rotWithShape="0">
              <a:srgbClr val="000000">
                <a:alpha val="63000"/>
              </a:srgbClr>
            </a:outerShdw>
          </a:effectLst>
        </c:spPr>
        <c:marker>
          <c:symbol val="circle"/>
          <c:size val="4"/>
          <c:spPr>
            <a:solidFill>
              <a:srgbClr val="EF9B20"/>
            </a:solidFill>
            <a:ln w="9525">
              <a:noFill/>
              <a:round/>
            </a:ln>
            <a:effectLst>
              <a:outerShdw blurRad="57150" dist="19050" dir="5400000" algn="ctr" rotWithShape="0">
                <a:srgbClr val="000000">
                  <a:alpha val="63000"/>
                </a:srgbClr>
              </a:outerShdw>
            </a:effectLst>
          </c:spPr>
        </c:marker>
        <c:dLbl>
          <c:idx val="0"/>
          <c:layout>
            <c:manualLayout>
              <c:x val="1.2126103646071883E-2"/>
              <c:y val="-3.1022664237663885E-3"/>
            </c:manualLayout>
          </c:layout>
          <c:numFmt formatCode="0%" sourceLinked="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1"/>
        <c:spPr>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pivotFmt>
      <c:pivotFmt>
        <c:idx val="92"/>
        <c:spPr>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pivotFmt>
      <c:pivotFmt>
        <c:idx val="93"/>
        <c:spPr>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pivotFmt>
      <c:pivotFmt>
        <c:idx val="94"/>
        <c:spPr>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pivotFmt>
      <c:pivotFmt>
        <c:idx val="95"/>
        <c:spPr>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pivotFmt>
      <c:pivotFmt>
        <c:idx val="96"/>
        <c:spPr>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pivotFmt>
      <c:pivotFmt>
        <c:idx val="97"/>
        <c:spPr>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pivotFmt>
      <c:pivotFmt>
        <c:idx val="98"/>
        <c:spPr>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pivotFmt>
      <c:pivotFmt>
        <c:idx val="99"/>
        <c:spPr>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pivotFmt>
      <c:pivotFmt>
        <c:idx val="100"/>
        <c:spPr>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pivotFmt>
      <c:pivotFmt>
        <c:idx val="101"/>
        <c:spPr>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pivotFmt>
      <c:pivotFmt>
        <c:idx val="102"/>
        <c:spPr>
          <a:ln w="19050" cap="rnd">
            <a:solidFill>
              <a:srgbClr val="1A53FF"/>
            </a:solidFill>
            <a:round/>
          </a:ln>
          <a:effectLst>
            <a:outerShdw blurRad="57150" dist="19050" dir="5400000" algn="ctr" rotWithShape="0">
              <a:srgbClr val="000000">
                <a:alpha val="63000"/>
              </a:srgbClr>
            </a:outerShdw>
          </a:effectLst>
        </c:spPr>
        <c:marker>
          <c:symbol val="circle"/>
          <c:size val="4"/>
          <c:spPr>
            <a:solidFill>
              <a:srgbClr val="1A53FF"/>
            </a:solidFill>
            <a:ln w="9525">
              <a:noFill/>
              <a:round/>
            </a:ln>
            <a:effectLst>
              <a:outerShdw blurRad="57150" dist="19050" dir="5400000" algn="ctr" rotWithShape="0">
                <a:srgbClr val="000000">
                  <a:alpha val="63000"/>
                </a:srgbClr>
              </a:outerShdw>
            </a:effectLst>
          </c:spPr>
        </c:marker>
      </c:pivotFmt>
      <c:pivotFmt>
        <c:idx val="103"/>
        <c:spPr>
          <a:ln w="19050" cap="rnd">
            <a:solidFill>
              <a:srgbClr val="1A53FF"/>
            </a:solidFill>
            <a:round/>
          </a:ln>
          <a:effectLst>
            <a:outerShdw blurRad="57150" dist="19050" dir="5400000" algn="ctr" rotWithShape="0">
              <a:srgbClr val="000000">
                <a:alpha val="63000"/>
              </a:srgbClr>
            </a:outerShdw>
          </a:effectLst>
        </c:spPr>
        <c:marker>
          <c:symbol val="circle"/>
          <c:size val="4"/>
          <c:spPr>
            <a:solidFill>
              <a:srgbClr val="1A53FF"/>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04"/>
        <c:spPr>
          <a:ln w="19050" cap="rnd">
            <a:solidFill>
              <a:srgbClr val="1A53FF"/>
            </a:solidFill>
            <a:round/>
          </a:ln>
          <a:effectLst>
            <a:outerShdw blurRad="57150" dist="19050" dir="5400000" algn="ctr" rotWithShape="0">
              <a:srgbClr val="000000">
                <a:alpha val="63000"/>
              </a:srgbClr>
            </a:outerShdw>
          </a:effectLst>
        </c:spPr>
        <c:marker>
          <c:symbol val="circle"/>
          <c:size val="4"/>
          <c:spPr>
            <a:solidFill>
              <a:srgbClr val="1A53FF"/>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05"/>
        <c:spPr>
          <a:ln w="19050" cap="rnd">
            <a:solidFill>
              <a:srgbClr val="1A53FF"/>
            </a:solidFill>
            <a:round/>
          </a:ln>
          <a:effectLst>
            <a:outerShdw blurRad="57150" dist="19050" dir="5400000" algn="ctr" rotWithShape="0">
              <a:srgbClr val="000000">
                <a:alpha val="63000"/>
              </a:srgbClr>
            </a:outerShdw>
          </a:effectLst>
        </c:spPr>
        <c:marker>
          <c:symbol val="circle"/>
          <c:size val="4"/>
          <c:spPr>
            <a:solidFill>
              <a:srgbClr val="1A53FF"/>
            </a:solidFill>
            <a:ln w="9525">
              <a:noFill/>
              <a:round/>
            </a:ln>
            <a:effectLst>
              <a:outerShdw blurRad="57150" dist="19050" dir="5400000" algn="ctr" rotWithShape="0">
                <a:srgbClr val="000000">
                  <a:alpha val="63000"/>
                </a:srgbClr>
              </a:outerShdw>
            </a:effectLst>
          </c:spPr>
        </c:marker>
      </c:pivotFmt>
      <c:pivotFmt>
        <c:idx val="106"/>
        <c:spPr>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pivotFmt>
      <c:pivotFmt>
        <c:idx val="107"/>
        <c:spPr>
          <a:ln w="19050" cap="rnd">
            <a:solidFill>
              <a:srgbClr val="1A53FF"/>
            </a:solidFill>
            <a:round/>
          </a:ln>
          <a:effectLst>
            <a:outerShdw blurRad="57150" dist="19050" dir="5400000" algn="ctr" rotWithShape="0">
              <a:srgbClr val="000000">
                <a:alpha val="63000"/>
              </a:srgbClr>
            </a:outerShdw>
          </a:effectLst>
        </c:spPr>
        <c:marker>
          <c:symbol val="circle"/>
          <c:size val="4"/>
          <c:spPr>
            <a:solidFill>
              <a:srgbClr val="1A53FF"/>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08"/>
        <c:spPr>
          <a:ln w="19050" cap="rnd">
            <a:solidFill>
              <a:srgbClr val="1A53FF"/>
            </a:solidFill>
            <a:round/>
          </a:ln>
          <a:effectLst>
            <a:outerShdw blurRad="57150" dist="19050" dir="5400000" algn="ctr" rotWithShape="0">
              <a:srgbClr val="000000">
                <a:alpha val="63000"/>
              </a:srgbClr>
            </a:outerShdw>
          </a:effectLst>
        </c:spPr>
        <c:marker>
          <c:symbol val="circle"/>
          <c:size val="4"/>
          <c:spPr>
            <a:solidFill>
              <a:srgbClr val="1A53FF"/>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09"/>
        <c:spPr>
          <a:ln w="19050" cap="rnd">
            <a:solidFill>
              <a:srgbClr val="1A53FF"/>
            </a:solidFill>
            <a:round/>
          </a:ln>
          <a:effectLst>
            <a:outerShdw blurRad="57150" dist="19050" dir="5400000" algn="ctr" rotWithShape="0">
              <a:srgbClr val="000000">
                <a:alpha val="63000"/>
              </a:srgbClr>
            </a:outerShdw>
          </a:effectLst>
        </c:spPr>
        <c:marker>
          <c:symbol val="circle"/>
          <c:size val="4"/>
          <c:spPr>
            <a:solidFill>
              <a:srgbClr val="1A53FF"/>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10"/>
        <c:spPr>
          <a:ln w="19050" cap="rnd">
            <a:solidFill>
              <a:srgbClr val="1A53FF"/>
            </a:solidFill>
            <a:round/>
          </a:ln>
          <a:effectLst>
            <a:outerShdw blurRad="57150" dist="19050" dir="5400000" algn="ctr" rotWithShape="0">
              <a:srgbClr val="000000">
                <a:alpha val="63000"/>
              </a:srgbClr>
            </a:outerShdw>
          </a:effectLst>
        </c:spPr>
        <c:marker>
          <c:symbol val="circle"/>
          <c:size val="4"/>
          <c:spPr>
            <a:solidFill>
              <a:srgbClr val="1A53FF"/>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11"/>
        <c:spPr>
          <a:ln w="19050" cap="rnd">
            <a:solidFill>
              <a:srgbClr val="1A53FF"/>
            </a:solidFill>
            <a:round/>
          </a:ln>
          <a:effectLst>
            <a:outerShdw blurRad="57150" dist="19050" dir="5400000" algn="ctr" rotWithShape="0">
              <a:srgbClr val="000000">
                <a:alpha val="63000"/>
              </a:srgbClr>
            </a:outerShdw>
          </a:effectLst>
        </c:spPr>
        <c:marker>
          <c:symbol val="circle"/>
          <c:size val="4"/>
          <c:spPr>
            <a:solidFill>
              <a:srgbClr val="1A53FF"/>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10566800638637"/>
          <c:y val="0.1132481584388354"/>
          <c:w val="0.82606489039782749"/>
          <c:h val="0.65358368127799993"/>
        </c:manualLayout>
      </c:layout>
      <c:lineChart>
        <c:grouping val="standard"/>
        <c:varyColors val="0"/>
        <c:ser>
          <c:idx val="0"/>
          <c:order val="0"/>
          <c:tx>
            <c:strRef>
              <c:f>RTT!$J$5</c:f>
              <c:strCache>
                <c:ptCount val="1"/>
                <c:pt idx="0">
                  <c:v> CD4&lt;200%</c:v>
                </c:pt>
              </c:strCache>
            </c:strRef>
          </c:tx>
          <c:spPr>
            <a:ln w="19050" cap="rnd">
              <a:solidFill>
                <a:srgbClr val="EF9B20"/>
              </a:solidFill>
              <a:round/>
            </a:ln>
            <a:effectLst>
              <a:outerShdw blurRad="57150" dist="19050" dir="5400000" algn="ctr" rotWithShape="0">
                <a:srgbClr val="000000">
                  <a:alpha val="63000"/>
                </a:srgbClr>
              </a:outerShdw>
            </a:effectLst>
          </c:spPr>
          <c:marker>
            <c:symbol val="circle"/>
            <c:size val="4"/>
            <c:spPr>
              <a:solidFill>
                <a:srgbClr val="EF9B20"/>
              </a:solidFill>
              <a:ln w="9525">
                <a:noFill/>
                <a:round/>
              </a:ln>
              <a:effectLst>
                <a:outerShdw blurRad="57150" dist="19050" dir="5400000" algn="ctr" rotWithShape="0">
                  <a:srgbClr val="000000">
                    <a:alpha val="63000"/>
                  </a:srgbClr>
                </a:outerShdw>
              </a:effectLst>
            </c:spPr>
          </c:marker>
          <c:dLbls>
            <c:numFmt formatCode="0%" sourceLinked="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RTT!$I$6:$I$25</c:f>
              <c:multiLvlStrCache>
                <c:ptCount val="1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2024</c:v>
                  </c:pt>
                  <c:pt idx="12">
                    <c:v>2025</c:v>
                  </c:pt>
                </c:lvl>
              </c:multiLvlStrCache>
            </c:multiLvlStrRef>
          </c:cat>
          <c:val>
            <c:numRef>
              <c:f>RTT!$J$6:$J$25</c:f>
              <c:numCache>
                <c:formatCode>General</c:formatCode>
                <c:ptCount val="17"/>
                <c:pt idx="0">
                  <c:v>0.21428571428571427</c:v>
                </c:pt>
                <c:pt idx="1">
                  <c:v>0.27777777777777779</c:v>
                </c:pt>
                <c:pt idx="2">
                  <c:v>0.22727272727272727</c:v>
                </c:pt>
                <c:pt idx="3">
                  <c:v>0.1891891891891892</c:v>
                </c:pt>
                <c:pt idx="4">
                  <c:v>0.19047619047619047</c:v>
                </c:pt>
                <c:pt idx="5">
                  <c:v>0.24444444444444444</c:v>
                </c:pt>
                <c:pt idx="6">
                  <c:v>0.265625</c:v>
                </c:pt>
                <c:pt idx="7">
                  <c:v>0.25</c:v>
                </c:pt>
                <c:pt idx="8">
                  <c:v>0.41666666666666669</c:v>
                </c:pt>
                <c:pt idx="9">
                  <c:v>0.26829268292682928</c:v>
                </c:pt>
                <c:pt idx="10">
                  <c:v>0.17241379310344829</c:v>
                </c:pt>
                <c:pt idx="11">
                  <c:v>0.32</c:v>
                </c:pt>
                <c:pt idx="12">
                  <c:v>0.20454545454545456</c:v>
                </c:pt>
                <c:pt idx="13">
                  <c:v>0.19230769230769232</c:v>
                </c:pt>
                <c:pt idx="14">
                  <c:v>0.16666666666666666</c:v>
                </c:pt>
                <c:pt idx="15">
                  <c:v>0.17647058823529413</c:v>
                </c:pt>
                <c:pt idx="16">
                  <c:v>5.7142857142857141E-2</c:v>
                </c:pt>
              </c:numCache>
            </c:numRef>
          </c:val>
          <c:smooth val="1"/>
          <c:extLst>
            <c:ext xmlns:c16="http://schemas.microsoft.com/office/drawing/2014/chart" uri="{C3380CC4-5D6E-409C-BE32-E72D297353CC}">
              <c16:uniqueId val="{00000000-D4EF-4477-BF82-F16B926A2C02}"/>
            </c:ext>
          </c:extLst>
        </c:ser>
        <c:ser>
          <c:idx val="1"/>
          <c:order val="1"/>
          <c:tx>
            <c:strRef>
              <c:f>RTT!$K$5</c:f>
              <c:strCache>
                <c:ptCount val="1"/>
                <c:pt idx="0">
                  <c:v> LAM+%</c:v>
                </c:pt>
              </c:strCache>
            </c:strRef>
          </c:tx>
          <c:spPr>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dPt>
            <c:idx val="0"/>
            <c:marker>
              <c:symbol val="circle"/>
              <c:size val="4"/>
              <c:spPr>
                <a:solidFill>
                  <a:srgbClr val="E6D800"/>
                </a:solidFill>
                <a:ln w="9525">
                  <a:noFill/>
                  <a:round/>
                </a:ln>
                <a:effectLst>
                  <a:outerShdw blurRad="57150" dist="19050" dir="5400000" algn="ctr" rotWithShape="0">
                    <a:srgbClr val="000000">
                      <a:alpha val="63000"/>
                    </a:srgbClr>
                  </a:outerShdw>
                </a:effectLst>
              </c:spPr>
            </c:marker>
            <c:bubble3D val="0"/>
            <c:spPr>
              <a:ln w="19050" cap="rnd">
                <a:solidFill>
                  <a:srgbClr val="E6D800"/>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D4EF-4477-BF82-F16B926A2C02}"/>
              </c:ext>
            </c:extLst>
          </c:dPt>
          <c:dPt>
            <c:idx val="1"/>
            <c:marker>
              <c:symbol val="circle"/>
              <c:size val="4"/>
              <c:spPr>
                <a:solidFill>
                  <a:srgbClr val="E6D800"/>
                </a:solidFill>
                <a:ln w="9525">
                  <a:noFill/>
                  <a:round/>
                </a:ln>
                <a:effectLst>
                  <a:outerShdw blurRad="57150" dist="19050" dir="5400000" algn="ctr" rotWithShape="0">
                    <a:srgbClr val="000000">
                      <a:alpha val="63000"/>
                    </a:srgbClr>
                  </a:outerShdw>
                </a:effectLst>
              </c:spPr>
            </c:marker>
            <c:bubble3D val="0"/>
            <c:spPr>
              <a:ln w="19050" cap="rnd">
                <a:solidFill>
                  <a:srgbClr val="E6D800"/>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D4EF-4477-BF82-F16B926A2C02}"/>
              </c:ext>
            </c:extLst>
          </c:dPt>
          <c:dPt>
            <c:idx val="2"/>
            <c:marker>
              <c:symbol val="circle"/>
              <c:size val="4"/>
              <c:spPr>
                <a:solidFill>
                  <a:srgbClr val="E6D800"/>
                </a:solidFill>
                <a:ln w="9525">
                  <a:noFill/>
                  <a:round/>
                </a:ln>
                <a:effectLst>
                  <a:outerShdw blurRad="57150" dist="19050" dir="5400000" algn="ctr" rotWithShape="0">
                    <a:srgbClr val="000000">
                      <a:alpha val="63000"/>
                    </a:srgbClr>
                  </a:outerShdw>
                </a:effectLst>
              </c:spPr>
            </c:marker>
            <c:bubble3D val="0"/>
            <c:spPr>
              <a:ln w="19050" cap="rnd">
                <a:solidFill>
                  <a:srgbClr val="E6D800"/>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D4EF-4477-BF82-F16B926A2C02}"/>
              </c:ext>
            </c:extLst>
          </c:dPt>
          <c:dPt>
            <c:idx val="3"/>
            <c:marker>
              <c:symbol val="circle"/>
              <c:size val="4"/>
              <c:spPr>
                <a:solidFill>
                  <a:srgbClr val="E6D800"/>
                </a:solidFill>
                <a:ln w="9525">
                  <a:noFill/>
                  <a:round/>
                </a:ln>
                <a:effectLst>
                  <a:outerShdw blurRad="57150" dist="19050" dir="5400000" algn="ctr" rotWithShape="0">
                    <a:srgbClr val="000000">
                      <a:alpha val="63000"/>
                    </a:srgbClr>
                  </a:outerShdw>
                </a:effectLst>
              </c:spPr>
            </c:marker>
            <c:bubble3D val="0"/>
            <c:spPr>
              <a:ln w="19050" cap="rnd">
                <a:solidFill>
                  <a:srgbClr val="E6D800"/>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D4EF-4477-BF82-F16B926A2C02}"/>
              </c:ext>
            </c:extLst>
          </c:dPt>
          <c:dPt>
            <c:idx val="4"/>
            <c:marker>
              <c:symbol val="circle"/>
              <c:size val="4"/>
              <c:spPr>
                <a:solidFill>
                  <a:srgbClr val="E6D800"/>
                </a:solidFill>
                <a:ln w="9525">
                  <a:noFill/>
                  <a:round/>
                </a:ln>
                <a:effectLst>
                  <a:outerShdw blurRad="57150" dist="19050" dir="5400000" algn="ctr" rotWithShape="0">
                    <a:srgbClr val="000000">
                      <a:alpha val="63000"/>
                    </a:srgbClr>
                  </a:outerShdw>
                </a:effectLst>
              </c:spPr>
            </c:marker>
            <c:bubble3D val="0"/>
            <c:spPr>
              <a:ln w="19050" cap="rnd">
                <a:solidFill>
                  <a:srgbClr val="E6D800"/>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D4EF-4477-BF82-F16B926A2C02}"/>
              </c:ext>
            </c:extLst>
          </c:dPt>
          <c:dPt>
            <c:idx val="5"/>
            <c:marker>
              <c:symbol val="circle"/>
              <c:size val="4"/>
              <c:spPr>
                <a:solidFill>
                  <a:srgbClr val="E6D800"/>
                </a:solidFill>
                <a:ln w="9525">
                  <a:noFill/>
                  <a:round/>
                </a:ln>
                <a:effectLst>
                  <a:outerShdw blurRad="57150" dist="19050" dir="5400000" algn="ctr" rotWithShape="0">
                    <a:srgbClr val="000000">
                      <a:alpha val="63000"/>
                    </a:srgbClr>
                  </a:outerShdw>
                </a:effectLst>
              </c:spPr>
            </c:marker>
            <c:bubble3D val="0"/>
            <c:spPr>
              <a:ln w="19050" cap="rnd">
                <a:solidFill>
                  <a:srgbClr val="E6D800"/>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D4EF-4477-BF82-F16B926A2C02}"/>
              </c:ext>
            </c:extLst>
          </c:dPt>
          <c:dPt>
            <c:idx val="6"/>
            <c:marker>
              <c:symbol val="circle"/>
              <c:size val="4"/>
              <c:spPr>
                <a:solidFill>
                  <a:srgbClr val="E6D800"/>
                </a:solidFill>
                <a:ln w="9525">
                  <a:noFill/>
                  <a:round/>
                </a:ln>
                <a:effectLst>
                  <a:outerShdw blurRad="57150" dist="19050" dir="5400000" algn="ctr" rotWithShape="0">
                    <a:srgbClr val="000000">
                      <a:alpha val="63000"/>
                    </a:srgbClr>
                  </a:outerShdw>
                </a:effectLst>
              </c:spPr>
            </c:marker>
            <c:bubble3D val="0"/>
            <c:spPr>
              <a:ln w="19050" cap="rnd">
                <a:solidFill>
                  <a:srgbClr val="E6D800"/>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D4EF-4477-BF82-F16B926A2C02}"/>
              </c:ext>
            </c:extLst>
          </c:dPt>
          <c:dPt>
            <c:idx val="7"/>
            <c:marker>
              <c:symbol val="circle"/>
              <c:size val="4"/>
              <c:spPr>
                <a:solidFill>
                  <a:srgbClr val="E6D800"/>
                </a:solidFill>
                <a:ln w="9525">
                  <a:noFill/>
                  <a:round/>
                </a:ln>
                <a:effectLst>
                  <a:outerShdw blurRad="57150" dist="19050" dir="5400000" algn="ctr" rotWithShape="0">
                    <a:srgbClr val="000000">
                      <a:alpha val="63000"/>
                    </a:srgbClr>
                  </a:outerShdw>
                </a:effectLst>
              </c:spPr>
            </c:marker>
            <c:bubble3D val="0"/>
            <c:spPr>
              <a:ln w="19050" cap="rnd">
                <a:solidFill>
                  <a:srgbClr val="E6D800"/>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0-D4EF-4477-BF82-F16B926A2C02}"/>
              </c:ext>
            </c:extLst>
          </c:dPt>
          <c:dPt>
            <c:idx val="8"/>
            <c:marker>
              <c:symbol val="circle"/>
              <c:size val="4"/>
              <c:spPr>
                <a:solidFill>
                  <a:srgbClr val="E6D800"/>
                </a:solidFill>
                <a:ln w="9525">
                  <a:noFill/>
                  <a:round/>
                </a:ln>
                <a:effectLst>
                  <a:outerShdw blurRad="57150" dist="19050" dir="5400000" algn="ctr" rotWithShape="0">
                    <a:srgbClr val="000000">
                      <a:alpha val="63000"/>
                    </a:srgbClr>
                  </a:outerShdw>
                </a:effectLst>
              </c:spPr>
            </c:marker>
            <c:bubble3D val="0"/>
            <c:spPr>
              <a:ln w="19050" cap="rnd">
                <a:solidFill>
                  <a:srgbClr val="E6D800"/>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D24C-4E2C-A51B-1D74D31058FF}"/>
              </c:ext>
            </c:extLst>
          </c:dPt>
          <c:dPt>
            <c:idx val="12"/>
            <c:marker>
              <c:symbol val="circle"/>
              <c:size val="4"/>
              <c:spPr>
                <a:solidFill>
                  <a:srgbClr val="E6D800"/>
                </a:solidFill>
                <a:ln w="9525">
                  <a:noFill/>
                  <a:round/>
                </a:ln>
                <a:effectLst>
                  <a:outerShdw blurRad="57150" dist="19050" dir="5400000" algn="ctr" rotWithShape="0">
                    <a:srgbClr val="000000">
                      <a:alpha val="63000"/>
                    </a:srgbClr>
                  </a:outerShdw>
                </a:effectLst>
              </c:spPr>
            </c:marker>
            <c:bubble3D val="0"/>
            <c:spPr>
              <a:ln w="19050" cap="rnd">
                <a:solidFill>
                  <a:srgbClr val="E6D800"/>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D24C-4E2C-A51B-1D74D31058FF}"/>
              </c:ext>
            </c:extLst>
          </c:dPt>
          <c:dPt>
            <c:idx val="13"/>
            <c:marker>
              <c:symbol val="circle"/>
              <c:size val="4"/>
              <c:spPr>
                <a:solidFill>
                  <a:srgbClr val="E6D800"/>
                </a:solidFill>
                <a:ln w="9525">
                  <a:noFill/>
                  <a:round/>
                </a:ln>
                <a:effectLst>
                  <a:outerShdw blurRad="57150" dist="19050" dir="5400000" algn="ctr" rotWithShape="0">
                    <a:srgbClr val="000000">
                      <a:alpha val="63000"/>
                    </a:srgbClr>
                  </a:outerShdw>
                </a:effectLst>
              </c:spPr>
            </c:marker>
            <c:bubble3D val="0"/>
            <c:spPr>
              <a:ln w="19050" cap="rnd">
                <a:solidFill>
                  <a:srgbClr val="E6D800"/>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D24C-4E2C-A51B-1D74D31058FF}"/>
              </c:ext>
            </c:extLst>
          </c:dPt>
          <c:dPt>
            <c:idx val="14"/>
            <c:marker>
              <c:symbol val="circle"/>
              <c:size val="4"/>
              <c:spPr>
                <a:solidFill>
                  <a:srgbClr val="E6D800"/>
                </a:solidFill>
                <a:ln w="9525">
                  <a:noFill/>
                  <a:round/>
                </a:ln>
                <a:effectLst>
                  <a:outerShdw blurRad="57150" dist="19050" dir="5400000" algn="ctr" rotWithShape="0">
                    <a:srgbClr val="000000">
                      <a:alpha val="63000"/>
                    </a:srgbClr>
                  </a:outerShdw>
                </a:effectLst>
              </c:spPr>
            </c:marker>
            <c:bubble3D val="0"/>
            <c:spPr>
              <a:ln w="19050" cap="rnd">
                <a:solidFill>
                  <a:srgbClr val="E6D800"/>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D24C-4E2C-A51B-1D74D31058FF}"/>
              </c:ext>
            </c:extLst>
          </c:dPt>
          <c:dLbls>
            <c:numFmt formatCode="0%" sourceLinked="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RTT!$I$6:$I$25</c:f>
              <c:multiLvlStrCache>
                <c:ptCount val="1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2024</c:v>
                  </c:pt>
                  <c:pt idx="12">
                    <c:v>2025</c:v>
                  </c:pt>
                </c:lvl>
              </c:multiLvlStrCache>
            </c:multiLvlStrRef>
          </c:cat>
          <c:val>
            <c:numRef>
              <c:f>RTT!$K$6:$K$25</c:f>
              <c:numCache>
                <c:formatCode>General</c:formatCode>
                <c:ptCount val="17"/>
                <c:pt idx="0">
                  <c:v>0</c:v>
                </c:pt>
                <c:pt idx="1">
                  <c:v>0</c:v>
                </c:pt>
                <c:pt idx="2">
                  <c:v>0</c:v>
                </c:pt>
                <c:pt idx="3">
                  <c:v>#N/A</c:v>
                </c:pt>
                <c:pt idx="4">
                  <c:v>#N/A</c:v>
                </c:pt>
                <c:pt idx="5">
                  <c:v>#N/A</c:v>
                </c:pt>
                <c:pt idx="6">
                  <c:v>#N/A</c:v>
                </c:pt>
                <c:pt idx="7">
                  <c:v>0</c:v>
                </c:pt>
                <c:pt idx="8">
                  <c:v>0.1</c:v>
                </c:pt>
                <c:pt idx="9">
                  <c:v>9.0909090909090912E-2</c:v>
                </c:pt>
                <c:pt idx="10">
                  <c:v>0</c:v>
                </c:pt>
                <c:pt idx="11">
                  <c:v>0.1875</c:v>
                </c:pt>
                <c:pt idx="12">
                  <c:v>0.1111111111111111</c:v>
                </c:pt>
                <c:pt idx="13">
                  <c:v>0</c:v>
                </c:pt>
                <c:pt idx="14">
                  <c:v>0.25</c:v>
                </c:pt>
                <c:pt idx="15">
                  <c:v>0</c:v>
                </c:pt>
                <c:pt idx="16">
                  <c:v>0</c:v>
                </c:pt>
              </c:numCache>
            </c:numRef>
          </c:val>
          <c:smooth val="1"/>
          <c:extLst>
            <c:ext xmlns:c16="http://schemas.microsoft.com/office/drawing/2014/chart" uri="{C3380CC4-5D6E-409C-BE32-E72D297353CC}">
              <c16:uniqueId val="{00000011-D4EF-4477-BF82-F16B926A2C02}"/>
            </c:ext>
          </c:extLst>
        </c:ser>
        <c:ser>
          <c:idx val="2"/>
          <c:order val="2"/>
          <c:tx>
            <c:strRef>
              <c:f>RTT!$L$5</c:f>
              <c:strCache>
                <c:ptCount val="1"/>
                <c:pt idx="0">
                  <c:v> CrAg+%</c:v>
                </c:pt>
              </c:strCache>
            </c:strRef>
          </c:tx>
          <c:spPr>
            <a:ln w="19050" cap="rnd">
              <a:solidFill>
                <a:srgbClr val="1A53FF"/>
              </a:solidFill>
              <a:round/>
            </a:ln>
            <a:effectLst>
              <a:outerShdw blurRad="57150" dist="19050" dir="5400000" algn="ctr" rotWithShape="0">
                <a:srgbClr val="000000">
                  <a:alpha val="63000"/>
                </a:srgbClr>
              </a:outerShdw>
            </a:effectLst>
          </c:spPr>
          <c:marker>
            <c:symbol val="circle"/>
            <c:size val="4"/>
            <c:spPr>
              <a:solidFill>
                <a:srgbClr val="1A53FF"/>
              </a:solidFill>
              <a:ln w="9525">
                <a:noFill/>
                <a:round/>
              </a:ln>
              <a:effectLst>
                <a:outerShdw blurRad="57150" dist="19050" dir="5400000" algn="ctr" rotWithShape="0">
                  <a:srgbClr val="000000">
                    <a:alpha val="63000"/>
                  </a:srgbClr>
                </a:outerShdw>
              </a:effectLst>
            </c:spPr>
          </c:marker>
          <c:dPt>
            <c:idx val="1"/>
            <c:marker>
              <c:symbol val="circle"/>
              <c:size val="4"/>
              <c:spPr>
                <a:solidFill>
                  <a:srgbClr val="1A53FF"/>
                </a:solidFill>
                <a:ln w="9525">
                  <a:noFill/>
                  <a:round/>
                </a:ln>
                <a:effectLst>
                  <a:outerShdw blurRad="57150" dist="19050" dir="5400000" algn="ctr" rotWithShape="0">
                    <a:srgbClr val="000000">
                      <a:alpha val="63000"/>
                    </a:srgbClr>
                  </a:outerShdw>
                </a:effectLst>
              </c:spPr>
            </c:marker>
            <c:bubble3D val="0"/>
            <c:spPr>
              <a:ln w="19050" cap="rnd">
                <a:solidFill>
                  <a:srgbClr val="1A53FF"/>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4AA7-437C-895A-0350A751E630}"/>
              </c:ext>
            </c:extLst>
          </c:dPt>
          <c:dPt>
            <c:idx val="2"/>
            <c:marker>
              <c:symbol val="circle"/>
              <c:size val="4"/>
              <c:spPr>
                <a:solidFill>
                  <a:srgbClr val="1A53FF"/>
                </a:solidFill>
                <a:ln w="9525">
                  <a:noFill/>
                  <a:round/>
                </a:ln>
                <a:effectLst>
                  <a:outerShdw blurRad="57150" dist="19050" dir="5400000" algn="ctr" rotWithShape="0">
                    <a:srgbClr val="000000">
                      <a:alpha val="63000"/>
                    </a:srgbClr>
                  </a:outerShdw>
                </a:effectLst>
              </c:spPr>
            </c:marker>
            <c:bubble3D val="0"/>
            <c:spPr>
              <a:ln w="19050" cap="rnd">
                <a:solidFill>
                  <a:srgbClr val="1A53FF"/>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6-4AA7-437C-895A-0350A751E630}"/>
              </c:ext>
            </c:extLst>
          </c:dPt>
          <c:dPt>
            <c:idx val="3"/>
            <c:marker>
              <c:symbol val="circle"/>
              <c:size val="4"/>
              <c:spPr>
                <a:solidFill>
                  <a:srgbClr val="1A53FF"/>
                </a:solidFill>
                <a:ln w="9525">
                  <a:noFill/>
                  <a:round/>
                </a:ln>
                <a:effectLst>
                  <a:outerShdw blurRad="57150" dist="19050" dir="5400000" algn="ctr" rotWithShape="0">
                    <a:srgbClr val="000000">
                      <a:alpha val="63000"/>
                    </a:srgbClr>
                  </a:outerShdw>
                </a:effectLst>
              </c:spPr>
            </c:marker>
            <c:bubble3D val="0"/>
            <c:spPr>
              <a:ln w="19050" cap="rnd">
                <a:solidFill>
                  <a:srgbClr val="1A53FF"/>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D4EF-4477-BF82-F16B926A2C02}"/>
              </c:ext>
            </c:extLst>
          </c:dPt>
          <c:dPt>
            <c:idx val="7"/>
            <c:marker>
              <c:symbol val="circle"/>
              <c:size val="4"/>
              <c:spPr>
                <a:solidFill>
                  <a:srgbClr val="1A53FF"/>
                </a:solidFill>
                <a:ln w="9525">
                  <a:noFill/>
                  <a:round/>
                </a:ln>
                <a:effectLst>
                  <a:outerShdw blurRad="57150" dist="19050" dir="5400000" algn="ctr" rotWithShape="0">
                    <a:srgbClr val="000000">
                      <a:alpha val="63000"/>
                    </a:srgbClr>
                  </a:outerShdw>
                </a:effectLst>
              </c:spPr>
            </c:marker>
            <c:bubble3D val="0"/>
            <c:spPr>
              <a:ln w="19050" cap="rnd">
                <a:solidFill>
                  <a:srgbClr val="1A53FF"/>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2-AA24-45CA-BA03-9AC71F2C69BE}"/>
              </c:ext>
            </c:extLst>
          </c:dPt>
          <c:dPt>
            <c:idx val="8"/>
            <c:marker>
              <c:symbol val="circle"/>
              <c:size val="4"/>
              <c:spPr>
                <a:solidFill>
                  <a:srgbClr val="1A53FF"/>
                </a:solidFill>
                <a:ln w="9525">
                  <a:noFill/>
                  <a:round/>
                </a:ln>
                <a:effectLst>
                  <a:outerShdw blurRad="57150" dist="19050" dir="5400000" algn="ctr" rotWithShape="0">
                    <a:srgbClr val="000000">
                      <a:alpha val="63000"/>
                    </a:srgbClr>
                  </a:outerShdw>
                </a:effectLst>
              </c:spPr>
            </c:marker>
            <c:bubble3D val="0"/>
            <c:spPr>
              <a:ln w="19050" cap="rnd">
                <a:solidFill>
                  <a:srgbClr val="1A53FF"/>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D4EF-4477-BF82-F16B926A2C02}"/>
              </c:ext>
            </c:extLst>
          </c:dPt>
          <c:dPt>
            <c:idx val="9"/>
            <c:marker>
              <c:symbol val="circle"/>
              <c:size val="4"/>
              <c:spPr>
                <a:solidFill>
                  <a:srgbClr val="1A53FF"/>
                </a:solidFill>
                <a:ln w="9525">
                  <a:noFill/>
                  <a:round/>
                </a:ln>
                <a:effectLst>
                  <a:outerShdw blurRad="57150" dist="19050" dir="5400000" algn="ctr" rotWithShape="0">
                    <a:srgbClr val="000000">
                      <a:alpha val="63000"/>
                    </a:srgbClr>
                  </a:outerShdw>
                </a:effectLst>
              </c:spPr>
            </c:marker>
            <c:bubble3D val="0"/>
            <c:spPr>
              <a:ln w="19050" cap="rnd">
                <a:solidFill>
                  <a:srgbClr val="1A53FF"/>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D24C-4E2C-A51B-1D74D31058FF}"/>
              </c:ext>
            </c:extLst>
          </c:dPt>
          <c:dPt>
            <c:idx val="10"/>
            <c:marker>
              <c:symbol val="circle"/>
              <c:size val="4"/>
              <c:spPr>
                <a:solidFill>
                  <a:srgbClr val="1A53FF"/>
                </a:solidFill>
                <a:ln w="9525">
                  <a:noFill/>
                  <a:round/>
                </a:ln>
                <a:effectLst>
                  <a:outerShdw blurRad="57150" dist="19050" dir="5400000" algn="ctr" rotWithShape="0">
                    <a:srgbClr val="000000">
                      <a:alpha val="63000"/>
                    </a:srgbClr>
                  </a:outerShdw>
                </a:effectLst>
              </c:spPr>
            </c:marker>
            <c:bubble3D val="0"/>
            <c:spPr>
              <a:ln w="19050" cap="rnd">
                <a:solidFill>
                  <a:srgbClr val="1A53FF"/>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8-4AA7-437C-895A-0350A751E630}"/>
              </c:ext>
            </c:extLst>
          </c:dPt>
          <c:dPt>
            <c:idx val="12"/>
            <c:marker>
              <c:symbol val="circle"/>
              <c:size val="4"/>
              <c:spPr>
                <a:solidFill>
                  <a:srgbClr val="1A53FF"/>
                </a:solidFill>
                <a:ln w="9525">
                  <a:noFill/>
                  <a:round/>
                </a:ln>
                <a:effectLst>
                  <a:outerShdw blurRad="57150" dist="19050" dir="5400000" algn="ctr" rotWithShape="0">
                    <a:srgbClr val="000000">
                      <a:alpha val="63000"/>
                    </a:srgbClr>
                  </a:outerShdw>
                </a:effectLst>
              </c:spPr>
            </c:marker>
            <c:bubble3D val="0"/>
            <c:spPr>
              <a:ln w="19050" cap="rnd">
                <a:solidFill>
                  <a:srgbClr val="1A53FF"/>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4AA7-437C-895A-0350A751E630}"/>
              </c:ext>
            </c:extLst>
          </c:dPt>
          <c:dPt>
            <c:idx val="13"/>
            <c:marker>
              <c:symbol val="circle"/>
              <c:size val="4"/>
              <c:spPr>
                <a:solidFill>
                  <a:srgbClr val="1A53FF"/>
                </a:solidFill>
                <a:ln w="9525">
                  <a:noFill/>
                  <a:round/>
                </a:ln>
                <a:effectLst>
                  <a:outerShdw blurRad="57150" dist="19050" dir="5400000" algn="ctr" rotWithShape="0">
                    <a:srgbClr val="000000">
                      <a:alpha val="63000"/>
                    </a:srgbClr>
                  </a:outerShdw>
                </a:effectLst>
              </c:spPr>
            </c:marker>
            <c:bubble3D val="0"/>
            <c:spPr>
              <a:ln w="19050" cap="rnd">
                <a:solidFill>
                  <a:srgbClr val="1A53FF"/>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4-4AA7-437C-895A-0350A751E630}"/>
              </c:ext>
            </c:extLst>
          </c:dPt>
          <c:dLbls>
            <c:dLbl>
              <c:idx val="1"/>
              <c:delete val="1"/>
              <c:extLst>
                <c:ext xmlns:c15="http://schemas.microsoft.com/office/drawing/2012/chart" uri="{CE6537A1-D6FC-4f65-9D91-7224C49458BB}"/>
                <c:ext xmlns:c16="http://schemas.microsoft.com/office/drawing/2014/chart" uri="{C3380CC4-5D6E-409C-BE32-E72D297353CC}">
                  <c16:uniqueId val="{00000017-4AA7-437C-895A-0350A751E630}"/>
                </c:ext>
              </c:extLst>
            </c:dLbl>
            <c:dLbl>
              <c:idx val="2"/>
              <c:delete val="1"/>
              <c:extLst>
                <c:ext xmlns:c15="http://schemas.microsoft.com/office/drawing/2012/chart" uri="{CE6537A1-D6FC-4f65-9D91-7224C49458BB}"/>
                <c:ext xmlns:c16="http://schemas.microsoft.com/office/drawing/2014/chart" uri="{C3380CC4-5D6E-409C-BE32-E72D297353CC}">
                  <c16:uniqueId val="{00000016-4AA7-437C-895A-0350A751E630}"/>
                </c:ext>
              </c:extLst>
            </c:dLbl>
            <c:dLbl>
              <c:idx val="7"/>
              <c:delete val="1"/>
              <c:extLst>
                <c:ext xmlns:c15="http://schemas.microsoft.com/office/drawing/2012/chart" uri="{CE6537A1-D6FC-4f65-9D91-7224C49458BB}"/>
                <c:ext xmlns:c16="http://schemas.microsoft.com/office/drawing/2014/chart" uri="{C3380CC4-5D6E-409C-BE32-E72D297353CC}">
                  <c16:uniqueId val="{00000012-AA24-45CA-BA03-9AC71F2C69BE}"/>
                </c:ext>
              </c:extLst>
            </c:dLbl>
            <c:dLbl>
              <c:idx val="8"/>
              <c:delete val="1"/>
              <c:extLst>
                <c:ext xmlns:c15="http://schemas.microsoft.com/office/drawing/2012/chart" uri="{CE6537A1-D6FC-4f65-9D91-7224C49458BB}"/>
                <c:ext xmlns:c16="http://schemas.microsoft.com/office/drawing/2014/chart" uri="{C3380CC4-5D6E-409C-BE32-E72D297353CC}">
                  <c16:uniqueId val="{00000015-D4EF-4477-BF82-F16B926A2C02}"/>
                </c:ext>
              </c:extLst>
            </c:dLbl>
            <c:dLbl>
              <c:idx val="10"/>
              <c:delete val="1"/>
              <c:extLst>
                <c:ext xmlns:c15="http://schemas.microsoft.com/office/drawing/2012/chart" uri="{CE6537A1-D6FC-4f65-9D91-7224C49458BB}"/>
                <c:ext xmlns:c16="http://schemas.microsoft.com/office/drawing/2014/chart" uri="{C3380CC4-5D6E-409C-BE32-E72D297353CC}">
                  <c16:uniqueId val="{00000018-4AA7-437C-895A-0350A751E630}"/>
                </c:ext>
              </c:extLst>
            </c:dLbl>
            <c:dLbl>
              <c:idx val="12"/>
              <c:delete val="1"/>
              <c:extLst>
                <c:ext xmlns:c15="http://schemas.microsoft.com/office/drawing/2012/chart" uri="{CE6537A1-D6FC-4f65-9D91-7224C49458BB}"/>
                <c:ext xmlns:c16="http://schemas.microsoft.com/office/drawing/2014/chart" uri="{C3380CC4-5D6E-409C-BE32-E72D297353CC}">
                  <c16:uniqueId val="{00000015-4AA7-437C-895A-0350A751E630}"/>
                </c:ext>
              </c:extLst>
            </c:dLbl>
            <c:dLbl>
              <c:idx val="13"/>
              <c:delete val="1"/>
              <c:extLst>
                <c:ext xmlns:c15="http://schemas.microsoft.com/office/drawing/2012/chart" uri="{CE6537A1-D6FC-4f65-9D91-7224C49458BB}"/>
                <c:ext xmlns:c16="http://schemas.microsoft.com/office/drawing/2014/chart" uri="{C3380CC4-5D6E-409C-BE32-E72D297353CC}">
                  <c16:uniqueId val="{00000014-4AA7-437C-895A-0350A751E630}"/>
                </c:ext>
              </c:extLst>
            </c:dLbl>
            <c:numFmt formatCode="0%" sourceLinked="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RTT!$I$6:$I$25</c:f>
              <c:multiLvlStrCache>
                <c:ptCount val="1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2024</c:v>
                  </c:pt>
                  <c:pt idx="12">
                    <c:v>2025</c:v>
                  </c:pt>
                </c:lvl>
              </c:multiLvlStrCache>
            </c:multiLvlStrRef>
          </c:cat>
          <c:val>
            <c:numRef>
              <c:f>RTT!$L$6:$L$25</c:f>
              <c:numCache>
                <c:formatCode>General</c:formatCode>
                <c:ptCount val="17"/>
                <c:pt idx="0">
                  <c:v>0</c:v>
                </c:pt>
                <c:pt idx="1">
                  <c:v>0</c:v>
                </c:pt>
                <c:pt idx="2">
                  <c:v>0</c:v>
                </c:pt>
                <c:pt idx="3">
                  <c:v>0.125</c:v>
                </c:pt>
                <c:pt idx="4">
                  <c:v>0</c:v>
                </c:pt>
                <c:pt idx="5">
                  <c:v>#N/A</c:v>
                </c:pt>
                <c:pt idx="6">
                  <c:v>6.25E-2</c:v>
                </c:pt>
                <c:pt idx="7">
                  <c:v>0</c:v>
                </c:pt>
                <c:pt idx="8">
                  <c:v>0.1</c:v>
                </c:pt>
                <c:pt idx="9">
                  <c:v>0</c:v>
                </c:pt>
                <c:pt idx="10">
                  <c:v>0</c:v>
                </c:pt>
                <c:pt idx="11">
                  <c:v>6.25E-2</c:v>
                </c:pt>
                <c:pt idx="12">
                  <c:v>0.22222222222222221</c:v>
                </c:pt>
                <c:pt idx="13">
                  <c:v>0.2</c:v>
                </c:pt>
                <c:pt idx="14">
                  <c:v>0</c:v>
                </c:pt>
                <c:pt idx="15">
                  <c:v>0</c:v>
                </c:pt>
                <c:pt idx="16">
                  <c:v>0</c:v>
                </c:pt>
              </c:numCache>
            </c:numRef>
          </c:val>
          <c:smooth val="1"/>
          <c:extLst>
            <c:ext xmlns:c16="http://schemas.microsoft.com/office/drawing/2014/chart" uri="{C3380CC4-5D6E-409C-BE32-E72D297353CC}">
              <c16:uniqueId val="{00000016-D4EF-4477-BF82-F16B926A2C02}"/>
            </c:ext>
          </c:extLst>
        </c:ser>
        <c:dLbls>
          <c:dLblPos val="t"/>
          <c:showLegendKey val="0"/>
          <c:showVal val="1"/>
          <c:showCatName val="0"/>
          <c:showSerName val="0"/>
          <c:showPercent val="0"/>
          <c:showBubbleSize val="0"/>
        </c:dLbls>
        <c:marker val="1"/>
        <c:smooth val="0"/>
        <c:axId val="1061181040"/>
        <c:axId val="1061182480"/>
      </c:lineChart>
      <c:catAx>
        <c:axId val="1061181040"/>
        <c:scaling>
          <c:orientation val="minMax"/>
        </c:scaling>
        <c:delete val="0"/>
        <c:axPos val="b"/>
        <c:title>
          <c:tx>
            <c:rich>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r>
                  <a:rPr lang="en-GB"/>
                  <a:t>Period</a:t>
                </a:r>
              </a:p>
            </c:rich>
          </c:tx>
          <c:layout>
            <c:manualLayout>
              <c:xMode val="edge"/>
              <c:yMode val="edge"/>
              <c:x val="0.53379937781426035"/>
              <c:y val="0.88406892701189421"/>
            </c:manualLayout>
          </c:layout>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2"/>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1061182480"/>
        <c:crosses val="autoZero"/>
        <c:auto val="1"/>
        <c:lblAlgn val="ctr"/>
        <c:lblOffset val="100"/>
        <c:noMultiLvlLbl val="0"/>
      </c:catAx>
      <c:valAx>
        <c:axId val="1061182480"/>
        <c:scaling>
          <c:orientation val="minMax"/>
          <c:max val="1"/>
          <c:min val="0"/>
        </c:scaling>
        <c:delete val="0"/>
        <c:axPos val="l"/>
        <c:title>
          <c:tx>
            <c:rich>
              <a:bodyPr rot="-54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r>
                  <a:rPr lang="en-GB"/>
                  <a:t>proporton of ROC with AHD</a:t>
                </a:r>
              </a:p>
            </c:rich>
          </c:tx>
          <c:layout>
            <c:manualLayout>
              <c:xMode val="edge"/>
              <c:yMode val="edge"/>
              <c:x val="1.4477543687895786E-2"/>
              <c:y val="0.34694706527595781"/>
            </c:manualLayout>
          </c:layout>
          <c:overlay val="0"/>
          <c:spPr>
            <a:noFill/>
            <a:ln w="6350">
              <a:noFill/>
            </a:ln>
            <a:effectLst/>
          </c:spPr>
          <c:txPr>
            <a:bodyPr rot="-54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title>
        <c:numFmt formatCode="0%" sourceLinked="0"/>
        <c:majorTickMark val="none"/>
        <c:minorTickMark val="none"/>
        <c:tickLblPos val="nextTo"/>
        <c:spPr>
          <a:noFill/>
          <a:ln>
            <a:solidFill>
              <a:schemeClr val="tx2"/>
            </a:solid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1061181040"/>
        <c:crosses val="autoZero"/>
        <c:crossBetween val="between"/>
      </c:valAx>
      <c:spPr>
        <a:noFill/>
        <a:ln>
          <a:noFill/>
        </a:ln>
        <a:effectLst/>
      </c:spPr>
    </c:plotArea>
    <c:legend>
      <c:legendPos val="r"/>
      <c:layout>
        <c:manualLayout>
          <c:xMode val="edge"/>
          <c:yMode val="edge"/>
          <c:x val="0.22131028291804714"/>
          <c:y val="0.93271419360273655"/>
          <c:w val="0.58426189759544056"/>
          <c:h val="5.9625591625575833E-2"/>
        </c:manualLayout>
      </c:layout>
      <c:overlay val="0"/>
      <c:spPr>
        <a:noFill/>
        <a:ln w="6350">
          <a:solidFill>
            <a:schemeClr val="accent5">
              <a:lumMod val="60000"/>
              <a:lumOff val="40000"/>
            </a:schemeClr>
          </a:solid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lumMod val="60000"/>
          <a:lumOff val="40000"/>
        </a:schemeClr>
      </a:solidFill>
      <a:round/>
    </a:ln>
    <a:effectLst/>
  </c:spPr>
  <c:txPr>
    <a:bodyPr/>
    <a:lstStyle/>
    <a:p>
      <a:pPr>
        <a:defRPr sz="1100">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[AHD_Reporting_Form.xlsx]charts!PivotTable1</c:name>
    <c:fmtId val="137"/>
  </c:pivotSource>
  <c:chart>
    <c:title>
      <c:tx>
        <c:rich>
          <a:bodyPr rot="0" spcFirstLastPara="1" vertOverflow="ellipsis" vert="horz" wrap="square" anchor="ctr" anchorCtr="1"/>
          <a:lstStyle/>
          <a:p>
            <a:pPr>
              <a:defRPr sz="2400" b="1" i="0" u="none" strike="noStrike" kern="1200" spc="0" baseline="0">
                <a:solidFill>
                  <a:sysClr val="windowText" lastClr="000000"/>
                </a:solidFill>
                <a:latin typeface="+mn-lt"/>
                <a:ea typeface="+mn-ea"/>
                <a:cs typeface="+mn-cs"/>
              </a:defRPr>
            </a:pPr>
            <a:r>
              <a:rPr lang="en-US" b="1"/>
              <a:t>Overall CD4 tests and AHD yield</a:t>
            </a:r>
          </a:p>
        </c:rich>
      </c:tx>
      <c:layout>
        <c:manualLayout>
          <c:xMode val="edge"/>
          <c:yMode val="edge"/>
          <c:x val="0.15234570444855347"/>
          <c:y val="2.0015591641174259E-2"/>
        </c:manualLayout>
      </c:layout>
      <c:overlay val="0"/>
      <c:spPr>
        <a:noFill/>
        <a:ln>
          <a:noFill/>
        </a:ln>
        <a:effectLst/>
      </c:spPr>
      <c:txPr>
        <a:bodyPr rot="0" spcFirstLastPara="1" vertOverflow="ellipsis" vert="horz" wrap="square" anchor="ctr" anchorCtr="1"/>
        <a:lstStyle/>
        <a:p>
          <a:pPr>
            <a:defRPr sz="2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rgbClr val="58508D"/>
          </a:solidFill>
          <a:ln w="19050">
            <a:noFill/>
          </a:ln>
          <a:effectLst/>
        </c:spPr>
        <c:marker>
          <c:symbol val="none"/>
        </c:marker>
        <c:dLbl>
          <c:idx val="0"/>
          <c:spPr>
            <a:solidFill>
              <a:sysClr val="window" lastClr="FFFFFF"/>
            </a:solidFill>
            <a:ln>
              <a:noFill/>
            </a:ln>
            <a:effectLst>
              <a:softEdge rad="31750"/>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58508D"/>
          </a:solidFill>
          <a:ln w="19050">
            <a:noFill/>
          </a:ln>
          <a:effectLst/>
        </c:spPr>
      </c:pivotFmt>
      <c:pivotFmt>
        <c:idx val="4"/>
        <c:spPr>
          <a:solidFill>
            <a:srgbClr val="BC5090"/>
          </a:solidFill>
          <a:ln w="19050">
            <a:noFill/>
          </a:ln>
          <a:effectLst/>
        </c:spPr>
      </c:pivotFmt>
      <c:pivotFmt>
        <c:idx val="5"/>
        <c:spPr>
          <a:solidFill>
            <a:srgbClr val="58508D"/>
          </a:solidFill>
          <a:ln w="19050">
            <a:noFill/>
          </a:ln>
          <a:effectLst/>
        </c:spPr>
        <c:marker>
          <c:symbol val="none"/>
        </c:marker>
        <c:dLbl>
          <c:idx val="0"/>
          <c:spPr>
            <a:solidFill>
              <a:sysClr val="window" lastClr="FFFFFF"/>
            </a:solidFill>
            <a:ln>
              <a:noFill/>
            </a:ln>
            <a:effectLst>
              <a:softEdge rad="31750"/>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BC5090"/>
          </a:solidFill>
          <a:ln w="19050">
            <a:noFill/>
          </a:ln>
          <a:effectLst/>
        </c:spPr>
      </c:pivotFmt>
      <c:pivotFmt>
        <c:idx val="7"/>
        <c:spPr>
          <a:solidFill>
            <a:srgbClr val="58508D"/>
          </a:solidFill>
          <a:ln w="19050">
            <a:noFill/>
          </a:ln>
          <a:effectLst/>
        </c:spPr>
      </c:pivotFmt>
      <c:pivotFmt>
        <c:idx val="8"/>
        <c:spPr>
          <a:solidFill>
            <a:srgbClr val="58508D"/>
          </a:solidFill>
          <a:ln w="19050">
            <a:noFill/>
          </a:ln>
          <a:effectLst/>
        </c:spPr>
        <c:marker>
          <c:symbol val="none"/>
        </c:marker>
        <c:dLbl>
          <c:idx val="0"/>
          <c:spPr>
            <a:solidFill>
              <a:schemeClr val="accent1">
                <a:lumMod val="20000"/>
                <a:lumOff val="80000"/>
              </a:schemeClr>
            </a:solidFill>
            <a:ln>
              <a:noFill/>
            </a:ln>
            <a:effectLst>
              <a:softEdge rad="63500"/>
            </a:effectLst>
          </c:spPr>
          <c:txPr>
            <a:bodyPr rot="0" spcFirstLastPara="1" vertOverflow="clip" horzOverflow="clip" vert="horz" wrap="square" lIns="36576" tIns="18288" rIns="36576" bIns="18288" anchor="ctr" anchorCtr="1">
              <a:spAutoFit/>
            </a:bodyPr>
            <a:lstStyle/>
            <a:p>
              <a:pPr>
                <a:defRPr sz="20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flowChartConnector">
                  <a:avLst/>
                </a:prstGeom>
                <a:noFill/>
                <a:ln>
                  <a:noFill/>
                </a:ln>
              </c15:spPr>
            </c:ext>
          </c:extLst>
        </c:dLbl>
      </c:pivotFmt>
      <c:pivotFmt>
        <c:idx val="9"/>
        <c:spPr>
          <a:solidFill>
            <a:srgbClr val="BC5090"/>
          </a:solidFill>
          <a:ln w="19050">
            <a:noFill/>
          </a:ln>
          <a:effectLst/>
        </c:spPr>
      </c:pivotFmt>
      <c:pivotFmt>
        <c:idx val="10"/>
        <c:spPr>
          <a:solidFill>
            <a:srgbClr val="58508D"/>
          </a:solidFill>
          <a:ln w="19050">
            <a:noFill/>
          </a:ln>
          <a:effectLst/>
        </c:spPr>
      </c:pivotFmt>
    </c:pivotFmts>
    <c:plotArea>
      <c:layout>
        <c:manualLayout>
          <c:layoutTarget val="inner"/>
          <c:xMode val="edge"/>
          <c:yMode val="edge"/>
          <c:x val="0.12126921970287094"/>
          <c:y val="0.19466106534082317"/>
          <c:w val="0.63550686280112167"/>
          <c:h val="0.66603476667024775"/>
        </c:manualLayout>
      </c:layout>
      <c:doughnutChart>
        <c:varyColors val="1"/>
        <c:ser>
          <c:idx val="0"/>
          <c:order val="0"/>
          <c:tx>
            <c:strRef>
              <c:f>charts!$B$5</c:f>
              <c:strCache>
                <c:ptCount val="1"/>
                <c:pt idx="0">
                  <c:v>Total</c:v>
                </c:pt>
              </c:strCache>
            </c:strRef>
          </c:tx>
          <c:spPr>
            <a:solidFill>
              <a:srgbClr val="58508D"/>
            </a:solidFill>
            <a:ln>
              <a:noFill/>
            </a:ln>
          </c:spPr>
          <c:dPt>
            <c:idx val="0"/>
            <c:bubble3D val="0"/>
            <c:spPr>
              <a:solidFill>
                <a:srgbClr val="BC5090"/>
              </a:solidFill>
              <a:ln w="19050">
                <a:noFill/>
              </a:ln>
              <a:effectLst/>
            </c:spPr>
            <c:extLst>
              <c:ext xmlns:c16="http://schemas.microsoft.com/office/drawing/2014/chart" uri="{C3380CC4-5D6E-409C-BE32-E72D297353CC}">
                <c16:uniqueId val="{00000001-4A95-43F1-B02A-566CBC20FC30}"/>
              </c:ext>
            </c:extLst>
          </c:dPt>
          <c:dPt>
            <c:idx val="1"/>
            <c:bubble3D val="0"/>
            <c:spPr>
              <a:solidFill>
                <a:srgbClr val="58508D"/>
              </a:solidFill>
              <a:ln w="19050">
                <a:noFill/>
              </a:ln>
              <a:effectLst/>
            </c:spPr>
            <c:extLst>
              <c:ext xmlns:c16="http://schemas.microsoft.com/office/drawing/2014/chart" uri="{C3380CC4-5D6E-409C-BE32-E72D297353CC}">
                <c16:uniqueId val="{00000003-4A95-43F1-B02A-566CBC20FC30}"/>
              </c:ext>
            </c:extLst>
          </c:dPt>
          <c:dLbls>
            <c:spPr>
              <a:solidFill>
                <a:schemeClr val="accent1">
                  <a:lumMod val="20000"/>
                  <a:lumOff val="80000"/>
                </a:schemeClr>
              </a:solidFill>
              <a:ln>
                <a:noFill/>
              </a:ln>
              <a:effectLst>
                <a:softEdge rad="63500"/>
              </a:effectLst>
            </c:spPr>
            <c:txPr>
              <a:bodyPr rot="0" spcFirstLastPara="1" vertOverflow="clip" horzOverflow="clip" vert="horz" wrap="square" lIns="36576" tIns="18288" rIns="36576" bIns="18288" anchor="ctr" anchorCtr="1">
                <a:spAutoFit/>
              </a:bodyPr>
              <a:lstStyle/>
              <a:p>
                <a:pPr>
                  <a:defRPr sz="20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flowChartConnector">
                    <a:avLst/>
                  </a:prstGeom>
                  <a:noFill/>
                  <a:ln>
                    <a:noFill/>
                  </a:ln>
                </c15:spPr>
              </c:ext>
            </c:extLst>
          </c:dLbls>
          <c:cat>
            <c:strRef>
              <c:f>charts!$A$6:$A$7</c:f>
              <c:strCache>
                <c:ptCount val="2"/>
                <c:pt idx="0">
                  <c:v> CD4_tests</c:v>
                </c:pt>
                <c:pt idx="1">
                  <c:v>CD4 &lt;200</c:v>
                </c:pt>
              </c:strCache>
            </c:strRef>
          </c:cat>
          <c:val>
            <c:numRef>
              <c:f>charts!$B$6:$B$7</c:f>
              <c:numCache>
                <c:formatCode>General</c:formatCode>
                <c:ptCount val="2"/>
                <c:pt idx="0">
                  <c:v>657</c:v>
                </c:pt>
                <c:pt idx="1">
                  <c:v>155</c:v>
                </c:pt>
              </c:numCache>
            </c:numRef>
          </c:val>
          <c:extLst>
            <c:ext xmlns:c16="http://schemas.microsoft.com/office/drawing/2014/chart" uri="{C3380CC4-5D6E-409C-BE32-E72D297353CC}">
              <c16:uniqueId val="{00000004-4A95-43F1-B02A-566CBC20FC30}"/>
            </c:ext>
          </c:extLst>
        </c:ser>
        <c:dLbls>
          <c:showLegendKey val="0"/>
          <c:showVal val="0"/>
          <c:showCatName val="0"/>
          <c:showSerName val="0"/>
          <c:showPercent val="0"/>
          <c:showBubbleSize val="0"/>
          <c:showLeaderLines val="0"/>
        </c:dLbls>
        <c:firstSliceAng val="141"/>
        <c:holeSize val="36"/>
      </c:doughnutChart>
      <c:spPr>
        <a:noFill/>
        <a:ln>
          <a:noFill/>
        </a:ln>
        <a:effectLst/>
      </c:spPr>
    </c:plotArea>
    <c:legend>
      <c:legendPos val="r"/>
      <c:layout>
        <c:manualLayout>
          <c:xMode val="edge"/>
          <c:yMode val="edge"/>
          <c:x val="0.69312933322236259"/>
          <c:y val="0.7557228194805472"/>
          <c:w val="0.28223203499384131"/>
          <c:h val="0.18158764611239725"/>
        </c:manualLayout>
      </c:layout>
      <c:overlay val="0"/>
      <c:spPr>
        <a:noFill/>
        <a:ln>
          <a:noFill/>
        </a:ln>
        <a:effectLst/>
      </c:spPr>
      <c:txPr>
        <a:bodyPr rot="0" spcFirstLastPara="1" vertOverflow="ellipsis" vert="horz" wrap="square" anchor="ctr" anchorCtr="1"/>
        <a:lstStyle/>
        <a:p>
          <a:pPr>
            <a:defRPr sz="20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accent1">
          <a:lumMod val="40000"/>
          <a:lumOff val="60000"/>
        </a:schemeClr>
      </a:solidFill>
      <a:round/>
    </a:ln>
    <a:effectLst/>
  </c:spPr>
  <c:txPr>
    <a:bodyPr/>
    <a:lstStyle/>
    <a:p>
      <a:pPr>
        <a:defRPr sz="2000">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[AHD_Reporting_Form.xlsx]charts!PivotTable3</c:name>
    <c:fmtId val="142"/>
  </c:pivotSource>
  <c:chart>
    <c:title>
      <c:tx>
        <c:rich>
          <a:bodyPr rot="0" spcFirstLastPara="1" vertOverflow="ellipsis" vert="horz" wrap="square" anchor="ctr" anchorCtr="1"/>
          <a:lstStyle/>
          <a:p>
            <a:pPr>
              <a:defRPr sz="2400" b="1" i="0" u="none" strike="noStrike" kern="1200" spc="0" baseline="0">
                <a:solidFill>
                  <a:sysClr val="windowText" lastClr="000000"/>
                </a:solidFill>
                <a:latin typeface="+mn-lt"/>
                <a:ea typeface="+mn-ea"/>
                <a:cs typeface="+mn-cs"/>
              </a:defRPr>
            </a:pPr>
            <a:r>
              <a:rPr lang="en-US" sz="2400" b="1">
                <a:solidFill>
                  <a:sysClr val="windowText" lastClr="000000"/>
                </a:solidFill>
              </a:rPr>
              <a:t>Overall crAg Tests and AHD yield</a:t>
            </a:r>
          </a:p>
        </c:rich>
      </c:tx>
      <c:overlay val="0"/>
      <c:spPr>
        <a:noFill/>
        <a:ln>
          <a:noFill/>
        </a:ln>
        <a:effectLst/>
      </c:spPr>
      <c:txPr>
        <a:bodyPr rot="0" spcFirstLastPara="1" vertOverflow="ellipsis" vert="horz" wrap="square" anchor="ctr" anchorCtr="1"/>
        <a:lstStyle/>
        <a:p>
          <a:pPr>
            <a:defRPr sz="2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rgbClr val="FFA600"/>
          </a:solidFill>
          <a:ln w="19050">
            <a:solidFill>
              <a:schemeClr val="lt1"/>
            </a:solidFill>
          </a:ln>
          <a:effectLst/>
        </c:spPr>
        <c:marker>
          <c:symbol val="none"/>
        </c:marker>
        <c:dLbl>
          <c:idx val="0"/>
          <c:spPr>
            <a:solidFill>
              <a:schemeClr val="bg2"/>
            </a:solidFill>
            <a:ln>
              <a:noFill/>
            </a:ln>
            <a:effectLst>
              <a:softEdge rad="31750"/>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FFA600"/>
          </a:solidFill>
          <a:ln w="19050">
            <a:solidFill>
              <a:schemeClr val="lt1"/>
            </a:solidFill>
          </a:ln>
          <a:effectLst/>
        </c:spPr>
        <c:dLbl>
          <c:idx val="0"/>
          <c:spPr>
            <a:solidFill>
              <a:schemeClr val="bg2"/>
            </a:solidFill>
            <a:ln>
              <a:noFill/>
            </a:ln>
            <a:effectLst>
              <a:softEdge rad="31750"/>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2F4B7C"/>
          </a:solidFill>
          <a:ln w="19050">
            <a:solidFill>
              <a:schemeClr val="lt1"/>
            </a:solidFill>
          </a:ln>
          <a:effectLst/>
        </c:spPr>
        <c:dLbl>
          <c:idx val="0"/>
          <c:spPr>
            <a:solidFill>
              <a:schemeClr val="bg2"/>
            </a:solidFill>
            <a:ln>
              <a:noFill/>
            </a:ln>
            <a:effectLst>
              <a:softEdge rad="31750"/>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rgbClr val="FFA600"/>
          </a:solidFill>
          <a:ln w="19050">
            <a:solidFill>
              <a:schemeClr val="lt1"/>
            </a:solidFill>
          </a:ln>
          <a:effectLst/>
        </c:spPr>
        <c:marker>
          <c:symbol val="none"/>
        </c:marker>
        <c:dLbl>
          <c:idx val="0"/>
          <c:spPr>
            <a:solidFill>
              <a:schemeClr val="bg2"/>
            </a:solidFill>
            <a:ln>
              <a:noFill/>
            </a:ln>
            <a:effectLst>
              <a:softEdge rad="31750"/>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rgbClr val="2F4B7C"/>
          </a:solidFill>
          <a:ln w="19050">
            <a:solidFill>
              <a:schemeClr val="lt1"/>
            </a:solidFill>
          </a:ln>
          <a:effectLst/>
        </c:spPr>
      </c:pivotFmt>
      <c:pivotFmt>
        <c:idx val="5"/>
        <c:spPr>
          <a:solidFill>
            <a:srgbClr val="FFA600"/>
          </a:solidFill>
          <a:ln w="19050">
            <a:solidFill>
              <a:schemeClr val="lt1"/>
            </a:solidFill>
          </a:ln>
          <a:effectLst/>
        </c:spPr>
      </c:pivotFmt>
      <c:pivotFmt>
        <c:idx val="6"/>
        <c:spPr>
          <a:solidFill>
            <a:srgbClr val="FFA600"/>
          </a:solidFill>
          <a:ln w="19050">
            <a:noFill/>
          </a:ln>
          <a:effectLst/>
        </c:spPr>
        <c:marker>
          <c:symbol val="none"/>
        </c:marker>
        <c:dLbl>
          <c:idx val="0"/>
          <c:spPr>
            <a:solidFill>
              <a:schemeClr val="accent1">
                <a:lumMod val="20000"/>
                <a:lumOff val="80000"/>
              </a:schemeClr>
            </a:solidFill>
            <a:ln>
              <a:noFill/>
            </a:ln>
            <a:effectLst>
              <a:softEdge rad="63500"/>
            </a:effectLst>
          </c:spPr>
          <c:txPr>
            <a:bodyPr rot="0" spcFirstLastPara="1" vertOverflow="clip" horzOverflow="clip" vert="horz" wrap="square" lIns="36576" tIns="18288" rIns="36576" bIns="18288" anchor="ctr" anchorCtr="1">
              <a:spAutoFit/>
            </a:bodyPr>
            <a:lstStyle/>
            <a:p>
              <a:pPr>
                <a:defRPr sz="18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7"/>
        <c:spPr>
          <a:solidFill>
            <a:srgbClr val="2F4B7C"/>
          </a:solidFill>
          <a:ln w="19050">
            <a:noFill/>
          </a:ln>
          <a:effectLst/>
        </c:spPr>
      </c:pivotFmt>
      <c:pivotFmt>
        <c:idx val="8"/>
        <c:spPr>
          <a:solidFill>
            <a:srgbClr val="FFA600"/>
          </a:solidFill>
          <a:ln w="19050">
            <a:noFill/>
          </a:ln>
          <a:effectLst/>
        </c:spPr>
      </c:pivotFmt>
    </c:pivotFmts>
    <c:plotArea>
      <c:layout>
        <c:manualLayout>
          <c:layoutTarget val="inner"/>
          <c:xMode val="edge"/>
          <c:yMode val="edge"/>
          <c:x val="0.17067859908409452"/>
          <c:y val="0.2032887275592539"/>
          <c:w val="0.64104238672205438"/>
          <c:h val="0.70476886260330551"/>
        </c:manualLayout>
      </c:layout>
      <c:doughnutChart>
        <c:varyColors val="1"/>
        <c:ser>
          <c:idx val="0"/>
          <c:order val="0"/>
          <c:tx>
            <c:strRef>
              <c:f>charts!$B$16</c:f>
              <c:strCache>
                <c:ptCount val="1"/>
                <c:pt idx="0">
                  <c:v>Total</c:v>
                </c:pt>
              </c:strCache>
            </c:strRef>
          </c:tx>
          <c:spPr>
            <a:solidFill>
              <a:srgbClr val="FFA600"/>
            </a:solidFill>
            <a:ln>
              <a:noFill/>
            </a:ln>
          </c:spPr>
          <c:dPt>
            <c:idx val="0"/>
            <c:bubble3D val="0"/>
            <c:spPr>
              <a:solidFill>
                <a:srgbClr val="2F4B7C"/>
              </a:solidFill>
              <a:ln w="19050">
                <a:noFill/>
              </a:ln>
              <a:effectLst/>
            </c:spPr>
            <c:extLst>
              <c:ext xmlns:c16="http://schemas.microsoft.com/office/drawing/2014/chart" uri="{C3380CC4-5D6E-409C-BE32-E72D297353CC}">
                <c16:uniqueId val="{00000001-68F1-4B52-BD18-C0FF5EE731C6}"/>
              </c:ext>
            </c:extLst>
          </c:dPt>
          <c:dPt>
            <c:idx val="1"/>
            <c:bubble3D val="0"/>
            <c:spPr>
              <a:solidFill>
                <a:srgbClr val="FFA600"/>
              </a:solidFill>
              <a:ln w="19050">
                <a:noFill/>
              </a:ln>
              <a:effectLst/>
            </c:spPr>
            <c:extLst>
              <c:ext xmlns:c16="http://schemas.microsoft.com/office/drawing/2014/chart" uri="{C3380CC4-5D6E-409C-BE32-E72D297353CC}">
                <c16:uniqueId val="{00000003-68F1-4B52-BD18-C0FF5EE731C6}"/>
              </c:ext>
            </c:extLst>
          </c:dPt>
          <c:dLbls>
            <c:spPr>
              <a:solidFill>
                <a:schemeClr val="accent1">
                  <a:lumMod val="20000"/>
                  <a:lumOff val="80000"/>
                </a:schemeClr>
              </a:solidFill>
              <a:ln>
                <a:noFill/>
              </a:ln>
              <a:effectLst>
                <a:softEdge rad="63500"/>
              </a:effectLst>
            </c:spPr>
            <c:txPr>
              <a:bodyPr rot="0" spcFirstLastPara="1" vertOverflow="clip" horzOverflow="clip" vert="horz" wrap="square" lIns="36576" tIns="18288" rIns="36576" bIns="18288" anchor="ctr" anchorCtr="1">
                <a:spAutoFit/>
              </a:bodyPr>
              <a:lstStyle/>
              <a:p>
                <a:pPr>
                  <a:defRPr sz="18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ellipse">
                    <a:avLst/>
                  </a:prstGeom>
                  <a:noFill/>
                  <a:ln>
                    <a:noFill/>
                  </a:ln>
                </c15:spPr>
              </c:ext>
            </c:extLst>
          </c:dLbls>
          <c:cat>
            <c:strRef>
              <c:f>charts!$A$17:$A$18</c:f>
              <c:strCache>
                <c:ptCount val="2"/>
                <c:pt idx="0">
                  <c:v>CrAg-tests</c:v>
                </c:pt>
                <c:pt idx="1">
                  <c:v>CrAg_pos</c:v>
                </c:pt>
              </c:strCache>
            </c:strRef>
          </c:cat>
          <c:val>
            <c:numRef>
              <c:f>charts!$B$17:$B$18</c:f>
              <c:numCache>
                <c:formatCode>General</c:formatCode>
                <c:ptCount val="2"/>
                <c:pt idx="0">
                  <c:v>148</c:v>
                </c:pt>
                <c:pt idx="1">
                  <c:v>8</c:v>
                </c:pt>
              </c:numCache>
            </c:numRef>
          </c:val>
          <c:extLst>
            <c:ext xmlns:c16="http://schemas.microsoft.com/office/drawing/2014/chart" uri="{C3380CC4-5D6E-409C-BE32-E72D297353CC}">
              <c16:uniqueId val="{00000004-68F1-4B52-BD18-C0FF5EE731C6}"/>
            </c:ext>
          </c:extLst>
        </c:ser>
        <c:dLbls>
          <c:showLegendKey val="0"/>
          <c:showVal val="0"/>
          <c:showCatName val="0"/>
          <c:showSerName val="0"/>
          <c:showPercent val="0"/>
          <c:showBubbleSize val="0"/>
          <c:showLeaderLines val="1"/>
        </c:dLbls>
        <c:firstSliceAng val="0"/>
        <c:holeSize val="38"/>
      </c:doughnutChart>
      <c:spPr>
        <a:noFill/>
        <a:ln>
          <a:noFill/>
        </a:ln>
        <a:effectLst/>
      </c:spPr>
    </c:plotArea>
    <c:legend>
      <c:legendPos val="r"/>
      <c:layout>
        <c:manualLayout>
          <c:xMode val="edge"/>
          <c:yMode val="edge"/>
          <c:x val="0.76369626492592257"/>
          <c:y val="0.82456646555069424"/>
          <c:w val="0.22517283569740781"/>
          <c:h val="0.15023113810557748"/>
        </c:manualLayout>
      </c:layout>
      <c:overlay val="0"/>
      <c:spPr>
        <a:noFill/>
        <a:ln>
          <a:noFill/>
        </a:ln>
        <a:effectLst/>
      </c:spPr>
      <c:txPr>
        <a:bodyPr rot="0" spcFirstLastPara="1" vertOverflow="ellipsis" vert="horz" wrap="square" anchor="ctr" anchorCtr="1"/>
        <a:lstStyle/>
        <a:p>
          <a:pPr>
            <a:defRPr sz="18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accent1">
          <a:lumMod val="40000"/>
          <a:lumOff val="60000"/>
        </a:schemeClr>
      </a:solidFill>
      <a:round/>
    </a:ln>
    <a:effectLst/>
  </c:spPr>
  <c:txPr>
    <a:bodyPr/>
    <a:lstStyle/>
    <a:p>
      <a:pPr>
        <a:defRPr sz="1800">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[AHD_Reporting_Form.xlsx]charts!PivotTable4</c:name>
    <c:fmtId val="137"/>
  </c:pivotSource>
  <c:chart>
    <c:title>
      <c:tx>
        <c:rich>
          <a:bodyPr rot="0" spcFirstLastPara="1" vertOverflow="ellipsis" vert="horz" wrap="square" anchor="ctr" anchorCtr="1"/>
          <a:lstStyle/>
          <a:p>
            <a:pPr>
              <a:defRPr sz="2400" b="1" i="0" u="none" strike="noStrike" kern="1200" spc="0" baseline="0">
                <a:solidFill>
                  <a:sysClr val="windowText" lastClr="000000"/>
                </a:solidFill>
                <a:latin typeface="+mn-lt"/>
                <a:ea typeface="+mn-ea"/>
                <a:cs typeface="+mn-cs"/>
              </a:defRPr>
            </a:pPr>
            <a:r>
              <a:rPr lang="en-US" b="1">
                <a:solidFill>
                  <a:sysClr val="windowText" lastClr="000000"/>
                </a:solidFill>
              </a:rPr>
              <a:t>Overal LAM tests and AHD yield</a:t>
            </a:r>
          </a:p>
        </c:rich>
      </c:tx>
      <c:layout>
        <c:manualLayout>
          <c:xMode val="edge"/>
          <c:yMode val="edge"/>
          <c:x val="0.12829349638688159"/>
          <c:y val="0"/>
        </c:manualLayout>
      </c:layout>
      <c:overlay val="0"/>
      <c:spPr>
        <a:noFill/>
        <a:ln>
          <a:noFill/>
        </a:ln>
        <a:effectLst/>
      </c:spPr>
      <c:txPr>
        <a:bodyPr rot="0" spcFirstLastPara="1" vertOverflow="ellipsis" vert="horz" wrap="square" anchor="ctr" anchorCtr="1"/>
        <a:lstStyle/>
        <a:p>
          <a:pPr>
            <a:defRPr sz="2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chemeClr val="bg2"/>
            </a:solidFill>
            <a:ln>
              <a:noFill/>
            </a:ln>
            <a:effectLst>
              <a:softEdge rad="31750"/>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0B81A2"/>
          </a:solidFill>
          <a:ln w="19050">
            <a:solidFill>
              <a:schemeClr val="lt1"/>
            </a:solidFill>
          </a:ln>
          <a:effectLst/>
        </c:spPr>
      </c:pivotFmt>
      <c:pivotFmt>
        <c:idx val="2"/>
        <c:spPr>
          <a:solidFill>
            <a:srgbClr val="E25759"/>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solidFill>
              <a:schemeClr val="bg2"/>
            </a:solidFill>
            <a:ln>
              <a:noFill/>
            </a:ln>
            <a:effectLst>
              <a:softEdge rad="31750"/>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rgbClr val="0B81A2"/>
          </a:solidFill>
          <a:ln w="19050">
            <a:solidFill>
              <a:schemeClr val="lt1"/>
            </a:solidFill>
          </a:ln>
          <a:effectLst/>
        </c:spPr>
      </c:pivotFmt>
      <c:pivotFmt>
        <c:idx val="5"/>
        <c:spPr>
          <a:solidFill>
            <a:srgbClr val="E25759"/>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chemeClr val="accent1">
                <a:lumMod val="20000"/>
                <a:lumOff val="80000"/>
              </a:schemeClr>
            </a:solidFill>
            <a:ln>
              <a:solidFill>
                <a:schemeClr val="dk1">
                  <a:lumMod val="25000"/>
                  <a:lumOff val="75000"/>
                </a:schemeClr>
              </a:solidFill>
            </a:ln>
            <a:effectLst>
              <a:softEdge rad="63500"/>
            </a:effectLst>
          </c:spPr>
          <c:txPr>
            <a:bodyPr rot="0" spcFirstLastPara="1" vertOverflow="clip" horzOverflow="clip" vert="horz" wrap="square" lIns="36576" tIns="18288" rIns="36576" bIns="18288" anchor="ctr" anchorCtr="1">
              <a:spAutoFit/>
            </a:bodyPr>
            <a:lstStyle/>
            <a:p>
              <a:pPr>
                <a:defRPr sz="20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flowChartConnector">
                  <a:avLst/>
                </a:prstGeom>
                <a:noFill/>
                <a:ln>
                  <a:noFill/>
                </a:ln>
              </c15:spPr>
            </c:ext>
          </c:extLst>
        </c:dLbl>
      </c:pivotFmt>
      <c:pivotFmt>
        <c:idx val="7"/>
        <c:spPr>
          <a:solidFill>
            <a:srgbClr val="0B81A2"/>
          </a:solidFill>
          <a:ln w="19050">
            <a:noFill/>
          </a:ln>
          <a:effectLst/>
        </c:spPr>
      </c:pivotFmt>
      <c:pivotFmt>
        <c:idx val="8"/>
        <c:spPr>
          <a:solidFill>
            <a:srgbClr val="E25759"/>
          </a:solidFill>
          <a:ln w="19050">
            <a:noFill/>
          </a:ln>
          <a:effectLst/>
        </c:spPr>
      </c:pivotFmt>
    </c:pivotFmts>
    <c:plotArea>
      <c:layout>
        <c:manualLayout>
          <c:layoutTarget val="inner"/>
          <c:xMode val="edge"/>
          <c:yMode val="edge"/>
          <c:x val="0.19339540150485074"/>
          <c:y val="0.22681580349258937"/>
          <c:w val="0.59094609886312266"/>
          <c:h val="0.77318430234196833"/>
        </c:manualLayout>
      </c:layout>
      <c:doughnutChart>
        <c:varyColors val="1"/>
        <c:ser>
          <c:idx val="0"/>
          <c:order val="0"/>
          <c:tx>
            <c:strRef>
              <c:f>charts!$B$25</c:f>
              <c:strCache>
                <c:ptCount val="1"/>
                <c:pt idx="0">
                  <c:v>Total</c:v>
                </c:pt>
              </c:strCache>
            </c:strRef>
          </c:tx>
          <c:dPt>
            <c:idx val="0"/>
            <c:bubble3D val="0"/>
            <c:spPr>
              <a:solidFill>
                <a:srgbClr val="0B81A2"/>
              </a:solidFill>
              <a:ln w="19050">
                <a:noFill/>
              </a:ln>
              <a:effectLst/>
            </c:spPr>
            <c:extLst>
              <c:ext xmlns:c16="http://schemas.microsoft.com/office/drawing/2014/chart" uri="{C3380CC4-5D6E-409C-BE32-E72D297353CC}">
                <c16:uniqueId val="{00000001-6377-4978-9706-56DF324BAFC6}"/>
              </c:ext>
            </c:extLst>
          </c:dPt>
          <c:dPt>
            <c:idx val="1"/>
            <c:bubble3D val="0"/>
            <c:spPr>
              <a:solidFill>
                <a:srgbClr val="E25759"/>
              </a:solidFill>
              <a:ln w="19050">
                <a:noFill/>
              </a:ln>
              <a:effectLst/>
            </c:spPr>
            <c:extLst>
              <c:ext xmlns:c16="http://schemas.microsoft.com/office/drawing/2014/chart" uri="{C3380CC4-5D6E-409C-BE32-E72D297353CC}">
                <c16:uniqueId val="{00000003-6377-4978-9706-56DF324BAFC6}"/>
              </c:ext>
            </c:extLst>
          </c:dPt>
          <c:dLbls>
            <c:spPr>
              <a:solidFill>
                <a:schemeClr val="accent1">
                  <a:lumMod val="20000"/>
                  <a:lumOff val="80000"/>
                </a:schemeClr>
              </a:solidFill>
              <a:ln>
                <a:solidFill>
                  <a:schemeClr val="dk1">
                    <a:lumMod val="25000"/>
                    <a:lumOff val="75000"/>
                  </a:schemeClr>
                </a:solidFill>
              </a:ln>
              <a:effectLst>
                <a:softEdge rad="63500"/>
              </a:effectLst>
            </c:spPr>
            <c:txPr>
              <a:bodyPr rot="0" spcFirstLastPara="1" vertOverflow="clip" horzOverflow="clip" vert="horz" wrap="square" lIns="36576" tIns="18288" rIns="36576" bIns="18288" anchor="ctr" anchorCtr="1">
                <a:spAutoFit/>
              </a:bodyPr>
              <a:lstStyle/>
              <a:p>
                <a:pPr>
                  <a:defRPr sz="20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flowChartConnector">
                    <a:avLst/>
                  </a:prstGeom>
                  <a:noFill/>
                  <a:ln>
                    <a:noFill/>
                  </a:ln>
                </c15:spPr>
              </c:ext>
            </c:extLst>
          </c:dLbls>
          <c:cat>
            <c:strRef>
              <c:f>charts!$A$26:$A$27</c:f>
              <c:strCache>
                <c:ptCount val="2"/>
                <c:pt idx="0">
                  <c:v>LAM-tests</c:v>
                </c:pt>
                <c:pt idx="1">
                  <c:v>LAM_pos</c:v>
                </c:pt>
              </c:strCache>
            </c:strRef>
          </c:cat>
          <c:val>
            <c:numRef>
              <c:f>charts!$B$26:$B$27</c:f>
              <c:numCache>
                <c:formatCode>General</c:formatCode>
                <c:ptCount val="2"/>
                <c:pt idx="0">
                  <c:v>104</c:v>
                </c:pt>
                <c:pt idx="1">
                  <c:v>8</c:v>
                </c:pt>
              </c:numCache>
            </c:numRef>
          </c:val>
          <c:extLst>
            <c:ext xmlns:c16="http://schemas.microsoft.com/office/drawing/2014/chart" uri="{C3380CC4-5D6E-409C-BE32-E72D297353CC}">
              <c16:uniqueId val="{00000004-6377-4978-9706-56DF324BAFC6}"/>
            </c:ext>
          </c:extLst>
        </c:ser>
        <c:dLbls>
          <c:showLegendKey val="0"/>
          <c:showVal val="1"/>
          <c:showCatName val="0"/>
          <c:showSerName val="0"/>
          <c:showPercent val="0"/>
          <c:showBubbleSize val="0"/>
          <c:showLeaderLines val="1"/>
        </c:dLbls>
        <c:firstSliceAng val="0"/>
        <c:holeSize val="35"/>
      </c:doughnutChart>
      <c:spPr>
        <a:noFill/>
        <a:ln>
          <a:noFill/>
        </a:ln>
        <a:effectLst/>
      </c:spPr>
    </c:plotArea>
    <c:legend>
      <c:legendPos val="r"/>
      <c:layout>
        <c:manualLayout>
          <c:xMode val="edge"/>
          <c:yMode val="edge"/>
          <c:x val="0.73893743533554923"/>
          <c:y val="0.82855558723051426"/>
          <c:w val="0.24757891518200539"/>
          <c:h val="0.16948294893227497"/>
        </c:manualLayout>
      </c:layout>
      <c:overlay val="0"/>
      <c:spPr>
        <a:noFill/>
        <a:ln>
          <a:noFill/>
        </a:ln>
        <a:effectLst/>
      </c:spPr>
      <c:txPr>
        <a:bodyPr rot="0" spcFirstLastPara="1" vertOverflow="ellipsis" vert="horz" wrap="square" anchor="ctr" anchorCtr="1"/>
        <a:lstStyle/>
        <a:p>
          <a:pPr>
            <a:defRPr sz="20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sz="2000" b="0">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[AHD_Reporting_Form.xlsx]New HIV pos!PivotTable1</c:name>
    <c:fmtId val="221"/>
  </c:pivotSource>
  <c:chart>
    <c:title>
      <c:tx>
        <c:rich>
          <a:bodyPr rot="0" spcFirstLastPara="1" vertOverflow="ellipsis" vert="horz" wrap="square" anchor="ctr" anchorCtr="1"/>
          <a:lstStyle/>
          <a:p>
            <a:pPr>
              <a:defRPr sz="1600" b="1" i="0" u="sng" strike="noStrike" kern="1200" baseline="0">
                <a:solidFill>
                  <a:sysClr val="windowText" lastClr="000000"/>
                </a:solidFill>
                <a:latin typeface="+mn-lt"/>
                <a:ea typeface="+mn-ea"/>
                <a:cs typeface="+mn-cs"/>
              </a:defRPr>
            </a:pPr>
            <a:r>
              <a:rPr lang="en-GB" u="sng"/>
              <a:t>AHD screening among new HIV+</a:t>
            </a:r>
          </a:p>
        </c:rich>
      </c:tx>
      <c:layout>
        <c:manualLayout>
          <c:xMode val="edge"/>
          <c:yMode val="edge"/>
          <c:x val="0.27917650918635173"/>
          <c:y val="2.0903217496879466E-2"/>
        </c:manualLayout>
      </c:layout>
      <c:overlay val="0"/>
      <c:spPr>
        <a:noFill/>
        <a:ln>
          <a:noFill/>
        </a:ln>
        <a:effectLst/>
      </c:spPr>
      <c:txPr>
        <a:bodyPr rot="0" spcFirstLastPara="1" vertOverflow="ellipsis" vert="horz" wrap="square" anchor="ctr" anchorCtr="1"/>
        <a:lstStyle/>
        <a:p>
          <a:pPr>
            <a:defRPr sz="1600" b="1" i="0" u="sng" strike="noStrike" kern="1200" baseline="0">
              <a:solidFill>
                <a:sysClr val="windowText" lastClr="000000"/>
              </a:solidFill>
              <a:latin typeface="+mn-lt"/>
              <a:ea typeface="+mn-ea"/>
              <a:cs typeface="+mn-cs"/>
            </a:defRPr>
          </a:pPr>
          <a:endParaRPr lang="en-US"/>
        </a:p>
      </c:txPr>
    </c:title>
    <c:autoTitleDeleted val="0"/>
    <c:pivotFmts>
      <c:pivotFmt>
        <c:idx val="0"/>
        <c:spPr>
          <a:solidFill>
            <a:schemeClr val="accent2"/>
          </a:solidFill>
          <a:ln>
            <a:noFill/>
          </a:ln>
          <a:effectLst>
            <a:outerShdw blurRad="57150" dist="19050" dir="5400000" algn="ctr" rotWithShape="0">
              <a:srgbClr val="000000">
                <a:alpha val="63000"/>
              </a:srgbClr>
            </a:outerShdw>
          </a:effectLst>
        </c:spPr>
        <c:marker>
          <c:symbol val="none"/>
        </c:marker>
        <c:dLbl>
          <c:idx val="0"/>
          <c:spPr>
            <a:solidFill>
              <a:schemeClr val="accent2">
                <a:lumMod val="60000"/>
                <a:lumOff val="4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alpha val="88000"/>
            </a:schemeClr>
          </a:solidFill>
          <a:ln>
            <a:noFill/>
          </a:ln>
          <a:effectLst>
            <a:outerShdw blurRad="57150" dist="19050" dir="5400000" algn="ctr" rotWithShape="0">
              <a:srgbClr val="000000">
                <a:alpha val="63000"/>
              </a:srgbClr>
            </a:outerShdw>
          </a:effectLst>
        </c:spPr>
        <c:marker>
          <c:symbol val="none"/>
        </c:marker>
        <c:dLbl>
          <c:idx val="0"/>
          <c:spPr>
            <a:solidFill>
              <a:schemeClr val="accent5">
                <a:lumMod val="60000"/>
                <a:lumOff val="4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alpha val="84000"/>
            </a:srgbClr>
          </a:solidFill>
          <a:ln>
            <a:noFill/>
          </a:ln>
          <a:effectLst>
            <a:outerShdw blurRad="57150" dist="19050" dir="5400000" algn="ctr" rotWithShape="0">
              <a:srgbClr val="000000">
                <a:alpha val="63000"/>
              </a:srgbClr>
            </a:outerShdw>
          </a:effectLst>
        </c:spPr>
        <c:marker>
          <c:symbol val="none"/>
        </c:marker>
        <c:dLbl>
          <c:idx val="0"/>
          <c:spPr>
            <a:solidFill>
              <a:schemeClr val="accent4">
                <a:lumMod val="40000"/>
                <a:lumOff val="6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D80A0359-4340-464C-97BF-50043DB18A22}" type="CELLRANGE">
                  <a:rPr lang="en-US"/>
                  <a:pPr>
                    <a:defRPr sz="900" b="0" i="0" u="none" strike="noStrike" kern="1200" baseline="0">
                      <a:solidFill>
                        <a:sysClr val="windowText" lastClr="000000"/>
                      </a:solidFill>
                      <a:latin typeface="+mn-lt"/>
                      <a:ea typeface="+mn-ea"/>
                      <a:cs typeface="+mn-cs"/>
                    </a:defRPr>
                  </a:pPr>
                  <a:t>[CELLRANGE]</a:t>
                </a:fld>
                <a:r>
                  <a:rPr lang="en-US" baseline="0"/>
                  <a:t>, </a:t>
                </a:r>
                <a:fld id="{619AE429-5DC9-4CD0-95CD-5E4572E53792}" type="VALUE">
                  <a:rPr lang="en-US" baseline="0"/>
                  <a:pPr>
                    <a:defRPr sz="900" b="0" i="0" u="none" strike="noStrike" kern="1200" baseline="0">
                      <a:solidFill>
                        <a:sysClr val="windowText" lastClr="000000"/>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pivotFmt>
      <c:pivotFmt>
        <c:idx val="9"/>
        <c:dLbl>
          <c:idx val="0"/>
          <c:tx>
            <c:rich>
              <a:bodyPr/>
              <a:lstStyle/>
              <a:p>
                <a:fld id="{38B64FBF-4335-4EAD-B861-26F6E525AC74}" type="CELLRANGE">
                  <a:rPr lang="en-US"/>
                  <a:pPr/>
                  <a:t>[CELLRANGE]</a:t>
                </a:fld>
                <a:r>
                  <a:rPr lang="en-US" baseline="0"/>
                  <a:t>, </a:t>
                </a:r>
                <a:fld id="{D6C7321C-6E0F-4D2E-8B46-F65C3D7A4003}"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dLbl>
          <c:idx val="0"/>
          <c:tx>
            <c:rich>
              <a:bodyPr/>
              <a:lstStyle/>
              <a:p>
                <a:fld id="{8C44B063-F912-4FC5-A6C3-78054BAA1475}" type="CELLRANGE">
                  <a:rPr lang="en-US"/>
                  <a:pPr/>
                  <a:t>[CELLRANGE]</a:t>
                </a:fld>
                <a:r>
                  <a:rPr lang="en-US" baseline="0"/>
                  <a:t>, </a:t>
                </a:r>
                <a:fld id="{70B358C0-DB55-4F7E-A4CF-8DEB0B8DBBA3}"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dLbl>
          <c:idx val="0"/>
          <c:tx>
            <c:rich>
              <a:bodyPr/>
              <a:lstStyle/>
              <a:p>
                <a:fld id="{F1E15D6C-0C92-4F9E-8CBC-D5B2D9BC2075}" type="CELLRANGE">
                  <a:rPr lang="en-US"/>
                  <a:pPr/>
                  <a:t>[CELLRANGE]</a:t>
                </a:fld>
                <a:r>
                  <a:rPr lang="en-US" baseline="0"/>
                  <a:t>, </a:t>
                </a:r>
                <a:fld id="{CD39BF99-5182-4B7E-AEC5-5FB76F9FE533}"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2"/>
        <c:dLbl>
          <c:idx val="0"/>
          <c:tx>
            <c:rich>
              <a:bodyPr/>
              <a:lstStyle/>
              <a:p>
                <a:fld id="{AADAE8A4-138F-410E-9AB9-60EEC0EAE95C}" type="CELLRANGE">
                  <a:rPr lang="en-US"/>
                  <a:pPr/>
                  <a:t>[CELLRANGE]</a:t>
                </a:fld>
                <a:r>
                  <a:rPr lang="en-US" baseline="0"/>
                  <a:t>, </a:t>
                </a:r>
                <a:fld id="{200D7C23-70DD-4AC4-951B-7904139BAA90}"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3"/>
        <c:dLbl>
          <c:idx val="0"/>
          <c:tx>
            <c:rich>
              <a:bodyPr/>
              <a:lstStyle/>
              <a:p>
                <a:fld id="{EBB42741-FBB1-42C9-8CA9-7DC956E899D1}" type="CELLRANGE">
                  <a:rPr lang="en-US"/>
                  <a:pPr/>
                  <a:t>[CELLRANGE]</a:t>
                </a:fld>
                <a:r>
                  <a:rPr lang="en-US" baseline="0"/>
                  <a:t>, </a:t>
                </a:r>
                <a:fld id="{300B405C-545E-4C3B-9B9C-A09D74648588}"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4"/>
        <c:dLbl>
          <c:idx val="0"/>
          <c:tx>
            <c:rich>
              <a:bodyPr/>
              <a:lstStyle/>
              <a:p>
                <a:fld id="{5ACDCCC9-477B-4D80-84D3-265AA1551F99}" type="CELLRANGE">
                  <a:rPr lang="en-US"/>
                  <a:pPr/>
                  <a:t>[CELLRANGE]</a:t>
                </a:fld>
                <a:r>
                  <a:rPr lang="en-US" baseline="0"/>
                  <a:t>, </a:t>
                </a:r>
                <a:fld id="{EBF96CAC-98C3-4753-841D-F0B5B77629A4}"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dLbl>
          <c:idx val="0"/>
          <c:tx>
            <c:rich>
              <a:bodyPr/>
              <a:lstStyle/>
              <a:p>
                <a:fld id="{85641F05-FEC1-4650-8FDD-8843A09484ED}" type="CELLRANGE">
                  <a:rPr lang="en-US"/>
                  <a:pPr/>
                  <a:t>[CELLRANGE]</a:t>
                </a:fld>
                <a:r>
                  <a:rPr lang="en-US" baseline="0"/>
                  <a:t>, </a:t>
                </a:r>
                <a:fld id="{A601C9D9-40B0-4DB3-A221-74FC1FEA479F}"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7"/>
        <c:dLbl>
          <c:idx val="0"/>
          <c:tx>
            <c:rich>
              <a:bodyPr/>
              <a:lstStyle/>
              <a:p>
                <a:fld id="{FF4EBAB4-9208-426C-A2C0-06A9B7A20937}" type="CELLRANGE">
                  <a:rPr lang="en-US"/>
                  <a:pPr/>
                  <a:t>[CELLRANGE]</a:t>
                </a:fld>
                <a:r>
                  <a:rPr lang="en-US" baseline="0"/>
                  <a:t>, </a:t>
                </a:r>
                <a:fld id="{DF0E314E-1845-4B08-9E93-FA96B8217187}"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8"/>
        <c:dLbl>
          <c:idx val="0"/>
          <c:tx>
            <c:rich>
              <a:bodyPr/>
              <a:lstStyle/>
              <a:p>
                <a:fld id="{DD926363-9992-4DFE-80C3-994ABB41FDA7}" type="CELLRANGE">
                  <a:rPr lang="en-US"/>
                  <a:pPr/>
                  <a:t>[CELLRANGE]</a:t>
                </a:fld>
                <a:r>
                  <a:rPr lang="en-US" baseline="0"/>
                  <a:t>, </a:t>
                </a:r>
                <a:fld id="{C6BB680B-7623-4EA3-B83B-2011C5679ED2}"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9"/>
        <c:dLbl>
          <c:idx val="0"/>
          <c:tx>
            <c:rich>
              <a:bodyPr/>
              <a:lstStyle/>
              <a:p>
                <a:fld id="{50D0BCCD-DA80-4AEC-ADFD-7478183D354A}" type="CELLRANGE">
                  <a:rPr lang="en-US"/>
                  <a:pPr/>
                  <a:t>[CELLRANGE]</a:t>
                </a:fld>
                <a:r>
                  <a:rPr lang="en-US" baseline="0"/>
                  <a:t>, </a:t>
                </a:r>
                <a:fld id="{EE890978-0538-4AD0-BE1B-680453DC062D}"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0"/>
        <c:dLbl>
          <c:idx val="0"/>
          <c:tx>
            <c:rich>
              <a:bodyPr/>
              <a:lstStyle/>
              <a:p>
                <a:fld id="{7D984C0A-AF2C-4FAD-9538-9CE56ED5F567}" type="CELLRANGE">
                  <a:rPr lang="en-US"/>
                  <a:pPr/>
                  <a:t>[CELLRANGE]</a:t>
                </a:fld>
                <a:r>
                  <a:rPr lang="en-US" baseline="0"/>
                  <a:t>, </a:t>
                </a:r>
                <a:fld id="{9F5C0507-D70F-477A-95F2-C63830573DD7}"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1"/>
        <c:dLbl>
          <c:idx val="0"/>
          <c:tx>
            <c:rich>
              <a:bodyPr/>
              <a:lstStyle/>
              <a:p>
                <a:fld id="{CF4FB6D9-9767-42D1-B639-24FD87FBFE31}" type="CELLRANGE">
                  <a:rPr lang="en-US"/>
                  <a:pPr/>
                  <a:t>[CELLRANGE]</a:t>
                </a:fld>
                <a:r>
                  <a:rPr lang="en-US" baseline="0"/>
                  <a:t>, </a:t>
                </a:r>
                <a:fld id="{91BB9253-F401-4063-A925-95408FA77268}"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2"/>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4731A5D9-539A-4F7D-A744-CF24B4E851B3}" type="CELLRANGE">
                  <a:rPr lang="en-US"/>
                  <a:pPr>
                    <a:defRPr sz="900" b="0" i="0" u="none" strike="noStrike" kern="1200" baseline="0">
                      <a:solidFill>
                        <a:sysClr val="windowText" lastClr="000000"/>
                      </a:solidFill>
                      <a:latin typeface="+mn-lt"/>
                      <a:ea typeface="+mn-ea"/>
                      <a:cs typeface="+mn-cs"/>
                    </a:defRPr>
                  </a:pPr>
                  <a:t>[CELLRANGE]</a:t>
                </a:fld>
                <a:r>
                  <a:rPr lang="en-US" baseline="0"/>
                  <a:t>, </a:t>
                </a:r>
                <a:fld id="{B03745B5-70AB-4486-8B6A-5E28FBF5B9A6}" type="VALUE">
                  <a:rPr lang="en-US" baseline="0"/>
                  <a:pPr>
                    <a:defRPr sz="900" b="0" i="0" u="none" strike="noStrike" kern="1200" baseline="0">
                      <a:solidFill>
                        <a:sysClr val="windowText" lastClr="000000"/>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3"/>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C9006498-42A4-45CE-BCE8-EC546067215F}" type="CELLRANGE">
                  <a:rPr lang="en-US"/>
                  <a:pPr>
                    <a:defRPr sz="900" b="0" i="0" u="none" strike="noStrike" kern="1200" baseline="0">
                      <a:solidFill>
                        <a:sysClr val="windowText" lastClr="000000"/>
                      </a:solidFill>
                      <a:latin typeface="+mn-lt"/>
                      <a:ea typeface="+mn-ea"/>
                      <a:cs typeface="+mn-cs"/>
                    </a:defRPr>
                  </a:pPr>
                  <a:t>[CELLRANGE]</a:t>
                </a:fld>
                <a:r>
                  <a:rPr lang="en-US" baseline="0"/>
                  <a:t>, </a:t>
                </a:r>
                <a:fld id="{13415703-C5CA-4787-8825-FCBD5C55B0DC}" type="VALUE">
                  <a:rPr lang="en-US" baseline="0"/>
                  <a:pPr>
                    <a:defRPr sz="900" b="0" i="0" u="none" strike="noStrike" kern="1200" baseline="0">
                      <a:solidFill>
                        <a:sysClr val="windowText" lastClr="000000"/>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4"/>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E39C17C5-A6DE-465E-BA2E-A0457662CE4F}" type="CELLRANGE">
                  <a:rPr lang="en-US"/>
                  <a:pPr>
                    <a:defRPr sz="900" b="0" i="0" u="none" strike="noStrike" kern="1200" baseline="0">
                      <a:solidFill>
                        <a:sysClr val="windowText" lastClr="000000"/>
                      </a:solidFill>
                      <a:latin typeface="+mn-lt"/>
                      <a:ea typeface="+mn-ea"/>
                      <a:cs typeface="+mn-cs"/>
                    </a:defRPr>
                  </a:pPr>
                  <a:t>[CELLRANGE]</a:t>
                </a:fld>
                <a:r>
                  <a:rPr lang="en-US" baseline="0"/>
                  <a:t>, </a:t>
                </a:r>
                <a:fld id="{D26FCEF1-5A34-41A0-B6CD-F3663AD6D4C1}" type="VALUE">
                  <a:rPr lang="en-US" baseline="0"/>
                  <a:pPr>
                    <a:defRPr sz="900" b="0" i="0" u="none" strike="noStrike" kern="1200" baseline="0">
                      <a:solidFill>
                        <a:sysClr val="windowText" lastClr="000000"/>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5"/>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183C6365-A22B-4AE8-B76B-F63703475BFE}" type="CELLRANGE">
                  <a:rPr lang="en-US"/>
                  <a:pPr>
                    <a:defRPr sz="900" b="0" i="0" u="none" strike="noStrike" kern="1200" baseline="0">
                      <a:solidFill>
                        <a:sysClr val="windowText" lastClr="000000"/>
                      </a:solidFill>
                      <a:latin typeface="+mn-lt"/>
                      <a:ea typeface="+mn-ea"/>
                      <a:cs typeface="+mn-cs"/>
                    </a:defRPr>
                  </a:pPr>
                  <a:t>[CELLRANGE]</a:t>
                </a:fld>
                <a:r>
                  <a:rPr lang="en-US" baseline="0"/>
                  <a:t>, </a:t>
                </a:r>
                <a:fld id="{2F81CAD8-CC36-4E7F-B6DF-B7DA1E4CEDA1}" type="VALUE">
                  <a:rPr lang="en-US" baseline="0"/>
                  <a:pPr>
                    <a:defRPr sz="900" b="0" i="0" u="none" strike="noStrike" kern="1200" baseline="0">
                      <a:solidFill>
                        <a:sysClr val="windowText" lastClr="000000"/>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6"/>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847F4BA0-4AA9-499D-BA2A-3AAAC0496E86}" type="CELLRANGE">
                  <a:rPr lang="en-US"/>
                  <a:pPr>
                    <a:defRPr sz="900" b="0" i="0" u="none" strike="noStrike" kern="1200" baseline="0">
                      <a:solidFill>
                        <a:sysClr val="windowText" lastClr="000000"/>
                      </a:solidFill>
                      <a:latin typeface="+mn-lt"/>
                      <a:ea typeface="+mn-ea"/>
                      <a:cs typeface="+mn-cs"/>
                    </a:defRPr>
                  </a:pPr>
                  <a:t>[CELLRANGE]</a:t>
                </a:fld>
                <a:r>
                  <a:rPr lang="en-US" baseline="0"/>
                  <a:t>, </a:t>
                </a:r>
                <a:fld id="{3D14E329-43B4-454C-B933-1CE45CA6E605}" type="VALUE">
                  <a:rPr lang="en-US" baseline="0"/>
                  <a:pPr>
                    <a:defRPr sz="900" b="0" i="0" u="none" strike="noStrike" kern="1200" baseline="0">
                      <a:solidFill>
                        <a:sysClr val="windowText" lastClr="000000"/>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7"/>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5589FF5D-4B2A-47E1-8019-27F023C54ACE}" type="CELLRANGE">
                  <a:rPr lang="en-US"/>
                  <a:pPr>
                    <a:defRPr sz="900" b="0" i="0" u="none" strike="noStrike" kern="1200" baseline="0">
                      <a:solidFill>
                        <a:sysClr val="windowText" lastClr="000000"/>
                      </a:solidFill>
                      <a:latin typeface="+mn-lt"/>
                      <a:ea typeface="+mn-ea"/>
                      <a:cs typeface="+mn-cs"/>
                    </a:defRPr>
                  </a:pPr>
                  <a:t>[CELLRANGE]</a:t>
                </a:fld>
                <a:r>
                  <a:rPr lang="en-US" baseline="0"/>
                  <a:t>, </a:t>
                </a:r>
                <a:fld id="{0AFB73F6-2AF1-48C0-8CBA-C2B6AFAFD8A1}" type="VALUE">
                  <a:rPr lang="en-US" baseline="0"/>
                  <a:pPr>
                    <a:defRPr sz="900" b="0" i="0" u="none" strike="noStrike" kern="1200" baseline="0">
                      <a:solidFill>
                        <a:sysClr val="windowText" lastClr="000000"/>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8"/>
        <c:dLbl>
          <c:idx val="0"/>
          <c:layout>
            <c:manualLayout>
              <c:x val="-1.3084725270352189E-2"/>
              <c:y val="-3.7113402061855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dLbl>
          <c:idx val="0"/>
          <c:layout>
            <c:manualLayout>
              <c:x val="-2.2894524616056434E-2"/>
              <c:y val="-2.47218788627935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dLbl>
          <c:idx val="0"/>
          <c:layout>
            <c:manualLayout>
              <c:x val="-1.7988555055472866E-2"/>
              <c:y val="-2.06015657189946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dLbl>
          <c:idx val="0"/>
          <c:layout>
            <c:manualLayout>
              <c:x val="-1.3082585494889358E-2"/>
              <c:y val="-2.884219200659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dLbl>
          <c:idx val="0"/>
          <c:layout>
            <c:manualLayout>
              <c:x val="-1.6353231868611758E-2"/>
              <c:y val="-3.29625051503914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dLbl>
          <c:idx val="0"/>
          <c:layout>
            <c:manualLayout>
              <c:x val="-2.1259201429195206E-2"/>
              <c:y val="-2.47218788627935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1.9623878242334036E-2"/>
              <c:y val="-1.85414091470951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dLbl>
          <c:idx val="0"/>
          <c:layout>
            <c:manualLayout>
              <c:x val="0"/>
              <c:y val="-1.67890870933892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pivotFmt>
      <c:pivotFmt>
        <c:idx val="37"/>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pivotFmt>
      <c:pivotFmt>
        <c:idx val="38"/>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dLbl>
          <c:idx val="0"/>
          <c:layout>
            <c:manualLayout>
              <c:x val="0"/>
              <c:y val="-2.99465240641711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dLbl>
          <c:idx val="0"/>
          <c:layout>
            <c:manualLayout>
              <c:x val="-6.7074704452083512E-3"/>
              <c:y val="-3.87878771425381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dLbl>
          <c:idx val="0"/>
          <c:layout>
            <c:manualLayout>
              <c:x val="0"/>
              <c:y val="-1.93939385712690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dLbl>
          <c:idx val="0"/>
          <c:layout>
            <c:manualLayout>
              <c:x val="-1.0066269608254342E-2"/>
              <c:y val="-3.23232309521151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dLbl>
          <c:idx val="0"/>
          <c:layout>
            <c:manualLayout>
              <c:x val="-6.7108464055029553E-3"/>
              <c:y val="-4.52525233329611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dLbl>
          <c:idx val="0"/>
          <c:layout>
            <c:manualLayout>
              <c:x val="-1.6777116013757237E-2"/>
              <c:y val="-3.23232309521151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dLbl>
          <c:idx val="0"/>
          <c:layout>
            <c:manualLayout>
              <c:x val="-2.5165674020635853E-2"/>
              <c:y val="-3.66329950790638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pivotFmt>
      <c:pivotFmt>
        <c:idx val="49"/>
      </c:pivotFmt>
      <c:pivotFmt>
        <c:idx val="50"/>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pivotFmt>
      <c:pivotFmt>
        <c:idx val="52"/>
        <c:spPr>
          <a:solidFill>
            <a:schemeClr val="accent2"/>
          </a:solidFill>
          <a:ln>
            <a:noFill/>
          </a:ln>
          <a:effectLst>
            <a:outerShdw blurRad="57150" dist="19050" dir="5400000" algn="ctr" rotWithShape="0">
              <a:srgbClr val="000000">
                <a:alpha val="63000"/>
              </a:srgbClr>
            </a:outerShdw>
          </a:effectLst>
        </c:spPr>
        <c:marker>
          <c:symbol val="none"/>
        </c:marker>
        <c:dLbl>
          <c:idx val="0"/>
          <c:spPr>
            <a:solidFill>
              <a:schemeClr val="accent2">
                <a:lumMod val="60000"/>
                <a:lumOff val="4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rgbClr val="FFC000">
              <a:alpha val="84000"/>
            </a:srgbClr>
          </a:solidFill>
          <a:ln>
            <a:noFill/>
          </a:ln>
          <a:effectLst>
            <a:outerShdw blurRad="57150" dist="19050" dir="5400000" algn="ctr" rotWithShape="0">
              <a:srgbClr val="000000">
                <a:alpha val="63000"/>
              </a:srgbClr>
            </a:outerShdw>
          </a:effectLst>
        </c:spPr>
        <c:marker>
          <c:symbol val="none"/>
        </c:marker>
        <c:dLbl>
          <c:idx val="0"/>
          <c:spPr>
            <a:solidFill>
              <a:schemeClr val="accent4">
                <a:lumMod val="40000"/>
                <a:lumOff val="6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5">
              <a:lumMod val="75000"/>
              <a:alpha val="88000"/>
            </a:schemeClr>
          </a:solidFill>
          <a:ln>
            <a:noFill/>
          </a:ln>
          <a:effectLst>
            <a:outerShdw blurRad="57150" dist="19050" dir="5400000" algn="ctr" rotWithShape="0">
              <a:srgbClr val="000000">
                <a:alpha val="63000"/>
              </a:srgbClr>
            </a:outerShdw>
          </a:effectLst>
        </c:spPr>
        <c:marker>
          <c:symbol val="none"/>
        </c:marker>
        <c:dLbl>
          <c:idx val="0"/>
          <c:spPr>
            <a:solidFill>
              <a:schemeClr val="accent5">
                <a:lumMod val="60000"/>
                <a:lumOff val="4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6"/>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pivotFmt>
      <c:pivotFmt>
        <c:idx val="57"/>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dLbl>
          <c:idx val="0"/>
          <c:layout>
            <c:manualLayout>
              <c:x val="-4.5978526218077957E-3"/>
              <c:y val="-7.93389615563736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dLbl>
          <c:idx val="0"/>
          <c:layout>
            <c:manualLayout>
              <c:x val="1.8391410487231183E-2"/>
              <c:y val="-4.35084627889791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dLbl>
          <c:idx val="0"/>
          <c:layout>
            <c:manualLayout>
              <c:x val="1.4304933206234773E-2"/>
              <c:y val="3.07310006160507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pivotFmt>
      <c:pivotFmt>
        <c:idx val="74"/>
        <c:spPr>
          <a:solidFill>
            <a:schemeClr val="accent2"/>
          </a:solidFill>
          <a:ln>
            <a:noFill/>
          </a:ln>
          <a:effectLst>
            <a:outerShdw blurRad="57150" dist="19050" dir="5400000" algn="ctr" rotWithShape="0">
              <a:srgbClr val="000000">
                <a:alpha val="63000"/>
              </a:srgbClr>
            </a:outerShdw>
          </a:effectLst>
        </c:spPr>
        <c:marker>
          <c:symbol val="none"/>
        </c:marker>
        <c:dLbl>
          <c:idx val="0"/>
          <c:spPr>
            <a:solidFill>
              <a:schemeClr val="accent2">
                <a:lumMod val="60000"/>
                <a:lumOff val="4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5"/>
        <c:spPr>
          <a:solidFill>
            <a:srgbClr val="FFC000">
              <a:alpha val="84000"/>
            </a:srgbClr>
          </a:solidFill>
          <a:ln>
            <a:noFill/>
          </a:ln>
          <a:effectLst>
            <a:outerShdw blurRad="57150" dist="19050" dir="5400000" algn="ctr" rotWithShape="0">
              <a:srgbClr val="000000">
                <a:alpha val="63000"/>
              </a:srgbClr>
            </a:outerShdw>
          </a:effectLst>
        </c:spPr>
        <c:marker>
          <c:symbol val="none"/>
        </c:marker>
        <c:dLbl>
          <c:idx val="0"/>
          <c:spPr>
            <a:solidFill>
              <a:schemeClr val="accent4">
                <a:lumMod val="40000"/>
                <a:lumOff val="6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5">
              <a:lumMod val="75000"/>
              <a:alpha val="88000"/>
            </a:schemeClr>
          </a:solidFill>
          <a:ln>
            <a:noFill/>
          </a:ln>
          <a:effectLst>
            <a:outerShdw blurRad="57150" dist="19050" dir="5400000" algn="ctr" rotWithShape="0">
              <a:srgbClr val="000000">
                <a:alpha val="63000"/>
              </a:srgbClr>
            </a:outerShdw>
          </a:effectLst>
        </c:spPr>
        <c:marker>
          <c:symbol val="none"/>
        </c:marker>
        <c:dLbl>
          <c:idx val="0"/>
          <c:spPr>
            <a:solidFill>
              <a:schemeClr val="accent5">
                <a:lumMod val="60000"/>
                <a:lumOff val="4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pivotFmt>
      <c:pivotFmt>
        <c:idx val="82"/>
        <c:spPr>
          <a:solidFill>
            <a:schemeClr val="accent2"/>
          </a:solidFill>
          <a:ln>
            <a:noFill/>
          </a:ln>
          <a:effectLst>
            <a:outerShdw blurRad="57150" dist="19050" dir="5400000" algn="ctr" rotWithShape="0">
              <a:srgbClr val="000000">
                <a:alpha val="63000"/>
              </a:srgbClr>
            </a:outerShdw>
          </a:effectLst>
        </c:spPr>
        <c:marker>
          <c:symbol val="none"/>
        </c:marker>
        <c:dLbl>
          <c:idx val="0"/>
          <c:spPr>
            <a:solidFill>
              <a:schemeClr val="accent2">
                <a:lumMod val="60000"/>
                <a:lumOff val="4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3"/>
        <c:spPr>
          <a:solidFill>
            <a:srgbClr val="FFC000">
              <a:alpha val="84000"/>
            </a:srgbClr>
          </a:solidFill>
          <a:ln>
            <a:noFill/>
          </a:ln>
          <a:effectLst>
            <a:outerShdw blurRad="57150" dist="19050" dir="5400000" algn="ctr" rotWithShape="0">
              <a:srgbClr val="000000">
                <a:alpha val="63000"/>
              </a:srgbClr>
            </a:outerShdw>
          </a:effectLst>
        </c:spPr>
        <c:marker>
          <c:symbol val="none"/>
        </c:marker>
        <c:dLbl>
          <c:idx val="0"/>
          <c:spPr>
            <a:solidFill>
              <a:schemeClr val="accent4">
                <a:lumMod val="40000"/>
                <a:lumOff val="6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5">
              <a:lumMod val="75000"/>
              <a:alpha val="88000"/>
            </a:schemeClr>
          </a:solidFill>
          <a:ln>
            <a:noFill/>
          </a:ln>
          <a:effectLst>
            <a:outerShdw blurRad="57150" dist="19050" dir="5400000" algn="ctr" rotWithShape="0">
              <a:srgbClr val="000000">
                <a:alpha val="63000"/>
              </a:srgbClr>
            </a:outerShdw>
          </a:effectLst>
        </c:spPr>
        <c:marker>
          <c:symbol val="none"/>
        </c:marker>
        <c:dLbl>
          <c:idx val="0"/>
          <c:spPr>
            <a:solidFill>
              <a:schemeClr val="accent5">
                <a:lumMod val="60000"/>
                <a:lumOff val="4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pivotFmt>
      <c:pivotFmt>
        <c:idx val="88"/>
        <c:spPr>
          <a:solidFill>
            <a:schemeClr val="accent2"/>
          </a:solidFill>
          <a:ln>
            <a:noFill/>
          </a:ln>
          <a:effectLst>
            <a:outerShdw blurRad="57150" dist="19050" dir="5400000" algn="ctr" rotWithShape="0">
              <a:srgbClr val="000000">
                <a:alpha val="63000"/>
              </a:srgbClr>
            </a:outerShdw>
          </a:effectLst>
        </c:spPr>
        <c:marker>
          <c:symbol val="none"/>
        </c:marker>
        <c:dLbl>
          <c:idx val="0"/>
          <c:spPr>
            <a:solidFill>
              <a:schemeClr val="accent2">
                <a:lumMod val="60000"/>
                <a:lumOff val="4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9"/>
        <c:spPr>
          <a:solidFill>
            <a:srgbClr val="FFC000">
              <a:alpha val="84000"/>
            </a:srgbClr>
          </a:solidFill>
          <a:ln>
            <a:noFill/>
          </a:ln>
          <a:effectLst>
            <a:outerShdw blurRad="57150" dist="19050" dir="5400000" algn="ctr" rotWithShape="0">
              <a:srgbClr val="000000">
                <a:alpha val="63000"/>
              </a:srgbClr>
            </a:outerShdw>
          </a:effectLst>
        </c:spPr>
        <c:marker>
          <c:symbol val="none"/>
        </c:marker>
        <c:dLbl>
          <c:idx val="0"/>
          <c:spPr>
            <a:solidFill>
              <a:schemeClr val="accent4">
                <a:lumMod val="40000"/>
                <a:lumOff val="6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0"/>
        <c:spPr>
          <a:solidFill>
            <a:schemeClr val="accent5">
              <a:lumMod val="75000"/>
              <a:alpha val="88000"/>
            </a:schemeClr>
          </a:solidFill>
          <a:ln>
            <a:noFill/>
          </a:ln>
          <a:effectLst>
            <a:outerShdw blurRad="57150" dist="19050" dir="5400000" algn="ctr" rotWithShape="0">
              <a:srgbClr val="000000">
                <a:alpha val="63000"/>
              </a:srgbClr>
            </a:outerShdw>
          </a:effectLst>
        </c:spPr>
        <c:marker>
          <c:symbol val="none"/>
        </c:marker>
        <c:dLbl>
          <c:idx val="0"/>
          <c:spPr>
            <a:solidFill>
              <a:schemeClr val="accent5">
                <a:lumMod val="60000"/>
                <a:lumOff val="4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pivotFmt>
      <c:pivotFmt>
        <c:idx val="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pivotFmt>
      <c:pivotFmt>
        <c:idx val="94"/>
        <c:spPr>
          <a:solidFill>
            <a:schemeClr val="accent2"/>
          </a:solidFill>
          <a:ln>
            <a:noFill/>
          </a:ln>
          <a:effectLst>
            <a:outerShdw blurRad="57150" dist="19050" dir="5400000" algn="ctr" rotWithShape="0">
              <a:srgbClr val="000000">
                <a:alpha val="63000"/>
              </a:srgbClr>
            </a:outerShdw>
          </a:effectLst>
        </c:spPr>
        <c:marker>
          <c:symbol val="none"/>
        </c:marker>
        <c:dLbl>
          <c:idx val="0"/>
          <c:spPr>
            <a:solidFill>
              <a:schemeClr val="accent2">
                <a:lumMod val="60000"/>
                <a:lumOff val="4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5"/>
        <c:spPr>
          <a:solidFill>
            <a:srgbClr val="FFC000">
              <a:alpha val="84000"/>
            </a:srgbClr>
          </a:solidFill>
          <a:ln>
            <a:noFill/>
          </a:ln>
          <a:effectLst>
            <a:outerShdw blurRad="57150" dist="19050" dir="5400000" algn="ctr" rotWithShape="0">
              <a:srgbClr val="000000">
                <a:alpha val="63000"/>
              </a:srgbClr>
            </a:outerShdw>
          </a:effectLst>
        </c:spPr>
        <c:marker>
          <c:symbol val="none"/>
        </c:marker>
        <c:dLbl>
          <c:idx val="0"/>
          <c:spPr>
            <a:solidFill>
              <a:schemeClr val="accent4">
                <a:lumMod val="40000"/>
                <a:lumOff val="6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5">
              <a:lumMod val="75000"/>
              <a:alpha val="88000"/>
            </a:schemeClr>
          </a:solidFill>
          <a:ln>
            <a:noFill/>
          </a:ln>
          <a:effectLst>
            <a:outerShdw blurRad="57150" dist="19050" dir="5400000" algn="ctr" rotWithShape="0">
              <a:srgbClr val="000000">
                <a:alpha val="63000"/>
              </a:srgbClr>
            </a:outerShdw>
          </a:effectLst>
        </c:spPr>
        <c:marker>
          <c:symbol val="none"/>
        </c:marker>
        <c:dLbl>
          <c:idx val="0"/>
          <c:spPr>
            <a:solidFill>
              <a:schemeClr val="accent5">
                <a:lumMod val="60000"/>
                <a:lumOff val="4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a:solidFill>
              <a:schemeClr val="accent2">
                <a:lumMod val="50000"/>
              </a:schemeClr>
            </a:solidFill>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pivotFmt>
      <c:pivotFmt>
        <c:idx val="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pivotFmt>
      <c:pivotFmt>
        <c:idx val="100"/>
        <c:spPr>
          <a:solidFill>
            <a:schemeClr val="accent2"/>
          </a:solidFill>
          <a:ln>
            <a:noFill/>
          </a:ln>
          <a:effectLst>
            <a:outerShdw blurRad="57150" dist="19050" dir="5400000" algn="ctr" rotWithShape="0">
              <a:srgbClr val="000000">
                <a:alpha val="63000"/>
              </a:srgbClr>
            </a:outerShdw>
          </a:effectLst>
        </c:spPr>
        <c:marker>
          <c:symbol val="none"/>
        </c:marker>
        <c:dLbl>
          <c:idx val="0"/>
          <c:spPr>
            <a:solidFill>
              <a:schemeClr val="accent2">
                <a:lumMod val="60000"/>
                <a:lumOff val="4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1"/>
        <c:spPr>
          <a:solidFill>
            <a:srgbClr val="FFC000">
              <a:alpha val="84000"/>
            </a:srgbClr>
          </a:solidFill>
          <a:ln>
            <a:noFill/>
          </a:ln>
          <a:effectLst>
            <a:outerShdw blurRad="57150" dist="19050" dir="5400000" algn="ctr" rotWithShape="0">
              <a:srgbClr val="000000">
                <a:alpha val="63000"/>
              </a:srgbClr>
            </a:outerShdw>
          </a:effectLst>
        </c:spPr>
        <c:marker>
          <c:symbol val="none"/>
        </c:marker>
        <c:dLbl>
          <c:idx val="0"/>
          <c:spPr>
            <a:solidFill>
              <a:schemeClr val="accent4">
                <a:lumMod val="40000"/>
                <a:lumOff val="6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2"/>
        <c:spPr>
          <a:solidFill>
            <a:schemeClr val="accent5">
              <a:lumMod val="75000"/>
              <a:alpha val="88000"/>
            </a:schemeClr>
          </a:solidFill>
          <a:ln>
            <a:noFill/>
          </a:ln>
          <a:effectLst>
            <a:outerShdw blurRad="57150" dist="19050" dir="5400000" algn="ctr" rotWithShape="0">
              <a:srgbClr val="000000">
                <a:alpha val="63000"/>
              </a:srgbClr>
            </a:outerShdw>
          </a:effectLst>
        </c:spPr>
        <c:marker>
          <c:symbol val="none"/>
        </c:marker>
        <c:dLbl>
          <c:idx val="0"/>
          <c:spPr>
            <a:solidFill>
              <a:schemeClr val="accent5">
                <a:lumMod val="60000"/>
                <a:lumOff val="4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pivotFmt>
      <c:pivotFmt>
        <c:idx val="1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pivotFmt>
      <c:pivotFmt>
        <c:idx val="1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pivotFmt>
      <c:pivotFmt>
        <c:idx val="1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pivotFmt>
      <c:pivotFmt>
        <c:idx val="108"/>
        <c:spPr>
          <a:solidFill>
            <a:schemeClr val="accent2"/>
          </a:solidFill>
          <a:ln>
            <a:noFill/>
          </a:ln>
          <a:effectLst>
            <a:outerShdw blurRad="57150" dist="19050" dir="5400000" algn="ctr" rotWithShape="0">
              <a:srgbClr val="000000">
                <a:alpha val="63000"/>
              </a:srgbClr>
            </a:outerShdw>
          </a:effectLst>
        </c:spPr>
        <c:marker>
          <c:symbol val="none"/>
        </c:marker>
        <c:dLbl>
          <c:idx val="0"/>
          <c:spPr>
            <a:solidFill>
              <a:schemeClr val="accent2">
                <a:lumMod val="60000"/>
                <a:lumOff val="4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9"/>
        <c:spPr>
          <a:solidFill>
            <a:srgbClr val="FFC000">
              <a:alpha val="84000"/>
            </a:srgbClr>
          </a:solidFill>
          <a:ln>
            <a:noFill/>
          </a:ln>
          <a:effectLst>
            <a:outerShdw blurRad="57150" dist="19050" dir="5400000" algn="ctr" rotWithShape="0">
              <a:srgbClr val="000000">
                <a:alpha val="63000"/>
              </a:srgbClr>
            </a:outerShdw>
          </a:effectLst>
        </c:spPr>
        <c:marker>
          <c:symbol val="none"/>
        </c:marker>
        <c:dLbl>
          <c:idx val="0"/>
          <c:spPr>
            <a:solidFill>
              <a:schemeClr val="accent4">
                <a:lumMod val="40000"/>
                <a:lumOff val="6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0"/>
        <c:spPr>
          <a:solidFill>
            <a:schemeClr val="accent5">
              <a:lumMod val="75000"/>
              <a:alpha val="88000"/>
            </a:schemeClr>
          </a:solidFill>
          <a:ln>
            <a:noFill/>
          </a:ln>
          <a:effectLst>
            <a:outerShdw blurRad="57150" dist="19050" dir="5400000" algn="ctr" rotWithShape="0">
              <a:srgbClr val="000000">
                <a:alpha val="63000"/>
              </a:srgbClr>
            </a:outerShdw>
          </a:effectLst>
        </c:spPr>
        <c:marker>
          <c:symbol val="none"/>
        </c:marker>
        <c:dLbl>
          <c:idx val="0"/>
          <c:spPr>
            <a:solidFill>
              <a:schemeClr val="accent5">
                <a:lumMod val="60000"/>
                <a:lumOff val="4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pivotFmt>
      <c:pivotFmt>
        <c:idx val="1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pivotFmt>
      <c:pivotFmt>
        <c:idx val="1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pivotFmt>
      <c:pivotFmt>
        <c:idx val="1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pivotFmt>
      <c:pivotFmt>
        <c:idx val="1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pivotFmt>
      <c:pivotFmt>
        <c:idx val="1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pivotFmt>
      <c:pivotFmt>
        <c:idx val="1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pivotFmt>
      <c:pivotFmt>
        <c:idx val="1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pivotFmt>
      <c:pivotFmt>
        <c:idx val="1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pivotFmt>
      <c:pivotFmt>
        <c:idx val="1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pivotFmt>
      <c:pivotFmt>
        <c:idx val="1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pivotFmt>
      <c:pivotFmt>
        <c:idx val="1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pivotFmt>
      <c:pivotFmt>
        <c:idx val="124"/>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pivotFmt>
      <c:pivotFmt>
        <c:idx val="125"/>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pivotFmt>
      <c:pivotFmt>
        <c:idx val="126"/>
      </c:pivotFmt>
      <c:pivotFmt>
        <c:idx val="127"/>
      </c:pivotFmt>
      <c:pivotFmt>
        <c:idx val="128"/>
      </c:pivotFmt>
      <c:pivotFmt>
        <c:idx val="129"/>
      </c:pivotFmt>
      <c:pivotFmt>
        <c:idx val="130"/>
      </c:pivotFmt>
      <c:pivotFmt>
        <c:idx val="131"/>
      </c:pivotFmt>
      <c:pivotFmt>
        <c:idx val="132"/>
      </c:pivotFmt>
      <c:pivotFmt>
        <c:idx val="133"/>
      </c:pivotFmt>
      <c:pivotFmt>
        <c:idx val="134"/>
      </c:pivotFmt>
      <c:pivotFmt>
        <c:idx val="135"/>
      </c:pivotFmt>
      <c:pivotFmt>
        <c:idx val="136"/>
      </c:pivotFmt>
      <c:pivotFmt>
        <c:idx val="137"/>
      </c:pivotFmt>
      <c:pivotFmt>
        <c:idx val="138"/>
      </c:pivotFmt>
      <c:pivotFmt>
        <c:idx val="139"/>
      </c:pivotFmt>
      <c:pivotFmt>
        <c:idx val="140"/>
      </c:pivotFmt>
      <c:pivotFmt>
        <c:idx val="141"/>
      </c:pivotFmt>
      <c:pivotFmt>
        <c:idx val="142"/>
      </c:pivotFmt>
      <c:pivotFmt>
        <c:idx val="1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2"/>
          </a:solidFill>
          <a:ln>
            <a:noFill/>
          </a:ln>
          <a:effectLst>
            <a:outerShdw blurRad="57150" dist="19050" dir="5400000" algn="ctr" rotWithShape="0">
              <a:srgbClr val="000000">
                <a:alpha val="63000"/>
              </a:srgbClr>
            </a:outerShdw>
          </a:effectLst>
        </c:spPr>
        <c:marker>
          <c:symbol val="none"/>
        </c:marker>
        <c:dLbl>
          <c:idx val="0"/>
          <c:spPr>
            <a:solidFill>
              <a:schemeClr val="accent2">
                <a:lumMod val="60000"/>
                <a:lumOff val="4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7"/>
        <c:spPr>
          <a:solidFill>
            <a:srgbClr val="FFC000">
              <a:alpha val="84000"/>
            </a:srgbClr>
          </a:solidFill>
          <a:ln>
            <a:noFill/>
          </a:ln>
          <a:effectLst>
            <a:outerShdw blurRad="57150" dist="19050" dir="5400000" algn="ctr" rotWithShape="0">
              <a:srgbClr val="000000">
                <a:alpha val="63000"/>
              </a:srgbClr>
            </a:outerShdw>
          </a:effectLst>
        </c:spPr>
        <c:marker>
          <c:symbol val="none"/>
        </c:marker>
        <c:dLbl>
          <c:idx val="0"/>
          <c:spPr>
            <a:solidFill>
              <a:schemeClr val="accent4">
                <a:lumMod val="40000"/>
                <a:lumOff val="6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8"/>
        <c:spPr>
          <a:solidFill>
            <a:schemeClr val="accent5">
              <a:lumMod val="75000"/>
              <a:alpha val="88000"/>
            </a:schemeClr>
          </a:solidFill>
          <a:ln>
            <a:noFill/>
          </a:ln>
          <a:effectLst>
            <a:outerShdw blurRad="57150" dist="19050" dir="5400000" algn="ctr" rotWithShape="0">
              <a:srgbClr val="000000">
                <a:alpha val="63000"/>
              </a:srgbClr>
            </a:outerShdw>
          </a:effectLst>
        </c:spPr>
        <c:marker>
          <c:symbol val="none"/>
        </c:marker>
        <c:dLbl>
          <c:idx val="0"/>
          <c:spPr>
            <a:solidFill>
              <a:schemeClr val="accent5">
                <a:lumMod val="60000"/>
                <a:lumOff val="4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2"/>
          </a:solidFill>
          <a:ln>
            <a:noFill/>
          </a:ln>
          <a:effectLst>
            <a:outerShdw blurRad="57150" dist="19050" dir="5400000" algn="ctr" rotWithShape="0">
              <a:srgbClr val="000000">
                <a:alpha val="63000"/>
              </a:srgbClr>
            </a:outerShdw>
          </a:effectLst>
        </c:spPr>
        <c:marker>
          <c:symbol val="none"/>
        </c:marker>
        <c:dLbl>
          <c:idx val="0"/>
          <c:spPr>
            <a:solidFill>
              <a:schemeClr val="accent2">
                <a:lumMod val="60000"/>
                <a:lumOff val="4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51"/>
        <c:spPr>
          <a:solidFill>
            <a:srgbClr val="FFC000">
              <a:alpha val="84000"/>
            </a:srgbClr>
          </a:solidFill>
          <a:ln>
            <a:noFill/>
          </a:ln>
          <a:effectLst>
            <a:outerShdw blurRad="57150" dist="19050" dir="5400000" algn="ctr" rotWithShape="0">
              <a:srgbClr val="000000">
                <a:alpha val="63000"/>
              </a:srgbClr>
            </a:outerShdw>
          </a:effectLst>
        </c:spPr>
        <c:marker>
          <c:symbol val="none"/>
        </c:marker>
        <c:dLbl>
          <c:idx val="0"/>
          <c:spPr>
            <a:solidFill>
              <a:schemeClr val="accent4">
                <a:lumMod val="40000"/>
                <a:lumOff val="6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2"/>
        <c:spPr>
          <a:solidFill>
            <a:schemeClr val="accent5">
              <a:lumMod val="75000"/>
              <a:alpha val="88000"/>
            </a:schemeClr>
          </a:solidFill>
          <a:ln>
            <a:noFill/>
          </a:ln>
          <a:effectLst>
            <a:outerShdw blurRad="57150" dist="19050" dir="5400000" algn="ctr" rotWithShape="0">
              <a:srgbClr val="000000">
                <a:alpha val="63000"/>
              </a:srgbClr>
            </a:outerShdw>
          </a:effectLst>
        </c:spPr>
        <c:marker>
          <c:symbol val="none"/>
        </c:marker>
        <c:dLbl>
          <c:idx val="0"/>
          <c:spPr>
            <a:solidFill>
              <a:schemeClr val="accent5">
                <a:lumMod val="60000"/>
                <a:lumOff val="4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53"/>
        <c:spPr>
          <a:ln w="222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249816745879743E-2"/>
          <c:y val="0.12909351608826677"/>
          <c:w val="0.84621420633231648"/>
          <c:h val="0.56825167687372413"/>
        </c:manualLayout>
      </c:layout>
      <c:barChart>
        <c:barDir val="col"/>
        <c:grouping val="clustered"/>
        <c:varyColors val="0"/>
        <c:ser>
          <c:idx val="0"/>
          <c:order val="0"/>
          <c:tx>
            <c:strRef>
              <c:f>'New HIV pos'!$B$5</c:f>
              <c:strCache>
                <c:ptCount val="1"/>
                <c:pt idx="0">
                  <c:v> CD4_tests</c:v>
                </c:pt>
              </c:strCache>
            </c:strRef>
          </c:tx>
          <c:spPr>
            <a:solidFill>
              <a:schemeClr val="accent2"/>
            </a:solidFill>
            <a:ln>
              <a:noFill/>
            </a:ln>
            <a:effectLst>
              <a:outerShdw blurRad="57150" dist="19050" dir="5400000" algn="ctr" rotWithShape="0">
                <a:srgbClr val="000000">
                  <a:alpha val="63000"/>
                </a:srgbClr>
              </a:outerShdw>
            </a:effectLst>
          </c:spPr>
          <c:invertIfNegative val="0"/>
          <c:dLbls>
            <c:spPr>
              <a:solidFill>
                <a:schemeClr val="accent2">
                  <a:lumMod val="60000"/>
                  <a:lumOff val="4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'New HIV pos'!$A$6:$A$42</c:f>
              <c:multiLvlStrCache>
                <c:ptCount val="17"/>
                <c:lvl>
                  <c:pt idx="0">
                    <c:v>74</c:v>
                  </c:pt>
                  <c:pt idx="1">
                    <c:v>81</c:v>
                  </c:pt>
                  <c:pt idx="2">
                    <c:v>77</c:v>
                  </c:pt>
                  <c:pt idx="3">
                    <c:v>118</c:v>
                  </c:pt>
                  <c:pt idx="4">
                    <c:v>102</c:v>
                  </c:pt>
                  <c:pt idx="5">
                    <c:v>72</c:v>
                  </c:pt>
                  <c:pt idx="6">
                    <c:v>101</c:v>
                  </c:pt>
                  <c:pt idx="7">
                    <c:v>81</c:v>
                  </c:pt>
                  <c:pt idx="8">
                    <c:v>69</c:v>
                  </c:pt>
                  <c:pt idx="9">
                    <c:v>86</c:v>
                  </c:pt>
                  <c:pt idx="10">
                    <c:v>107</c:v>
                  </c:pt>
                  <c:pt idx="11">
                    <c:v>104</c:v>
                  </c:pt>
                  <c:pt idx="12">
                    <c:v>54</c:v>
                  </c:pt>
                  <c:pt idx="13">
                    <c:v>42</c:v>
                  </c:pt>
                  <c:pt idx="14">
                    <c:v>61</c:v>
                  </c:pt>
                  <c:pt idx="15">
                    <c:v>88</c:v>
                  </c:pt>
                  <c:pt idx="16">
                    <c:v>93</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2024</c:v>
                  </c:pt>
                  <c:pt idx="12">
                    <c:v>2025</c:v>
                  </c:pt>
                </c:lvl>
              </c:multiLvlStrCache>
            </c:multiLvlStrRef>
          </c:cat>
          <c:val>
            <c:numRef>
              <c:f>'New HIV pos'!$B$6:$B$42</c:f>
              <c:numCache>
                <c:formatCode>General</c:formatCode>
                <c:ptCount val="17"/>
                <c:pt idx="0">
                  <c:v>74</c:v>
                </c:pt>
                <c:pt idx="1">
                  <c:v>81</c:v>
                </c:pt>
                <c:pt idx="2">
                  <c:v>74</c:v>
                </c:pt>
                <c:pt idx="3">
                  <c:v>75</c:v>
                </c:pt>
                <c:pt idx="4">
                  <c:v>87</c:v>
                </c:pt>
                <c:pt idx="5">
                  <c:v>72</c:v>
                </c:pt>
                <c:pt idx="6">
                  <c:v>98</c:v>
                </c:pt>
                <c:pt idx="7">
                  <c:v>74</c:v>
                </c:pt>
                <c:pt idx="8">
                  <c:v>65</c:v>
                </c:pt>
                <c:pt idx="9">
                  <c:v>82</c:v>
                </c:pt>
                <c:pt idx="10">
                  <c:v>105</c:v>
                </c:pt>
                <c:pt idx="11">
                  <c:v>101</c:v>
                </c:pt>
                <c:pt idx="12">
                  <c:v>51</c:v>
                </c:pt>
                <c:pt idx="13">
                  <c:v>42</c:v>
                </c:pt>
                <c:pt idx="14">
                  <c:v>59</c:v>
                </c:pt>
                <c:pt idx="15">
                  <c:v>77</c:v>
                </c:pt>
                <c:pt idx="16">
                  <c:v>93</c:v>
                </c:pt>
              </c:numCache>
            </c:numRef>
          </c:val>
          <c:extLst>
            <c:ext xmlns:c16="http://schemas.microsoft.com/office/drawing/2014/chart" uri="{C3380CC4-5D6E-409C-BE32-E72D297353CC}">
              <c16:uniqueId val="{00000000-B0A7-498B-A05D-FCCA5F56182C}"/>
            </c:ext>
          </c:extLst>
        </c:ser>
        <c:ser>
          <c:idx val="1"/>
          <c:order val="1"/>
          <c:tx>
            <c:strRef>
              <c:f>'New HIV pos'!$C$5</c:f>
              <c:strCache>
                <c:ptCount val="1"/>
                <c:pt idx="0">
                  <c:v> LAM_tests</c:v>
                </c:pt>
              </c:strCache>
            </c:strRef>
          </c:tx>
          <c:spPr>
            <a:solidFill>
              <a:srgbClr val="FFC000">
                <a:alpha val="84000"/>
              </a:srgbClr>
            </a:solidFill>
            <a:ln>
              <a:noFill/>
            </a:ln>
            <a:effectLst>
              <a:outerShdw blurRad="57150" dist="19050" dir="5400000" algn="ctr" rotWithShape="0">
                <a:srgbClr val="000000">
                  <a:alpha val="63000"/>
                </a:srgbClr>
              </a:outerShdw>
            </a:effectLst>
          </c:spPr>
          <c:invertIfNegative val="0"/>
          <c:dLbls>
            <c:spPr>
              <a:solidFill>
                <a:schemeClr val="accent4">
                  <a:lumMod val="40000"/>
                  <a:lumOff val="6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'New HIV pos'!$A$6:$A$42</c:f>
              <c:multiLvlStrCache>
                <c:ptCount val="17"/>
                <c:lvl>
                  <c:pt idx="0">
                    <c:v>74</c:v>
                  </c:pt>
                  <c:pt idx="1">
                    <c:v>81</c:v>
                  </c:pt>
                  <c:pt idx="2">
                    <c:v>77</c:v>
                  </c:pt>
                  <c:pt idx="3">
                    <c:v>118</c:v>
                  </c:pt>
                  <c:pt idx="4">
                    <c:v>102</c:v>
                  </c:pt>
                  <c:pt idx="5">
                    <c:v>72</c:v>
                  </c:pt>
                  <c:pt idx="6">
                    <c:v>101</c:v>
                  </c:pt>
                  <c:pt idx="7">
                    <c:v>81</c:v>
                  </c:pt>
                  <c:pt idx="8">
                    <c:v>69</c:v>
                  </c:pt>
                  <c:pt idx="9">
                    <c:v>86</c:v>
                  </c:pt>
                  <c:pt idx="10">
                    <c:v>107</c:v>
                  </c:pt>
                  <c:pt idx="11">
                    <c:v>104</c:v>
                  </c:pt>
                  <c:pt idx="12">
                    <c:v>54</c:v>
                  </c:pt>
                  <c:pt idx="13">
                    <c:v>42</c:v>
                  </c:pt>
                  <c:pt idx="14">
                    <c:v>61</c:v>
                  </c:pt>
                  <c:pt idx="15">
                    <c:v>88</c:v>
                  </c:pt>
                  <c:pt idx="16">
                    <c:v>93</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2024</c:v>
                  </c:pt>
                  <c:pt idx="12">
                    <c:v>2025</c:v>
                  </c:pt>
                </c:lvl>
              </c:multiLvlStrCache>
            </c:multiLvlStrRef>
          </c:cat>
          <c:val>
            <c:numRef>
              <c:f>'New HIV pos'!$C$6:$C$42</c:f>
              <c:numCache>
                <c:formatCode>General</c:formatCode>
                <c:ptCount val="17"/>
                <c:pt idx="0">
                  <c:v>34</c:v>
                </c:pt>
                <c:pt idx="1">
                  <c:v>20</c:v>
                </c:pt>
                <c:pt idx="2">
                  <c:v>22</c:v>
                </c:pt>
                <c:pt idx="3">
                  <c:v>32</c:v>
                </c:pt>
                <c:pt idx="4">
                  <c:v>0</c:v>
                </c:pt>
                <c:pt idx="5">
                  <c:v>0</c:v>
                </c:pt>
                <c:pt idx="6">
                  <c:v>0</c:v>
                </c:pt>
                <c:pt idx="7">
                  <c:v>8</c:v>
                </c:pt>
                <c:pt idx="8">
                  <c:v>29</c:v>
                </c:pt>
                <c:pt idx="9">
                  <c:v>24</c:v>
                </c:pt>
                <c:pt idx="10">
                  <c:v>41</c:v>
                </c:pt>
                <c:pt idx="11">
                  <c:v>43</c:v>
                </c:pt>
                <c:pt idx="12">
                  <c:v>26</c:v>
                </c:pt>
                <c:pt idx="13">
                  <c:v>14</c:v>
                </c:pt>
                <c:pt idx="14">
                  <c:v>20</c:v>
                </c:pt>
                <c:pt idx="15">
                  <c:v>35</c:v>
                </c:pt>
                <c:pt idx="16">
                  <c:v>37</c:v>
                </c:pt>
              </c:numCache>
            </c:numRef>
          </c:val>
          <c:extLst>
            <c:ext xmlns:c16="http://schemas.microsoft.com/office/drawing/2014/chart" uri="{C3380CC4-5D6E-409C-BE32-E72D297353CC}">
              <c16:uniqueId val="{00000001-B0A7-498B-A05D-FCCA5F56182C}"/>
            </c:ext>
          </c:extLst>
        </c:ser>
        <c:ser>
          <c:idx val="2"/>
          <c:order val="2"/>
          <c:tx>
            <c:strRef>
              <c:f>'New HIV pos'!$D$5</c:f>
              <c:strCache>
                <c:ptCount val="1"/>
                <c:pt idx="0">
                  <c:v>CrAg-tests</c:v>
                </c:pt>
              </c:strCache>
            </c:strRef>
          </c:tx>
          <c:spPr>
            <a:solidFill>
              <a:schemeClr val="accent5">
                <a:lumMod val="75000"/>
                <a:alpha val="88000"/>
              </a:schemeClr>
            </a:solidFill>
            <a:ln>
              <a:noFill/>
            </a:ln>
            <a:effectLst>
              <a:outerShdw blurRad="57150" dist="19050" dir="5400000" algn="ctr" rotWithShape="0">
                <a:srgbClr val="000000">
                  <a:alpha val="63000"/>
                </a:srgbClr>
              </a:outerShdw>
            </a:effectLst>
          </c:spPr>
          <c:invertIfNegative val="0"/>
          <c:dLbls>
            <c:spPr>
              <a:solidFill>
                <a:schemeClr val="accent5">
                  <a:lumMod val="60000"/>
                  <a:lumOff val="4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'New HIV pos'!$A$6:$A$42</c:f>
              <c:multiLvlStrCache>
                <c:ptCount val="17"/>
                <c:lvl>
                  <c:pt idx="0">
                    <c:v>74</c:v>
                  </c:pt>
                  <c:pt idx="1">
                    <c:v>81</c:v>
                  </c:pt>
                  <c:pt idx="2">
                    <c:v>77</c:v>
                  </c:pt>
                  <c:pt idx="3">
                    <c:v>118</c:v>
                  </c:pt>
                  <c:pt idx="4">
                    <c:v>102</c:v>
                  </c:pt>
                  <c:pt idx="5">
                    <c:v>72</c:v>
                  </c:pt>
                  <c:pt idx="6">
                    <c:v>101</c:v>
                  </c:pt>
                  <c:pt idx="7">
                    <c:v>81</c:v>
                  </c:pt>
                  <c:pt idx="8">
                    <c:v>69</c:v>
                  </c:pt>
                  <c:pt idx="9">
                    <c:v>86</c:v>
                  </c:pt>
                  <c:pt idx="10">
                    <c:v>107</c:v>
                  </c:pt>
                  <c:pt idx="11">
                    <c:v>104</c:v>
                  </c:pt>
                  <c:pt idx="12">
                    <c:v>54</c:v>
                  </c:pt>
                  <c:pt idx="13">
                    <c:v>42</c:v>
                  </c:pt>
                  <c:pt idx="14">
                    <c:v>61</c:v>
                  </c:pt>
                  <c:pt idx="15">
                    <c:v>88</c:v>
                  </c:pt>
                  <c:pt idx="16">
                    <c:v>93</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2024</c:v>
                  </c:pt>
                  <c:pt idx="12">
                    <c:v>2025</c:v>
                  </c:pt>
                </c:lvl>
              </c:multiLvlStrCache>
            </c:multiLvlStrRef>
          </c:cat>
          <c:val>
            <c:numRef>
              <c:f>'New HIV pos'!$D$6:$D$42</c:f>
              <c:numCache>
                <c:formatCode>General</c:formatCode>
                <c:ptCount val="17"/>
                <c:pt idx="0">
                  <c:v>34</c:v>
                </c:pt>
                <c:pt idx="1">
                  <c:v>22</c:v>
                </c:pt>
                <c:pt idx="2">
                  <c:v>22</c:v>
                </c:pt>
                <c:pt idx="3">
                  <c:v>42</c:v>
                </c:pt>
                <c:pt idx="4">
                  <c:v>47</c:v>
                </c:pt>
                <c:pt idx="5">
                  <c:v>40</c:v>
                </c:pt>
                <c:pt idx="6">
                  <c:v>42</c:v>
                </c:pt>
                <c:pt idx="7">
                  <c:v>32</c:v>
                </c:pt>
                <c:pt idx="8">
                  <c:v>35</c:v>
                </c:pt>
                <c:pt idx="9">
                  <c:v>30</c:v>
                </c:pt>
                <c:pt idx="10">
                  <c:v>45</c:v>
                </c:pt>
                <c:pt idx="11">
                  <c:v>43</c:v>
                </c:pt>
                <c:pt idx="12">
                  <c:v>26</c:v>
                </c:pt>
                <c:pt idx="13">
                  <c:v>15</c:v>
                </c:pt>
                <c:pt idx="14">
                  <c:v>19</c:v>
                </c:pt>
                <c:pt idx="15">
                  <c:v>35</c:v>
                </c:pt>
                <c:pt idx="16">
                  <c:v>51</c:v>
                </c:pt>
              </c:numCache>
            </c:numRef>
          </c:val>
          <c:extLst>
            <c:ext xmlns:c16="http://schemas.microsoft.com/office/drawing/2014/chart" uri="{C3380CC4-5D6E-409C-BE32-E72D297353CC}">
              <c16:uniqueId val="{00000002-B0A7-498B-A05D-FCCA5F56182C}"/>
            </c:ext>
          </c:extLst>
        </c:ser>
        <c:dLbls>
          <c:showLegendKey val="0"/>
          <c:showVal val="0"/>
          <c:showCatName val="0"/>
          <c:showSerName val="0"/>
          <c:showPercent val="0"/>
          <c:showBubbleSize val="0"/>
        </c:dLbls>
        <c:gapWidth val="100"/>
        <c:overlap val="44"/>
        <c:axId val="939995816"/>
        <c:axId val="939997976"/>
      </c:barChart>
      <c:lineChart>
        <c:grouping val="standard"/>
        <c:varyColors val="0"/>
        <c:ser>
          <c:idx val="3"/>
          <c:order val="3"/>
          <c:tx>
            <c:strRef>
              <c:f>'New HIV pos'!$E$5</c:f>
              <c:strCache>
                <c:ptCount val="1"/>
                <c:pt idx="0">
                  <c:v>CD4-cov%</c:v>
                </c:pt>
              </c:strCache>
            </c:strRef>
          </c:tx>
          <c:spPr>
            <a:ln w="222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'New HIV pos'!$A$6:$A$42</c:f>
              <c:multiLvlStrCache>
                <c:ptCount val="17"/>
                <c:lvl>
                  <c:pt idx="0">
                    <c:v>74</c:v>
                  </c:pt>
                  <c:pt idx="1">
                    <c:v>81</c:v>
                  </c:pt>
                  <c:pt idx="2">
                    <c:v>77</c:v>
                  </c:pt>
                  <c:pt idx="3">
                    <c:v>118</c:v>
                  </c:pt>
                  <c:pt idx="4">
                    <c:v>102</c:v>
                  </c:pt>
                  <c:pt idx="5">
                    <c:v>72</c:v>
                  </c:pt>
                  <c:pt idx="6">
                    <c:v>101</c:v>
                  </c:pt>
                  <c:pt idx="7">
                    <c:v>81</c:v>
                  </c:pt>
                  <c:pt idx="8">
                    <c:v>69</c:v>
                  </c:pt>
                  <c:pt idx="9">
                    <c:v>86</c:v>
                  </c:pt>
                  <c:pt idx="10">
                    <c:v>107</c:v>
                  </c:pt>
                  <c:pt idx="11">
                    <c:v>104</c:v>
                  </c:pt>
                  <c:pt idx="12">
                    <c:v>54</c:v>
                  </c:pt>
                  <c:pt idx="13">
                    <c:v>42</c:v>
                  </c:pt>
                  <c:pt idx="14">
                    <c:v>61</c:v>
                  </c:pt>
                  <c:pt idx="15">
                    <c:v>88</c:v>
                  </c:pt>
                  <c:pt idx="16">
                    <c:v>93</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2024</c:v>
                  </c:pt>
                  <c:pt idx="12">
                    <c:v>2025</c:v>
                  </c:pt>
                </c:lvl>
              </c:multiLvlStrCache>
            </c:multiLvlStrRef>
          </c:cat>
          <c:val>
            <c:numRef>
              <c:f>'New HIV pos'!$E$6:$E$42</c:f>
              <c:numCache>
                <c:formatCode>0%</c:formatCode>
                <c:ptCount val="17"/>
                <c:pt idx="0">
                  <c:v>1</c:v>
                </c:pt>
                <c:pt idx="1">
                  <c:v>1</c:v>
                </c:pt>
                <c:pt idx="2">
                  <c:v>0.96103896103896103</c:v>
                </c:pt>
                <c:pt idx="3">
                  <c:v>0.63559322033898302</c:v>
                </c:pt>
                <c:pt idx="4">
                  <c:v>0.8529411764705882</c:v>
                </c:pt>
                <c:pt idx="5">
                  <c:v>1</c:v>
                </c:pt>
                <c:pt idx="6">
                  <c:v>0.97029702970297027</c:v>
                </c:pt>
                <c:pt idx="7">
                  <c:v>0.9135802469135802</c:v>
                </c:pt>
                <c:pt idx="8">
                  <c:v>0.94202898550724634</c:v>
                </c:pt>
                <c:pt idx="9">
                  <c:v>0.95348837209302328</c:v>
                </c:pt>
                <c:pt idx="10">
                  <c:v>0.98130841121495327</c:v>
                </c:pt>
                <c:pt idx="11">
                  <c:v>0.97115384615384615</c:v>
                </c:pt>
                <c:pt idx="12">
                  <c:v>0.94444444444444442</c:v>
                </c:pt>
                <c:pt idx="13">
                  <c:v>1</c:v>
                </c:pt>
                <c:pt idx="14">
                  <c:v>0.96721311475409832</c:v>
                </c:pt>
                <c:pt idx="15">
                  <c:v>0.875</c:v>
                </c:pt>
                <c:pt idx="16">
                  <c:v>1</c:v>
                </c:pt>
              </c:numCache>
            </c:numRef>
          </c:val>
          <c:smooth val="1"/>
          <c:extLst>
            <c:ext xmlns:c16="http://schemas.microsoft.com/office/drawing/2014/chart" uri="{C3380CC4-5D6E-409C-BE32-E72D297353CC}">
              <c16:uniqueId val="{00000003-B0A7-498B-A05D-FCCA5F56182C}"/>
            </c:ext>
          </c:extLst>
        </c:ser>
        <c:dLbls>
          <c:showLegendKey val="0"/>
          <c:showVal val="0"/>
          <c:showCatName val="0"/>
          <c:showSerName val="0"/>
          <c:showPercent val="0"/>
          <c:showBubbleSize val="0"/>
        </c:dLbls>
        <c:marker val="1"/>
        <c:smooth val="0"/>
        <c:axId val="2023389632"/>
        <c:axId val="2023375592"/>
      </c:lineChart>
      <c:catAx>
        <c:axId val="939995816"/>
        <c:scaling>
          <c:orientation val="minMax"/>
        </c:scaling>
        <c:delete val="0"/>
        <c:axPos val="b"/>
        <c:numFmt formatCode="General" sourceLinked="1"/>
        <c:majorTickMark val="none"/>
        <c:minorTickMark val="none"/>
        <c:tickLblPos val="nextTo"/>
        <c:spPr>
          <a:noFill/>
          <a:ln w="12700" cap="flat" cmpd="sng" algn="ctr">
            <a:solidFill>
              <a:schemeClr val="accent1">
                <a:lumMod val="50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939997976"/>
        <c:crosses val="autoZero"/>
        <c:auto val="1"/>
        <c:lblAlgn val="ctr"/>
        <c:lblOffset val="100"/>
        <c:noMultiLvlLbl val="0"/>
      </c:catAx>
      <c:valAx>
        <c:axId val="939997976"/>
        <c:scaling>
          <c:orientation val="minMax"/>
          <c:max val="100"/>
          <c:min val="0"/>
        </c:scaling>
        <c:delete val="0"/>
        <c:axPos val="l"/>
        <c:title>
          <c:tx>
            <c:rich>
              <a:bodyPr rot="-54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r>
                  <a:rPr lang="en-US"/>
                  <a:t>#</a:t>
                </a:r>
                <a:r>
                  <a:rPr lang="en-US" baseline="0"/>
                  <a:t> </a:t>
                </a:r>
                <a:r>
                  <a:rPr lang="en-US"/>
                  <a:t>ROC screened</a:t>
                </a:r>
              </a:p>
            </c:rich>
          </c:tx>
          <c:layout>
            <c:manualLayout>
              <c:xMode val="edge"/>
              <c:yMode val="edge"/>
              <c:x val="9.6395804588315145E-3"/>
              <c:y val="0.37328292379827999"/>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solidFill>
              <a:schemeClr val="accent1">
                <a:lumMod val="50000"/>
              </a:schemeClr>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939995816"/>
        <c:crosses val="autoZero"/>
        <c:crossBetween val="between"/>
      </c:valAx>
      <c:valAx>
        <c:axId val="2023375592"/>
        <c:scaling>
          <c:orientation val="minMax"/>
          <c:max val="1"/>
          <c:min val="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23389632"/>
        <c:crosses val="max"/>
        <c:crossBetween val="between"/>
      </c:valAx>
      <c:catAx>
        <c:axId val="2023389632"/>
        <c:scaling>
          <c:orientation val="minMax"/>
        </c:scaling>
        <c:delete val="1"/>
        <c:axPos val="b"/>
        <c:numFmt formatCode="General" sourceLinked="1"/>
        <c:majorTickMark val="out"/>
        <c:minorTickMark val="none"/>
        <c:tickLblPos val="nextTo"/>
        <c:crossAx val="2023375592"/>
        <c:crosses val="autoZero"/>
        <c:auto val="1"/>
        <c:lblAlgn val="ctr"/>
        <c:lblOffset val="100"/>
        <c:noMultiLvlLbl val="0"/>
      </c:catAx>
      <c:spPr>
        <a:noFill/>
        <a:ln>
          <a:noFill/>
        </a:ln>
        <a:effectLst/>
      </c:spPr>
    </c:plotArea>
    <c:legend>
      <c:legendPos val="r"/>
      <c:layout>
        <c:manualLayout>
          <c:xMode val="edge"/>
          <c:yMode val="edge"/>
          <c:x val="0.1275115617604273"/>
          <c:y val="0.9227580927384077"/>
          <c:w val="0.79250656167979006"/>
          <c:h val="7.6832990215845665E-2"/>
        </c:manualLayout>
      </c:layout>
      <c:overlay val="0"/>
      <c:spPr>
        <a:noFill/>
        <a:ln w="6350">
          <a:solidFill>
            <a:schemeClr val="accent5">
              <a:lumMod val="40000"/>
              <a:lumOff val="60000"/>
            </a:schemeClr>
          </a:solid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5">
          <a:lumMod val="60000"/>
          <a:lumOff val="40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[AHD_Reporting_Form.xlsx]charts!PivotTable1</c:name>
    <c:fmtId val="128"/>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Overall CD4 testsand AHD yeild</a:t>
            </a:r>
          </a:p>
        </c:rich>
      </c:tx>
      <c:layout>
        <c:manualLayout>
          <c:xMode val="edge"/>
          <c:yMode val="edge"/>
          <c:x val="7.5965940303973634E-2"/>
          <c:y val="2.0015560653715566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58508D"/>
          </a:solidFill>
          <a:ln w="19050">
            <a:noFill/>
          </a:ln>
          <a:effectLst/>
        </c:spPr>
        <c:marker>
          <c:symbol val="none"/>
        </c:marker>
        <c:dLbl>
          <c:idx val="0"/>
          <c:spPr>
            <a:solidFill>
              <a:sysClr val="window" lastClr="FFFFFF"/>
            </a:solidFill>
            <a:ln>
              <a:noFill/>
            </a:ln>
            <a:effectLst>
              <a:softEdge rad="31750"/>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58508D"/>
          </a:solidFill>
          <a:ln w="19050">
            <a:noFill/>
          </a:ln>
          <a:effectLst/>
        </c:spPr>
      </c:pivotFmt>
      <c:pivotFmt>
        <c:idx val="4"/>
        <c:spPr>
          <a:solidFill>
            <a:srgbClr val="BC5090"/>
          </a:solidFill>
          <a:ln w="19050">
            <a:noFill/>
          </a:ln>
          <a:effectLst/>
        </c:spPr>
      </c:pivotFmt>
    </c:pivotFmts>
    <c:plotArea>
      <c:layout/>
      <c:doughnutChart>
        <c:varyColors val="1"/>
        <c:ser>
          <c:idx val="0"/>
          <c:order val="0"/>
          <c:tx>
            <c:strRef>
              <c:f>charts!$B$5</c:f>
              <c:strCache>
                <c:ptCount val="1"/>
                <c:pt idx="0">
                  <c:v>Total</c:v>
                </c:pt>
              </c:strCache>
            </c:strRef>
          </c:tx>
          <c:spPr>
            <a:solidFill>
              <a:srgbClr val="58508D"/>
            </a:solidFill>
            <a:ln>
              <a:noFill/>
            </a:ln>
          </c:spPr>
          <c:dPt>
            <c:idx val="0"/>
            <c:bubble3D val="0"/>
            <c:spPr>
              <a:solidFill>
                <a:srgbClr val="BC5090"/>
              </a:solidFill>
              <a:ln w="19050">
                <a:noFill/>
              </a:ln>
              <a:effectLst/>
            </c:spPr>
            <c:extLst>
              <c:ext xmlns:c16="http://schemas.microsoft.com/office/drawing/2014/chart" uri="{C3380CC4-5D6E-409C-BE32-E72D297353CC}">
                <c16:uniqueId val="{00000006-717C-4323-A083-4858E5230976}"/>
              </c:ext>
            </c:extLst>
          </c:dPt>
          <c:dPt>
            <c:idx val="1"/>
            <c:bubble3D val="0"/>
            <c:spPr>
              <a:solidFill>
                <a:srgbClr val="58508D"/>
              </a:solidFill>
              <a:ln w="19050">
                <a:noFill/>
              </a:ln>
              <a:effectLst/>
            </c:spPr>
            <c:extLst>
              <c:ext xmlns:c16="http://schemas.microsoft.com/office/drawing/2014/chart" uri="{C3380CC4-5D6E-409C-BE32-E72D297353CC}">
                <c16:uniqueId val="{00000004-717C-4323-A083-4858E5230976}"/>
              </c:ext>
            </c:extLst>
          </c:dPt>
          <c:dLbls>
            <c:spPr>
              <a:solidFill>
                <a:sysClr val="window" lastClr="FFFFFF"/>
              </a:solidFill>
              <a:ln>
                <a:noFill/>
              </a:ln>
              <a:effectLst>
                <a:softEdge rad="31750"/>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charts!$A$6:$A$7</c:f>
              <c:strCache>
                <c:ptCount val="2"/>
                <c:pt idx="0">
                  <c:v> CD4_tests</c:v>
                </c:pt>
                <c:pt idx="1">
                  <c:v>CD4 &lt;200</c:v>
                </c:pt>
              </c:strCache>
            </c:strRef>
          </c:cat>
          <c:val>
            <c:numRef>
              <c:f>charts!$B$6:$B$7</c:f>
              <c:numCache>
                <c:formatCode>General</c:formatCode>
                <c:ptCount val="2"/>
                <c:pt idx="0">
                  <c:v>657</c:v>
                </c:pt>
                <c:pt idx="1">
                  <c:v>155</c:v>
                </c:pt>
              </c:numCache>
            </c:numRef>
          </c:val>
          <c:extLst>
            <c:ext xmlns:c16="http://schemas.microsoft.com/office/drawing/2014/chart" uri="{C3380CC4-5D6E-409C-BE32-E72D297353CC}">
              <c16:uniqueId val="{00000000-717C-4323-A083-4858E5230976}"/>
            </c:ext>
          </c:extLst>
        </c:ser>
        <c:dLbls>
          <c:showLegendKey val="0"/>
          <c:showVal val="0"/>
          <c:showCatName val="0"/>
          <c:showSerName val="0"/>
          <c:showPercent val="0"/>
          <c:showBubbleSize val="0"/>
          <c:showLeaderLines val="0"/>
        </c:dLbls>
        <c:firstSliceAng val="141"/>
        <c:holeSize val="36"/>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[AHD_Reporting_Form.xlsx]charts!PivotTable3</c:name>
    <c:fmtId val="13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Overall crAg</a:t>
            </a:r>
            <a:r>
              <a:rPr lang="en-US" baseline="0"/>
              <a:t> Tests and AHD yeild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A600"/>
          </a:solidFill>
          <a:ln w="19050">
            <a:solidFill>
              <a:schemeClr val="lt1"/>
            </a:solidFill>
          </a:ln>
          <a:effectLst/>
        </c:spPr>
        <c:marker>
          <c:symbol val="none"/>
        </c:marker>
        <c:dLbl>
          <c:idx val="0"/>
          <c:spPr>
            <a:solidFill>
              <a:schemeClr val="bg2"/>
            </a:solidFill>
            <a:ln>
              <a:noFill/>
            </a:ln>
            <a:effectLst>
              <a:softEdge rad="31750"/>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FFA600"/>
          </a:solidFill>
          <a:ln w="19050">
            <a:solidFill>
              <a:schemeClr val="lt1"/>
            </a:solidFill>
          </a:ln>
          <a:effectLst/>
        </c:spPr>
      </c:pivotFmt>
      <c:pivotFmt>
        <c:idx val="2"/>
        <c:spPr>
          <a:solidFill>
            <a:srgbClr val="2F4B7C"/>
          </a:solidFill>
          <a:ln w="19050">
            <a:solidFill>
              <a:schemeClr val="lt1"/>
            </a:solidFill>
          </a:ln>
          <a:effectLst/>
        </c:spPr>
      </c:pivotFmt>
    </c:pivotFmts>
    <c:plotArea>
      <c:layout/>
      <c:doughnutChart>
        <c:varyColors val="1"/>
        <c:ser>
          <c:idx val="0"/>
          <c:order val="0"/>
          <c:tx>
            <c:strRef>
              <c:f>charts!$B$16</c:f>
              <c:strCache>
                <c:ptCount val="1"/>
                <c:pt idx="0">
                  <c:v>Total</c:v>
                </c:pt>
              </c:strCache>
            </c:strRef>
          </c:tx>
          <c:spPr>
            <a:solidFill>
              <a:srgbClr val="FFA600"/>
            </a:solidFill>
          </c:spPr>
          <c:dPt>
            <c:idx val="0"/>
            <c:bubble3D val="0"/>
            <c:spPr>
              <a:solidFill>
                <a:srgbClr val="2F4B7C"/>
              </a:solidFill>
              <a:ln w="19050">
                <a:solidFill>
                  <a:schemeClr val="lt1"/>
                </a:solidFill>
              </a:ln>
              <a:effectLst/>
            </c:spPr>
            <c:extLst>
              <c:ext xmlns:c16="http://schemas.microsoft.com/office/drawing/2014/chart" uri="{C3380CC4-5D6E-409C-BE32-E72D297353CC}">
                <c16:uniqueId val="{00000003-80F1-4157-A6CC-ABF505AB431D}"/>
              </c:ext>
            </c:extLst>
          </c:dPt>
          <c:dPt>
            <c:idx val="1"/>
            <c:bubble3D val="0"/>
            <c:spPr>
              <a:solidFill>
                <a:srgbClr val="FFA600"/>
              </a:solidFill>
              <a:ln w="19050">
                <a:solidFill>
                  <a:schemeClr val="lt1"/>
                </a:solidFill>
              </a:ln>
              <a:effectLst/>
            </c:spPr>
            <c:extLst>
              <c:ext xmlns:c16="http://schemas.microsoft.com/office/drawing/2014/chart" uri="{C3380CC4-5D6E-409C-BE32-E72D297353CC}">
                <c16:uniqueId val="{00000002-80F1-4157-A6CC-ABF505AB431D}"/>
              </c:ext>
            </c:extLst>
          </c:dPt>
          <c:dLbls>
            <c:spPr>
              <a:solidFill>
                <a:schemeClr val="bg2"/>
              </a:solidFill>
              <a:ln>
                <a:noFill/>
              </a:ln>
              <a:effectLst>
                <a:softEdge rad="31750"/>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charts!$A$17:$A$18</c:f>
              <c:strCache>
                <c:ptCount val="2"/>
                <c:pt idx="0">
                  <c:v>CrAg-tests</c:v>
                </c:pt>
                <c:pt idx="1">
                  <c:v>CrAg_pos</c:v>
                </c:pt>
              </c:strCache>
            </c:strRef>
          </c:cat>
          <c:val>
            <c:numRef>
              <c:f>charts!$B$17:$B$18</c:f>
              <c:numCache>
                <c:formatCode>General</c:formatCode>
                <c:ptCount val="2"/>
                <c:pt idx="0">
                  <c:v>148</c:v>
                </c:pt>
                <c:pt idx="1">
                  <c:v>8</c:v>
                </c:pt>
              </c:numCache>
            </c:numRef>
          </c:val>
          <c:extLst>
            <c:ext xmlns:c16="http://schemas.microsoft.com/office/drawing/2014/chart" uri="{C3380CC4-5D6E-409C-BE32-E72D297353CC}">
              <c16:uniqueId val="{00000000-80F1-4157-A6CC-ABF505AB431D}"/>
            </c:ext>
          </c:extLst>
        </c:ser>
        <c:dLbls>
          <c:showLegendKey val="0"/>
          <c:showVal val="0"/>
          <c:showCatName val="0"/>
          <c:showSerName val="0"/>
          <c:showPercent val="0"/>
          <c:showBubbleSize val="0"/>
          <c:showLeaderLines val="1"/>
        </c:dLbls>
        <c:firstSliceAng val="0"/>
        <c:holeSize val="38"/>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[AHD_Reporting_Form.xlsx]charts!PivotTable4</c:name>
    <c:fmtId val="13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Overal LAM tests and AHD yeild</a:t>
            </a:r>
          </a:p>
        </c:rich>
      </c:tx>
      <c:layout>
        <c:manualLayout>
          <c:xMode val="edge"/>
          <c:yMode val="edge"/>
          <c:x val="0.12829349638688159"/>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chemeClr val="bg2"/>
            </a:solidFill>
            <a:ln>
              <a:noFill/>
            </a:ln>
            <a:effectLst>
              <a:softEdge rad="31750"/>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0B81A2"/>
          </a:solidFill>
          <a:ln w="19050">
            <a:solidFill>
              <a:schemeClr val="lt1"/>
            </a:solidFill>
          </a:ln>
          <a:effectLst/>
        </c:spPr>
      </c:pivotFmt>
      <c:pivotFmt>
        <c:idx val="2"/>
        <c:spPr>
          <a:solidFill>
            <a:srgbClr val="E25759"/>
          </a:solidFill>
          <a:ln w="19050">
            <a:solidFill>
              <a:schemeClr val="lt1"/>
            </a:solidFill>
          </a:ln>
          <a:effectLst/>
        </c:spPr>
      </c:pivotFmt>
    </c:pivotFmts>
    <c:plotArea>
      <c:layout/>
      <c:doughnutChart>
        <c:varyColors val="1"/>
        <c:ser>
          <c:idx val="0"/>
          <c:order val="0"/>
          <c:tx>
            <c:strRef>
              <c:f>charts!$B$25</c:f>
              <c:strCache>
                <c:ptCount val="1"/>
                <c:pt idx="0">
                  <c:v>Total</c:v>
                </c:pt>
              </c:strCache>
            </c:strRef>
          </c:tx>
          <c:dPt>
            <c:idx val="0"/>
            <c:bubble3D val="0"/>
            <c:spPr>
              <a:solidFill>
                <a:srgbClr val="0B81A2"/>
              </a:solidFill>
              <a:ln w="19050">
                <a:solidFill>
                  <a:schemeClr val="lt1"/>
                </a:solidFill>
              </a:ln>
              <a:effectLst/>
            </c:spPr>
            <c:extLst>
              <c:ext xmlns:c16="http://schemas.microsoft.com/office/drawing/2014/chart" uri="{C3380CC4-5D6E-409C-BE32-E72D297353CC}">
                <c16:uniqueId val="{00000002-1EC0-4659-B330-4E45DC7F3AD2}"/>
              </c:ext>
            </c:extLst>
          </c:dPt>
          <c:dPt>
            <c:idx val="1"/>
            <c:bubble3D val="0"/>
            <c:spPr>
              <a:solidFill>
                <a:srgbClr val="E25759"/>
              </a:solidFill>
              <a:ln w="19050">
                <a:solidFill>
                  <a:schemeClr val="lt1"/>
                </a:solidFill>
              </a:ln>
              <a:effectLst/>
            </c:spPr>
            <c:extLst>
              <c:ext xmlns:c16="http://schemas.microsoft.com/office/drawing/2014/chart" uri="{C3380CC4-5D6E-409C-BE32-E72D297353CC}">
                <c16:uniqueId val="{00000003-1EC0-4659-B330-4E45DC7F3AD2}"/>
              </c:ext>
            </c:extLst>
          </c:dPt>
          <c:dLbls>
            <c:spPr>
              <a:solidFill>
                <a:schemeClr val="bg2"/>
              </a:solidFill>
              <a:ln>
                <a:noFill/>
              </a:ln>
              <a:effectLst>
                <a:softEdge rad="31750"/>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charts!$A$26:$A$27</c:f>
              <c:strCache>
                <c:ptCount val="2"/>
                <c:pt idx="0">
                  <c:v>LAM-tests</c:v>
                </c:pt>
                <c:pt idx="1">
                  <c:v>LAM_pos</c:v>
                </c:pt>
              </c:strCache>
            </c:strRef>
          </c:cat>
          <c:val>
            <c:numRef>
              <c:f>charts!$B$26:$B$27</c:f>
              <c:numCache>
                <c:formatCode>General</c:formatCode>
                <c:ptCount val="2"/>
                <c:pt idx="0">
                  <c:v>104</c:v>
                </c:pt>
                <c:pt idx="1">
                  <c:v>8</c:v>
                </c:pt>
              </c:numCache>
            </c:numRef>
          </c:val>
          <c:extLst>
            <c:ext xmlns:c16="http://schemas.microsoft.com/office/drawing/2014/chart" uri="{C3380CC4-5D6E-409C-BE32-E72D297353CC}">
              <c16:uniqueId val="{00000000-1EC0-4659-B330-4E45DC7F3AD2}"/>
            </c:ext>
          </c:extLst>
        </c:ser>
        <c:dLbls>
          <c:showLegendKey val="0"/>
          <c:showVal val="1"/>
          <c:showCatName val="0"/>
          <c:showSerName val="0"/>
          <c:showPercent val="0"/>
          <c:showBubbleSize val="0"/>
          <c:showLeaderLines val="1"/>
        </c:dLbls>
        <c:firstSliceAng val="0"/>
        <c:holeSize val="3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[AHD_Reporting_Form.xlsx]peads_0-4!PivotTable1</c:name>
    <c:fmtId val="17"/>
  </c:pivotSource>
  <c:chart>
    <c:title>
      <c:tx>
        <c:rich>
          <a:bodyPr rot="0" spcFirstLastPara="1" vertOverflow="ellipsis" vert="horz" wrap="square" anchor="ctr" anchorCtr="1"/>
          <a:lstStyle/>
          <a:p>
            <a:pPr>
              <a:defRPr sz="1600" b="1" i="0" u="sng" strike="noStrike" kern="1200" baseline="0">
                <a:solidFill>
                  <a:sysClr val="windowText" lastClr="000000"/>
                </a:solidFill>
                <a:latin typeface="+mn-lt"/>
                <a:ea typeface="+mn-ea"/>
                <a:cs typeface="+mn-cs"/>
              </a:defRPr>
            </a:pPr>
            <a:r>
              <a:rPr lang="en-GB" u="sng"/>
              <a:t>AHD screening among Peadiatrics (0-4</a:t>
            </a:r>
            <a:r>
              <a:rPr lang="en-GB" u="sng" baseline="0"/>
              <a:t> years</a:t>
            </a:r>
            <a:r>
              <a:rPr lang="en-GB" u="sng"/>
              <a:t>)</a:t>
            </a:r>
          </a:p>
        </c:rich>
      </c:tx>
      <c:layout>
        <c:manualLayout>
          <c:xMode val="edge"/>
          <c:yMode val="edge"/>
          <c:x val="0.30227356619096468"/>
          <c:y val="2.0983613003430747E-2"/>
        </c:manualLayout>
      </c:layout>
      <c:overlay val="0"/>
      <c:spPr>
        <a:noFill/>
        <a:ln>
          <a:noFill/>
        </a:ln>
        <a:effectLst/>
      </c:spPr>
      <c:txPr>
        <a:bodyPr rot="0" spcFirstLastPara="1" vertOverflow="ellipsis" vert="horz" wrap="square" anchor="ctr" anchorCtr="1"/>
        <a:lstStyle/>
        <a:p>
          <a:pPr>
            <a:defRPr sz="1600" b="1" i="0" u="sng" strike="noStrike" kern="1200" baseline="0">
              <a:solidFill>
                <a:sysClr val="windowText" lastClr="000000"/>
              </a:solidFill>
              <a:latin typeface="+mn-lt"/>
              <a:ea typeface="+mn-ea"/>
              <a:cs typeface="+mn-cs"/>
            </a:defRPr>
          </a:pPr>
          <a:endParaRPr lang="en-US"/>
        </a:p>
      </c:txPr>
    </c:title>
    <c:autoTitleDeleted val="0"/>
    <c:pivotFmts>
      <c:pivotFmt>
        <c:idx val="0"/>
        <c:spPr>
          <a:solidFill>
            <a:schemeClr val="accent2"/>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D80A0359-4340-464C-97BF-50043DB18A22}" type="CELLRANGE">
                  <a:rPr lang="en-US"/>
                  <a:pPr>
                    <a:defRPr sz="900" b="0" i="0" u="none" strike="noStrike" kern="1200" baseline="0">
                      <a:solidFill>
                        <a:sysClr val="windowText" lastClr="000000"/>
                      </a:solidFill>
                      <a:latin typeface="+mn-lt"/>
                      <a:ea typeface="+mn-ea"/>
                      <a:cs typeface="+mn-cs"/>
                    </a:defRPr>
                  </a:pPr>
                  <a:t>[CELLRANGE]</a:t>
                </a:fld>
                <a:r>
                  <a:rPr lang="en-US" baseline="0"/>
                  <a:t>, </a:t>
                </a:r>
                <a:fld id="{619AE429-5DC9-4CD0-95CD-5E4572E53792}" type="VALUE">
                  <a:rPr lang="en-US" baseline="0"/>
                  <a:pPr>
                    <a:defRPr sz="900" b="0" i="0" u="none" strike="noStrike" kern="1200" baseline="0">
                      <a:solidFill>
                        <a:sysClr val="windowText" lastClr="000000"/>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pivotFmt>
      <c:pivotFmt>
        <c:idx val="9"/>
        <c:dLbl>
          <c:idx val="0"/>
          <c:tx>
            <c:rich>
              <a:bodyPr/>
              <a:lstStyle/>
              <a:p>
                <a:fld id="{38B64FBF-4335-4EAD-B861-26F6E525AC74}" type="CELLRANGE">
                  <a:rPr lang="en-US"/>
                  <a:pPr/>
                  <a:t>[CELLRANGE]</a:t>
                </a:fld>
                <a:r>
                  <a:rPr lang="en-US" baseline="0"/>
                  <a:t>, </a:t>
                </a:r>
                <a:fld id="{D6C7321C-6E0F-4D2E-8B46-F65C3D7A4003}"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dLbl>
          <c:idx val="0"/>
          <c:tx>
            <c:rich>
              <a:bodyPr/>
              <a:lstStyle/>
              <a:p>
                <a:fld id="{8C44B063-F912-4FC5-A6C3-78054BAA1475}" type="CELLRANGE">
                  <a:rPr lang="en-US"/>
                  <a:pPr/>
                  <a:t>[CELLRANGE]</a:t>
                </a:fld>
                <a:r>
                  <a:rPr lang="en-US" baseline="0"/>
                  <a:t>, </a:t>
                </a:r>
                <a:fld id="{70B358C0-DB55-4F7E-A4CF-8DEB0B8DBBA3}"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dLbl>
          <c:idx val="0"/>
          <c:tx>
            <c:rich>
              <a:bodyPr/>
              <a:lstStyle/>
              <a:p>
                <a:fld id="{F1E15D6C-0C92-4F9E-8CBC-D5B2D9BC2075}" type="CELLRANGE">
                  <a:rPr lang="en-US"/>
                  <a:pPr/>
                  <a:t>[CELLRANGE]</a:t>
                </a:fld>
                <a:r>
                  <a:rPr lang="en-US" baseline="0"/>
                  <a:t>, </a:t>
                </a:r>
                <a:fld id="{CD39BF99-5182-4B7E-AEC5-5FB76F9FE533}"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2"/>
        <c:dLbl>
          <c:idx val="0"/>
          <c:tx>
            <c:rich>
              <a:bodyPr/>
              <a:lstStyle/>
              <a:p>
                <a:fld id="{AADAE8A4-138F-410E-9AB9-60EEC0EAE95C}" type="CELLRANGE">
                  <a:rPr lang="en-US"/>
                  <a:pPr/>
                  <a:t>[CELLRANGE]</a:t>
                </a:fld>
                <a:r>
                  <a:rPr lang="en-US" baseline="0"/>
                  <a:t>, </a:t>
                </a:r>
                <a:fld id="{200D7C23-70DD-4AC4-951B-7904139BAA90}"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3"/>
        <c:dLbl>
          <c:idx val="0"/>
          <c:tx>
            <c:rich>
              <a:bodyPr/>
              <a:lstStyle/>
              <a:p>
                <a:fld id="{EBB42741-FBB1-42C9-8CA9-7DC956E899D1}" type="CELLRANGE">
                  <a:rPr lang="en-US"/>
                  <a:pPr/>
                  <a:t>[CELLRANGE]</a:t>
                </a:fld>
                <a:r>
                  <a:rPr lang="en-US" baseline="0"/>
                  <a:t>, </a:t>
                </a:r>
                <a:fld id="{300B405C-545E-4C3B-9B9C-A09D74648588}"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4"/>
        <c:dLbl>
          <c:idx val="0"/>
          <c:tx>
            <c:rich>
              <a:bodyPr/>
              <a:lstStyle/>
              <a:p>
                <a:fld id="{5ACDCCC9-477B-4D80-84D3-265AA1551F99}" type="CELLRANGE">
                  <a:rPr lang="en-US"/>
                  <a:pPr/>
                  <a:t>[CELLRANGE]</a:t>
                </a:fld>
                <a:r>
                  <a:rPr lang="en-US" baseline="0"/>
                  <a:t>, </a:t>
                </a:r>
                <a:fld id="{EBF96CAC-98C3-4753-841D-F0B5B77629A4}"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
        <c:dLbl>
          <c:idx val="0"/>
          <c:tx>
            <c:rich>
              <a:bodyPr/>
              <a:lstStyle/>
              <a:p>
                <a:fld id="{85641F05-FEC1-4650-8FDD-8843A09484ED}" type="CELLRANGE">
                  <a:rPr lang="en-US"/>
                  <a:pPr/>
                  <a:t>[CELLRANGE]</a:t>
                </a:fld>
                <a:r>
                  <a:rPr lang="en-US" baseline="0"/>
                  <a:t>, </a:t>
                </a:r>
                <a:fld id="{A601C9D9-40B0-4DB3-A221-74FC1FEA479F}"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7"/>
        <c:dLbl>
          <c:idx val="0"/>
          <c:tx>
            <c:rich>
              <a:bodyPr/>
              <a:lstStyle/>
              <a:p>
                <a:fld id="{FF4EBAB4-9208-426C-A2C0-06A9B7A20937}" type="CELLRANGE">
                  <a:rPr lang="en-US"/>
                  <a:pPr/>
                  <a:t>[CELLRANGE]</a:t>
                </a:fld>
                <a:r>
                  <a:rPr lang="en-US" baseline="0"/>
                  <a:t>, </a:t>
                </a:r>
                <a:fld id="{DF0E314E-1845-4B08-9E93-FA96B8217187}"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8"/>
        <c:dLbl>
          <c:idx val="0"/>
          <c:tx>
            <c:rich>
              <a:bodyPr/>
              <a:lstStyle/>
              <a:p>
                <a:fld id="{DD926363-9992-4DFE-80C3-994ABB41FDA7}" type="CELLRANGE">
                  <a:rPr lang="en-US"/>
                  <a:pPr/>
                  <a:t>[CELLRANGE]</a:t>
                </a:fld>
                <a:r>
                  <a:rPr lang="en-US" baseline="0"/>
                  <a:t>, </a:t>
                </a:r>
                <a:fld id="{C6BB680B-7623-4EA3-B83B-2011C5679ED2}"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9"/>
        <c:dLbl>
          <c:idx val="0"/>
          <c:tx>
            <c:rich>
              <a:bodyPr/>
              <a:lstStyle/>
              <a:p>
                <a:fld id="{50D0BCCD-DA80-4AEC-ADFD-7478183D354A}" type="CELLRANGE">
                  <a:rPr lang="en-US"/>
                  <a:pPr/>
                  <a:t>[CELLRANGE]</a:t>
                </a:fld>
                <a:r>
                  <a:rPr lang="en-US" baseline="0"/>
                  <a:t>, </a:t>
                </a:r>
                <a:fld id="{EE890978-0538-4AD0-BE1B-680453DC062D}"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0"/>
        <c:dLbl>
          <c:idx val="0"/>
          <c:tx>
            <c:rich>
              <a:bodyPr/>
              <a:lstStyle/>
              <a:p>
                <a:fld id="{7D984C0A-AF2C-4FAD-9538-9CE56ED5F567}" type="CELLRANGE">
                  <a:rPr lang="en-US"/>
                  <a:pPr/>
                  <a:t>[CELLRANGE]</a:t>
                </a:fld>
                <a:r>
                  <a:rPr lang="en-US" baseline="0"/>
                  <a:t>, </a:t>
                </a:r>
                <a:fld id="{9F5C0507-D70F-477A-95F2-C63830573DD7}"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1"/>
        <c:dLbl>
          <c:idx val="0"/>
          <c:tx>
            <c:rich>
              <a:bodyPr/>
              <a:lstStyle/>
              <a:p>
                <a:fld id="{CF4FB6D9-9767-42D1-B639-24FD87FBFE31}" type="CELLRANGE">
                  <a:rPr lang="en-US"/>
                  <a:pPr/>
                  <a:t>[CELLRANGE]</a:t>
                </a:fld>
                <a:r>
                  <a:rPr lang="en-US" baseline="0"/>
                  <a:t>, </a:t>
                </a:r>
                <a:fld id="{91BB9253-F401-4063-A925-95408FA77268}"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2"/>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4731A5D9-539A-4F7D-A744-CF24B4E851B3}" type="CELLRANGE">
                  <a:rPr lang="en-US"/>
                  <a:pPr>
                    <a:defRPr sz="900" b="0" i="0" u="none" strike="noStrike" kern="1200" baseline="0">
                      <a:solidFill>
                        <a:sysClr val="windowText" lastClr="000000"/>
                      </a:solidFill>
                      <a:latin typeface="+mn-lt"/>
                      <a:ea typeface="+mn-ea"/>
                      <a:cs typeface="+mn-cs"/>
                    </a:defRPr>
                  </a:pPr>
                  <a:t>[CELLRANGE]</a:t>
                </a:fld>
                <a:r>
                  <a:rPr lang="en-US" baseline="0"/>
                  <a:t>, </a:t>
                </a:r>
                <a:fld id="{B03745B5-70AB-4486-8B6A-5E28FBF5B9A6}" type="VALUE">
                  <a:rPr lang="en-US" baseline="0"/>
                  <a:pPr>
                    <a:defRPr sz="900" b="0" i="0" u="none" strike="noStrike" kern="1200" baseline="0">
                      <a:solidFill>
                        <a:sysClr val="windowText" lastClr="000000"/>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3"/>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C9006498-42A4-45CE-BCE8-EC546067215F}" type="CELLRANGE">
                  <a:rPr lang="en-US"/>
                  <a:pPr>
                    <a:defRPr sz="900" b="0" i="0" u="none" strike="noStrike" kern="1200" baseline="0">
                      <a:solidFill>
                        <a:sysClr val="windowText" lastClr="000000"/>
                      </a:solidFill>
                      <a:latin typeface="+mn-lt"/>
                      <a:ea typeface="+mn-ea"/>
                      <a:cs typeface="+mn-cs"/>
                    </a:defRPr>
                  </a:pPr>
                  <a:t>[CELLRANGE]</a:t>
                </a:fld>
                <a:r>
                  <a:rPr lang="en-US" baseline="0"/>
                  <a:t>, </a:t>
                </a:r>
                <a:fld id="{13415703-C5CA-4787-8825-FCBD5C55B0DC}" type="VALUE">
                  <a:rPr lang="en-US" baseline="0"/>
                  <a:pPr>
                    <a:defRPr sz="900" b="0" i="0" u="none" strike="noStrike" kern="1200" baseline="0">
                      <a:solidFill>
                        <a:sysClr val="windowText" lastClr="000000"/>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4"/>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E39C17C5-A6DE-465E-BA2E-A0457662CE4F}" type="CELLRANGE">
                  <a:rPr lang="en-US"/>
                  <a:pPr>
                    <a:defRPr sz="900" b="0" i="0" u="none" strike="noStrike" kern="1200" baseline="0">
                      <a:solidFill>
                        <a:sysClr val="windowText" lastClr="000000"/>
                      </a:solidFill>
                      <a:latin typeface="+mn-lt"/>
                      <a:ea typeface="+mn-ea"/>
                      <a:cs typeface="+mn-cs"/>
                    </a:defRPr>
                  </a:pPr>
                  <a:t>[CELLRANGE]</a:t>
                </a:fld>
                <a:r>
                  <a:rPr lang="en-US" baseline="0"/>
                  <a:t>, </a:t>
                </a:r>
                <a:fld id="{D26FCEF1-5A34-41A0-B6CD-F3663AD6D4C1}" type="VALUE">
                  <a:rPr lang="en-US" baseline="0"/>
                  <a:pPr>
                    <a:defRPr sz="900" b="0" i="0" u="none" strike="noStrike" kern="1200" baseline="0">
                      <a:solidFill>
                        <a:sysClr val="windowText" lastClr="000000"/>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5"/>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183C6365-A22B-4AE8-B76B-F63703475BFE}" type="CELLRANGE">
                  <a:rPr lang="en-US"/>
                  <a:pPr>
                    <a:defRPr sz="900" b="0" i="0" u="none" strike="noStrike" kern="1200" baseline="0">
                      <a:solidFill>
                        <a:sysClr val="windowText" lastClr="000000"/>
                      </a:solidFill>
                      <a:latin typeface="+mn-lt"/>
                      <a:ea typeface="+mn-ea"/>
                      <a:cs typeface="+mn-cs"/>
                    </a:defRPr>
                  </a:pPr>
                  <a:t>[CELLRANGE]</a:t>
                </a:fld>
                <a:r>
                  <a:rPr lang="en-US" baseline="0"/>
                  <a:t>, </a:t>
                </a:r>
                <a:fld id="{2F81CAD8-CC36-4E7F-B6DF-B7DA1E4CEDA1}" type="VALUE">
                  <a:rPr lang="en-US" baseline="0"/>
                  <a:pPr>
                    <a:defRPr sz="900" b="0" i="0" u="none" strike="noStrike" kern="1200" baseline="0">
                      <a:solidFill>
                        <a:sysClr val="windowText" lastClr="000000"/>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6"/>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847F4BA0-4AA9-499D-BA2A-3AAAC0496E86}" type="CELLRANGE">
                  <a:rPr lang="en-US"/>
                  <a:pPr>
                    <a:defRPr sz="900" b="0" i="0" u="none" strike="noStrike" kern="1200" baseline="0">
                      <a:solidFill>
                        <a:sysClr val="windowText" lastClr="000000"/>
                      </a:solidFill>
                      <a:latin typeface="+mn-lt"/>
                      <a:ea typeface="+mn-ea"/>
                      <a:cs typeface="+mn-cs"/>
                    </a:defRPr>
                  </a:pPr>
                  <a:t>[CELLRANGE]</a:t>
                </a:fld>
                <a:r>
                  <a:rPr lang="en-US" baseline="0"/>
                  <a:t>, </a:t>
                </a:r>
                <a:fld id="{3D14E329-43B4-454C-B933-1CE45CA6E605}" type="VALUE">
                  <a:rPr lang="en-US" baseline="0"/>
                  <a:pPr>
                    <a:defRPr sz="900" b="0" i="0" u="none" strike="noStrike" kern="1200" baseline="0">
                      <a:solidFill>
                        <a:sysClr val="windowText" lastClr="000000"/>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7"/>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5589FF5D-4B2A-47E1-8019-27F023C54ACE}" type="CELLRANGE">
                  <a:rPr lang="en-US"/>
                  <a:pPr>
                    <a:defRPr sz="900" b="0" i="0" u="none" strike="noStrike" kern="1200" baseline="0">
                      <a:solidFill>
                        <a:sysClr val="windowText" lastClr="000000"/>
                      </a:solidFill>
                      <a:latin typeface="+mn-lt"/>
                      <a:ea typeface="+mn-ea"/>
                      <a:cs typeface="+mn-cs"/>
                    </a:defRPr>
                  </a:pPr>
                  <a:t>[CELLRANGE]</a:t>
                </a:fld>
                <a:r>
                  <a:rPr lang="en-US" baseline="0"/>
                  <a:t>, </a:t>
                </a:r>
                <a:fld id="{0AFB73F6-2AF1-48C0-8CBA-C2B6AFAFD8A1}" type="VALUE">
                  <a:rPr lang="en-US" baseline="0"/>
                  <a:pPr>
                    <a:defRPr sz="900" b="0" i="0" u="none" strike="noStrike" kern="1200" baseline="0">
                      <a:solidFill>
                        <a:sysClr val="windowText" lastClr="000000"/>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8"/>
        <c:dLbl>
          <c:idx val="0"/>
          <c:layout>
            <c:manualLayout>
              <c:x val="-1.3084725270352189E-2"/>
              <c:y val="-3.711340206185567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9"/>
        <c:dLbl>
          <c:idx val="0"/>
          <c:layout>
            <c:manualLayout>
              <c:x val="-2.2894524616056434E-2"/>
              <c:y val="-2.472187886279359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0"/>
        <c:dLbl>
          <c:idx val="0"/>
          <c:layout>
            <c:manualLayout>
              <c:x val="-1.7988555055472866E-2"/>
              <c:y val="-2.060156571899464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1"/>
        <c:dLbl>
          <c:idx val="0"/>
          <c:layout>
            <c:manualLayout>
              <c:x val="-1.3082585494889358E-2"/>
              <c:y val="-2.88421920065925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2"/>
        <c:dLbl>
          <c:idx val="0"/>
          <c:layout>
            <c:manualLayout>
              <c:x val="-1.6353231868611758E-2"/>
              <c:y val="-3.2962505150391445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3"/>
        <c:dLbl>
          <c:idx val="0"/>
          <c:layout>
            <c:manualLayout>
              <c:x val="-2.1259201429195206E-2"/>
              <c:y val="-2.472187886279359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1.9623878242334036E-2"/>
              <c:y val="-1.8541409147095178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rgbClr val="EAAEC9"/>
          </a:solidFill>
          <a:ln>
            <a:noFill/>
          </a:ln>
          <a:effectLst>
            <a:outerShdw blurRad="57150" dist="19050" dir="5400000" algn="ctr" rotWithShape="0">
              <a:srgbClr val="000000">
                <a:alpha val="63000"/>
              </a:srgbClr>
            </a:outerShdw>
          </a:effectLst>
        </c:spPr>
        <c:marker>
          <c:symbol val="none"/>
        </c:marker>
        <c:dLbl>
          <c:idx val="0"/>
          <c:spPr>
            <a:solidFill>
              <a:srgbClr val="FFCCCC"/>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rgbClr val="9A808B"/>
          </a:solidFill>
          <a:ln>
            <a:noFill/>
          </a:ln>
          <a:effectLst>
            <a:outerShdw blurRad="57150" dist="19050" dir="5400000" algn="ctr" rotWithShape="0">
              <a:srgbClr val="000000">
                <a:alpha val="63000"/>
              </a:srgbClr>
            </a:outerShdw>
          </a:effectLst>
        </c:spPr>
        <c:marker>
          <c:symbol val="none"/>
        </c:marker>
        <c:dLbl>
          <c:idx val="0"/>
          <c:spPr>
            <a:solidFill>
              <a:srgbClr val="D9A0E4"/>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a:solidFill>
              <a:schemeClr val="accent2">
                <a:lumMod val="50000"/>
              </a:schemeClr>
            </a:solidFill>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EAAEC9"/>
            </a:solidFill>
          </a:ln>
          <a:effectLst>
            <a:outerShdw blurRad="57150" dist="19050" dir="5400000" algn="ctr" rotWithShape="0">
              <a:srgbClr val="000000">
                <a:alpha val="63000"/>
              </a:srgbClr>
            </a:outerShdw>
          </a:effectLst>
        </c:spPr>
        <c:marker>
          <c:symbol val="circle"/>
          <c:size val="6"/>
          <c:spPr>
            <a:solidFill>
              <a:srgbClr val="EAAEC9"/>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rgbClr val="EAAEC9"/>
          </a:solidFill>
          <a:ln>
            <a:noFill/>
          </a:ln>
          <a:effectLst>
            <a:outerShdw blurRad="57150" dist="19050" dir="5400000" algn="ctr" rotWithShape="0">
              <a:srgbClr val="000000">
                <a:alpha val="63000"/>
              </a:srgbClr>
            </a:outerShdw>
          </a:effectLst>
        </c:spPr>
        <c:marker>
          <c:symbol val="none"/>
        </c:marker>
        <c:dLbl>
          <c:idx val="0"/>
          <c:spPr>
            <a:solidFill>
              <a:srgbClr val="FFCCCC"/>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rgbClr val="9A808B"/>
          </a:solidFill>
          <a:ln>
            <a:noFill/>
          </a:ln>
          <a:effectLst>
            <a:outerShdw blurRad="57150" dist="19050" dir="5400000" algn="ctr" rotWithShape="0">
              <a:srgbClr val="000000">
                <a:alpha val="63000"/>
              </a:srgbClr>
            </a:outerShdw>
          </a:effectLst>
        </c:spPr>
        <c:marker>
          <c:symbol val="none"/>
        </c:marker>
        <c:dLbl>
          <c:idx val="0"/>
          <c:spPr>
            <a:solidFill>
              <a:srgbClr val="D9A0E4"/>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EAAEC9"/>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EAAEC9"/>
          </a:solidFill>
          <a:ln>
            <a:noFill/>
          </a:ln>
          <a:effectLst>
            <a:outerShdw blurRad="57150" dist="19050" dir="5400000" algn="ctr" rotWithShape="0">
              <a:srgbClr val="000000">
                <a:alpha val="63000"/>
              </a:srgbClr>
            </a:outerShdw>
          </a:effectLst>
        </c:spPr>
        <c:marker>
          <c:symbol val="none"/>
        </c:marker>
        <c:dLbl>
          <c:idx val="0"/>
          <c:spPr>
            <a:solidFill>
              <a:srgbClr val="FFCCCC"/>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9A808B"/>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7"/>
        <c:spPr>
          <a:ln w="34925" cap="rnd">
            <a:solidFill>
              <a:srgbClr val="EAAEC9"/>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0936645633415"/>
          <c:y val="0.12969366399110185"/>
          <c:w val="0.77332874333552348"/>
          <c:h val="0.62802702836347002"/>
        </c:manualLayout>
      </c:layout>
      <c:barChart>
        <c:barDir val="col"/>
        <c:grouping val="clustered"/>
        <c:varyColors val="0"/>
        <c:ser>
          <c:idx val="0"/>
          <c:order val="0"/>
          <c:tx>
            <c:strRef>
              <c:f>'peads_0-4'!$B$5</c:f>
              <c:strCache>
                <c:ptCount val="1"/>
                <c:pt idx="0">
                  <c:v> LAM_tests</c:v>
                </c:pt>
              </c:strCache>
            </c:strRef>
          </c:tx>
          <c:spPr>
            <a:solidFill>
              <a:srgbClr val="EAAEC9"/>
            </a:solidFill>
            <a:ln>
              <a:noFill/>
            </a:ln>
            <a:effectLst>
              <a:outerShdw blurRad="57150" dist="19050" dir="5400000" algn="ctr" rotWithShape="0">
                <a:srgbClr val="000000">
                  <a:alpha val="63000"/>
                </a:srgbClr>
              </a:outerShdw>
            </a:effectLst>
          </c:spPr>
          <c:invertIfNegative val="0"/>
          <c:dLbls>
            <c:spPr>
              <a:solidFill>
                <a:srgbClr val="FFCCCC"/>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'peads_0-4'!$A$6:$A$25</c:f>
              <c:multiLvlStrCache>
                <c:ptCount val="1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2024</c:v>
                  </c:pt>
                  <c:pt idx="12">
                    <c:v>2025</c:v>
                  </c:pt>
                </c:lvl>
              </c:multiLvlStrCache>
            </c:multiLvlStrRef>
          </c:cat>
          <c:val>
            <c:numRef>
              <c:f>'peads_0-4'!$B$6:$B$25</c:f>
              <c:numCache>
                <c:formatCode>General</c:formatCode>
                <c:ptCount val="17"/>
                <c:pt idx="0">
                  <c:v>0</c:v>
                </c:pt>
                <c:pt idx="1">
                  <c:v>0</c:v>
                </c:pt>
                <c:pt idx="2">
                  <c:v>8</c:v>
                </c:pt>
                <c:pt idx="3">
                  <c:v>3</c:v>
                </c:pt>
                <c:pt idx="4">
                  <c:v>5</c:v>
                </c:pt>
                <c:pt idx="5">
                  <c:v>0</c:v>
                </c:pt>
                <c:pt idx="6">
                  <c:v>0</c:v>
                </c:pt>
                <c:pt idx="7">
                  <c:v>0</c:v>
                </c:pt>
                <c:pt idx="8">
                  <c:v>0</c:v>
                </c:pt>
                <c:pt idx="9">
                  <c:v>9</c:v>
                </c:pt>
                <c:pt idx="10">
                  <c:v>0</c:v>
                </c:pt>
                <c:pt idx="11">
                  <c:v>1</c:v>
                </c:pt>
                <c:pt idx="12">
                  <c:v>4</c:v>
                </c:pt>
                <c:pt idx="13">
                  <c:v>0</c:v>
                </c:pt>
                <c:pt idx="14">
                  <c:v>3</c:v>
                </c:pt>
                <c:pt idx="15">
                  <c:v>11</c:v>
                </c:pt>
                <c:pt idx="16">
                  <c:v>4</c:v>
                </c:pt>
              </c:numCache>
            </c:numRef>
          </c:val>
          <c:extLst>
            <c:ext xmlns:c16="http://schemas.microsoft.com/office/drawing/2014/chart" uri="{C3380CC4-5D6E-409C-BE32-E72D297353CC}">
              <c16:uniqueId val="{00000000-F350-4B57-BDA6-822760798804}"/>
            </c:ext>
          </c:extLst>
        </c:ser>
        <c:ser>
          <c:idx val="1"/>
          <c:order val="1"/>
          <c:tx>
            <c:strRef>
              <c:f>'peads_0-4'!$C$5</c:f>
              <c:strCache>
                <c:ptCount val="1"/>
                <c:pt idx="0">
                  <c:v>CrAg-tests</c:v>
                </c:pt>
              </c:strCache>
            </c:strRef>
          </c:tx>
          <c:spPr>
            <a:solidFill>
              <a:srgbClr val="9A808B"/>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'peads_0-4'!$A$6:$A$25</c:f>
              <c:multiLvlStrCache>
                <c:ptCount val="1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2024</c:v>
                  </c:pt>
                  <c:pt idx="12">
                    <c:v>2025</c:v>
                  </c:pt>
                </c:lvl>
              </c:multiLvlStrCache>
            </c:multiLvlStrRef>
          </c:cat>
          <c:val>
            <c:numRef>
              <c:f>'peads_0-4'!$C$6:$C$25</c:f>
              <c:numCache>
                <c:formatCode>General</c:formatCode>
                <c:ptCount val="17"/>
                <c:pt idx="0">
                  <c:v>4</c:v>
                </c:pt>
                <c:pt idx="1">
                  <c:v>0</c:v>
                </c:pt>
                <c:pt idx="2">
                  <c:v>8</c:v>
                </c:pt>
                <c:pt idx="3">
                  <c:v>0</c:v>
                </c:pt>
                <c:pt idx="4">
                  <c:v>0</c:v>
                </c:pt>
                <c:pt idx="5">
                  <c:v>1</c:v>
                </c:pt>
                <c:pt idx="6">
                  <c:v>20</c:v>
                </c:pt>
                <c:pt idx="7">
                  <c:v>2</c:v>
                </c:pt>
                <c:pt idx="8">
                  <c:v>1</c:v>
                </c:pt>
                <c:pt idx="9">
                  <c:v>9</c:v>
                </c:pt>
                <c:pt idx="10">
                  <c:v>0</c:v>
                </c:pt>
                <c:pt idx="11">
                  <c:v>2</c:v>
                </c:pt>
                <c:pt idx="12">
                  <c:v>8</c:v>
                </c:pt>
                <c:pt idx="13">
                  <c:v>0</c:v>
                </c:pt>
                <c:pt idx="14">
                  <c:v>3</c:v>
                </c:pt>
                <c:pt idx="15">
                  <c:v>12</c:v>
                </c:pt>
                <c:pt idx="16">
                  <c:v>7</c:v>
                </c:pt>
              </c:numCache>
            </c:numRef>
          </c:val>
          <c:extLst>
            <c:ext xmlns:c16="http://schemas.microsoft.com/office/drawing/2014/chart" uri="{C3380CC4-5D6E-409C-BE32-E72D297353CC}">
              <c16:uniqueId val="{00000001-F350-4B57-BDA6-822760798804}"/>
            </c:ext>
          </c:extLst>
        </c:ser>
        <c:dLbls>
          <c:dLblPos val="inEnd"/>
          <c:showLegendKey val="0"/>
          <c:showVal val="1"/>
          <c:showCatName val="0"/>
          <c:showSerName val="0"/>
          <c:showPercent val="0"/>
          <c:showBubbleSize val="0"/>
        </c:dLbls>
        <c:gapWidth val="68"/>
        <c:overlap val="34"/>
        <c:axId val="939995816"/>
        <c:axId val="939997976"/>
      </c:barChart>
      <c:lineChart>
        <c:grouping val="standard"/>
        <c:varyColors val="0"/>
        <c:ser>
          <c:idx val="2"/>
          <c:order val="2"/>
          <c:tx>
            <c:strRef>
              <c:f>'peads_0-4'!$D$5</c:f>
              <c:strCache>
                <c:ptCount val="1"/>
                <c:pt idx="0">
                  <c:v> LAM_COV%</c:v>
                </c:pt>
              </c:strCache>
            </c:strRef>
          </c:tx>
          <c:spPr>
            <a:ln w="34925" cap="rnd">
              <a:solidFill>
                <a:srgbClr val="EAAEC9"/>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'peads_0-4'!$A$6:$A$25</c:f>
              <c:multiLvlStrCache>
                <c:ptCount val="1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2024</c:v>
                  </c:pt>
                  <c:pt idx="12">
                    <c:v>2025</c:v>
                  </c:pt>
                </c:lvl>
              </c:multiLvlStrCache>
            </c:multiLvlStrRef>
          </c:cat>
          <c:val>
            <c:numRef>
              <c:f>'peads_0-4'!$D$6:$D$25</c:f>
              <c:numCache>
                <c:formatCode>0%</c:formatCode>
                <c:ptCount val="17"/>
                <c:pt idx="0">
                  <c:v>0</c:v>
                </c:pt>
                <c:pt idx="1">
                  <c:v>#N/A</c:v>
                </c:pt>
                <c:pt idx="2">
                  <c:v>1</c:v>
                </c:pt>
                <c:pt idx="3">
                  <c:v>0.6</c:v>
                </c:pt>
                <c:pt idx="4">
                  <c:v>0.625</c:v>
                </c:pt>
                <c:pt idx="5">
                  <c:v>0</c:v>
                </c:pt>
                <c:pt idx="6">
                  <c:v>0</c:v>
                </c:pt>
                <c:pt idx="7">
                  <c:v>0</c:v>
                </c:pt>
                <c:pt idx="8">
                  <c:v>0</c:v>
                </c:pt>
                <c:pt idx="9">
                  <c:v>1</c:v>
                </c:pt>
                <c:pt idx="10">
                  <c:v>0</c:v>
                </c:pt>
                <c:pt idx="11">
                  <c:v>0.33333333333333331</c:v>
                </c:pt>
                <c:pt idx="12">
                  <c:v>0.5</c:v>
                </c:pt>
                <c:pt idx="13">
                  <c:v>#N/A</c:v>
                </c:pt>
                <c:pt idx="14">
                  <c:v>1</c:v>
                </c:pt>
                <c:pt idx="15">
                  <c:v>0.84615384615384615</c:v>
                </c:pt>
                <c:pt idx="16">
                  <c:v>0.5714285714285714</c:v>
                </c:pt>
              </c:numCache>
            </c:numRef>
          </c:val>
          <c:smooth val="1"/>
          <c:extLst>
            <c:ext xmlns:c16="http://schemas.microsoft.com/office/drawing/2014/chart" uri="{C3380CC4-5D6E-409C-BE32-E72D297353CC}">
              <c16:uniqueId val="{00000005-F350-4B57-BDA6-822760798804}"/>
            </c:ext>
          </c:extLst>
        </c:ser>
        <c:dLbls>
          <c:showLegendKey val="0"/>
          <c:showVal val="0"/>
          <c:showCatName val="0"/>
          <c:showSerName val="0"/>
          <c:showPercent val="0"/>
          <c:showBubbleSize val="0"/>
        </c:dLbls>
        <c:marker val="1"/>
        <c:smooth val="0"/>
        <c:axId val="76721471"/>
        <c:axId val="76720751"/>
      </c:lineChart>
      <c:catAx>
        <c:axId val="939995816"/>
        <c:scaling>
          <c:orientation val="minMax"/>
        </c:scaling>
        <c:delete val="0"/>
        <c:axPos val="b"/>
        <c:title>
          <c:tx>
            <c:rich>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r>
                  <a:rPr lang="en-US"/>
                  <a:t>Eligible peads for AHD screening per period</a:t>
                </a:r>
              </a:p>
            </c:rich>
          </c:tx>
          <c:layout>
            <c:manualLayout>
              <c:xMode val="edge"/>
              <c:yMode val="edge"/>
              <c:x val="0.33813236654770662"/>
              <c:y val="0.89986665459920956"/>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accent1">
                <a:lumMod val="50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939997976"/>
        <c:crosses val="autoZero"/>
        <c:auto val="1"/>
        <c:lblAlgn val="ctr"/>
        <c:lblOffset val="100"/>
        <c:noMultiLvlLbl val="0"/>
      </c:catAx>
      <c:valAx>
        <c:axId val="939997976"/>
        <c:scaling>
          <c:orientation val="minMax"/>
          <c:max val="25"/>
        </c:scaling>
        <c:delete val="0"/>
        <c:axPos val="l"/>
        <c:title>
          <c:tx>
            <c:rich>
              <a:bodyPr rot="-54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r>
                  <a:rPr lang="en-US"/>
                  <a:t>Number of recepients screened</a:t>
                </a:r>
              </a:p>
            </c:rich>
          </c:tx>
          <c:layout>
            <c:manualLayout>
              <c:xMode val="edge"/>
              <c:yMode val="edge"/>
              <c:x val="1.4343922585327178E-2"/>
              <c:y val="0.35515634361881326"/>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itle>
        <c:numFmt formatCode="#,##0" sourceLinked="0"/>
        <c:majorTickMark val="none"/>
        <c:minorTickMark val="none"/>
        <c:tickLblPos val="nextTo"/>
        <c:spPr>
          <a:noFill/>
          <a:ln>
            <a:solidFill>
              <a:schemeClr val="accent1">
                <a:lumMod val="50000"/>
              </a:schemeClr>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939995816"/>
        <c:crosses val="autoZero"/>
        <c:crossBetween val="between"/>
      </c:valAx>
      <c:valAx>
        <c:axId val="76720751"/>
        <c:scaling>
          <c:orientation val="minMax"/>
          <c:min val="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6721471"/>
        <c:crosses val="max"/>
        <c:crossBetween val="between"/>
      </c:valAx>
      <c:catAx>
        <c:axId val="76721471"/>
        <c:scaling>
          <c:orientation val="minMax"/>
        </c:scaling>
        <c:delete val="1"/>
        <c:axPos val="b"/>
        <c:numFmt formatCode="General" sourceLinked="1"/>
        <c:majorTickMark val="out"/>
        <c:minorTickMark val="none"/>
        <c:tickLblPos val="nextTo"/>
        <c:crossAx val="76720751"/>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lumMod val="60000"/>
          <a:lumOff val="40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[AHD_Reporting_Form.xlsx]peads_0-4!PivotTable2</c:name>
    <c:fmtId val="1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sng" strike="noStrike" kern="1200" baseline="0">
                <a:solidFill>
                  <a:sysClr val="windowText" lastClr="000000"/>
                </a:solidFill>
                <a:latin typeface="+mn-lt"/>
                <a:ea typeface="+mn-ea"/>
                <a:cs typeface="+mn-cs"/>
              </a:defRPr>
            </a:pPr>
            <a:r>
              <a:rPr lang="en-GB" sz="1600" b="1" i="0" u="sng" strike="noStrike" kern="1200" baseline="0">
                <a:solidFill>
                  <a:sysClr val="windowText" lastClr="000000"/>
                </a:solidFill>
              </a:rPr>
              <a:t>AHD Yield among  peadiatrics (0-4 years old)</a:t>
            </a:r>
          </a:p>
        </c:rich>
      </c:tx>
      <c:layout>
        <c:manualLayout>
          <c:xMode val="edge"/>
          <c:yMode val="edge"/>
          <c:x val="0.21056659614929493"/>
          <c:y val="1.4278865452952797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sng" strike="noStrike" kern="1200" baseline="0">
              <a:solidFill>
                <a:sysClr val="windowText" lastClr="000000"/>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2"/>
            </a:solidFill>
            <a:round/>
          </a:ln>
          <a:effectLst>
            <a:outerShdw blurRad="57150" dist="19050" dir="5400000" algn="ctr" rotWithShape="0">
              <a:srgbClr val="000000">
                <a:alpha val="63000"/>
              </a:srgbClr>
            </a:outerShdw>
          </a:effectLst>
        </c:spPr>
        <c:marker>
          <c:symbol val="circle"/>
          <c:size val="4"/>
          <c:spPr>
            <a:solidFill>
              <a:schemeClr val="accent2"/>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5"/>
            </a:solidFill>
            <a:round/>
          </a:ln>
          <a:effectLst>
            <a:outerShdw blurRad="57150" dist="19050" dir="5400000" algn="ctr" rotWithShape="0">
              <a:srgbClr val="000000">
                <a:alpha val="63000"/>
              </a:srgbClr>
            </a:outerShdw>
          </a:effectLst>
        </c:spPr>
        <c:marker>
          <c:symbol val="circle"/>
          <c:size val="4"/>
          <c:spPr>
            <a:solidFill>
              <a:schemeClr val="accent5"/>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dLbl>
          <c:idx val="0"/>
          <c:layout>
            <c:manualLayout>
              <c:x val="-3.6779396559352875E-2"/>
              <c:y val="3.23599931903843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2"/>
            </a:solidFill>
            <a:round/>
          </a:ln>
          <a:effectLst>
            <a:outerShdw blurRad="57150" dist="19050" dir="5400000" algn="ctr" rotWithShape="0">
              <a:srgbClr val="000000">
                <a:alpha val="63000"/>
              </a:srgbClr>
            </a:outerShdw>
          </a:effectLst>
        </c:spPr>
        <c:marker>
          <c:symbol val="circle"/>
          <c:size val="4"/>
          <c:spPr>
            <a:solidFill>
              <a:schemeClr val="accent2"/>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19050" cap="rnd">
            <a:solidFill>
              <a:srgbClr val="EAAEC9"/>
            </a:solidFill>
            <a:round/>
          </a:ln>
          <a:effectLst>
            <a:outerShdw blurRad="57150" dist="19050" dir="5400000" algn="ctr" rotWithShape="0">
              <a:srgbClr val="000000">
                <a:alpha val="63000"/>
              </a:srgbClr>
            </a:outerShdw>
          </a:effectLst>
        </c:spPr>
        <c:marker>
          <c:symbol val="circle"/>
          <c:size val="4"/>
          <c:spPr>
            <a:solidFill>
              <a:srgbClr val="EAAEC9"/>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AAEC9"/>
            </a:solidFill>
            <a:round/>
          </a:ln>
          <a:effectLst>
            <a:outerShdw blurRad="57150" dist="19050" dir="5400000" algn="ctr" rotWithShape="0">
              <a:srgbClr val="000000">
                <a:alpha val="63000"/>
              </a:srgbClr>
            </a:outerShdw>
          </a:effectLst>
        </c:spPr>
        <c:marker>
          <c:symbol val="circle"/>
          <c:size val="4"/>
          <c:spPr>
            <a:solidFill>
              <a:srgbClr val="EAAEC9"/>
            </a:solidFill>
            <a:ln w="9525">
              <a:noFill/>
              <a:round/>
            </a:ln>
            <a:effectLst>
              <a:outerShdw blurRad="57150" dist="19050" dir="5400000" algn="ctr" rotWithShape="0">
                <a:srgbClr val="000000">
                  <a:alpha val="63000"/>
                </a:srgbClr>
              </a:outerShdw>
            </a:effectLst>
          </c:spPr>
        </c:marker>
        <c:dLbl>
          <c:idx val="0"/>
          <c:layout>
            <c:manualLayout>
              <c:x val="1.0144536241072326E-2"/>
              <c:y val="-1.8655171992706665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19050" cap="rnd">
            <a:solidFill>
              <a:srgbClr val="9A808B"/>
            </a:solidFill>
            <a:round/>
          </a:ln>
          <a:effectLst>
            <a:outerShdw blurRad="57150" dist="19050" dir="5400000" algn="ctr" rotWithShape="0">
              <a:srgbClr val="000000">
                <a:alpha val="63000"/>
              </a:srgbClr>
            </a:outerShdw>
          </a:effectLst>
        </c:spPr>
        <c:marker>
          <c:symbol val="circle"/>
          <c:size val="4"/>
          <c:spPr>
            <a:solidFill>
              <a:srgbClr val="9A808B"/>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marker>
          <c:symbol val="circle"/>
          <c:size val="4"/>
          <c:spPr>
            <a:solidFill>
              <a:srgbClr val="EAAEC9"/>
            </a:solidFill>
            <a:ln w="9525">
              <a:noFill/>
              <a:round/>
            </a:ln>
            <a:effectLst>
              <a:outerShdw blurRad="57150" dist="19050" dir="5400000" algn="ctr" rotWithShape="0">
                <a:srgbClr val="000000">
                  <a:alpha val="63000"/>
                </a:srgbClr>
              </a:outerShdw>
            </a:effectLst>
          </c:spPr>
        </c:marke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AAEC9"/>
            </a:solidFill>
            <a:round/>
          </a:ln>
          <a:effectLst>
            <a:outerShdw blurRad="57150" dist="19050" dir="5400000" algn="ctr" rotWithShape="0">
              <a:srgbClr val="000000">
                <a:alpha val="63000"/>
              </a:srgbClr>
            </a:outerShdw>
          </a:effectLst>
        </c:spPr>
        <c:marker>
          <c:symbol val="circle"/>
          <c:size val="4"/>
          <c:spPr>
            <a:solidFill>
              <a:srgbClr val="EAAEC9"/>
            </a:solidFill>
            <a:ln w="9525">
              <a:noFill/>
              <a:round/>
            </a:ln>
            <a:effectLst>
              <a:outerShdw blurRad="57150" dist="19050" dir="5400000" algn="ctr" rotWithShape="0">
                <a:srgbClr val="000000">
                  <a:alpha val="63000"/>
                </a:srgbClr>
              </a:outerShdw>
            </a:effectLst>
          </c:spPr>
        </c:marke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AAEC9"/>
            </a:solidFill>
            <a:round/>
          </a:ln>
          <a:effectLst>
            <a:outerShdw blurRad="57150" dist="19050" dir="5400000" algn="ctr" rotWithShape="0">
              <a:srgbClr val="000000">
                <a:alpha val="63000"/>
              </a:srgbClr>
            </a:outerShdw>
          </a:effectLst>
        </c:spPr>
        <c:marker>
          <c:symbol val="circle"/>
          <c:size val="4"/>
          <c:spPr>
            <a:solidFill>
              <a:srgbClr val="EAAEC9"/>
            </a:solidFill>
            <a:ln w="9525">
              <a:noFill/>
              <a:round/>
            </a:ln>
            <a:effectLst>
              <a:outerShdw blurRad="57150" dist="19050" dir="5400000" algn="ctr" rotWithShape="0">
                <a:srgbClr val="000000">
                  <a:alpha val="63000"/>
                </a:srgbClr>
              </a:outerShdw>
            </a:effectLst>
          </c:spPr>
        </c:marke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AAEC9"/>
            </a:solidFill>
            <a:round/>
          </a:ln>
          <a:effectLst>
            <a:outerShdw blurRad="57150" dist="19050" dir="5400000" algn="ctr" rotWithShape="0">
              <a:srgbClr val="000000">
                <a:alpha val="63000"/>
              </a:srgbClr>
            </a:outerShdw>
          </a:effectLst>
        </c:spPr>
        <c:marker>
          <c:symbol val="circle"/>
          <c:size val="4"/>
          <c:spPr>
            <a:solidFill>
              <a:srgbClr val="EAAEC9"/>
            </a:solidFill>
            <a:ln w="9525">
              <a:noFill/>
              <a:round/>
            </a:ln>
            <a:effectLst>
              <a:outerShdw blurRad="57150" dist="19050" dir="5400000" algn="ctr" rotWithShape="0">
                <a:srgbClr val="000000">
                  <a:alpha val="63000"/>
                </a:srgbClr>
              </a:outerShdw>
            </a:effectLst>
          </c:spPr>
        </c:marke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AAEC9"/>
            </a:solidFill>
            <a:round/>
          </a:ln>
          <a:effectLst>
            <a:outerShdw blurRad="57150" dist="19050" dir="5400000" algn="ctr" rotWithShape="0">
              <a:srgbClr val="000000">
                <a:alpha val="63000"/>
              </a:srgbClr>
            </a:outerShdw>
          </a:effectLst>
        </c:spPr>
        <c:marker>
          <c:symbol val="circle"/>
          <c:size val="4"/>
          <c:spPr>
            <a:solidFill>
              <a:srgbClr val="EAAEC9"/>
            </a:solidFill>
            <a:ln w="9525">
              <a:noFill/>
              <a:round/>
            </a:ln>
            <a:effectLst>
              <a:outerShdw blurRad="57150" dist="19050" dir="5400000" algn="ctr" rotWithShape="0">
                <a:srgbClr val="000000">
                  <a:alpha val="63000"/>
                </a:srgbClr>
              </a:outerShdw>
            </a:effectLst>
          </c:spPr>
        </c:marke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AAEC9"/>
            </a:solidFill>
            <a:round/>
          </a:ln>
          <a:effectLst>
            <a:outerShdw blurRad="57150" dist="19050" dir="5400000" algn="ctr" rotWithShape="0">
              <a:srgbClr val="000000">
                <a:alpha val="63000"/>
              </a:srgbClr>
            </a:outerShdw>
          </a:effectLst>
        </c:spPr>
        <c:marker>
          <c:symbol val="circle"/>
          <c:size val="4"/>
          <c:spPr>
            <a:solidFill>
              <a:srgbClr val="EAAEC9"/>
            </a:solidFill>
            <a:ln w="9525">
              <a:noFill/>
              <a:round/>
            </a:ln>
            <a:effectLst>
              <a:outerShdw blurRad="57150" dist="19050" dir="5400000" algn="ctr" rotWithShape="0">
                <a:srgbClr val="000000">
                  <a:alpha val="63000"/>
                </a:srgbClr>
              </a:outerShdw>
            </a:effectLst>
          </c:spPr>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AAEC9"/>
            </a:solidFill>
            <a:round/>
          </a:ln>
          <a:effectLst>
            <a:outerShdw blurRad="57150" dist="19050" dir="5400000" algn="ctr" rotWithShape="0">
              <a:srgbClr val="000000">
                <a:alpha val="63000"/>
              </a:srgbClr>
            </a:outerShdw>
          </a:effectLst>
        </c:spPr>
        <c:marker>
          <c:symbol val="circle"/>
          <c:size val="4"/>
          <c:spPr>
            <a:solidFill>
              <a:srgbClr val="EAAEC9"/>
            </a:solidFill>
            <a:ln w="9525">
              <a:noFill/>
              <a:round/>
            </a:ln>
            <a:effectLst>
              <a:outerShdw blurRad="57150" dist="19050" dir="5400000" algn="ctr" rotWithShape="0">
                <a:srgbClr val="000000">
                  <a:alpha val="63000"/>
                </a:srgbClr>
              </a:outerShdw>
            </a:effectLst>
          </c:spPr>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AAEC9"/>
            </a:solidFill>
            <a:round/>
          </a:ln>
          <a:effectLst>
            <a:outerShdw blurRad="57150" dist="19050" dir="5400000" algn="ctr" rotWithShape="0">
              <a:srgbClr val="000000">
                <a:alpha val="63000"/>
              </a:srgbClr>
            </a:outerShdw>
          </a:effectLst>
        </c:spPr>
        <c:marker>
          <c:symbol val="circle"/>
          <c:size val="4"/>
          <c:spPr>
            <a:solidFill>
              <a:srgbClr val="EAAEC9"/>
            </a:solidFill>
            <a:ln w="9525">
              <a:noFill/>
              <a:round/>
            </a:ln>
            <a:effectLst>
              <a:outerShdw blurRad="57150" dist="19050" dir="5400000" algn="ctr" rotWithShape="0">
                <a:srgbClr val="000000">
                  <a:alpha val="63000"/>
                </a:srgbClr>
              </a:outerShdw>
            </a:effectLst>
          </c:spPr>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AAEC9"/>
            </a:solidFill>
            <a:round/>
          </a:ln>
          <a:effectLst>
            <a:outerShdw blurRad="57150" dist="19050" dir="5400000" algn="ctr" rotWithShape="0">
              <a:srgbClr val="000000">
                <a:alpha val="63000"/>
              </a:srgbClr>
            </a:outerShdw>
          </a:effectLst>
        </c:spPr>
        <c:marker>
          <c:symbol val="circle"/>
          <c:size val="4"/>
          <c:spPr>
            <a:solidFill>
              <a:srgbClr val="EAAEC9"/>
            </a:solidFill>
            <a:ln w="9525">
              <a:noFill/>
              <a:round/>
            </a:ln>
            <a:effectLst>
              <a:outerShdw blurRad="57150" dist="19050" dir="5400000" algn="ctr" rotWithShape="0">
                <a:srgbClr val="000000">
                  <a:alpha val="63000"/>
                </a:srgbClr>
              </a:outerShdw>
            </a:effectLst>
          </c:spPr>
        </c:marke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AAEC9"/>
            </a:solidFill>
            <a:round/>
          </a:ln>
          <a:effectLst>
            <a:outerShdw blurRad="57150" dist="19050" dir="5400000" algn="ctr" rotWithShape="0">
              <a:srgbClr val="000000">
                <a:alpha val="63000"/>
              </a:srgbClr>
            </a:outerShdw>
          </a:effectLst>
        </c:spPr>
        <c:marker>
          <c:symbol val="circle"/>
          <c:size val="4"/>
          <c:spPr>
            <a:solidFill>
              <a:srgbClr val="EAAEC9"/>
            </a:solidFill>
            <a:ln w="9525">
              <a:noFill/>
              <a:round/>
            </a:ln>
            <a:effectLst>
              <a:outerShdw blurRad="57150" dist="19050" dir="5400000" algn="ctr" rotWithShape="0">
                <a:srgbClr val="000000">
                  <a:alpha val="63000"/>
                </a:srgbClr>
              </a:outerShdw>
            </a:effectLst>
          </c:spPr>
        </c:marke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AAEC9"/>
            </a:solidFill>
            <a:round/>
          </a:ln>
          <a:effectLst>
            <a:outerShdw blurRad="57150" dist="19050" dir="5400000" algn="ctr" rotWithShape="0">
              <a:srgbClr val="000000">
                <a:alpha val="63000"/>
              </a:srgbClr>
            </a:outerShdw>
          </a:effectLst>
        </c:spPr>
        <c:marker>
          <c:symbol val="circle"/>
          <c:size val="4"/>
          <c:spPr>
            <a:solidFill>
              <a:srgbClr val="EAAEC9"/>
            </a:solidFill>
            <a:ln w="9525">
              <a:noFill/>
              <a:round/>
            </a:ln>
            <a:effectLst>
              <a:outerShdw blurRad="57150" dist="19050" dir="5400000" algn="ctr" rotWithShape="0">
                <a:srgbClr val="000000">
                  <a:alpha val="63000"/>
                </a:srgbClr>
              </a:outerShdw>
            </a:effectLst>
          </c:spPr>
        </c:marker>
        <c:dLbl>
          <c:idx val="0"/>
          <c:layout>
            <c:manualLayout>
              <c:x val="1.0144536241072326E-2"/>
              <c:y val="-1.8655171992706665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ln w="19050" cap="rnd">
            <a:solidFill>
              <a:srgbClr val="EAAEC9"/>
            </a:solidFill>
            <a:round/>
          </a:ln>
          <a:effectLst>
            <a:outerShdw blurRad="57150" dist="19050" dir="5400000" algn="ctr" rotWithShape="0">
              <a:srgbClr val="000000">
                <a:alpha val="63000"/>
              </a:srgbClr>
            </a:outerShdw>
          </a:effectLst>
        </c:spPr>
        <c:marker>
          <c:symbol val="circle"/>
          <c:size val="4"/>
          <c:spPr>
            <a:solidFill>
              <a:srgbClr val="EAAEC9"/>
            </a:solidFill>
            <a:ln w="9525">
              <a:noFill/>
              <a:round/>
            </a:ln>
            <a:effectLst>
              <a:outerShdw blurRad="57150" dist="19050" dir="5400000" algn="ctr" rotWithShape="0">
                <a:srgbClr val="000000">
                  <a:alpha val="63000"/>
                </a:srgbClr>
              </a:outerShdw>
            </a:effectLst>
          </c:spPr>
        </c:marker>
      </c:pivotFmt>
      <c:pivotFmt>
        <c:idx val="21"/>
        <c:spPr>
          <a:ln w="19050" cap="rnd">
            <a:solidFill>
              <a:srgbClr val="EAAEC9"/>
            </a:solidFill>
            <a:round/>
          </a:ln>
          <a:effectLst>
            <a:outerShdw blurRad="57150" dist="19050" dir="5400000" algn="ctr" rotWithShape="0">
              <a:srgbClr val="000000">
                <a:alpha val="63000"/>
              </a:srgbClr>
            </a:outerShdw>
          </a:effectLst>
        </c:spPr>
        <c:marker>
          <c:symbol val="circle"/>
          <c:size val="4"/>
          <c:spPr>
            <a:solidFill>
              <a:srgbClr val="EAAEC9"/>
            </a:solidFill>
            <a:ln w="9525">
              <a:noFill/>
              <a:round/>
            </a:ln>
            <a:effectLst>
              <a:outerShdw blurRad="57150" dist="19050" dir="5400000" algn="ctr" rotWithShape="0">
                <a:srgbClr val="000000">
                  <a:alpha val="63000"/>
                </a:srgbClr>
              </a:outerShdw>
            </a:effectLst>
          </c:spPr>
        </c:marker>
      </c:pivotFmt>
      <c:pivotFmt>
        <c:idx val="22"/>
        <c:spPr>
          <a:ln w="19050" cap="rnd">
            <a:solidFill>
              <a:srgbClr val="EAAEC9"/>
            </a:solidFill>
            <a:round/>
          </a:ln>
          <a:effectLst>
            <a:outerShdw blurRad="57150" dist="19050" dir="5400000" algn="ctr" rotWithShape="0">
              <a:srgbClr val="000000">
                <a:alpha val="63000"/>
              </a:srgbClr>
            </a:outerShdw>
          </a:effectLst>
        </c:spPr>
        <c:marker>
          <c:symbol val="circle"/>
          <c:size val="4"/>
          <c:spPr>
            <a:solidFill>
              <a:srgbClr val="EAAEC9"/>
            </a:solidFill>
            <a:ln w="9525">
              <a:noFill/>
              <a:round/>
            </a:ln>
            <a:effectLst>
              <a:outerShdw blurRad="57150" dist="19050" dir="5400000" algn="ctr" rotWithShape="0">
                <a:srgbClr val="000000">
                  <a:alpha val="63000"/>
                </a:srgbClr>
              </a:outerShdw>
            </a:effectLst>
          </c:spPr>
        </c:marker>
      </c:pivotFmt>
      <c:pivotFmt>
        <c:idx val="23"/>
        <c:spPr>
          <a:ln w="19050" cap="rnd">
            <a:solidFill>
              <a:srgbClr val="EAAEC9"/>
            </a:solidFill>
            <a:round/>
          </a:ln>
          <a:effectLst>
            <a:outerShdw blurRad="57150" dist="19050" dir="5400000" algn="ctr" rotWithShape="0">
              <a:srgbClr val="000000">
                <a:alpha val="63000"/>
              </a:srgbClr>
            </a:outerShdw>
          </a:effectLst>
        </c:spPr>
        <c:marker>
          <c:symbol val="circle"/>
          <c:size val="4"/>
          <c:spPr>
            <a:solidFill>
              <a:srgbClr val="EAAEC9"/>
            </a:solidFill>
            <a:ln w="9525">
              <a:noFill/>
              <a:round/>
            </a:ln>
            <a:effectLst>
              <a:outerShdw blurRad="57150" dist="19050" dir="5400000" algn="ctr" rotWithShape="0">
                <a:srgbClr val="000000">
                  <a:alpha val="63000"/>
                </a:srgbClr>
              </a:outerShdw>
            </a:effectLst>
          </c:spPr>
        </c:marker>
      </c:pivotFmt>
      <c:pivotFmt>
        <c:idx val="24"/>
        <c:spPr>
          <a:ln w="19050" cap="rnd">
            <a:solidFill>
              <a:srgbClr val="EAAEC9"/>
            </a:solidFill>
            <a:round/>
          </a:ln>
          <a:effectLst>
            <a:outerShdw blurRad="57150" dist="19050" dir="5400000" algn="ctr" rotWithShape="0">
              <a:srgbClr val="000000">
                <a:alpha val="63000"/>
              </a:srgbClr>
            </a:outerShdw>
          </a:effectLst>
        </c:spPr>
        <c:marker>
          <c:symbol val="circle"/>
          <c:size val="4"/>
          <c:spPr>
            <a:solidFill>
              <a:srgbClr val="EAAEC9"/>
            </a:solidFill>
            <a:ln w="9525">
              <a:noFill/>
              <a:round/>
            </a:ln>
            <a:effectLst>
              <a:outerShdw blurRad="57150" dist="19050" dir="5400000" algn="ctr" rotWithShape="0">
                <a:srgbClr val="000000">
                  <a:alpha val="63000"/>
                </a:srgbClr>
              </a:outerShdw>
            </a:effectLst>
          </c:spPr>
        </c:marker>
      </c:pivotFmt>
      <c:pivotFmt>
        <c:idx val="25"/>
        <c:spPr>
          <a:ln w="19050" cap="rnd">
            <a:solidFill>
              <a:srgbClr val="EAAEC9"/>
            </a:solidFill>
            <a:round/>
          </a:ln>
          <a:effectLst>
            <a:outerShdw blurRad="57150" dist="19050" dir="5400000" algn="ctr" rotWithShape="0">
              <a:srgbClr val="000000">
                <a:alpha val="63000"/>
              </a:srgbClr>
            </a:outerShdw>
          </a:effectLst>
        </c:spPr>
        <c:marker>
          <c:symbol val="circle"/>
          <c:size val="4"/>
          <c:spPr>
            <a:solidFill>
              <a:srgbClr val="EAAEC9"/>
            </a:solidFill>
            <a:ln w="9525">
              <a:noFill/>
              <a:round/>
            </a:ln>
            <a:effectLst>
              <a:outerShdw blurRad="57150" dist="19050" dir="5400000" algn="ctr" rotWithShape="0">
                <a:srgbClr val="000000">
                  <a:alpha val="63000"/>
                </a:srgbClr>
              </a:outerShdw>
            </a:effectLst>
          </c:spPr>
        </c:marker>
      </c:pivotFmt>
      <c:pivotFmt>
        <c:idx val="26"/>
        <c:spPr>
          <a:ln w="19050" cap="rnd">
            <a:solidFill>
              <a:srgbClr val="EAAEC9"/>
            </a:solidFill>
            <a:round/>
          </a:ln>
          <a:effectLst>
            <a:outerShdw blurRad="57150" dist="19050" dir="5400000" algn="ctr" rotWithShape="0">
              <a:srgbClr val="000000">
                <a:alpha val="63000"/>
              </a:srgbClr>
            </a:outerShdw>
          </a:effectLst>
        </c:spPr>
        <c:marker>
          <c:symbol val="circle"/>
          <c:size val="4"/>
          <c:spPr>
            <a:solidFill>
              <a:srgbClr val="EAAEC9"/>
            </a:solidFill>
            <a:ln w="9525">
              <a:noFill/>
              <a:round/>
            </a:ln>
            <a:effectLst>
              <a:outerShdw blurRad="57150" dist="19050" dir="5400000" algn="ctr" rotWithShape="0">
                <a:srgbClr val="000000">
                  <a:alpha val="63000"/>
                </a:srgbClr>
              </a:outerShdw>
            </a:effectLst>
          </c:spPr>
        </c:marker>
      </c:pivotFmt>
      <c:pivotFmt>
        <c:idx val="27"/>
        <c:spPr>
          <a:ln w="19050" cap="rnd">
            <a:solidFill>
              <a:srgbClr val="EAAEC9"/>
            </a:solidFill>
            <a:round/>
          </a:ln>
          <a:effectLst>
            <a:outerShdw blurRad="57150" dist="19050" dir="5400000" algn="ctr" rotWithShape="0">
              <a:srgbClr val="000000">
                <a:alpha val="63000"/>
              </a:srgbClr>
            </a:outerShdw>
          </a:effectLst>
        </c:spPr>
        <c:marker>
          <c:symbol val="circle"/>
          <c:size val="4"/>
          <c:spPr>
            <a:solidFill>
              <a:srgbClr val="EAAEC9"/>
            </a:solidFill>
            <a:ln w="9525">
              <a:noFill/>
              <a:round/>
            </a:ln>
            <a:effectLst>
              <a:outerShdw blurRad="57150" dist="19050" dir="5400000" algn="ctr" rotWithShape="0">
                <a:srgbClr val="000000">
                  <a:alpha val="63000"/>
                </a:srgbClr>
              </a:outerShdw>
            </a:effectLst>
          </c:spPr>
        </c:marker>
      </c:pivotFmt>
      <c:pivotFmt>
        <c:idx val="28"/>
        <c:spPr>
          <a:ln w="19050" cap="rnd">
            <a:solidFill>
              <a:srgbClr val="EAAEC9"/>
            </a:solidFill>
            <a:round/>
          </a:ln>
          <a:effectLst>
            <a:outerShdw blurRad="57150" dist="19050" dir="5400000" algn="ctr" rotWithShape="0">
              <a:srgbClr val="000000">
                <a:alpha val="63000"/>
              </a:srgbClr>
            </a:outerShdw>
          </a:effectLst>
        </c:spPr>
        <c:marker>
          <c:symbol val="circle"/>
          <c:size val="4"/>
          <c:spPr>
            <a:solidFill>
              <a:srgbClr val="EAAEC9"/>
            </a:solidFill>
            <a:ln w="9525">
              <a:noFill/>
              <a:round/>
            </a:ln>
            <a:effectLst>
              <a:outerShdw blurRad="57150" dist="19050" dir="5400000" algn="ctr" rotWithShape="0">
                <a:srgbClr val="000000">
                  <a:alpha val="63000"/>
                </a:srgbClr>
              </a:outerShdw>
            </a:effectLst>
          </c:spPr>
        </c:marker>
      </c:pivotFmt>
      <c:pivotFmt>
        <c:idx val="29"/>
        <c:spPr>
          <a:ln w="19050" cap="rnd">
            <a:solidFill>
              <a:srgbClr val="EAAEC9"/>
            </a:solidFill>
            <a:round/>
          </a:ln>
          <a:effectLst>
            <a:outerShdw blurRad="57150" dist="19050" dir="5400000" algn="ctr" rotWithShape="0">
              <a:srgbClr val="000000">
                <a:alpha val="63000"/>
              </a:srgbClr>
            </a:outerShdw>
          </a:effectLst>
        </c:spPr>
        <c:marker>
          <c:symbol val="circle"/>
          <c:size val="4"/>
          <c:spPr>
            <a:solidFill>
              <a:srgbClr val="EAAEC9"/>
            </a:solidFill>
            <a:ln w="9525">
              <a:noFill/>
              <a:round/>
            </a:ln>
            <a:effectLst>
              <a:outerShdw blurRad="57150" dist="19050" dir="5400000" algn="ctr" rotWithShape="0">
                <a:srgbClr val="000000">
                  <a:alpha val="63000"/>
                </a:srgbClr>
              </a:outerShdw>
            </a:effectLst>
          </c:spPr>
        </c:marker>
      </c:pivotFmt>
      <c:pivotFmt>
        <c:idx val="30"/>
        <c:spPr>
          <a:ln w="19050" cap="rnd">
            <a:solidFill>
              <a:srgbClr val="EAAEC9"/>
            </a:solidFill>
            <a:round/>
          </a:ln>
          <a:effectLst>
            <a:outerShdw blurRad="57150" dist="19050" dir="5400000" algn="ctr" rotWithShape="0">
              <a:srgbClr val="000000">
                <a:alpha val="63000"/>
              </a:srgbClr>
            </a:outerShdw>
          </a:effectLst>
        </c:spPr>
        <c:marker>
          <c:symbol val="circle"/>
          <c:size val="4"/>
          <c:spPr>
            <a:solidFill>
              <a:srgbClr val="EAAEC9"/>
            </a:solidFill>
            <a:ln w="9525">
              <a:noFill/>
              <a:round/>
            </a:ln>
            <a:effectLst>
              <a:outerShdw blurRad="57150" dist="19050" dir="5400000" algn="ctr" rotWithShape="0">
                <a:srgbClr val="000000">
                  <a:alpha val="63000"/>
                </a:srgbClr>
              </a:outerShdw>
            </a:effectLst>
          </c:spPr>
        </c:marker>
      </c:pivotFmt>
    </c:pivotFmts>
    <c:plotArea>
      <c:layout>
        <c:manualLayout>
          <c:layoutTarget val="inner"/>
          <c:xMode val="edge"/>
          <c:yMode val="edge"/>
          <c:x val="0.16917985339591571"/>
          <c:y val="0.11082718498590151"/>
          <c:w val="0.80684491447035545"/>
          <c:h val="0.71150062050639107"/>
        </c:manualLayout>
      </c:layout>
      <c:lineChart>
        <c:grouping val="standard"/>
        <c:varyColors val="0"/>
        <c:ser>
          <c:idx val="0"/>
          <c:order val="0"/>
          <c:tx>
            <c:strRef>
              <c:f>'peads_0-4'!$I$5</c:f>
              <c:strCache>
                <c:ptCount val="1"/>
                <c:pt idx="0">
                  <c:v> LAM+%</c:v>
                </c:pt>
              </c:strCache>
            </c:strRef>
          </c:tx>
          <c:spPr>
            <a:ln w="19050" cap="rnd">
              <a:solidFill>
                <a:srgbClr val="EAAEC9"/>
              </a:solidFill>
              <a:round/>
            </a:ln>
            <a:effectLst>
              <a:outerShdw blurRad="57150" dist="19050" dir="5400000" algn="ctr" rotWithShape="0">
                <a:srgbClr val="000000">
                  <a:alpha val="63000"/>
                </a:srgbClr>
              </a:outerShdw>
            </a:effectLst>
          </c:spPr>
          <c:marker>
            <c:symbol val="circle"/>
            <c:size val="4"/>
            <c:spPr>
              <a:solidFill>
                <a:srgbClr val="EAAEC9"/>
              </a:solidFill>
              <a:ln w="9525">
                <a:noFill/>
                <a:round/>
              </a:ln>
              <a:effectLst>
                <a:outerShdw blurRad="57150" dist="19050" dir="5400000" algn="ctr" rotWithShape="0">
                  <a:srgbClr val="000000">
                    <a:alpha val="63000"/>
                  </a:srgbClr>
                </a:outerShdw>
              </a:effectLst>
            </c:spPr>
          </c:marker>
          <c:dPt>
            <c:idx val="1"/>
            <c:marker>
              <c:symbol val="circle"/>
              <c:size val="4"/>
              <c:spPr>
                <a:solidFill>
                  <a:srgbClr val="EAAEC9"/>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1-FDF0-4E84-B1B0-54F46B50826E}"/>
              </c:ext>
            </c:extLst>
          </c:dPt>
          <c:dPt>
            <c:idx val="2"/>
            <c:marker>
              <c:symbol val="circle"/>
              <c:size val="4"/>
              <c:spPr>
                <a:solidFill>
                  <a:srgbClr val="EAAEC9"/>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1-0810-4B65-9822-749710DB5B22}"/>
              </c:ext>
            </c:extLst>
          </c:dPt>
          <c:dPt>
            <c:idx val="3"/>
            <c:marker>
              <c:symbol val="circle"/>
              <c:size val="4"/>
              <c:spPr>
                <a:solidFill>
                  <a:srgbClr val="EAAEC9"/>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4-8188-4D54-A70A-EED1A3DF76DE}"/>
              </c:ext>
            </c:extLst>
          </c:dPt>
          <c:dPt>
            <c:idx val="4"/>
            <c:marker>
              <c:symbol val="circle"/>
              <c:size val="4"/>
              <c:spPr>
                <a:solidFill>
                  <a:srgbClr val="EAAEC9"/>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2-40B6-4797-ACB7-811A99FDEF00}"/>
              </c:ext>
            </c:extLst>
          </c:dPt>
          <c:dPt>
            <c:idx val="5"/>
            <c:marker>
              <c:symbol val="circle"/>
              <c:size val="4"/>
              <c:spPr>
                <a:solidFill>
                  <a:srgbClr val="EAAEC9"/>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5-BE21-446B-A255-2EF6F8B82DCB}"/>
              </c:ext>
            </c:extLst>
          </c:dPt>
          <c:dPt>
            <c:idx val="6"/>
            <c:marker>
              <c:symbol val="circle"/>
              <c:size val="4"/>
              <c:spPr>
                <a:solidFill>
                  <a:srgbClr val="EAAEC9"/>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A-1D34-4984-8AA6-97AB1D6D6D21}"/>
              </c:ext>
            </c:extLst>
          </c:dPt>
          <c:dPt>
            <c:idx val="7"/>
            <c:marker>
              <c:symbol val="circle"/>
              <c:size val="4"/>
              <c:spPr>
                <a:solidFill>
                  <a:srgbClr val="EAAEC9"/>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C-CAC0-4514-8723-5CC024023DC9}"/>
              </c:ext>
            </c:extLst>
          </c:dPt>
          <c:dPt>
            <c:idx val="8"/>
            <c:marker>
              <c:symbol val="circle"/>
              <c:size val="4"/>
              <c:spPr>
                <a:solidFill>
                  <a:srgbClr val="EAAEC9"/>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F-DED2-4D39-8E1E-98ADE4C2A6BB}"/>
              </c:ext>
            </c:extLst>
          </c:dPt>
          <c:dPt>
            <c:idx val="9"/>
            <c:marker>
              <c:symbol val="circle"/>
              <c:size val="4"/>
              <c:spPr>
                <a:solidFill>
                  <a:srgbClr val="EAAEC9"/>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8-FC00-42A5-A800-C0053E3ABBF0}"/>
              </c:ext>
            </c:extLst>
          </c:dPt>
          <c:dPt>
            <c:idx val="13"/>
            <c:marker>
              <c:symbol val="circle"/>
              <c:size val="4"/>
              <c:spPr>
                <a:solidFill>
                  <a:srgbClr val="EAAEC9"/>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A-FC00-42A5-A800-C0053E3ABBF0}"/>
              </c:ext>
            </c:extLst>
          </c:dPt>
          <c:dPt>
            <c:idx val="14"/>
            <c:marker>
              <c:symbol val="circle"/>
              <c:size val="4"/>
              <c:spPr>
                <a:solidFill>
                  <a:srgbClr val="EAAEC9"/>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C-FC00-42A5-A800-C0053E3ABBF0}"/>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'peads_0-4'!$H$6:$H$25</c:f>
              <c:multiLvlStrCache>
                <c:ptCount val="1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2024</c:v>
                  </c:pt>
                  <c:pt idx="12">
                    <c:v>2025</c:v>
                  </c:pt>
                </c:lvl>
              </c:multiLvlStrCache>
            </c:multiLvlStrRef>
          </c:cat>
          <c:val>
            <c:numRef>
              <c:f>'peads_0-4'!$I$6:$I$25</c:f>
              <c:numCache>
                <c:formatCode>General</c:formatCode>
                <c:ptCount val="17"/>
                <c:pt idx="0">
                  <c:v>#N/A</c:v>
                </c:pt>
                <c:pt idx="1">
                  <c:v>#N/A</c:v>
                </c:pt>
                <c:pt idx="2">
                  <c:v>0</c:v>
                </c:pt>
                <c:pt idx="3">
                  <c:v>0.33333333333333331</c:v>
                </c:pt>
                <c:pt idx="4">
                  <c:v>0</c:v>
                </c:pt>
                <c:pt idx="5">
                  <c:v>#N/A</c:v>
                </c:pt>
                <c:pt idx="6">
                  <c:v>#N/A</c:v>
                </c:pt>
                <c:pt idx="7">
                  <c:v>#N/A</c:v>
                </c:pt>
                <c:pt idx="8">
                  <c:v>#N/A</c:v>
                </c:pt>
                <c:pt idx="9">
                  <c:v>0.1111111111111111</c:v>
                </c:pt>
                <c:pt idx="10">
                  <c:v>#N/A</c:v>
                </c:pt>
                <c:pt idx="11">
                  <c:v>0</c:v>
                </c:pt>
                <c:pt idx="12">
                  <c:v>0.25</c:v>
                </c:pt>
                <c:pt idx="13">
                  <c:v>#N/A</c:v>
                </c:pt>
                <c:pt idx="14">
                  <c:v>0.33333333333333331</c:v>
                </c:pt>
                <c:pt idx="15">
                  <c:v>0</c:v>
                </c:pt>
                <c:pt idx="16">
                  <c:v>0</c:v>
                </c:pt>
              </c:numCache>
            </c:numRef>
          </c:val>
          <c:smooth val="1"/>
          <c:extLst>
            <c:ext xmlns:c16="http://schemas.microsoft.com/office/drawing/2014/chart" uri="{C3380CC4-5D6E-409C-BE32-E72D297353CC}">
              <c16:uniqueId val="{00000000-BE21-446B-A255-2EF6F8B82DCB}"/>
            </c:ext>
          </c:extLst>
        </c:ser>
        <c:ser>
          <c:idx val="1"/>
          <c:order val="1"/>
          <c:tx>
            <c:strRef>
              <c:f>'peads_0-4'!$J$5</c:f>
              <c:strCache>
                <c:ptCount val="1"/>
                <c:pt idx="0">
                  <c:v> CrAg+%</c:v>
                </c:pt>
              </c:strCache>
            </c:strRef>
          </c:tx>
          <c:spPr>
            <a:ln w="19050" cap="rnd">
              <a:solidFill>
                <a:srgbClr val="9A808B"/>
              </a:solidFill>
              <a:round/>
            </a:ln>
            <a:effectLst>
              <a:outerShdw blurRad="57150" dist="19050" dir="5400000" algn="ctr" rotWithShape="0">
                <a:srgbClr val="000000">
                  <a:alpha val="63000"/>
                </a:srgbClr>
              </a:outerShdw>
            </a:effectLst>
          </c:spPr>
          <c:marker>
            <c:symbol val="circle"/>
            <c:size val="4"/>
            <c:spPr>
              <a:solidFill>
                <a:srgbClr val="9A808B"/>
              </a:solidFill>
              <a:ln w="9525">
                <a:noFill/>
                <a:round/>
              </a:ln>
              <a:effectLst>
                <a:outerShdw blurRad="57150" dist="19050" dir="5400000" algn="ctr" rotWithShape="0">
                  <a:srgbClr val="000000">
                    <a:alpha val="63000"/>
                  </a:srgbClr>
                </a:outerShdw>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'peads_0-4'!$H$6:$H$25</c:f>
              <c:multiLvlStrCache>
                <c:ptCount val="1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2024</c:v>
                  </c:pt>
                  <c:pt idx="12">
                    <c:v>2025</c:v>
                  </c:pt>
                </c:lvl>
              </c:multiLvlStrCache>
            </c:multiLvlStrRef>
          </c:cat>
          <c:val>
            <c:numRef>
              <c:f>'peads_0-4'!$J$6:$J$25</c:f>
              <c:numCache>
                <c:formatCode>General</c:formatCode>
                <c:ptCount val="17"/>
                <c:pt idx="0">
                  <c:v>0</c:v>
                </c:pt>
                <c:pt idx="1">
                  <c:v>#N/A</c:v>
                </c:pt>
                <c:pt idx="2">
                  <c:v>0</c:v>
                </c:pt>
                <c:pt idx="3">
                  <c:v>#N/A</c:v>
                </c:pt>
                <c:pt idx="4">
                  <c:v>#N/A</c:v>
                </c:pt>
                <c:pt idx="5">
                  <c:v>0</c:v>
                </c:pt>
                <c:pt idx="6">
                  <c:v>0</c:v>
                </c:pt>
                <c:pt idx="7">
                  <c:v>0</c:v>
                </c:pt>
                <c:pt idx="8">
                  <c:v>0</c:v>
                </c:pt>
                <c:pt idx="9">
                  <c:v>0</c:v>
                </c:pt>
                <c:pt idx="10">
                  <c:v>#N/A</c:v>
                </c:pt>
                <c:pt idx="11">
                  <c:v>0</c:v>
                </c:pt>
                <c:pt idx="12">
                  <c:v>0</c:v>
                </c:pt>
                <c:pt idx="13">
                  <c:v>#N/A</c:v>
                </c:pt>
                <c:pt idx="14">
                  <c:v>0</c:v>
                </c:pt>
                <c:pt idx="15">
                  <c:v>0</c:v>
                </c:pt>
                <c:pt idx="16">
                  <c:v>0.14285714285714285</c:v>
                </c:pt>
              </c:numCache>
            </c:numRef>
          </c:val>
          <c:smooth val="1"/>
          <c:extLst>
            <c:ext xmlns:c16="http://schemas.microsoft.com/office/drawing/2014/chart" uri="{C3380CC4-5D6E-409C-BE32-E72D297353CC}">
              <c16:uniqueId val="{00000002-BE21-446B-A255-2EF6F8B82DCB}"/>
            </c:ext>
          </c:extLst>
        </c:ser>
        <c:dLbls>
          <c:dLblPos val="t"/>
          <c:showLegendKey val="0"/>
          <c:showVal val="1"/>
          <c:showCatName val="0"/>
          <c:showSerName val="0"/>
          <c:showPercent val="0"/>
          <c:showBubbleSize val="0"/>
        </c:dLbls>
        <c:marker val="1"/>
        <c:smooth val="0"/>
        <c:axId val="1061181040"/>
        <c:axId val="1061182480"/>
      </c:lineChart>
      <c:catAx>
        <c:axId val="1061181040"/>
        <c:scaling>
          <c:orientation val="minMax"/>
        </c:scaling>
        <c:delete val="0"/>
        <c:axPos val="b"/>
        <c:title>
          <c:tx>
            <c:rich>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r>
                  <a:rPr lang="en-GB" b="0" u="none"/>
                  <a:t>Period</a:t>
                </a:r>
              </a:p>
            </c:rich>
          </c:tx>
          <c:layout>
            <c:manualLayout>
              <c:xMode val="edge"/>
              <c:yMode val="edge"/>
              <c:x val="0.49261510873039355"/>
              <c:y val="0.90849850592513581"/>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2"/>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61182480"/>
        <c:crosses val="autoZero"/>
        <c:auto val="1"/>
        <c:lblAlgn val="ctr"/>
        <c:lblOffset val="100"/>
        <c:noMultiLvlLbl val="0"/>
      </c:catAx>
      <c:valAx>
        <c:axId val="1061182480"/>
        <c:scaling>
          <c:orientation val="minMax"/>
          <c:max val="1"/>
          <c:min val="0"/>
        </c:scaling>
        <c:delete val="0"/>
        <c:axPos val="l"/>
        <c:title>
          <c:tx>
            <c:rich>
              <a:bodyPr rot="-54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r>
                  <a:rPr lang="en-GB"/>
                  <a:t>proporton of ROC with AHD</a:t>
                </a:r>
              </a:p>
            </c:rich>
          </c:tx>
          <c:layout>
            <c:manualLayout>
              <c:xMode val="edge"/>
              <c:yMode val="edge"/>
              <c:x val="1.4477543687895786E-2"/>
              <c:y val="0.34694706527595781"/>
            </c:manualLayout>
          </c:layout>
          <c:overlay val="0"/>
          <c:spPr>
            <a:noFill/>
            <a:ln w="6350">
              <a:noFill/>
            </a:ln>
            <a:effectLst/>
          </c:spPr>
          <c:txPr>
            <a:bodyPr rot="-54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itle>
        <c:numFmt formatCode="0%" sourceLinked="0"/>
        <c:majorTickMark val="none"/>
        <c:minorTickMark val="none"/>
        <c:tickLblPos val="nextTo"/>
        <c:spPr>
          <a:noFill/>
          <a:ln>
            <a:solidFill>
              <a:schemeClr val="tx2"/>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61181040"/>
        <c:crosses val="autoZero"/>
        <c:crossBetween val="between"/>
      </c:valAx>
      <c:spPr>
        <a:noFill/>
        <a:ln>
          <a:noFill/>
        </a:ln>
        <a:effectLst/>
      </c:spPr>
    </c:plotArea>
    <c:legend>
      <c:legendPos val="r"/>
      <c:layout>
        <c:manualLayout>
          <c:xMode val="edge"/>
          <c:yMode val="edge"/>
          <c:x val="0.24486235454998156"/>
          <c:y val="0.94222316343693602"/>
          <c:w val="0.7041295086564634"/>
          <c:h val="5.3198252883228013E-2"/>
        </c:manualLayout>
      </c:layout>
      <c:overlay val="0"/>
      <c:spPr>
        <a:noFill/>
        <a:ln w="6350">
          <a:solidFill>
            <a:schemeClr val="accent5">
              <a:lumMod val="60000"/>
              <a:lumOff val="40000"/>
            </a:schemeClr>
          </a:solid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lumMod val="60000"/>
          <a:lumOff val="40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[AHD_Reporting_Form.xlsx]peads-5-14!PivotTable1</c:name>
    <c:fmtId val="21"/>
  </c:pivotSource>
  <c:chart>
    <c:title>
      <c:tx>
        <c:rich>
          <a:bodyPr rot="0" spcFirstLastPara="1" vertOverflow="ellipsis" vert="horz" wrap="square" anchor="ctr" anchorCtr="1"/>
          <a:lstStyle/>
          <a:p>
            <a:pPr>
              <a:defRPr sz="1400" b="1" i="0" u="sng" strike="noStrike" kern="1200" baseline="0">
                <a:solidFill>
                  <a:sysClr val="windowText" lastClr="000000"/>
                </a:solidFill>
                <a:latin typeface="+mn-lt"/>
                <a:ea typeface="+mn-ea"/>
                <a:cs typeface="+mn-cs"/>
              </a:defRPr>
            </a:pPr>
            <a:r>
              <a:rPr lang="en-GB" sz="1400" u="sng"/>
              <a:t>AHD screening among children 5-14 years</a:t>
            </a:r>
          </a:p>
        </c:rich>
      </c:tx>
      <c:layout>
        <c:manualLayout>
          <c:xMode val="edge"/>
          <c:yMode val="edge"/>
          <c:x val="0.22532477246337926"/>
          <c:y val="1.4383638635607139E-2"/>
        </c:manualLayout>
      </c:layout>
      <c:overlay val="0"/>
      <c:spPr>
        <a:noFill/>
        <a:ln>
          <a:noFill/>
        </a:ln>
        <a:effectLst/>
      </c:spPr>
      <c:txPr>
        <a:bodyPr rot="0" spcFirstLastPara="1" vertOverflow="ellipsis" vert="horz" wrap="square" anchor="ctr" anchorCtr="1"/>
        <a:lstStyle/>
        <a:p>
          <a:pPr>
            <a:defRPr sz="1400" b="1" i="0" u="sng" strike="noStrike" kern="1200" baseline="0">
              <a:solidFill>
                <a:sysClr val="windowText" lastClr="000000"/>
              </a:solidFill>
              <a:latin typeface="+mn-lt"/>
              <a:ea typeface="+mn-ea"/>
              <a:cs typeface="+mn-cs"/>
            </a:defRPr>
          </a:pPr>
          <a:endParaRPr lang="en-US"/>
        </a:p>
      </c:txPr>
    </c:title>
    <c:autoTitleDeleted val="0"/>
    <c:pivotFmts>
      <c:pivotFmt>
        <c:idx val="0"/>
        <c:spPr>
          <a:solidFill>
            <a:schemeClr val="accent2"/>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alpha val="88000"/>
            </a:scheme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alpha val="84000"/>
            </a:srgb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D80A0359-4340-464C-97BF-50043DB18A22}" type="CELLRANGE">
                  <a:rPr lang="en-US"/>
                  <a:pPr>
                    <a:defRPr sz="900" b="0" i="0" u="none" strike="noStrike" kern="1200" baseline="0">
                      <a:solidFill>
                        <a:sysClr val="windowText" lastClr="000000"/>
                      </a:solidFill>
                      <a:latin typeface="+mn-lt"/>
                      <a:ea typeface="+mn-ea"/>
                      <a:cs typeface="+mn-cs"/>
                    </a:defRPr>
                  </a:pPr>
                  <a:t>[CELLRANGE]</a:t>
                </a:fld>
                <a:r>
                  <a:rPr lang="en-US" baseline="0"/>
                  <a:t>, </a:t>
                </a:r>
                <a:fld id="{619AE429-5DC9-4CD0-95CD-5E4572E53792}" type="VALUE">
                  <a:rPr lang="en-US" baseline="0"/>
                  <a:pPr>
                    <a:defRPr sz="900" b="0" i="0" u="none" strike="noStrike" kern="1200" baseline="0">
                      <a:solidFill>
                        <a:sysClr val="windowText" lastClr="000000"/>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pivotFmt>
      <c:pivotFmt>
        <c:idx val="9"/>
        <c:dLbl>
          <c:idx val="0"/>
          <c:tx>
            <c:rich>
              <a:bodyPr/>
              <a:lstStyle/>
              <a:p>
                <a:fld id="{38B64FBF-4335-4EAD-B861-26F6E525AC74}" type="CELLRANGE">
                  <a:rPr lang="en-US"/>
                  <a:pPr/>
                  <a:t>[CELLRANGE]</a:t>
                </a:fld>
                <a:r>
                  <a:rPr lang="en-US" baseline="0"/>
                  <a:t>, </a:t>
                </a:r>
                <a:fld id="{D6C7321C-6E0F-4D2E-8B46-F65C3D7A4003}"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dLbl>
          <c:idx val="0"/>
          <c:tx>
            <c:rich>
              <a:bodyPr/>
              <a:lstStyle/>
              <a:p>
                <a:fld id="{8C44B063-F912-4FC5-A6C3-78054BAA1475}" type="CELLRANGE">
                  <a:rPr lang="en-US"/>
                  <a:pPr/>
                  <a:t>[CELLRANGE]</a:t>
                </a:fld>
                <a:r>
                  <a:rPr lang="en-US" baseline="0"/>
                  <a:t>, </a:t>
                </a:r>
                <a:fld id="{70B358C0-DB55-4F7E-A4CF-8DEB0B8DBBA3}"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dLbl>
          <c:idx val="0"/>
          <c:tx>
            <c:rich>
              <a:bodyPr/>
              <a:lstStyle/>
              <a:p>
                <a:fld id="{F1E15D6C-0C92-4F9E-8CBC-D5B2D9BC2075}" type="CELLRANGE">
                  <a:rPr lang="en-US"/>
                  <a:pPr/>
                  <a:t>[CELLRANGE]</a:t>
                </a:fld>
                <a:r>
                  <a:rPr lang="en-US" baseline="0"/>
                  <a:t>, </a:t>
                </a:r>
                <a:fld id="{CD39BF99-5182-4B7E-AEC5-5FB76F9FE533}"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2"/>
        <c:dLbl>
          <c:idx val="0"/>
          <c:tx>
            <c:rich>
              <a:bodyPr/>
              <a:lstStyle/>
              <a:p>
                <a:fld id="{AADAE8A4-138F-410E-9AB9-60EEC0EAE95C}" type="CELLRANGE">
                  <a:rPr lang="en-US"/>
                  <a:pPr/>
                  <a:t>[CELLRANGE]</a:t>
                </a:fld>
                <a:r>
                  <a:rPr lang="en-US" baseline="0"/>
                  <a:t>, </a:t>
                </a:r>
                <a:fld id="{200D7C23-70DD-4AC4-951B-7904139BAA90}"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3"/>
        <c:dLbl>
          <c:idx val="0"/>
          <c:tx>
            <c:rich>
              <a:bodyPr/>
              <a:lstStyle/>
              <a:p>
                <a:fld id="{EBB42741-FBB1-42C9-8CA9-7DC956E899D1}" type="CELLRANGE">
                  <a:rPr lang="en-US"/>
                  <a:pPr/>
                  <a:t>[CELLRANGE]</a:t>
                </a:fld>
                <a:r>
                  <a:rPr lang="en-US" baseline="0"/>
                  <a:t>, </a:t>
                </a:r>
                <a:fld id="{300B405C-545E-4C3B-9B9C-A09D74648588}"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4"/>
        <c:dLbl>
          <c:idx val="0"/>
          <c:tx>
            <c:rich>
              <a:bodyPr/>
              <a:lstStyle/>
              <a:p>
                <a:fld id="{5ACDCCC9-477B-4D80-84D3-265AA1551F99}" type="CELLRANGE">
                  <a:rPr lang="en-US"/>
                  <a:pPr/>
                  <a:t>[CELLRANGE]</a:t>
                </a:fld>
                <a:r>
                  <a:rPr lang="en-US" baseline="0"/>
                  <a:t>, </a:t>
                </a:r>
                <a:fld id="{EBF96CAC-98C3-4753-841D-F0B5B77629A4}"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
        <c:dLbl>
          <c:idx val="0"/>
          <c:tx>
            <c:rich>
              <a:bodyPr/>
              <a:lstStyle/>
              <a:p>
                <a:fld id="{85641F05-FEC1-4650-8FDD-8843A09484ED}" type="CELLRANGE">
                  <a:rPr lang="en-US"/>
                  <a:pPr/>
                  <a:t>[CELLRANGE]</a:t>
                </a:fld>
                <a:r>
                  <a:rPr lang="en-US" baseline="0"/>
                  <a:t>, </a:t>
                </a:r>
                <a:fld id="{A601C9D9-40B0-4DB3-A221-74FC1FEA479F}"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7"/>
        <c:dLbl>
          <c:idx val="0"/>
          <c:tx>
            <c:rich>
              <a:bodyPr/>
              <a:lstStyle/>
              <a:p>
                <a:fld id="{FF4EBAB4-9208-426C-A2C0-06A9B7A20937}" type="CELLRANGE">
                  <a:rPr lang="en-US"/>
                  <a:pPr/>
                  <a:t>[CELLRANGE]</a:t>
                </a:fld>
                <a:r>
                  <a:rPr lang="en-US" baseline="0"/>
                  <a:t>, </a:t>
                </a:r>
                <a:fld id="{DF0E314E-1845-4B08-9E93-FA96B8217187}"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8"/>
        <c:dLbl>
          <c:idx val="0"/>
          <c:tx>
            <c:rich>
              <a:bodyPr/>
              <a:lstStyle/>
              <a:p>
                <a:fld id="{DD926363-9992-4DFE-80C3-994ABB41FDA7}" type="CELLRANGE">
                  <a:rPr lang="en-US"/>
                  <a:pPr/>
                  <a:t>[CELLRANGE]</a:t>
                </a:fld>
                <a:r>
                  <a:rPr lang="en-US" baseline="0"/>
                  <a:t>, </a:t>
                </a:r>
                <a:fld id="{C6BB680B-7623-4EA3-B83B-2011C5679ED2}"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9"/>
        <c:dLbl>
          <c:idx val="0"/>
          <c:tx>
            <c:rich>
              <a:bodyPr/>
              <a:lstStyle/>
              <a:p>
                <a:fld id="{50D0BCCD-DA80-4AEC-ADFD-7478183D354A}" type="CELLRANGE">
                  <a:rPr lang="en-US"/>
                  <a:pPr/>
                  <a:t>[CELLRANGE]</a:t>
                </a:fld>
                <a:r>
                  <a:rPr lang="en-US" baseline="0"/>
                  <a:t>, </a:t>
                </a:r>
                <a:fld id="{EE890978-0538-4AD0-BE1B-680453DC062D}"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0"/>
        <c:dLbl>
          <c:idx val="0"/>
          <c:tx>
            <c:rich>
              <a:bodyPr/>
              <a:lstStyle/>
              <a:p>
                <a:fld id="{7D984C0A-AF2C-4FAD-9538-9CE56ED5F567}" type="CELLRANGE">
                  <a:rPr lang="en-US"/>
                  <a:pPr/>
                  <a:t>[CELLRANGE]</a:t>
                </a:fld>
                <a:r>
                  <a:rPr lang="en-US" baseline="0"/>
                  <a:t>, </a:t>
                </a:r>
                <a:fld id="{9F5C0507-D70F-477A-95F2-C63830573DD7}"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1"/>
        <c:dLbl>
          <c:idx val="0"/>
          <c:tx>
            <c:rich>
              <a:bodyPr/>
              <a:lstStyle/>
              <a:p>
                <a:fld id="{CF4FB6D9-9767-42D1-B639-24FD87FBFE31}" type="CELLRANGE">
                  <a:rPr lang="en-US"/>
                  <a:pPr/>
                  <a:t>[CELLRANGE]</a:t>
                </a:fld>
                <a:r>
                  <a:rPr lang="en-US" baseline="0"/>
                  <a:t>, </a:t>
                </a:r>
                <a:fld id="{91BB9253-F401-4063-A925-95408FA77268}"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2"/>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4731A5D9-539A-4F7D-A744-CF24B4E851B3}" type="CELLRANGE">
                  <a:rPr lang="en-US"/>
                  <a:pPr>
                    <a:defRPr sz="900" b="0" i="0" u="none" strike="noStrike" kern="1200" baseline="0">
                      <a:solidFill>
                        <a:sysClr val="windowText" lastClr="000000"/>
                      </a:solidFill>
                      <a:latin typeface="+mn-lt"/>
                      <a:ea typeface="+mn-ea"/>
                      <a:cs typeface="+mn-cs"/>
                    </a:defRPr>
                  </a:pPr>
                  <a:t>[CELLRANGE]</a:t>
                </a:fld>
                <a:r>
                  <a:rPr lang="en-US" baseline="0"/>
                  <a:t>, </a:t>
                </a:r>
                <a:fld id="{B03745B5-70AB-4486-8B6A-5E28FBF5B9A6}" type="VALUE">
                  <a:rPr lang="en-US" baseline="0"/>
                  <a:pPr>
                    <a:defRPr sz="900" b="0" i="0" u="none" strike="noStrike" kern="1200" baseline="0">
                      <a:solidFill>
                        <a:sysClr val="windowText" lastClr="000000"/>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3"/>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C9006498-42A4-45CE-BCE8-EC546067215F}" type="CELLRANGE">
                  <a:rPr lang="en-US"/>
                  <a:pPr>
                    <a:defRPr sz="900" b="0" i="0" u="none" strike="noStrike" kern="1200" baseline="0">
                      <a:solidFill>
                        <a:sysClr val="windowText" lastClr="000000"/>
                      </a:solidFill>
                      <a:latin typeface="+mn-lt"/>
                      <a:ea typeface="+mn-ea"/>
                      <a:cs typeface="+mn-cs"/>
                    </a:defRPr>
                  </a:pPr>
                  <a:t>[CELLRANGE]</a:t>
                </a:fld>
                <a:r>
                  <a:rPr lang="en-US" baseline="0"/>
                  <a:t>, </a:t>
                </a:r>
                <a:fld id="{13415703-C5CA-4787-8825-FCBD5C55B0DC}" type="VALUE">
                  <a:rPr lang="en-US" baseline="0"/>
                  <a:pPr>
                    <a:defRPr sz="900" b="0" i="0" u="none" strike="noStrike" kern="1200" baseline="0">
                      <a:solidFill>
                        <a:sysClr val="windowText" lastClr="000000"/>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4"/>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E39C17C5-A6DE-465E-BA2E-A0457662CE4F}" type="CELLRANGE">
                  <a:rPr lang="en-US"/>
                  <a:pPr>
                    <a:defRPr sz="900" b="0" i="0" u="none" strike="noStrike" kern="1200" baseline="0">
                      <a:solidFill>
                        <a:sysClr val="windowText" lastClr="000000"/>
                      </a:solidFill>
                      <a:latin typeface="+mn-lt"/>
                      <a:ea typeface="+mn-ea"/>
                      <a:cs typeface="+mn-cs"/>
                    </a:defRPr>
                  </a:pPr>
                  <a:t>[CELLRANGE]</a:t>
                </a:fld>
                <a:r>
                  <a:rPr lang="en-US" baseline="0"/>
                  <a:t>, </a:t>
                </a:r>
                <a:fld id="{D26FCEF1-5A34-41A0-B6CD-F3663AD6D4C1}" type="VALUE">
                  <a:rPr lang="en-US" baseline="0"/>
                  <a:pPr>
                    <a:defRPr sz="900" b="0" i="0" u="none" strike="noStrike" kern="1200" baseline="0">
                      <a:solidFill>
                        <a:sysClr val="windowText" lastClr="000000"/>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5"/>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183C6365-A22B-4AE8-B76B-F63703475BFE}" type="CELLRANGE">
                  <a:rPr lang="en-US"/>
                  <a:pPr>
                    <a:defRPr sz="900" b="0" i="0" u="none" strike="noStrike" kern="1200" baseline="0">
                      <a:solidFill>
                        <a:sysClr val="windowText" lastClr="000000"/>
                      </a:solidFill>
                      <a:latin typeface="+mn-lt"/>
                      <a:ea typeface="+mn-ea"/>
                      <a:cs typeface="+mn-cs"/>
                    </a:defRPr>
                  </a:pPr>
                  <a:t>[CELLRANGE]</a:t>
                </a:fld>
                <a:r>
                  <a:rPr lang="en-US" baseline="0"/>
                  <a:t>, </a:t>
                </a:r>
                <a:fld id="{2F81CAD8-CC36-4E7F-B6DF-B7DA1E4CEDA1}" type="VALUE">
                  <a:rPr lang="en-US" baseline="0"/>
                  <a:pPr>
                    <a:defRPr sz="900" b="0" i="0" u="none" strike="noStrike" kern="1200" baseline="0">
                      <a:solidFill>
                        <a:sysClr val="windowText" lastClr="000000"/>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6"/>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847F4BA0-4AA9-499D-BA2A-3AAAC0496E86}" type="CELLRANGE">
                  <a:rPr lang="en-US"/>
                  <a:pPr>
                    <a:defRPr sz="900" b="0" i="0" u="none" strike="noStrike" kern="1200" baseline="0">
                      <a:solidFill>
                        <a:sysClr val="windowText" lastClr="000000"/>
                      </a:solidFill>
                      <a:latin typeface="+mn-lt"/>
                      <a:ea typeface="+mn-ea"/>
                      <a:cs typeface="+mn-cs"/>
                    </a:defRPr>
                  </a:pPr>
                  <a:t>[CELLRANGE]</a:t>
                </a:fld>
                <a:r>
                  <a:rPr lang="en-US" baseline="0"/>
                  <a:t>, </a:t>
                </a:r>
                <a:fld id="{3D14E329-43B4-454C-B933-1CE45CA6E605}" type="VALUE">
                  <a:rPr lang="en-US" baseline="0"/>
                  <a:pPr>
                    <a:defRPr sz="900" b="0" i="0" u="none" strike="noStrike" kern="1200" baseline="0">
                      <a:solidFill>
                        <a:sysClr val="windowText" lastClr="000000"/>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7"/>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5589FF5D-4B2A-47E1-8019-27F023C54ACE}" type="CELLRANGE">
                  <a:rPr lang="en-US"/>
                  <a:pPr>
                    <a:defRPr sz="900" b="0" i="0" u="none" strike="noStrike" kern="1200" baseline="0">
                      <a:solidFill>
                        <a:sysClr val="windowText" lastClr="000000"/>
                      </a:solidFill>
                      <a:latin typeface="+mn-lt"/>
                      <a:ea typeface="+mn-ea"/>
                      <a:cs typeface="+mn-cs"/>
                    </a:defRPr>
                  </a:pPr>
                  <a:t>[CELLRANGE]</a:t>
                </a:fld>
                <a:r>
                  <a:rPr lang="en-US" baseline="0"/>
                  <a:t>, </a:t>
                </a:r>
                <a:fld id="{0AFB73F6-2AF1-48C0-8CBA-C2B6AFAFD8A1}" type="VALUE">
                  <a:rPr lang="en-US" baseline="0"/>
                  <a:pPr>
                    <a:defRPr sz="900" b="0" i="0" u="none" strike="noStrike" kern="1200" baseline="0">
                      <a:solidFill>
                        <a:sysClr val="windowText" lastClr="000000"/>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8"/>
        <c:dLbl>
          <c:idx val="0"/>
          <c:layout>
            <c:manualLayout>
              <c:x val="-1.3084725270352189E-2"/>
              <c:y val="-3.711340206185567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9"/>
        <c:dLbl>
          <c:idx val="0"/>
          <c:layout>
            <c:manualLayout>
              <c:x val="-2.2894524616056434E-2"/>
              <c:y val="-2.472187886279359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0"/>
        <c:dLbl>
          <c:idx val="0"/>
          <c:layout>
            <c:manualLayout>
              <c:x val="-1.7988555055472866E-2"/>
              <c:y val="-2.060156571899464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1"/>
        <c:dLbl>
          <c:idx val="0"/>
          <c:layout>
            <c:manualLayout>
              <c:x val="-1.3082585494889358E-2"/>
              <c:y val="-2.88421920065925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2"/>
        <c:dLbl>
          <c:idx val="0"/>
          <c:layout>
            <c:manualLayout>
              <c:x val="-1.6353231868611758E-2"/>
              <c:y val="-3.2962505150391445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3"/>
        <c:dLbl>
          <c:idx val="0"/>
          <c:layout>
            <c:manualLayout>
              <c:x val="-2.1259201429195206E-2"/>
              <c:y val="-2.472187886279359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1.9623878242334036E-2"/>
              <c:y val="-1.8541409147095178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EF9B2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rgbClr val="E6D800">
              <a:alpha val="93000"/>
            </a:srgbClr>
          </a:solidFill>
          <a:ln>
            <a:noFill/>
          </a:ln>
          <a:effectLst>
            <a:outerShdw blurRad="57150" dist="19050" dir="5400000" algn="ctr" rotWithShape="0">
              <a:srgbClr val="000000">
                <a:alpha val="63000"/>
              </a:srgbClr>
            </a:outerShdw>
          </a:effectLst>
        </c:spPr>
        <c:marker>
          <c:symbol val="none"/>
        </c:marker>
        <c:dLbl>
          <c:idx val="0"/>
          <c:spPr>
            <a:solidFill>
              <a:srgbClr val="FFFF00"/>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rgbClr val="1A53FF">
              <a:alpha val="87451"/>
            </a:srgbClr>
          </a:solidFill>
          <a:ln>
            <a:noFill/>
          </a:ln>
          <a:effectLst>
            <a:outerShdw blurRad="57150" dist="19050" dir="5400000" algn="ctr" rotWithShape="0">
              <a:srgbClr val="000000">
                <a:alpha val="63000"/>
              </a:srgbClr>
            </a:outerShdw>
          </a:effectLst>
        </c:spPr>
        <c:marker>
          <c:symbol val="none"/>
        </c:marker>
        <c:dLbl>
          <c:idx val="0"/>
          <c:spPr>
            <a:solidFill>
              <a:schemeClr val="accent1">
                <a:lumMod val="60000"/>
                <a:lumOff val="4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5875" cap="rnd">
            <a:solidFill>
              <a:srgbClr val="99600B"/>
            </a:solidFill>
            <a:round/>
          </a:ln>
          <a:effectLst>
            <a:outerShdw blurRad="57150" dist="19050" dir="5400000" algn="ctr" rotWithShape="0">
              <a:srgbClr val="000000">
                <a:alpha val="63000"/>
              </a:srgbClr>
            </a:outerShdw>
          </a:effectLst>
        </c:spPr>
        <c:marker>
          <c:symbol val="circle"/>
          <c:size val="6"/>
          <c:spPr>
            <a:solidFill>
              <a:srgbClr val="99600B"/>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1A53FF">
              <a:alpha val="95000"/>
            </a:srgbClr>
          </a:solidFill>
          <a:ln>
            <a:noFill/>
          </a:ln>
          <a:effectLst>
            <a:outerShdw blurRad="57150" dist="19050" dir="5400000" algn="ctr" rotWithShape="0">
              <a:srgbClr val="000000">
                <a:alpha val="63000"/>
              </a:srgbClr>
            </a:outerShdw>
          </a:effectLst>
        </c:spPr>
      </c:pivotFmt>
      <c:pivotFmt>
        <c:idx val="40"/>
        <c:spPr>
          <a:solidFill>
            <a:srgbClr val="449BCC"/>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rgbClr val="AF1FC7">
              <a:alpha val="92941"/>
            </a:srgbClr>
          </a:solidFill>
          <a:ln>
            <a:noFill/>
          </a:ln>
          <a:effectLst>
            <a:outerShdw blurRad="57150" dist="19050" dir="5400000" algn="ctr" rotWithShape="0">
              <a:srgbClr val="000000">
                <a:alpha val="63000"/>
              </a:srgbClr>
            </a:outerShdw>
          </a:effectLst>
        </c:spPr>
        <c:marker>
          <c:symbol val="none"/>
        </c:marker>
        <c:dLbl>
          <c:idx val="0"/>
          <c:spPr>
            <a:solidFill>
              <a:srgbClr val="EAAEC9"/>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rgbClr val="6CAEA5">
              <a:alpha val="87451"/>
            </a:srgbClr>
          </a:solidFill>
          <a:ln>
            <a:noFill/>
          </a:ln>
          <a:effectLst>
            <a:outerShdw blurRad="57150" dist="19050" dir="5400000" algn="ctr" rotWithShape="0">
              <a:srgbClr val="000000">
                <a:alpha val="63000"/>
              </a:srgbClr>
            </a:outerShdw>
          </a:effectLst>
        </c:spPr>
        <c:marker>
          <c:symbol val="none"/>
        </c:marker>
        <c:dLbl>
          <c:idx val="0"/>
          <c:spPr>
            <a:solidFill>
              <a:schemeClr val="accent1">
                <a:lumMod val="40000"/>
                <a:lumOff val="6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5875" cap="rnd">
            <a:solidFill>
              <a:srgbClr val="449BCC"/>
            </a:solidFill>
            <a:round/>
          </a:ln>
          <a:effectLst>
            <a:outerShdw blurRad="57150" dist="19050" dir="5400000" algn="ctr" rotWithShape="0">
              <a:srgbClr val="000000">
                <a:alpha val="63000"/>
              </a:srgbClr>
            </a:outerShdw>
          </a:effectLst>
        </c:spPr>
        <c:marker>
          <c:symbol val="circle"/>
          <c:size val="6"/>
          <c:spPr>
            <a:solidFill>
              <a:srgbClr val="449BCC"/>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92957B"/>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CAD62A">
              <a:alpha val="92549"/>
            </a:srgbClr>
          </a:solidFill>
          <a:ln>
            <a:noFill/>
          </a:ln>
          <a:effectLst>
            <a:outerShdw blurRad="57150" dist="19050" dir="5400000" algn="ctr" rotWithShape="0">
              <a:srgbClr val="000000">
                <a:alpha val="63000"/>
              </a:srgbClr>
            </a:outerShdw>
          </a:effectLst>
        </c:spPr>
        <c:marker>
          <c:symbol val="none"/>
        </c:marker>
        <c:dLbl>
          <c:idx val="0"/>
          <c:spPr>
            <a:solidFill>
              <a:srgbClr val="FFFF00"/>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406C5C">
              <a:alpha val="87451"/>
            </a:srgbClr>
          </a:solidFill>
          <a:ln>
            <a:noFill/>
          </a:ln>
          <a:effectLst>
            <a:outerShdw blurRad="57150" dist="19050" dir="5400000" algn="ctr" rotWithShape="0">
              <a:srgbClr val="000000">
                <a:alpha val="63000"/>
              </a:srgbClr>
            </a:outerShdw>
          </a:effectLst>
        </c:spPr>
        <c:marker>
          <c:symbol val="none"/>
        </c:marker>
        <c:dLbl>
          <c:idx val="0"/>
          <c:spPr>
            <a:solidFill>
              <a:schemeClr val="accent6">
                <a:lumMod val="40000"/>
                <a:lumOff val="6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5875" cap="rnd">
            <a:solidFill>
              <a:srgbClr val="5B5D4B"/>
            </a:solidFill>
            <a:round/>
          </a:ln>
          <a:effectLst>
            <a:outerShdw blurRad="57150" dist="19050" dir="5400000" algn="ctr" rotWithShape="0">
              <a:srgbClr val="000000">
                <a:alpha val="63000"/>
              </a:srgbClr>
            </a:outerShdw>
          </a:effectLst>
        </c:spPr>
        <c:marker>
          <c:symbol val="circle"/>
          <c:size val="6"/>
          <c:spPr>
            <a:solidFill>
              <a:srgbClr val="515343"/>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92957B"/>
          </a:solidFill>
          <a:ln>
            <a:noFill/>
          </a:ln>
          <a:effectLst>
            <a:outerShdw blurRad="57150" dist="19050" dir="5400000" algn="ctr" rotWithShape="0">
              <a:srgbClr val="000000">
                <a:alpha val="63000"/>
              </a:srgbClr>
            </a:outerShdw>
          </a:effectLst>
        </c:spPr>
      </c:pivotFmt>
      <c:pivotFmt>
        <c:idx val="49"/>
        <c:spPr>
          <a:solidFill>
            <a:srgbClr val="9869A7"/>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rgbClr val="FEBAF6">
              <a:alpha val="92157"/>
            </a:srgbClr>
          </a:solidFill>
          <a:ln>
            <a:noFill/>
          </a:ln>
          <a:effectLst>
            <a:outerShdw blurRad="57150" dist="19050" dir="5400000" algn="ctr" rotWithShape="0">
              <a:srgbClr val="000000">
                <a:alpha val="63000"/>
              </a:srgbClr>
            </a:outerShdw>
          </a:effectLst>
        </c:spPr>
        <c:marker>
          <c:symbol val="none"/>
        </c:marker>
        <c:dLbl>
          <c:idx val="0"/>
          <c:spPr>
            <a:solidFill>
              <a:srgbClr val="D9A0E4"/>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B06A74">
              <a:alpha val="87451"/>
            </a:srgbClr>
          </a:solidFill>
          <a:ln>
            <a:noFill/>
          </a:ln>
          <a:effectLst>
            <a:outerShdw blurRad="57150" dist="19050" dir="5400000" algn="ctr" rotWithShape="0">
              <a:srgbClr val="000000">
                <a:alpha val="63000"/>
              </a:srgbClr>
            </a:outerShdw>
          </a:effectLst>
        </c:spPr>
        <c:marker>
          <c:symbol val="none"/>
        </c:marker>
        <c:dLbl>
          <c:idx val="0"/>
          <c:spPr>
            <a:solidFill>
              <a:schemeClr val="accent2">
                <a:lumMod val="40000"/>
                <a:lumOff val="6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2"/>
        <c:spPr>
          <a:ln w="15875" cap="rnd">
            <a:solidFill>
              <a:srgbClr val="62406C"/>
            </a:solidFill>
            <a:round/>
          </a:ln>
          <a:effectLst>
            <a:outerShdw blurRad="57150" dist="19050" dir="5400000" algn="ctr" rotWithShape="0">
              <a:srgbClr val="000000">
                <a:alpha val="63000"/>
              </a:srgbClr>
            </a:outerShdw>
          </a:effectLst>
        </c:spPr>
        <c:marker>
          <c:symbol val="circle"/>
          <c:size val="6"/>
          <c:spPr>
            <a:solidFill>
              <a:srgbClr val="62406C"/>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spPr>
          <a:solidFill>
            <a:srgbClr val="9869A7"/>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C979D9">
              <a:alpha val="92157"/>
            </a:srgbClr>
          </a:solidFill>
          <a:ln>
            <a:noFill/>
          </a:ln>
          <a:effectLst>
            <a:outerShdw blurRad="57150" dist="19050" dir="5400000" algn="ctr" rotWithShape="0">
              <a:srgbClr val="000000">
                <a:alpha val="63000"/>
              </a:srgbClr>
            </a:outerShdw>
          </a:effectLst>
        </c:spPr>
        <c:marker>
          <c:symbol val="none"/>
        </c:marker>
        <c:dLbl>
          <c:idx val="0"/>
          <c:spPr>
            <a:solidFill>
              <a:srgbClr val="D9A0E4"/>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rgbClr val="B06A74">
              <a:alpha val="87451"/>
            </a:srgbClr>
          </a:solidFill>
          <a:ln>
            <a:noFill/>
          </a:ln>
          <a:effectLst>
            <a:outerShdw blurRad="57150" dist="19050" dir="5400000" algn="ctr" rotWithShape="0">
              <a:srgbClr val="000000">
                <a:alpha val="63000"/>
              </a:srgbClr>
            </a:outerShdw>
          </a:effectLst>
        </c:spPr>
        <c:marker>
          <c:symbol val="none"/>
        </c:marker>
        <c:dLbl>
          <c:idx val="0"/>
          <c:spPr>
            <a:solidFill>
              <a:schemeClr val="accent2">
                <a:lumMod val="40000"/>
                <a:lumOff val="6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5875" cap="rnd">
            <a:solidFill>
              <a:srgbClr val="62406C"/>
            </a:solidFill>
            <a:round/>
          </a:ln>
          <a:effectLst>
            <a:outerShdw blurRad="57150" dist="19050" dir="5400000" algn="ctr" rotWithShape="0">
              <a:srgbClr val="000000">
                <a:alpha val="63000"/>
              </a:srgbClr>
            </a:outerShdw>
          </a:effectLst>
        </c:spPr>
        <c:marker>
          <c:symbol val="circle"/>
          <c:size val="6"/>
          <c:spPr>
            <a:solidFill>
              <a:srgbClr val="62406C"/>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7"/>
        <c:spPr>
          <a:solidFill>
            <a:srgbClr val="9869A7"/>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rgbClr val="FEBAF6">
              <a:alpha val="92157"/>
            </a:srgbClr>
          </a:solidFill>
          <a:ln>
            <a:noFill/>
          </a:ln>
          <a:effectLst>
            <a:outerShdw blurRad="57150" dist="19050" dir="5400000" algn="ctr" rotWithShape="0">
              <a:srgbClr val="000000">
                <a:alpha val="63000"/>
              </a:srgbClr>
            </a:outerShdw>
          </a:effectLst>
        </c:spPr>
        <c:marker>
          <c:symbol val="none"/>
        </c:marker>
        <c:dLbl>
          <c:idx val="0"/>
          <c:spPr>
            <a:solidFill>
              <a:srgbClr val="D9A0E4"/>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B06A74">
              <a:alpha val="87451"/>
            </a:srgbClr>
          </a:solidFill>
          <a:ln>
            <a:noFill/>
          </a:ln>
          <a:effectLst>
            <a:outerShdw blurRad="57150" dist="19050" dir="5400000" algn="ctr" rotWithShape="0">
              <a:srgbClr val="000000">
                <a:alpha val="63000"/>
              </a:srgbClr>
            </a:outerShdw>
          </a:effectLst>
        </c:spPr>
        <c:marker>
          <c:symbol val="none"/>
        </c:marker>
        <c:dLbl>
          <c:idx val="0"/>
          <c:spPr>
            <a:solidFill>
              <a:schemeClr val="accent2">
                <a:lumMod val="40000"/>
                <a:lumOff val="6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5875" cap="rnd">
            <a:solidFill>
              <a:srgbClr val="62406C"/>
            </a:solidFill>
            <a:round/>
          </a:ln>
          <a:effectLst>
            <a:outerShdw blurRad="57150" dist="19050" dir="5400000" algn="ctr" rotWithShape="0">
              <a:srgbClr val="000000">
                <a:alpha val="63000"/>
              </a:srgbClr>
            </a:outerShdw>
          </a:effectLst>
        </c:spPr>
        <c:marker>
          <c:symbol val="circle"/>
          <c:size val="6"/>
          <c:spPr>
            <a:solidFill>
              <a:srgbClr val="62406C"/>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2737077742771"/>
          <c:y val="0.11661433877054667"/>
          <c:w val="0.81067992401458155"/>
          <c:h val="0.59974181846265495"/>
        </c:manualLayout>
      </c:layout>
      <c:barChart>
        <c:barDir val="col"/>
        <c:grouping val="clustered"/>
        <c:varyColors val="0"/>
        <c:ser>
          <c:idx val="0"/>
          <c:order val="0"/>
          <c:tx>
            <c:strRef>
              <c:f>'peads-5-14'!$B$5</c:f>
              <c:strCache>
                <c:ptCount val="1"/>
                <c:pt idx="0">
                  <c:v> CD4_tests</c:v>
                </c:pt>
              </c:strCache>
            </c:strRef>
          </c:tx>
          <c:spPr>
            <a:solidFill>
              <a:srgbClr val="9869A7"/>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'peads-5-14'!$A$6:$A$42</c:f>
              <c:multiLvlStrCache>
                <c:ptCount val="17"/>
                <c:lvl>
                  <c:pt idx="0">
                    <c:v>19</c:v>
                  </c:pt>
                  <c:pt idx="1">
                    <c:v>19</c:v>
                  </c:pt>
                  <c:pt idx="2">
                    <c:v>8</c:v>
                  </c:pt>
                  <c:pt idx="3">
                    <c:v>14</c:v>
                  </c:pt>
                  <c:pt idx="4">
                    <c:v>16</c:v>
                  </c:pt>
                  <c:pt idx="5">
                    <c:v>23</c:v>
                  </c:pt>
                  <c:pt idx="6">
                    <c:v>23</c:v>
                  </c:pt>
                  <c:pt idx="7">
                    <c:v>12</c:v>
                  </c:pt>
                  <c:pt idx="8">
                    <c:v>17</c:v>
                  </c:pt>
                  <c:pt idx="9">
                    <c:v>10</c:v>
                  </c:pt>
                  <c:pt idx="10">
                    <c:v>11</c:v>
                  </c:pt>
                  <c:pt idx="11">
                    <c:v>14</c:v>
                  </c:pt>
                  <c:pt idx="12">
                    <c:v>7</c:v>
                  </c:pt>
                  <c:pt idx="13">
                    <c:v>7</c:v>
                  </c:pt>
                  <c:pt idx="14">
                    <c:v>18</c:v>
                  </c:pt>
                  <c:pt idx="15">
                    <c:v>11</c:v>
                  </c:pt>
                  <c:pt idx="16">
                    <c:v>13</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2024</c:v>
                  </c:pt>
                  <c:pt idx="12">
                    <c:v>2025</c:v>
                  </c:pt>
                </c:lvl>
              </c:multiLvlStrCache>
            </c:multiLvlStrRef>
          </c:cat>
          <c:val>
            <c:numRef>
              <c:f>'peads-5-14'!$B$6:$B$42</c:f>
              <c:numCache>
                <c:formatCode>General</c:formatCode>
                <c:ptCount val="17"/>
                <c:pt idx="0">
                  <c:v>19</c:v>
                </c:pt>
                <c:pt idx="1">
                  <c:v>19</c:v>
                </c:pt>
                <c:pt idx="2">
                  <c:v>8</c:v>
                </c:pt>
                <c:pt idx="3">
                  <c:v>13</c:v>
                </c:pt>
                <c:pt idx="4">
                  <c:v>14</c:v>
                </c:pt>
                <c:pt idx="5">
                  <c:v>23</c:v>
                </c:pt>
                <c:pt idx="6">
                  <c:v>20</c:v>
                </c:pt>
                <c:pt idx="7">
                  <c:v>12</c:v>
                </c:pt>
                <c:pt idx="8">
                  <c:v>17</c:v>
                </c:pt>
                <c:pt idx="9">
                  <c:v>10</c:v>
                </c:pt>
                <c:pt idx="10">
                  <c:v>11</c:v>
                </c:pt>
                <c:pt idx="11">
                  <c:v>14</c:v>
                </c:pt>
                <c:pt idx="12">
                  <c:v>7</c:v>
                </c:pt>
                <c:pt idx="13">
                  <c:v>7</c:v>
                </c:pt>
                <c:pt idx="14">
                  <c:v>17</c:v>
                </c:pt>
                <c:pt idx="15">
                  <c:v>11</c:v>
                </c:pt>
                <c:pt idx="16">
                  <c:v>13</c:v>
                </c:pt>
              </c:numCache>
            </c:numRef>
          </c:val>
          <c:extLst>
            <c:ext xmlns:c16="http://schemas.microsoft.com/office/drawing/2014/chart" uri="{C3380CC4-5D6E-409C-BE32-E72D297353CC}">
              <c16:uniqueId val="{00000000-279D-4CB7-B8C2-5D5ABBE2E204}"/>
            </c:ext>
          </c:extLst>
        </c:ser>
        <c:ser>
          <c:idx val="1"/>
          <c:order val="1"/>
          <c:tx>
            <c:strRef>
              <c:f>'peads-5-14'!$C$5</c:f>
              <c:strCache>
                <c:ptCount val="1"/>
                <c:pt idx="0">
                  <c:v> LAM_tests</c:v>
                </c:pt>
              </c:strCache>
            </c:strRef>
          </c:tx>
          <c:spPr>
            <a:solidFill>
              <a:srgbClr val="FEBAF6">
                <a:alpha val="92157"/>
              </a:srgbClr>
            </a:solidFill>
            <a:ln>
              <a:noFill/>
            </a:ln>
            <a:effectLst>
              <a:outerShdw blurRad="57150" dist="19050" dir="5400000" algn="ctr" rotWithShape="0">
                <a:srgbClr val="000000">
                  <a:alpha val="63000"/>
                </a:srgbClr>
              </a:outerShdw>
            </a:effectLst>
          </c:spPr>
          <c:invertIfNegative val="0"/>
          <c:dLbls>
            <c:spPr>
              <a:solidFill>
                <a:srgbClr val="D9A0E4"/>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'peads-5-14'!$A$6:$A$42</c:f>
              <c:multiLvlStrCache>
                <c:ptCount val="17"/>
                <c:lvl>
                  <c:pt idx="0">
                    <c:v>19</c:v>
                  </c:pt>
                  <c:pt idx="1">
                    <c:v>19</c:v>
                  </c:pt>
                  <c:pt idx="2">
                    <c:v>8</c:v>
                  </c:pt>
                  <c:pt idx="3">
                    <c:v>14</c:v>
                  </c:pt>
                  <c:pt idx="4">
                    <c:v>16</c:v>
                  </c:pt>
                  <c:pt idx="5">
                    <c:v>23</c:v>
                  </c:pt>
                  <c:pt idx="6">
                    <c:v>23</c:v>
                  </c:pt>
                  <c:pt idx="7">
                    <c:v>12</c:v>
                  </c:pt>
                  <c:pt idx="8">
                    <c:v>17</c:v>
                  </c:pt>
                  <c:pt idx="9">
                    <c:v>10</c:v>
                  </c:pt>
                  <c:pt idx="10">
                    <c:v>11</c:v>
                  </c:pt>
                  <c:pt idx="11">
                    <c:v>14</c:v>
                  </c:pt>
                  <c:pt idx="12">
                    <c:v>7</c:v>
                  </c:pt>
                  <c:pt idx="13">
                    <c:v>7</c:v>
                  </c:pt>
                  <c:pt idx="14">
                    <c:v>18</c:v>
                  </c:pt>
                  <c:pt idx="15">
                    <c:v>11</c:v>
                  </c:pt>
                  <c:pt idx="16">
                    <c:v>13</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2024</c:v>
                  </c:pt>
                  <c:pt idx="12">
                    <c:v>2025</c:v>
                  </c:pt>
                </c:lvl>
              </c:multiLvlStrCache>
            </c:multiLvlStrRef>
          </c:cat>
          <c:val>
            <c:numRef>
              <c:f>'peads-5-14'!$C$6:$C$42</c:f>
              <c:numCache>
                <c:formatCode>General</c:formatCode>
                <c:ptCount val="17"/>
                <c:pt idx="0">
                  <c:v>2</c:v>
                </c:pt>
                <c:pt idx="1">
                  <c:v>2</c:v>
                </c:pt>
                <c:pt idx="2">
                  <c:v>2</c:v>
                </c:pt>
                <c:pt idx="3">
                  <c:v>0</c:v>
                </c:pt>
                <c:pt idx="4">
                  <c:v>1</c:v>
                </c:pt>
                <c:pt idx="5">
                  <c:v>0</c:v>
                </c:pt>
                <c:pt idx="6">
                  <c:v>0</c:v>
                </c:pt>
                <c:pt idx="7">
                  <c:v>0</c:v>
                </c:pt>
                <c:pt idx="8">
                  <c:v>4</c:v>
                </c:pt>
                <c:pt idx="9">
                  <c:v>2</c:v>
                </c:pt>
                <c:pt idx="10">
                  <c:v>2</c:v>
                </c:pt>
                <c:pt idx="11">
                  <c:v>2</c:v>
                </c:pt>
                <c:pt idx="12">
                  <c:v>2</c:v>
                </c:pt>
                <c:pt idx="13">
                  <c:v>2</c:v>
                </c:pt>
                <c:pt idx="14">
                  <c:v>3</c:v>
                </c:pt>
                <c:pt idx="15">
                  <c:v>1</c:v>
                </c:pt>
                <c:pt idx="16">
                  <c:v>2</c:v>
                </c:pt>
              </c:numCache>
            </c:numRef>
          </c:val>
          <c:extLst>
            <c:ext xmlns:c16="http://schemas.microsoft.com/office/drawing/2014/chart" uri="{C3380CC4-5D6E-409C-BE32-E72D297353CC}">
              <c16:uniqueId val="{00000001-279D-4CB7-B8C2-5D5ABBE2E204}"/>
            </c:ext>
          </c:extLst>
        </c:ser>
        <c:ser>
          <c:idx val="2"/>
          <c:order val="2"/>
          <c:tx>
            <c:strRef>
              <c:f>'peads-5-14'!$D$5</c:f>
              <c:strCache>
                <c:ptCount val="1"/>
                <c:pt idx="0">
                  <c:v>CrAg-tests</c:v>
                </c:pt>
              </c:strCache>
            </c:strRef>
          </c:tx>
          <c:spPr>
            <a:solidFill>
              <a:srgbClr val="B06A74">
                <a:alpha val="87451"/>
              </a:srgbClr>
            </a:solidFill>
            <a:ln>
              <a:noFill/>
            </a:ln>
            <a:effectLst>
              <a:outerShdw blurRad="57150" dist="19050" dir="5400000" algn="ctr" rotWithShape="0">
                <a:srgbClr val="000000">
                  <a:alpha val="63000"/>
                </a:srgbClr>
              </a:outerShdw>
            </a:effectLst>
          </c:spPr>
          <c:invertIfNegative val="0"/>
          <c:dLbls>
            <c:spPr>
              <a:solidFill>
                <a:schemeClr val="accent2">
                  <a:lumMod val="40000"/>
                  <a:lumOff val="6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'peads-5-14'!$A$6:$A$42</c:f>
              <c:multiLvlStrCache>
                <c:ptCount val="17"/>
                <c:lvl>
                  <c:pt idx="0">
                    <c:v>19</c:v>
                  </c:pt>
                  <c:pt idx="1">
                    <c:v>19</c:v>
                  </c:pt>
                  <c:pt idx="2">
                    <c:v>8</c:v>
                  </c:pt>
                  <c:pt idx="3">
                    <c:v>14</c:v>
                  </c:pt>
                  <c:pt idx="4">
                    <c:v>16</c:v>
                  </c:pt>
                  <c:pt idx="5">
                    <c:v>23</c:v>
                  </c:pt>
                  <c:pt idx="6">
                    <c:v>23</c:v>
                  </c:pt>
                  <c:pt idx="7">
                    <c:v>12</c:v>
                  </c:pt>
                  <c:pt idx="8">
                    <c:v>17</c:v>
                  </c:pt>
                  <c:pt idx="9">
                    <c:v>10</c:v>
                  </c:pt>
                  <c:pt idx="10">
                    <c:v>11</c:v>
                  </c:pt>
                  <c:pt idx="11">
                    <c:v>14</c:v>
                  </c:pt>
                  <c:pt idx="12">
                    <c:v>7</c:v>
                  </c:pt>
                  <c:pt idx="13">
                    <c:v>7</c:v>
                  </c:pt>
                  <c:pt idx="14">
                    <c:v>18</c:v>
                  </c:pt>
                  <c:pt idx="15">
                    <c:v>11</c:v>
                  </c:pt>
                  <c:pt idx="16">
                    <c:v>13</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2024</c:v>
                  </c:pt>
                  <c:pt idx="12">
                    <c:v>2025</c:v>
                  </c:pt>
                </c:lvl>
              </c:multiLvlStrCache>
            </c:multiLvlStrRef>
          </c:cat>
          <c:val>
            <c:numRef>
              <c:f>'peads-5-14'!$D$6:$D$42</c:f>
              <c:numCache>
                <c:formatCode>General</c:formatCode>
                <c:ptCount val="17"/>
                <c:pt idx="0">
                  <c:v>2</c:v>
                </c:pt>
                <c:pt idx="1">
                  <c:v>0</c:v>
                </c:pt>
                <c:pt idx="2">
                  <c:v>0</c:v>
                </c:pt>
                <c:pt idx="3">
                  <c:v>0</c:v>
                </c:pt>
                <c:pt idx="4">
                  <c:v>4</c:v>
                </c:pt>
                <c:pt idx="5">
                  <c:v>3</c:v>
                </c:pt>
                <c:pt idx="6">
                  <c:v>7</c:v>
                </c:pt>
                <c:pt idx="7">
                  <c:v>0</c:v>
                </c:pt>
                <c:pt idx="8">
                  <c:v>4</c:v>
                </c:pt>
                <c:pt idx="9">
                  <c:v>2</c:v>
                </c:pt>
                <c:pt idx="10">
                  <c:v>2</c:v>
                </c:pt>
                <c:pt idx="11">
                  <c:v>2</c:v>
                </c:pt>
                <c:pt idx="12">
                  <c:v>2</c:v>
                </c:pt>
                <c:pt idx="13">
                  <c:v>2</c:v>
                </c:pt>
                <c:pt idx="14">
                  <c:v>18</c:v>
                </c:pt>
                <c:pt idx="15">
                  <c:v>1</c:v>
                </c:pt>
                <c:pt idx="16">
                  <c:v>2</c:v>
                </c:pt>
              </c:numCache>
            </c:numRef>
          </c:val>
          <c:extLst>
            <c:ext xmlns:c16="http://schemas.microsoft.com/office/drawing/2014/chart" uri="{C3380CC4-5D6E-409C-BE32-E72D297353CC}">
              <c16:uniqueId val="{00000002-279D-4CB7-B8C2-5D5ABBE2E204}"/>
            </c:ext>
          </c:extLst>
        </c:ser>
        <c:dLbls>
          <c:showLegendKey val="0"/>
          <c:showVal val="0"/>
          <c:showCatName val="0"/>
          <c:showSerName val="0"/>
          <c:showPercent val="0"/>
          <c:showBubbleSize val="0"/>
        </c:dLbls>
        <c:gapWidth val="100"/>
        <c:overlap val="44"/>
        <c:axId val="939995816"/>
        <c:axId val="939997976"/>
      </c:barChart>
      <c:lineChart>
        <c:grouping val="standard"/>
        <c:varyColors val="0"/>
        <c:ser>
          <c:idx val="3"/>
          <c:order val="3"/>
          <c:tx>
            <c:strRef>
              <c:f>'peads-5-14'!$E$5</c:f>
              <c:strCache>
                <c:ptCount val="1"/>
                <c:pt idx="0">
                  <c:v> AHD_screening_cov%</c:v>
                </c:pt>
              </c:strCache>
            </c:strRef>
          </c:tx>
          <c:spPr>
            <a:ln w="15875" cap="rnd">
              <a:solidFill>
                <a:srgbClr val="62406C"/>
              </a:solidFill>
              <a:round/>
            </a:ln>
            <a:effectLst>
              <a:outerShdw blurRad="57150" dist="19050" dir="5400000" algn="ctr" rotWithShape="0">
                <a:srgbClr val="000000">
                  <a:alpha val="63000"/>
                </a:srgbClr>
              </a:outerShdw>
            </a:effectLst>
          </c:spPr>
          <c:marker>
            <c:symbol val="circle"/>
            <c:size val="6"/>
            <c:spPr>
              <a:solidFill>
                <a:srgbClr val="62406C"/>
              </a:solidFill>
              <a:ln w="9525">
                <a:no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'peads-5-14'!$A$6:$A$42</c:f>
              <c:multiLvlStrCache>
                <c:ptCount val="17"/>
                <c:lvl>
                  <c:pt idx="0">
                    <c:v>19</c:v>
                  </c:pt>
                  <c:pt idx="1">
                    <c:v>19</c:v>
                  </c:pt>
                  <c:pt idx="2">
                    <c:v>8</c:v>
                  </c:pt>
                  <c:pt idx="3">
                    <c:v>14</c:v>
                  </c:pt>
                  <c:pt idx="4">
                    <c:v>16</c:v>
                  </c:pt>
                  <c:pt idx="5">
                    <c:v>23</c:v>
                  </c:pt>
                  <c:pt idx="6">
                    <c:v>23</c:v>
                  </c:pt>
                  <c:pt idx="7">
                    <c:v>12</c:v>
                  </c:pt>
                  <c:pt idx="8">
                    <c:v>17</c:v>
                  </c:pt>
                  <c:pt idx="9">
                    <c:v>10</c:v>
                  </c:pt>
                  <c:pt idx="10">
                    <c:v>11</c:v>
                  </c:pt>
                  <c:pt idx="11">
                    <c:v>14</c:v>
                  </c:pt>
                  <c:pt idx="12">
                    <c:v>7</c:v>
                  </c:pt>
                  <c:pt idx="13">
                    <c:v>7</c:v>
                  </c:pt>
                  <c:pt idx="14">
                    <c:v>18</c:v>
                  </c:pt>
                  <c:pt idx="15">
                    <c:v>11</c:v>
                  </c:pt>
                  <c:pt idx="16">
                    <c:v>13</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2024</c:v>
                  </c:pt>
                  <c:pt idx="12">
                    <c:v>2025</c:v>
                  </c:pt>
                </c:lvl>
              </c:multiLvlStrCache>
            </c:multiLvlStrRef>
          </c:cat>
          <c:val>
            <c:numRef>
              <c:f>'peads-5-14'!$E$6:$E$42</c:f>
              <c:numCache>
                <c:formatCode>0%</c:formatCode>
                <c:ptCount val="17"/>
                <c:pt idx="0">
                  <c:v>1</c:v>
                </c:pt>
                <c:pt idx="1">
                  <c:v>1</c:v>
                </c:pt>
                <c:pt idx="2">
                  <c:v>1</c:v>
                </c:pt>
                <c:pt idx="3">
                  <c:v>0.9285714285714286</c:v>
                </c:pt>
                <c:pt idx="4">
                  <c:v>0.875</c:v>
                </c:pt>
                <c:pt idx="5">
                  <c:v>1</c:v>
                </c:pt>
                <c:pt idx="6">
                  <c:v>0.86956521739130432</c:v>
                </c:pt>
                <c:pt idx="7">
                  <c:v>1</c:v>
                </c:pt>
                <c:pt idx="8">
                  <c:v>1</c:v>
                </c:pt>
                <c:pt idx="9">
                  <c:v>1</c:v>
                </c:pt>
                <c:pt idx="10">
                  <c:v>1</c:v>
                </c:pt>
                <c:pt idx="11">
                  <c:v>1</c:v>
                </c:pt>
                <c:pt idx="12">
                  <c:v>1</c:v>
                </c:pt>
                <c:pt idx="13">
                  <c:v>1</c:v>
                </c:pt>
                <c:pt idx="14">
                  <c:v>0.94444444444444442</c:v>
                </c:pt>
                <c:pt idx="15">
                  <c:v>1</c:v>
                </c:pt>
                <c:pt idx="16">
                  <c:v>1</c:v>
                </c:pt>
              </c:numCache>
            </c:numRef>
          </c:val>
          <c:smooth val="1"/>
          <c:extLst>
            <c:ext xmlns:c16="http://schemas.microsoft.com/office/drawing/2014/chart" uri="{C3380CC4-5D6E-409C-BE32-E72D297353CC}">
              <c16:uniqueId val="{00000003-279D-4CB7-B8C2-5D5ABBE2E204}"/>
            </c:ext>
          </c:extLst>
        </c:ser>
        <c:dLbls>
          <c:showLegendKey val="0"/>
          <c:showVal val="0"/>
          <c:showCatName val="0"/>
          <c:showSerName val="0"/>
          <c:showPercent val="0"/>
          <c:showBubbleSize val="0"/>
        </c:dLbls>
        <c:marker val="1"/>
        <c:smooth val="0"/>
        <c:axId val="1224139760"/>
        <c:axId val="1224135080"/>
      </c:lineChart>
      <c:catAx>
        <c:axId val="939995816"/>
        <c:scaling>
          <c:orientation val="minMax"/>
        </c:scaling>
        <c:delete val="0"/>
        <c:axPos val="b"/>
        <c:title>
          <c:tx>
            <c:rich>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r>
                  <a:rPr lang="en-US"/>
                  <a:t>Number of</a:t>
                </a:r>
                <a:r>
                  <a:rPr lang="en-US" baseline="0"/>
                  <a:t> ROC seen</a:t>
                </a:r>
                <a:r>
                  <a:rPr lang="en-US"/>
                  <a:t> per period</a:t>
                </a:r>
              </a:p>
            </c:rich>
          </c:tx>
          <c:layout>
            <c:manualLayout>
              <c:xMode val="edge"/>
              <c:yMode val="edge"/>
              <c:x val="0.30019795696264551"/>
              <c:y val="0.9021975188161917"/>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accent1">
                <a:lumMod val="50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939997976"/>
        <c:crosses val="autoZero"/>
        <c:auto val="1"/>
        <c:lblAlgn val="ctr"/>
        <c:lblOffset val="100"/>
        <c:noMultiLvlLbl val="0"/>
      </c:catAx>
      <c:valAx>
        <c:axId val="939997976"/>
        <c:scaling>
          <c:orientation val="minMax"/>
        </c:scaling>
        <c:delete val="0"/>
        <c:axPos val="l"/>
        <c:title>
          <c:tx>
            <c:rich>
              <a:bodyPr rot="-54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r>
                  <a:rPr lang="en-US"/>
                  <a:t>Number of ROC with 5-14</a:t>
                </a:r>
                <a:r>
                  <a:rPr lang="en-US" baseline="0"/>
                  <a:t> yrs</a:t>
                </a:r>
                <a:r>
                  <a:rPr lang="en-US"/>
                  <a:t> screened</a:t>
                </a:r>
              </a:p>
            </c:rich>
          </c:tx>
          <c:layout>
            <c:manualLayout>
              <c:xMode val="edge"/>
              <c:yMode val="edge"/>
              <c:x val="1.3906166356122017E-2"/>
              <c:y val="0.34258869407059062"/>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solidFill>
              <a:schemeClr val="accent1">
                <a:lumMod val="50000"/>
              </a:schemeClr>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939995816"/>
        <c:crosses val="autoZero"/>
        <c:crossBetween val="between"/>
      </c:valAx>
      <c:valAx>
        <c:axId val="1224135080"/>
        <c:scaling>
          <c:orientation val="minMax"/>
          <c:max val="1.3"/>
          <c:min val="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24139760"/>
        <c:crosses val="max"/>
        <c:crossBetween val="between"/>
      </c:valAx>
      <c:catAx>
        <c:axId val="1224139760"/>
        <c:scaling>
          <c:orientation val="minMax"/>
        </c:scaling>
        <c:delete val="1"/>
        <c:axPos val="b"/>
        <c:numFmt formatCode="General" sourceLinked="1"/>
        <c:majorTickMark val="out"/>
        <c:minorTickMark val="none"/>
        <c:tickLblPos val="nextTo"/>
        <c:crossAx val="1224135080"/>
        <c:crosses val="autoZero"/>
        <c:auto val="1"/>
        <c:lblAlgn val="ctr"/>
        <c:lblOffset val="100"/>
        <c:noMultiLvlLbl val="0"/>
      </c:catAx>
      <c:spPr>
        <a:noFill/>
        <a:ln>
          <a:noFill/>
        </a:ln>
        <a:effectLst/>
      </c:spPr>
    </c:plotArea>
    <c:legend>
      <c:legendPos val="r"/>
      <c:layout>
        <c:manualLayout>
          <c:xMode val="edge"/>
          <c:yMode val="edge"/>
          <c:x val="2.8042903864377261E-3"/>
          <c:y val="0.94148623986414126"/>
          <c:w val="0.9971957096135623"/>
          <c:h val="5.8231684303328674E-2"/>
        </c:manualLayout>
      </c:layout>
      <c:overlay val="0"/>
      <c:spPr>
        <a:noFill/>
        <a:ln w="6350">
          <a:solidFill>
            <a:schemeClr val="accent5">
              <a:lumMod val="40000"/>
              <a:lumOff val="60000"/>
            </a:schemeClr>
          </a:solid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lumMod val="60000"/>
          <a:lumOff val="40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[AHD_Reporting_Form.xlsx]peads-5-14!PivotTable2</c:name>
    <c:fmtId val="22"/>
  </c:pivotSource>
  <c:chart>
    <c:title>
      <c:tx>
        <c:rich>
          <a:bodyPr rot="0" spcFirstLastPara="1" vertOverflow="ellipsis" vert="horz" wrap="square" anchor="ctr" anchorCtr="1"/>
          <a:lstStyle/>
          <a:p>
            <a:pPr>
              <a:defRPr sz="1400" b="1" i="0" u="sng" strike="noStrike" kern="1200" baseline="0">
                <a:solidFill>
                  <a:sysClr val="windowText" lastClr="000000"/>
                </a:solidFill>
                <a:latin typeface="+mn-lt"/>
                <a:ea typeface="+mn-ea"/>
                <a:cs typeface="+mn-cs"/>
              </a:defRPr>
            </a:pPr>
            <a:r>
              <a:rPr lang="en-GB" sz="1400" u="sng"/>
              <a:t>AHD Yield among </a:t>
            </a:r>
            <a:r>
              <a:rPr lang="en-GB" sz="1400" b="1" i="0" u="sng" strike="noStrike" kern="1200" baseline="0">
                <a:solidFill>
                  <a:sysClr val="windowText" lastClr="000000"/>
                </a:solidFill>
              </a:rPr>
              <a:t>among children 5-14 years</a:t>
            </a:r>
            <a:endParaRPr lang="en-GB" sz="1400" u="sng"/>
          </a:p>
        </c:rich>
      </c:tx>
      <c:layout>
        <c:manualLayout>
          <c:xMode val="edge"/>
          <c:yMode val="edge"/>
          <c:x val="0.19395448271452878"/>
          <c:y val="2.8326015061964742E-2"/>
        </c:manualLayout>
      </c:layout>
      <c:overlay val="0"/>
      <c:spPr>
        <a:noFill/>
        <a:ln>
          <a:noFill/>
        </a:ln>
        <a:effectLst/>
      </c:spPr>
      <c:txPr>
        <a:bodyPr rot="0" spcFirstLastPara="1" vertOverflow="ellipsis" vert="horz" wrap="square" anchor="ctr" anchorCtr="1"/>
        <a:lstStyle/>
        <a:p>
          <a:pPr>
            <a:defRPr sz="1400" b="1" i="0" u="sng" strike="noStrike" kern="1200" baseline="0">
              <a:solidFill>
                <a:sysClr val="windowText" lastClr="000000"/>
              </a:solidFill>
              <a:latin typeface="+mn-lt"/>
              <a:ea typeface="+mn-ea"/>
              <a:cs typeface="+mn-cs"/>
            </a:defRPr>
          </a:pPr>
          <a:endParaRPr lang="en-GB"/>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2"/>
            </a:solidFill>
            <a:round/>
          </a:ln>
          <a:effectLst>
            <a:outerShdw blurRad="57150" dist="19050" dir="5400000" algn="ctr" rotWithShape="0">
              <a:srgbClr val="000000">
                <a:alpha val="63000"/>
              </a:srgbClr>
            </a:outerShdw>
          </a:effectLst>
        </c:spPr>
        <c:marker>
          <c:symbol val="circle"/>
          <c:size val="4"/>
          <c:spPr>
            <a:solidFill>
              <a:schemeClr val="accent2"/>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5"/>
            </a:solidFill>
            <a:round/>
          </a:ln>
          <a:effectLst>
            <a:outerShdw blurRad="57150" dist="19050" dir="5400000" algn="ctr" rotWithShape="0">
              <a:srgbClr val="000000">
                <a:alpha val="63000"/>
              </a:srgbClr>
            </a:outerShdw>
          </a:effectLst>
        </c:spPr>
        <c:marker>
          <c:symbol val="circle"/>
          <c:size val="4"/>
          <c:spPr>
            <a:solidFill>
              <a:schemeClr val="accent5"/>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dLbl>
          <c:idx val="0"/>
          <c:layout>
            <c:manualLayout>
              <c:x val="-3.6779396559352875E-2"/>
              <c:y val="3.23599931903843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F9B20"/>
            </a:solidFill>
            <a:round/>
          </a:ln>
          <a:effectLst>
            <a:outerShdw blurRad="57150" dist="19050" dir="5400000" algn="ctr" rotWithShape="0">
              <a:srgbClr val="000000">
                <a:alpha val="63000"/>
              </a:srgbClr>
            </a:outerShdw>
          </a:effectLst>
        </c:spPr>
        <c:marker>
          <c:symbol val="circle"/>
          <c:size val="4"/>
          <c:spPr>
            <a:solidFill>
              <a:srgbClr val="EF9B20"/>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dLbl>
          <c:idx val="0"/>
          <c:layout>
            <c:manualLayout>
              <c:x val="-3.6779396559352875E-2"/>
              <c:y val="3.2359993190384365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1A53FF"/>
            </a:solidFill>
            <a:round/>
          </a:ln>
          <a:effectLst>
            <a:outerShdw blurRad="57150" dist="19050" dir="5400000" algn="ctr" rotWithShape="0">
              <a:srgbClr val="000000">
                <a:alpha val="63000"/>
              </a:srgbClr>
            </a:outerShdw>
          </a:effectLst>
        </c:spPr>
        <c:marker>
          <c:symbol val="circle"/>
          <c:size val="4"/>
          <c:spPr>
            <a:solidFill>
              <a:srgbClr val="1A53FF"/>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449BCC"/>
            </a:solidFill>
            <a:round/>
          </a:ln>
          <a:effectLst>
            <a:outerShdw blurRad="57150" dist="19050" dir="5400000" algn="ctr" rotWithShape="0">
              <a:srgbClr val="000000">
                <a:alpha val="63000"/>
              </a:srgbClr>
            </a:outerShdw>
          </a:effectLst>
        </c:spPr>
        <c:marker>
          <c:symbol val="circle"/>
          <c:size val="4"/>
          <c:spPr>
            <a:solidFill>
              <a:srgbClr val="449BCC"/>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AF1FC7"/>
            </a:solidFill>
            <a:round/>
          </a:ln>
          <a:effectLst>
            <a:outerShdw blurRad="57150" dist="19050" dir="5400000" algn="ctr" rotWithShape="0">
              <a:srgbClr val="000000">
                <a:alpha val="63000"/>
              </a:srgbClr>
            </a:outerShdw>
          </a:effectLst>
        </c:spPr>
        <c:marker>
          <c:symbol val="circle"/>
          <c:size val="4"/>
          <c:spPr>
            <a:solidFill>
              <a:srgbClr val="AF1FC7"/>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AF1FC7"/>
            </a:solidFill>
            <a:round/>
          </a:ln>
          <a:effectLst>
            <a:outerShdw blurRad="57150" dist="19050" dir="5400000" algn="ctr" rotWithShape="0">
              <a:srgbClr val="000000">
                <a:alpha val="63000"/>
              </a:srgbClr>
            </a:outerShdw>
          </a:effectLst>
        </c:spPr>
        <c:marker>
          <c:symbol val="circle"/>
          <c:size val="4"/>
          <c:spPr>
            <a:solidFill>
              <a:srgbClr val="AF1FC7"/>
            </a:solidFill>
            <a:ln w="9525">
              <a:noFill/>
              <a:round/>
            </a:ln>
            <a:effectLst>
              <a:outerShdw blurRad="57150" dist="19050" dir="5400000" algn="ctr" rotWithShape="0">
                <a:srgbClr val="000000">
                  <a:alpha val="63000"/>
                </a:srgbClr>
              </a:outerShdw>
            </a:effectLst>
          </c:spPr>
        </c:marker>
        <c:dLbl>
          <c:idx val="0"/>
          <c:layout>
            <c:manualLayout>
              <c:x val="-3.6779396559352875E-2"/>
              <c:y val="3.2359993190384365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6CAEA5"/>
            </a:solidFill>
            <a:round/>
          </a:ln>
          <a:effectLst>
            <a:outerShdw blurRad="57150" dist="19050" dir="5400000" algn="ctr" rotWithShape="0">
              <a:srgbClr val="000000">
                <a:alpha val="63000"/>
              </a:srgbClr>
            </a:outerShdw>
          </a:effectLst>
        </c:spPr>
        <c:marker>
          <c:symbol val="circle"/>
          <c:size val="4"/>
          <c:spPr>
            <a:solidFill>
              <a:srgbClr val="6CAEA5"/>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dLbl>
          <c:idx val="0"/>
          <c:layout>
            <c:manualLayout>
              <c:x val="-3.6779396559352875E-2"/>
              <c:y val="3.2359993190384365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6CAEA5"/>
            </a:solidFill>
            <a:round/>
          </a:ln>
          <a:effectLst>
            <a:outerShdw blurRad="57150" dist="19050" dir="5400000" algn="ctr" rotWithShape="0">
              <a:srgbClr val="000000">
                <a:alpha val="63000"/>
              </a:srgbClr>
            </a:outerShdw>
          </a:effectLst>
        </c:spPr>
        <c:marker>
          <c:symbol val="circle"/>
          <c:size val="4"/>
          <c:spPr>
            <a:solidFill>
              <a:srgbClr val="6CAEA5"/>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dLbl>
          <c:idx val="0"/>
          <c:layout>
            <c:manualLayout>
              <c:x val="-2.579297218581135E-2"/>
              <c:y val="2.8589607233004296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ln w="19050" cap="rnd">
            <a:solidFill>
              <a:srgbClr val="9869A7"/>
            </a:solidFill>
            <a:round/>
          </a:ln>
          <a:effectLst>
            <a:outerShdw blurRad="57150" dist="19050" dir="5400000" algn="ctr" rotWithShape="0">
              <a:srgbClr val="000000">
                <a:alpha val="63000"/>
              </a:srgbClr>
            </a:outerShdw>
          </a:effectLst>
        </c:spPr>
        <c:marker>
          <c:symbol val="circle"/>
          <c:size val="4"/>
          <c:spPr>
            <a:solidFill>
              <a:srgbClr val="9869A7"/>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869A7"/>
            </a:solidFill>
            <a:round/>
          </a:ln>
          <a:effectLst>
            <a:outerShdw blurRad="57150" dist="19050" dir="5400000" algn="ctr" rotWithShape="0">
              <a:srgbClr val="000000">
                <a:alpha val="63000"/>
              </a:srgbClr>
            </a:outerShdw>
          </a:effectLst>
        </c:spPr>
        <c:marker>
          <c:symbol val="circle"/>
          <c:size val="4"/>
          <c:spPr>
            <a:solidFill>
              <a:srgbClr val="9869A7"/>
            </a:solidFill>
            <a:ln w="9525">
              <a:noFill/>
              <a:round/>
            </a:ln>
            <a:effectLst>
              <a:outerShdw blurRad="57150" dist="19050" dir="5400000" algn="ctr" rotWithShape="0">
                <a:srgbClr val="000000">
                  <a:alpha val="63000"/>
                </a:srgbClr>
              </a:outerShdw>
            </a:effectLst>
          </c:spPr>
        </c:marker>
      </c:pivotFmt>
      <c:pivotFmt>
        <c:idx val="20"/>
        <c:spPr>
          <a:ln w="19050" cap="rnd">
            <a:solidFill>
              <a:srgbClr val="FEBAF6"/>
            </a:solidFill>
            <a:round/>
          </a:ln>
          <a:effectLst>
            <a:outerShdw blurRad="57150" dist="19050" dir="5400000" algn="ctr" rotWithShape="0">
              <a:srgbClr val="000000">
                <a:alpha val="63000"/>
              </a:srgbClr>
            </a:outerShdw>
          </a:effectLst>
        </c:spPr>
        <c:marker>
          <c:symbol val="circle"/>
          <c:size val="4"/>
          <c:spPr>
            <a:solidFill>
              <a:srgbClr val="FEBAF6"/>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FEBAF6"/>
            </a:solidFill>
            <a:round/>
          </a:ln>
          <a:effectLst>
            <a:outerShdw blurRad="57150" dist="19050" dir="5400000" algn="ctr" rotWithShape="0">
              <a:srgbClr val="000000">
                <a:alpha val="63000"/>
              </a:srgbClr>
            </a:outerShdw>
          </a:effectLst>
        </c:spPr>
        <c:marker>
          <c:symbol val="circle"/>
          <c:size val="4"/>
        </c:marker>
      </c:pivotFmt>
      <c:pivotFmt>
        <c:idx val="22"/>
        <c:spPr>
          <a:ln w="19050" cap="rnd">
            <a:solidFill>
              <a:srgbClr val="660066"/>
            </a:solidFill>
            <a:round/>
          </a:ln>
          <a:effectLst>
            <a:outerShdw blurRad="57150" dist="19050" dir="5400000" algn="ctr" rotWithShape="0">
              <a:srgbClr val="000000">
                <a:alpha val="63000"/>
              </a:srgbClr>
            </a:outerShdw>
          </a:effectLst>
        </c:spPr>
        <c:marker>
          <c:symbol val="circle"/>
          <c:size val="4"/>
          <c:spPr>
            <a:solidFill>
              <a:srgbClr val="800271"/>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869A7"/>
            </a:solidFill>
            <a:round/>
          </a:ln>
          <a:effectLst>
            <a:outerShdw blurRad="57150" dist="19050" dir="5400000" algn="ctr" rotWithShape="0">
              <a:srgbClr val="000000">
                <a:alpha val="63000"/>
              </a:srgbClr>
            </a:outerShdw>
          </a:effectLst>
        </c:spPr>
        <c:marker>
          <c:symbol val="circle"/>
          <c:size val="4"/>
          <c:spPr>
            <a:solidFill>
              <a:srgbClr val="9869A7"/>
            </a:solidFill>
            <a:ln w="9525">
              <a:noFill/>
              <a:round/>
            </a:ln>
            <a:effectLst>
              <a:outerShdw blurRad="57150" dist="19050" dir="5400000" algn="ctr" rotWithShape="0">
                <a:srgbClr val="000000">
                  <a:alpha val="63000"/>
                </a:srgbClr>
              </a:outerShdw>
            </a:effectLst>
          </c:spPr>
        </c:marke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FEBAF6"/>
            </a:solidFill>
            <a:round/>
          </a:ln>
          <a:effectLst>
            <a:outerShdw blurRad="57150" dist="19050" dir="5400000" algn="ctr" rotWithShape="0">
              <a:srgbClr val="000000">
                <a:alpha val="63000"/>
              </a:srgbClr>
            </a:outerShdw>
          </a:effectLst>
        </c:spPr>
        <c:marker>
          <c:symbol val="circle"/>
          <c:size val="4"/>
        </c:marke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660066"/>
            </a:solidFill>
            <a:round/>
          </a:ln>
          <a:effectLst>
            <a:outerShdw blurRad="57150" dist="19050" dir="5400000" algn="ctr" rotWithShape="0">
              <a:srgbClr val="000000">
                <a:alpha val="63000"/>
              </a:srgbClr>
            </a:outerShdw>
          </a:effectLst>
        </c:spPr>
        <c:marker>
          <c:symbol val="circle"/>
          <c:size val="4"/>
        </c:marke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869A7"/>
            </a:solidFill>
            <a:round/>
          </a:ln>
          <a:effectLst>
            <a:outerShdw blurRad="57150" dist="19050" dir="5400000" algn="ctr" rotWithShape="0">
              <a:srgbClr val="000000">
                <a:alpha val="63000"/>
              </a:srgbClr>
            </a:outerShdw>
          </a:effectLst>
        </c:spPr>
        <c:marker>
          <c:symbol val="circle"/>
          <c:size val="4"/>
          <c:spPr>
            <a:solidFill>
              <a:srgbClr val="9869A7"/>
            </a:solidFill>
            <a:ln w="9525">
              <a:noFill/>
              <a:round/>
            </a:ln>
            <a:effectLst>
              <a:outerShdw blurRad="57150" dist="19050" dir="5400000" algn="ctr" rotWithShape="0">
                <a:srgbClr val="000000">
                  <a:alpha val="63000"/>
                </a:srgbClr>
              </a:outerShdw>
            </a:effectLst>
          </c:spPr>
        </c:marke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FEBAF6"/>
            </a:solidFill>
            <a:round/>
          </a:ln>
          <a:effectLst>
            <a:outerShdw blurRad="57150" dist="19050" dir="5400000" algn="ctr" rotWithShape="0">
              <a:srgbClr val="000000">
                <a:alpha val="63000"/>
              </a:srgbClr>
            </a:outerShdw>
          </a:effectLst>
        </c:spPr>
        <c:marker>
          <c:symbol val="circle"/>
          <c:size val="4"/>
        </c:marke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869A7"/>
            </a:solidFill>
            <a:round/>
          </a:ln>
          <a:effectLst>
            <a:outerShdw blurRad="57150" dist="19050" dir="5400000" algn="ctr" rotWithShape="0">
              <a:srgbClr val="000000">
                <a:alpha val="63000"/>
              </a:srgbClr>
            </a:outerShdw>
          </a:effectLst>
        </c:spPr>
        <c:marker>
          <c:symbol val="circle"/>
          <c:size val="4"/>
          <c:spPr>
            <a:solidFill>
              <a:srgbClr val="9869A7"/>
            </a:solidFill>
            <a:ln w="9525">
              <a:noFill/>
              <a:round/>
            </a:ln>
            <a:effectLst>
              <a:outerShdw blurRad="57150" dist="19050" dir="5400000" algn="ctr" rotWithShape="0">
                <a:srgbClr val="000000">
                  <a:alpha val="63000"/>
                </a:srgbClr>
              </a:outerShdw>
            </a:effectLst>
          </c:spPr>
        </c:marke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FEBAF6"/>
            </a:solidFill>
            <a:round/>
          </a:ln>
          <a:effectLst>
            <a:outerShdw blurRad="57150" dist="19050" dir="5400000" algn="ctr" rotWithShape="0">
              <a:srgbClr val="000000">
                <a:alpha val="63000"/>
              </a:srgbClr>
            </a:outerShdw>
          </a:effectLst>
        </c:spPr>
        <c:marker>
          <c:symbol val="circle"/>
          <c:size val="4"/>
        </c:marke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869A7"/>
            </a:solidFill>
            <a:round/>
          </a:ln>
          <a:effectLst>
            <a:outerShdw blurRad="57150" dist="19050" dir="5400000" algn="ctr" rotWithShape="0">
              <a:srgbClr val="000000">
                <a:alpha val="63000"/>
              </a:srgbClr>
            </a:outerShdw>
          </a:effectLst>
        </c:spPr>
        <c:marker>
          <c:symbol val="circle"/>
          <c:size val="4"/>
          <c:spPr>
            <a:solidFill>
              <a:srgbClr val="9869A7"/>
            </a:solidFill>
            <a:ln w="9525">
              <a:noFill/>
              <a:round/>
            </a:ln>
            <a:effectLst>
              <a:outerShdw blurRad="57150" dist="19050" dir="5400000" algn="ctr" rotWithShape="0">
                <a:srgbClr val="000000">
                  <a:alpha val="63000"/>
                </a:srgbClr>
              </a:outerShdw>
            </a:effectLst>
          </c:spPr>
        </c:marke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869A7"/>
            </a:solidFill>
            <a:round/>
          </a:ln>
          <a:effectLst>
            <a:outerShdw blurRad="57150" dist="19050" dir="5400000" algn="ctr" rotWithShape="0">
              <a:srgbClr val="000000">
                <a:alpha val="63000"/>
              </a:srgbClr>
            </a:outerShdw>
          </a:effectLst>
        </c:spPr>
        <c:marker>
          <c:symbol val="circle"/>
          <c:size val="4"/>
          <c:spPr>
            <a:solidFill>
              <a:srgbClr val="9869A7"/>
            </a:solidFill>
            <a:ln w="9525">
              <a:noFill/>
              <a:round/>
            </a:ln>
            <a:effectLst>
              <a:outerShdw blurRad="57150" dist="19050" dir="5400000" algn="ctr" rotWithShape="0">
                <a:srgbClr val="000000">
                  <a:alpha val="63000"/>
                </a:srgbClr>
              </a:outerShdw>
            </a:effectLst>
          </c:spPr>
        </c:marke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FEBAF6"/>
            </a:solidFill>
            <a:round/>
          </a:ln>
          <a:effectLst>
            <a:outerShdw blurRad="57150" dist="19050" dir="5400000" algn="ctr" rotWithShape="0">
              <a:srgbClr val="000000">
                <a:alpha val="63000"/>
              </a:srgbClr>
            </a:outerShdw>
          </a:effectLst>
        </c:spPr>
        <c:marker>
          <c:symbol val="circle"/>
          <c:size val="4"/>
        </c:marke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FEBAF6"/>
            </a:solidFill>
            <a:round/>
          </a:ln>
          <a:effectLst>
            <a:outerShdw blurRad="57150" dist="19050" dir="5400000" algn="ctr" rotWithShape="0">
              <a:srgbClr val="000000">
                <a:alpha val="63000"/>
              </a:srgbClr>
            </a:outerShdw>
          </a:effectLst>
        </c:spPr>
        <c:marker>
          <c:symbol val="circle"/>
          <c:size val="4"/>
        </c:marke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869A7"/>
            </a:solidFill>
            <a:round/>
          </a:ln>
          <a:effectLst>
            <a:outerShdw blurRad="57150" dist="19050" dir="5400000" algn="ctr" rotWithShape="0">
              <a:srgbClr val="000000">
                <a:alpha val="63000"/>
              </a:srgbClr>
            </a:outerShdw>
          </a:effectLst>
        </c:spPr>
        <c:marker>
          <c:symbol val="circle"/>
          <c:size val="4"/>
          <c:spPr>
            <a:solidFill>
              <a:srgbClr val="9869A7"/>
            </a:solidFill>
            <a:ln w="9525">
              <a:noFill/>
              <a:round/>
            </a:ln>
            <a:effectLst>
              <a:outerShdw blurRad="57150" dist="19050" dir="5400000" algn="ctr" rotWithShape="0">
                <a:srgbClr val="000000">
                  <a:alpha val="63000"/>
                </a:srgbClr>
              </a:outerShdw>
            </a:effectLst>
          </c:spPr>
        </c:marke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869A7"/>
            </a:solidFill>
            <a:round/>
          </a:ln>
          <a:effectLst>
            <a:outerShdw blurRad="57150" dist="19050" dir="5400000" algn="ctr" rotWithShape="0">
              <a:srgbClr val="000000">
                <a:alpha val="63000"/>
              </a:srgbClr>
            </a:outerShdw>
          </a:effectLst>
        </c:spPr>
        <c:marker>
          <c:symbol val="circle"/>
          <c:size val="4"/>
          <c:spPr>
            <a:solidFill>
              <a:srgbClr val="9869A7"/>
            </a:solidFill>
            <a:ln w="9525">
              <a:noFill/>
              <a:round/>
            </a:ln>
            <a:effectLst>
              <a:outerShdw blurRad="57150" dist="19050" dir="5400000" algn="ctr" rotWithShape="0">
                <a:srgbClr val="000000">
                  <a:alpha val="63000"/>
                </a:srgbClr>
              </a:outerShdw>
            </a:effectLst>
          </c:spPr>
        </c:marke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FEBAF6"/>
            </a:solidFill>
            <a:round/>
          </a:ln>
          <a:effectLst>
            <a:outerShdw blurRad="57150" dist="19050" dir="5400000" algn="ctr" rotWithShape="0">
              <a:srgbClr val="000000">
                <a:alpha val="63000"/>
              </a:srgbClr>
            </a:outerShdw>
          </a:effectLst>
        </c:spPr>
        <c:marker>
          <c:symbol val="circle"/>
          <c:size val="4"/>
          <c:spPr>
            <a:solidFill>
              <a:srgbClr val="FEBAF6"/>
            </a:solidFill>
            <a:ln w="9525">
              <a:noFill/>
              <a:round/>
            </a:ln>
            <a:effectLst>
              <a:outerShdw blurRad="57150" dist="19050" dir="5400000" algn="ctr" rotWithShape="0">
                <a:srgbClr val="000000">
                  <a:alpha val="63000"/>
                </a:srgbClr>
              </a:outerShdw>
            </a:effectLst>
          </c:spPr>
        </c:marke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FEBAF6"/>
            </a:solidFill>
            <a:round/>
          </a:ln>
          <a:effectLst>
            <a:outerShdw blurRad="57150" dist="19050" dir="5400000" algn="ctr" rotWithShape="0">
              <a:srgbClr val="000000">
                <a:alpha val="63000"/>
              </a:srgbClr>
            </a:outerShdw>
          </a:effectLst>
        </c:spPr>
        <c:marker>
          <c:symbol val="circle"/>
          <c:size val="4"/>
          <c:spPr>
            <a:solidFill>
              <a:srgbClr val="FEBAF6"/>
            </a:solidFill>
            <a:ln w="9525">
              <a:noFill/>
              <a:round/>
            </a:ln>
            <a:effectLst>
              <a:outerShdw blurRad="57150" dist="19050" dir="5400000" algn="ctr" rotWithShape="0">
                <a:srgbClr val="000000">
                  <a:alpha val="63000"/>
                </a:srgbClr>
              </a:outerShdw>
            </a:effectLst>
          </c:spPr>
        </c:marke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660066"/>
            </a:solidFill>
            <a:round/>
          </a:ln>
          <a:effectLst>
            <a:outerShdw blurRad="57150" dist="19050" dir="5400000" algn="ctr" rotWithShape="0">
              <a:srgbClr val="000000">
                <a:alpha val="63000"/>
              </a:srgbClr>
            </a:outerShdw>
          </a:effectLst>
        </c:spPr>
        <c:marker>
          <c:symbol val="circle"/>
          <c:size val="4"/>
          <c:spPr>
            <a:solidFill>
              <a:srgbClr val="800271"/>
            </a:solidFill>
            <a:ln w="9525">
              <a:noFill/>
              <a:round/>
            </a:ln>
            <a:effectLst>
              <a:outerShdw blurRad="57150" dist="19050" dir="5400000" algn="ctr" rotWithShape="0">
                <a:srgbClr val="000000">
                  <a:alpha val="63000"/>
                </a:srgbClr>
              </a:outerShdw>
            </a:effectLst>
          </c:spPr>
        </c:marke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660066"/>
            </a:solidFill>
            <a:round/>
          </a:ln>
          <a:effectLst>
            <a:outerShdw blurRad="57150" dist="19050" dir="5400000" algn="ctr" rotWithShape="0">
              <a:srgbClr val="000000">
                <a:alpha val="63000"/>
              </a:srgbClr>
            </a:outerShdw>
          </a:effectLst>
        </c:spPr>
        <c:marker>
          <c:symbol val="circle"/>
          <c:size val="4"/>
          <c:spPr>
            <a:solidFill>
              <a:srgbClr val="800271"/>
            </a:solidFill>
            <a:ln w="9525">
              <a:noFill/>
              <a:round/>
            </a:ln>
            <a:effectLst>
              <a:outerShdw blurRad="57150" dist="19050" dir="5400000" algn="ctr" rotWithShape="0">
                <a:srgbClr val="000000">
                  <a:alpha val="63000"/>
                </a:srgbClr>
              </a:outerShdw>
            </a:effectLst>
          </c:spPr>
        </c:marker>
        <c:dLbl>
          <c:idx val="0"/>
          <c:layout>
            <c:manualLayout>
              <c:x val="-7.1337674134639747E-2"/>
              <c:y val="-3.8652615552965335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869A7"/>
            </a:solidFill>
            <a:round/>
          </a:ln>
          <a:effectLst>
            <a:outerShdw blurRad="57150" dist="19050" dir="5400000" algn="ctr" rotWithShape="0">
              <a:srgbClr val="000000">
                <a:alpha val="63000"/>
              </a:srgbClr>
            </a:outerShdw>
          </a:effectLst>
        </c:spPr>
        <c:marker>
          <c:symbol val="circle"/>
          <c:size val="4"/>
          <c:spPr>
            <a:solidFill>
              <a:srgbClr val="9869A7"/>
            </a:solidFill>
            <a:ln w="9525">
              <a:noFill/>
              <a:round/>
            </a:ln>
            <a:effectLst>
              <a:outerShdw blurRad="57150" dist="19050" dir="5400000" algn="ctr" rotWithShape="0">
                <a:srgbClr val="000000">
                  <a:alpha val="63000"/>
                </a:srgbClr>
              </a:outerShdw>
            </a:effectLst>
          </c:spPr>
        </c:marke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869A7"/>
            </a:solidFill>
            <a:round/>
          </a:ln>
          <a:effectLst>
            <a:outerShdw blurRad="57150" dist="19050" dir="5400000" algn="ctr" rotWithShape="0">
              <a:srgbClr val="000000">
                <a:alpha val="63000"/>
              </a:srgbClr>
            </a:outerShdw>
          </a:effectLst>
        </c:spPr>
        <c:marker>
          <c:symbol val="circle"/>
          <c:size val="4"/>
          <c:spPr>
            <a:solidFill>
              <a:srgbClr val="9869A7"/>
            </a:solidFill>
            <a:ln w="9525">
              <a:noFill/>
              <a:round/>
            </a:ln>
            <a:effectLst>
              <a:outerShdw blurRad="57150" dist="19050" dir="5400000" algn="ctr" rotWithShape="0">
                <a:srgbClr val="000000">
                  <a:alpha val="63000"/>
                </a:srgbClr>
              </a:outerShdw>
            </a:effectLst>
          </c:spPr>
        </c:marke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869A7"/>
            </a:solidFill>
            <a:round/>
          </a:ln>
          <a:effectLst>
            <a:outerShdw blurRad="57150" dist="19050" dir="5400000" algn="ctr" rotWithShape="0">
              <a:srgbClr val="000000">
                <a:alpha val="63000"/>
              </a:srgbClr>
            </a:outerShdw>
          </a:effectLst>
        </c:spPr>
        <c:marker>
          <c:symbol val="circle"/>
          <c:size val="4"/>
          <c:spPr>
            <a:solidFill>
              <a:srgbClr val="9869A7"/>
            </a:solidFill>
            <a:ln w="9525">
              <a:noFill/>
              <a:round/>
            </a:ln>
            <a:effectLst>
              <a:outerShdw blurRad="57150" dist="19050" dir="5400000" algn="ctr" rotWithShape="0">
                <a:srgbClr val="000000">
                  <a:alpha val="63000"/>
                </a:srgbClr>
              </a:outerShdw>
            </a:effectLst>
          </c:spPr>
        </c:marke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FEBAF6"/>
            </a:solidFill>
            <a:round/>
          </a:ln>
          <a:effectLst>
            <a:outerShdw blurRad="57150" dist="19050" dir="5400000" algn="ctr" rotWithShape="0">
              <a:srgbClr val="000000">
                <a:alpha val="63000"/>
              </a:srgbClr>
            </a:outerShdw>
          </a:effectLst>
        </c:spPr>
        <c:marker>
          <c:symbol val="circle"/>
          <c:size val="4"/>
          <c:spPr>
            <a:solidFill>
              <a:srgbClr val="FEBAF6"/>
            </a:solidFill>
            <a:ln w="9525">
              <a:noFill/>
              <a:round/>
            </a:ln>
            <a:effectLst>
              <a:outerShdw blurRad="57150" dist="19050" dir="5400000" algn="ctr" rotWithShape="0">
                <a:srgbClr val="000000">
                  <a:alpha val="63000"/>
                </a:srgbClr>
              </a:outerShdw>
            </a:effectLst>
          </c:spPr>
        </c:marke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FEBAF6"/>
            </a:solidFill>
            <a:round/>
          </a:ln>
          <a:effectLst>
            <a:outerShdw blurRad="57150" dist="19050" dir="5400000" algn="ctr" rotWithShape="0">
              <a:srgbClr val="000000">
                <a:alpha val="63000"/>
              </a:srgbClr>
            </a:outerShdw>
          </a:effectLst>
        </c:spPr>
        <c:marker>
          <c:symbol val="circle"/>
          <c:size val="4"/>
          <c:spPr>
            <a:solidFill>
              <a:srgbClr val="FEBAF6"/>
            </a:solidFill>
            <a:ln w="9525">
              <a:noFill/>
              <a:round/>
            </a:ln>
            <a:effectLst>
              <a:outerShdw blurRad="57150" dist="19050" dir="5400000" algn="ctr" rotWithShape="0">
                <a:srgbClr val="000000">
                  <a:alpha val="63000"/>
                </a:srgbClr>
              </a:outerShdw>
            </a:effectLst>
          </c:spPr>
        </c:marke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FEBAF6"/>
            </a:solidFill>
            <a:round/>
          </a:ln>
          <a:effectLst>
            <a:outerShdw blurRad="57150" dist="19050" dir="5400000" algn="ctr" rotWithShape="0">
              <a:srgbClr val="000000">
                <a:alpha val="63000"/>
              </a:srgbClr>
            </a:outerShdw>
          </a:effectLst>
        </c:spPr>
        <c:marker>
          <c:symbol val="circle"/>
          <c:size val="4"/>
          <c:spPr>
            <a:solidFill>
              <a:srgbClr val="FEBAF6"/>
            </a:solidFill>
            <a:ln w="9525">
              <a:noFill/>
              <a:round/>
            </a:ln>
            <a:effectLst>
              <a:outerShdw blurRad="57150" dist="19050" dir="5400000" algn="ctr" rotWithShape="0">
                <a:srgbClr val="000000">
                  <a:alpha val="63000"/>
                </a:srgbClr>
              </a:outerShdw>
            </a:effectLst>
          </c:spPr>
        </c:marke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660066"/>
            </a:solidFill>
            <a:round/>
          </a:ln>
          <a:effectLst>
            <a:outerShdw blurRad="57150" dist="19050" dir="5400000" algn="ctr" rotWithShape="0">
              <a:srgbClr val="000000">
                <a:alpha val="63000"/>
              </a:srgbClr>
            </a:outerShdw>
          </a:effectLst>
        </c:spPr>
        <c:marker>
          <c:symbol val="circle"/>
          <c:size val="4"/>
          <c:spPr>
            <a:solidFill>
              <a:srgbClr val="800271"/>
            </a:solidFill>
            <a:ln w="9525">
              <a:noFill/>
              <a:round/>
            </a:ln>
            <a:effectLst>
              <a:outerShdw blurRad="57150" dist="19050" dir="5400000" algn="ctr" rotWithShape="0">
                <a:srgbClr val="000000">
                  <a:alpha val="63000"/>
                </a:srgbClr>
              </a:outerShdw>
            </a:effectLst>
          </c:spPr>
        </c:marker>
        <c:dLbl>
          <c:idx val="0"/>
          <c:layout>
            <c:manualLayout>
              <c:x val="-7.1337674134639747E-2"/>
              <c:y val="-3.8652615552965335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660066"/>
            </a:solidFill>
            <a:round/>
          </a:ln>
          <a:effectLst>
            <a:outerShdw blurRad="57150" dist="19050" dir="5400000" algn="ctr" rotWithShape="0">
              <a:srgbClr val="000000">
                <a:alpha val="63000"/>
              </a:srgbClr>
            </a:outerShdw>
          </a:effectLst>
        </c:spPr>
        <c:marker>
          <c:symbol val="circle"/>
          <c:size val="4"/>
          <c:spPr>
            <a:solidFill>
              <a:srgbClr val="800271"/>
            </a:solidFill>
            <a:ln w="9525">
              <a:noFill/>
              <a:round/>
            </a:ln>
            <a:effectLst>
              <a:outerShdw blurRad="57150" dist="19050" dir="5400000" algn="ctr" rotWithShape="0">
                <a:srgbClr val="000000">
                  <a:alpha val="63000"/>
                </a:srgbClr>
              </a:outerShdw>
            </a:effectLst>
          </c:spPr>
        </c:marker>
      </c:pivotFmt>
      <c:pivotFmt>
        <c:idx val="48"/>
        <c:spPr>
          <a:ln w="19050" cap="rnd">
            <a:solidFill>
              <a:srgbClr val="9869A7"/>
            </a:solidFill>
            <a:round/>
          </a:ln>
          <a:effectLst>
            <a:outerShdw blurRad="57150" dist="19050" dir="5400000" algn="ctr" rotWithShape="0">
              <a:srgbClr val="000000">
                <a:alpha val="63000"/>
              </a:srgbClr>
            </a:outerShdw>
          </a:effectLst>
        </c:spPr>
        <c:marker>
          <c:symbol val="circle"/>
          <c:size val="4"/>
          <c:spPr>
            <a:solidFill>
              <a:srgbClr val="9869A7"/>
            </a:solidFill>
            <a:ln w="9525">
              <a:noFill/>
              <a:round/>
            </a:ln>
            <a:effectLst>
              <a:outerShdw blurRad="57150" dist="19050" dir="5400000" algn="ctr" rotWithShape="0">
                <a:srgbClr val="000000">
                  <a:alpha val="63000"/>
                </a:srgbClr>
              </a:outerShdw>
            </a:effectLst>
          </c:spPr>
        </c:marker>
      </c:pivotFmt>
      <c:pivotFmt>
        <c:idx val="49"/>
        <c:spPr>
          <a:ln w="19050" cap="rnd">
            <a:solidFill>
              <a:srgbClr val="9869A7"/>
            </a:solidFill>
            <a:round/>
          </a:ln>
          <a:effectLst>
            <a:outerShdw blurRad="57150" dist="19050" dir="5400000" algn="ctr" rotWithShape="0">
              <a:srgbClr val="000000">
                <a:alpha val="63000"/>
              </a:srgbClr>
            </a:outerShdw>
          </a:effectLst>
        </c:spPr>
        <c:marker>
          <c:symbol val="circle"/>
          <c:size val="4"/>
          <c:spPr>
            <a:solidFill>
              <a:srgbClr val="9869A7"/>
            </a:solidFill>
            <a:ln w="9525">
              <a:noFill/>
              <a:round/>
            </a:ln>
            <a:effectLst>
              <a:outerShdw blurRad="57150" dist="19050" dir="5400000" algn="ctr" rotWithShape="0">
                <a:srgbClr val="000000">
                  <a:alpha val="63000"/>
                </a:srgbClr>
              </a:outerShdw>
            </a:effectLst>
          </c:spPr>
        </c:marker>
      </c:pivotFmt>
      <c:pivotFmt>
        <c:idx val="50"/>
        <c:spPr>
          <a:ln w="19050" cap="rnd">
            <a:solidFill>
              <a:srgbClr val="9869A7"/>
            </a:solidFill>
            <a:round/>
          </a:ln>
          <a:effectLst>
            <a:outerShdw blurRad="57150" dist="19050" dir="5400000" algn="ctr" rotWithShape="0">
              <a:srgbClr val="000000">
                <a:alpha val="63000"/>
              </a:srgbClr>
            </a:outerShdw>
          </a:effectLst>
        </c:spPr>
        <c:marker>
          <c:symbol val="circle"/>
          <c:size val="4"/>
          <c:spPr>
            <a:solidFill>
              <a:srgbClr val="9869A7"/>
            </a:solidFill>
            <a:ln w="9525">
              <a:noFill/>
              <a:round/>
            </a:ln>
            <a:effectLst>
              <a:outerShdw blurRad="57150" dist="19050" dir="5400000" algn="ctr" rotWithShape="0">
                <a:srgbClr val="000000">
                  <a:alpha val="63000"/>
                </a:srgbClr>
              </a:outerShdw>
            </a:effectLst>
          </c:spPr>
        </c:marker>
      </c:pivotFmt>
      <c:pivotFmt>
        <c:idx val="51"/>
        <c:spPr>
          <a:ln w="19050" cap="rnd">
            <a:solidFill>
              <a:srgbClr val="9869A7"/>
            </a:solidFill>
            <a:round/>
          </a:ln>
          <a:effectLst>
            <a:outerShdw blurRad="57150" dist="19050" dir="5400000" algn="ctr" rotWithShape="0">
              <a:srgbClr val="000000">
                <a:alpha val="63000"/>
              </a:srgbClr>
            </a:outerShdw>
          </a:effectLst>
        </c:spPr>
        <c:marker>
          <c:symbol val="circle"/>
          <c:size val="4"/>
          <c:spPr>
            <a:solidFill>
              <a:srgbClr val="9869A7"/>
            </a:solidFill>
            <a:ln w="9525">
              <a:noFill/>
              <a:round/>
            </a:ln>
            <a:effectLst>
              <a:outerShdw blurRad="57150" dist="19050" dir="5400000" algn="ctr" rotWithShape="0">
                <a:srgbClr val="000000">
                  <a:alpha val="63000"/>
                </a:srgbClr>
              </a:outerShdw>
            </a:effectLst>
          </c:spPr>
        </c:marker>
      </c:pivotFmt>
      <c:pivotFmt>
        <c:idx val="52"/>
        <c:spPr>
          <a:ln w="19050" cap="rnd">
            <a:solidFill>
              <a:srgbClr val="9869A7"/>
            </a:solidFill>
            <a:round/>
          </a:ln>
          <a:effectLst>
            <a:outerShdw blurRad="57150" dist="19050" dir="5400000" algn="ctr" rotWithShape="0">
              <a:srgbClr val="000000">
                <a:alpha val="63000"/>
              </a:srgbClr>
            </a:outerShdw>
          </a:effectLst>
        </c:spPr>
        <c:marker>
          <c:symbol val="circle"/>
          <c:size val="4"/>
          <c:spPr>
            <a:solidFill>
              <a:srgbClr val="9869A7"/>
            </a:solidFill>
            <a:ln w="9525">
              <a:noFill/>
              <a:round/>
            </a:ln>
            <a:effectLst>
              <a:outerShdw blurRad="57150" dist="19050" dir="5400000" algn="ctr" rotWithShape="0">
                <a:srgbClr val="000000">
                  <a:alpha val="63000"/>
                </a:srgbClr>
              </a:outerShdw>
            </a:effectLst>
          </c:spPr>
        </c:marker>
      </c:pivotFmt>
      <c:pivotFmt>
        <c:idx val="53"/>
        <c:spPr>
          <a:ln w="19050" cap="rnd">
            <a:solidFill>
              <a:srgbClr val="9869A7"/>
            </a:solidFill>
            <a:round/>
          </a:ln>
          <a:effectLst>
            <a:outerShdw blurRad="57150" dist="19050" dir="5400000" algn="ctr" rotWithShape="0">
              <a:srgbClr val="000000">
                <a:alpha val="63000"/>
              </a:srgbClr>
            </a:outerShdw>
          </a:effectLst>
        </c:spPr>
        <c:marker>
          <c:symbol val="circle"/>
          <c:size val="4"/>
          <c:spPr>
            <a:solidFill>
              <a:srgbClr val="9869A7"/>
            </a:solidFill>
            <a:ln w="9525">
              <a:noFill/>
              <a:round/>
            </a:ln>
            <a:effectLst>
              <a:outerShdw blurRad="57150" dist="19050" dir="5400000" algn="ctr" rotWithShape="0">
                <a:srgbClr val="000000">
                  <a:alpha val="63000"/>
                </a:srgbClr>
              </a:outerShdw>
            </a:effectLst>
          </c:spPr>
        </c:marker>
      </c:pivotFmt>
      <c:pivotFmt>
        <c:idx val="54"/>
        <c:spPr>
          <a:ln w="19050" cap="rnd">
            <a:solidFill>
              <a:srgbClr val="9869A7"/>
            </a:solidFill>
            <a:round/>
          </a:ln>
          <a:effectLst>
            <a:outerShdw blurRad="57150" dist="19050" dir="5400000" algn="ctr" rotWithShape="0">
              <a:srgbClr val="000000">
                <a:alpha val="63000"/>
              </a:srgbClr>
            </a:outerShdw>
          </a:effectLst>
        </c:spPr>
        <c:marker>
          <c:symbol val="circle"/>
          <c:size val="4"/>
          <c:spPr>
            <a:solidFill>
              <a:srgbClr val="9869A7"/>
            </a:solidFill>
            <a:ln w="9525">
              <a:noFill/>
              <a:round/>
            </a:ln>
            <a:effectLst>
              <a:outerShdw blurRad="57150" dist="19050" dir="5400000" algn="ctr" rotWithShape="0">
                <a:srgbClr val="000000">
                  <a:alpha val="63000"/>
                </a:srgbClr>
              </a:outerShdw>
            </a:effectLst>
          </c:spPr>
        </c:marker>
      </c:pivotFmt>
      <c:pivotFmt>
        <c:idx val="55"/>
        <c:spPr>
          <a:ln w="19050" cap="rnd">
            <a:solidFill>
              <a:srgbClr val="9869A7"/>
            </a:solidFill>
            <a:round/>
          </a:ln>
          <a:effectLst>
            <a:outerShdw blurRad="57150" dist="19050" dir="5400000" algn="ctr" rotWithShape="0">
              <a:srgbClr val="000000">
                <a:alpha val="63000"/>
              </a:srgbClr>
            </a:outerShdw>
          </a:effectLst>
        </c:spPr>
        <c:marker>
          <c:symbol val="circle"/>
          <c:size val="4"/>
          <c:spPr>
            <a:solidFill>
              <a:srgbClr val="9869A7"/>
            </a:solidFill>
            <a:ln w="9525">
              <a:noFill/>
              <a:round/>
            </a:ln>
            <a:effectLst>
              <a:outerShdw blurRad="57150" dist="19050" dir="5400000" algn="ctr" rotWithShape="0">
                <a:srgbClr val="000000">
                  <a:alpha val="63000"/>
                </a:srgbClr>
              </a:outerShdw>
            </a:effectLst>
          </c:spPr>
        </c:marker>
      </c:pivotFmt>
      <c:pivotFmt>
        <c:idx val="56"/>
        <c:spPr>
          <a:ln w="19050" cap="rnd">
            <a:solidFill>
              <a:srgbClr val="9869A7"/>
            </a:solidFill>
            <a:round/>
          </a:ln>
          <a:effectLst>
            <a:outerShdw blurRad="57150" dist="19050" dir="5400000" algn="ctr" rotWithShape="0">
              <a:srgbClr val="000000">
                <a:alpha val="63000"/>
              </a:srgbClr>
            </a:outerShdw>
          </a:effectLst>
        </c:spPr>
        <c:marker>
          <c:symbol val="circle"/>
          <c:size val="4"/>
          <c:spPr>
            <a:solidFill>
              <a:srgbClr val="9869A7"/>
            </a:solidFill>
            <a:ln w="9525">
              <a:noFill/>
              <a:round/>
            </a:ln>
            <a:effectLst>
              <a:outerShdw blurRad="57150" dist="19050" dir="5400000" algn="ctr" rotWithShape="0">
                <a:srgbClr val="000000">
                  <a:alpha val="63000"/>
                </a:srgbClr>
              </a:outerShdw>
            </a:effectLst>
          </c:spPr>
        </c:marker>
      </c:pivotFmt>
      <c:pivotFmt>
        <c:idx val="57"/>
        <c:spPr>
          <a:ln w="19050" cap="rnd">
            <a:solidFill>
              <a:srgbClr val="9869A7"/>
            </a:solidFill>
            <a:round/>
          </a:ln>
          <a:effectLst>
            <a:outerShdw blurRad="57150" dist="19050" dir="5400000" algn="ctr" rotWithShape="0">
              <a:srgbClr val="000000">
                <a:alpha val="63000"/>
              </a:srgbClr>
            </a:outerShdw>
          </a:effectLst>
        </c:spPr>
        <c:marker>
          <c:symbol val="circle"/>
          <c:size val="4"/>
          <c:spPr>
            <a:solidFill>
              <a:srgbClr val="9869A7"/>
            </a:solidFill>
            <a:ln w="9525">
              <a:noFill/>
              <a:round/>
            </a:ln>
            <a:effectLst>
              <a:outerShdw blurRad="57150" dist="19050" dir="5400000" algn="ctr" rotWithShape="0">
                <a:srgbClr val="000000">
                  <a:alpha val="63000"/>
                </a:srgbClr>
              </a:outerShdw>
            </a:effectLst>
          </c:spPr>
        </c:marker>
      </c:pivotFmt>
      <c:pivotFmt>
        <c:idx val="58"/>
        <c:spPr>
          <a:ln w="19050" cap="rnd">
            <a:solidFill>
              <a:srgbClr val="FEBAF6"/>
            </a:solidFill>
            <a:round/>
          </a:ln>
          <a:effectLst>
            <a:outerShdw blurRad="57150" dist="19050" dir="5400000" algn="ctr" rotWithShape="0">
              <a:srgbClr val="000000">
                <a:alpha val="63000"/>
              </a:srgbClr>
            </a:outerShdw>
          </a:effectLst>
        </c:spPr>
        <c:marker>
          <c:symbol val="circle"/>
          <c:size val="4"/>
          <c:spPr>
            <a:solidFill>
              <a:srgbClr val="FEBAF6"/>
            </a:solidFill>
            <a:ln w="9525">
              <a:noFill/>
              <a:round/>
            </a:ln>
            <a:effectLst>
              <a:outerShdw blurRad="57150" dist="19050" dir="5400000" algn="ctr" rotWithShape="0">
                <a:srgbClr val="000000">
                  <a:alpha val="63000"/>
                </a:srgbClr>
              </a:outerShdw>
            </a:effectLst>
          </c:spPr>
        </c:marker>
      </c:pivotFmt>
      <c:pivotFmt>
        <c:idx val="59"/>
        <c:spPr>
          <a:ln w="19050" cap="rnd">
            <a:solidFill>
              <a:srgbClr val="FEBAF6"/>
            </a:solidFill>
            <a:round/>
          </a:ln>
          <a:effectLst>
            <a:outerShdw blurRad="57150" dist="19050" dir="5400000" algn="ctr" rotWithShape="0">
              <a:srgbClr val="000000">
                <a:alpha val="63000"/>
              </a:srgbClr>
            </a:outerShdw>
          </a:effectLst>
        </c:spPr>
        <c:marker>
          <c:symbol val="circle"/>
          <c:size val="4"/>
          <c:spPr>
            <a:solidFill>
              <a:srgbClr val="FEBAF6"/>
            </a:solidFill>
            <a:ln w="9525">
              <a:noFill/>
              <a:round/>
            </a:ln>
            <a:effectLst>
              <a:outerShdw blurRad="57150" dist="19050" dir="5400000" algn="ctr" rotWithShape="0">
                <a:srgbClr val="000000">
                  <a:alpha val="63000"/>
                </a:srgbClr>
              </a:outerShdw>
            </a:effectLst>
          </c:spPr>
        </c:marker>
      </c:pivotFmt>
      <c:pivotFmt>
        <c:idx val="60"/>
        <c:spPr>
          <a:ln w="19050" cap="rnd">
            <a:solidFill>
              <a:srgbClr val="FEBAF6"/>
            </a:solidFill>
            <a:round/>
          </a:ln>
          <a:effectLst>
            <a:outerShdw blurRad="57150" dist="19050" dir="5400000" algn="ctr" rotWithShape="0">
              <a:srgbClr val="000000">
                <a:alpha val="63000"/>
              </a:srgbClr>
            </a:outerShdw>
          </a:effectLst>
        </c:spPr>
        <c:marker>
          <c:symbol val="circle"/>
          <c:size val="4"/>
          <c:spPr>
            <a:solidFill>
              <a:srgbClr val="FEBAF6"/>
            </a:solidFill>
            <a:ln w="9525">
              <a:noFill/>
              <a:round/>
            </a:ln>
            <a:effectLst>
              <a:outerShdw blurRad="57150" dist="19050" dir="5400000" algn="ctr" rotWithShape="0">
                <a:srgbClr val="000000">
                  <a:alpha val="63000"/>
                </a:srgbClr>
              </a:outerShdw>
            </a:effectLst>
          </c:spPr>
        </c:marker>
      </c:pivotFmt>
      <c:pivotFmt>
        <c:idx val="61"/>
        <c:spPr>
          <a:ln w="19050" cap="rnd">
            <a:solidFill>
              <a:srgbClr val="FEBAF6"/>
            </a:solidFill>
            <a:round/>
          </a:ln>
          <a:effectLst>
            <a:outerShdw blurRad="57150" dist="19050" dir="5400000" algn="ctr" rotWithShape="0">
              <a:srgbClr val="000000">
                <a:alpha val="63000"/>
              </a:srgbClr>
            </a:outerShdw>
          </a:effectLst>
        </c:spPr>
        <c:marker>
          <c:symbol val="circle"/>
          <c:size val="4"/>
          <c:spPr>
            <a:solidFill>
              <a:srgbClr val="FEBAF6"/>
            </a:solidFill>
            <a:ln w="9525">
              <a:noFill/>
              <a:round/>
            </a:ln>
            <a:effectLst>
              <a:outerShdw blurRad="57150" dist="19050" dir="5400000" algn="ctr" rotWithShape="0">
                <a:srgbClr val="000000">
                  <a:alpha val="63000"/>
                </a:srgbClr>
              </a:outerShdw>
            </a:effectLst>
          </c:spPr>
        </c:marker>
      </c:pivotFmt>
      <c:pivotFmt>
        <c:idx val="62"/>
        <c:spPr>
          <a:ln w="19050" cap="rnd">
            <a:solidFill>
              <a:srgbClr val="FEBAF6"/>
            </a:solidFill>
            <a:round/>
          </a:ln>
          <a:effectLst>
            <a:outerShdw blurRad="57150" dist="19050" dir="5400000" algn="ctr" rotWithShape="0">
              <a:srgbClr val="000000">
                <a:alpha val="63000"/>
              </a:srgbClr>
            </a:outerShdw>
          </a:effectLst>
        </c:spPr>
        <c:marker>
          <c:symbol val="circle"/>
          <c:size val="4"/>
          <c:spPr>
            <a:solidFill>
              <a:srgbClr val="FEBAF6"/>
            </a:solidFill>
            <a:ln w="9525">
              <a:noFill/>
              <a:round/>
            </a:ln>
            <a:effectLst>
              <a:outerShdw blurRad="57150" dist="19050" dir="5400000" algn="ctr" rotWithShape="0">
                <a:srgbClr val="000000">
                  <a:alpha val="63000"/>
                </a:srgbClr>
              </a:outerShdw>
            </a:effectLst>
          </c:spPr>
        </c:marker>
      </c:pivotFmt>
      <c:pivotFmt>
        <c:idx val="63"/>
        <c:spPr>
          <a:ln w="19050" cap="rnd">
            <a:solidFill>
              <a:srgbClr val="FEBAF6"/>
            </a:solidFill>
            <a:round/>
          </a:ln>
          <a:effectLst>
            <a:outerShdw blurRad="57150" dist="19050" dir="5400000" algn="ctr" rotWithShape="0">
              <a:srgbClr val="000000">
                <a:alpha val="63000"/>
              </a:srgbClr>
            </a:outerShdw>
          </a:effectLst>
        </c:spPr>
        <c:marker>
          <c:symbol val="circle"/>
          <c:size val="4"/>
          <c:spPr>
            <a:solidFill>
              <a:srgbClr val="FEBAF6"/>
            </a:solidFill>
            <a:ln w="9525">
              <a:noFill/>
              <a:round/>
            </a:ln>
            <a:effectLst>
              <a:outerShdw blurRad="57150" dist="19050" dir="5400000" algn="ctr" rotWithShape="0">
                <a:srgbClr val="000000">
                  <a:alpha val="63000"/>
                </a:srgbClr>
              </a:outerShdw>
            </a:effectLst>
          </c:spPr>
        </c:marker>
      </c:pivotFmt>
      <c:pivotFmt>
        <c:idx val="64"/>
        <c:spPr>
          <a:ln w="19050" cap="rnd">
            <a:solidFill>
              <a:srgbClr val="FEBAF6"/>
            </a:solidFill>
            <a:round/>
          </a:ln>
          <a:effectLst>
            <a:outerShdw blurRad="57150" dist="19050" dir="5400000" algn="ctr" rotWithShape="0">
              <a:srgbClr val="000000">
                <a:alpha val="63000"/>
              </a:srgbClr>
            </a:outerShdw>
          </a:effectLst>
        </c:spPr>
        <c:marker>
          <c:symbol val="circle"/>
          <c:size val="4"/>
          <c:spPr>
            <a:solidFill>
              <a:srgbClr val="FEBAF6"/>
            </a:solidFill>
            <a:ln w="9525">
              <a:noFill/>
              <a:round/>
            </a:ln>
            <a:effectLst>
              <a:outerShdw blurRad="57150" dist="19050" dir="5400000" algn="ctr" rotWithShape="0">
                <a:srgbClr val="000000">
                  <a:alpha val="63000"/>
                </a:srgbClr>
              </a:outerShdw>
            </a:effectLst>
          </c:spPr>
        </c:marker>
      </c:pivotFmt>
      <c:pivotFmt>
        <c:idx val="65"/>
        <c:spPr>
          <a:ln w="19050" cap="rnd">
            <a:solidFill>
              <a:srgbClr val="FEBAF6"/>
            </a:solidFill>
            <a:round/>
          </a:ln>
          <a:effectLst>
            <a:outerShdw blurRad="57150" dist="19050" dir="5400000" algn="ctr" rotWithShape="0">
              <a:srgbClr val="000000">
                <a:alpha val="63000"/>
              </a:srgbClr>
            </a:outerShdw>
          </a:effectLst>
        </c:spPr>
        <c:marker>
          <c:symbol val="circle"/>
          <c:size val="4"/>
          <c:spPr>
            <a:solidFill>
              <a:srgbClr val="FEBAF6"/>
            </a:solidFill>
            <a:ln w="9525">
              <a:noFill/>
              <a:round/>
            </a:ln>
            <a:effectLst>
              <a:outerShdw blurRad="57150" dist="19050" dir="5400000" algn="ctr" rotWithShape="0">
                <a:srgbClr val="000000">
                  <a:alpha val="63000"/>
                </a:srgbClr>
              </a:outerShdw>
            </a:effectLst>
          </c:spPr>
        </c:marker>
      </c:pivotFmt>
      <c:pivotFmt>
        <c:idx val="66"/>
        <c:spPr>
          <a:ln w="19050" cap="rnd">
            <a:solidFill>
              <a:srgbClr val="FEBAF6"/>
            </a:solidFill>
            <a:round/>
          </a:ln>
          <a:effectLst>
            <a:outerShdw blurRad="57150" dist="19050" dir="5400000" algn="ctr" rotWithShape="0">
              <a:srgbClr val="000000">
                <a:alpha val="63000"/>
              </a:srgbClr>
            </a:outerShdw>
          </a:effectLst>
        </c:spPr>
        <c:marker>
          <c:symbol val="circle"/>
          <c:size val="4"/>
          <c:spPr>
            <a:solidFill>
              <a:srgbClr val="FEBAF6"/>
            </a:solidFill>
            <a:ln w="9525">
              <a:noFill/>
              <a:round/>
            </a:ln>
            <a:effectLst>
              <a:outerShdw blurRad="57150" dist="19050" dir="5400000" algn="ctr" rotWithShape="0">
                <a:srgbClr val="000000">
                  <a:alpha val="63000"/>
                </a:srgbClr>
              </a:outerShdw>
            </a:effectLst>
          </c:spPr>
        </c:marker>
      </c:pivotFmt>
      <c:pivotFmt>
        <c:idx val="67"/>
        <c:spPr>
          <a:ln w="19050" cap="rnd">
            <a:solidFill>
              <a:srgbClr val="FEBAF6"/>
            </a:solidFill>
            <a:round/>
          </a:ln>
          <a:effectLst>
            <a:outerShdw blurRad="57150" dist="19050" dir="5400000" algn="ctr" rotWithShape="0">
              <a:srgbClr val="000000">
                <a:alpha val="63000"/>
              </a:srgbClr>
            </a:outerShdw>
          </a:effectLst>
        </c:spPr>
        <c:marker>
          <c:symbol val="circle"/>
          <c:size val="4"/>
          <c:spPr>
            <a:solidFill>
              <a:srgbClr val="FEBAF6"/>
            </a:solidFill>
            <a:ln w="9525">
              <a:noFill/>
              <a:round/>
            </a:ln>
            <a:effectLst>
              <a:outerShdw blurRad="57150" dist="19050" dir="5400000" algn="ctr" rotWithShape="0">
                <a:srgbClr val="000000">
                  <a:alpha val="63000"/>
                </a:srgbClr>
              </a:outerShdw>
            </a:effectLst>
          </c:spPr>
        </c:marker>
      </c:pivotFmt>
      <c:pivotFmt>
        <c:idx val="68"/>
        <c:spPr>
          <a:ln w="19050" cap="rnd">
            <a:solidFill>
              <a:srgbClr val="660066"/>
            </a:solidFill>
            <a:round/>
          </a:ln>
          <a:effectLst>
            <a:outerShdw blurRad="57150" dist="19050" dir="5400000" algn="ctr" rotWithShape="0">
              <a:srgbClr val="000000">
                <a:alpha val="63000"/>
              </a:srgbClr>
            </a:outerShdw>
          </a:effectLst>
        </c:spPr>
        <c:marker>
          <c:symbol val="circle"/>
          <c:size val="4"/>
          <c:spPr>
            <a:solidFill>
              <a:srgbClr val="800271"/>
            </a:solidFill>
            <a:ln w="9525">
              <a:noFill/>
              <a:round/>
            </a:ln>
            <a:effectLst>
              <a:outerShdw blurRad="57150" dist="19050" dir="5400000" algn="ctr" rotWithShape="0">
                <a:srgbClr val="000000">
                  <a:alpha val="63000"/>
                </a:srgbClr>
              </a:outerShdw>
            </a:effectLst>
          </c:spPr>
        </c:marker>
      </c:pivotFmt>
      <c:pivotFmt>
        <c:idx val="69"/>
        <c:spPr>
          <a:ln w="19050" cap="rnd">
            <a:solidFill>
              <a:srgbClr val="660066"/>
            </a:solidFill>
            <a:round/>
          </a:ln>
          <a:effectLst>
            <a:outerShdw blurRad="57150" dist="19050" dir="5400000" algn="ctr" rotWithShape="0">
              <a:srgbClr val="000000">
                <a:alpha val="63000"/>
              </a:srgbClr>
            </a:outerShdw>
          </a:effectLst>
        </c:spPr>
        <c:marker>
          <c:symbol val="circle"/>
          <c:size val="4"/>
          <c:spPr>
            <a:solidFill>
              <a:srgbClr val="800271"/>
            </a:solidFill>
            <a:ln w="9525">
              <a:noFill/>
              <a:round/>
            </a:ln>
            <a:effectLst>
              <a:outerShdw blurRad="57150" dist="19050" dir="5400000" algn="ctr" rotWithShape="0">
                <a:srgbClr val="000000">
                  <a:alpha val="63000"/>
                </a:srgbClr>
              </a:outerShdw>
            </a:effectLst>
          </c:spPr>
        </c:marker>
      </c:pivotFmt>
      <c:pivotFmt>
        <c:idx val="70"/>
        <c:spPr>
          <a:ln w="19050" cap="rnd">
            <a:solidFill>
              <a:srgbClr val="660066"/>
            </a:solidFill>
            <a:round/>
          </a:ln>
          <a:effectLst>
            <a:outerShdw blurRad="57150" dist="19050" dir="5400000" algn="ctr" rotWithShape="0">
              <a:srgbClr val="000000">
                <a:alpha val="63000"/>
              </a:srgbClr>
            </a:outerShdw>
          </a:effectLst>
        </c:spPr>
        <c:marker>
          <c:symbol val="circle"/>
          <c:size val="4"/>
          <c:spPr>
            <a:solidFill>
              <a:srgbClr val="800271"/>
            </a:solidFill>
            <a:ln w="9525">
              <a:noFill/>
              <a:round/>
            </a:ln>
            <a:effectLst>
              <a:outerShdw blurRad="57150" dist="19050" dir="5400000" algn="ctr" rotWithShape="0">
                <a:srgbClr val="000000">
                  <a:alpha val="63000"/>
                </a:srgbClr>
              </a:outerShdw>
            </a:effectLst>
          </c:spPr>
        </c:marker>
      </c:pivotFmt>
      <c:pivotFmt>
        <c:idx val="71"/>
        <c:spPr>
          <a:ln w="19050" cap="rnd">
            <a:solidFill>
              <a:srgbClr val="660066"/>
            </a:solidFill>
            <a:round/>
          </a:ln>
          <a:effectLst>
            <a:outerShdw blurRad="57150" dist="19050" dir="5400000" algn="ctr" rotWithShape="0">
              <a:srgbClr val="000000">
                <a:alpha val="63000"/>
              </a:srgbClr>
            </a:outerShdw>
          </a:effectLst>
        </c:spPr>
        <c:marker>
          <c:symbol val="circle"/>
          <c:size val="4"/>
          <c:spPr>
            <a:solidFill>
              <a:srgbClr val="800271"/>
            </a:solidFill>
            <a:ln w="9525">
              <a:noFill/>
              <a:round/>
            </a:ln>
            <a:effectLst>
              <a:outerShdw blurRad="57150" dist="19050" dir="5400000" algn="ctr" rotWithShape="0">
                <a:srgbClr val="000000">
                  <a:alpha val="63000"/>
                </a:srgbClr>
              </a:outerShdw>
            </a:effectLst>
          </c:spPr>
        </c:marker>
      </c:pivotFmt>
      <c:pivotFmt>
        <c:idx val="72"/>
        <c:spPr>
          <a:ln w="19050" cap="rnd">
            <a:solidFill>
              <a:srgbClr val="9869A7"/>
            </a:solidFill>
            <a:round/>
          </a:ln>
          <a:effectLst>
            <a:outerShdw blurRad="57150" dist="19050" dir="5400000" algn="ctr" rotWithShape="0">
              <a:srgbClr val="000000">
                <a:alpha val="63000"/>
              </a:srgbClr>
            </a:outerShdw>
          </a:effectLst>
        </c:spPr>
        <c:marker>
          <c:symbol val="circle"/>
          <c:size val="4"/>
          <c:spPr>
            <a:solidFill>
              <a:srgbClr val="9869A7"/>
            </a:solidFill>
            <a:ln w="9525">
              <a:noFill/>
              <a:round/>
            </a:ln>
            <a:effectLst>
              <a:outerShdw blurRad="57150" dist="19050" dir="5400000" algn="ctr" rotWithShape="0">
                <a:srgbClr val="000000">
                  <a:alpha val="63000"/>
                </a:srgbClr>
              </a:outerShdw>
            </a:effectLst>
          </c:spPr>
        </c:marker>
      </c:pivotFmt>
      <c:pivotFmt>
        <c:idx val="73"/>
        <c:spPr>
          <a:ln w="19050" cap="rnd">
            <a:solidFill>
              <a:srgbClr val="FEBAF6"/>
            </a:solidFill>
            <a:round/>
          </a:ln>
          <a:effectLst>
            <a:outerShdw blurRad="57150" dist="19050" dir="5400000" algn="ctr" rotWithShape="0">
              <a:srgbClr val="000000">
                <a:alpha val="63000"/>
              </a:srgbClr>
            </a:outerShdw>
          </a:effectLst>
        </c:spPr>
        <c:marker>
          <c:symbol val="circle"/>
          <c:size val="4"/>
          <c:spPr>
            <a:solidFill>
              <a:srgbClr val="FEBAF6"/>
            </a:solidFill>
            <a:ln w="9525">
              <a:noFill/>
              <a:round/>
            </a:ln>
            <a:effectLst>
              <a:outerShdw blurRad="57150" dist="19050" dir="5400000" algn="ctr" rotWithShape="0">
                <a:srgbClr val="000000">
                  <a:alpha val="63000"/>
                </a:srgbClr>
              </a:outerShdw>
            </a:effectLst>
          </c:spPr>
        </c:marker>
      </c:pivotFmt>
      <c:pivotFmt>
        <c:idx val="74"/>
        <c:spPr>
          <a:ln w="19050" cap="rnd">
            <a:solidFill>
              <a:srgbClr val="660066"/>
            </a:solidFill>
            <a:round/>
          </a:ln>
          <a:effectLst>
            <a:outerShdw blurRad="57150" dist="19050" dir="5400000" algn="ctr" rotWithShape="0">
              <a:srgbClr val="000000">
                <a:alpha val="63000"/>
              </a:srgbClr>
            </a:outerShdw>
          </a:effectLst>
        </c:spPr>
        <c:marker>
          <c:symbol val="circle"/>
          <c:size val="4"/>
          <c:spPr>
            <a:solidFill>
              <a:srgbClr val="800271"/>
            </a:solidFill>
            <a:ln w="9525">
              <a:noFill/>
              <a:round/>
            </a:ln>
            <a:effectLst>
              <a:outerShdw blurRad="57150" dist="19050" dir="5400000" algn="ctr" rotWithShape="0">
                <a:srgbClr val="000000">
                  <a:alpha val="63000"/>
                </a:srgbClr>
              </a:outerShdw>
            </a:effectLst>
          </c:spPr>
        </c:marker>
      </c:pivotFmt>
    </c:pivotFmts>
    <c:plotArea>
      <c:layout>
        <c:manualLayout>
          <c:layoutTarget val="inner"/>
          <c:xMode val="edge"/>
          <c:yMode val="edge"/>
          <c:x val="0.21134261344786323"/>
          <c:y val="0.11677422360835718"/>
          <c:w val="0.74082787553354656"/>
          <c:h val="0.66268651071608686"/>
        </c:manualLayout>
      </c:layout>
      <c:lineChart>
        <c:grouping val="standard"/>
        <c:varyColors val="0"/>
        <c:ser>
          <c:idx val="0"/>
          <c:order val="0"/>
          <c:tx>
            <c:strRef>
              <c:f>'peads-5-14'!$J$5</c:f>
              <c:strCache>
                <c:ptCount val="1"/>
                <c:pt idx="0">
                  <c:v> CD4&lt;200%</c:v>
                </c:pt>
              </c:strCache>
            </c:strRef>
          </c:tx>
          <c:spPr>
            <a:ln w="19050" cap="rnd">
              <a:solidFill>
                <a:srgbClr val="9869A7"/>
              </a:solidFill>
              <a:round/>
            </a:ln>
            <a:effectLst>
              <a:outerShdw blurRad="57150" dist="19050" dir="5400000" algn="ctr" rotWithShape="0">
                <a:srgbClr val="000000">
                  <a:alpha val="63000"/>
                </a:srgbClr>
              </a:outerShdw>
            </a:effectLst>
          </c:spPr>
          <c:marker>
            <c:symbol val="circle"/>
            <c:size val="4"/>
            <c:spPr>
              <a:solidFill>
                <a:srgbClr val="9869A7"/>
              </a:solidFill>
              <a:ln w="9525">
                <a:noFill/>
                <a:round/>
              </a:ln>
              <a:effectLst>
                <a:outerShdw blurRad="57150" dist="19050" dir="5400000" algn="ctr" rotWithShape="0">
                  <a:srgbClr val="000000">
                    <a:alpha val="63000"/>
                  </a:srgbClr>
                </a:outerShdw>
              </a:effectLst>
            </c:spPr>
          </c:marker>
          <c:dPt>
            <c:idx val="0"/>
            <c:marker>
              <c:symbol val="circle"/>
              <c:size val="4"/>
              <c:spPr>
                <a:solidFill>
                  <a:srgbClr val="9869A7"/>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1-312E-48AB-983B-0FF471EE47C4}"/>
              </c:ext>
            </c:extLst>
          </c:dPt>
          <c:dPt>
            <c:idx val="1"/>
            <c:marker>
              <c:symbol val="circle"/>
              <c:size val="4"/>
              <c:spPr>
                <a:solidFill>
                  <a:srgbClr val="9869A7"/>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3-312E-48AB-983B-0FF471EE47C4}"/>
              </c:ext>
            </c:extLst>
          </c:dPt>
          <c:dPt>
            <c:idx val="2"/>
            <c:marker>
              <c:symbol val="circle"/>
              <c:size val="4"/>
              <c:spPr>
                <a:solidFill>
                  <a:srgbClr val="9869A7"/>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0-4CE4-4E52-973C-E5102F60DCFD}"/>
              </c:ext>
            </c:extLst>
          </c:dPt>
          <c:dPt>
            <c:idx val="3"/>
            <c:marker>
              <c:symbol val="circle"/>
              <c:size val="4"/>
              <c:spPr>
                <a:solidFill>
                  <a:srgbClr val="9869A7"/>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3-9B3E-4E99-89A3-8ED3F65B03C3}"/>
              </c:ext>
            </c:extLst>
          </c:dPt>
          <c:dPt>
            <c:idx val="4"/>
            <c:marker>
              <c:symbol val="circle"/>
              <c:size val="4"/>
              <c:spPr>
                <a:solidFill>
                  <a:srgbClr val="9869A7"/>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3-70FF-4A13-92D8-3A30D4AB3267}"/>
              </c:ext>
            </c:extLst>
          </c:dPt>
          <c:dPt>
            <c:idx val="5"/>
            <c:marker>
              <c:symbol val="circle"/>
              <c:size val="4"/>
              <c:spPr>
                <a:solidFill>
                  <a:srgbClr val="9869A7"/>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0-CA1C-4A74-8E28-89D2A7EF1D03}"/>
              </c:ext>
            </c:extLst>
          </c:dPt>
          <c:dPt>
            <c:idx val="6"/>
            <c:marker>
              <c:symbol val="circle"/>
              <c:size val="4"/>
              <c:spPr>
                <a:solidFill>
                  <a:srgbClr val="9869A7"/>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6-517D-4B33-A63C-D92EEB437137}"/>
              </c:ext>
            </c:extLst>
          </c:dPt>
          <c:dPt>
            <c:idx val="7"/>
            <c:marker>
              <c:symbol val="circle"/>
              <c:size val="4"/>
              <c:spPr>
                <a:solidFill>
                  <a:srgbClr val="9869A7"/>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7-517D-4B33-A63C-D92EEB437137}"/>
              </c:ext>
            </c:extLst>
          </c:dPt>
          <c:dPt>
            <c:idx val="12"/>
            <c:marker>
              <c:symbol val="circle"/>
              <c:size val="4"/>
              <c:spPr>
                <a:solidFill>
                  <a:srgbClr val="9869A7"/>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9-517D-4B33-A63C-D92EEB437137}"/>
              </c:ext>
            </c:extLst>
          </c:dPt>
          <c:dPt>
            <c:idx val="13"/>
            <c:marker>
              <c:symbol val="circle"/>
              <c:size val="4"/>
              <c:spPr>
                <a:solidFill>
                  <a:srgbClr val="9869A7"/>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B-517D-4B33-A63C-D92EEB437137}"/>
              </c:ext>
            </c:extLst>
          </c:dPt>
          <c:dPt>
            <c:idx val="14"/>
            <c:marker>
              <c:symbol val="circle"/>
              <c:size val="4"/>
              <c:spPr>
                <a:solidFill>
                  <a:srgbClr val="9869A7"/>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D-517D-4B33-A63C-D92EEB437137}"/>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'peads-5-14'!$I$6:$I$25</c:f>
              <c:multiLvlStrCache>
                <c:ptCount val="1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2024</c:v>
                  </c:pt>
                  <c:pt idx="12">
                    <c:v>2025</c:v>
                  </c:pt>
                </c:lvl>
              </c:multiLvlStrCache>
            </c:multiLvlStrRef>
          </c:cat>
          <c:val>
            <c:numRef>
              <c:f>'peads-5-14'!$J$6:$J$25</c:f>
              <c:numCache>
                <c:formatCode>General</c:formatCode>
                <c:ptCount val="17"/>
                <c:pt idx="0">
                  <c:v>0.15789473684210525</c:v>
                </c:pt>
                <c:pt idx="1">
                  <c:v>0.15789473684210525</c:v>
                </c:pt>
                <c:pt idx="2">
                  <c:v>0.25</c:v>
                </c:pt>
                <c:pt idx="3">
                  <c:v>0</c:v>
                </c:pt>
                <c:pt idx="4">
                  <c:v>0.21428571428571427</c:v>
                </c:pt>
                <c:pt idx="5">
                  <c:v>0.13043478260869565</c:v>
                </c:pt>
                <c:pt idx="6">
                  <c:v>0.2</c:v>
                </c:pt>
                <c:pt idx="7">
                  <c:v>0.25</c:v>
                </c:pt>
                <c:pt idx="8">
                  <c:v>0.23529411764705882</c:v>
                </c:pt>
                <c:pt idx="9">
                  <c:v>0.2</c:v>
                </c:pt>
                <c:pt idx="10">
                  <c:v>0.18181818181818182</c:v>
                </c:pt>
                <c:pt idx="11">
                  <c:v>0.14285714285714285</c:v>
                </c:pt>
                <c:pt idx="12">
                  <c:v>0.2857142857142857</c:v>
                </c:pt>
                <c:pt idx="13">
                  <c:v>0.2857142857142857</c:v>
                </c:pt>
                <c:pt idx="14">
                  <c:v>0.11764705882352941</c:v>
                </c:pt>
                <c:pt idx="15">
                  <c:v>9.0909090909090912E-2</c:v>
                </c:pt>
                <c:pt idx="16">
                  <c:v>0.15384615384615385</c:v>
                </c:pt>
              </c:numCache>
            </c:numRef>
          </c:val>
          <c:smooth val="1"/>
          <c:extLst>
            <c:ext xmlns:c16="http://schemas.microsoft.com/office/drawing/2014/chart" uri="{C3380CC4-5D6E-409C-BE32-E72D297353CC}">
              <c16:uniqueId val="{00000001-CA1C-4A74-8E28-89D2A7EF1D03}"/>
            </c:ext>
          </c:extLst>
        </c:ser>
        <c:ser>
          <c:idx val="1"/>
          <c:order val="1"/>
          <c:tx>
            <c:strRef>
              <c:f>'peads-5-14'!$K$5</c:f>
              <c:strCache>
                <c:ptCount val="1"/>
                <c:pt idx="0">
                  <c:v> LAM+%</c:v>
                </c:pt>
              </c:strCache>
            </c:strRef>
          </c:tx>
          <c:spPr>
            <a:ln w="19050" cap="rnd">
              <a:solidFill>
                <a:srgbClr val="FEBAF6"/>
              </a:solidFill>
              <a:round/>
            </a:ln>
            <a:effectLst>
              <a:outerShdw blurRad="57150" dist="19050" dir="5400000" algn="ctr" rotWithShape="0">
                <a:srgbClr val="000000">
                  <a:alpha val="63000"/>
                </a:srgbClr>
              </a:outerShdw>
            </a:effectLst>
          </c:spPr>
          <c:marker>
            <c:symbol val="circle"/>
            <c:size val="4"/>
            <c:spPr>
              <a:solidFill>
                <a:srgbClr val="FEBAF6"/>
              </a:solidFill>
              <a:ln w="9525">
                <a:noFill/>
                <a:round/>
              </a:ln>
              <a:effectLst>
                <a:outerShdw blurRad="57150" dist="19050" dir="5400000" algn="ctr" rotWithShape="0">
                  <a:srgbClr val="000000">
                    <a:alpha val="63000"/>
                  </a:srgbClr>
                </a:outerShdw>
              </a:effectLst>
            </c:spPr>
          </c:marker>
          <c:dPt>
            <c:idx val="0"/>
            <c:marker>
              <c:symbol val="circle"/>
              <c:size val="4"/>
              <c:spPr>
                <a:solidFill>
                  <a:srgbClr val="FEBAF6"/>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9-312E-48AB-983B-0FF471EE47C4}"/>
              </c:ext>
            </c:extLst>
          </c:dPt>
          <c:dPt>
            <c:idx val="1"/>
            <c:marker>
              <c:symbol val="circle"/>
              <c:size val="4"/>
              <c:spPr>
                <a:solidFill>
                  <a:srgbClr val="FEBAF6"/>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B-312E-48AB-983B-0FF471EE47C4}"/>
              </c:ext>
            </c:extLst>
          </c:dPt>
          <c:dPt>
            <c:idx val="2"/>
            <c:marker>
              <c:symbol val="circle"/>
              <c:size val="4"/>
              <c:spPr>
                <a:solidFill>
                  <a:srgbClr val="FEBAF6"/>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2-4CE4-4E52-973C-E5102F60DCFD}"/>
              </c:ext>
            </c:extLst>
          </c:dPt>
          <c:dPt>
            <c:idx val="3"/>
            <c:marker>
              <c:symbol val="circle"/>
              <c:size val="4"/>
              <c:spPr>
                <a:solidFill>
                  <a:srgbClr val="FEBAF6"/>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A-9B3E-4E99-89A3-8ED3F65B03C3}"/>
              </c:ext>
            </c:extLst>
          </c:dPt>
          <c:dPt>
            <c:idx val="4"/>
            <c:marker>
              <c:symbol val="circle"/>
              <c:size val="4"/>
              <c:spPr>
                <a:solidFill>
                  <a:srgbClr val="FEBAF6"/>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7-70FF-4A13-92D8-3A30D4AB3267}"/>
              </c:ext>
            </c:extLst>
          </c:dPt>
          <c:dPt>
            <c:idx val="5"/>
            <c:marker>
              <c:symbol val="circle"/>
              <c:size val="4"/>
              <c:spPr>
                <a:solidFill>
                  <a:srgbClr val="FEBAF6"/>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2-CA1C-4A74-8E28-89D2A7EF1D03}"/>
              </c:ext>
            </c:extLst>
          </c:dPt>
          <c:dPt>
            <c:idx val="6"/>
            <c:marker>
              <c:symbol val="circle"/>
              <c:size val="4"/>
              <c:spPr>
                <a:solidFill>
                  <a:srgbClr val="FEBAF6"/>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14-517D-4B33-A63C-D92EEB437137}"/>
              </c:ext>
            </c:extLst>
          </c:dPt>
          <c:dPt>
            <c:idx val="7"/>
            <c:marker>
              <c:symbol val="circle"/>
              <c:size val="4"/>
              <c:spPr>
                <a:solidFill>
                  <a:srgbClr val="FEBAF6"/>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15-517D-4B33-A63C-D92EEB437137}"/>
              </c:ext>
            </c:extLst>
          </c:dPt>
          <c:dPt>
            <c:idx val="12"/>
            <c:marker>
              <c:symbol val="circle"/>
              <c:size val="4"/>
              <c:spPr>
                <a:solidFill>
                  <a:srgbClr val="FEBAF6"/>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17-517D-4B33-A63C-D92EEB437137}"/>
              </c:ext>
            </c:extLst>
          </c:dPt>
          <c:dPt>
            <c:idx val="13"/>
            <c:marker>
              <c:symbol val="circle"/>
              <c:size val="4"/>
              <c:spPr>
                <a:solidFill>
                  <a:srgbClr val="FEBAF6"/>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19-517D-4B33-A63C-D92EEB437137}"/>
              </c:ext>
            </c:extLst>
          </c:dPt>
          <c:dPt>
            <c:idx val="14"/>
            <c:marker>
              <c:symbol val="circle"/>
              <c:size val="4"/>
              <c:spPr>
                <a:solidFill>
                  <a:srgbClr val="FEBAF6"/>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1B-517D-4B33-A63C-D92EEB437137}"/>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'peads-5-14'!$I$6:$I$25</c:f>
              <c:multiLvlStrCache>
                <c:ptCount val="1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2024</c:v>
                  </c:pt>
                  <c:pt idx="12">
                    <c:v>2025</c:v>
                  </c:pt>
                </c:lvl>
              </c:multiLvlStrCache>
            </c:multiLvlStrRef>
          </c:cat>
          <c:val>
            <c:numRef>
              <c:f>'peads-5-14'!$K$6:$K$25</c:f>
              <c:numCache>
                <c:formatCode>General</c:formatCode>
                <c:ptCount val="17"/>
                <c:pt idx="0">
                  <c:v>0</c:v>
                </c:pt>
                <c:pt idx="1">
                  <c:v>0</c:v>
                </c:pt>
                <c:pt idx="2">
                  <c:v>0</c:v>
                </c:pt>
                <c:pt idx="3">
                  <c:v>#N/A</c:v>
                </c:pt>
                <c:pt idx="4">
                  <c:v>0</c:v>
                </c:pt>
                <c:pt idx="5">
                  <c:v>#N/A</c:v>
                </c:pt>
                <c:pt idx="6">
                  <c:v>#N/A</c:v>
                </c:pt>
                <c:pt idx="7">
                  <c:v>#N/A</c:v>
                </c:pt>
                <c:pt idx="8">
                  <c:v>0</c:v>
                </c:pt>
                <c:pt idx="9">
                  <c:v>0</c:v>
                </c:pt>
                <c:pt idx="10">
                  <c:v>0</c:v>
                </c:pt>
                <c:pt idx="11">
                  <c:v>0</c:v>
                </c:pt>
                <c:pt idx="12">
                  <c:v>0</c:v>
                </c:pt>
                <c:pt idx="13">
                  <c:v>0</c:v>
                </c:pt>
                <c:pt idx="14">
                  <c:v>0</c:v>
                </c:pt>
                <c:pt idx="15">
                  <c:v>0</c:v>
                </c:pt>
                <c:pt idx="16">
                  <c:v>0</c:v>
                </c:pt>
              </c:numCache>
            </c:numRef>
          </c:val>
          <c:smooth val="1"/>
          <c:extLst>
            <c:ext xmlns:c16="http://schemas.microsoft.com/office/drawing/2014/chart" uri="{C3380CC4-5D6E-409C-BE32-E72D297353CC}">
              <c16:uniqueId val="{00000003-CA1C-4A74-8E28-89D2A7EF1D03}"/>
            </c:ext>
          </c:extLst>
        </c:ser>
        <c:ser>
          <c:idx val="2"/>
          <c:order val="2"/>
          <c:tx>
            <c:strRef>
              <c:f>'peads-5-14'!$L$5</c:f>
              <c:strCache>
                <c:ptCount val="1"/>
                <c:pt idx="0">
                  <c:v> CrAg+%</c:v>
                </c:pt>
              </c:strCache>
            </c:strRef>
          </c:tx>
          <c:spPr>
            <a:ln w="19050" cap="rnd">
              <a:solidFill>
                <a:srgbClr val="660066"/>
              </a:solidFill>
              <a:round/>
            </a:ln>
            <a:effectLst>
              <a:outerShdw blurRad="57150" dist="19050" dir="5400000" algn="ctr" rotWithShape="0">
                <a:srgbClr val="000000">
                  <a:alpha val="63000"/>
                </a:srgbClr>
              </a:outerShdw>
            </a:effectLst>
          </c:spPr>
          <c:marker>
            <c:symbol val="circle"/>
            <c:size val="4"/>
            <c:spPr>
              <a:solidFill>
                <a:srgbClr val="800271"/>
              </a:solidFill>
              <a:ln w="9525">
                <a:noFill/>
                <a:round/>
              </a:ln>
              <a:effectLst>
                <a:outerShdw blurRad="57150" dist="19050" dir="5400000" algn="ctr" rotWithShape="0">
                  <a:srgbClr val="000000">
                    <a:alpha val="63000"/>
                  </a:srgbClr>
                </a:outerShdw>
              </a:effectLst>
            </c:spPr>
          </c:marker>
          <c:dPt>
            <c:idx val="1"/>
            <c:marker>
              <c:symbol val="circle"/>
              <c:size val="4"/>
              <c:spPr>
                <a:solidFill>
                  <a:srgbClr val="800271"/>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15-302E-4E6E-9A03-A54F90FC5742}"/>
              </c:ext>
            </c:extLst>
          </c:dPt>
          <c:dPt>
            <c:idx val="2"/>
            <c:marker>
              <c:symbol val="circle"/>
              <c:size val="4"/>
              <c:spPr>
                <a:solidFill>
                  <a:srgbClr val="800271"/>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F-9B3E-4E99-89A3-8ED3F65B03C3}"/>
              </c:ext>
            </c:extLst>
          </c:dPt>
          <c:dPt>
            <c:idx val="3"/>
            <c:marker>
              <c:symbol val="circle"/>
              <c:size val="4"/>
              <c:spPr>
                <a:solidFill>
                  <a:srgbClr val="800271"/>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1E-517D-4B33-A63C-D92EEB437137}"/>
              </c:ext>
            </c:extLst>
          </c:dPt>
          <c:dPt>
            <c:idx val="13"/>
            <c:marker>
              <c:symbol val="circle"/>
              <c:size val="4"/>
              <c:spPr>
                <a:solidFill>
                  <a:srgbClr val="800271"/>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20-517D-4B33-A63C-D92EEB437137}"/>
              </c:ext>
            </c:extLst>
          </c:dPt>
          <c:dPt>
            <c:idx val="14"/>
            <c:marker>
              <c:symbol val="circle"/>
              <c:size val="4"/>
              <c:spPr>
                <a:solidFill>
                  <a:srgbClr val="800271"/>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22-517D-4B33-A63C-D92EEB437137}"/>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'peads-5-14'!$I$6:$I$25</c:f>
              <c:multiLvlStrCache>
                <c:ptCount val="1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2024</c:v>
                  </c:pt>
                  <c:pt idx="12">
                    <c:v>2025</c:v>
                  </c:pt>
                </c:lvl>
              </c:multiLvlStrCache>
            </c:multiLvlStrRef>
          </c:cat>
          <c:val>
            <c:numRef>
              <c:f>'peads-5-14'!$L$6:$L$25</c:f>
              <c:numCache>
                <c:formatCode>General</c:formatCode>
                <c:ptCount val="17"/>
                <c:pt idx="0">
                  <c:v>0</c:v>
                </c:pt>
                <c:pt idx="1">
                  <c:v>#N/A</c:v>
                </c:pt>
                <c:pt idx="2">
                  <c:v>#N/A</c:v>
                </c:pt>
                <c:pt idx="3">
                  <c:v>#N/A</c:v>
                </c:pt>
                <c:pt idx="4">
                  <c:v>0</c:v>
                </c:pt>
                <c:pt idx="5">
                  <c:v>0</c:v>
                </c:pt>
                <c:pt idx="6">
                  <c:v>0</c:v>
                </c:pt>
                <c:pt idx="7">
                  <c:v>#N/A</c:v>
                </c:pt>
                <c:pt idx="8">
                  <c:v>0</c:v>
                </c:pt>
                <c:pt idx="9">
                  <c:v>0</c:v>
                </c:pt>
                <c:pt idx="10">
                  <c:v>0</c:v>
                </c:pt>
                <c:pt idx="11">
                  <c:v>0</c:v>
                </c:pt>
                <c:pt idx="12">
                  <c:v>0</c:v>
                </c:pt>
                <c:pt idx="13">
                  <c:v>0</c:v>
                </c:pt>
                <c:pt idx="14">
                  <c:v>0.1111111111111111</c:v>
                </c:pt>
                <c:pt idx="15">
                  <c:v>0</c:v>
                </c:pt>
                <c:pt idx="16">
                  <c:v>0</c:v>
                </c:pt>
              </c:numCache>
            </c:numRef>
          </c:val>
          <c:smooth val="1"/>
          <c:extLst>
            <c:ext xmlns:c16="http://schemas.microsoft.com/office/drawing/2014/chart" uri="{C3380CC4-5D6E-409C-BE32-E72D297353CC}">
              <c16:uniqueId val="{00000004-CA1C-4A74-8E28-89D2A7EF1D03}"/>
            </c:ext>
          </c:extLst>
        </c:ser>
        <c:dLbls>
          <c:dLblPos val="t"/>
          <c:showLegendKey val="0"/>
          <c:showVal val="1"/>
          <c:showCatName val="0"/>
          <c:showSerName val="0"/>
          <c:showPercent val="0"/>
          <c:showBubbleSize val="0"/>
        </c:dLbls>
        <c:marker val="1"/>
        <c:smooth val="0"/>
        <c:axId val="1061181040"/>
        <c:axId val="1061182480"/>
      </c:lineChart>
      <c:catAx>
        <c:axId val="1061181040"/>
        <c:scaling>
          <c:orientation val="minMax"/>
        </c:scaling>
        <c:delete val="0"/>
        <c:axPos val="b"/>
        <c:title>
          <c:tx>
            <c:rich>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r>
                  <a:rPr lang="en-GB" b="0" u="none"/>
                  <a:t>Period</a:t>
                </a:r>
              </a:p>
            </c:rich>
          </c:tx>
          <c:layout>
            <c:manualLayout>
              <c:xMode val="edge"/>
              <c:yMode val="edge"/>
              <c:x val="0.51206248650816766"/>
              <c:y val="0.88730556833204599"/>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2"/>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61182480"/>
        <c:crosses val="autoZero"/>
        <c:auto val="1"/>
        <c:lblAlgn val="ctr"/>
        <c:lblOffset val="100"/>
        <c:noMultiLvlLbl val="0"/>
      </c:catAx>
      <c:valAx>
        <c:axId val="1061182480"/>
        <c:scaling>
          <c:orientation val="minMax"/>
          <c:max val="1"/>
          <c:min val="0"/>
        </c:scaling>
        <c:delete val="0"/>
        <c:axPos val="l"/>
        <c:title>
          <c:tx>
            <c:rich>
              <a:bodyPr rot="-54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r>
                  <a:rPr lang="en-GB"/>
                  <a:t>proporton of ROC with AHD</a:t>
                </a:r>
              </a:p>
            </c:rich>
          </c:tx>
          <c:layout>
            <c:manualLayout>
              <c:xMode val="edge"/>
              <c:yMode val="edge"/>
              <c:x val="1.4477543687895786E-2"/>
              <c:y val="0.34694706527595781"/>
            </c:manualLayout>
          </c:layout>
          <c:overlay val="0"/>
          <c:spPr>
            <a:noFill/>
            <a:ln w="6350">
              <a:noFill/>
            </a:ln>
            <a:effectLst/>
          </c:spPr>
          <c:txPr>
            <a:bodyPr rot="-54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itle>
        <c:numFmt formatCode="0%" sourceLinked="0"/>
        <c:majorTickMark val="none"/>
        <c:minorTickMark val="none"/>
        <c:tickLblPos val="nextTo"/>
        <c:spPr>
          <a:noFill/>
          <a:ln>
            <a:solidFill>
              <a:schemeClr val="tx2"/>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61181040"/>
        <c:crosses val="autoZero"/>
        <c:crossBetween val="between"/>
      </c:valAx>
      <c:spPr>
        <a:noFill/>
        <a:ln>
          <a:noFill/>
        </a:ln>
        <a:effectLst/>
      </c:spPr>
    </c:plotArea>
    <c:legend>
      <c:legendPos val="r"/>
      <c:layout>
        <c:manualLayout>
          <c:xMode val="edge"/>
          <c:yMode val="edge"/>
          <c:x val="0.15521042495619217"/>
          <c:y val="0.9403744492046916"/>
          <c:w val="0.7041295086564634"/>
          <c:h val="5.3198252883228013E-2"/>
        </c:manualLayout>
      </c:layout>
      <c:overlay val="0"/>
      <c:spPr>
        <a:noFill/>
        <a:ln w="6350">
          <a:solidFill>
            <a:schemeClr val="accent5">
              <a:lumMod val="60000"/>
              <a:lumOff val="40000"/>
            </a:schemeClr>
          </a:solid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lumMod val="60000"/>
          <a:lumOff val="40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[AHD_Reporting_Form.xlsx]New HIV pos!PivotTable1</c:name>
    <c:fmtId val="7"/>
  </c:pivotSource>
  <c:chart>
    <c:title>
      <c:tx>
        <c:rich>
          <a:bodyPr rot="0" spcFirstLastPara="1" vertOverflow="ellipsis" vert="horz" wrap="square" anchor="ctr" anchorCtr="1"/>
          <a:lstStyle/>
          <a:p>
            <a:pPr>
              <a:defRPr sz="1320" b="1" i="0" u="none" strike="noStrike" kern="1200" baseline="0">
                <a:solidFill>
                  <a:sysClr val="windowText" lastClr="000000"/>
                </a:solidFill>
                <a:latin typeface="+mn-lt"/>
                <a:ea typeface="+mn-ea"/>
                <a:cs typeface="+mn-cs"/>
              </a:defRPr>
            </a:pPr>
            <a:r>
              <a:rPr lang="en-GB"/>
              <a:t>AHD screening among new HIV+</a:t>
            </a:r>
          </a:p>
        </c:rich>
      </c:tx>
      <c:layout>
        <c:manualLayout>
          <c:xMode val="edge"/>
          <c:yMode val="edge"/>
          <c:x val="0.35926725335370502"/>
          <c:y val="2.4591311256847295E-2"/>
        </c:manualLayout>
      </c:layout>
      <c:overlay val="0"/>
      <c:spPr>
        <a:noFill/>
        <a:ln>
          <a:noFill/>
        </a:ln>
        <a:effectLst/>
      </c:spPr>
      <c:txPr>
        <a:bodyPr rot="0" spcFirstLastPara="1" vertOverflow="ellipsis" vert="horz" wrap="square" anchor="ctr" anchorCtr="1"/>
        <a:lstStyle/>
        <a:p>
          <a:pPr>
            <a:defRPr sz="1320" b="1" i="0" u="none" strike="noStrike" kern="1200" baseline="0">
              <a:solidFill>
                <a:sysClr val="windowText" lastClr="000000"/>
              </a:solidFill>
              <a:latin typeface="+mn-lt"/>
              <a:ea typeface="+mn-ea"/>
              <a:cs typeface="+mn-cs"/>
            </a:defRPr>
          </a:pPr>
          <a:endParaRPr lang="en-US"/>
        </a:p>
      </c:txPr>
    </c:title>
    <c:autoTitleDeleted val="0"/>
    <c:pivotFmts>
      <c:pivotFmt>
        <c:idx val="0"/>
        <c:spPr>
          <a:solidFill>
            <a:schemeClr val="accent2"/>
          </a:solidFill>
          <a:ln>
            <a:noFill/>
          </a:ln>
          <a:effectLst>
            <a:outerShdw blurRad="57150" dist="19050" dir="5400000" algn="ctr" rotWithShape="0">
              <a:srgbClr val="000000">
                <a:alpha val="63000"/>
              </a:srgbClr>
            </a:outerShdw>
          </a:effectLst>
        </c:spPr>
        <c:marker>
          <c:symbol val="none"/>
        </c:marker>
        <c:dLbl>
          <c:idx val="0"/>
          <c:spPr>
            <a:solidFill>
              <a:schemeClr val="accent2">
                <a:lumMod val="60000"/>
                <a:lumOff val="4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alpha val="88000"/>
            </a:schemeClr>
          </a:solidFill>
          <a:ln>
            <a:noFill/>
          </a:ln>
          <a:effectLst>
            <a:outerShdw blurRad="57150" dist="19050" dir="5400000" algn="ctr" rotWithShape="0">
              <a:srgbClr val="000000">
                <a:alpha val="63000"/>
              </a:srgbClr>
            </a:outerShdw>
          </a:effectLst>
        </c:spPr>
        <c:marker>
          <c:symbol val="none"/>
        </c:marker>
        <c:dLbl>
          <c:idx val="0"/>
          <c:spPr>
            <a:solidFill>
              <a:schemeClr val="accent5">
                <a:lumMod val="60000"/>
                <a:lumOff val="4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alpha val="84000"/>
            </a:srgbClr>
          </a:solidFill>
          <a:ln>
            <a:noFill/>
          </a:ln>
          <a:effectLst>
            <a:outerShdw blurRad="57150" dist="19050" dir="5400000" algn="ctr" rotWithShape="0">
              <a:srgbClr val="000000">
                <a:alpha val="63000"/>
              </a:srgbClr>
            </a:outerShdw>
          </a:effectLst>
        </c:spPr>
        <c:marker>
          <c:symbol val="none"/>
        </c:marker>
        <c:dLbl>
          <c:idx val="0"/>
          <c:spPr>
            <a:solidFill>
              <a:schemeClr val="accent4">
                <a:lumMod val="40000"/>
                <a:lumOff val="6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D80A0359-4340-464C-97BF-50043DB18A22}" type="CELLRANGE">
                  <a:rPr lang="en-US"/>
                  <a:pPr>
                    <a:defRPr sz="900" b="0" i="0" u="none" strike="noStrike" kern="1200" baseline="0">
                      <a:solidFill>
                        <a:sysClr val="windowText" lastClr="000000"/>
                      </a:solidFill>
                      <a:latin typeface="+mn-lt"/>
                      <a:ea typeface="+mn-ea"/>
                      <a:cs typeface="+mn-cs"/>
                    </a:defRPr>
                  </a:pPr>
                  <a:t>[CELLRANGE]</a:t>
                </a:fld>
                <a:r>
                  <a:rPr lang="en-US" baseline="0"/>
                  <a:t>, </a:t>
                </a:r>
                <a:fld id="{619AE429-5DC9-4CD0-95CD-5E4572E53792}" type="VALUE">
                  <a:rPr lang="en-US" baseline="0"/>
                  <a:pPr>
                    <a:defRPr sz="900" b="0" i="0" u="none" strike="noStrike" kern="1200" baseline="0">
                      <a:solidFill>
                        <a:sysClr val="windowText" lastClr="000000"/>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pivotFmt>
      <c:pivotFmt>
        <c:idx val="9"/>
        <c:dLbl>
          <c:idx val="0"/>
          <c:tx>
            <c:rich>
              <a:bodyPr/>
              <a:lstStyle/>
              <a:p>
                <a:fld id="{38B64FBF-4335-4EAD-B861-26F6E525AC74}" type="CELLRANGE">
                  <a:rPr lang="en-US"/>
                  <a:pPr/>
                  <a:t>[CELLRANGE]</a:t>
                </a:fld>
                <a:r>
                  <a:rPr lang="en-US" baseline="0"/>
                  <a:t>, </a:t>
                </a:r>
                <a:fld id="{D6C7321C-6E0F-4D2E-8B46-F65C3D7A4003}"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dLbl>
          <c:idx val="0"/>
          <c:tx>
            <c:rich>
              <a:bodyPr/>
              <a:lstStyle/>
              <a:p>
                <a:fld id="{8C44B063-F912-4FC5-A6C3-78054BAA1475}" type="CELLRANGE">
                  <a:rPr lang="en-US"/>
                  <a:pPr/>
                  <a:t>[CELLRANGE]</a:t>
                </a:fld>
                <a:r>
                  <a:rPr lang="en-US" baseline="0"/>
                  <a:t>, </a:t>
                </a:r>
                <a:fld id="{70B358C0-DB55-4F7E-A4CF-8DEB0B8DBBA3}"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dLbl>
          <c:idx val="0"/>
          <c:tx>
            <c:rich>
              <a:bodyPr/>
              <a:lstStyle/>
              <a:p>
                <a:fld id="{F1E15D6C-0C92-4F9E-8CBC-D5B2D9BC2075}" type="CELLRANGE">
                  <a:rPr lang="en-US"/>
                  <a:pPr/>
                  <a:t>[CELLRANGE]</a:t>
                </a:fld>
                <a:r>
                  <a:rPr lang="en-US" baseline="0"/>
                  <a:t>, </a:t>
                </a:r>
                <a:fld id="{CD39BF99-5182-4B7E-AEC5-5FB76F9FE533}"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2"/>
        <c:dLbl>
          <c:idx val="0"/>
          <c:tx>
            <c:rich>
              <a:bodyPr/>
              <a:lstStyle/>
              <a:p>
                <a:fld id="{AADAE8A4-138F-410E-9AB9-60EEC0EAE95C}" type="CELLRANGE">
                  <a:rPr lang="en-US"/>
                  <a:pPr/>
                  <a:t>[CELLRANGE]</a:t>
                </a:fld>
                <a:r>
                  <a:rPr lang="en-US" baseline="0"/>
                  <a:t>, </a:t>
                </a:r>
                <a:fld id="{200D7C23-70DD-4AC4-951B-7904139BAA90}"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3"/>
        <c:dLbl>
          <c:idx val="0"/>
          <c:tx>
            <c:rich>
              <a:bodyPr/>
              <a:lstStyle/>
              <a:p>
                <a:fld id="{EBB42741-FBB1-42C9-8CA9-7DC956E899D1}" type="CELLRANGE">
                  <a:rPr lang="en-US"/>
                  <a:pPr/>
                  <a:t>[CELLRANGE]</a:t>
                </a:fld>
                <a:r>
                  <a:rPr lang="en-US" baseline="0"/>
                  <a:t>, </a:t>
                </a:r>
                <a:fld id="{300B405C-545E-4C3B-9B9C-A09D74648588}"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4"/>
        <c:dLbl>
          <c:idx val="0"/>
          <c:tx>
            <c:rich>
              <a:bodyPr/>
              <a:lstStyle/>
              <a:p>
                <a:fld id="{5ACDCCC9-477B-4D80-84D3-265AA1551F99}" type="CELLRANGE">
                  <a:rPr lang="en-US"/>
                  <a:pPr/>
                  <a:t>[CELLRANGE]</a:t>
                </a:fld>
                <a:r>
                  <a:rPr lang="en-US" baseline="0"/>
                  <a:t>, </a:t>
                </a:r>
                <a:fld id="{EBF96CAC-98C3-4753-841D-F0B5B77629A4}"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dLbl>
          <c:idx val="0"/>
          <c:tx>
            <c:rich>
              <a:bodyPr/>
              <a:lstStyle/>
              <a:p>
                <a:fld id="{85641F05-FEC1-4650-8FDD-8843A09484ED}" type="CELLRANGE">
                  <a:rPr lang="en-US"/>
                  <a:pPr/>
                  <a:t>[CELLRANGE]</a:t>
                </a:fld>
                <a:r>
                  <a:rPr lang="en-US" baseline="0"/>
                  <a:t>, </a:t>
                </a:r>
                <a:fld id="{A601C9D9-40B0-4DB3-A221-74FC1FEA479F}"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7"/>
        <c:dLbl>
          <c:idx val="0"/>
          <c:tx>
            <c:rich>
              <a:bodyPr/>
              <a:lstStyle/>
              <a:p>
                <a:fld id="{FF4EBAB4-9208-426C-A2C0-06A9B7A20937}" type="CELLRANGE">
                  <a:rPr lang="en-US"/>
                  <a:pPr/>
                  <a:t>[CELLRANGE]</a:t>
                </a:fld>
                <a:r>
                  <a:rPr lang="en-US" baseline="0"/>
                  <a:t>, </a:t>
                </a:r>
                <a:fld id="{DF0E314E-1845-4B08-9E93-FA96B8217187}"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8"/>
        <c:dLbl>
          <c:idx val="0"/>
          <c:tx>
            <c:rich>
              <a:bodyPr/>
              <a:lstStyle/>
              <a:p>
                <a:fld id="{DD926363-9992-4DFE-80C3-994ABB41FDA7}" type="CELLRANGE">
                  <a:rPr lang="en-US"/>
                  <a:pPr/>
                  <a:t>[CELLRANGE]</a:t>
                </a:fld>
                <a:r>
                  <a:rPr lang="en-US" baseline="0"/>
                  <a:t>, </a:t>
                </a:r>
                <a:fld id="{C6BB680B-7623-4EA3-B83B-2011C5679ED2}"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9"/>
        <c:dLbl>
          <c:idx val="0"/>
          <c:tx>
            <c:rich>
              <a:bodyPr/>
              <a:lstStyle/>
              <a:p>
                <a:fld id="{50D0BCCD-DA80-4AEC-ADFD-7478183D354A}" type="CELLRANGE">
                  <a:rPr lang="en-US"/>
                  <a:pPr/>
                  <a:t>[CELLRANGE]</a:t>
                </a:fld>
                <a:r>
                  <a:rPr lang="en-US" baseline="0"/>
                  <a:t>, </a:t>
                </a:r>
                <a:fld id="{EE890978-0538-4AD0-BE1B-680453DC062D}"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0"/>
        <c:dLbl>
          <c:idx val="0"/>
          <c:tx>
            <c:rich>
              <a:bodyPr/>
              <a:lstStyle/>
              <a:p>
                <a:fld id="{7D984C0A-AF2C-4FAD-9538-9CE56ED5F567}" type="CELLRANGE">
                  <a:rPr lang="en-US"/>
                  <a:pPr/>
                  <a:t>[CELLRANGE]</a:t>
                </a:fld>
                <a:r>
                  <a:rPr lang="en-US" baseline="0"/>
                  <a:t>, </a:t>
                </a:r>
                <a:fld id="{9F5C0507-D70F-477A-95F2-C63830573DD7}"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1"/>
        <c:dLbl>
          <c:idx val="0"/>
          <c:tx>
            <c:rich>
              <a:bodyPr/>
              <a:lstStyle/>
              <a:p>
                <a:fld id="{CF4FB6D9-9767-42D1-B639-24FD87FBFE31}" type="CELLRANGE">
                  <a:rPr lang="en-US"/>
                  <a:pPr/>
                  <a:t>[CELLRANGE]</a:t>
                </a:fld>
                <a:r>
                  <a:rPr lang="en-US" baseline="0"/>
                  <a:t>, </a:t>
                </a:r>
                <a:fld id="{91BB9253-F401-4063-A925-95408FA77268}"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2"/>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4731A5D9-539A-4F7D-A744-CF24B4E851B3}" type="CELLRANGE">
                  <a:rPr lang="en-US"/>
                  <a:pPr>
                    <a:defRPr sz="900" b="0" i="0" u="none" strike="noStrike" kern="1200" baseline="0">
                      <a:solidFill>
                        <a:sysClr val="windowText" lastClr="000000"/>
                      </a:solidFill>
                      <a:latin typeface="+mn-lt"/>
                      <a:ea typeface="+mn-ea"/>
                      <a:cs typeface="+mn-cs"/>
                    </a:defRPr>
                  </a:pPr>
                  <a:t>[CELLRANGE]</a:t>
                </a:fld>
                <a:r>
                  <a:rPr lang="en-US" baseline="0"/>
                  <a:t>, </a:t>
                </a:r>
                <a:fld id="{B03745B5-70AB-4486-8B6A-5E28FBF5B9A6}" type="VALUE">
                  <a:rPr lang="en-US" baseline="0"/>
                  <a:pPr>
                    <a:defRPr sz="900" b="0" i="0" u="none" strike="noStrike" kern="1200" baseline="0">
                      <a:solidFill>
                        <a:sysClr val="windowText" lastClr="000000"/>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3"/>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C9006498-42A4-45CE-BCE8-EC546067215F}" type="CELLRANGE">
                  <a:rPr lang="en-US"/>
                  <a:pPr>
                    <a:defRPr sz="900" b="0" i="0" u="none" strike="noStrike" kern="1200" baseline="0">
                      <a:solidFill>
                        <a:sysClr val="windowText" lastClr="000000"/>
                      </a:solidFill>
                      <a:latin typeface="+mn-lt"/>
                      <a:ea typeface="+mn-ea"/>
                      <a:cs typeface="+mn-cs"/>
                    </a:defRPr>
                  </a:pPr>
                  <a:t>[CELLRANGE]</a:t>
                </a:fld>
                <a:r>
                  <a:rPr lang="en-US" baseline="0"/>
                  <a:t>, </a:t>
                </a:r>
                <a:fld id="{13415703-C5CA-4787-8825-FCBD5C55B0DC}" type="VALUE">
                  <a:rPr lang="en-US" baseline="0"/>
                  <a:pPr>
                    <a:defRPr sz="900" b="0" i="0" u="none" strike="noStrike" kern="1200" baseline="0">
                      <a:solidFill>
                        <a:sysClr val="windowText" lastClr="000000"/>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4"/>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E39C17C5-A6DE-465E-BA2E-A0457662CE4F}" type="CELLRANGE">
                  <a:rPr lang="en-US"/>
                  <a:pPr>
                    <a:defRPr sz="900" b="0" i="0" u="none" strike="noStrike" kern="1200" baseline="0">
                      <a:solidFill>
                        <a:sysClr val="windowText" lastClr="000000"/>
                      </a:solidFill>
                      <a:latin typeface="+mn-lt"/>
                      <a:ea typeface="+mn-ea"/>
                      <a:cs typeface="+mn-cs"/>
                    </a:defRPr>
                  </a:pPr>
                  <a:t>[CELLRANGE]</a:t>
                </a:fld>
                <a:r>
                  <a:rPr lang="en-US" baseline="0"/>
                  <a:t>, </a:t>
                </a:r>
                <a:fld id="{D26FCEF1-5A34-41A0-B6CD-F3663AD6D4C1}" type="VALUE">
                  <a:rPr lang="en-US" baseline="0"/>
                  <a:pPr>
                    <a:defRPr sz="900" b="0" i="0" u="none" strike="noStrike" kern="1200" baseline="0">
                      <a:solidFill>
                        <a:sysClr val="windowText" lastClr="000000"/>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5"/>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183C6365-A22B-4AE8-B76B-F63703475BFE}" type="CELLRANGE">
                  <a:rPr lang="en-US"/>
                  <a:pPr>
                    <a:defRPr sz="900" b="0" i="0" u="none" strike="noStrike" kern="1200" baseline="0">
                      <a:solidFill>
                        <a:sysClr val="windowText" lastClr="000000"/>
                      </a:solidFill>
                      <a:latin typeface="+mn-lt"/>
                      <a:ea typeface="+mn-ea"/>
                      <a:cs typeface="+mn-cs"/>
                    </a:defRPr>
                  </a:pPr>
                  <a:t>[CELLRANGE]</a:t>
                </a:fld>
                <a:r>
                  <a:rPr lang="en-US" baseline="0"/>
                  <a:t>, </a:t>
                </a:r>
                <a:fld id="{2F81CAD8-CC36-4E7F-B6DF-B7DA1E4CEDA1}" type="VALUE">
                  <a:rPr lang="en-US" baseline="0"/>
                  <a:pPr>
                    <a:defRPr sz="900" b="0" i="0" u="none" strike="noStrike" kern="1200" baseline="0">
                      <a:solidFill>
                        <a:sysClr val="windowText" lastClr="000000"/>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6"/>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847F4BA0-4AA9-499D-BA2A-3AAAC0496E86}" type="CELLRANGE">
                  <a:rPr lang="en-US"/>
                  <a:pPr>
                    <a:defRPr sz="900" b="0" i="0" u="none" strike="noStrike" kern="1200" baseline="0">
                      <a:solidFill>
                        <a:sysClr val="windowText" lastClr="000000"/>
                      </a:solidFill>
                      <a:latin typeface="+mn-lt"/>
                      <a:ea typeface="+mn-ea"/>
                      <a:cs typeface="+mn-cs"/>
                    </a:defRPr>
                  </a:pPr>
                  <a:t>[CELLRANGE]</a:t>
                </a:fld>
                <a:r>
                  <a:rPr lang="en-US" baseline="0"/>
                  <a:t>, </a:t>
                </a:r>
                <a:fld id="{3D14E329-43B4-454C-B933-1CE45CA6E605}" type="VALUE">
                  <a:rPr lang="en-US" baseline="0"/>
                  <a:pPr>
                    <a:defRPr sz="900" b="0" i="0" u="none" strike="noStrike" kern="1200" baseline="0">
                      <a:solidFill>
                        <a:sysClr val="windowText" lastClr="000000"/>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7"/>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5589FF5D-4B2A-47E1-8019-27F023C54ACE}" type="CELLRANGE">
                  <a:rPr lang="en-US"/>
                  <a:pPr>
                    <a:defRPr sz="900" b="0" i="0" u="none" strike="noStrike" kern="1200" baseline="0">
                      <a:solidFill>
                        <a:sysClr val="windowText" lastClr="000000"/>
                      </a:solidFill>
                      <a:latin typeface="+mn-lt"/>
                      <a:ea typeface="+mn-ea"/>
                      <a:cs typeface="+mn-cs"/>
                    </a:defRPr>
                  </a:pPr>
                  <a:t>[CELLRANGE]</a:t>
                </a:fld>
                <a:r>
                  <a:rPr lang="en-US" baseline="0"/>
                  <a:t>, </a:t>
                </a:r>
                <a:fld id="{0AFB73F6-2AF1-48C0-8CBA-C2B6AFAFD8A1}" type="VALUE">
                  <a:rPr lang="en-US" baseline="0"/>
                  <a:pPr>
                    <a:defRPr sz="900" b="0" i="0" u="none" strike="noStrike" kern="1200" baseline="0">
                      <a:solidFill>
                        <a:sysClr val="windowText" lastClr="000000"/>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8"/>
        <c:dLbl>
          <c:idx val="0"/>
          <c:layout>
            <c:manualLayout>
              <c:x val="-1.3084725270352189E-2"/>
              <c:y val="-3.7113402061855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dLbl>
          <c:idx val="0"/>
          <c:layout>
            <c:manualLayout>
              <c:x val="-2.2894524616056434E-2"/>
              <c:y val="-2.47218788627935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dLbl>
          <c:idx val="0"/>
          <c:layout>
            <c:manualLayout>
              <c:x val="-1.7988555055472866E-2"/>
              <c:y val="-2.06015657189946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dLbl>
          <c:idx val="0"/>
          <c:layout>
            <c:manualLayout>
              <c:x val="-1.3082585494889358E-2"/>
              <c:y val="-2.884219200659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dLbl>
          <c:idx val="0"/>
          <c:layout>
            <c:manualLayout>
              <c:x val="-1.6353231868611758E-2"/>
              <c:y val="-3.29625051503914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dLbl>
          <c:idx val="0"/>
          <c:layout>
            <c:manualLayout>
              <c:x val="-2.1259201429195206E-2"/>
              <c:y val="-2.47218788627935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1.9623878242334036E-2"/>
              <c:y val="-1.85414091470951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dLbl>
          <c:idx val="0"/>
          <c:layout>
            <c:manualLayout>
              <c:x val="0"/>
              <c:y val="-1.67890870933892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pivotFmt>
      <c:pivotFmt>
        <c:idx val="37"/>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pivotFmt>
      <c:pivotFmt>
        <c:idx val="38"/>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dLbl>
          <c:idx val="0"/>
          <c:layout>
            <c:manualLayout>
              <c:x val="0"/>
              <c:y val="-2.99465240641711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dLbl>
          <c:idx val="0"/>
          <c:layout>
            <c:manualLayout>
              <c:x val="-6.7074704452083512E-3"/>
              <c:y val="-3.87878771425381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dLbl>
          <c:idx val="0"/>
          <c:layout>
            <c:manualLayout>
              <c:x val="0"/>
              <c:y val="-1.93939385712690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dLbl>
          <c:idx val="0"/>
          <c:layout>
            <c:manualLayout>
              <c:x val="-1.0066269608254342E-2"/>
              <c:y val="-3.23232309521151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dLbl>
          <c:idx val="0"/>
          <c:layout>
            <c:manualLayout>
              <c:x val="-6.7108464055029553E-3"/>
              <c:y val="-4.52525233329611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dLbl>
          <c:idx val="0"/>
          <c:layout>
            <c:manualLayout>
              <c:x val="-1.6777116013757237E-2"/>
              <c:y val="-3.23232309521151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dLbl>
          <c:idx val="0"/>
          <c:layout>
            <c:manualLayout>
              <c:x val="-2.5165674020635853E-2"/>
              <c:y val="-3.66329950790638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pivotFmt>
      <c:pivotFmt>
        <c:idx val="49"/>
      </c:pivotFmt>
      <c:pivotFmt>
        <c:idx val="50"/>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pivotFmt>
      <c:pivotFmt>
        <c:idx val="52"/>
        <c:spPr>
          <a:solidFill>
            <a:schemeClr val="accent2"/>
          </a:solidFill>
          <a:ln>
            <a:noFill/>
          </a:ln>
          <a:effectLst>
            <a:outerShdw blurRad="57150" dist="19050" dir="5400000" algn="ctr" rotWithShape="0">
              <a:srgbClr val="000000">
                <a:alpha val="63000"/>
              </a:srgbClr>
            </a:outerShdw>
          </a:effectLst>
        </c:spPr>
        <c:marker>
          <c:symbol val="none"/>
        </c:marker>
        <c:dLbl>
          <c:idx val="0"/>
          <c:spPr>
            <a:solidFill>
              <a:schemeClr val="accent2">
                <a:lumMod val="60000"/>
                <a:lumOff val="4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rgbClr val="FFC000">
              <a:alpha val="84000"/>
            </a:srgbClr>
          </a:solidFill>
          <a:ln>
            <a:noFill/>
          </a:ln>
          <a:effectLst>
            <a:outerShdw blurRad="57150" dist="19050" dir="5400000" algn="ctr" rotWithShape="0">
              <a:srgbClr val="000000">
                <a:alpha val="63000"/>
              </a:srgbClr>
            </a:outerShdw>
          </a:effectLst>
        </c:spPr>
        <c:marker>
          <c:symbol val="none"/>
        </c:marker>
        <c:dLbl>
          <c:idx val="0"/>
          <c:spPr>
            <a:solidFill>
              <a:schemeClr val="accent4">
                <a:lumMod val="40000"/>
                <a:lumOff val="6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5">
              <a:lumMod val="75000"/>
              <a:alpha val="88000"/>
            </a:schemeClr>
          </a:solidFill>
          <a:ln>
            <a:noFill/>
          </a:ln>
          <a:effectLst>
            <a:outerShdw blurRad="57150" dist="19050" dir="5400000" algn="ctr" rotWithShape="0">
              <a:srgbClr val="000000">
                <a:alpha val="63000"/>
              </a:srgbClr>
            </a:outerShdw>
          </a:effectLst>
        </c:spPr>
        <c:marker>
          <c:symbol val="none"/>
        </c:marker>
        <c:dLbl>
          <c:idx val="0"/>
          <c:spPr>
            <a:solidFill>
              <a:schemeClr val="accent5">
                <a:lumMod val="60000"/>
                <a:lumOff val="4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6"/>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pivotFmt>
      <c:pivotFmt>
        <c:idx val="57"/>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dLbl>
          <c:idx val="0"/>
          <c:layout>
            <c:manualLayout>
              <c:x val="-4.5978526218077957E-3"/>
              <c:y val="-7.93389615563736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dLbl>
          <c:idx val="0"/>
          <c:layout>
            <c:manualLayout>
              <c:x val="1.8391410487231183E-2"/>
              <c:y val="-4.35084627889791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dLbl>
          <c:idx val="0"/>
          <c:layout>
            <c:manualLayout>
              <c:x val="1.4304933206234773E-2"/>
              <c:y val="3.07310006160507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pivotFmt>
      <c:pivotFmt>
        <c:idx val="74"/>
        <c:spPr>
          <a:solidFill>
            <a:schemeClr val="accent2"/>
          </a:solidFill>
          <a:ln>
            <a:noFill/>
          </a:ln>
          <a:effectLst>
            <a:outerShdw blurRad="57150" dist="19050" dir="5400000" algn="ctr" rotWithShape="0">
              <a:srgbClr val="000000">
                <a:alpha val="63000"/>
              </a:srgbClr>
            </a:outerShdw>
          </a:effectLst>
        </c:spPr>
        <c:marker>
          <c:symbol val="none"/>
        </c:marker>
        <c:dLbl>
          <c:idx val="0"/>
          <c:spPr>
            <a:solidFill>
              <a:schemeClr val="accent2">
                <a:lumMod val="60000"/>
                <a:lumOff val="4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5"/>
        <c:spPr>
          <a:solidFill>
            <a:srgbClr val="FFC000">
              <a:alpha val="84000"/>
            </a:srgbClr>
          </a:solidFill>
          <a:ln>
            <a:noFill/>
          </a:ln>
          <a:effectLst>
            <a:outerShdw blurRad="57150" dist="19050" dir="5400000" algn="ctr" rotWithShape="0">
              <a:srgbClr val="000000">
                <a:alpha val="63000"/>
              </a:srgbClr>
            </a:outerShdw>
          </a:effectLst>
        </c:spPr>
        <c:marker>
          <c:symbol val="none"/>
        </c:marker>
        <c:dLbl>
          <c:idx val="0"/>
          <c:spPr>
            <a:solidFill>
              <a:schemeClr val="accent4">
                <a:lumMod val="40000"/>
                <a:lumOff val="6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5">
              <a:lumMod val="75000"/>
              <a:alpha val="88000"/>
            </a:schemeClr>
          </a:solidFill>
          <a:ln>
            <a:noFill/>
          </a:ln>
          <a:effectLst>
            <a:outerShdw blurRad="57150" dist="19050" dir="5400000" algn="ctr" rotWithShape="0">
              <a:srgbClr val="000000">
                <a:alpha val="63000"/>
              </a:srgbClr>
            </a:outerShdw>
          </a:effectLst>
        </c:spPr>
        <c:marker>
          <c:symbol val="none"/>
        </c:marker>
        <c:dLbl>
          <c:idx val="0"/>
          <c:spPr>
            <a:solidFill>
              <a:schemeClr val="accent5">
                <a:lumMod val="60000"/>
                <a:lumOff val="4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pivotFmt>
      <c:pivotFmt>
        <c:idx val="82"/>
        <c:spPr>
          <a:solidFill>
            <a:schemeClr val="accent2"/>
          </a:solidFill>
          <a:ln>
            <a:noFill/>
          </a:ln>
          <a:effectLst>
            <a:outerShdw blurRad="57150" dist="19050" dir="5400000" algn="ctr" rotWithShape="0">
              <a:srgbClr val="000000">
                <a:alpha val="63000"/>
              </a:srgbClr>
            </a:outerShdw>
          </a:effectLst>
        </c:spPr>
        <c:marker>
          <c:symbol val="none"/>
        </c:marker>
        <c:dLbl>
          <c:idx val="0"/>
          <c:spPr>
            <a:solidFill>
              <a:schemeClr val="accent2">
                <a:lumMod val="60000"/>
                <a:lumOff val="4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3"/>
        <c:spPr>
          <a:solidFill>
            <a:srgbClr val="FFC000">
              <a:alpha val="84000"/>
            </a:srgbClr>
          </a:solidFill>
          <a:ln>
            <a:noFill/>
          </a:ln>
          <a:effectLst>
            <a:outerShdw blurRad="57150" dist="19050" dir="5400000" algn="ctr" rotWithShape="0">
              <a:srgbClr val="000000">
                <a:alpha val="63000"/>
              </a:srgbClr>
            </a:outerShdw>
          </a:effectLst>
        </c:spPr>
        <c:marker>
          <c:symbol val="none"/>
        </c:marker>
        <c:dLbl>
          <c:idx val="0"/>
          <c:spPr>
            <a:solidFill>
              <a:schemeClr val="accent4">
                <a:lumMod val="40000"/>
                <a:lumOff val="6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5">
              <a:lumMod val="75000"/>
              <a:alpha val="88000"/>
            </a:schemeClr>
          </a:solidFill>
          <a:ln>
            <a:noFill/>
          </a:ln>
          <a:effectLst>
            <a:outerShdw blurRad="57150" dist="19050" dir="5400000" algn="ctr" rotWithShape="0">
              <a:srgbClr val="000000">
                <a:alpha val="63000"/>
              </a:srgbClr>
            </a:outerShdw>
          </a:effectLst>
        </c:spPr>
        <c:marker>
          <c:symbol val="none"/>
        </c:marker>
        <c:dLbl>
          <c:idx val="0"/>
          <c:spPr>
            <a:solidFill>
              <a:schemeClr val="accent5">
                <a:lumMod val="60000"/>
                <a:lumOff val="4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pivotFmt>
      <c:pivotFmt>
        <c:idx val="88"/>
        <c:spPr>
          <a:solidFill>
            <a:schemeClr val="accent2"/>
          </a:solidFill>
          <a:ln>
            <a:noFill/>
          </a:ln>
          <a:effectLst>
            <a:outerShdw blurRad="57150" dist="19050" dir="5400000" algn="ctr" rotWithShape="0">
              <a:srgbClr val="000000">
                <a:alpha val="63000"/>
              </a:srgbClr>
            </a:outerShdw>
          </a:effectLst>
        </c:spPr>
        <c:marker>
          <c:symbol val="none"/>
        </c:marker>
        <c:dLbl>
          <c:idx val="0"/>
          <c:spPr>
            <a:solidFill>
              <a:schemeClr val="accent2">
                <a:lumMod val="60000"/>
                <a:lumOff val="4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9"/>
        <c:spPr>
          <a:solidFill>
            <a:srgbClr val="FFC000">
              <a:alpha val="84000"/>
            </a:srgbClr>
          </a:solidFill>
          <a:ln>
            <a:noFill/>
          </a:ln>
          <a:effectLst>
            <a:outerShdw blurRad="57150" dist="19050" dir="5400000" algn="ctr" rotWithShape="0">
              <a:srgbClr val="000000">
                <a:alpha val="63000"/>
              </a:srgbClr>
            </a:outerShdw>
          </a:effectLst>
        </c:spPr>
        <c:marker>
          <c:symbol val="none"/>
        </c:marker>
        <c:dLbl>
          <c:idx val="0"/>
          <c:spPr>
            <a:solidFill>
              <a:schemeClr val="accent4">
                <a:lumMod val="40000"/>
                <a:lumOff val="6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0"/>
        <c:spPr>
          <a:solidFill>
            <a:schemeClr val="accent5">
              <a:lumMod val="75000"/>
              <a:alpha val="88000"/>
            </a:schemeClr>
          </a:solidFill>
          <a:ln>
            <a:noFill/>
          </a:ln>
          <a:effectLst>
            <a:outerShdw blurRad="57150" dist="19050" dir="5400000" algn="ctr" rotWithShape="0">
              <a:srgbClr val="000000">
                <a:alpha val="63000"/>
              </a:srgbClr>
            </a:outerShdw>
          </a:effectLst>
        </c:spPr>
        <c:marker>
          <c:symbol val="none"/>
        </c:marker>
        <c:dLbl>
          <c:idx val="0"/>
          <c:spPr>
            <a:solidFill>
              <a:schemeClr val="accent5">
                <a:lumMod val="60000"/>
                <a:lumOff val="4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pivotFmt>
      <c:pivotFmt>
        <c:idx val="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pivotFmt>
      <c:pivotFmt>
        <c:idx val="94"/>
        <c:spPr>
          <a:solidFill>
            <a:schemeClr val="accent2"/>
          </a:solidFill>
          <a:ln>
            <a:noFill/>
          </a:ln>
          <a:effectLst>
            <a:outerShdw blurRad="57150" dist="19050" dir="5400000" algn="ctr" rotWithShape="0">
              <a:srgbClr val="000000">
                <a:alpha val="63000"/>
              </a:srgbClr>
            </a:outerShdw>
          </a:effectLst>
        </c:spPr>
        <c:marker>
          <c:symbol val="none"/>
        </c:marker>
        <c:dLbl>
          <c:idx val="0"/>
          <c:spPr>
            <a:solidFill>
              <a:schemeClr val="accent2">
                <a:lumMod val="60000"/>
                <a:lumOff val="40000"/>
              </a:schemeClr>
            </a:solidFill>
            <a:ln>
              <a:noFill/>
            </a:ln>
            <a:effectLst>
              <a:softEdge rad="31750"/>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5"/>
        <c:spPr>
          <a:solidFill>
            <a:srgbClr val="FFC000">
              <a:alpha val="84000"/>
            </a:srgbClr>
          </a:solidFill>
          <a:ln>
            <a:noFill/>
          </a:ln>
          <a:effectLst>
            <a:outerShdw blurRad="57150" dist="19050" dir="5400000" algn="ctr" rotWithShape="0">
              <a:srgbClr val="000000">
                <a:alpha val="63000"/>
              </a:srgbClr>
            </a:outerShdw>
          </a:effectLst>
        </c:spPr>
        <c:marker>
          <c:symbol val="none"/>
        </c:marker>
        <c:dLbl>
          <c:idx val="0"/>
          <c:spPr>
            <a:solidFill>
              <a:schemeClr val="accent4">
                <a:lumMod val="40000"/>
                <a:lumOff val="60000"/>
              </a:schemeClr>
            </a:solidFill>
            <a:ln>
              <a:noFill/>
            </a:ln>
            <a:effectLst>
              <a:softEdge rad="31750"/>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5">
              <a:lumMod val="75000"/>
              <a:alpha val="88000"/>
            </a:schemeClr>
          </a:solidFill>
          <a:ln>
            <a:noFill/>
          </a:ln>
          <a:effectLst>
            <a:outerShdw blurRad="57150" dist="19050" dir="5400000" algn="ctr" rotWithShape="0">
              <a:srgbClr val="000000">
                <a:alpha val="63000"/>
              </a:srgbClr>
            </a:outerShdw>
          </a:effectLst>
        </c:spPr>
        <c:marker>
          <c:symbol val="none"/>
        </c:marker>
        <c:dLbl>
          <c:idx val="0"/>
          <c:spPr>
            <a:solidFill>
              <a:schemeClr val="accent5">
                <a:lumMod val="60000"/>
                <a:lumOff val="40000"/>
              </a:schemeClr>
            </a:solidFill>
            <a:ln>
              <a:noFill/>
            </a:ln>
            <a:effectLst>
              <a:softEdge rad="31750"/>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a:solidFill>
              <a:schemeClr val="accent2">
                <a:lumMod val="50000"/>
              </a:schemeClr>
            </a:solidFill>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pivotFmt>
      <c:pivotFmt>
        <c:idx val="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pivotFmt>
      <c:pivotFmt>
        <c:idx val="100"/>
        <c:spPr>
          <a:solidFill>
            <a:schemeClr val="accent2"/>
          </a:solidFill>
          <a:ln>
            <a:noFill/>
          </a:ln>
          <a:effectLst>
            <a:outerShdw blurRad="57150" dist="19050" dir="5400000" algn="ctr" rotWithShape="0">
              <a:srgbClr val="000000">
                <a:alpha val="63000"/>
              </a:srgbClr>
            </a:outerShdw>
          </a:effectLst>
        </c:spPr>
        <c:marker>
          <c:symbol val="none"/>
        </c:marker>
        <c:dLbl>
          <c:idx val="0"/>
          <c:spPr>
            <a:solidFill>
              <a:schemeClr val="accent2">
                <a:lumMod val="60000"/>
                <a:lumOff val="4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1"/>
        <c:spPr>
          <a:solidFill>
            <a:srgbClr val="FFC000">
              <a:alpha val="84000"/>
            </a:srgbClr>
          </a:solidFill>
          <a:ln>
            <a:noFill/>
          </a:ln>
          <a:effectLst>
            <a:outerShdw blurRad="57150" dist="19050" dir="5400000" algn="ctr" rotWithShape="0">
              <a:srgbClr val="000000">
                <a:alpha val="63000"/>
              </a:srgbClr>
            </a:outerShdw>
          </a:effectLst>
        </c:spPr>
        <c:marker>
          <c:symbol val="none"/>
        </c:marker>
        <c:dLbl>
          <c:idx val="0"/>
          <c:spPr>
            <a:solidFill>
              <a:schemeClr val="accent4">
                <a:lumMod val="40000"/>
                <a:lumOff val="6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2"/>
        <c:spPr>
          <a:solidFill>
            <a:schemeClr val="accent5">
              <a:lumMod val="75000"/>
              <a:alpha val="88000"/>
            </a:schemeClr>
          </a:solidFill>
          <a:ln>
            <a:noFill/>
          </a:ln>
          <a:effectLst>
            <a:outerShdw blurRad="57150" dist="19050" dir="5400000" algn="ctr" rotWithShape="0">
              <a:srgbClr val="000000">
                <a:alpha val="63000"/>
              </a:srgbClr>
            </a:outerShdw>
          </a:effectLst>
        </c:spPr>
        <c:marker>
          <c:symbol val="none"/>
        </c:marker>
        <c:dLbl>
          <c:idx val="0"/>
          <c:spPr>
            <a:solidFill>
              <a:schemeClr val="accent5">
                <a:lumMod val="60000"/>
                <a:lumOff val="4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pivotFmt>
      <c:pivotFmt>
        <c:idx val="1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pivotFmt>
      <c:pivotFmt>
        <c:idx val="1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pivotFmt>
      <c:pivotFmt>
        <c:idx val="1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pivotFmt>
      <c:pivotFmt>
        <c:idx val="108"/>
        <c:spPr>
          <a:solidFill>
            <a:schemeClr val="accent2"/>
          </a:solidFill>
          <a:ln>
            <a:noFill/>
          </a:ln>
          <a:effectLst>
            <a:outerShdw blurRad="57150" dist="19050" dir="5400000" algn="ctr" rotWithShape="0">
              <a:srgbClr val="000000">
                <a:alpha val="63000"/>
              </a:srgbClr>
            </a:outerShdw>
          </a:effectLst>
        </c:spPr>
        <c:marker>
          <c:symbol val="none"/>
        </c:marker>
        <c:dLbl>
          <c:idx val="0"/>
          <c:spPr>
            <a:solidFill>
              <a:schemeClr val="accent2">
                <a:lumMod val="60000"/>
                <a:lumOff val="4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9"/>
        <c:spPr>
          <a:solidFill>
            <a:srgbClr val="FFC000">
              <a:alpha val="84000"/>
            </a:srgbClr>
          </a:solidFill>
          <a:ln>
            <a:noFill/>
          </a:ln>
          <a:effectLst>
            <a:outerShdw blurRad="57150" dist="19050" dir="5400000" algn="ctr" rotWithShape="0">
              <a:srgbClr val="000000">
                <a:alpha val="63000"/>
              </a:srgbClr>
            </a:outerShdw>
          </a:effectLst>
        </c:spPr>
        <c:marker>
          <c:symbol val="none"/>
        </c:marker>
        <c:dLbl>
          <c:idx val="0"/>
          <c:spPr>
            <a:solidFill>
              <a:schemeClr val="accent4">
                <a:lumMod val="40000"/>
                <a:lumOff val="6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0"/>
        <c:spPr>
          <a:solidFill>
            <a:schemeClr val="accent5">
              <a:lumMod val="75000"/>
              <a:alpha val="88000"/>
            </a:schemeClr>
          </a:solidFill>
          <a:ln>
            <a:noFill/>
          </a:ln>
          <a:effectLst>
            <a:outerShdw blurRad="57150" dist="19050" dir="5400000" algn="ctr" rotWithShape="0">
              <a:srgbClr val="000000">
                <a:alpha val="63000"/>
              </a:srgbClr>
            </a:outerShdw>
          </a:effectLst>
        </c:spPr>
        <c:marker>
          <c:symbol val="none"/>
        </c:marker>
        <c:dLbl>
          <c:idx val="0"/>
          <c:spPr>
            <a:solidFill>
              <a:schemeClr val="accent5">
                <a:lumMod val="60000"/>
                <a:lumOff val="4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pivotFmt>
      <c:pivotFmt>
        <c:idx val="1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pivotFmt>
      <c:pivotFmt>
        <c:idx val="1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pivotFmt>
      <c:pivotFmt>
        <c:idx val="1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pivotFmt>
      <c:pivotFmt>
        <c:idx val="1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pivotFmt>
      <c:pivotFmt>
        <c:idx val="1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pivotFmt>
      <c:pivotFmt>
        <c:idx val="1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pivotFmt>
      <c:pivotFmt>
        <c:idx val="1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pivotFmt>
      <c:pivotFmt>
        <c:idx val="1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pivotFmt>
      <c:pivotFmt>
        <c:idx val="1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pivotFmt>
      <c:pivotFmt>
        <c:idx val="1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pivotFmt>
      <c:pivotFmt>
        <c:idx val="1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pivotFmt>
      <c:pivotFmt>
        <c:idx val="124"/>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pivotFmt>
      <c:pivotFmt>
        <c:idx val="125"/>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pivotFmt>
      <c:pivotFmt>
        <c:idx val="126"/>
      </c:pivotFmt>
      <c:pivotFmt>
        <c:idx val="127"/>
      </c:pivotFmt>
      <c:pivotFmt>
        <c:idx val="128"/>
      </c:pivotFmt>
      <c:pivotFmt>
        <c:idx val="129"/>
      </c:pivotFmt>
      <c:pivotFmt>
        <c:idx val="130"/>
      </c:pivotFmt>
      <c:pivotFmt>
        <c:idx val="131"/>
      </c:pivotFmt>
      <c:pivotFmt>
        <c:idx val="132"/>
      </c:pivotFmt>
      <c:pivotFmt>
        <c:idx val="133"/>
      </c:pivotFmt>
      <c:pivotFmt>
        <c:idx val="134"/>
      </c:pivotFmt>
      <c:pivotFmt>
        <c:idx val="135"/>
      </c:pivotFmt>
      <c:pivotFmt>
        <c:idx val="136"/>
      </c:pivotFmt>
      <c:pivotFmt>
        <c:idx val="137"/>
      </c:pivotFmt>
      <c:pivotFmt>
        <c:idx val="138"/>
      </c:pivotFmt>
      <c:pivotFmt>
        <c:idx val="139"/>
      </c:pivotFmt>
      <c:pivotFmt>
        <c:idx val="140"/>
      </c:pivotFmt>
      <c:pivotFmt>
        <c:idx val="141"/>
      </c:pivotFmt>
      <c:pivotFmt>
        <c:idx val="142"/>
      </c:pivotFmt>
      <c:pivotFmt>
        <c:idx val="1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accent2">
                <a:lumMod val="50000"/>
              </a:schemeClr>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27982458649195"/>
          <c:y val="0.13782901356841112"/>
          <c:w val="0.79978834556712486"/>
          <c:h val="0.66817505843596348"/>
        </c:manualLayout>
      </c:layout>
      <c:barChart>
        <c:barDir val="col"/>
        <c:grouping val="clustered"/>
        <c:varyColors val="0"/>
        <c:ser>
          <c:idx val="0"/>
          <c:order val="0"/>
          <c:tx>
            <c:strRef>
              <c:f>'New HIV pos'!$B$5</c:f>
              <c:strCache>
                <c:ptCount val="1"/>
                <c:pt idx="0">
                  <c:v> CD4_tests</c:v>
                </c:pt>
              </c:strCache>
            </c:strRef>
          </c:tx>
          <c:spPr>
            <a:solidFill>
              <a:schemeClr val="accent2"/>
            </a:solidFill>
            <a:ln>
              <a:noFill/>
            </a:ln>
            <a:effectLst>
              <a:outerShdw blurRad="57150" dist="19050" dir="5400000" algn="ctr" rotWithShape="0">
                <a:srgbClr val="000000">
                  <a:alpha val="63000"/>
                </a:srgbClr>
              </a:outerShdw>
            </a:effectLst>
          </c:spPr>
          <c:invertIfNegative val="0"/>
          <c:dLbls>
            <c:spPr>
              <a:solidFill>
                <a:schemeClr val="accent2">
                  <a:lumMod val="60000"/>
                  <a:lumOff val="40000"/>
                </a:schemeClr>
              </a:solidFill>
              <a:ln>
                <a:noFill/>
              </a:ln>
              <a:effectLst>
                <a:softEdge rad="31750"/>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'New HIV pos'!$A$6:$A$42</c:f>
              <c:multiLvlStrCache>
                <c:ptCount val="17"/>
                <c:lvl>
                  <c:pt idx="0">
                    <c:v>74</c:v>
                  </c:pt>
                  <c:pt idx="1">
                    <c:v>81</c:v>
                  </c:pt>
                  <c:pt idx="2">
                    <c:v>77</c:v>
                  </c:pt>
                  <c:pt idx="3">
                    <c:v>118</c:v>
                  </c:pt>
                  <c:pt idx="4">
                    <c:v>102</c:v>
                  </c:pt>
                  <c:pt idx="5">
                    <c:v>72</c:v>
                  </c:pt>
                  <c:pt idx="6">
                    <c:v>101</c:v>
                  </c:pt>
                  <c:pt idx="7">
                    <c:v>81</c:v>
                  </c:pt>
                  <c:pt idx="8">
                    <c:v>69</c:v>
                  </c:pt>
                  <c:pt idx="9">
                    <c:v>86</c:v>
                  </c:pt>
                  <c:pt idx="10">
                    <c:v>107</c:v>
                  </c:pt>
                  <c:pt idx="11">
                    <c:v>104</c:v>
                  </c:pt>
                  <c:pt idx="12">
                    <c:v>54</c:v>
                  </c:pt>
                  <c:pt idx="13">
                    <c:v>42</c:v>
                  </c:pt>
                  <c:pt idx="14">
                    <c:v>61</c:v>
                  </c:pt>
                  <c:pt idx="15">
                    <c:v>88</c:v>
                  </c:pt>
                  <c:pt idx="16">
                    <c:v>93</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2024</c:v>
                  </c:pt>
                  <c:pt idx="12">
                    <c:v>2025</c:v>
                  </c:pt>
                </c:lvl>
              </c:multiLvlStrCache>
            </c:multiLvlStrRef>
          </c:cat>
          <c:val>
            <c:numRef>
              <c:f>'New HIV pos'!$B$6:$B$42</c:f>
              <c:numCache>
                <c:formatCode>General</c:formatCode>
                <c:ptCount val="17"/>
                <c:pt idx="0">
                  <c:v>74</c:v>
                </c:pt>
                <c:pt idx="1">
                  <c:v>81</c:v>
                </c:pt>
                <c:pt idx="2">
                  <c:v>74</c:v>
                </c:pt>
                <c:pt idx="3">
                  <c:v>75</c:v>
                </c:pt>
                <c:pt idx="4">
                  <c:v>87</c:v>
                </c:pt>
                <c:pt idx="5">
                  <c:v>72</c:v>
                </c:pt>
                <c:pt idx="6">
                  <c:v>98</c:v>
                </c:pt>
                <c:pt idx="7">
                  <c:v>74</c:v>
                </c:pt>
                <c:pt idx="8">
                  <c:v>65</c:v>
                </c:pt>
                <c:pt idx="9">
                  <c:v>82</c:v>
                </c:pt>
                <c:pt idx="10">
                  <c:v>105</c:v>
                </c:pt>
                <c:pt idx="11">
                  <c:v>101</c:v>
                </c:pt>
                <c:pt idx="12">
                  <c:v>51</c:v>
                </c:pt>
                <c:pt idx="13">
                  <c:v>42</c:v>
                </c:pt>
                <c:pt idx="14">
                  <c:v>59</c:v>
                </c:pt>
                <c:pt idx="15">
                  <c:v>77</c:v>
                </c:pt>
                <c:pt idx="16">
                  <c:v>93</c:v>
                </c:pt>
              </c:numCache>
            </c:numRef>
          </c:val>
          <c:extLst>
            <c:ext xmlns:c16="http://schemas.microsoft.com/office/drawing/2014/chart" uri="{C3380CC4-5D6E-409C-BE32-E72D297353CC}">
              <c16:uniqueId val="{00000000-7ED3-47B5-ACAB-A5E62C9559F3}"/>
            </c:ext>
          </c:extLst>
        </c:ser>
        <c:ser>
          <c:idx val="1"/>
          <c:order val="1"/>
          <c:tx>
            <c:strRef>
              <c:f>'New HIV pos'!$C$5</c:f>
              <c:strCache>
                <c:ptCount val="1"/>
                <c:pt idx="0">
                  <c:v> LAM_tests</c:v>
                </c:pt>
              </c:strCache>
            </c:strRef>
          </c:tx>
          <c:spPr>
            <a:solidFill>
              <a:srgbClr val="FFC000">
                <a:alpha val="84000"/>
              </a:srgbClr>
            </a:solidFill>
            <a:ln>
              <a:noFill/>
            </a:ln>
            <a:effectLst>
              <a:outerShdw blurRad="57150" dist="19050" dir="5400000" algn="ctr" rotWithShape="0">
                <a:srgbClr val="000000">
                  <a:alpha val="63000"/>
                </a:srgbClr>
              </a:outerShdw>
            </a:effectLst>
          </c:spPr>
          <c:invertIfNegative val="0"/>
          <c:dLbls>
            <c:spPr>
              <a:solidFill>
                <a:schemeClr val="accent4">
                  <a:lumMod val="40000"/>
                  <a:lumOff val="60000"/>
                </a:schemeClr>
              </a:solidFill>
              <a:ln>
                <a:noFill/>
              </a:ln>
              <a:effectLst>
                <a:softEdge rad="31750"/>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'New HIV pos'!$A$6:$A$42</c:f>
              <c:multiLvlStrCache>
                <c:ptCount val="17"/>
                <c:lvl>
                  <c:pt idx="0">
                    <c:v>74</c:v>
                  </c:pt>
                  <c:pt idx="1">
                    <c:v>81</c:v>
                  </c:pt>
                  <c:pt idx="2">
                    <c:v>77</c:v>
                  </c:pt>
                  <c:pt idx="3">
                    <c:v>118</c:v>
                  </c:pt>
                  <c:pt idx="4">
                    <c:v>102</c:v>
                  </c:pt>
                  <c:pt idx="5">
                    <c:v>72</c:v>
                  </c:pt>
                  <c:pt idx="6">
                    <c:v>101</c:v>
                  </c:pt>
                  <c:pt idx="7">
                    <c:v>81</c:v>
                  </c:pt>
                  <c:pt idx="8">
                    <c:v>69</c:v>
                  </c:pt>
                  <c:pt idx="9">
                    <c:v>86</c:v>
                  </c:pt>
                  <c:pt idx="10">
                    <c:v>107</c:v>
                  </c:pt>
                  <c:pt idx="11">
                    <c:v>104</c:v>
                  </c:pt>
                  <c:pt idx="12">
                    <c:v>54</c:v>
                  </c:pt>
                  <c:pt idx="13">
                    <c:v>42</c:v>
                  </c:pt>
                  <c:pt idx="14">
                    <c:v>61</c:v>
                  </c:pt>
                  <c:pt idx="15">
                    <c:v>88</c:v>
                  </c:pt>
                  <c:pt idx="16">
                    <c:v>93</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2024</c:v>
                  </c:pt>
                  <c:pt idx="12">
                    <c:v>2025</c:v>
                  </c:pt>
                </c:lvl>
              </c:multiLvlStrCache>
            </c:multiLvlStrRef>
          </c:cat>
          <c:val>
            <c:numRef>
              <c:f>'New HIV pos'!$C$6:$C$42</c:f>
              <c:numCache>
                <c:formatCode>General</c:formatCode>
                <c:ptCount val="17"/>
                <c:pt idx="0">
                  <c:v>34</c:v>
                </c:pt>
                <c:pt idx="1">
                  <c:v>20</c:v>
                </c:pt>
                <c:pt idx="2">
                  <c:v>22</c:v>
                </c:pt>
                <c:pt idx="3">
                  <c:v>32</c:v>
                </c:pt>
                <c:pt idx="4">
                  <c:v>0</c:v>
                </c:pt>
                <c:pt idx="5">
                  <c:v>0</c:v>
                </c:pt>
                <c:pt idx="6">
                  <c:v>0</c:v>
                </c:pt>
                <c:pt idx="7">
                  <c:v>8</c:v>
                </c:pt>
                <c:pt idx="8">
                  <c:v>29</c:v>
                </c:pt>
                <c:pt idx="9">
                  <c:v>24</c:v>
                </c:pt>
                <c:pt idx="10">
                  <c:v>41</c:v>
                </c:pt>
                <c:pt idx="11">
                  <c:v>43</c:v>
                </c:pt>
                <c:pt idx="12">
                  <c:v>26</c:v>
                </c:pt>
                <c:pt idx="13">
                  <c:v>14</c:v>
                </c:pt>
                <c:pt idx="14">
                  <c:v>20</c:v>
                </c:pt>
                <c:pt idx="15">
                  <c:v>35</c:v>
                </c:pt>
                <c:pt idx="16">
                  <c:v>37</c:v>
                </c:pt>
              </c:numCache>
            </c:numRef>
          </c:val>
          <c:extLst>
            <c:ext xmlns:c16="http://schemas.microsoft.com/office/drawing/2014/chart" uri="{C3380CC4-5D6E-409C-BE32-E72D297353CC}">
              <c16:uniqueId val="{00000001-7ED3-47B5-ACAB-A5E62C9559F3}"/>
            </c:ext>
          </c:extLst>
        </c:ser>
        <c:ser>
          <c:idx val="2"/>
          <c:order val="2"/>
          <c:tx>
            <c:strRef>
              <c:f>'New HIV pos'!$D$5</c:f>
              <c:strCache>
                <c:ptCount val="1"/>
                <c:pt idx="0">
                  <c:v>CrAg-tests</c:v>
                </c:pt>
              </c:strCache>
            </c:strRef>
          </c:tx>
          <c:spPr>
            <a:solidFill>
              <a:schemeClr val="accent5">
                <a:lumMod val="75000"/>
                <a:alpha val="88000"/>
              </a:schemeClr>
            </a:solidFill>
            <a:ln>
              <a:noFill/>
            </a:ln>
            <a:effectLst>
              <a:outerShdw blurRad="57150" dist="19050" dir="5400000" algn="ctr" rotWithShape="0">
                <a:srgbClr val="000000">
                  <a:alpha val="63000"/>
                </a:srgbClr>
              </a:outerShdw>
            </a:effectLst>
          </c:spPr>
          <c:invertIfNegative val="0"/>
          <c:dLbls>
            <c:spPr>
              <a:solidFill>
                <a:schemeClr val="accent5">
                  <a:lumMod val="60000"/>
                  <a:lumOff val="40000"/>
                </a:schemeClr>
              </a:solidFill>
              <a:ln>
                <a:noFill/>
              </a:ln>
              <a:effectLst>
                <a:softEdge rad="31750"/>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'New HIV pos'!$A$6:$A$42</c:f>
              <c:multiLvlStrCache>
                <c:ptCount val="17"/>
                <c:lvl>
                  <c:pt idx="0">
                    <c:v>74</c:v>
                  </c:pt>
                  <c:pt idx="1">
                    <c:v>81</c:v>
                  </c:pt>
                  <c:pt idx="2">
                    <c:v>77</c:v>
                  </c:pt>
                  <c:pt idx="3">
                    <c:v>118</c:v>
                  </c:pt>
                  <c:pt idx="4">
                    <c:v>102</c:v>
                  </c:pt>
                  <c:pt idx="5">
                    <c:v>72</c:v>
                  </c:pt>
                  <c:pt idx="6">
                    <c:v>101</c:v>
                  </c:pt>
                  <c:pt idx="7">
                    <c:v>81</c:v>
                  </c:pt>
                  <c:pt idx="8">
                    <c:v>69</c:v>
                  </c:pt>
                  <c:pt idx="9">
                    <c:v>86</c:v>
                  </c:pt>
                  <c:pt idx="10">
                    <c:v>107</c:v>
                  </c:pt>
                  <c:pt idx="11">
                    <c:v>104</c:v>
                  </c:pt>
                  <c:pt idx="12">
                    <c:v>54</c:v>
                  </c:pt>
                  <c:pt idx="13">
                    <c:v>42</c:v>
                  </c:pt>
                  <c:pt idx="14">
                    <c:v>61</c:v>
                  </c:pt>
                  <c:pt idx="15">
                    <c:v>88</c:v>
                  </c:pt>
                  <c:pt idx="16">
                    <c:v>93</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2024</c:v>
                  </c:pt>
                  <c:pt idx="12">
                    <c:v>2025</c:v>
                  </c:pt>
                </c:lvl>
              </c:multiLvlStrCache>
            </c:multiLvlStrRef>
          </c:cat>
          <c:val>
            <c:numRef>
              <c:f>'New HIV pos'!$D$6:$D$42</c:f>
              <c:numCache>
                <c:formatCode>General</c:formatCode>
                <c:ptCount val="17"/>
                <c:pt idx="0">
                  <c:v>34</c:v>
                </c:pt>
                <c:pt idx="1">
                  <c:v>22</c:v>
                </c:pt>
                <c:pt idx="2">
                  <c:v>22</c:v>
                </c:pt>
                <c:pt idx="3">
                  <c:v>42</c:v>
                </c:pt>
                <c:pt idx="4">
                  <c:v>47</c:v>
                </c:pt>
                <c:pt idx="5">
                  <c:v>40</c:v>
                </c:pt>
                <c:pt idx="6">
                  <c:v>42</c:v>
                </c:pt>
                <c:pt idx="7">
                  <c:v>32</c:v>
                </c:pt>
                <c:pt idx="8">
                  <c:v>35</c:v>
                </c:pt>
                <c:pt idx="9">
                  <c:v>30</c:v>
                </c:pt>
                <c:pt idx="10">
                  <c:v>45</c:v>
                </c:pt>
                <c:pt idx="11">
                  <c:v>43</c:v>
                </c:pt>
                <c:pt idx="12">
                  <c:v>26</c:v>
                </c:pt>
                <c:pt idx="13">
                  <c:v>15</c:v>
                </c:pt>
                <c:pt idx="14">
                  <c:v>19</c:v>
                </c:pt>
                <c:pt idx="15">
                  <c:v>35</c:v>
                </c:pt>
                <c:pt idx="16">
                  <c:v>51</c:v>
                </c:pt>
              </c:numCache>
            </c:numRef>
          </c:val>
          <c:extLst>
            <c:ext xmlns:c16="http://schemas.microsoft.com/office/drawing/2014/chart" uri="{C3380CC4-5D6E-409C-BE32-E72D297353CC}">
              <c16:uniqueId val="{00000002-7ED3-47B5-ACAB-A5E62C9559F3}"/>
            </c:ext>
          </c:extLst>
        </c:ser>
        <c:ser>
          <c:idx val="3"/>
          <c:order val="3"/>
          <c:tx>
            <c:strRef>
              <c:f>'New HIV pos'!$E$5</c:f>
              <c:strCache>
                <c:ptCount val="1"/>
                <c:pt idx="0">
                  <c:v>CD4-cov%</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solidFill>
                <a:schemeClr val="accent2">
                  <a:lumMod val="50000"/>
                </a:schemeClr>
              </a:solid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'New HIV pos'!$A$6:$A$42</c:f>
              <c:multiLvlStrCache>
                <c:ptCount val="17"/>
                <c:lvl>
                  <c:pt idx="0">
                    <c:v>74</c:v>
                  </c:pt>
                  <c:pt idx="1">
                    <c:v>81</c:v>
                  </c:pt>
                  <c:pt idx="2">
                    <c:v>77</c:v>
                  </c:pt>
                  <c:pt idx="3">
                    <c:v>118</c:v>
                  </c:pt>
                  <c:pt idx="4">
                    <c:v>102</c:v>
                  </c:pt>
                  <c:pt idx="5">
                    <c:v>72</c:v>
                  </c:pt>
                  <c:pt idx="6">
                    <c:v>101</c:v>
                  </c:pt>
                  <c:pt idx="7">
                    <c:v>81</c:v>
                  </c:pt>
                  <c:pt idx="8">
                    <c:v>69</c:v>
                  </c:pt>
                  <c:pt idx="9">
                    <c:v>86</c:v>
                  </c:pt>
                  <c:pt idx="10">
                    <c:v>107</c:v>
                  </c:pt>
                  <c:pt idx="11">
                    <c:v>104</c:v>
                  </c:pt>
                  <c:pt idx="12">
                    <c:v>54</c:v>
                  </c:pt>
                  <c:pt idx="13">
                    <c:v>42</c:v>
                  </c:pt>
                  <c:pt idx="14">
                    <c:v>61</c:v>
                  </c:pt>
                  <c:pt idx="15">
                    <c:v>88</c:v>
                  </c:pt>
                  <c:pt idx="16">
                    <c:v>93</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2024</c:v>
                  </c:pt>
                  <c:pt idx="12">
                    <c:v>2025</c:v>
                  </c:pt>
                </c:lvl>
              </c:multiLvlStrCache>
            </c:multiLvlStrRef>
          </c:cat>
          <c:val>
            <c:numRef>
              <c:f>'New HIV pos'!$E$6:$E$42</c:f>
              <c:numCache>
                <c:formatCode>0%</c:formatCode>
                <c:ptCount val="17"/>
                <c:pt idx="0">
                  <c:v>1</c:v>
                </c:pt>
                <c:pt idx="1">
                  <c:v>1</c:v>
                </c:pt>
                <c:pt idx="2">
                  <c:v>0.96103896103896103</c:v>
                </c:pt>
                <c:pt idx="3">
                  <c:v>0.63559322033898302</c:v>
                </c:pt>
                <c:pt idx="4">
                  <c:v>0.8529411764705882</c:v>
                </c:pt>
                <c:pt idx="5">
                  <c:v>1</c:v>
                </c:pt>
                <c:pt idx="6">
                  <c:v>0.97029702970297027</c:v>
                </c:pt>
                <c:pt idx="7">
                  <c:v>0.9135802469135802</c:v>
                </c:pt>
                <c:pt idx="8">
                  <c:v>0.94202898550724634</c:v>
                </c:pt>
                <c:pt idx="9">
                  <c:v>0.95348837209302328</c:v>
                </c:pt>
                <c:pt idx="10">
                  <c:v>0.98130841121495327</c:v>
                </c:pt>
                <c:pt idx="11">
                  <c:v>0.97115384615384615</c:v>
                </c:pt>
                <c:pt idx="12">
                  <c:v>0.94444444444444442</c:v>
                </c:pt>
                <c:pt idx="13">
                  <c:v>1</c:v>
                </c:pt>
                <c:pt idx="14">
                  <c:v>0.96721311475409832</c:v>
                </c:pt>
                <c:pt idx="15">
                  <c:v>0.875</c:v>
                </c:pt>
                <c:pt idx="16">
                  <c:v>1</c:v>
                </c:pt>
              </c:numCache>
            </c:numRef>
          </c:val>
          <c:extLst>
            <c:ext xmlns:c16="http://schemas.microsoft.com/office/drawing/2014/chart" uri="{C3380CC4-5D6E-409C-BE32-E72D297353CC}">
              <c16:uniqueId val="{00000001-82BB-44DA-823D-F79331CEAD88}"/>
            </c:ext>
          </c:extLst>
        </c:ser>
        <c:dLbls>
          <c:showLegendKey val="0"/>
          <c:showVal val="0"/>
          <c:showCatName val="0"/>
          <c:showSerName val="0"/>
          <c:showPercent val="0"/>
          <c:showBubbleSize val="0"/>
        </c:dLbls>
        <c:gapWidth val="100"/>
        <c:overlap val="44"/>
        <c:axId val="939995816"/>
        <c:axId val="939997976"/>
      </c:barChart>
      <c:catAx>
        <c:axId val="939995816"/>
        <c:scaling>
          <c:orientation val="minMax"/>
        </c:scaling>
        <c:delete val="0"/>
        <c:axPos val="b"/>
        <c:numFmt formatCode="General" sourceLinked="1"/>
        <c:majorTickMark val="none"/>
        <c:minorTickMark val="none"/>
        <c:tickLblPos val="nextTo"/>
        <c:spPr>
          <a:noFill/>
          <a:ln w="12700" cap="flat" cmpd="sng" algn="ctr">
            <a:solidFill>
              <a:schemeClr val="accent1">
                <a:lumMod val="50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939997976"/>
        <c:crosses val="autoZero"/>
        <c:auto val="1"/>
        <c:lblAlgn val="ctr"/>
        <c:lblOffset val="100"/>
        <c:noMultiLvlLbl val="0"/>
      </c:catAx>
      <c:valAx>
        <c:axId val="939997976"/>
        <c:scaling>
          <c:orientation val="minMax"/>
          <c:max val="160"/>
          <c:min val="0"/>
        </c:scaling>
        <c:delete val="0"/>
        <c:axPos val="l"/>
        <c:title>
          <c:tx>
            <c:rich>
              <a:bodyPr rot="-54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r>
                  <a:rPr lang="en-US"/>
                  <a:t># ROC screened</a:t>
                </a:r>
              </a:p>
            </c:rich>
          </c:tx>
          <c:layout>
            <c:manualLayout>
              <c:xMode val="edge"/>
              <c:yMode val="edge"/>
              <c:x val="9.6395804588315145E-3"/>
              <c:y val="0.37328292379827999"/>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solidFill>
              <a:schemeClr val="accent1">
                <a:lumMod val="50000"/>
              </a:schemeClr>
            </a:solid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939995816"/>
        <c:crosses val="autoZero"/>
        <c:crossBetween val="between"/>
      </c:valAx>
      <c:spPr>
        <a:noFill/>
        <a:ln>
          <a:noFill/>
        </a:ln>
        <a:effectLst/>
      </c:spPr>
    </c:plotArea>
    <c:legend>
      <c:legendPos val="r"/>
      <c:layout>
        <c:manualLayout>
          <c:xMode val="edge"/>
          <c:yMode val="edge"/>
          <c:x val="4.5312380641375025E-3"/>
          <c:y val="0.94160745146018032"/>
          <c:w val="0.98756288281905524"/>
          <c:h val="5.8392548539819657E-2"/>
        </c:manualLayout>
      </c:layout>
      <c:overlay val="0"/>
      <c:spPr>
        <a:noFill/>
        <a:ln w="6350">
          <a:solidFill>
            <a:schemeClr val="accent5">
              <a:lumMod val="40000"/>
              <a:lumOff val="60000"/>
            </a:schemeClr>
          </a:solid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lumMod val="20000"/>
          <a:lumOff val="80000"/>
        </a:schemeClr>
      </a:solidFill>
      <a:round/>
    </a:ln>
    <a:effectLst/>
  </c:spPr>
  <c:txPr>
    <a:bodyPr/>
    <a:lstStyle/>
    <a:p>
      <a:pPr>
        <a:defRPr sz="1100">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[AHD_Reporting_Form.xlsx]New HIV pos!PivotTable2</c:name>
    <c:fmtId val="13"/>
  </c:pivotSource>
  <c:chart>
    <c:title>
      <c:tx>
        <c:rich>
          <a:bodyPr rot="0" spcFirstLastPara="1" vertOverflow="ellipsis" vert="horz" wrap="square" anchor="ctr" anchorCtr="1"/>
          <a:lstStyle/>
          <a:p>
            <a:pPr>
              <a:defRPr sz="1200" b="1" i="0" u="sng" strike="noStrike" kern="1200" baseline="0">
                <a:solidFill>
                  <a:sysClr val="windowText" lastClr="000000"/>
                </a:solidFill>
                <a:latin typeface="+mn-lt"/>
                <a:ea typeface="+mn-ea"/>
                <a:cs typeface="+mn-cs"/>
              </a:defRPr>
            </a:pPr>
            <a:r>
              <a:rPr lang="en-GB" sz="1200" b="1" i="0" u="sng" strike="noStrike" kern="1200" baseline="0">
                <a:solidFill>
                  <a:sysClr val="windowText" lastClr="000000"/>
                </a:solidFill>
              </a:rPr>
              <a:t>AHD Yield among new HIV+</a:t>
            </a:r>
          </a:p>
        </c:rich>
      </c:tx>
      <c:layout>
        <c:manualLayout>
          <c:xMode val="edge"/>
          <c:yMode val="edge"/>
          <c:x val="0.36045789786849058"/>
          <c:y val="1.0741862550549623E-2"/>
        </c:manualLayout>
      </c:layout>
      <c:overlay val="0"/>
      <c:spPr>
        <a:noFill/>
        <a:ln>
          <a:noFill/>
        </a:ln>
        <a:effectLst/>
      </c:spPr>
      <c:txPr>
        <a:bodyPr rot="0" spcFirstLastPara="1" vertOverflow="ellipsis" vert="horz" wrap="square" anchor="ctr" anchorCtr="1"/>
        <a:lstStyle/>
        <a:p>
          <a:pPr>
            <a:defRPr sz="1200" b="1" i="0" u="sng" strike="noStrike" kern="1200" baseline="0">
              <a:solidFill>
                <a:sysClr val="windowText" lastClr="000000"/>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2"/>
            </a:solidFill>
            <a:round/>
          </a:ln>
          <a:effectLst>
            <a:outerShdw blurRad="57150" dist="19050" dir="5400000" algn="ctr" rotWithShape="0">
              <a:srgbClr val="000000">
                <a:alpha val="63000"/>
              </a:srgbClr>
            </a:outerShdw>
          </a:effectLst>
        </c:spPr>
        <c:marker>
          <c:symbol val="circle"/>
          <c:size val="4"/>
          <c:spPr>
            <a:solidFill>
              <a:schemeClr val="accent2"/>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5"/>
            </a:solidFill>
            <a:round/>
          </a:ln>
          <a:effectLst>
            <a:outerShdw blurRad="57150" dist="19050" dir="5400000" algn="ctr" rotWithShape="0">
              <a:srgbClr val="000000">
                <a:alpha val="63000"/>
              </a:srgbClr>
            </a:outerShdw>
          </a:effectLst>
        </c:spPr>
        <c:marker>
          <c:symbol val="circle"/>
          <c:size val="4"/>
          <c:spPr>
            <a:solidFill>
              <a:schemeClr val="accent5"/>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10"/>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2"/>
            </a:solidFill>
            <a:round/>
          </a:ln>
          <a:effectLst>
            <a:outerShdw blurRad="57150" dist="19050" dir="5400000" algn="ctr" rotWithShape="0">
              <a:srgbClr val="000000">
                <a:alpha val="63000"/>
              </a:srgbClr>
            </a:outerShdw>
          </a:effectLst>
        </c:spPr>
        <c:marker>
          <c:symbol val="circle"/>
          <c:size val="4"/>
          <c:spPr>
            <a:solidFill>
              <a:schemeClr val="accent2"/>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5"/>
            </a:solidFill>
            <a:round/>
          </a:ln>
          <a:effectLst>
            <a:outerShdw blurRad="57150" dist="19050" dir="5400000" algn="ctr" rotWithShape="0">
              <a:srgbClr val="000000">
                <a:alpha val="63000"/>
              </a:srgbClr>
            </a:outerShdw>
          </a:effectLst>
        </c:spPr>
        <c:marker>
          <c:symbol val="circle"/>
          <c:size val="4"/>
          <c:spPr>
            <a:solidFill>
              <a:schemeClr val="accent5"/>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2"/>
            </a:solidFill>
            <a:round/>
          </a:ln>
          <a:effectLst>
            <a:outerShdw blurRad="57150" dist="19050" dir="5400000" algn="ctr" rotWithShape="0">
              <a:srgbClr val="000000">
                <a:alpha val="63000"/>
              </a:srgbClr>
            </a:outerShdw>
          </a:effectLst>
        </c:spPr>
        <c:marker>
          <c:symbol val="circle"/>
          <c:size val="4"/>
          <c:spPr>
            <a:solidFill>
              <a:schemeClr val="accent2"/>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5"/>
            </a:solidFill>
            <a:round/>
          </a:ln>
          <a:effectLst>
            <a:outerShdw blurRad="57150" dist="19050" dir="5400000" algn="ctr" rotWithShape="0">
              <a:srgbClr val="000000">
                <a:alpha val="63000"/>
              </a:srgbClr>
            </a:outerShdw>
          </a:effectLst>
        </c:spPr>
        <c:marker>
          <c:symbol val="circle"/>
          <c:size val="4"/>
          <c:spPr>
            <a:solidFill>
              <a:schemeClr val="accent5"/>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ln w="19050" cap="rnd">
            <a:solidFill>
              <a:schemeClr val="accent2"/>
            </a:solidFill>
            <a:round/>
          </a:ln>
          <a:effectLst>
            <a:outerShdw blurRad="57150" dist="19050" dir="5400000" algn="ctr" rotWithShape="0">
              <a:srgbClr val="000000">
                <a:alpha val="63000"/>
              </a:srgbClr>
            </a:outerShdw>
          </a:effectLst>
        </c:spPr>
        <c:marker>
          <c:symbol val="circle"/>
          <c:size val="4"/>
          <c:spPr>
            <a:solidFill>
              <a:schemeClr val="accent2"/>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1"/>
        <c:spPr>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38"/>
        <c:spPr>
          <a:ln w="19050" cap="rnd">
            <a:solidFill>
              <a:schemeClr val="accent5"/>
            </a:solidFill>
            <a:round/>
          </a:ln>
          <a:effectLst>
            <a:outerShdw blurRad="57150" dist="19050" dir="5400000" algn="ctr" rotWithShape="0">
              <a:srgbClr val="000000">
                <a:alpha val="63000"/>
              </a:srgbClr>
            </a:outerShdw>
          </a:effectLst>
        </c:spPr>
        <c:marker>
          <c:symbol val="circle"/>
          <c:size val="4"/>
          <c:spPr>
            <a:solidFill>
              <a:schemeClr val="accent5"/>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42"/>
        <c:spPr>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43"/>
        <c:spPr>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44"/>
        <c:spPr>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45"/>
        <c:spPr>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46"/>
        <c:spPr>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47"/>
        <c:spPr>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48"/>
        <c:spPr>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49"/>
        <c:spPr>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
        <c:idx val="50"/>
        <c:spPr>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pivotFmt>
    </c:pivotFmts>
    <c:plotArea>
      <c:layout>
        <c:manualLayout>
          <c:layoutTarget val="inner"/>
          <c:xMode val="edge"/>
          <c:yMode val="edge"/>
          <c:x val="0.15376187519955364"/>
          <c:y val="9.04093394699058E-2"/>
          <c:w val="0.79350514113629633"/>
          <c:h val="0.66659997177922348"/>
        </c:manualLayout>
      </c:layout>
      <c:lineChart>
        <c:grouping val="standard"/>
        <c:varyColors val="0"/>
        <c:ser>
          <c:idx val="0"/>
          <c:order val="0"/>
          <c:tx>
            <c:strRef>
              <c:f>'New HIV pos'!$I$5</c:f>
              <c:strCache>
                <c:ptCount val="1"/>
                <c:pt idx="0">
                  <c:v> CD4&lt;200%</c:v>
                </c:pt>
              </c:strCache>
            </c:strRef>
          </c:tx>
          <c:spPr>
            <a:ln w="19050" cap="rnd">
              <a:solidFill>
                <a:schemeClr val="accent2"/>
              </a:solidFill>
              <a:round/>
            </a:ln>
            <a:effectLst>
              <a:outerShdw blurRad="57150" dist="19050" dir="5400000" algn="ctr" rotWithShape="0">
                <a:srgbClr val="000000">
                  <a:alpha val="63000"/>
                </a:srgbClr>
              </a:outerShdw>
            </a:effectLst>
          </c:spPr>
          <c:marker>
            <c:symbol val="circle"/>
            <c:size val="4"/>
            <c:spPr>
              <a:solidFill>
                <a:schemeClr val="accent2"/>
              </a:solidFill>
              <a:ln w="9525">
                <a:noFill/>
                <a:round/>
              </a:ln>
              <a:effectLst>
                <a:outerShdw blurRad="57150" dist="19050" dir="5400000" algn="ctr" rotWithShape="0">
                  <a:srgbClr val="000000">
                    <a:alpha val="63000"/>
                  </a:srgbClr>
                </a:outerShdw>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'New HIV pos'!$H$6:$H$25</c:f>
              <c:multiLvlStrCache>
                <c:ptCount val="1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2024</c:v>
                  </c:pt>
                  <c:pt idx="12">
                    <c:v>2025</c:v>
                  </c:pt>
                </c:lvl>
              </c:multiLvlStrCache>
            </c:multiLvlStrRef>
          </c:cat>
          <c:val>
            <c:numRef>
              <c:f>'New HIV pos'!$I$6:$I$25</c:f>
              <c:numCache>
                <c:formatCode>General</c:formatCode>
                <c:ptCount val="17"/>
                <c:pt idx="0">
                  <c:v>0.41891891891891891</c:v>
                </c:pt>
                <c:pt idx="1">
                  <c:v>0.27160493827160492</c:v>
                </c:pt>
                <c:pt idx="2">
                  <c:v>0.32432432432432434</c:v>
                </c:pt>
                <c:pt idx="3">
                  <c:v>0.48</c:v>
                </c:pt>
                <c:pt idx="4">
                  <c:v>0.42528735632183906</c:v>
                </c:pt>
                <c:pt idx="5">
                  <c:v>0.52777777777777779</c:v>
                </c:pt>
                <c:pt idx="6">
                  <c:v>0.39795918367346939</c:v>
                </c:pt>
                <c:pt idx="7">
                  <c:v>0.40540540540540543</c:v>
                </c:pt>
                <c:pt idx="8">
                  <c:v>0.55384615384615388</c:v>
                </c:pt>
                <c:pt idx="9">
                  <c:v>0.34146341463414637</c:v>
                </c:pt>
                <c:pt idx="10">
                  <c:v>0.40952380952380951</c:v>
                </c:pt>
                <c:pt idx="11">
                  <c:v>0.39603960396039606</c:v>
                </c:pt>
                <c:pt idx="12">
                  <c:v>0.47058823529411764</c:v>
                </c:pt>
                <c:pt idx="13">
                  <c:v>0.35714285714285715</c:v>
                </c:pt>
                <c:pt idx="14">
                  <c:v>0.32203389830508472</c:v>
                </c:pt>
                <c:pt idx="15">
                  <c:v>0.40259740259740262</c:v>
                </c:pt>
                <c:pt idx="16">
                  <c:v>0.4946236559139785</c:v>
                </c:pt>
              </c:numCache>
            </c:numRef>
          </c:val>
          <c:smooth val="1"/>
          <c:extLst>
            <c:ext xmlns:c16="http://schemas.microsoft.com/office/drawing/2014/chart" uri="{C3380CC4-5D6E-409C-BE32-E72D297353CC}">
              <c16:uniqueId val="{0000000C-83AC-4D49-B599-E9A7A2049461}"/>
            </c:ext>
          </c:extLst>
        </c:ser>
        <c:ser>
          <c:idx val="1"/>
          <c:order val="1"/>
          <c:tx>
            <c:strRef>
              <c:f>'New HIV pos'!$J$5</c:f>
              <c:strCache>
                <c:ptCount val="1"/>
                <c:pt idx="0">
                  <c:v> LAM+%</c:v>
                </c:pt>
              </c:strCache>
            </c:strRef>
          </c:tx>
          <c:spPr>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dPt>
            <c:idx val="0"/>
            <c:marker>
              <c:symbol val="circle"/>
              <c:size val="4"/>
              <c:spPr>
                <a:solidFill>
                  <a:schemeClr val="accent4"/>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1-8B45-4916-B118-0CAFCE704528}"/>
              </c:ext>
            </c:extLst>
          </c:dPt>
          <c:dPt>
            <c:idx val="1"/>
            <c:marker>
              <c:symbol val="circle"/>
              <c:size val="4"/>
              <c:spPr>
                <a:solidFill>
                  <a:schemeClr val="accent4"/>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3-8B45-4916-B118-0CAFCE704528}"/>
              </c:ext>
            </c:extLst>
          </c:dPt>
          <c:dPt>
            <c:idx val="2"/>
            <c:marker>
              <c:symbol val="circle"/>
              <c:size val="4"/>
              <c:spPr>
                <a:solidFill>
                  <a:schemeClr val="accent4"/>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5-8B45-4916-B118-0CAFCE704528}"/>
              </c:ext>
            </c:extLst>
          </c:dPt>
          <c:dPt>
            <c:idx val="3"/>
            <c:marker>
              <c:symbol val="circle"/>
              <c:size val="4"/>
              <c:spPr>
                <a:solidFill>
                  <a:schemeClr val="accent4"/>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7-8B45-4916-B118-0CAFCE704528}"/>
              </c:ext>
            </c:extLst>
          </c:dPt>
          <c:dPt>
            <c:idx val="4"/>
            <c:marker>
              <c:symbol val="circle"/>
              <c:size val="4"/>
              <c:spPr>
                <a:solidFill>
                  <a:schemeClr val="accent4"/>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9-8B45-4916-B118-0CAFCE704528}"/>
              </c:ext>
            </c:extLst>
          </c:dPt>
          <c:dPt>
            <c:idx val="5"/>
            <c:marker>
              <c:symbol val="circle"/>
              <c:size val="4"/>
              <c:spPr>
                <a:solidFill>
                  <a:schemeClr val="accent4"/>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B-8B45-4916-B118-0CAFCE704528}"/>
              </c:ext>
            </c:extLst>
          </c:dPt>
          <c:dPt>
            <c:idx val="12"/>
            <c:marker>
              <c:symbol val="circle"/>
              <c:size val="4"/>
              <c:spPr>
                <a:solidFill>
                  <a:schemeClr val="accent4"/>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7-60BA-4A3D-BE2A-DC1B83EA6F4D}"/>
              </c:ext>
            </c:extLst>
          </c:dPt>
          <c:dPt>
            <c:idx val="13"/>
            <c:marker>
              <c:symbol val="circle"/>
              <c:size val="4"/>
              <c:spPr>
                <a:solidFill>
                  <a:schemeClr val="accent4"/>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9-60BA-4A3D-BE2A-DC1B83EA6F4D}"/>
              </c:ext>
            </c:extLst>
          </c:dPt>
          <c:dPt>
            <c:idx val="14"/>
            <c:marker>
              <c:symbol val="circle"/>
              <c:size val="4"/>
              <c:spPr>
                <a:solidFill>
                  <a:schemeClr val="accent4"/>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B-60BA-4A3D-BE2A-DC1B83EA6F4D}"/>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'New HIV pos'!$H$6:$H$25</c:f>
              <c:multiLvlStrCache>
                <c:ptCount val="1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2024</c:v>
                  </c:pt>
                  <c:pt idx="12">
                    <c:v>2025</c:v>
                  </c:pt>
                </c:lvl>
              </c:multiLvlStrCache>
            </c:multiLvlStrRef>
          </c:cat>
          <c:val>
            <c:numRef>
              <c:f>'New HIV pos'!$J$6:$J$25</c:f>
              <c:numCache>
                <c:formatCode>General</c:formatCode>
                <c:ptCount val="17"/>
                <c:pt idx="0">
                  <c:v>8.8235294117647065E-2</c:v>
                </c:pt>
                <c:pt idx="1">
                  <c:v>0.1</c:v>
                </c:pt>
                <c:pt idx="2">
                  <c:v>0</c:v>
                </c:pt>
                <c:pt idx="3">
                  <c:v>0.1875</c:v>
                </c:pt>
                <c:pt idx="4">
                  <c:v>#N/A</c:v>
                </c:pt>
                <c:pt idx="5">
                  <c:v>#N/A</c:v>
                </c:pt>
                <c:pt idx="6">
                  <c:v>#N/A</c:v>
                </c:pt>
                <c:pt idx="7">
                  <c:v>0</c:v>
                </c:pt>
                <c:pt idx="8">
                  <c:v>0.17241379310344829</c:v>
                </c:pt>
                <c:pt idx="9">
                  <c:v>8.3333333333333329E-2</c:v>
                </c:pt>
                <c:pt idx="10">
                  <c:v>9.7560975609756101E-2</c:v>
                </c:pt>
                <c:pt idx="11">
                  <c:v>0.11627906976744186</c:v>
                </c:pt>
                <c:pt idx="12">
                  <c:v>7.6923076923076927E-2</c:v>
                </c:pt>
                <c:pt idx="13">
                  <c:v>0</c:v>
                </c:pt>
                <c:pt idx="14">
                  <c:v>0.1</c:v>
                </c:pt>
                <c:pt idx="15">
                  <c:v>0.11428571428571428</c:v>
                </c:pt>
                <c:pt idx="16">
                  <c:v>8.1081081081081086E-2</c:v>
                </c:pt>
              </c:numCache>
            </c:numRef>
          </c:val>
          <c:smooth val="1"/>
          <c:extLst>
            <c:ext xmlns:c16="http://schemas.microsoft.com/office/drawing/2014/chart" uri="{C3380CC4-5D6E-409C-BE32-E72D297353CC}">
              <c16:uniqueId val="{0000000D-83AC-4D49-B599-E9A7A2049461}"/>
            </c:ext>
          </c:extLst>
        </c:ser>
        <c:ser>
          <c:idx val="2"/>
          <c:order val="2"/>
          <c:tx>
            <c:strRef>
              <c:f>'New HIV pos'!$K$5</c:f>
              <c:strCache>
                <c:ptCount val="1"/>
                <c:pt idx="0">
                  <c:v> CrAg+%</c:v>
                </c:pt>
              </c:strCache>
            </c:strRef>
          </c:tx>
          <c:spPr>
            <a:ln w="19050" cap="rnd">
              <a:solidFill>
                <a:schemeClr val="accent5"/>
              </a:solidFill>
              <a:round/>
            </a:ln>
            <a:effectLst>
              <a:outerShdw blurRad="57150" dist="19050" dir="5400000" algn="ctr" rotWithShape="0">
                <a:srgbClr val="000000">
                  <a:alpha val="63000"/>
                </a:srgbClr>
              </a:outerShdw>
            </a:effectLst>
          </c:spPr>
          <c:marker>
            <c:symbol val="circle"/>
            <c:size val="4"/>
            <c:spPr>
              <a:solidFill>
                <a:schemeClr val="accent5"/>
              </a:solidFill>
              <a:ln w="9525">
                <a:noFill/>
                <a:round/>
              </a:ln>
              <a:effectLst>
                <a:outerShdw blurRad="57150" dist="19050" dir="5400000" algn="ctr" rotWithShape="0">
                  <a:srgbClr val="000000">
                    <a:alpha val="63000"/>
                  </a:srgbClr>
                </a:outerShdw>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'New HIV pos'!$H$6:$H$25</c:f>
              <c:multiLvlStrCache>
                <c:ptCount val="1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2024</c:v>
                  </c:pt>
                  <c:pt idx="12">
                    <c:v>2025</c:v>
                  </c:pt>
                </c:lvl>
              </c:multiLvlStrCache>
            </c:multiLvlStrRef>
          </c:cat>
          <c:val>
            <c:numRef>
              <c:f>'New HIV pos'!$K$6:$K$25</c:f>
              <c:numCache>
                <c:formatCode>General</c:formatCode>
                <c:ptCount val="17"/>
                <c:pt idx="0">
                  <c:v>2.9411764705882353E-2</c:v>
                </c:pt>
                <c:pt idx="1">
                  <c:v>0</c:v>
                </c:pt>
                <c:pt idx="2">
                  <c:v>0</c:v>
                </c:pt>
                <c:pt idx="3">
                  <c:v>0</c:v>
                </c:pt>
                <c:pt idx="4">
                  <c:v>2.1276595744680851E-2</c:v>
                </c:pt>
                <c:pt idx="5">
                  <c:v>0.05</c:v>
                </c:pt>
                <c:pt idx="6">
                  <c:v>2.3809523809523808E-2</c:v>
                </c:pt>
                <c:pt idx="7">
                  <c:v>6.25E-2</c:v>
                </c:pt>
                <c:pt idx="8">
                  <c:v>8.5714285714285715E-2</c:v>
                </c:pt>
                <c:pt idx="9">
                  <c:v>0.13333333333333333</c:v>
                </c:pt>
                <c:pt idx="10">
                  <c:v>2.2222222222222223E-2</c:v>
                </c:pt>
                <c:pt idx="11">
                  <c:v>4.6511627906976744E-2</c:v>
                </c:pt>
                <c:pt idx="12">
                  <c:v>3.8461538461538464E-2</c:v>
                </c:pt>
                <c:pt idx="13">
                  <c:v>6.6666666666666666E-2</c:v>
                </c:pt>
                <c:pt idx="14">
                  <c:v>0</c:v>
                </c:pt>
                <c:pt idx="15">
                  <c:v>2.8571428571428571E-2</c:v>
                </c:pt>
                <c:pt idx="16">
                  <c:v>5.8823529411764705E-2</c:v>
                </c:pt>
              </c:numCache>
            </c:numRef>
          </c:val>
          <c:smooth val="1"/>
          <c:extLst>
            <c:ext xmlns:c16="http://schemas.microsoft.com/office/drawing/2014/chart" uri="{C3380CC4-5D6E-409C-BE32-E72D297353CC}">
              <c16:uniqueId val="{0000000E-83AC-4D49-B599-E9A7A2049461}"/>
            </c:ext>
          </c:extLst>
        </c:ser>
        <c:dLbls>
          <c:dLblPos val="t"/>
          <c:showLegendKey val="0"/>
          <c:showVal val="1"/>
          <c:showCatName val="0"/>
          <c:showSerName val="0"/>
          <c:showPercent val="0"/>
          <c:showBubbleSize val="0"/>
        </c:dLbls>
        <c:marker val="1"/>
        <c:smooth val="0"/>
        <c:axId val="1061181040"/>
        <c:axId val="1061182480"/>
      </c:lineChart>
      <c:catAx>
        <c:axId val="1061181040"/>
        <c:scaling>
          <c:orientation val="minMax"/>
        </c:scaling>
        <c:delete val="0"/>
        <c:axPos val="b"/>
        <c:title>
          <c:tx>
            <c:rich>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r>
                  <a:rPr lang="en-GB" b="0" u="none"/>
                  <a:t>Period</a:t>
                </a:r>
              </a:p>
            </c:rich>
          </c:tx>
          <c:layout>
            <c:manualLayout>
              <c:xMode val="edge"/>
              <c:yMode val="edge"/>
              <c:x val="0.55121887077593412"/>
              <c:y val="0.88322351979938174"/>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2"/>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61182480"/>
        <c:crosses val="autoZero"/>
        <c:auto val="1"/>
        <c:lblAlgn val="ctr"/>
        <c:lblOffset val="100"/>
        <c:noMultiLvlLbl val="0"/>
      </c:catAx>
      <c:valAx>
        <c:axId val="1061182480"/>
        <c:scaling>
          <c:orientation val="minMax"/>
          <c:max val="1"/>
          <c:min val="0"/>
        </c:scaling>
        <c:delete val="0"/>
        <c:axPos val="l"/>
        <c:title>
          <c:tx>
            <c:rich>
              <a:bodyPr rot="-54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r>
                  <a:rPr lang="en-GB"/>
                  <a:t>proporton of ROC with AHD</a:t>
                </a:r>
              </a:p>
            </c:rich>
          </c:tx>
          <c:layout>
            <c:manualLayout>
              <c:xMode val="edge"/>
              <c:yMode val="edge"/>
              <c:x val="1.4477543687895786E-2"/>
              <c:y val="0.34694706527595781"/>
            </c:manualLayout>
          </c:layout>
          <c:overlay val="0"/>
          <c:spPr>
            <a:noFill/>
            <a:ln w="6350">
              <a:noFill/>
            </a:ln>
            <a:effectLst/>
          </c:spPr>
          <c:txPr>
            <a:bodyPr rot="-54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itle>
        <c:numFmt formatCode="0%" sourceLinked="0"/>
        <c:majorTickMark val="none"/>
        <c:minorTickMark val="none"/>
        <c:tickLblPos val="nextTo"/>
        <c:spPr>
          <a:noFill/>
          <a:ln>
            <a:solidFill>
              <a:schemeClr val="tx2"/>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61181040"/>
        <c:crosses val="autoZero"/>
        <c:crossBetween val="between"/>
      </c:valAx>
      <c:spPr>
        <a:noFill/>
        <a:ln>
          <a:noFill/>
        </a:ln>
        <a:effectLst/>
      </c:spPr>
    </c:plotArea>
    <c:legend>
      <c:legendPos val="r"/>
      <c:layout>
        <c:manualLayout>
          <c:xMode val="edge"/>
          <c:yMode val="edge"/>
          <c:x val="8.7330089173529094E-2"/>
          <c:y val="0.93859292938722361"/>
          <c:w val="0.8793571434005748"/>
          <c:h val="6.1407061790987913E-2"/>
        </c:manualLayout>
      </c:layout>
      <c:overlay val="0"/>
      <c:spPr>
        <a:noFill/>
        <a:ln w="6350">
          <a:solidFill>
            <a:schemeClr val="accent5">
              <a:lumMod val="60000"/>
              <a:lumOff val="40000"/>
            </a:schemeClr>
          </a:solid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lumMod val="20000"/>
          <a:lumOff val="80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[AHD_Reporting_Form.xlsx]Inpatient!PivotTable1</c:name>
    <c:fmtId val="20"/>
  </c:pivotSource>
  <c:chart>
    <c:title>
      <c:tx>
        <c:rich>
          <a:bodyPr rot="0" spcFirstLastPara="1" vertOverflow="ellipsis" vert="horz" wrap="square" anchor="ctr" anchorCtr="1"/>
          <a:lstStyle/>
          <a:p>
            <a:pPr>
              <a:defRPr sz="1200" b="1" i="0" u="sng" strike="noStrike" kern="1200" baseline="0">
                <a:solidFill>
                  <a:sysClr val="windowText" lastClr="000000"/>
                </a:solidFill>
                <a:latin typeface="+mn-lt"/>
                <a:ea typeface="+mn-ea"/>
                <a:cs typeface="+mn-cs"/>
              </a:defRPr>
            </a:pPr>
            <a:r>
              <a:rPr lang="en-GB" sz="1200" u="sng"/>
              <a:t>AHD screening for</a:t>
            </a:r>
            <a:r>
              <a:rPr lang="en-GB" sz="1200" u="sng" baseline="0"/>
              <a:t> inpatient wards</a:t>
            </a:r>
            <a:r>
              <a:rPr lang="en-GB" sz="1200" u="sng"/>
              <a:t> (ROC</a:t>
            </a:r>
            <a:r>
              <a:rPr lang="en-GB" sz="1200" u="sng" baseline="0"/>
              <a:t> seriously ill)</a:t>
            </a:r>
            <a:endParaRPr lang="en-GB" sz="1200" u="sng"/>
          </a:p>
        </c:rich>
      </c:tx>
      <c:layout>
        <c:manualLayout>
          <c:xMode val="edge"/>
          <c:yMode val="edge"/>
          <c:x val="0.24720578226410736"/>
          <c:y val="2.8026516912026744E-2"/>
        </c:manualLayout>
      </c:layout>
      <c:overlay val="0"/>
      <c:spPr>
        <a:noFill/>
        <a:ln>
          <a:noFill/>
        </a:ln>
        <a:effectLst/>
      </c:spPr>
      <c:txPr>
        <a:bodyPr rot="0" spcFirstLastPara="1" vertOverflow="ellipsis" vert="horz" wrap="square" anchor="ctr" anchorCtr="1"/>
        <a:lstStyle/>
        <a:p>
          <a:pPr>
            <a:defRPr sz="1200" b="1" i="0" u="sng" strike="noStrike" kern="1200" baseline="0">
              <a:solidFill>
                <a:sysClr val="windowText" lastClr="000000"/>
              </a:solidFill>
              <a:latin typeface="+mn-lt"/>
              <a:ea typeface="+mn-ea"/>
              <a:cs typeface="+mn-cs"/>
            </a:defRPr>
          </a:pPr>
          <a:endParaRPr lang="en-GB"/>
        </a:p>
      </c:txPr>
    </c:title>
    <c:autoTitleDeleted val="0"/>
    <c:pivotFmts>
      <c:pivotFmt>
        <c:idx val="0"/>
        <c:spPr>
          <a:solidFill>
            <a:schemeClr val="accent2"/>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alpha val="88000"/>
            </a:scheme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alpha val="84000"/>
            </a:srgb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D80A0359-4340-464C-97BF-50043DB18A22}" type="CELLRANGE">
                  <a:rPr lang="en-US"/>
                  <a:pPr>
                    <a:defRPr sz="900" b="0" i="0" u="none" strike="noStrike" kern="1200" baseline="0">
                      <a:solidFill>
                        <a:sysClr val="windowText" lastClr="000000"/>
                      </a:solidFill>
                      <a:latin typeface="+mn-lt"/>
                      <a:ea typeface="+mn-ea"/>
                      <a:cs typeface="+mn-cs"/>
                    </a:defRPr>
                  </a:pPr>
                  <a:t>[CELLRANGE]</a:t>
                </a:fld>
                <a:r>
                  <a:rPr lang="en-US" baseline="0"/>
                  <a:t>, </a:t>
                </a:r>
                <a:fld id="{619AE429-5DC9-4CD0-95CD-5E4572E53792}" type="VALUE">
                  <a:rPr lang="en-US" baseline="0"/>
                  <a:pPr>
                    <a:defRPr sz="900" b="0" i="0" u="none" strike="noStrike" kern="1200" baseline="0">
                      <a:solidFill>
                        <a:sysClr val="windowText" lastClr="000000"/>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pivotFmt>
      <c:pivotFmt>
        <c:idx val="9"/>
        <c:dLbl>
          <c:idx val="0"/>
          <c:tx>
            <c:rich>
              <a:bodyPr/>
              <a:lstStyle/>
              <a:p>
                <a:fld id="{38B64FBF-4335-4EAD-B861-26F6E525AC74}" type="CELLRANGE">
                  <a:rPr lang="en-US"/>
                  <a:pPr/>
                  <a:t>[CELLRANGE]</a:t>
                </a:fld>
                <a:r>
                  <a:rPr lang="en-US" baseline="0"/>
                  <a:t>, </a:t>
                </a:r>
                <a:fld id="{D6C7321C-6E0F-4D2E-8B46-F65C3D7A4003}"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dLbl>
          <c:idx val="0"/>
          <c:tx>
            <c:rich>
              <a:bodyPr/>
              <a:lstStyle/>
              <a:p>
                <a:fld id="{8C44B063-F912-4FC5-A6C3-78054BAA1475}" type="CELLRANGE">
                  <a:rPr lang="en-US"/>
                  <a:pPr/>
                  <a:t>[CELLRANGE]</a:t>
                </a:fld>
                <a:r>
                  <a:rPr lang="en-US" baseline="0"/>
                  <a:t>, </a:t>
                </a:r>
                <a:fld id="{70B358C0-DB55-4F7E-A4CF-8DEB0B8DBBA3}"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dLbl>
          <c:idx val="0"/>
          <c:tx>
            <c:rich>
              <a:bodyPr/>
              <a:lstStyle/>
              <a:p>
                <a:fld id="{F1E15D6C-0C92-4F9E-8CBC-D5B2D9BC2075}" type="CELLRANGE">
                  <a:rPr lang="en-US"/>
                  <a:pPr/>
                  <a:t>[CELLRANGE]</a:t>
                </a:fld>
                <a:r>
                  <a:rPr lang="en-US" baseline="0"/>
                  <a:t>, </a:t>
                </a:r>
                <a:fld id="{CD39BF99-5182-4B7E-AEC5-5FB76F9FE533}"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2"/>
        <c:dLbl>
          <c:idx val="0"/>
          <c:tx>
            <c:rich>
              <a:bodyPr/>
              <a:lstStyle/>
              <a:p>
                <a:fld id="{AADAE8A4-138F-410E-9AB9-60EEC0EAE95C}" type="CELLRANGE">
                  <a:rPr lang="en-US"/>
                  <a:pPr/>
                  <a:t>[CELLRANGE]</a:t>
                </a:fld>
                <a:r>
                  <a:rPr lang="en-US" baseline="0"/>
                  <a:t>, </a:t>
                </a:r>
                <a:fld id="{200D7C23-70DD-4AC4-951B-7904139BAA90}"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3"/>
        <c:dLbl>
          <c:idx val="0"/>
          <c:tx>
            <c:rich>
              <a:bodyPr/>
              <a:lstStyle/>
              <a:p>
                <a:fld id="{EBB42741-FBB1-42C9-8CA9-7DC956E899D1}" type="CELLRANGE">
                  <a:rPr lang="en-US"/>
                  <a:pPr/>
                  <a:t>[CELLRANGE]</a:t>
                </a:fld>
                <a:r>
                  <a:rPr lang="en-US" baseline="0"/>
                  <a:t>, </a:t>
                </a:r>
                <a:fld id="{300B405C-545E-4C3B-9B9C-A09D74648588}"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4"/>
        <c:dLbl>
          <c:idx val="0"/>
          <c:tx>
            <c:rich>
              <a:bodyPr/>
              <a:lstStyle/>
              <a:p>
                <a:fld id="{5ACDCCC9-477B-4D80-84D3-265AA1551F99}" type="CELLRANGE">
                  <a:rPr lang="en-US"/>
                  <a:pPr/>
                  <a:t>[CELLRANGE]</a:t>
                </a:fld>
                <a:r>
                  <a:rPr lang="en-US" baseline="0"/>
                  <a:t>, </a:t>
                </a:r>
                <a:fld id="{EBF96CAC-98C3-4753-841D-F0B5B77629A4}"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
        <c:dLbl>
          <c:idx val="0"/>
          <c:tx>
            <c:rich>
              <a:bodyPr/>
              <a:lstStyle/>
              <a:p>
                <a:fld id="{85641F05-FEC1-4650-8FDD-8843A09484ED}" type="CELLRANGE">
                  <a:rPr lang="en-US"/>
                  <a:pPr/>
                  <a:t>[CELLRANGE]</a:t>
                </a:fld>
                <a:r>
                  <a:rPr lang="en-US" baseline="0"/>
                  <a:t>, </a:t>
                </a:r>
                <a:fld id="{A601C9D9-40B0-4DB3-A221-74FC1FEA479F}"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7"/>
        <c:dLbl>
          <c:idx val="0"/>
          <c:tx>
            <c:rich>
              <a:bodyPr/>
              <a:lstStyle/>
              <a:p>
                <a:fld id="{FF4EBAB4-9208-426C-A2C0-06A9B7A20937}" type="CELLRANGE">
                  <a:rPr lang="en-US"/>
                  <a:pPr/>
                  <a:t>[CELLRANGE]</a:t>
                </a:fld>
                <a:r>
                  <a:rPr lang="en-US" baseline="0"/>
                  <a:t>, </a:t>
                </a:r>
                <a:fld id="{DF0E314E-1845-4B08-9E93-FA96B8217187}"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8"/>
        <c:dLbl>
          <c:idx val="0"/>
          <c:tx>
            <c:rich>
              <a:bodyPr/>
              <a:lstStyle/>
              <a:p>
                <a:fld id="{DD926363-9992-4DFE-80C3-994ABB41FDA7}" type="CELLRANGE">
                  <a:rPr lang="en-US"/>
                  <a:pPr/>
                  <a:t>[CELLRANGE]</a:t>
                </a:fld>
                <a:r>
                  <a:rPr lang="en-US" baseline="0"/>
                  <a:t>, </a:t>
                </a:r>
                <a:fld id="{C6BB680B-7623-4EA3-B83B-2011C5679ED2}"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9"/>
        <c:dLbl>
          <c:idx val="0"/>
          <c:tx>
            <c:rich>
              <a:bodyPr/>
              <a:lstStyle/>
              <a:p>
                <a:fld id="{50D0BCCD-DA80-4AEC-ADFD-7478183D354A}" type="CELLRANGE">
                  <a:rPr lang="en-US"/>
                  <a:pPr/>
                  <a:t>[CELLRANGE]</a:t>
                </a:fld>
                <a:r>
                  <a:rPr lang="en-US" baseline="0"/>
                  <a:t>, </a:t>
                </a:r>
                <a:fld id="{EE890978-0538-4AD0-BE1B-680453DC062D}"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0"/>
        <c:dLbl>
          <c:idx val="0"/>
          <c:tx>
            <c:rich>
              <a:bodyPr/>
              <a:lstStyle/>
              <a:p>
                <a:fld id="{7D984C0A-AF2C-4FAD-9538-9CE56ED5F567}" type="CELLRANGE">
                  <a:rPr lang="en-US"/>
                  <a:pPr/>
                  <a:t>[CELLRANGE]</a:t>
                </a:fld>
                <a:r>
                  <a:rPr lang="en-US" baseline="0"/>
                  <a:t>, </a:t>
                </a:r>
                <a:fld id="{9F5C0507-D70F-477A-95F2-C63830573DD7}"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1"/>
        <c:dLbl>
          <c:idx val="0"/>
          <c:tx>
            <c:rich>
              <a:bodyPr/>
              <a:lstStyle/>
              <a:p>
                <a:fld id="{CF4FB6D9-9767-42D1-B639-24FD87FBFE31}" type="CELLRANGE">
                  <a:rPr lang="en-US"/>
                  <a:pPr/>
                  <a:t>[CELLRANGE]</a:t>
                </a:fld>
                <a:r>
                  <a:rPr lang="en-US" baseline="0"/>
                  <a:t>, </a:t>
                </a:r>
                <a:fld id="{91BB9253-F401-4063-A925-95408FA77268}"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2"/>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4731A5D9-539A-4F7D-A744-CF24B4E851B3}" type="CELLRANGE">
                  <a:rPr lang="en-US"/>
                  <a:pPr>
                    <a:defRPr sz="900" b="0" i="0" u="none" strike="noStrike" kern="1200" baseline="0">
                      <a:solidFill>
                        <a:sysClr val="windowText" lastClr="000000"/>
                      </a:solidFill>
                      <a:latin typeface="+mn-lt"/>
                      <a:ea typeface="+mn-ea"/>
                      <a:cs typeface="+mn-cs"/>
                    </a:defRPr>
                  </a:pPr>
                  <a:t>[CELLRANGE]</a:t>
                </a:fld>
                <a:r>
                  <a:rPr lang="en-US" baseline="0"/>
                  <a:t>, </a:t>
                </a:r>
                <a:fld id="{B03745B5-70AB-4486-8B6A-5E28FBF5B9A6}" type="VALUE">
                  <a:rPr lang="en-US" baseline="0"/>
                  <a:pPr>
                    <a:defRPr sz="900" b="0" i="0" u="none" strike="noStrike" kern="1200" baseline="0">
                      <a:solidFill>
                        <a:sysClr val="windowText" lastClr="000000"/>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3"/>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C9006498-42A4-45CE-BCE8-EC546067215F}" type="CELLRANGE">
                  <a:rPr lang="en-US"/>
                  <a:pPr>
                    <a:defRPr sz="900" b="0" i="0" u="none" strike="noStrike" kern="1200" baseline="0">
                      <a:solidFill>
                        <a:sysClr val="windowText" lastClr="000000"/>
                      </a:solidFill>
                      <a:latin typeface="+mn-lt"/>
                      <a:ea typeface="+mn-ea"/>
                      <a:cs typeface="+mn-cs"/>
                    </a:defRPr>
                  </a:pPr>
                  <a:t>[CELLRANGE]</a:t>
                </a:fld>
                <a:r>
                  <a:rPr lang="en-US" baseline="0"/>
                  <a:t>, </a:t>
                </a:r>
                <a:fld id="{13415703-C5CA-4787-8825-FCBD5C55B0DC}" type="VALUE">
                  <a:rPr lang="en-US" baseline="0"/>
                  <a:pPr>
                    <a:defRPr sz="900" b="0" i="0" u="none" strike="noStrike" kern="1200" baseline="0">
                      <a:solidFill>
                        <a:sysClr val="windowText" lastClr="000000"/>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4"/>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E39C17C5-A6DE-465E-BA2E-A0457662CE4F}" type="CELLRANGE">
                  <a:rPr lang="en-US"/>
                  <a:pPr>
                    <a:defRPr sz="900" b="0" i="0" u="none" strike="noStrike" kern="1200" baseline="0">
                      <a:solidFill>
                        <a:sysClr val="windowText" lastClr="000000"/>
                      </a:solidFill>
                      <a:latin typeface="+mn-lt"/>
                      <a:ea typeface="+mn-ea"/>
                      <a:cs typeface="+mn-cs"/>
                    </a:defRPr>
                  </a:pPr>
                  <a:t>[CELLRANGE]</a:t>
                </a:fld>
                <a:r>
                  <a:rPr lang="en-US" baseline="0"/>
                  <a:t>, </a:t>
                </a:r>
                <a:fld id="{D26FCEF1-5A34-41A0-B6CD-F3663AD6D4C1}" type="VALUE">
                  <a:rPr lang="en-US" baseline="0"/>
                  <a:pPr>
                    <a:defRPr sz="900" b="0" i="0" u="none" strike="noStrike" kern="1200" baseline="0">
                      <a:solidFill>
                        <a:sysClr val="windowText" lastClr="000000"/>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5"/>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183C6365-A22B-4AE8-B76B-F63703475BFE}" type="CELLRANGE">
                  <a:rPr lang="en-US"/>
                  <a:pPr>
                    <a:defRPr sz="900" b="0" i="0" u="none" strike="noStrike" kern="1200" baseline="0">
                      <a:solidFill>
                        <a:sysClr val="windowText" lastClr="000000"/>
                      </a:solidFill>
                      <a:latin typeface="+mn-lt"/>
                      <a:ea typeface="+mn-ea"/>
                      <a:cs typeface="+mn-cs"/>
                    </a:defRPr>
                  </a:pPr>
                  <a:t>[CELLRANGE]</a:t>
                </a:fld>
                <a:r>
                  <a:rPr lang="en-US" baseline="0"/>
                  <a:t>, </a:t>
                </a:r>
                <a:fld id="{2F81CAD8-CC36-4E7F-B6DF-B7DA1E4CEDA1}" type="VALUE">
                  <a:rPr lang="en-US" baseline="0"/>
                  <a:pPr>
                    <a:defRPr sz="900" b="0" i="0" u="none" strike="noStrike" kern="1200" baseline="0">
                      <a:solidFill>
                        <a:sysClr val="windowText" lastClr="000000"/>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6"/>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847F4BA0-4AA9-499D-BA2A-3AAAC0496E86}" type="CELLRANGE">
                  <a:rPr lang="en-US"/>
                  <a:pPr>
                    <a:defRPr sz="900" b="0" i="0" u="none" strike="noStrike" kern="1200" baseline="0">
                      <a:solidFill>
                        <a:sysClr val="windowText" lastClr="000000"/>
                      </a:solidFill>
                      <a:latin typeface="+mn-lt"/>
                      <a:ea typeface="+mn-ea"/>
                      <a:cs typeface="+mn-cs"/>
                    </a:defRPr>
                  </a:pPr>
                  <a:t>[CELLRANGE]</a:t>
                </a:fld>
                <a:r>
                  <a:rPr lang="en-US" baseline="0"/>
                  <a:t>, </a:t>
                </a:r>
                <a:fld id="{3D14E329-43B4-454C-B933-1CE45CA6E605}" type="VALUE">
                  <a:rPr lang="en-US" baseline="0"/>
                  <a:pPr>
                    <a:defRPr sz="900" b="0" i="0" u="none" strike="noStrike" kern="1200" baseline="0">
                      <a:solidFill>
                        <a:sysClr val="windowText" lastClr="000000"/>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7"/>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5589FF5D-4B2A-47E1-8019-27F023C54ACE}" type="CELLRANGE">
                  <a:rPr lang="en-US"/>
                  <a:pPr>
                    <a:defRPr sz="900" b="0" i="0" u="none" strike="noStrike" kern="1200" baseline="0">
                      <a:solidFill>
                        <a:sysClr val="windowText" lastClr="000000"/>
                      </a:solidFill>
                      <a:latin typeface="+mn-lt"/>
                      <a:ea typeface="+mn-ea"/>
                      <a:cs typeface="+mn-cs"/>
                    </a:defRPr>
                  </a:pPr>
                  <a:t>[CELLRANGE]</a:t>
                </a:fld>
                <a:r>
                  <a:rPr lang="en-US" baseline="0"/>
                  <a:t>, </a:t>
                </a:r>
                <a:fld id="{0AFB73F6-2AF1-48C0-8CBA-C2B6AFAFD8A1}" type="VALUE">
                  <a:rPr lang="en-US" baseline="0"/>
                  <a:pPr>
                    <a:defRPr sz="900" b="0" i="0" u="none" strike="noStrike" kern="1200" baseline="0">
                      <a:solidFill>
                        <a:sysClr val="windowText" lastClr="000000"/>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8"/>
        <c:dLbl>
          <c:idx val="0"/>
          <c:layout>
            <c:manualLayout>
              <c:x val="-1.3084725270352189E-2"/>
              <c:y val="-3.711340206185567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9"/>
        <c:dLbl>
          <c:idx val="0"/>
          <c:layout>
            <c:manualLayout>
              <c:x val="-2.2894524616056434E-2"/>
              <c:y val="-2.472187886279359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0"/>
        <c:dLbl>
          <c:idx val="0"/>
          <c:layout>
            <c:manualLayout>
              <c:x val="-1.7988555055472866E-2"/>
              <c:y val="-2.060156571899464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1"/>
        <c:dLbl>
          <c:idx val="0"/>
          <c:layout>
            <c:manualLayout>
              <c:x val="-1.3082585494889358E-2"/>
              <c:y val="-2.88421920065925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2"/>
        <c:dLbl>
          <c:idx val="0"/>
          <c:layout>
            <c:manualLayout>
              <c:x val="-1.6353231868611758E-2"/>
              <c:y val="-3.2962505150391445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3"/>
        <c:dLbl>
          <c:idx val="0"/>
          <c:layout>
            <c:manualLayout>
              <c:x val="-2.1259201429195206E-2"/>
              <c:y val="-2.472187886279359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1.9623878242334036E-2"/>
              <c:y val="-1.8541409147095178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EF9B2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rgbClr val="E6D800">
              <a:alpha val="93000"/>
            </a:srgbClr>
          </a:solidFill>
          <a:ln>
            <a:noFill/>
          </a:ln>
          <a:effectLst>
            <a:outerShdw blurRad="57150" dist="19050" dir="5400000" algn="ctr" rotWithShape="0">
              <a:srgbClr val="000000">
                <a:alpha val="63000"/>
              </a:srgbClr>
            </a:outerShdw>
          </a:effectLst>
        </c:spPr>
        <c:marker>
          <c:symbol val="none"/>
        </c:marker>
        <c:dLbl>
          <c:idx val="0"/>
          <c:spPr>
            <a:solidFill>
              <a:srgbClr val="FFFF00"/>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rgbClr val="1A53FF">
              <a:alpha val="87451"/>
            </a:srgbClr>
          </a:solidFill>
          <a:ln>
            <a:noFill/>
          </a:ln>
          <a:effectLst>
            <a:outerShdw blurRad="57150" dist="19050" dir="5400000" algn="ctr" rotWithShape="0">
              <a:srgbClr val="000000">
                <a:alpha val="63000"/>
              </a:srgbClr>
            </a:outerShdw>
          </a:effectLst>
        </c:spPr>
        <c:marker>
          <c:symbol val="none"/>
        </c:marker>
        <c:dLbl>
          <c:idx val="0"/>
          <c:spPr>
            <a:solidFill>
              <a:schemeClr val="accent1">
                <a:lumMod val="60000"/>
                <a:lumOff val="4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5875" cap="rnd">
            <a:solidFill>
              <a:srgbClr val="99600B"/>
            </a:solidFill>
            <a:round/>
          </a:ln>
          <a:effectLst>
            <a:outerShdw blurRad="57150" dist="19050" dir="5400000" algn="ctr" rotWithShape="0">
              <a:srgbClr val="000000">
                <a:alpha val="63000"/>
              </a:srgbClr>
            </a:outerShdw>
          </a:effectLst>
        </c:spPr>
        <c:marker>
          <c:symbol val="circle"/>
          <c:size val="6"/>
          <c:spPr>
            <a:solidFill>
              <a:srgbClr val="99600B"/>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1A53FF">
              <a:alpha val="95000"/>
            </a:srgbClr>
          </a:solidFill>
          <a:ln>
            <a:noFill/>
          </a:ln>
          <a:effectLst>
            <a:outerShdw blurRad="57150" dist="19050" dir="5400000" algn="ctr" rotWithShape="0">
              <a:srgbClr val="000000">
                <a:alpha val="63000"/>
              </a:srgbClr>
            </a:outerShdw>
          </a:effectLst>
        </c:spPr>
      </c:pivotFmt>
      <c:pivotFmt>
        <c:idx val="40"/>
        <c:spPr>
          <a:solidFill>
            <a:srgbClr val="449BCC"/>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rgbClr val="AF1FC7">
              <a:alpha val="92941"/>
            </a:srgbClr>
          </a:solidFill>
          <a:ln>
            <a:noFill/>
          </a:ln>
          <a:effectLst>
            <a:outerShdw blurRad="57150" dist="19050" dir="5400000" algn="ctr" rotWithShape="0">
              <a:srgbClr val="000000">
                <a:alpha val="63000"/>
              </a:srgbClr>
            </a:outerShdw>
          </a:effectLst>
        </c:spPr>
        <c:marker>
          <c:symbol val="none"/>
        </c:marker>
        <c:dLbl>
          <c:idx val="0"/>
          <c:spPr>
            <a:solidFill>
              <a:srgbClr val="EAAEC9"/>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rgbClr val="6CAEA5">
              <a:alpha val="87451"/>
            </a:srgbClr>
          </a:solidFill>
          <a:ln>
            <a:noFill/>
          </a:ln>
          <a:effectLst>
            <a:outerShdw blurRad="57150" dist="19050" dir="5400000" algn="ctr" rotWithShape="0">
              <a:srgbClr val="000000">
                <a:alpha val="63000"/>
              </a:srgbClr>
            </a:outerShdw>
          </a:effectLst>
        </c:spPr>
        <c:marker>
          <c:symbol val="none"/>
        </c:marker>
        <c:dLbl>
          <c:idx val="0"/>
          <c:spPr>
            <a:solidFill>
              <a:schemeClr val="accent1">
                <a:lumMod val="40000"/>
                <a:lumOff val="6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5875" cap="rnd">
            <a:solidFill>
              <a:srgbClr val="449BCC"/>
            </a:solidFill>
            <a:round/>
          </a:ln>
          <a:effectLst>
            <a:outerShdw blurRad="57150" dist="19050" dir="5400000" algn="ctr" rotWithShape="0">
              <a:srgbClr val="000000">
                <a:alpha val="63000"/>
              </a:srgbClr>
            </a:outerShdw>
          </a:effectLst>
        </c:spPr>
        <c:marker>
          <c:symbol val="circle"/>
          <c:size val="6"/>
          <c:spPr>
            <a:solidFill>
              <a:srgbClr val="449BCC"/>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92957B"/>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CAD62A">
              <a:alpha val="92549"/>
            </a:srgbClr>
          </a:solidFill>
          <a:ln>
            <a:noFill/>
          </a:ln>
          <a:effectLst>
            <a:outerShdw blurRad="57150" dist="19050" dir="5400000" algn="ctr" rotWithShape="0">
              <a:srgbClr val="000000">
                <a:alpha val="63000"/>
              </a:srgbClr>
            </a:outerShdw>
          </a:effectLst>
        </c:spPr>
        <c:marker>
          <c:symbol val="none"/>
        </c:marker>
        <c:dLbl>
          <c:idx val="0"/>
          <c:spPr>
            <a:solidFill>
              <a:srgbClr val="FFFF00"/>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406C5C">
              <a:alpha val="87451"/>
            </a:srgbClr>
          </a:solidFill>
          <a:ln>
            <a:noFill/>
          </a:ln>
          <a:effectLst>
            <a:outerShdw blurRad="57150" dist="19050" dir="5400000" algn="ctr" rotWithShape="0">
              <a:srgbClr val="000000">
                <a:alpha val="63000"/>
              </a:srgbClr>
            </a:outerShdw>
          </a:effectLst>
        </c:spPr>
        <c:marker>
          <c:symbol val="none"/>
        </c:marker>
        <c:dLbl>
          <c:idx val="0"/>
          <c:spPr>
            <a:solidFill>
              <a:schemeClr val="accent6">
                <a:lumMod val="40000"/>
                <a:lumOff val="6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5875">
            <a:solidFill>
              <a:srgbClr val="5B5D4B"/>
            </a:solidFill>
          </a:ln>
          <a:effectLst>
            <a:outerShdw blurRad="57150" dist="19050" dir="5400000" algn="ctr" rotWithShape="0">
              <a:srgbClr val="000000">
                <a:alpha val="63000"/>
              </a:srgbClr>
            </a:outerShdw>
          </a:effectLst>
        </c:spPr>
        <c:marker>
          <c:symbol val="circle"/>
          <c:size val="6"/>
          <c:spPr>
            <a:solidFill>
              <a:srgbClr val="515343"/>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rgbClr val="92957B"/>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CAD62A">
              <a:alpha val="92549"/>
            </a:srgbClr>
          </a:solidFill>
          <a:ln>
            <a:noFill/>
          </a:ln>
          <a:effectLst>
            <a:outerShdw blurRad="57150" dist="19050" dir="5400000" algn="ctr" rotWithShape="0">
              <a:srgbClr val="000000">
                <a:alpha val="63000"/>
              </a:srgbClr>
            </a:outerShdw>
          </a:effectLst>
        </c:spPr>
        <c:marker>
          <c:symbol val="none"/>
        </c:marker>
        <c:dLbl>
          <c:idx val="0"/>
          <c:spPr>
            <a:solidFill>
              <a:srgbClr val="FFFF00"/>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406C5C">
              <a:alpha val="87451"/>
            </a:srgbClr>
          </a:solidFill>
          <a:ln>
            <a:noFill/>
          </a:ln>
          <a:effectLst>
            <a:outerShdw blurRad="57150" dist="19050" dir="5400000" algn="ctr" rotWithShape="0">
              <a:srgbClr val="000000">
                <a:alpha val="63000"/>
              </a:srgbClr>
            </a:outerShdw>
          </a:effectLst>
        </c:spPr>
        <c:marker>
          <c:symbol val="none"/>
        </c:marker>
        <c:dLbl>
          <c:idx val="0"/>
          <c:spPr>
            <a:solidFill>
              <a:schemeClr val="accent6">
                <a:lumMod val="40000"/>
                <a:lumOff val="6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5875">
            <a:solidFill>
              <a:srgbClr val="5B5D4B"/>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92957B"/>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spPr>
          <a:solidFill>
            <a:srgbClr val="CAD62A">
              <a:alpha val="92549"/>
            </a:srgbClr>
          </a:solidFill>
          <a:ln>
            <a:noFill/>
          </a:ln>
          <a:effectLst>
            <a:outerShdw blurRad="57150" dist="19050" dir="5400000" algn="ctr" rotWithShape="0">
              <a:srgbClr val="000000">
                <a:alpha val="63000"/>
              </a:srgbClr>
            </a:outerShdw>
          </a:effectLst>
        </c:spPr>
        <c:marker>
          <c:symbol val="none"/>
        </c:marker>
        <c:dLbl>
          <c:idx val="0"/>
          <c:spPr>
            <a:solidFill>
              <a:srgbClr val="FFFF00"/>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solidFill>
            <a:srgbClr val="406C5C">
              <a:alpha val="87451"/>
            </a:srgbClr>
          </a:solidFill>
          <a:ln>
            <a:noFill/>
          </a:ln>
          <a:effectLst>
            <a:outerShdw blurRad="57150" dist="19050" dir="5400000" algn="ctr" rotWithShape="0">
              <a:srgbClr val="000000">
                <a:alpha val="63000"/>
              </a:srgbClr>
            </a:outerShdw>
          </a:effectLst>
        </c:spPr>
        <c:marker>
          <c:symbol val="none"/>
        </c:marker>
        <c:dLbl>
          <c:idx val="0"/>
          <c:spPr>
            <a:solidFill>
              <a:schemeClr val="accent6">
                <a:lumMod val="40000"/>
                <a:lumOff val="6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7"/>
        <c:spPr>
          <a:ln w="22225" cap="rnd">
            <a:solidFill>
              <a:srgbClr val="5B5D4B"/>
            </a:solidFill>
            <a:round/>
          </a:ln>
          <a:effectLst>
            <a:outerShdw blurRad="57150" dist="19050" dir="5400000" algn="ctr" rotWithShape="0">
              <a:srgbClr val="000000">
                <a:alpha val="63000"/>
              </a:srgbClr>
            </a:outerShdw>
          </a:effectLst>
        </c:spPr>
        <c:marker>
          <c:symbol val="circle"/>
          <c:size val="6"/>
          <c:spPr>
            <a:solidFill>
              <a:schemeClr val="accent6">
                <a:lumMod val="50000"/>
              </a:schemeClr>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8"/>
        <c:spPr>
          <a:solidFill>
            <a:srgbClr val="92957B"/>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CAD62A">
              <a:alpha val="92549"/>
            </a:srgbClr>
          </a:solidFill>
          <a:ln>
            <a:noFill/>
          </a:ln>
          <a:effectLst>
            <a:outerShdw blurRad="57150" dist="19050" dir="5400000" algn="ctr" rotWithShape="0">
              <a:srgbClr val="000000">
                <a:alpha val="63000"/>
              </a:srgbClr>
            </a:outerShdw>
          </a:effectLst>
        </c:spPr>
        <c:marker>
          <c:symbol val="none"/>
        </c:marker>
        <c:dLbl>
          <c:idx val="0"/>
          <c:spPr>
            <a:solidFill>
              <a:srgbClr val="FFFF00"/>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rgbClr val="406C5C">
              <a:alpha val="87451"/>
            </a:srgbClr>
          </a:solidFill>
          <a:ln>
            <a:noFill/>
          </a:ln>
          <a:effectLst>
            <a:outerShdw blurRad="57150" dist="19050" dir="5400000" algn="ctr" rotWithShape="0">
              <a:srgbClr val="000000">
                <a:alpha val="63000"/>
              </a:srgbClr>
            </a:outerShdw>
          </a:effectLst>
        </c:spPr>
        <c:marker>
          <c:symbol val="none"/>
        </c:marker>
        <c:dLbl>
          <c:idx val="0"/>
          <c:spPr>
            <a:solidFill>
              <a:schemeClr val="accent6">
                <a:lumMod val="40000"/>
                <a:lumOff val="6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rgbClr val="5B5D4B"/>
            </a:solidFill>
            <a:round/>
          </a:ln>
          <a:effectLst>
            <a:outerShdw blurRad="57150" dist="19050" dir="5400000" algn="ctr" rotWithShape="0">
              <a:srgbClr val="000000">
                <a:alpha val="63000"/>
              </a:srgbClr>
            </a:outerShdw>
          </a:effectLst>
        </c:spPr>
        <c:marker>
          <c:symbol val="circle"/>
          <c:size val="6"/>
          <c:spPr>
            <a:solidFill>
              <a:schemeClr val="accent6">
                <a:lumMod val="50000"/>
              </a:schemeClr>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602862652265905E-2"/>
          <c:y val="0.12969914886859646"/>
          <c:w val="0.87815912233130689"/>
          <c:h val="0.60191621848840116"/>
        </c:manualLayout>
      </c:layout>
      <c:barChart>
        <c:barDir val="col"/>
        <c:grouping val="clustered"/>
        <c:varyColors val="0"/>
        <c:ser>
          <c:idx val="0"/>
          <c:order val="0"/>
          <c:tx>
            <c:strRef>
              <c:f>Inpatient!$B$5</c:f>
              <c:strCache>
                <c:ptCount val="1"/>
                <c:pt idx="0">
                  <c:v> CD4_tests</c:v>
                </c:pt>
              </c:strCache>
            </c:strRef>
          </c:tx>
          <c:spPr>
            <a:solidFill>
              <a:srgbClr val="92957B"/>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Inpatient!$A$6:$A$44</c:f>
              <c:multiLvlStrCache>
                <c:ptCount val="18"/>
                <c:lvl>
                  <c:pt idx="0">
                    <c:v>219</c:v>
                  </c:pt>
                  <c:pt idx="1">
                    <c:v>214</c:v>
                  </c:pt>
                  <c:pt idx="2">
                    <c:v>198</c:v>
                  </c:pt>
                  <c:pt idx="3">
                    <c:v>143</c:v>
                  </c:pt>
                  <c:pt idx="4">
                    <c:v>187</c:v>
                  </c:pt>
                  <c:pt idx="5">
                    <c:v>170</c:v>
                  </c:pt>
                  <c:pt idx="6">
                    <c:v>196</c:v>
                  </c:pt>
                  <c:pt idx="7">
                    <c:v>116</c:v>
                  </c:pt>
                  <c:pt idx="8">
                    <c:v>137</c:v>
                  </c:pt>
                  <c:pt idx="9">
                    <c:v>165</c:v>
                  </c:pt>
                  <c:pt idx="10">
                    <c:v>198</c:v>
                  </c:pt>
                  <c:pt idx="11">
                    <c:v>135</c:v>
                  </c:pt>
                  <c:pt idx="12">
                    <c:v>186</c:v>
                  </c:pt>
                  <c:pt idx="13">
                    <c:v>0</c:v>
                  </c:pt>
                  <c:pt idx="14">
                    <c:v>0</c:v>
                  </c:pt>
                  <c:pt idx="15">
                    <c:v>116</c:v>
                  </c:pt>
                  <c:pt idx="16">
                    <c:v>182</c:v>
                  </c:pt>
                  <c:pt idx="17">
                    <c:v>163</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lvl>
                <c:lvl>
                  <c:pt idx="0">
                    <c:v>2024</c:v>
                  </c:pt>
                  <c:pt idx="12">
                    <c:v>2025</c:v>
                  </c:pt>
                </c:lvl>
              </c:multiLvlStrCache>
            </c:multiLvlStrRef>
          </c:cat>
          <c:val>
            <c:numRef>
              <c:f>Inpatient!$B$6:$B$44</c:f>
              <c:numCache>
                <c:formatCode>General</c:formatCode>
                <c:ptCount val="18"/>
                <c:pt idx="0">
                  <c:v>209</c:v>
                </c:pt>
                <c:pt idx="1">
                  <c:v>208</c:v>
                </c:pt>
                <c:pt idx="2">
                  <c:v>185</c:v>
                </c:pt>
                <c:pt idx="3">
                  <c:v>133</c:v>
                </c:pt>
                <c:pt idx="4">
                  <c:v>184</c:v>
                </c:pt>
                <c:pt idx="5">
                  <c:v>170</c:v>
                </c:pt>
                <c:pt idx="6">
                  <c:v>196</c:v>
                </c:pt>
                <c:pt idx="7">
                  <c:v>113</c:v>
                </c:pt>
                <c:pt idx="8">
                  <c:v>125</c:v>
                </c:pt>
                <c:pt idx="9">
                  <c:v>156</c:v>
                </c:pt>
                <c:pt idx="10">
                  <c:v>191</c:v>
                </c:pt>
                <c:pt idx="11">
                  <c:v>127</c:v>
                </c:pt>
                <c:pt idx="12">
                  <c:v>179</c:v>
                </c:pt>
                <c:pt idx="13">
                  <c:v>0</c:v>
                </c:pt>
                <c:pt idx="14">
                  <c:v>0</c:v>
                </c:pt>
                <c:pt idx="15">
                  <c:v>107</c:v>
                </c:pt>
                <c:pt idx="16">
                  <c:v>174</c:v>
                </c:pt>
                <c:pt idx="17">
                  <c:v>156</c:v>
                </c:pt>
              </c:numCache>
            </c:numRef>
          </c:val>
          <c:extLst>
            <c:ext xmlns:c16="http://schemas.microsoft.com/office/drawing/2014/chart" uri="{C3380CC4-5D6E-409C-BE32-E72D297353CC}">
              <c16:uniqueId val="{00000000-0C10-4DB4-A2B5-1DF66671ED38}"/>
            </c:ext>
          </c:extLst>
        </c:ser>
        <c:ser>
          <c:idx val="1"/>
          <c:order val="1"/>
          <c:tx>
            <c:strRef>
              <c:f>Inpatient!$C$5</c:f>
              <c:strCache>
                <c:ptCount val="1"/>
                <c:pt idx="0">
                  <c:v> LAM_tests</c:v>
                </c:pt>
              </c:strCache>
            </c:strRef>
          </c:tx>
          <c:spPr>
            <a:solidFill>
              <a:srgbClr val="CAD62A">
                <a:alpha val="92549"/>
              </a:srgbClr>
            </a:solidFill>
            <a:ln>
              <a:noFill/>
            </a:ln>
            <a:effectLst>
              <a:outerShdw blurRad="57150" dist="19050" dir="5400000" algn="ctr" rotWithShape="0">
                <a:srgbClr val="000000">
                  <a:alpha val="63000"/>
                </a:srgbClr>
              </a:outerShdw>
            </a:effectLst>
          </c:spPr>
          <c:invertIfNegative val="0"/>
          <c:dLbls>
            <c:spPr>
              <a:solidFill>
                <a:srgbClr val="FFFF00"/>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Inpatient!$A$6:$A$44</c:f>
              <c:multiLvlStrCache>
                <c:ptCount val="18"/>
                <c:lvl>
                  <c:pt idx="0">
                    <c:v>219</c:v>
                  </c:pt>
                  <c:pt idx="1">
                    <c:v>214</c:v>
                  </c:pt>
                  <c:pt idx="2">
                    <c:v>198</c:v>
                  </c:pt>
                  <c:pt idx="3">
                    <c:v>143</c:v>
                  </c:pt>
                  <c:pt idx="4">
                    <c:v>187</c:v>
                  </c:pt>
                  <c:pt idx="5">
                    <c:v>170</c:v>
                  </c:pt>
                  <c:pt idx="6">
                    <c:v>196</c:v>
                  </c:pt>
                  <c:pt idx="7">
                    <c:v>116</c:v>
                  </c:pt>
                  <c:pt idx="8">
                    <c:v>137</c:v>
                  </c:pt>
                  <c:pt idx="9">
                    <c:v>165</c:v>
                  </c:pt>
                  <c:pt idx="10">
                    <c:v>198</c:v>
                  </c:pt>
                  <c:pt idx="11">
                    <c:v>135</c:v>
                  </c:pt>
                  <c:pt idx="12">
                    <c:v>186</c:v>
                  </c:pt>
                  <c:pt idx="13">
                    <c:v>0</c:v>
                  </c:pt>
                  <c:pt idx="14">
                    <c:v>0</c:v>
                  </c:pt>
                  <c:pt idx="15">
                    <c:v>116</c:v>
                  </c:pt>
                  <c:pt idx="16">
                    <c:v>182</c:v>
                  </c:pt>
                  <c:pt idx="17">
                    <c:v>163</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lvl>
                <c:lvl>
                  <c:pt idx="0">
                    <c:v>2024</c:v>
                  </c:pt>
                  <c:pt idx="12">
                    <c:v>2025</c:v>
                  </c:pt>
                </c:lvl>
              </c:multiLvlStrCache>
            </c:multiLvlStrRef>
          </c:cat>
          <c:val>
            <c:numRef>
              <c:f>Inpatient!$C$6:$C$44</c:f>
              <c:numCache>
                <c:formatCode>General</c:formatCode>
                <c:ptCount val="18"/>
                <c:pt idx="0">
                  <c:v>82</c:v>
                </c:pt>
                <c:pt idx="1">
                  <c:v>52</c:v>
                </c:pt>
                <c:pt idx="2">
                  <c:v>53</c:v>
                </c:pt>
                <c:pt idx="3">
                  <c:v>14</c:v>
                </c:pt>
                <c:pt idx="4">
                  <c:v>0</c:v>
                </c:pt>
                <c:pt idx="5">
                  <c:v>0</c:v>
                </c:pt>
                <c:pt idx="6">
                  <c:v>0</c:v>
                </c:pt>
                <c:pt idx="7">
                  <c:v>4</c:v>
                </c:pt>
                <c:pt idx="8">
                  <c:v>34</c:v>
                </c:pt>
                <c:pt idx="9">
                  <c:v>43</c:v>
                </c:pt>
                <c:pt idx="10">
                  <c:v>59</c:v>
                </c:pt>
                <c:pt idx="11">
                  <c:v>36</c:v>
                </c:pt>
                <c:pt idx="12">
                  <c:v>54</c:v>
                </c:pt>
                <c:pt idx="13">
                  <c:v>0</c:v>
                </c:pt>
                <c:pt idx="14">
                  <c:v>0</c:v>
                </c:pt>
                <c:pt idx="15">
                  <c:v>24</c:v>
                </c:pt>
                <c:pt idx="16">
                  <c:v>22</c:v>
                </c:pt>
                <c:pt idx="17">
                  <c:v>43</c:v>
                </c:pt>
              </c:numCache>
            </c:numRef>
          </c:val>
          <c:extLst>
            <c:ext xmlns:c16="http://schemas.microsoft.com/office/drawing/2014/chart" uri="{C3380CC4-5D6E-409C-BE32-E72D297353CC}">
              <c16:uniqueId val="{00000001-0C10-4DB4-A2B5-1DF66671ED38}"/>
            </c:ext>
          </c:extLst>
        </c:ser>
        <c:ser>
          <c:idx val="2"/>
          <c:order val="2"/>
          <c:tx>
            <c:strRef>
              <c:f>Inpatient!$D$5</c:f>
              <c:strCache>
                <c:ptCount val="1"/>
                <c:pt idx="0">
                  <c:v>CrAg-tests</c:v>
                </c:pt>
              </c:strCache>
            </c:strRef>
          </c:tx>
          <c:spPr>
            <a:solidFill>
              <a:srgbClr val="406C5C">
                <a:alpha val="87451"/>
              </a:srgbClr>
            </a:solidFill>
            <a:ln>
              <a:noFill/>
            </a:ln>
            <a:effectLst>
              <a:outerShdw blurRad="57150" dist="19050" dir="5400000" algn="ctr" rotWithShape="0">
                <a:srgbClr val="000000">
                  <a:alpha val="63000"/>
                </a:srgbClr>
              </a:outerShdw>
            </a:effectLst>
          </c:spPr>
          <c:invertIfNegative val="0"/>
          <c:dLbls>
            <c:spPr>
              <a:solidFill>
                <a:schemeClr val="accent6">
                  <a:lumMod val="40000"/>
                  <a:lumOff val="6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Inpatient!$A$6:$A$44</c:f>
              <c:multiLvlStrCache>
                <c:ptCount val="18"/>
                <c:lvl>
                  <c:pt idx="0">
                    <c:v>219</c:v>
                  </c:pt>
                  <c:pt idx="1">
                    <c:v>214</c:v>
                  </c:pt>
                  <c:pt idx="2">
                    <c:v>198</c:v>
                  </c:pt>
                  <c:pt idx="3">
                    <c:v>143</c:v>
                  </c:pt>
                  <c:pt idx="4">
                    <c:v>187</c:v>
                  </c:pt>
                  <c:pt idx="5">
                    <c:v>170</c:v>
                  </c:pt>
                  <c:pt idx="6">
                    <c:v>196</c:v>
                  </c:pt>
                  <c:pt idx="7">
                    <c:v>116</c:v>
                  </c:pt>
                  <c:pt idx="8">
                    <c:v>137</c:v>
                  </c:pt>
                  <c:pt idx="9">
                    <c:v>165</c:v>
                  </c:pt>
                  <c:pt idx="10">
                    <c:v>198</c:v>
                  </c:pt>
                  <c:pt idx="11">
                    <c:v>135</c:v>
                  </c:pt>
                  <c:pt idx="12">
                    <c:v>186</c:v>
                  </c:pt>
                  <c:pt idx="13">
                    <c:v>0</c:v>
                  </c:pt>
                  <c:pt idx="14">
                    <c:v>0</c:v>
                  </c:pt>
                  <c:pt idx="15">
                    <c:v>116</c:v>
                  </c:pt>
                  <c:pt idx="16">
                    <c:v>182</c:v>
                  </c:pt>
                  <c:pt idx="17">
                    <c:v>163</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lvl>
                <c:lvl>
                  <c:pt idx="0">
                    <c:v>2024</c:v>
                  </c:pt>
                  <c:pt idx="12">
                    <c:v>2025</c:v>
                  </c:pt>
                </c:lvl>
              </c:multiLvlStrCache>
            </c:multiLvlStrRef>
          </c:cat>
          <c:val>
            <c:numRef>
              <c:f>Inpatient!$D$6:$D$44</c:f>
              <c:numCache>
                <c:formatCode>General</c:formatCode>
                <c:ptCount val="18"/>
                <c:pt idx="0">
                  <c:v>98</c:v>
                </c:pt>
                <c:pt idx="1">
                  <c:v>71</c:v>
                </c:pt>
                <c:pt idx="2">
                  <c:v>85</c:v>
                </c:pt>
                <c:pt idx="3">
                  <c:v>48</c:v>
                </c:pt>
                <c:pt idx="4">
                  <c:v>0</c:v>
                </c:pt>
                <c:pt idx="5">
                  <c:v>0</c:v>
                </c:pt>
                <c:pt idx="6">
                  <c:v>78</c:v>
                </c:pt>
                <c:pt idx="7">
                  <c:v>58</c:v>
                </c:pt>
                <c:pt idx="8">
                  <c:v>8</c:v>
                </c:pt>
                <c:pt idx="9">
                  <c:v>60</c:v>
                </c:pt>
                <c:pt idx="10">
                  <c:v>0</c:v>
                </c:pt>
                <c:pt idx="11">
                  <c:v>47</c:v>
                </c:pt>
                <c:pt idx="12">
                  <c:v>71</c:v>
                </c:pt>
                <c:pt idx="13">
                  <c:v>0</c:v>
                </c:pt>
                <c:pt idx="14">
                  <c:v>0</c:v>
                </c:pt>
                <c:pt idx="15">
                  <c:v>44</c:v>
                </c:pt>
                <c:pt idx="16">
                  <c:v>0</c:v>
                </c:pt>
                <c:pt idx="17">
                  <c:v>62</c:v>
                </c:pt>
              </c:numCache>
            </c:numRef>
          </c:val>
          <c:extLst>
            <c:ext xmlns:c16="http://schemas.microsoft.com/office/drawing/2014/chart" uri="{C3380CC4-5D6E-409C-BE32-E72D297353CC}">
              <c16:uniqueId val="{00000002-0C10-4DB4-A2B5-1DF66671ED38}"/>
            </c:ext>
          </c:extLst>
        </c:ser>
        <c:dLbls>
          <c:showLegendKey val="0"/>
          <c:showVal val="0"/>
          <c:showCatName val="0"/>
          <c:showSerName val="0"/>
          <c:showPercent val="0"/>
          <c:showBubbleSize val="0"/>
        </c:dLbls>
        <c:gapWidth val="100"/>
        <c:overlap val="44"/>
        <c:axId val="939995816"/>
        <c:axId val="939997976"/>
      </c:barChart>
      <c:lineChart>
        <c:grouping val="standard"/>
        <c:varyColors val="0"/>
        <c:ser>
          <c:idx val="3"/>
          <c:order val="3"/>
          <c:tx>
            <c:strRef>
              <c:f>Inpatient!$E$5</c:f>
              <c:strCache>
                <c:ptCount val="1"/>
                <c:pt idx="0">
                  <c:v> AHD_screening_cov%</c:v>
                </c:pt>
              </c:strCache>
            </c:strRef>
          </c:tx>
          <c:spPr>
            <a:ln w="22225" cap="rnd">
              <a:solidFill>
                <a:srgbClr val="5B5D4B"/>
              </a:solidFill>
              <a:round/>
            </a:ln>
            <a:effectLst>
              <a:outerShdw blurRad="57150" dist="19050" dir="5400000" algn="ctr" rotWithShape="0">
                <a:srgbClr val="000000">
                  <a:alpha val="63000"/>
                </a:srgbClr>
              </a:outerShdw>
            </a:effectLst>
          </c:spPr>
          <c:marker>
            <c:symbol val="circle"/>
            <c:size val="6"/>
            <c:spPr>
              <a:solidFill>
                <a:schemeClr val="accent6">
                  <a:lumMod val="50000"/>
                </a:schemeClr>
              </a:solidFill>
              <a:ln w="9525">
                <a:no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Inpatient!$A$6:$A$44</c:f>
              <c:multiLvlStrCache>
                <c:ptCount val="18"/>
                <c:lvl>
                  <c:pt idx="0">
                    <c:v>219</c:v>
                  </c:pt>
                  <c:pt idx="1">
                    <c:v>214</c:v>
                  </c:pt>
                  <c:pt idx="2">
                    <c:v>198</c:v>
                  </c:pt>
                  <c:pt idx="3">
                    <c:v>143</c:v>
                  </c:pt>
                  <c:pt idx="4">
                    <c:v>187</c:v>
                  </c:pt>
                  <c:pt idx="5">
                    <c:v>170</c:v>
                  </c:pt>
                  <c:pt idx="6">
                    <c:v>196</c:v>
                  </c:pt>
                  <c:pt idx="7">
                    <c:v>116</c:v>
                  </c:pt>
                  <c:pt idx="8">
                    <c:v>137</c:v>
                  </c:pt>
                  <c:pt idx="9">
                    <c:v>165</c:v>
                  </c:pt>
                  <c:pt idx="10">
                    <c:v>198</c:v>
                  </c:pt>
                  <c:pt idx="11">
                    <c:v>135</c:v>
                  </c:pt>
                  <c:pt idx="12">
                    <c:v>186</c:v>
                  </c:pt>
                  <c:pt idx="13">
                    <c:v>0</c:v>
                  </c:pt>
                  <c:pt idx="14">
                    <c:v>0</c:v>
                  </c:pt>
                  <c:pt idx="15">
                    <c:v>116</c:v>
                  </c:pt>
                  <c:pt idx="16">
                    <c:v>182</c:v>
                  </c:pt>
                  <c:pt idx="17">
                    <c:v>163</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lvl>
                <c:lvl>
                  <c:pt idx="0">
                    <c:v>2024</c:v>
                  </c:pt>
                  <c:pt idx="12">
                    <c:v>2025</c:v>
                  </c:pt>
                </c:lvl>
              </c:multiLvlStrCache>
            </c:multiLvlStrRef>
          </c:cat>
          <c:val>
            <c:numRef>
              <c:f>Inpatient!$E$6:$E$44</c:f>
              <c:numCache>
                <c:formatCode>0%</c:formatCode>
                <c:ptCount val="18"/>
                <c:pt idx="0">
                  <c:v>0.954337899543379</c:v>
                </c:pt>
                <c:pt idx="1">
                  <c:v>0.9719626168224299</c:v>
                </c:pt>
                <c:pt idx="2">
                  <c:v>0.93434343434343436</c:v>
                </c:pt>
                <c:pt idx="3">
                  <c:v>0.93006993006993011</c:v>
                </c:pt>
                <c:pt idx="4">
                  <c:v>0.98395721925133695</c:v>
                </c:pt>
                <c:pt idx="5">
                  <c:v>1</c:v>
                </c:pt>
                <c:pt idx="6">
                  <c:v>1</c:v>
                </c:pt>
                <c:pt idx="7">
                  <c:v>0.97413793103448276</c:v>
                </c:pt>
                <c:pt idx="8">
                  <c:v>0.91240875912408759</c:v>
                </c:pt>
                <c:pt idx="9">
                  <c:v>0.94545454545454544</c:v>
                </c:pt>
                <c:pt idx="10">
                  <c:v>0.96464646464646464</c:v>
                </c:pt>
                <c:pt idx="11">
                  <c:v>0.94074074074074077</c:v>
                </c:pt>
                <c:pt idx="12">
                  <c:v>0.9623655913978495</c:v>
                </c:pt>
                <c:pt idx="13">
                  <c:v>#N/A</c:v>
                </c:pt>
                <c:pt idx="14">
                  <c:v>#N/A</c:v>
                </c:pt>
                <c:pt idx="15">
                  <c:v>0.92241379310344829</c:v>
                </c:pt>
                <c:pt idx="16">
                  <c:v>0.95604395604395609</c:v>
                </c:pt>
                <c:pt idx="17">
                  <c:v>0.95705521472392641</c:v>
                </c:pt>
              </c:numCache>
            </c:numRef>
          </c:val>
          <c:smooth val="1"/>
          <c:extLst>
            <c:ext xmlns:c16="http://schemas.microsoft.com/office/drawing/2014/chart" uri="{C3380CC4-5D6E-409C-BE32-E72D297353CC}">
              <c16:uniqueId val="{00000003-0C10-4DB4-A2B5-1DF66671ED38}"/>
            </c:ext>
          </c:extLst>
        </c:ser>
        <c:dLbls>
          <c:showLegendKey val="0"/>
          <c:showVal val="0"/>
          <c:showCatName val="0"/>
          <c:showSerName val="0"/>
          <c:showPercent val="0"/>
          <c:showBubbleSize val="0"/>
        </c:dLbls>
        <c:marker val="1"/>
        <c:smooth val="0"/>
        <c:axId val="1194562352"/>
        <c:axId val="1194570632"/>
      </c:lineChart>
      <c:catAx>
        <c:axId val="939995816"/>
        <c:scaling>
          <c:orientation val="minMax"/>
        </c:scaling>
        <c:delete val="0"/>
        <c:axPos val="b"/>
        <c:title>
          <c:tx>
            <c:rich>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r>
                  <a:rPr lang="en-US"/>
                  <a:t>Number of HVL</a:t>
                </a:r>
                <a:r>
                  <a:rPr lang="en-US" baseline="0"/>
                  <a:t> ROC seen</a:t>
                </a:r>
                <a:r>
                  <a:rPr lang="en-US"/>
                  <a:t> per period</a:t>
                </a:r>
              </a:p>
            </c:rich>
          </c:tx>
          <c:layout>
            <c:manualLayout>
              <c:xMode val="edge"/>
              <c:yMode val="edge"/>
              <c:x val="0.41442544954141969"/>
              <c:y val="0.87376313591756294"/>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accent1">
                <a:lumMod val="50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939997976"/>
        <c:crosses val="autoZero"/>
        <c:auto val="1"/>
        <c:lblAlgn val="ctr"/>
        <c:lblOffset val="100"/>
        <c:noMultiLvlLbl val="0"/>
      </c:catAx>
      <c:valAx>
        <c:axId val="939997976"/>
        <c:scaling>
          <c:orientation val="minMax"/>
          <c:max val="250"/>
          <c:min val="0"/>
        </c:scaling>
        <c:delete val="0"/>
        <c:axPos val="l"/>
        <c:title>
          <c:tx>
            <c:rich>
              <a:bodyPr rot="-54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r>
                  <a:rPr lang="en-US"/>
                  <a:t>Number of ROC with HVL screened</a:t>
                </a:r>
              </a:p>
            </c:rich>
          </c:tx>
          <c:layout>
            <c:manualLayout>
              <c:xMode val="edge"/>
              <c:yMode val="edge"/>
              <c:x val="1.153877493068561E-3"/>
              <c:y val="0.34269789414346724"/>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solidFill>
              <a:schemeClr val="accent1">
                <a:lumMod val="50000"/>
              </a:schemeClr>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939995816"/>
        <c:crosses val="autoZero"/>
        <c:crossBetween val="between"/>
      </c:valAx>
      <c:valAx>
        <c:axId val="1194570632"/>
        <c:scaling>
          <c:orientation val="minMax"/>
          <c:max val="1"/>
          <c:min val="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194562352"/>
        <c:crosses val="max"/>
        <c:crossBetween val="between"/>
      </c:valAx>
      <c:catAx>
        <c:axId val="1194562352"/>
        <c:scaling>
          <c:orientation val="minMax"/>
        </c:scaling>
        <c:delete val="1"/>
        <c:axPos val="b"/>
        <c:numFmt formatCode="General" sourceLinked="1"/>
        <c:majorTickMark val="out"/>
        <c:minorTickMark val="none"/>
        <c:tickLblPos val="nextTo"/>
        <c:crossAx val="1194570632"/>
        <c:crosses val="autoZero"/>
        <c:auto val="1"/>
        <c:lblAlgn val="ctr"/>
        <c:lblOffset val="100"/>
        <c:noMultiLvlLbl val="0"/>
      </c:catAx>
      <c:spPr>
        <a:noFill/>
        <a:ln>
          <a:noFill/>
        </a:ln>
        <a:effectLst/>
      </c:spPr>
    </c:plotArea>
    <c:legend>
      <c:legendPos val="r"/>
      <c:layout>
        <c:manualLayout>
          <c:xMode val="edge"/>
          <c:yMode val="edge"/>
          <c:x val="0.13985142251870933"/>
          <c:y val="0.92313864042643623"/>
          <c:w val="0.76049011022209589"/>
          <c:h val="7.6861283297034677E-2"/>
        </c:manualLayout>
      </c:layout>
      <c:overlay val="0"/>
      <c:spPr>
        <a:noFill/>
        <a:ln w="6350">
          <a:solidFill>
            <a:schemeClr val="accent5">
              <a:lumMod val="40000"/>
              <a:lumOff val="60000"/>
            </a:schemeClr>
          </a:solid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lumMod val="20000"/>
          <a:lumOff val="80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[AHD_Reporting_Form.xlsx]Inpatient!PivotTable2</c:name>
    <c:fmtId val="21"/>
  </c:pivotSource>
  <c:chart>
    <c:title>
      <c:tx>
        <c:rich>
          <a:bodyPr rot="0" spcFirstLastPara="1" vertOverflow="ellipsis" vert="horz" wrap="square" anchor="ctr" anchorCtr="1"/>
          <a:lstStyle/>
          <a:p>
            <a:pPr>
              <a:defRPr sz="1400" b="1" i="0" u="sng" strike="noStrike" kern="1200" baseline="0">
                <a:solidFill>
                  <a:sysClr val="windowText" lastClr="000000"/>
                </a:solidFill>
                <a:latin typeface="+mn-lt"/>
                <a:ea typeface="+mn-ea"/>
                <a:cs typeface="+mn-cs"/>
              </a:defRPr>
            </a:pPr>
            <a:r>
              <a:rPr lang="en-GB" sz="1400" u="sng"/>
              <a:t>AHD Yield among inpatients</a:t>
            </a:r>
          </a:p>
        </c:rich>
      </c:tx>
      <c:layout>
        <c:manualLayout>
          <c:xMode val="edge"/>
          <c:yMode val="edge"/>
          <c:x val="0.31871396480594527"/>
          <c:y val="1.8829532165005203E-2"/>
        </c:manualLayout>
      </c:layout>
      <c:overlay val="0"/>
      <c:spPr>
        <a:noFill/>
        <a:ln>
          <a:noFill/>
        </a:ln>
        <a:effectLst/>
      </c:spPr>
      <c:txPr>
        <a:bodyPr rot="0" spcFirstLastPara="1" vertOverflow="ellipsis" vert="horz" wrap="square" anchor="ctr" anchorCtr="1"/>
        <a:lstStyle/>
        <a:p>
          <a:pPr>
            <a:defRPr sz="1400" b="1" i="0" u="sng" strike="noStrike" kern="1200" baseline="0">
              <a:solidFill>
                <a:sysClr val="windowText" lastClr="000000"/>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2"/>
            </a:solidFill>
            <a:round/>
          </a:ln>
          <a:effectLst>
            <a:outerShdw blurRad="57150" dist="19050" dir="5400000" algn="ctr" rotWithShape="0">
              <a:srgbClr val="000000">
                <a:alpha val="63000"/>
              </a:srgbClr>
            </a:outerShdw>
          </a:effectLst>
        </c:spPr>
        <c:marker>
          <c:symbol val="circle"/>
          <c:size val="4"/>
          <c:spPr>
            <a:solidFill>
              <a:schemeClr val="accent2"/>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5"/>
            </a:solidFill>
            <a:round/>
          </a:ln>
          <a:effectLst>
            <a:outerShdw blurRad="57150" dist="19050" dir="5400000" algn="ctr" rotWithShape="0">
              <a:srgbClr val="000000">
                <a:alpha val="63000"/>
              </a:srgbClr>
            </a:outerShdw>
          </a:effectLst>
        </c:spPr>
        <c:marker>
          <c:symbol val="circle"/>
          <c:size val="4"/>
          <c:spPr>
            <a:solidFill>
              <a:schemeClr val="accent5"/>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dLbl>
          <c:idx val="0"/>
          <c:layout>
            <c:manualLayout>
              <c:x val="-3.6779396559352875E-2"/>
              <c:y val="3.23599931903843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F9B20"/>
            </a:solidFill>
            <a:round/>
          </a:ln>
          <a:effectLst>
            <a:outerShdw blurRad="57150" dist="19050" dir="5400000" algn="ctr" rotWithShape="0">
              <a:srgbClr val="000000">
                <a:alpha val="63000"/>
              </a:srgbClr>
            </a:outerShdw>
          </a:effectLst>
        </c:spPr>
        <c:marker>
          <c:symbol val="circle"/>
          <c:size val="4"/>
          <c:spPr>
            <a:solidFill>
              <a:srgbClr val="EF9B20"/>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dLbl>
          <c:idx val="0"/>
          <c:layout>
            <c:manualLayout>
              <c:x val="-3.6779396559352875E-2"/>
              <c:y val="3.2359993190384365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1A53FF"/>
            </a:solidFill>
            <a:round/>
          </a:ln>
          <a:effectLst>
            <a:outerShdw blurRad="57150" dist="19050" dir="5400000" algn="ctr" rotWithShape="0">
              <a:srgbClr val="000000">
                <a:alpha val="63000"/>
              </a:srgbClr>
            </a:outerShdw>
          </a:effectLst>
        </c:spPr>
        <c:marker>
          <c:symbol val="circle"/>
          <c:size val="4"/>
          <c:spPr>
            <a:solidFill>
              <a:srgbClr val="1A53FF"/>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449BCC"/>
            </a:solidFill>
            <a:round/>
          </a:ln>
          <a:effectLst>
            <a:outerShdw blurRad="57150" dist="19050" dir="5400000" algn="ctr" rotWithShape="0">
              <a:srgbClr val="000000">
                <a:alpha val="63000"/>
              </a:srgbClr>
            </a:outerShdw>
          </a:effectLst>
        </c:spPr>
        <c:marker>
          <c:symbol val="circle"/>
          <c:size val="4"/>
          <c:spPr>
            <a:solidFill>
              <a:srgbClr val="449BCC"/>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AF1FC7"/>
            </a:solidFill>
            <a:round/>
          </a:ln>
          <a:effectLst>
            <a:outerShdw blurRad="57150" dist="19050" dir="5400000" algn="ctr" rotWithShape="0">
              <a:srgbClr val="000000">
                <a:alpha val="63000"/>
              </a:srgbClr>
            </a:outerShdw>
          </a:effectLst>
        </c:spPr>
        <c:marker>
          <c:symbol val="circle"/>
          <c:size val="4"/>
          <c:spPr>
            <a:solidFill>
              <a:srgbClr val="AF1FC7"/>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AF1FC7"/>
            </a:solidFill>
            <a:round/>
          </a:ln>
          <a:effectLst>
            <a:outerShdw blurRad="57150" dist="19050" dir="5400000" algn="ctr" rotWithShape="0">
              <a:srgbClr val="000000">
                <a:alpha val="63000"/>
              </a:srgbClr>
            </a:outerShdw>
          </a:effectLst>
        </c:spPr>
        <c:marker>
          <c:symbol val="circle"/>
          <c:size val="4"/>
          <c:spPr>
            <a:solidFill>
              <a:srgbClr val="AF1FC7"/>
            </a:solidFill>
            <a:ln w="9525">
              <a:noFill/>
              <a:round/>
            </a:ln>
            <a:effectLst>
              <a:outerShdw blurRad="57150" dist="19050" dir="5400000" algn="ctr" rotWithShape="0">
                <a:srgbClr val="000000">
                  <a:alpha val="63000"/>
                </a:srgbClr>
              </a:outerShdw>
            </a:effectLst>
          </c:spPr>
        </c:marker>
        <c:dLbl>
          <c:idx val="0"/>
          <c:layout>
            <c:manualLayout>
              <c:x val="-3.6779396559352875E-2"/>
              <c:y val="3.2359993190384365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6CAEA5"/>
            </a:solidFill>
            <a:round/>
          </a:ln>
          <a:effectLst>
            <a:outerShdw blurRad="57150" dist="19050" dir="5400000" algn="ctr" rotWithShape="0">
              <a:srgbClr val="000000">
                <a:alpha val="63000"/>
              </a:srgbClr>
            </a:outerShdw>
          </a:effectLst>
        </c:spPr>
        <c:marker>
          <c:symbol val="circle"/>
          <c:size val="4"/>
          <c:spPr>
            <a:solidFill>
              <a:srgbClr val="6CAEA5"/>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dLbl>
          <c:idx val="0"/>
          <c:layout>
            <c:manualLayout>
              <c:x val="-3.6779396559352875E-2"/>
              <c:y val="3.2359993190384365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6CAEA5"/>
            </a:solidFill>
            <a:round/>
          </a:ln>
          <a:effectLst>
            <a:outerShdw blurRad="57150" dist="19050" dir="5400000" algn="ctr" rotWithShape="0">
              <a:srgbClr val="000000">
                <a:alpha val="63000"/>
              </a:srgbClr>
            </a:outerShdw>
          </a:effectLst>
        </c:spPr>
        <c:marker>
          <c:symbol val="circle"/>
          <c:size val="4"/>
          <c:spPr>
            <a:solidFill>
              <a:srgbClr val="6CAEA5"/>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dLbl>
          <c:idx val="0"/>
          <c:layout>
            <c:manualLayout>
              <c:x val="-2.579297218581135E-2"/>
              <c:y val="2.8589607233004296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
        <c:idx val="20"/>
      </c:pivotFmt>
      <c:pivotFmt>
        <c:idx val="21"/>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
        <c:idx val="28"/>
        <c:spPr>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34"/>
        <c:spPr>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
        <c:idx val="40"/>
        <c:spPr>
          <a:ln w="19050" cap="rnd">
            <a:solidFill>
              <a:srgbClr val="6CAEA5"/>
            </a:solidFill>
            <a:round/>
          </a:ln>
          <a:effectLst>
            <a:outerShdw blurRad="57150" dist="19050" dir="5400000" algn="ctr" rotWithShape="0">
              <a:srgbClr val="000000">
                <a:alpha val="63000"/>
              </a:srgbClr>
            </a:outerShdw>
          </a:effectLst>
        </c:spPr>
        <c:marker>
          <c:symbol val="circle"/>
          <c:size val="4"/>
          <c:spPr>
            <a:solidFill>
              <a:srgbClr val="6CAEA5"/>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dLbl>
          <c:idx val="0"/>
          <c:layout>
            <c:manualLayout>
              <c:x val="-2.579297218581135E-2"/>
              <c:y val="2.8589607233004296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dLbl>
          <c:idx val="0"/>
          <c:layout>
            <c:manualLayout>
              <c:x val="-3.2632136494020157E-2"/>
              <c:y val="-1.7285326572641667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
        <c:idx val="63"/>
        <c:spPr>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64"/>
        <c:spPr>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65"/>
        <c:spPr>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66"/>
        <c:spPr>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67"/>
        <c:spPr>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68"/>
        <c:spPr>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69"/>
        <c:spPr>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70"/>
        <c:spPr>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71"/>
        <c:spPr>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72"/>
        <c:spPr>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73"/>
        <c:spPr>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74"/>
        <c:spPr>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75"/>
        <c:spPr>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
        <c:idx val="76"/>
        <c:spPr>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
        <c:idx val="77"/>
        <c:spPr>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
        <c:idx val="78"/>
        <c:spPr>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
        <c:idx val="79"/>
        <c:spPr>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
        <c:idx val="80"/>
        <c:spPr>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
        <c:idx val="81"/>
        <c:spPr>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
        <c:idx val="82"/>
        <c:spPr>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
        <c:idx val="83"/>
        <c:spPr>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
        <c:idx val="84"/>
        <c:spPr>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
        <c:idx val="85"/>
        <c:spPr>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
        <c:idx val="86"/>
        <c:spPr>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
        <c:idx val="87"/>
        <c:spPr>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88"/>
        <c:spPr>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
        <c:idx val="89"/>
        <c:spPr>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90"/>
        <c:spPr>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
        <c:idx val="91"/>
        <c:spPr>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92"/>
        <c:spPr>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
        <c:idx val="93"/>
        <c:spPr>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94"/>
        <c:spPr>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95"/>
        <c:spPr>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pivotFmt>
      <c:pivotFmt>
        <c:idx val="96"/>
        <c:spPr>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
        <c:idx val="97"/>
        <c:spPr>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
        <c:idx val="98"/>
        <c:spPr>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pivotFmt>
    </c:pivotFmts>
    <c:plotArea>
      <c:layout>
        <c:manualLayout>
          <c:layoutTarget val="inner"/>
          <c:xMode val="edge"/>
          <c:yMode val="edge"/>
          <c:x val="0.13375684616236402"/>
          <c:y val="0.11721388715452766"/>
          <c:w val="0.84588288234156939"/>
          <c:h val="0.67080805367261886"/>
        </c:manualLayout>
      </c:layout>
      <c:lineChart>
        <c:grouping val="standard"/>
        <c:varyColors val="0"/>
        <c:ser>
          <c:idx val="0"/>
          <c:order val="0"/>
          <c:tx>
            <c:strRef>
              <c:f>Inpatient!$J$5</c:f>
              <c:strCache>
                <c:ptCount val="1"/>
                <c:pt idx="0">
                  <c:v> CD4&lt;200%</c:v>
                </c:pt>
              </c:strCache>
            </c:strRef>
          </c:tx>
          <c:spPr>
            <a:ln w="19050" cap="rnd">
              <a:solidFill>
                <a:srgbClr val="92957B"/>
              </a:solidFill>
              <a:round/>
            </a:ln>
            <a:effectLst>
              <a:outerShdw blurRad="57150" dist="19050" dir="5400000" algn="ctr" rotWithShape="0">
                <a:srgbClr val="000000">
                  <a:alpha val="63000"/>
                </a:srgbClr>
              </a:outerShdw>
            </a:effectLst>
          </c:spPr>
          <c:marker>
            <c:symbol val="circle"/>
            <c:size val="4"/>
            <c:spPr>
              <a:solidFill>
                <a:srgbClr val="92957B"/>
              </a:solidFill>
              <a:ln w="9525">
                <a:noFill/>
                <a:round/>
              </a:ln>
              <a:effectLst>
                <a:outerShdw blurRad="57150" dist="19050" dir="5400000" algn="ctr" rotWithShape="0">
                  <a:srgbClr val="000000">
                    <a:alpha val="63000"/>
                  </a:srgbClr>
                </a:outerShdw>
              </a:effectLst>
            </c:spPr>
          </c:marker>
          <c:dPt>
            <c:idx val="0"/>
            <c:marker>
              <c:symbol val="circle"/>
              <c:size val="4"/>
              <c:spPr>
                <a:solidFill>
                  <a:srgbClr val="92957B"/>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1-DE5C-4509-99EA-15939446A96F}"/>
              </c:ext>
            </c:extLst>
          </c:dPt>
          <c:dPt>
            <c:idx val="1"/>
            <c:marker>
              <c:symbol val="circle"/>
              <c:size val="4"/>
              <c:spPr>
                <a:solidFill>
                  <a:srgbClr val="92957B"/>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1-D1ED-4E6F-902A-BAF5D668509B}"/>
              </c:ext>
            </c:extLst>
          </c:dPt>
          <c:dPt>
            <c:idx val="2"/>
            <c:marker>
              <c:symbol val="circle"/>
              <c:size val="4"/>
              <c:spPr>
                <a:solidFill>
                  <a:srgbClr val="92957B"/>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0-E0E7-4099-92FB-6C570398D7E8}"/>
              </c:ext>
            </c:extLst>
          </c:dPt>
          <c:dPt>
            <c:idx val="3"/>
            <c:marker>
              <c:symbol val="circle"/>
              <c:size val="4"/>
              <c:spPr>
                <a:solidFill>
                  <a:srgbClr val="92957B"/>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2-EE14-4EB6-8962-A6B09559EAA9}"/>
              </c:ext>
            </c:extLst>
          </c:dPt>
          <c:dPt>
            <c:idx val="4"/>
            <c:marker>
              <c:symbol val="circle"/>
              <c:size val="4"/>
              <c:spPr>
                <a:solidFill>
                  <a:srgbClr val="92957B"/>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3-84E9-4C1C-9573-4831344CF148}"/>
              </c:ext>
            </c:extLst>
          </c:dPt>
          <c:dPt>
            <c:idx val="5"/>
            <c:marker>
              <c:symbol val="circle"/>
              <c:size val="4"/>
              <c:spPr>
                <a:solidFill>
                  <a:srgbClr val="92957B"/>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4-1ECC-4FF1-88B0-D590B70E9320}"/>
              </c:ext>
            </c:extLst>
          </c:dPt>
          <c:dPt>
            <c:idx val="6"/>
            <c:marker>
              <c:symbol val="circle"/>
              <c:size val="4"/>
              <c:spPr>
                <a:solidFill>
                  <a:srgbClr val="92957B"/>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7-EE14-4EB6-8962-A6B09559EAA9}"/>
              </c:ext>
            </c:extLst>
          </c:dPt>
          <c:dPt>
            <c:idx val="7"/>
            <c:marker>
              <c:symbol val="circle"/>
              <c:size val="4"/>
              <c:spPr>
                <a:solidFill>
                  <a:srgbClr val="92957B"/>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7-D30D-44D5-AF5E-816AAD769D22}"/>
              </c:ext>
            </c:extLst>
          </c:dPt>
          <c:dPt>
            <c:idx val="8"/>
            <c:marker>
              <c:symbol val="circle"/>
              <c:size val="4"/>
              <c:spPr>
                <a:solidFill>
                  <a:srgbClr val="92957B"/>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8-D30D-44D5-AF5E-816AAD769D22}"/>
              </c:ext>
            </c:extLst>
          </c:dPt>
          <c:dPt>
            <c:idx val="9"/>
            <c:marker>
              <c:symbol val="circle"/>
              <c:size val="4"/>
              <c:spPr>
                <a:solidFill>
                  <a:srgbClr val="92957B"/>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9-D30D-44D5-AF5E-816AAD769D22}"/>
              </c:ext>
            </c:extLst>
          </c:dPt>
          <c:dPt>
            <c:idx val="10"/>
            <c:marker>
              <c:symbol val="circle"/>
              <c:size val="4"/>
              <c:spPr>
                <a:solidFill>
                  <a:srgbClr val="92957B"/>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A-D30D-44D5-AF5E-816AAD769D22}"/>
              </c:ext>
            </c:extLst>
          </c:dPt>
          <c:dPt>
            <c:idx val="11"/>
            <c:marker>
              <c:symbol val="circle"/>
              <c:size val="4"/>
              <c:spPr>
                <a:solidFill>
                  <a:srgbClr val="92957B"/>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B-D30D-44D5-AF5E-816AAD769D22}"/>
              </c:ext>
            </c:extLst>
          </c:dPt>
          <c:dPt>
            <c:idx val="12"/>
            <c:marker>
              <c:symbol val="circle"/>
              <c:size val="4"/>
              <c:spPr>
                <a:solidFill>
                  <a:srgbClr val="92957B"/>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D-D30D-44D5-AF5E-816AAD769D22}"/>
              </c:ext>
            </c:extLst>
          </c:dPt>
          <c:dPt>
            <c:idx val="13"/>
            <c:marker>
              <c:symbol val="circle"/>
              <c:size val="4"/>
              <c:spPr>
                <a:solidFill>
                  <a:srgbClr val="92957B"/>
                </a:solidFill>
                <a:ln w="9525">
                  <a:noFill/>
                  <a:round/>
                </a:ln>
                <a:effectLst>
                  <a:outerShdw blurRad="57150" dist="19050" dir="5400000" algn="ctr" rotWithShape="0">
                    <a:srgbClr val="000000">
                      <a:alpha val="63000"/>
                    </a:srgbClr>
                  </a:outerShdw>
                </a:effectLst>
              </c:spPr>
            </c:marker>
            <c:bubble3D val="0"/>
            <c:spPr>
              <a:ln w="19050" cap="rnd">
                <a:solidFill>
                  <a:srgbClr val="92957B"/>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D30D-44D5-AF5E-816AAD769D22}"/>
              </c:ext>
            </c:extLst>
          </c:dPt>
          <c:dPt>
            <c:idx val="14"/>
            <c:marker>
              <c:symbol val="circle"/>
              <c:size val="4"/>
              <c:spPr>
                <a:solidFill>
                  <a:srgbClr val="92957B"/>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11-D30D-44D5-AF5E-816AAD769D22}"/>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Inpatient!$I$6:$I$26</c:f>
              <c:multiLvlStrCache>
                <c:ptCount val="1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lvl>
                <c:lvl>
                  <c:pt idx="0">
                    <c:v>2024</c:v>
                  </c:pt>
                  <c:pt idx="12">
                    <c:v>2025</c:v>
                  </c:pt>
                </c:lvl>
              </c:multiLvlStrCache>
            </c:multiLvlStrRef>
          </c:cat>
          <c:val>
            <c:numRef>
              <c:f>Inpatient!$J$6:$J$26</c:f>
              <c:numCache>
                <c:formatCode>General</c:formatCode>
                <c:ptCount val="18"/>
                <c:pt idx="0">
                  <c:v>0.37799043062200954</c:v>
                </c:pt>
                <c:pt idx="1">
                  <c:v>0.34134615384615385</c:v>
                </c:pt>
                <c:pt idx="2">
                  <c:v>0.4</c:v>
                </c:pt>
                <c:pt idx="3">
                  <c:v>0.3007518796992481</c:v>
                </c:pt>
                <c:pt idx="4">
                  <c:v>0.43478260869565216</c:v>
                </c:pt>
                <c:pt idx="5">
                  <c:v>0.47058823529411764</c:v>
                </c:pt>
                <c:pt idx="6">
                  <c:v>0.40816326530612246</c:v>
                </c:pt>
                <c:pt idx="7">
                  <c:v>0.47787610619469029</c:v>
                </c:pt>
                <c:pt idx="8">
                  <c:v>0.08</c:v>
                </c:pt>
                <c:pt idx="9">
                  <c:v>0.37179487179487181</c:v>
                </c:pt>
                <c:pt idx="10">
                  <c:v>0.34031413612565448</c:v>
                </c:pt>
                <c:pt idx="11">
                  <c:v>0.33070866141732286</c:v>
                </c:pt>
                <c:pt idx="12">
                  <c:v>0.37988826815642457</c:v>
                </c:pt>
                <c:pt idx="13">
                  <c:v>#N/A</c:v>
                </c:pt>
                <c:pt idx="14">
                  <c:v>#N/A</c:v>
                </c:pt>
                <c:pt idx="15">
                  <c:v>0.37383177570093457</c:v>
                </c:pt>
                <c:pt idx="16">
                  <c:v>0.40229885057471265</c:v>
                </c:pt>
                <c:pt idx="17">
                  <c:v>0.37179487179487181</c:v>
                </c:pt>
              </c:numCache>
            </c:numRef>
          </c:val>
          <c:smooth val="1"/>
          <c:extLst>
            <c:ext xmlns:c16="http://schemas.microsoft.com/office/drawing/2014/chart" uri="{C3380CC4-5D6E-409C-BE32-E72D297353CC}">
              <c16:uniqueId val="{00000000-1ECC-4FF1-88B0-D590B70E9320}"/>
            </c:ext>
          </c:extLst>
        </c:ser>
        <c:ser>
          <c:idx val="1"/>
          <c:order val="1"/>
          <c:tx>
            <c:strRef>
              <c:f>Inpatient!$K$5</c:f>
              <c:strCache>
                <c:ptCount val="1"/>
                <c:pt idx="0">
                  <c:v> LAM+%</c:v>
                </c:pt>
              </c:strCache>
            </c:strRef>
          </c:tx>
          <c:spPr>
            <a:ln w="19050" cap="rnd">
              <a:solidFill>
                <a:srgbClr val="CAD62A"/>
              </a:solidFill>
              <a:round/>
            </a:ln>
            <a:effectLst>
              <a:outerShdw blurRad="57150" dist="19050" dir="5400000" algn="ctr" rotWithShape="0">
                <a:srgbClr val="000000">
                  <a:alpha val="63000"/>
                </a:srgbClr>
              </a:outerShdw>
            </a:effectLst>
          </c:spPr>
          <c:marker>
            <c:symbol val="circle"/>
            <c:size val="4"/>
            <c:spPr>
              <a:solidFill>
                <a:srgbClr val="CAD62A"/>
              </a:solidFill>
              <a:ln w="9525">
                <a:noFill/>
                <a:round/>
              </a:ln>
              <a:effectLst>
                <a:outerShdw blurRad="57150" dist="19050" dir="5400000" algn="ctr" rotWithShape="0">
                  <a:srgbClr val="000000">
                    <a:alpha val="63000"/>
                  </a:srgbClr>
                </a:outerShdw>
              </a:effectLst>
            </c:spPr>
          </c:marker>
          <c:dPt>
            <c:idx val="0"/>
            <c:marker>
              <c:symbol val="circle"/>
              <c:size val="4"/>
              <c:spPr>
                <a:solidFill>
                  <a:srgbClr val="CAD62A"/>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9-DE5C-4509-99EA-15939446A96F}"/>
              </c:ext>
            </c:extLst>
          </c:dPt>
          <c:dPt>
            <c:idx val="1"/>
            <c:marker>
              <c:symbol val="circle"/>
              <c:size val="4"/>
              <c:spPr>
                <a:solidFill>
                  <a:srgbClr val="CAD62A"/>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C-D1ED-4E6F-902A-BAF5D668509B}"/>
              </c:ext>
            </c:extLst>
          </c:dPt>
          <c:dPt>
            <c:idx val="2"/>
            <c:marker>
              <c:symbol val="circle"/>
              <c:size val="4"/>
              <c:spPr>
                <a:solidFill>
                  <a:srgbClr val="CAD62A"/>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3-E0E7-4099-92FB-6C570398D7E8}"/>
              </c:ext>
            </c:extLst>
          </c:dPt>
          <c:dPt>
            <c:idx val="3"/>
            <c:marker>
              <c:symbol val="circle"/>
              <c:size val="4"/>
              <c:spPr>
                <a:solidFill>
                  <a:srgbClr val="CAD62A"/>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A-EE14-4EB6-8962-A6B09559EAA9}"/>
              </c:ext>
            </c:extLst>
          </c:dPt>
          <c:dPt>
            <c:idx val="4"/>
            <c:marker>
              <c:symbol val="circle"/>
              <c:size val="4"/>
              <c:spPr>
                <a:solidFill>
                  <a:srgbClr val="CAD62A"/>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8-84E9-4C1C-9573-4831344CF148}"/>
              </c:ext>
            </c:extLst>
          </c:dPt>
          <c:dPt>
            <c:idx val="5"/>
            <c:marker>
              <c:symbol val="circle"/>
              <c:size val="4"/>
              <c:spPr>
                <a:solidFill>
                  <a:srgbClr val="CAD62A"/>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1-1ECC-4FF1-88B0-D590B70E9320}"/>
              </c:ext>
            </c:extLst>
          </c:dPt>
          <c:dPt>
            <c:idx val="6"/>
            <c:marker>
              <c:symbol val="circle"/>
              <c:size val="4"/>
              <c:spPr>
                <a:solidFill>
                  <a:srgbClr val="CAD62A"/>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F-EE14-4EB6-8962-A6B09559EAA9}"/>
              </c:ext>
            </c:extLst>
          </c:dPt>
          <c:dPt>
            <c:idx val="7"/>
            <c:marker>
              <c:symbol val="circle"/>
              <c:size val="4"/>
              <c:spPr>
                <a:solidFill>
                  <a:srgbClr val="CAD62A"/>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19-D30D-44D5-AF5E-816AAD769D22}"/>
              </c:ext>
            </c:extLst>
          </c:dPt>
          <c:dPt>
            <c:idx val="8"/>
            <c:marker>
              <c:symbol val="circle"/>
              <c:size val="4"/>
              <c:spPr>
                <a:solidFill>
                  <a:srgbClr val="CAD62A"/>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1A-D30D-44D5-AF5E-816AAD769D22}"/>
              </c:ext>
            </c:extLst>
          </c:dPt>
          <c:dPt>
            <c:idx val="9"/>
            <c:marker>
              <c:symbol val="circle"/>
              <c:size val="4"/>
              <c:spPr>
                <a:solidFill>
                  <a:srgbClr val="CAD62A"/>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1B-D30D-44D5-AF5E-816AAD769D22}"/>
              </c:ext>
            </c:extLst>
          </c:dPt>
          <c:dPt>
            <c:idx val="10"/>
            <c:marker>
              <c:symbol val="circle"/>
              <c:size val="4"/>
              <c:spPr>
                <a:solidFill>
                  <a:srgbClr val="CAD62A"/>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1C-D30D-44D5-AF5E-816AAD769D22}"/>
              </c:ext>
            </c:extLst>
          </c:dPt>
          <c:dPt>
            <c:idx val="11"/>
            <c:marker>
              <c:symbol val="circle"/>
              <c:size val="4"/>
              <c:spPr>
                <a:solidFill>
                  <a:srgbClr val="CAD62A"/>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1D-D30D-44D5-AF5E-816AAD769D22}"/>
              </c:ext>
            </c:extLst>
          </c:dPt>
          <c:dPt>
            <c:idx val="12"/>
            <c:marker>
              <c:symbol val="circle"/>
              <c:size val="4"/>
              <c:spPr>
                <a:solidFill>
                  <a:srgbClr val="CAD62A"/>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1F-D30D-44D5-AF5E-816AAD769D22}"/>
              </c:ext>
            </c:extLst>
          </c:dPt>
          <c:dPt>
            <c:idx val="13"/>
            <c:marker>
              <c:symbol val="circle"/>
              <c:size val="4"/>
              <c:spPr>
                <a:solidFill>
                  <a:srgbClr val="CAD62A"/>
                </a:solidFill>
                <a:ln w="9525">
                  <a:noFill/>
                  <a:round/>
                </a:ln>
                <a:effectLst>
                  <a:outerShdw blurRad="57150" dist="19050" dir="5400000" algn="ctr" rotWithShape="0">
                    <a:srgbClr val="000000">
                      <a:alpha val="63000"/>
                    </a:srgbClr>
                  </a:outerShdw>
                </a:effectLst>
              </c:spPr>
            </c:marker>
            <c:bubble3D val="0"/>
            <c:spPr>
              <a:ln w="19050" cap="rnd">
                <a:solidFill>
                  <a:srgbClr val="CAD62A"/>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D30D-44D5-AF5E-816AAD769D22}"/>
              </c:ext>
            </c:extLst>
          </c:dPt>
          <c:dPt>
            <c:idx val="14"/>
            <c:marker>
              <c:symbol val="circle"/>
              <c:size val="4"/>
              <c:spPr>
                <a:solidFill>
                  <a:srgbClr val="CAD62A"/>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23-D30D-44D5-AF5E-816AAD769D22}"/>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Inpatient!$I$6:$I$26</c:f>
              <c:multiLvlStrCache>
                <c:ptCount val="1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lvl>
                <c:lvl>
                  <c:pt idx="0">
                    <c:v>2024</c:v>
                  </c:pt>
                  <c:pt idx="12">
                    <c:v>2025</c:v>
                  </c:pt>
                </c:lvl>
              </c:multiLvlStrCache>
            </c:multiLvlStrRef>
          </c:cat>
          <c:val>
            <c:numRef>
              <c:f>Inpatient!$K$6:$K$26</c:f>
              <c:numCache>
                <c:formatCode>General</c:formatCode>
                <c:ptCount val="18"/>
                <c:pt idx="0">
                  <c:v>9.7560975609756101E-2</c:v>
                </c:pt>
                <c:pt idx="1">
                  <c:v>0.15384615384615385</c:v>
                </c:pt>
                <c:pt idx="2">
                  <c:v>0.11320754716981132</c:v>
                </c:pt>
                <c:pt idx="3">
                  <c:v>0</c:v>
                </c:pt>
                <c:pt idx="4">
                  <c:v>#N/A</c:v>
                </c:pt>
                <c:pt idx="5">
                  <c:v>#N/A</c:v>
                </c:pt>
                <c:pt idx="6">
                  <c:v>#N/A</c:v>
                </c:pt>
                <c:pt idx="7">
                  <c:v>0.25</c:v>
                </c:pt>
                <c:pt idx="8">
                  <c:v>0.23529411764705882</c:v>
                </c:pt>
                <c:pt idx="9">
                  <c:v>9.3023255813953487E-2</c:v>
                </c:pt>
                <c:pt idx="10">
                  <c:v>0.15254237288135594</c:v>
                </c:pt>
                <c:pt idx="11">
                  <c:v>0.27777777777777779</c:v>
                </c:pt>
                <c:pt idx="12">
                  <c:v>0.18518518518518517</c:v>
                </c:pt>
                <c:pt idx="13">
                  <c:v>#N/A</c:v>
                </c:pt>
                <c:pt idx="14">
                  <c:v>#N/A</c:v>
                </c:pt>
                <c:pt idx="15">
                  <c:v>0.25</c:v>
                </c:pt>
                <c:pt idx="16">
                  <c:v>9.0909090909090912E-2</c:v>
                </c:pt>
                <c:pt idx="17">
                  <c:v>0.23255813953488372</c:v>
                </c:pt>
              </c:numCache>
            </c:numRef>
          </c:val>
          <c:smooth val="1"/>
          <c:extLst>
            <c:ext xmlns:c16="http://schemas.microsoft.com/office/drawing/2014/chart" uri="{C3380CC4-5D6E-409C-BE32-E72D297353CC}">
              <c16:uniqueId val="{00000002-1ECC-4FF1-88B0-D590B70E9320}"/>
            </c:ext>
          </c:extLst>
        </c:ser>
        <c:ser>
          <c:idx val="2"/>
          <c:order val="2"/>
          <c:tx>
            <c:strRef>
              <c:f>Inpatient!$L$5</c:f>
              <c:strCache>
                <c:ptCount val="1"/>
                <c:pt idx="0">
                  <c:v> CrAg+%</c:v>
                </c:pt>
              </c:strCache>
            </c:strRef>
          </c:tx>
          <c:spPr>
            <a:ln w="19050" cap="rnd">
              <a:solidFill>
                <a:srgbClr val="6CAEA5"/>
              </a:solidFill>
              <a:round/>
            </a:ln>
            <a:effectLst>
              <a:outerShdw blurRad="57150" dist="19050" dir="5400000" algn="ctr" rotWithShape="0">
                <a:srgbClr val="000000">
                  <a:alpha val="63000"/>
                </a:srgbClr>
              </a:outerShdw>
            </a:effectLst>
          </c:spPr>
          <c:marker>
            <c:symbol val="circle"/>
            <c:size val="4"/>
            <c:spPr>
              <a:solidFill>
                <a:srgbClr val="6CAEA5"/>
              </a:solidFill>
              <a:ln w="9525">
                <a:noFill/>
                <a:round/>
              </a:ln>
              <a:effectLst>
                <a:outerShdw blurRad="57150" dist="19050" dir="5400000" algn="ctr" rotWithShape="0">
                  <a:srgbClr val="000000">
                    <a:alpha val="63000"/>
                  </a:srgbClr>
                </a:outerShdw>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Inpatient!$I$6:$I$26</c:f>
              <c:multiLvlStrCache>
                <c:ptCount val="1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lvl>
                <c:lvl>
                  <c:pt idx="0">
                    <c:v>2024</c:v>
                  </c:pt>
                  <c:pt idx="12">
                    <c:v>2025</c:v>
                  </c:pt>
                </c:lvl>
              </c:multiLvlStrCache>
            </c:multiLvlStrRef>
          </c:cat>
          <c:val>
            <c:numRef>
              <c:f>Inpatient!$L$6:$L$26</c:f>
              <c:numCache>
                <c:formatCode>General</c:formatCode>
                <c:ptCount val="18"/>
                <c:pt idx="0">
                  <c:v>2.0408163265306121E-2</c:v>
                </c:pt>
                <c:pt idx="1">
                  <c:v>2.8169014084507043E-2</c:v>
                </c:pt>
                <c:pt idx="2">
                  <c:v>7.0588235294117646E-2</c:v>
                </c:pt>
                <c:pt idx="3">
                  <c:v>6.25E-2</c:v>
                </c:pt>
                <c:pt idx="4">
                  <c:v>#N/A</c:v>
                </c:pt>
                <c:pt idx="5">
                  <c:v>#N/A</c:v>
                </c:pt>
                <c:pt idx="6">
                  <c:v>2.564102564102564E-2</c:v>
                </c:pt>
                <c:pt idx="7">
                  <c:v>6.8965517241379309E-2</c:v>
                </c:pt>
                <c:pt idx="8">
                  <c:v>0.375</c:v>
                </c:pt>
                <c:pt idx="9">
                  <c:v>0.1</c:v>
                </c:pt>
                <c:pt idx="10">
                  <c:v>#N/A</c:v>
                </c:pt>
                <c:pt idx="11">
                  <c:v>6.3829787234042548E-2</c:v>
                </c:pt>
                <c:pt idx="12">
                  <c:v>8.4507042253521125E-2</c:v>
                </c:pt>
                <c:pt idx="13">
                  <c:v>#N/A</c:v>
                </c:pt>
                <c:pt idx="14">
                  <c:v>#N/A</c:v>
                </c:pt>
                <c:pt idx="15">
                  <c:v>9.0909090909090912E-2</c:v>
                </c:pt>
                <c:pt idx="16">
                  <c:v>#N/A</c:v>
                </c:pt>
                <c:pt idx="17">
                  <c:v>3.2258064516129031E-2</c:v>
                </c:pt>
              </c:numCache>
            </c:numRef>
          </c:val>
          <c:smooth val="1"/>
          <c:extLst>
            <c:ext xmlns:c16="http://schemas.microsoft.com/office/drawing/2014/chart" uri="{C3380CC4-5D6E-409C-BE32-E72D297353CC}">
              <c16:uniqueId val="{00000003-1ECC-4FF1-88B0-D590B70E9320}"/>
            </c:ext>
          </c:extLst>
        </c:ser>
        <c:dLbls>
          <c:dLblPos val="t"/>
          <c:showLegendKey val="0"/>
          <c:showVal val="1"/>
          <c:showCatName val="0"/>
          <c:showSerName val="0"/>
          <c:showPercent val="0"/>
          <c:showBubbleSize val="0"/>
        </c:dLbls>
        <c:marker val="1"/>
        <c:smooth val="0"/>
        <c:axId val="1061181040"/>
        <c:axId val="1061182480"/>
      </c:lineChart>
      <c:catAx>
        <c:axId val="1061181040"/>
        <c:scaling>
          <c:orientation val="minMax"/>
        </c:scaling>
        <c:delete val="0"/>
        <c:axPos val="b"/>
        <c:title>
          <c:tx>
            <c:rich>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r>
                  <a:rPr lang="en-GB" b="0" u="none"/>
                  <a:t>Period</a:t>
                </a:r>
              </a:p>
            </c:rich>
          </c:tx>
          <c:layout>
            <c:manualLayout>
              <c:xMode val="edge"/>
              <c:yMode val="edge"/>
              <c:x val="0.51394763177480252"/>
              <c:y val="0.90388031525144963"/>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2"/>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61182480"/>
        <c:crosses val="autoZero"/>
        <c:auto val="1"/>
        <c:lblAlgn val="ctr"/>
        <c:lblOffset val="100"/>
        <c:noMultiLvlLbl val="0"/>
      </c:catAx>
      <c:valAx>
        <c:axId val="1061182480"/>
        <c:scaling>
          <c:orientation val="minMax"/>
          <c:max val="1"/>
          <c:min val="0"/>
        </c:scaling>
        <c:delete val="0"/>
        <c:axPos val="l"/>
        <c:title>
          <c:tx>
            <c:rich>
              <a:bodyPr rot="-54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r>
                  <a:rPr lang="en-GB"/>
                  <a:t>proporton of ROC with AHD</a:t>
                </a:r>
              </a:p>
            </c:rich>
          </c:tx>
          <c:layout>
            <c:manualLayout>
              <c:xMode val="edge"/>
              <c:yMode val="edge"/>
              <c:x val="1.8247774301445779E-2"/>
              <c:y val="0.38631190356285167"/>
            </c:manualLayout>
          </c:layout>
          <c:overlay val="0"/>
          <c:spPr>
            <a:noFill/>
            <a:ln w="6350">
              <a:noFill/>
            </a:ln>
            <a:effectLst/>
          </c:spPr>
          <c:txPr>
            <a:bodyPr rot="-54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itle>
        <c:numFmt formatCode="0%" sourceLinked="0"/>
        <c:majorTickMark val="none"/>
        <c:minorTickMark val="none"/>
        <c:tickLblPos val="nextTo"/>
        <c:spPr>
          <a:noFill/>
          <a:ln>
            <a:solidFill>
              <a:schemeClr val="tx2"/>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61181040"/>
        <c:crosses val="autoZero"/>
        <c:crossBetween val="between"/>
      </c:valAx>
      <c:spPr>
        <a:noFill/>
        <a:ln>
          <a:noFill/>
        </a:ln>
        <a:effectLst/>
      </c:spPr>
    </c:plotArea>
    <c:legend>
      <c:legendPos val="r"/>
      <c:layout>
        <c:manualLayout>
          <c:xMode val="edge"/>
          <c:yMode val="edge"/>
          <c:x val="0.15521042495619217"/>
          <c:y val="0.9403744492046916"/>
          <c:w val="0.7041295086564634"/>
          <c:h val="5.3198252883228013E-2"/>
        </c:manualLayout>
      </c:layout>
      <c:overlay val="0"/>
      <c:spPr>
        <a:noFill/>
        <a:ln w="6350">
          <a:solidFill>
            <a:schemeClr val="accent5">
              <a:lumMod val="60000"/>
              <a:lumOff val="40000"/>
            </a:schemeClr>
          </a:solid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lumMod val="20000"/>
          <a:lumOff val="80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[AHD_Reporting_Form.xlsx]HVL!PivotTable1</c:name>
    <c:fmtId val="18"/>
  </c:pivotSource>
  <c:chart>
    <c:title>
      <c:tx>
        <c:rich>
          <a:bodyPr rot="0" spcFirstLastPara="1" vertOverflow="ellipsis" vert="horz" wrap="square" anchor="ctr" anchorCtr="1"/>
          <a:lstStyle/>
          <a:p>
            <a:pPr>
              <a:defRPr sz="1200" b="1" i="0" u="sng" strike="noStrike" kern="1200" baseline="0">
                <a:solidFill>
                  <a:sysClr val="windowText" lastClr="000000"/>
                </a:solidFill>
                <a:latin typeface="+mn-lt"/>
                <a:ea typeface="+mn-ea"/>
                <a:cs typeface="+mn-cs"/>
              </a:defRPr>
            </a:pPr>
            <a:r>
              <a:rPr lang="en-GB" sz="1200" u="sng"/>
              <a:t>AHD screening among ROC identified with unsuppressed VL</a:t>
            </a:r>
          </a:p>
        </c:rich>
      </c:tx>
      <c:overlay val="0"/>
      <c:spPr>
        <a:noFill/>
        <a:ln>
          <a:noFill/>
        </a:ln>
        <a:effectLst/>
      </c:spPr>
      <c:txPr>
        <a:bodyPr rot="0" spcFirstLastPara="1" vertOverflow="ellipsis" vert="horz" wrap="square" anchor="ctr" anchorCtr="1"/>
        <a:lstStyle/>
        <a:p>
          <a:pPr>
            <a:defRPr sz="1200" b="1" i="0" u="sng" strike="noStrike" kern="1200" baseline="0">
              <a:solidFill>
                <a:sysClr val="windowText" lastClr="000000"/>
              </a:solidFill>
              <a:latin typeface="+mn-lt"/>
              <a:ea typeface="+mn-ea"/>
              <a:cs typeface="+mn-cs"/>
            </a:defRPr>
          </a:pPr>
          <a:endParaRPr lang="en-US"/>
        </a:p>
      </c:txPr>
    </c:title>
    <c:autoTitleDeleted val="0"/>
    <c:pivotFmts>
      <c:pivotFmt>
        <c:idx val="0"/>
        <c:spPr>
          <a:solidFill>
            <a:schemeClr val="accent2"/>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alpha val="88000"/>
            </a:scheme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alpha val="84000"/>
            </a:srgb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D80A0359-4340-464C-97BF-50043DB18A22}" type="CELLRANGE">
                  <a:rPr lang="en-US"/>
                  <a:pPr>
                    <a:defRPr sz="900" b="0" i="0" u="none" strike="noStrike" kern="1200" baseline="0">
                      <a:solidFill>
                        <a:sysClr val="windowText" lastClr="000000"/>
                      </a:solidFill>
                      <a:latin typeface="+mn-lt"/>
                      <a:ea typeface="+mn-ea"/>
                      <a:cs typeface="+mn-cs"/>
                    </a:defRPr>
                  </a:pPr>
                  <a:t>[CELLRANGE]</a:t>
                </a:fld>
                <a:r>
                  <a:rPr lang="en-US" baseline="0"/>
                  <a:t>, </a:t>
                </a:r>
                <a:fld id="{619AE429-5DC9-4CD0-95CD-5E4572E53792}" type="VALUE">
                  <a:rPr lang="en-US" baseline="0"/>
                  <a:pPr>
                    <a:defRPr sz="900" b="0" i="0" u="none" strike="noStrike" kern="1200" baseline="0">
                      <a:solidFill>
                        <a:sysClr val="windowText" lastClr="000000"/>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pivotFmt>
      <c:pivotFmt>
        <c:idx val="9"/>
        <c:dLbl>
          <c:idx val="0"/>
          <c:tx>
            <c:rich>
              <a:bodyPr/>
              <a:lstStyle/>
              <a:p>
                <a:fld id="{38B64FBF-4335-4EAD-B861-26F6E525AC74}" type="CELLRANGE">
                  <a:rPr lang="en-US"/>
                  <a:pPr/>
                  <a:t>[CELLRANGE]</a:t>
                </a:fld>
                <a:r>
                  <a:rPr lang="en-US" baseline="0"/>
                  <a:t>, </a:t>
                </a:r>
                <a:fld id="{D6C7321C-6E0F-4D2E-8B46-F65C3D7A4003}"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dLbl>
          <c:idx val="0"/>
          <c:tx>
            <c:rich>
              <a:bodyPr/>
              <a:lstStyle/>
              <a:p>
                <a:fld id="{8C44B063-F912-4FC5-A6C3-78054BAA1475}" type="CELLRANGE">
                  <a:rPr lang="en-US"/>
                  <a:pPr/>
                  <a:t>[CELLRANGE]</a:t>
                </a:fld>
                <a:r>
                  <a:rPr lang="en-US" baseline="0"/>
                  <a:t>, </a:t>
                </a:r>
                <a:fld id="{70B358C0-DB55-4F7E-A4CF-8DEB0B8DBBA3}"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dLbl>
          <c:idx val="0"/>
          <c:tx>
            <c:rich>
              <a:bodyPr/>
              <a:lstStyle/>
              <a:p>
                <a:fld id="{F1E15D6C-0C92-4F9E-8CBC-D5B2D9BC2075}" type="CELLRANGE">
                  <a:rPr lang="en-US"/>
                  <a:pPr/>
                  <a:t>[CELLRANGE]</a:t>
                </a:fld>
                <a:r>
                  <a:rPr lang="en-US" baseline="0"/>
                  <a:t>, </a:t>
                </a:r>
                <a:fld id="{CD39BF99-5182-4B7E-AEC5-5FB76F9FE533}"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2"/>
        <c:dLbl>
          <c:idx val="0"/>
          <c:tx>
            <c:rich>
              <a:bodyPr/>
              <a:lstStyle/>
              <a:p>
                <a:fld id="{AADAE8A4-138F-410E-9AB9-60EEC0EAE95C}" type="CELLRANGE">
                  <a:rPr lang="en-US"/>
                  <a:pPr/>
                  <a:t>[CELLRANGE]</a:t>
                </a:fld>
                <a:r>
                  <a:rPr lang="en-US" baseline="0"/>
                  <a:t>, </a:t>
                </a:r>
                <a:fld id="{200D7C23-70DD-4AC4-951B-7904139BAA90}"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3"/>
        <c:dLbl>
          <c:idx val="0"/>
          <c:tx>
            <c:rich>
              <a:bodyPr/>
              <a:lstStyle/>
              <a:p>
                <a:fld id="{EBB42741-FBB1-42C9-8CA9-7DC956E899D1}" type="CELLRANGE">
                  <a:rPr lang="en-US"/>
                  <a:pPr/>
                  <a:t>[CELLRANGE]</a:t>
                </a:fld>
                <a:r>
                  <a:rPr lang="en-US" baseline="0"/>
                  <a:t>, </a:t>
                </a:r>
                <a:fld id="{300B405C-545E-4C3B-9B9C-A09D74648588}"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4"/>
        <c:dLbl>
          <c:idx val="0"/>
          <c:tx>
            <c:rich>
              <a:bodyPr/>
              <a:lstStyle/>
              <a:p>
                <a:fld id="{5ACDCCC9-477B-4D80-84D3-265AA1551F99}" type="CELLRANGE">
                  <a:rPr lang="en-US"/>
                  <a:pPr/>
                  <a:t>[CELLRANGE]</a:t>
                </a:fld>
                <a:r>
                  <a:rPr lang="en-US" baseline="0"/>
                  <a:t>, </a:t>
                </a:r>
                <a:fld id="{EBF96CAC-98C3-4753-841D-F0B5B77629A4}"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
        <c:dLbl>
          <c:idx val="0"/>
          <c:tx>
            <c:rich>
              <a:bodyPr/>
              <a:lstStyle/>
              <a:p>
                <a:fld id="{85641F05-FEC1-4650-8FDD-8843A09484ED}" type="CELLRANGE">
                  <a:rPr lang="en-US"/>
                  <a:pPr/>
                  <a:t>[CELLRANGE]</a:t>
                </a:fld>
                <a:r>
                  <a:rPr lang="en-US" baseline="0"/>
                  <a:t>, </a:t>
                </a:r>
                <a:fld id="{A601C9D9-40B0-4DB3-A221-74FC1FEA479F}"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7"/>
        <c:dLbl>
          <c:idx val="0"/>
          <c:tx>
            <c:rich>
              <a:bodyPr/>
              <a:lstStyle/>
              <a:p>
                <a:fld id="{FF4EBAB4-9208-426C-A2C0-06A9B7A20937}" type="CELLRANGE">
                  <a:rPr lang="en-US"/>
                  <a:pPr/>
                  <a:t>[CELLRANGE]</a:t>
                </a:fld>
                <a:r>
                  <a:rPr lang="en-US" baseline="0"/>
                  <a:t>, </a:t>
                </a:r>
                <a:fld id="{DF0E314E-1845-4B08-9E93-FA96B8217187}"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8"/>
        <c:dLbl>
          <c:idx val="0"/>
          <c:tx>
            <c:rich>
              <a:bodyPr/>
              <a:lstStyle/>
              <a:p>
                <a:fld id="{DD926363-9992-4DFE-80C3-994ABB41FDA7}" type="CELLRANGE">
                  <a:rPr lang="en-US"/>
                  <a:pPr/>
                  <a:t>[CELLRANGE]</a:t>
                </a:fld>
                <a:r>
                  <a:rPr lang="en-US" baseline="0"/>
                  <a:t>, </a:t>
                </a:r>
                <a:fld id="{C6BB680B-7623-4EA3-B83B-2011C5679ED2}"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9"/>
        <c:dLbl>
          <c:idx val="0"/>
          <c:tx>
            <c:rich>
              <a:bodyPr/>
              <a:lstStyle/>
              <a:p>
                <a:fld id="{50D0BCCD-DA80-4AEC-ADFD-7478183D354A}" type="CELLRANGE">
                  <a:rPr lang="en-US"/>
                  <a:pPr/>
                  <a:t>[CELLRANGE]</a:t>
                </a:fld>
                <a:r>
                  <a:rPr lang="en-US" baseline="0"/>
                  <a:t>, </a:t>
                </a:r>
                <a:fld id="{EE890978-0538-4AD0-BE1B-680453DC062D}"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0"/>
        <c:dLbl>
          <c:idx val="0"/>
          <c:tx>
            <c:rich>
              <a:bodyPr/>
              <a:lstStyle/>
              <a:p>
                <a:fld id="{7D984C0A-AF2C-4FAD-9538-9CE56ED5F567}" type="CELLRANGE">
                  <a:rPr lang="en-US"/>
                  <a:pPr/>
                  <a:t>[CELLRANGE]</a:t>
                </a:fld>
                <a:r>
                  <a:rPr lang="en-US" baseline="0"/>
                  <a:t>, </a:t>
                </a:r>
                <a:fld id="{9F5C0507-D70F-477A-95F2-C63830573DD7}"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1"/>
        <c:dLbl>
          <c:idx val="0"/>
          <c:tx>
            <c:rich>
              <a:bodyPr/>
              <a:lstStyle/>
              <a:p>
                <a:fld id="{CF4FB6D9-9767-42D1-B639-24FD87FBFE31}" type="CELLRANGE">
                  <a:rPr lang="en-US"/>
                  <a:pPr/>
                  <a:t>[CELLRANGE]</a:t>
                </a:fld>
                <a:r>
                  <a:rPr lang="en-US" baseline="0"/>
                  <a:t>, </a:t>
                </a:r>
                <a:fld id="{91BB9253-F401-4063-A925-95408FA77268}"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2"/>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4731A5D9-539A-4F7D-A744-CF24B4E851B3}" type="CELLRANGE">
                  <a:rPr lang="en-US"/>
                  <a:pPr>
                    <a:defRPr sz="900" b="0" i="0" u="none" strike="noStrike" kern="1200" baseline="0">
                      <a:solidFill>
                        <a:sysClr val="windowText" lastClr="000000"/>
                      </a:solidFill>
                      <a:latin typeface="+mn-lt"/>
                      <a:ea typeface="+mn-ea"/>
                      <a:cs typeface="+mn-cs"/>
                    </a:defRPr>
                  </a:pPr>
                  <a:t>[CELLRANGE]</a:t>
                </a:fld>
                <a:r>
                  <a:rPr lang="en-US" baseline="0"/>
                  <a:t>, </a:t>
                </a:r>
                <a:fld id="{B03745B5-70AB-4486-8B6A-5E28FBF5B9A6}" type="VALUE">
                  <a:rPr lang="en-US" baseline="0"/>
                  <a:pPr>
                    <a:defRPr sz="900" b="0" i="0" u="none" strike="noStrike" kern="1200" baseline="0">
                      <a:solidFill>
                        <a:sysClr val="windowText" lastClr="000000"/>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3"/>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C9006498-42A4-45CE-BCE8-EC546067215F}" type="CELLRANGE">
                  <a:rPr lang="en-US"/>
                  <a:pPr>
                    <a:defRPr sz="900" b="0" i="0" u="none" strike="noStrike" kern="1200" baseline="0">
                      <a:solidFill>
                        <a:sysClr val="windowText" lastClr="000000"/>
                      </a:solidFill>
                      <a:latin typeface="+mn-lt"/>
                      <a:ea typeface="+mn-ea"/>
                      <a:cs typeface="+mn-cs"/>
                    </a:defRPr>
                  </a:pPr>
                  <a:t>[CELLRANGE]</a:t>
                </a:fld>
                <a:r>
                  <a:rPr lang="en-US" baseline="0"/>
                  <a:t>, </a:t>
                </a:r>
                <a:fld id="{13415703-C5CA-4787-8825-FCBD5C55B0DC}" type="VALUE">
                  <a:rPr lang="en-US" baseline="0"/>
                  <a:pPr>
                    <a:defRPr sz="900" b="0" i="0" u="none" strike="noStrike" kern="1200" baseline="0">
                      <a:solidFill>
                        <a:sysClr val="windowText" lastClr="000000"/>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4"/>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E39C17C5-A6DE-465E-BA2E-A0457662CE4F}" type="CELLRANGE">
                  <a:rPr lang="en-US"/>
                  <a:pPr>
                    <a:defRPr sz="900" b="0" i="0" u="none" strike="noStrike" kern="1200" baseline="0">
                      <a:solidFill>
                        <a:sysClr val="windowText" lastClr="000000"/>
                      </a:solidFill>
                      <a:latin typeface="+mn-lt"/>
                      <a:ea typeface="+mn-ea"/>
                      <a:cs typeface="+mn-cs"/>
                    </a:defRPr>
                  </a:pPr>
                  <a:t>[CELLRANGE]</a:t>
                </a:fld>
                <a:r>
                  <a:rPr lang="en-US" baseline="0"/>
                  <a:t>, </a:t>
                </a:r>
                <a:fld id="{D26FCEF1-5A34-41A0-B6CD-F3663AD6D4C1}" type="VALUE">
                  <a:rPr lang="en-US" baseline="0"/>
                  <a:pPr>
                    <a:defRPr sz="900" b="0" i="0" u="none" strike="noStrike" kern="1200" baseline="0">
                      <a:solidFill>
                        <a:sysClr val="windowText" lastClr="000000"/>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5"/>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183C6365-A22B-4AE8-B76B-F63703475BFE}" type="CELLRANGE">
                  <a:rPr lang="en-US"/>
                  <a:pPr>
                    <a:defRPr sz="900" b="0" i="0" u="none" strike="noStrike" kern="1200" baseline="0">
                      <a:solidFill>
                        <a:sysClr val="windowText" lastClr="000000"/>
                      </a:solidFill>
                      <a:latin typeface="+mn-lt"/>
                      <a:ea typeface="+mn-ea"/>
                      <a:cs typeface="+mn-cs"/>
                    </a:defRPr>
                  </a:pPr>
                  <a:t>[CELLRANGE]</a:t>
                </a:fld>
                <a:r>
                  <a:rPr lang="en-US" baseline="0"/>
                  <a:t>, </a:t>
                </a:r>
                <a:fld id="{2F81CAD8-CC36-4E7F-B6DF-B7DA1E4CEDA1}" type="VALUE">
                  <a:rPr lang="en-US" baseline="0"/>
                  <a:pPr>
                    <a:defRPr sz="900" b="0" i="0" u="none" strike="noStrike" kern="1200" baseline="0">
                      <a:solidFill>
                        <a:sysClr val="windowText" lastClr="000000"/>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6"/>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847F4BA0-4AA9-499D-BA2A-3AAAC0496E86}" type="CELLRANGE">
                  <a:rPr lang="en-US"/>
                  <a:pPr>
                    <a:defRPr sz="900" b="0" i="0" u="none" strike="noStrike" kern="1200" baseline="0">
                      <a:solidFill>
                        <a:sysClr val="windowText" lastClr="000000"/>
                      </a:solidFill>
                      <a:latin typeface="+mn-lt"/>
                      <a:ea typeface="+mn-ea"/>
                      <a:cs typeface="+mn-cs"/>
                    </a:defRPr>
                  </a:pPr>
                  <a:t>[CELLRANGE]</a:t>
                </a:fld>
                <a:r>
                  <a:rPr lang="en-US" baseline="0"/>
                  <a:t>, </a:t>
                </a:r>
                <a:fld id="{3D14E329-43B4-454C-B933-1CE45CA6E605}" type="VALUE">
                  <a:rPr lang="en-US" baseline="0"/>
                  <a:pPr>
                    <a:defRPr sz="900" b="0" i="0" u="none" strike="noStrike" kern="1200" baseline="0">
                      <a:solidFill>
                        <a:sysClr val="windowText" lastClr="000000"/>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7"/>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5589FF5D-4B2A-47E1-8019-27F023C54ACE}" type="CELLRANGE">
                  <a:rPr lang="en-US"/>
                  <a:pPr>
                    <a:defRPr sz="900" b="0" i="0" u="none" strike="noStrike" kern="1200" baseline="0">
                      <a:solidFill>
                        <a:sysClr val="windowText" lastClr="000000"/>
                      </a:solidFill>
                      <a:latin typeface="+mn-lt"/>
                      <a:ea typeface="+mn-ea"/>
                      <a:cs typeface="+mn-cs"/>
                    </a:defRPr>
                  </a:pPr>
                  <a:t>[CELLRANGE]</a:t>
                </a:fld>
                <a:r>
                  <a:rPr lang="en-US" baseline="0"/>
                  <a:t>, </a:t>
                </a:r>
                <a:fld id="{0AFB73F6-2AF1-48C0-8CBA-C2B6AFAFD8A1}" type="VALUE">
                  <a:rPr lang="en-US" baseline="0"/>
                  <a:pPr>
                    <a:defRPr sz="900" b="0" i="0" u="none" strike="noStrike" kern="1200" baseline="0">
                      <a:solidFill>
                        <a:sysClr val="windowText" lastClr="000000"/>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8"/>
        <c:dLbl>
          <c:idx val="0"/>
          <c:layout>
            <c:manualLayout>
              <c:x val="-1.3084725270352189E-2"/>
              <c:y val="-3.711340206185567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9"/>
        <c:dLbl>
          <c:idx val="0"/>
          <c:layout>
            <c:manualLayout>
              <c:x val="-2.2894524616056434E-2"/>
              <c:y val="-2.472187886279359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0"/>
        <c:dLbl>
          <c:idx val="0"/>
          <c:layout>
            <c:manualLayout>
              <c:x val="-1.7988555055472866E-2"/>
              <c:y val="-2.060156571899464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1"/>
        <c:dLbl>
          <c:idx val="0"/>
          <c:layout>
            <c:manualLayout>
              <c:x val="-1.3082585494889358E-2"/>
              <c:y val="-2.88421920065925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2"/>
        <c:dLbl>
          <c:idx val="0"/>
          <c:layout>
            <c:manualLayout>
              <c:x val="-1.6353231868611758E-2"/>
              <c:y val="-3.2962505150391445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3"/>
        <c:dLbl>
          <c:idx val="0"/>
          <c:layout>
            <c:manualLayout>
              <c:x val="-2.1259201429195206E-2"/>
              <c:y val="-2.472187886279359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1.9623878242334036E-2"/>
              <c:y val="-1.8541409147095178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EF9B2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rgbClr val="E6D800">
              <a:alpha val="93000"/>
            </a:srgbClr>
          </a:solidFill>
          <a:ln>
            <a:noFill/>
          </a:ln>
          <a:effectLst>
            <a:outerShdw blurRad="57150" dist="19050" dir="5400000" algn="ctr" rotWithShape="0">
              <a:srgbClr val="000000">
                <a:alpha val="63000"/>
              </a:srgbClr>
            </a:outerShdw>
          </a:effectLst>
        </c:spPr>
        <c:marker>
          <c:symbol val="none"/>
        </c:marker>
        <c:dLbl>
          <c:idx val="0"/>
          <c:spPr>
            <a:solidFill>
              <a:srgbClr val="FFFF00"/>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rgbClr val="1A53FF">
              <a:alpha val="87451"/>
            </a:srgbClr>
          </a:solidFill>
          <a:ln>
            <a:noFill/>
          </a:ln>
          <a:effectLst>
            <a:outerShdw blurRad="57150" dist="19050" dir="5400000" algn="ctr" rotWithShape="0">
              <a:srgbClr val="000000">
                <a:alpha val="63000"/>
              </a:srgbClr>
            </a:outerShdw>
          </a:effectLst>
        </c:spPr>
        <c:marker>
          <c:symbol val="none"/>
        </c:marker>
        <c:dLbl>
          <c:idx val="0"/>
          <c:spPr>
            <a:solidFill>
              <a:schemeClr val="accent1">
                <a:lumMod val="60000"/>
                <a:lumOff val="4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5875" cap="rnd">
            <a:solidFill>
              <a:srgbClr val="99600B"/>
            </a:solidFill>
            <a:round/>
          </a:ln>
          <a:effectLst>
            <a:outerShdw blurRad="57150" dist="19050" dir="5400000" algn="ctr" rotWithShape="0">
              <a:srgbClr val="000000">
                <a:alpha val="63000"/>
              </a:srgbClr>
            </a:outerShdw>
          </a:effectLst>
        </c:spPr>
        <c:marker>
          <c:symbol val="circle"/>
          <c:size val="6"/>
          <c:spPr>
            <a:solidFill>
              <a:srgbClr val="99600B"/>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1A53FF">
              <a:alpha val="95000"/>
            </a:srgbClr>
          </a:solidFill>
          <a:ln>
            <a:noFill/>
          </a:ln>
          <a:effectLst>
            <a:outerShdw blurRad="57150" dist="19050" dir="5400000" algn="ctr" rotWithShape="0">
              <a:srgbClr val="000000">
                <a:alpha val="63000"/>
              </a:srgbClr>
            </a:outerShdw>
          </a:effectLst>
        </c:spPr>
      </c:pivotFmt>
      <c:pivotFmt>
        <c:idx val="40"/>
        <c:spPr>
          <a:solidFill>
            <a:srgbClr val="449BCC"/>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rgbClr val="AF1FC7">
              <a:alpha val="92941"/>
            </a:srgbClr>
          </a:solidFill>
          <a:ln>
            <a:noFill/>
          </a:ln>
          <a:effectLst>
            <a:outerShdw blurRad="57150" dist="19050" dir="5400000" algn="ctr" rotWithShape="0">
              <a:srgbClr val="000000">
                <a:alpha val="63000"/>
              </a:srgbClr>
            </a:outerShdw>
          </a:effectLst>
        </c:spPr>
        <c:marker>
          <c:symbol val="none"/>
        </c:marker>
        <c:dLbl>
          <c:idx val="0"/>
          <c:spPr>
            <a:solidFill>
              <a:srgbClr val="EAAEC9"/>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rgbClr val="6CAEA5">
              <a:alpha val="87451"/>
            </a:srgbClr>
          </a:solidFill>
          <a:ln>
            <a:noFill/>
          </a:ln>
          <a:effectLst>
            <a:outerShdw blurRad="57150" dist="19050" dir="5400000" algn="ctr" rotWithShape="0">
              <a:srgbClr val="000000">
                <a:alpha val="63000"/>
              </a:srgbClr>
            </a:outerShdw>
          </a:effectLst>
        </c:spPr>
        <c:marker>
          <c:symbol val="none"/>
        </c:marker>
        <c:dLbl>
          <c:idx val="0"/>
          <c:spPr>
            <a:solidFill>
              <a:schemeClr val="accent1">
                <a:lumMod val="40000"/>
                <a:lumOff val="6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3"/>
        <c:spPr>
          <a:ln w="15875" cap="rnd">
            <a:solidFill>
              <a:srgbClr val="449BCC"/>
            </a:solidFill>
            <a:round/>
          </a:ln>
          <a:effectLst>
            <a:outerShdw blurRad="57150" dist="19050" dir="5400000" algn="ctr" rotWithShape="0">
              <a:srgbClr val="000000">
                <a:alpha val="63000"/>
              </a:srgbClr>
            </a:outerShdw>
          </a:effectLst>
        </c:spPr>
        <c:marker>
          <c:symbol val="circle"/>
          <c:size val="6"/>
          <c:spPr>
            <a:solidFill>
              <a:srgbClr val="449BCC"/>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449BCC"/>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AF1FC7">
              <a:alpha val="92941"/>
            </a:srgbClr>
          </a:solidFill>
          <a:ln>
            <a:noFill/>
          </a:ln>
          <a:effectLst>
            <a:outerShdw blurRad="57150" dist="19050" dir="5400000" algn="ctr" rotWithShape="0">
              <a:srgbClr val="000000">
                <a:alpha val="63000"/>
              </a:srgbClr>
            </a:outerShdw>
          </a:effectLst>
        </c:spPr>
        <c:marker>
          <c:symbol val="none"/>
        </c:marker>
        <c:dLbl>
          <c:idx val="0"/>
          <c:spPr>
            <a:solidFill>
              <a:srgbClr val="EAAEC9"/>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6CAEA5">
              <a:alpha val="87451"/>
            </a:srgbClr>
          </a:solidFill>
          <a:ln>
            <a:noFill/>
          </a:ln>
          <a:effectLst>
            <a:outerShdw blurRad="57150" dist="19050" dir="5400000" algn="ctr" rotWithShape="0">
              <a:srgbClr val="000000">
                <a:alpha val="63000"/>
              </a:srgbClr>
            </a:outerShdw>
          </a:effectLst>
        </c:spPr>
        <c:marker>
          <c:symbol val="none"/>
        </c:marker>
        <c:dLbl>
          <c:idx val="0"/>
          <c:spPr>
            <a:solidFill>
              <a:schemeClr val="accent1">
                <a:lumMod val="40000"/>
                <a:lumOff val="6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5875" cap="rnd">
            <a:solidFill>
              <a:srgbClr val="449BCC"/>
            </a:solidFill>
            <a:round/>
          </a:ln>
          <a:effectLst>
            <a:outerShdw blurRad="57150" dist="19050" dir="5400000" algn="ctr" rotWithShape="0">
              <a:srgbClr val="000000">
                <a:alpha val="63000"/>
              </a:srgbClr>
            </a:outerShdw>
          </a:effectLst>
        </c:spPr>
        <c:marker>
          <c:symbol val="circle"/>
          <c:size val="6"/>
          <c:spPr>
            <a:solidFill>
              <a:srgbClr val="449BCC"/>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52854536938493"/>
          <c:y val="0.14022027097359099"/>
          <c:w val="0.8155304435040529"/>
          <c:h val="0.57478457083177259"/>
        </c:manualLayout>
      </c:layout>
      <c:barChart>
        <c:barDir val="col"/>
        <c:grouping val="clustered"/>
        <c:varyColors val="0"/>
        <c:ser>
          <c:idx val="0"/>
          <c:order val="0"/>
          <c:tx>
            <c:strRef>
              <c:f>HVL!$B$5</c:f>
              <c:strCache>
                <c:ptCount val="1"/>
                <c:pt idx="0">
                  <c:v> CD4_tests</c:v>
                </c:pt>
              </c:strCache>
            </c:strRef>
          </c:tx>
          <c:spPr>
            <a:solidFill>
              <a:srgbClr val="449BCC"/>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HVL!$A$6:$A$42</c:f>
              <c:multiLvlStrCache>
                <c:ptCount val="17"/>
                <c:lvl>
                  <c:pt idx="0">
                    <c:v>103</c:v>
                  </c:pt>
                  <c:pt idx="1">
                    <c:v>95</c:v>
                  </c:pt>
                  <c:pt idx="2">
                    <c:v>97</c:v>
                  </c:pt>
                  <c:pt idx="3">
                    <c:v>102</c:v>
                  </c:pt>
                  <c:pt idx="4">
                    <c:v>98</c:v>
                  </c:pt>
                  <c:pt idx="5">
                    <c:v>123</c:v>
                  </c:pt>
                  <c:pt idx="6">
                    <c:v>148</c:v>
                  </c:pt>
                  <c:pt idx="7">
                    <c:v>82</c:v>
                  </c:pt>
                  <c:pt idx="8">
                    <c:v>91</c:v>
                  </c:pt>
                  <c:pt idx="9">
                    <c:v>87</c:v>
                  </c:pt>
                  <c:pt idx="10">
                    <c:v>84</c:v>
                  </c:pt>
                  <c:pt idx="11">
                    <c:v>74</c:v>
                  </c:pt>
                  <c:pt idx="12">
                    <c:v>95</c:v>
                  </c:pt>
                  <c:pt idx="13">
                    <c:v>32</c:v>
                  </c:pt>
                  <c:pt idx="14">
                    <c:v>49</c:v>
                  </c:pt>
                  <c:pt idx="15">
                    <c:v>94</c:v>
                  </c:pt>
                  <c:pt idx="16">
                    <c:v>88</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2024</c:v>
                  </c:pt>
                  <c:pt idx="12">
                    <c:v>2025</c:v>
                  </c:pt>
                </c:lvl>
              </c:multiLvlStrCache>
            </c:multiLvlStrRef>
          </c:cat>
          <c:val>
            <c:numRef>
              <c:f>HVL!$B$6:$B$42</c:f>
              <c:numCache>
                <c:formatCode>General</c:formatCode>
                <c:ptCount val="17"/>
                <c:pt idx="0">
                  <c:v>102</c:v>
                </c:pt>
                <c:pt idx="1">
                  <c:v>95</c:v>
                </c:pt>
                <c:pt idx="2">
                  <c:v>97</c:v>
                </c:pt>
                <c:pt idx="3">
                  <c:v>92</c:v>
                </c:pt>
                <c:pt idx="4">
                  <c:v>96</c:v>
                </c:pt>
                <c:pt idx="5">
                  <c:v>122</c:v>
                </c:pt>
                <c:pt idx="6">
                  <c:v>128</c:v>
                </c:pt>
                <c:pt idx="7">
                  <c:v>81</c:v>
                </c:pt>
                <c:pt idx="8">
                  <c:v>91</c:v>
                </c:pt>
                <c:pt idx="9">
                  <c:v>83</c:v>
                </c:pt>
                <c:pt idx="10">
                  <c:v>81</c:v>
                </c:pt>
                <c:pt idx="11">
                  <c:v>74</c:v>
                </c:pt>
                <c:pt idx="12">
                  <c:v>92</c:v>
                </c:pt>
                <c:pt idx="13">
                  <c:v>32</c:v>
                </c:pt>
                <c:pt idx="14">
                  <c:v>48</c:v>
                </c:pt>
                <c:pt idx="15">
                  <c:v>68</c:v>
                </c:pt>
                <c:pt idx="16">
                  <c:v>71</c:v>
                </c:pt>
              </c:numCache>
            </c:numRef>
          </c:val>
          <c:extLst>
            <c:ext xmlns:c16="http://schemas.microsoft.com/office/drawing/2014/chart" uri="{C3380CC4-5D6E-409C-BE32-E72D297353CC}">
              <c16:uniqueId val="{00000000-4364-4312-B443-B9C1BB5BA144}"/>
            </c:ext>
          </c:extLst>
        </c:ser>
        <c:ser>
          <c:idx val="1"/>
          <c:order val="1"/>
          <c:tx>
            <c:strRef>
              <c:f>HVL!$C$5</c:f>
              <c:strCache>
                <c:ptCount val="1"/>
                <c:pt idx="0">
                  <c:v> LAM_tests</c:v>
                </c:pt>
              </c:strCache>
            </c:strRef>
          </c:tx>
          <c:spPr>
            <a:solidFill>
              <a:srgbClr val="AF1FC7">
                <a:alpha val="92941"/>
              </a:srgbClr>
            </a:solidFill>
            <a:ln>
              <a:noFill/>
            </a:ln>
            <a:effectLst>
              <a:outerShdw blurRad="57150" dist="19050" dir="5400000" algn="ctr" rotWithShape="0">
                <a:srgbClr val="000000">
                  <a:alpha val="63000"/>
                </a:srgbClr>
              </a:outerShdw>
            </a:effectLst>
          </c:spPr>
          <c:invertIfNegative val="0"/>
          <c:dLbls>
            <c:spPr>
              <a:solidFill>
                <a:srgbClr val="EAAEC9"/>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HVL!$A$6:$A$42</c:f>
              <c:multiLvlStrCache>
                <c:ptCount val="17"/>
                <c:lvl>
                  <c:pt idx="0">
                    <c:v>103</c:v>
                  </c:pt>
                  <c:pt idx="1">
                    <c:v>95</c:v>
                  </c:pt>
                  <c:pt idx="2">
                    <c:v>97</c:v>
                  </c:pt>
                  <c:pt idx="3">
                    <c:v>102</c:v>
                  </c:pt>
                  <c:pt idx="4">
                    <c:v>98</c:v>
                  </c:pt>
                  <c:pt idx="5">
                    <c:v>123</c:v>
                  </c:pt>
                  <c:pt idx="6">
                    <c:v>148</c:v>
                  </c:pt>
                  <c:pt idx="7">
                    <c:v>82</c:v>
                  </c:pt>
                  <c:pt idx="8">
                    <c:v>91</c:v>
                  </c:pt>
                  <c:pt idx="9">
                    <c:v>87</c:v>
                  </c:pt>
                  <c:pt idx="10">
                    <c:v>84</c:v>
                  </c:pt>
                  <c:pt idx="11">
                    <c:v>74</c:v>
                  </c:pt>
                  <c:pt idx="12">
                    <c:v>95</c:v>
                  </c:pt>
                  <c:pt idx="13">
                    <c:v>32</c:v>
                  </c:pt>
                  <c:pt idx="14">
                    <c:v>49</c:v>
                  </c:pt>
                  <c:pt idx="15">
                    <c:v>94</c:v>
                  </c:pt>
                  <c:pt idx="16">
                    <c:v>88</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2024</c:v>
                  </c:pt>
                  <c:pt idx="12">
                    <c:v>2025</c:v>
                  </c:pt>
                </c:lvl>
              </c:multiLvlStrCache>
            </c:multiLvlStrRef>
          </c:cat>
          <c:val>
            <c:numRef>
              <c:f>HVL!$C$6:$C$42</c:f>
              <c:numCache>
                <c:formatCode>General</c:formatCode>
                <c:ptCount val="17"/>
                <c:pt idx="0">
                  <c:v>34</c:v>
                </c:pt>
                <c:pt idx="1">
                  <c:v>22</c:v>
                </c:pt>
                <c:pt idx="2">
                  <c:v>22</c:v>
                </c:pt>
                <c:pt idx="3">
                  <c:v>20</c:v>
                </c:pt>
                <c:pt idx="4">
                  <c:v>0</c:v>
                </c:pt>
                <c:pt idx="5">
                  <c:v>0</c:v>
                </c:pt>
                <c:pt idx="6">
                  <c:v>0</c:v>
                </c:pt>
                <c:pt idx="7">
                  <c:v>7</c:v>
                </c:pt>
                <c:pt idx="8">
                  <c:v>19</c:v>
                </c:pt>
                <c:pt idx="9">
                  <c:v>20</c:v>
                </c:pt>
                <c:pt idx="10">
                  <c:v>24</c:v>
                </c:pt>
                <c:pt idx="11">
                  <c:v>23</c:v>
                </c:pt>
                <c:pt idx="12">
                  <c:v>35</c:v>
                </c:pt>
                <c:pt idx="13">
                  <c:v>10</c:v>
                </c:pt>
                <c:pt idx="14">
                  <c:v>13</c:v>
                </c:pt>
                <c:pt idx="15">
                  <c:v>16</c:v>
                </c:pt>
                <c:pt idx="16">
                  <c:v>23</c:v>
                </c:pt>
              </c:numCache>
            </c:numRef>
          </c:val>
          <c:extLst>
            <c:ext xmlns:c16="http://schemas.microsoft.com/office/drawing/2014/chart" uri="{C3380CC4-5D6E-409C-BE32-E72D297353CC}">
              <c16:uniqueId val="{00000001-4364-4312-B443-B9C1BB5BA144}"/>
            </c:ext>
          </c:extLst>
        </c:ser>
        <c:ser>
          <c:idx val="2"/>
          <c:order val="2"/>
          <c:tx>
            <c:strRef>
              <c:f>HVL!$D$5</c:f>
              <c:strCache>
                <c:ptCount val="1"/>
                <c:pt idx="0">
                  <c:v>CrAg-tests</c:v>
                </c:pt>
              </c:strCache>
            </c:strRef>
          </c:tx>
          <c:spPr>
            <a:solidFill>
              <a:srgbClr val="6CAEA5">
                <a:alpha val="87451"/>
              </a:srgbClr>
            </a:solidFill>
            <a:ln>
              <a:noFill/>
            </a:ln>
            <a:effectLst>
              <a:outerShdw blurRad="57150" dist="19050" dir="5400000" algn="ctr" rotWithShape="0">
                <a:srgbClr val="000000">
                  <a:alpha val="63000"/>
                </a:srgbClr>
              </a:outerShdw>
            </a:effectLst>
          </c:spPr>
          <c:invertIfNegative val="0"/>
          <c:dLbls>
            <c:spPr>
              <a:solidFill>
                <a:schemeClr val="accent1">
                  <a:lumMod val="40000"/>
                  <a:lumOff val="60000"/>
                </a:schemeClr>
              </a:solidFill>
              <a:ln>
                <a:noFill/>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HVL!$A$6:$A$42</c:f>
              <c:multiLvlStrCache>
                <c:ptCount val="17"/>
                <c:lvl>
                  <c:pt idx="0">
                    <c:v>103</c:v>
                  </c:pt>
                  <c:pt idx="1">
                    <c:v>95</c:v>
                  </c:pt>
                  <c:pt idx="2">
                    <c:v>97</c:v>
                  </c:pt>
                  <c:pt idx="3">
                    <c:v>102</c:v>
                  </c:pt>
                  <c:pt idx="4">
                    <c:v>98</c:v>
                  </c:pt>
                  <c:pt idx="5">
                    <c:v>123</c:v>
                  </c:pt>
                  <c:pt idx="6">
                    <c:v>148</c:v>
                  </c:pt>
                  <c:pt idx="7">
                    <c:v>82</c:v>
                  </c:pt>
                  <c:pt idx="8">
                    <c:v>91</c:v>
                  </c:pt>
                  <c:pt idx="9">
                    <c:v>87</c:v>
                  </c:pt>
                  <c:pt idx="10">
                    <c:v>84</c:v>
                  </c:pt>
                  <c:pt idx="11">
                    <c:v>74</c:v>
                  </c:pt>
                  <c:pt idx="12">
                    <c:v>95</c:v>
                  </c:pt>
                  <c:pt idx="13">
                    <c:v>32</c:v>
                  </c:pt>
                  <c:pt idx="14">
                    <c:v>49</c:v>
                  </c:pt>
                  <c:pt idx="15">
                    <c:v>94</c:v>
                  </c:pt>
                  <c:pt idx="16">
                    <c:v>88</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2024</c:v>
                  </c:pt>
                  <c:pt idx="12">
                    <c:v>2025</c:v>
                  </c:pt>
                </c:lvl>
              </c:multiLvlStrCache>
            </c:multiLvlStrRef>
          </c:cat>
          <c:val>
            <c:numRef>
              <c:f>HVL!$D$6:$D$42</c:f>
              <c:numCache>
                <c:formatCode>General</c:formatCode>
                <c:ptCount val="17"/>
                <c:pt idx="0">
                  <c:v>34</c:v>
                </c:pt>
                <c:pt idx="1">
                  <c:v>23</c:v>
                </c:pt>
                <c:pt idx="2">
                  <c:v>23</c:v>
                </c:pt>
                <c:pt idx="3">
                  <c:v>20</c:v>
                </c:pt>
                <c:pt idx="4">
                  <c:v>29</c:v>
                </c:pt>
                <c:pt idx="5">
                  <c:v>32</c:v>
                </c:pt>
                <c:pt idx="6">
                  <c:v>41</c:v>
                </c:pt>
                <c:pt idx="7">
                  <c:v>18</c:v>
                </c:pt>
                <c:pt idx="8">
                  <c:v>19</c:v>
                </c:pt>
                <c:pt idx="9">
                  <c:v>24</c:v>
                </c:pt>
                <c:pt idx="10">
                  <c:v>26</c:v>
                </c:pt>
                <c:pt idx="11">
                  <c:v>23</c:v>
                </c:pt>
                <c:pt idx="12">
                  <c:v>37</c:v>
                </c:pt>
                <c:pt idx="13">
                  <c:v>10</c:v>
                </c:pt>
                <c:pt idx="14">
                  <c:v>13</c:v>
                </c:pt>
                <c:pt idx="15">
                  <c:v>20</c:v>
                </c:pt>
                <c:pt idx="16">
                  <c:v>22</c:v>
                </c:pt>
              </c:numCache>
            </c:numRef>
          </c:val>
          <c:extLst>
            <c:ext xmlns:c16="http://schemas.microsoft.com/office/drawing/2014/chart" uri="{C3380CC4-5D6E-409C-BE32-E72D297353CC}">
              <c16:uniqueId val="{00000002-4364-4312-B443-B9C1BB5BA144}"/>
            </c:ext>
          </c:extLst>
        </c:ser>
        <c:dLbls>
          <c:showLegendKey val="0"/>
          <c:showVal val="0"/>
          <c:showCatName val="0"/>
          <c:showSerName val="0"/>
          <c:showPercent val="0"/>
          <c:showBubbleSize val="0"/>
        </c:dLbls>
        <c:gapWidth val="100"/>
        <c:overlap val="44"/>
        <c:axId val="939995816"/>
        <c:axId val="939997976"/>
      </c:barChart>
      <c:lineChart>
        <c:grouping val="standard"/>
        <c:varyColors val="0"/>
        <c:ser>
          <c:idx val="3"/>
          <c:order val="3"/>
          <c:tx>
            <c:strRef>
              <c:f>HVL!$E$5</c:f>
              <c:strCache>
                <c:ptCount val="1"/>
                <c:pt idx="0">
                  <c:v> AHD_screening_cov%</c:v>
                </c:pt>
              </c:strCache>
            </c:strRef>
          </c:tx>
          <c:spPr>
            <a:ln w="15875" cap="rnd">
              <a:solidFill>
                <a:srgbClr val="449BCC"/>
              </a:solidFill>
              <a:round/>
            </a:ln>
            <a:effectLst>
              <a:outerShdw blurRad="57150" dist="19050" dir="5400000" algn="ctr" rotWithShape="0">
                <a:srgbClr val="000000">
                  <a:alpha val="63000"/>
                </a:srgbClr>
              </a:outerShdw>
            </a:effectLst>
          </c:spPr>
          <c:marker>
            <c:symbol val="circle"/>
            <c:size val="6"/>
            <c:spPr>
              <a:solidFill>
                <a:srgbClr val="449BCC"/>
              </a:solidFill>
              <a:ln w="9525">
                <a:no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HVL!$A$6:$A$42</c:f>
              <c:multiLvlStrCache>
                <c:ptCount val="17"/>
                <c:lvl>
                  <c:pt idx="0">
                    <c:v>103</c:v>
                  </c:pt>
                  <c:pt idx="1">
                    <c:v>95</c:v>
                  </c:pt>
                  <c:pt idx="2">
                    <c:v>97</c:v>
                  </c:pt>
                  <c:pt idx="3">
                    <c:v>102</c:v>
                  </c:pt>
                  <c:pt idx="4">
                    <c:v>98</c:v>
                  </c:pt>
                  <c:pt idx="5">
                    <c:v>123</c:v>
                  </c:pt>
                  <c:pt idx="6">
                    <c:v>148</c:v>
                  </c:pt>
                  <c:pt idx="7">
                    <c:v>82</c:v>
                  </c:pt>
                  <c:pt idx="8">
                    <c:v>91</c:v>
                  </c:pt>
                  <c:pt idx="9">
                    <c:v>87</c:v>
                  </c:pt>
                  <c:pt idx="10">
                    <c:v>84</c:v>
                  </c:pt>
                  <c:pt idx="11">
                    <c:v>74</c:v>
                  </c:pt>
                  <c:pt idx="12">
                    <c:v>95</c:v>
                  </c:pt>
                  <c:pt idx="13">
                    <c:v>32</c:v>
                  </c:pt>
                  <c:pt idx="14">
                    <c:v>49</c:v>
                  </c:pt>
                  <c:pt idx="15">
                    <c:v>94</c:v>
                  </c:pt>
                  <c:pt idx="16">
                    <c:v>88</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2024</c:v>
                  </c:pt>
                  <c:pt idx="12">
                    <c:v>2025</c:v>
                  </c:pt>
                </c:lvl>
              </c:multiLvlStrCache>
            </c:multiLvlStrRef>
          </c:cat>
          <c:val>
            <c:numRef>
              <c:f>HVL!$E$6:$E$42</c:f>
              <c:numCache>
                <c:formatCode>0%</c:formatCode>
                <c:ptCount val="17"/>
                <c:pt idx="0">
                  <c:v>0.99029126213592233</c:v>
                </c:pt>
                <c:pt idx="1">
                  <c:v>1</c:v>
                </c:pt>
                <c:pt idx="2">
                  <c:v>1</c:v>
                </c:pt>
                <c:pt idx="3">
                  <c:v>0.90196078431372551</c:v>
                </c:pt>
                <c:pt idx="4">
                  <c:v>0.97959183673469385</c:v>
                </c:pt>
                <c:pt idx="5">
                  <c:v>0.99186991869918695</c:v>
                </c:pt>
                <c:pt idx="6">
                  <c:v>0.86486486486486491</c:v>
                </c:pt>
                <c:pt idx="7">
                  <c:v>0.98780487804878048</c:v>
                </c:pt>
                <c:pt idx="8">
                  <c:v>1</c:v>
                </c:pt>
                <c:pt idx="9">
                  <c:v>0.95402298850574707</c:v>
                </c:pt>
                <c:pt idx="10">
                  <c:v>0.9642857142857143</c:v>
                </c:pt>
                <c:pt idx="11">
                  <c:v>1</c:v>
                </c:pt>
                <c:pt idx="12">
                  <c:v>0.96842105263157896</c:v>
                </c:pt>
                <c:pt idx="13">
                  <c:v>1</c:v>
                </c:pt>
                <c:pt idx="14">
                  <c:v>0.97959183673469385</c:v>
                </c:pt>
                <c:pt idx="15">
                  <c:v>0.72340425531914898</c:v>
                </c:pt>
                <c:pt idx="16">
                  <c:v>0.80681818181818177</c:v>
                </c:pt>
              </c:numCache>
            </c:numRef>
          </c:val>
          <c:smooth val="1"/>
          <c:extLst>
            <c:ext xmlns:c16="http://schemas.microsoft.com/office/drawing/2014/chart" uri="{C3380CC4-5D6E-409C-BE32-E72D297353CC}">
              <c16:uniqueId val="{00000003-4364-4312-B443-B9C1BB5BA144}"/>
            </c:ext>
          </c:extLst>
        </c:ser>
        <c:dLbls>
          <c:showLegendKey val="0"/>
          <c:showVal val="0"/>
          <c:showCatName val="0"/>
          <c:showSerName val="0"/>
          <c:showPercent val="0"/>
          <c:showBubbleSize val="0"/>
        </c:dLbls>
        <c:marker val="1"/>
        <c:smooth val="0"/>
        <c:axId val="1224139760"/>
        <c:axId val="1224135080"/>
      </c:lineChart>
      <c:catAx>
        <c:axId val="939995816"/>
        <c:scaling>
          <c:orientation val="minMax"/>
        </c:scaling>
        <c:delete val="0"/>
        <c:axPos val="b"/>
        <c:title>
          <c:tx>
            <c:rich>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r>
                  <a:rPr lang="en-US"/>
                  <a:t>Number of HVL</a:t>
                </a:r>
                <a:r>
                  <a:rPr lang="en-US" baseline="0"/>
                  <a:t> ROC seen</a:t>
                </a:r>
                <a:r>
                  <a:rPr lang="en-US"/>
                  <a:t> per period</a:t>
                </a:r>
              </a:p>
            </c:rich>
          </c:tx>
          <c:layout>
            <c:manualLayout>
              <c:xMode val="edge"/>
              <c:yMode val="edge"/>
              <c:x val="0.39144070801218556"/>
              <c:y val="0.8819936180985225"/>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accent1">
                <a:lumMod val="50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939997976"/>
        <c:crosses val="autoZero"/>
        <c:auto val="1"/>
        <c:lblAlgn val="ctr"/>
        <c:lblOffset val="100"/>
        <c:noMultiLvlLbl val="0"/>
      </c:catAx>
      <c:valAx>
        <c:axId val="939997976"/>
        <c:scaling>
          <c:orientation val="minMax"/>
        </c:scaling>
        <c:delete val="0"/>
        <c:axPos val="l"/>
        <c:title>
          <c:tx>
            <c:rich>
              <a:bodyPr rot="-54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r>
                  <a:rPr lang="en-US"/>
                  <a:t>Number of ROC with HVL screened</a:t>
                </a:r>
              </a:p>
            </c:rich>
          </c:tx>
          <c:layout>
            <c:manualLayout>
              <c:xMode val="edge"/>
              <c:yMode val="edge"/>
              <c:x val="1.3452530477973255E-2"/>
              <c:y val="0.35510004187773037"/>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solidFill>
              <a:schemeClr val="accent1">
                <a:lumMod val="50000"/>
              </a:schemeClr>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939995816"/>
        <c:crosses val="autoZero"/>
        <c:crossBetween val="between"/>
      </c:valAx>
      <c:valAx>
        <c:axId val="1224135080"/>
        <c:scaling>
          <c:orientation val="minMax"/>
          <c:max val="1"/>
          <c:min val="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24139760"/>
        <c:crosses val="max"/>
        <c:crossBetween val="between"/>
      </c:valAx>
      <c:catAx>
        <c:axId val="1224139760"/>
        <c:scaling>
          <c:orientation val="minMax"/>
        </c:scaling>
        <c:delete val="1"/>
        <c:axPos val="b"/>
        <c:numFmt formatCode="General" sourceLinked="1"/>
        <c:majorTickMark val="out"/>
        <c:minorTickMark val="none"/>
        <c:tickLblPos val="nextTo"/>
        <c:crossAx val="1224135080"/>
        <c:crosses val="autoZero"/>
        <c:auto val="1"/>
        <c:lblAlgn val="ctr"/>
        <c:lblOffset val="100"/>
        <c:noMultiLvlLbl val="0"/>
      </c:catAx>
      <c:spPr>
        <a:noFill/>
        <a:ln>
          <a:noFill/>
        </a:ln>
        <a:effectLst/>
      </c:spPr>
    </c:plotArea>
    <c:legend>
      <c:legendPos val="r"/>
      <c:layout>
        <c:manualLayout>
          <c:xMode val="edge"/>
          <c:yMode val="edge"/>
          <c:x val="0.13985142251870933"/>
          <c:y val="0.92313864042643623"/>
          <c:w val="0.7146788690248671"/>
          <c:h val="7.6579246111048646E-2"/>
        </c:manualLayout>
      </c:layout>
      <c:overlay val="0"/>
      <c:spPr>
        <a:noFill/>
        <a:ln w="6350">
          <a:solidFill>
            <a:schemeClr val="accent5">
              <a:lumMod val="40000"/>
              <a:lumOff val="60000"/>
            </a:schemeClr>
          </a:solid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lumMod val="60000"/>
          <a:lumOff val="40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[AHD_Reporting_Form.xlsx]HVL!PivotTable2</c:name>
    <c:fmtId val="20"/>
  </c:pivotSource>
  <c:chart>
    <c:title>
      <c:tx>
        <c:rich>
          <a:bodyPr rot="0" spcFirstLastPara="1" vertOverflow="ellipsis" vert="horz" wrap="square" anchor="ctr" anchorCtr="1"/>
          <a:lstStyle/>
          <a:p>
            <a:pPr>
              <a:defRPr sz="1400" b="1" i="0" u="sng" strike="noStrike" kern="1200" baseline="0">
                <a:solidFill>
                  <a:sysClr val="windowText" lastClr="000000"/>
                </a:solidFill>
                <a:latin typeface="+mn-lt"/>
                <a:ea typeface="+mn-ea"/>
                <a:cs typeface="+mn-cs"/>
              </a:defRPr>
            </a:pPr>
            <a:r>
              <a:rPr lang="en-GB" sz="1400" u="sng"/>
              <a:t>AHD Yield among ROC identified with unsuppressed VL</a:t>
            </a:r>
          </a:p>
        </c:rich>
      </c:tx>
      <c:layout>
        <c:manualLayout>
          <c:xMode val="edge"/>
          <c:yMode val="edge"/>
          <c:x val="0.16191758112589666"/>
          <c:y val="3.208634678218731E-2"/>
        </c:manualLayout>
      </c:layout>
      <c:overlay val="0"/>
      <c:spPr>
        <a:noFill/>
        <a:ln>
          <a:noFill/>
        </a:ln>
        <a:effectLst/>
      </c:spPr>
      <c:txPr>
        <a:bodyPr rot="0" spcFirstLastPara="1" vertOverflow="ellipsis" vert="horz" wrap="square" anchor="ctr" anchorCtr="1"/>
        <a:lstStyle/>
        <a:p>
          <a:pPr>
            <a:defRPr sz="1400" b="1" i="0" u="sng" strike="noStrike" kern="1200" baseline="0">
              <a:solidFill>
                <a:sysClr val="windowText" lastClr="000000"/>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2"/>
            </a:solidFill>
            <a:round/>
          </a:ln>
          <a:effectLst>
            <a:outerShdw blurRad="57150" dist="19050" dir="5400000" algn="ctr" rotWithShape="0">
              <a:srgbClr val="000000">
                <a:alpha val="63000"/>
              </a:srgbClr>
            </a:outerShdw>
          </a:effectLst>
        </c:spPr>
        <c:marker>
          <c:symbol val="circle"/>
          <c:size val="4"/>
          <c:spPr>
            <a:solidFill>
              <a:schemeClr val="accent2"/>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5"/>
            </a:solidFill>
            <a:round/>
          </a:ln>
          <a:effectLst>
            <a:outerShdw blurRad="57150" dist="19050" dir="5400000" algn="ctr" rotWithShape="0">
              <a:srgbClr val="000000">
                <a:alpha val="63000"/>
              </a:srgbClr>
            </a:outerShdw>
          </a:effectLst>
        </c:spPr>
        <c:marker>
          <c:symbol val="circle"/>
          <c:size val="4"/>
          <c:spPr>
            <a:solidFill>
              <a:schemeClr val="accent5"/>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dLbl>
          <c:idx val="0"/>
          <c:layout>
            <c:manualLayout>
              <c:x val="-3.6779396559352875E-2"/>
              <c:y val="3.23599931903843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F9B20"/>
            </a:solidFill>
            <a:round/>
          </a:ln>
          <a:effectLst>
            <a:outerShdw blurRad="57150" dist="19050" dir="5400000" algn="ctr" rotWithShape="0">
              <a:srgbClr val="000000">
                <a:alpha val="63000"/>
              </a:srgbClr>
            </a:outerShdw>
          </a:effectLst>
        </c:spPr>
        <c:marker>
          <c:symbol val="circle"/>
          <c:size val="4"/>
          <c:spPr>
            <a:solidFill>
              <a:srgbClr val="EF9B20"/>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dLbl>
          <c:idx val="0"/>
          <c:layout>
            <c:manualLayout>
              <c:x val="-3.6779396559352875E-2"/>
              <c:y val="3.2359993190384365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1A53FF"/>
            </a:solidFill>
            <a:round/>
          </a:ln>
          <a:effectLst>
            <a:outerShdw blurRad="57150" dist="19050" dir="5400000" algn="ctr" rotWithShape="0">
              <a:srgbClr val="000000">
                <a:alpha val="63000"/>
              </a:srgbClr>
            </a:outerShdw>
          </a:effectLst>
        </c:spPr>
        <c:marker>
          <c:symbol val="circle"/>
          <c:size val="4"/>
          <c:spPr>
            <a:solidFill>
              <a:srgbClr val="1A53FF"/>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19050" cap="rnd">
            <a:solidFill>
              <a:srgbClr val="449BCC"/>
            </a:solidFill>
            <a:round/>
          </a:ln>
          <a:effectLst>
            <a:outerShdw blurRad="57150" dist="19050" dir="5400000" algn="ctr" rotWithShape="0">
              <a:srgbClr val="000000">
                <a:alpha val="63000"/>
              </a:srgbClr>
            </a:outerShdw>
          </a:effectLst>
        </c:spPr>
        <c:marker>
          <c:symbol val="circle"/>
          <c:size val="4"/>
          <c:spPr>
            <a:solidFill>
              <a:srgbClr val="449BCC"/>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ln w="19050" cap="rnd">
            <a:solidFill>
              <a:srgbClr val="AF1FC7"/>
            </a:solidFill>
            <a:round/>
          </a:ln>
          <a:effectLst>
            <a:outerShdw blurRad="57150" dist="19050" dir="5400000" algn="ctr" rotWithShape="0">
              <a:srgbClr val="000000">
                <a:alpha val="63000"/>
              </a:srgbClr>
            </a:outerShdw>
          </a:effectLst>
        </c:spPr>
        <c:marker>
          <c:symbol val="circle"/>
          <c:size val="4"/>
          <c:spPr>
            <a:solidFill>
              <a:srgbClr val="AF1FC7"/>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AF1FC7"/>
            </a:solidFill>
            <a:round/>
          </a:ln>
          <a:effectLst>
            <a:outerShdw blurRad="57150" dist="19050" dir="5400000" algn="ctr" rotWithShape="0">
              <a:srgbClr val="000000">
                <a:alpha val="63000"/>
              </a:srgbClr>
            </a:outerShdw>
          </a:effectLst>
        </c:spPr>
        <c:marker>
          <c:symbol val="circle"/>
          <c:size val="4"/>
          <c:spPr>
            <a:solidFill>
              <a:srgbClr val="AF1FC7"/>
            </a:solidFill>
            <a:ln w="9525">
              <a:noFill/>
              <a:round/>
            </a:ln>
            <a:effectLst>
              <a:outerShdw blurRad="57150" dist="19050" dir="5400000" algn="ctr" rotWithShape="0">
                <a:srgbClr val="000000">
                  <a:alpha val="63000"/>
                </a:srgbClr>
              </a:outerShdw>
            </a:effectLst>
          </c:spPr>
        </c:marker>
        <c:dLbl>
          <c:idx val="0"/>
          <c:layout>
            <c:manualLayout>
              <c:x val="-3.6779396559352875E-2"/>
              <c:y val="3.2359993190384365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19050" cap="rnd">
            <a:solidFill>
              <a:srgbClr val="6CAEA5"/>
            </a:solidFill>
            <a:round/>
          </a:ln>
          <a:effectLst>
            <a:outerShdw blurRad="57150" dist="19050" dir="5400000" algn="ctr" rotWithShape="0">
              <a:srgbClr val="000000">
                <a:alpha val="63000"/>
              </a:srgbClr>
            </a:outerShdw>
          </a:effectLst>
        </c:spPr>
        <c:marker>
          <c:symbol val="circle"/>
          <c:size val="4"/>
          <c:spPr>
            <a:solidFill>
              <a:srgbClr val="6CAEA5"/>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AF1FC7"/>
            </a:solidFill>
            <a:round/>
          </a:ln>
          <a:effectLst>
            <a:outerShdw blurRad="57150" dist="19050" dir="5400000" algn="ctr" rotWithShape="0">
              <a:srgbClr val="000000">
                <a:alpha val="63000"/>
              </a:srgbClr>
            </a:outerShdw>
          </a:effectLst>
        </c:spPr>
        <c:marker>
          <c:symbol val="circle"/>
          <c:size val="4"/>
          <c:spPr>
            <a:solidFill>
              <a:srgbClr val="AF1FC7"/>
            </a:solidFill>
            <a:ln w="9525">
              <a:noFill/>
              <a:round/>
            </a:ln>
            <a:effectLst>
              <a:outerShdw blurRad="57150" dist="19050" dir="5400000" algn="ctr" rotWithShape="0">
                <a:srgbClr val="000000">
                  <a:alpha val="63000"/>
                </a:srgbClr>
              </a:outerShdw>
            </a:effectLst>
          </c:spPr>
        </c:marke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AF1FC7"/>
            </a:solidFill>
            <a:round/>
          </a:ln>
          <a:effectLst>
            <a:outerShdw blurRad="57150" dist="19050" dir="5400000" algn="ctr" rotWithShape="0">
              <a:srgbClr val="000000">
                <a:alpha val="63000"/>
              </a:srgbClr>
            </a:outerShdw>
          </a:effectLst>
        </c:spPr>
        <c:marker>
          <c:symbol val="circle"/>
          <c:size val="4"/>
          <c:spPr>
            <a:solidFill>
              <a:srgbClr val="AF1FC7"/>
            </a:solidFill>
            <a:ln w="9525">
              <a:noFill/>
              <a:round/>
            </a:ln>
            <a:effectLst>
              <a:outerShdw blurRad="57150" dist="19050" dir="5400000" algn="ctr" rotWithShape="0">
                <a:srgbClr val="000000">
                  <a:alpha val="63000"/>
                </a:srgbClr>
              </a:outerShdw>
            </a:effectLst>
          </c:spPr>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AF1FC7"/>
            </a:solidFill>
            <a:round/>
          </a:ln>
          <a:effectLst>
            <a:outerShdw blurRad="57150" dist="19050" dir="5400000" algn="ctr" rotWithShape="0">
              <a:srgbClr val="000000">
                <a:alpha val="63000"/>
              </a:srgbClr>
            </a:outerShdw>
          </a:effectLst>
        </c:spPr>
        <c:marker>
          <c:symbol val="circle"/>
          <c:size val="4"/>
          <c:spPr>
            <a:solidFill>
              <a:srgbClr val="AF1FC7"/>
            </a:solidFill>
            <a:ln w="9525">
              <a:noFill/>
              <a:round/>
            </a:ln>
            <a:effectLst>
              <a:outerShdw blurRad="57150" dist="19050" dir="5400000" algn="ctr" rotWithShape="0">
                <a:srgbClr val="000000">
                  <a:alpha val="63000"/>
                </a:srgbClr>
              </a:outerShdw>
            </a:effectLst>
          </c:spPr>
        </c:marker>
        <c:dLbl>
          <c:idx val="0"/>
          <c:layout>
            <c:manualLayout>
              <c:x val="4.9739537324830795E-2"/>
              <c:y val="-2.2218006540072138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AF1FC7"/>
            </a:solidFill>
            <a:round/>
          </a:ln>
          <a:effectLst>
            <a:outerShdw blurRad="57150" dist="19050" dir="5400000" algn="ctr" rotWithShape="0">
              <a:srgbClr val="000000">
                <a:alpha val="63000"/>
              </a:srgbClr>
            </a:outerShdw>
          </a:effectLst>
        </c:spPr>
        <c:marker>
          <c:symbol val="circle"/>
          <c:size val="4"/>
          <c:spPr>
            <a:solidFill>
              <a:srgbClr val="AF1FC7"/>
            </a:solidFill>
            <a:ln w="9525">
              <a:noFill/>
              <a:round/>
            </a:ln>
            <a:effectLst>
              <a:outerShdw blurRad="57150" dist="19050" dir="5400000" algn="ctr" rotWithShape="0">
                <a:srgbClr val="000000">
                  <a:alpha val="63000"/>
                </a:srgbClr>
              </a:outerShdw>
            </a:effectLst>
          </c:spPr>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AF1FC7"/>
            </a:solidFill>
            <a:round/>
          </a:ln>
          <a:effectLst>
            <a:outerShdw blurRad="57150" dist="19050" dir="5400000" algn="ctr" rotWithShape="0">
              <a:srgbClr val="000000">
                <a:alpha val="63000"/>
              </a:srgbClr>
            </a:outerShdw>
          </a:effectLst>
        </c:spPr>
        <c:marker>
          <c:symbol val="circle"/>
          <c:size val="4"/>
          <c:spPr>
            <a:solidFill>
              <a:srgbClr val="AF1FC7"/>
            </a:solidFill>
            <a:ln w="9525">
              <a:noFill/>
              <a:round/>
            </a:ln>
            <a:effectLst>
              <a:outerShdw blurRad="57150" dist="19050" dir="5400000" algn="ctr" rotWithShape="0">
                <a:srgbClr val="000000">
                  <a:alpha val="63000"/>
                </a:srgbClr>
              </a:outerShdw>
            </a:effectLst>
          </c:spPr>
        </c:marke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AF1FC7"/>
            </a:solidFill>
            <a:round/>
          </a:ln>
          <a:effectLst>
            <a:outerShdw blurRad="57150" dist="19050" dir="5400000" algn="ctr" rotWithShape="0">
              <a:srgbClr val="000000">
                <a:alpha val="63000"/>
              </a:srgbClr>
            </a:outerShdw>
          </a:effectLst>
        </c:spPr>
        <c:marker>
          <c:symbol val="circle"/>
          <c:size val="4"/>
          <c:spPr>
            <a:solidFill>
              <a:srgbClr val="AF1FC7"/>
            </a:solidFill>
            <a:ln w="9525">
              <a:noFill/>
              <a:round/>
            </a:ln>
            <a:effectLst>
              <a:outerShdw blurRad="57150" dist="19050" dir="5400000" algn="ctr" rotWithShape="0">
                <a:srgbClr val="000000">
                  <a:alpha val="63000"/>
                </a:srgbClr>
              </a:outerShdw>
            </a:effectLst>
          </c:spPr>
        </c:marke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AF1FC7"/>
            </a:solidFill>
            <a:round/>
          </a:ln>
          <a:effectLst>
            <a:outerShdw blurRad="57150" dist="19050" dir="5400000" algn="ctr" rotWithShape="0">
              <a:srgbClr val="000000">
                <a:alpha val="63000"/>
              </a:srgbClr>
            </a:outerShdw>
          </a:effectLst>
        </c:spPr>
        <c:marker>
          <c:symbol val="circle"/>
          <c:size val="4"/>
          <c:spPr>
            <a:solidFill>
              <a:srgbClr val="AF1FC7"/>
            </a:solidFill>
            <a:ln w="9525">
              <a:noFill/>
              <a:round/>
            </a:ln>
            <a:effectLst>
              <a:outerShdw blurRad="57150" dist="19050" dir="5400000" algn="ctr" rotWithShape="0">
                <a:srgbClr val="000000">
                  <a:alpha val="63000"/>
                </a:srgbClr>
              </a:outerShdw>
            </a:effectLst>
          </c:spPr>
        </c:marke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449BCC"/>
            </a:solidFill>
            <a:round/>
          </a:ln>
          <a:effectLst>
            <a:outerShdw blurRad="57150" dist="19050" dir="5400000" algn="ctr" rotWithShape="0">
              <a:srgbClr val="000000">
                <a:alpha val="63000"/>
              </a:srgbClr>
            </a:outerShdw>
          </a:effectLst>
        </c:spPr>
        <c:marker>
          <c:symbol val="circle"/>
          <c:size val="4"/>
          <c:spPr>
            <a:solidFill>
              <a:srgbClr val="449BCC"/>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AF1FC7"/>
            </a:solidFill>
            <a:round/>
          </a:ln>
          <a:effectLst>
            <a:outerShdw blurRad="57150" dist="19050" dir="5400000" algn="ctr" rotWithShape="0">
              <a:srgbClr val="000000">
                <a:alpha val="63000"/>
              </a:srgbClr>
            </a:outerShdw>
          </a:effectLst>
        </c:spPr>
        <c:marker>
          <c:symbol val="circle"/>
          <c:size val="4"/>
          <c:spPr>
            <a:solidFill>
              <a:srgbClr val="AF1FC7"/>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AF1FC7"/>
            </a:solidFill>
            <a:round/>
          </a:ln>
          <a:effectLst>
            <a:outerShdw blurRad="57150" dist="19050" dir="5400000" algn="ctr" rotWithShape="0">
              <a:srgbClr val="000000">
                <a:alpha val="63000"/>
              </a:srgbClr>
            </a:outerShdw>
          </a:effectLst>
        </c:spPr>
        <c:marker>
          <c:symbol val="circle"/>
          <c:size val="4"/>
          <c:spPr>
            <a:solidFill>
              <a:srgbClr val="AF1FC7"/>
            </a:solidFill>
            <a:ln w="9525">
              <a:noFill/>
              <a:round/>
            </a:ln>
            <a:effectLst>
              <a:outerShdw blurRad="57150" dist="19050" dir="5400000" algn="ctr" rotWithShape="0">
                <a:srgbClr val="000000">
                  <a:alpha val="63000"/>
                </a:srgbClr>
              </a:outerShdw>
            </a:effectLst>
          </c:spPr>
        </c:marker>
        <c:dLbl>
          <c:idx val="0"/>
          <c:layout>
            <c:manualLayout>
              <c:x val="-3.6779396559352875E-2"/>
              <c:y val="3.2359993190384365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AF1FC7"/>
            </a:solidFill>
            <a:round/>
          </a:ln>
          <a:effectLst>
            <a:outerShdw blurRad="57150" dist="19050" dir="5400000" algn="ctr" rotWithShape="0">
              <a:srgbClr val="000000">
                <a:alpha val="63000"/>
              </a:srgbClr>
            </a:outerShdw>
          </a:effectLst>
        </c:spPr>
        <c:marker>
          <c:symbol val="circle"/>
          <c:size val="4"/>
          <c:spPr>
            <a:solidFill>
              <a:srgbClr val="AF1FC7"/>
            </a:solidFill>
            <a:ln w="9525">
              <a:noFill/>
              <a:round/>
            </a:ln>
            <a:effectLst>
              <a:outerShdw blurRad="57150" dist="19050" dir="5400000" algn="ctr" rotWithShape="0">
                <a:srgbClr val="000000">
                  <a:alpha val="63000"/>
                </a:srgbClr>
              </a:outerShdw>
            </a:effectLst>
          </c:spPr>
        </c:marker>
        <c:dLbl>
          <c:idx val="0"/>
          <c:layout>
            <c:manualLayout>
              <c:x val="4.9739537324830795E-2"/>
              <c:y val="-2.2218006540072138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AF1FC7"/>
            </a:solidFill>
            <a:round/>
          </a:ln>
          <a:effectLst>
            <a:outerShdw blurRad="57150" dist="19050" dir="5400000" algn="ctr" rotWithShape="0">
              <a:srgbClr val="000000">
                <a:alpha val="63000"/>
              </a:srgbClr>
            </a:outerShdw>
          </a:effectLst>
        </c:spPr>
        <c:marker>
          <c:symbol val="circle"/>
          <c:size val="4"/>
          <c:spPr>
            <a:solidFill>
              <a:srgbClr val="AF1FC7"/>
            </a:solidFill>
            <a:ln w="9525">
              <a:noFill/>
              <a:round/>
            </a:ln>
            <a:effectLst>
              <a:outerShdw blurRad="57150" dist="19050" dir="5400000" algn="ctr" rotWithShape="0">
                <a:srgbClr val="000000">
                  <a:alpha val="63000"/>
                </a:srgbClr>
              </a:outerShdw>
            </a:effectLst>
          </c:spPr>
        </c:marke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AF1FC7"/>
            </a:solidFill>
            <a:round/>
          </a:ln>
          <a:effectLst>
            <a:outerShdw blurRad="57150" dist="19050" dir="5400000" algn="ctr" rotWithShape="0">
              <a:srgbClr val="000000">
                <a:alpha val="63000"/>
              </a:srgbClr>
            </a:outerShdw>
          </a:effectLst>
        </c:spPr>
        <c:marker>
          <c:symbol val="circle"/>
          <c:size val="4"/>
          <c:spPr>
            <a:solidFill>
              <a:srgbClr val="AF1FC7"/>
            </a:solidFill>
            <a:ln w="9525">
              <a:noFill/>
              <a:round/>
            </a:ln>
            <a:effectLst>
              <a:outerShdw blurRad="57150" dist="19050" dir="5400000" algn="ctr" rotWithShape="0">
                <a:srgbClr val="000000">
                  <a:alpha val="63000"/>
                </a:srgbClr>
              </a:outerShdw>
            </a:effectLst>
          </c:spPr>
        </c:marke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AF1FC7"/>
            </a:solidFill>
            <a:round/>
          </a:ln>
          <a:effectLst>
            <a:outerShdw blurRad="57150" dist="19050" dir="5400000" algn="ctr" rotWithShape="0">
              <a:srgbClr val="000000">
                <a:alpha val="63000"/>
              </a:srgbClr>
            </a:outerShdw>
          </a:effectLst>
        </c:spPr>
        <c:marker>
          <c:symbol val="circle"/>
          <c:size val="4"/>
          <c:spPr>
            <a:solidFill>
              <a:srgbClr val="AF1FC7"/>
            </a:solidFill>
            <a:ln w="9525">
              <a:noFill/>
              <a:round/>
            </a:ln>
            <a:effectLst>
              <a:outerShdw blurRad="57150" dist="19050" dir="5400000" algn="ctr" rotWithShape="0">
                <a:srgbClr val="000000">
                  <a:alpha val="63000"/>
                </a:srgbClr>
              </a:outerShdw>
            </a:effectLst>
          </c:spPr>
        </c:marke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AF1FC7"/>
            </a:solidFill>
            <a:round/>
          </a:ln>
          <a:effectLst>
            <a:outerShdw blurRad="57150" dist="19050" dir="5400000" algn="ctr" rotWithShape="0">
              <a:srgbClr val="000000">
                <a:alpha val="63000"/>
              </a:srgbClr>
            </a:outerShdw>
          </a:effectLst>
        </c:spPr>
        <c:marker>
          <c:symbol val="circle"/>
          <c:size val="4"/>
          <c:spPr>
            <a:solidFill>
              <a:srgbClr val="AF1FC7"/>
            </a:solidFill>
            <a:ln w="9525">
              <a:noFill/>
              <a:round/>
            </a:ln>
            <a:effectLst>
              <a:outerShdw blurRad="57150" dist="19050" dir="5400000" algn="ctr" rotWithShape="0">
                <a:srgbClr val="000000">
                  <a:alpha val="63000"/>
                </a:srgbClr>
              </a:outerShdw>
            </a:effectLst>
          </c:spPr>
        </c:marker>
      </c:pivotFmt>
      <c:pivotFmt>
        <c:idx val="28"/>
        <c:marker>
          <c:symbol val="circle"/>
          <c:size val="4"/>
          <c:spPr>
            <a:solidFill>
              <a:srgbClr val="AF1FC7"/>
            </a:solidFill>
            <a:ln w="9525">
              <a:noFill/>
              <a:round/>
            </a:ln>
            <a:effectLst>
              <a:outerShdw blurRad="57150" dist="19050" dir="5400000" algn="ctr" rotWithShape="0">
                <a:srgbClr val="000000">
                  <a:alpha val="63000"/>
                </a:srgbClr>
              </a:outerShdw>
            </a:effectLst>
          </c:spPr>
        </c:marke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6CAEA5"/>
            </a:solidFill>
            <a:round/>
          </a:ln>
          <a:effectLst>
            <a:outerShdw blurRad="57150" dist="19050" dir="5400000" algn="ctr" rotWithShape="0">
              <a:srgbClr val="000000">
                <a:alpha val="63000"/>
              </a:srgbClr>
            </a:outerShdw>
          </a:effectLst>
        </c:spPr>
        <c:marker>
          <c:symbol val="circle"/>
          <c:size val="4"/>
          <c:spPr>
            <a:solidFill>
              <a:srgbClr val="6CAEA5"/>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AF1FC7"/>
            </a:solidFill>
            <a:round/>
          </a:ln>
          <a:effectLst>
            <a:outerShdw blurRad="57150" dist="19050" dir="5400000" algn="ctr" rotWithShape="0">
              <a:srgbClr val="000000">
                <a:alpha val="63000"/>
              </a:srgbClr>
            </a:outerShdw>
          </a:effectLst>
        </c:spPr>
        <c:marker>
          <c:symbol val="circle"/>
          <c:size val="4"/>
          <c:spPr>
            <a:solidFill>
              <a:srgbClr val="AF1FC7"/>
            </a:solidFill>
            <a:ln w="9525">
              <a:noFill/>
              <a:round/>
            </a:ln>
            <a:effectLst>
              <a:outerShdw blurRad="57150" dist="19050" dir="5400000" algn="ctr" rotWithShape="0">
                <a:srgbClr val="000000">
                  <a:alpha val="63000"/>
                </a:srgbClr>
              </a:outerShdw>
            </a:effectLst>
          </c:spPr>
        </c:marker>
        <c:dLbl>
          <c:idx val="0"/>
          <c:layout>
            <c:manualLayout>
              <c:x val="-3.6779396559352875E-2"/>
              <c:y val="3.2359993190384365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1"/>
        <c:spPr>
          <a:ln w="19050" cap="rnd">
            <a:solidFill>
              <a:srgbClr val="AF1FC7"/>
            </a:solidFill>
            <a:round/>
          </a:ln>
          <a:effectLst>
            <a:outerShdw blurRad="57150" dist="19050" dir="5400000" algn="ctr" rotWithShape="0">
              <a:srgbClr val="000000">
                <a:alpha val="63000"/>
              </a:srgbClr>
            </a:outerShdw>
          </a:effectLst>
        </c:spPr>
        <c:marker>
          <c:symbol val="circle"/>
          <c:size val="4"/>
          <c:spPr>
            <a:solidFill>
              <a:srgbClr val="AF1FC7"/>
            </a:solidFill>
            <a:ln w="9525">
              <a:noFill/>
              <a:round/>
            </a:ln>
            <a:effectLst>
              <a:outerShdw blurRad="57150" dist="19050" dir="5400000" algn="ctr" rotWithShape="0">
                <a:srgbClr val="000000">
                  <a:alpha val="63000"/>
                </a:srgbClr>
              </a:outerShdw>
            </a:effectLst>
          </c:spPr>
        </c:marker>
      </c:pivotFmt>
      <c:pivotFmt>
        <c:idx val="32"/>
        <c:spPr>
          <a:ln w="19050" cap="rnd">
            <a:solidFill>
              <a:srgbClr val="AF1FC7"/>
            </a:solidFill>
            <a:round/>
          </a:ln>
          <a:effectLst>
            <a:outerShdw blurRad="57150" dist="19050" dir="5400000" algn="ctr" rotWithShape="0">
              <a:srgbClr val="000000">
                <a:alpha val="63000"/>
              </a:srgbClr>
            </a:outerShdw>
          </a:effectLst>
        </c:spPr>
        <c:marker>
          <c:symbol val="circle"/>
          <c:size val="4"/>
          <c:spPr>
            <a:solidFill>
              <a:srgbClr val="AF1FC7"/>
            </a:solidFill>
            <a:ln w="9525">
              <a:noFill/>
              <a:round/>
            </a:ln>
            <a:effectLst>
              <a:outerShdw blurRad="57150" dist="19050" dir="5400000" algn="ctr" rotWithShape="0">
                <a:srgbClr val="000000">
                  <a:alpha val="63000"/>
                </a:srgbClr>
              </a:outerShdw>
            </a:effectLst>
          </c:spPr>
        </c:marker>
      </c:pivotFmt>
      <c:pivotFmt>
        <c:idx val="33"/>
        <c:spPr>
          <a:ln w="19050" cap="rnd">
            <a:solidFill>
              <a:srgbClr val="AF1FC7"/>
            </a:solidFill>
            <a:round/>
          </a:ln>
          <a:effectLst>
            <a:outerShdw blurRad="57150" dist="19050" dir="5400000" algn="ctr" rotWithShape="0">
              <a:srgbClr val="000000">
                <a:alpha val="63000"/>
              </a:srgbClr>
            </a:outerShdw>
          </a:effectLst>
        </c:spPr>
        <c:marker>
          <c:symbol val="circle"/>
          <c:size val="4"/>
          <c:spPr>
            <a:solidFill>
              <a:srgbClr val="AF1FC7"/>
            </a:solidFill>
            <a:ln w="9525">
              <a:noFill/>
              <a:round/>
            </a:ln>
            <a:effectLst>
              <a:outerShdw blurRad="57150" dist="19050" dir="5400000" algn="ctr" rotWithShape="0">
                <a:srgbClr val="000000">
                  <a:alpha val="63000"/>
                </a:srgbClr>
              </a:outerShdw>
            </a:effectLst>
          </c:spPr>
        </c:marker>
      </c:pivotFmt>
      <c:pivotFmt>
        <c:idx val="34"/>
        <c:spPr>
          <a:ln w="19050" cap="rnd">
            <a:solidFill>
              <a:srgbClr val="AF1FC7"/>
            </a:solidFill>
            <a:round/>
          </a:ln>
          <a:effectLst>
            <a:outerShdw blurRad="57150" dist="19050" dir="5400000" algn="ctr" rotWithShape="0">
              <a:srgbClr val="000000">
                <a:alpha val="63000"/>
              </a:srgbClr>
            </a:outerShdw>
          </a:effectLst>
        </c:spPr>
        <c:marker>
          <c:symbol val="circle"/>
          <c:size val="4"/>
          <c:spPr>
            <a:solidFill>
              <a:srgbClr val="AF1FC7"/>
            </a:solidFill>
            <a:ln w="9525">
              <a:noFill/>
              <a:round/>
            </a:ln>
            <a:effectLst>
              <a:outerShdw blurRad="57150" dist="19050" dir="5400000" algn="ctr" rotWithShape="0">
                <a:srgbClr val="000000">
                  <a:alpha val="63000"/>
                </a:srgbClr>
              </a:outerShdw>
            </a:effectLst>
          </c:spPr>
        </c:marker>
      </c:pivotFmt>
      <c:pivotFmt>
        <c:idx val="35"/>
        <c:spPr>
          <a:ln w="19050" cap="rnd">
            <a:solidFill>
              <a:srgbClr val="AF1FC7"/>
            </a:solidFill>
            <a:round/>
          </a:ln>
          <a:effectLst>
            <a:outerShdw blurRad="57150" dist="19050" dir="5400000" algn="ctr" rotWithShape="0">
              <a:srgbClr val="000000">
                <a:alpha val="63000"/>
              </a:srgbClr>
            </a:outerShdw>
          </a:effectLst>
        </c:spPr>
        <c:marker>
          <c:symbol val="circle"/>
          <c:size val="4"/>
          <c:spPr>
            <a:solidFill>
              <a:srgbClr val="AF1FC7"/>
            </a:solidFill>
            <a:ln w="9525">
              <a:noFill/>
              <a:round/>
            </a:ln>
            <a:effectLst>
              <a:outerShdw blurRad="57150" dist="19050" dir="5400000" algn="ctr" rotWithShape="0">
                <a:srgbClr val="000000">
                  <a:alpha val="63000"/>
                </a:srgbClr>
              </a:outerShdw>
            </a:effectLst>
          </c:spPr>
        </c:marker>
      </c:pivotFmt>
      <c:pivotFmt>
        <c:idx val="36"/>
        <c:spPr>
          <a:ln w="19050" cap="rnd">
            <a:solidFill>
              <a:srgbClr val="AF1FC7"/>
            </a:solidFill>
            <a:round/>
          </a:ln>
          <a:effectLst>
            <a:outerShdw blurRad="57150" dist="19050" dir="5400000" algn="ctr" rotWithShape="0">
              <a:srgbClr val="000000">
                <a:alpha val="63000"/>
              </a:srgbClr>
            </a:outerShdw>
          </a:effectLst>
        </c:spPr>
        <c:marker>
          <c:symbol val="circle"/>
          <c:size val="4"/>
          <c:spPr>
            <a:solidFill>
              <a:srgbClr val="AF1FC7"/>
            </a:solidFill>
            <a:ln w="9525">
              <a:noFill/>
              <a:round/>
            </a:ln>
            <a:effectLst>
              <a:outerShdw blurRad="57150" dist="19050" dir="5400000" algn="ctr" rotWithShape="0">
                <a:srgbClr val="000000">
                  <a:alpha val="63000"/>
                </a:srgbClr>
              </a:outerShdw>
            </a:effectLst>
          </c:spPr>
        </c:marker>
      </c:pivotFmt>
      <c:pivotFmt>
        <c:idx val="37"/>
        <c:spPr>
          <a:ln w="19050" cap="rnd">
            <a:solidFill>
              <a:srgbClr val="AF1FC7"/>
            </a:solidFill>
            <a:round/>
          </a:ln>
          <a:effectLst>
            <a:outerShdw blurRad="57150" dist="19050" dir="5400000" algn="ctr" rotWithShape="0">
              <a:srgbClr val="000000">
                <a:alpha val="63000"/>
              </a:srgbClr>
            </a:outerShdw>
          </a:effectLst>
        </c:spPr>
        <c:marker>
          <c:symbol val="circle"/>
          <c:size val="4"/>
          <c:spPr>
            <a:solidFill>
              <a:srgbClr val="AF1FC7"/>
            </a:solidFill>
            <a:ln w="9525">
              <a:noFill/>
              <a:round/>
            </a:ln>
            <a:effectLst>
              <a:outerShdw blurRad="57150" dist="19050" dir="5400000" algn="ctr" rotWithShape="0">
                <a:srgbClr val="000000">
                  <a:alpha val="63000"/>
                </a:srgbClr>
              </a:outerShdw>
            </a:effectLst>
          </c:spPr>
        </c:marker>
      </c:pivotFmt>
      <c:pivotFmt>
        <c:idx val="38"/>
        <c:spPr>
          <a:ln w="19050" cap="rnd">
            <a:solidFill>
              <a:srgbClr val="AF1FC7"/>
            </a:solidFill>
            <a:round/>
          </a:ln>
          <a:effectLst>
            <a:outerShdw blurRad="57150" dist="19050" dir="5400000" algn="ctr" rotWithShape="0">
              <a:srgbClr val="000000">
                <a:alpha val="63000"/>
              </a:srgbClr>
            </a:outerShdw>
          </a:effectLst>
        </c:spPr>
        <c:marker>
          <c:symbol val="circle"/>
          <c:size val="4"/>
          <c:spPr>
            <a:solidFill>
              <a:srgbClr val="AF1FC7"/>
            </a:solidFill>
            <a:ln w="9525">
              <a:noFill/>
              <a:round/>
            </a:ln>
            <a:effectLst>
              <a:outerShdw blurRad="57150" dist="19050" dir="5400000" algn="ctr" rotWithShape="0">
                <a:srgbClr val="000000">
                  <a:alpha val="63000"/>
                </a:srgbClr>
              </a:outerShdw>
            </a:effectLst>
          </c:spPr>
        </c:marker>
      </c:pivotFmt>
      <c:pivotFmt>
        <c:idx val="39"/>
        <c:spPr>
          <a:ln w="19050" cap="rnd">
            <a:solidFill>
              <a:srgbClr val="AF1FC7"/>
            </a:solidFill>
            <a:round/>
          </a:ln>
          <a:effectLst>
            <a:outerShdw blurRad="57150" dist="19050" dir="5400000" algn="ctr" rotWithShape="0">
              <a:srgbClr val="000000">
                <a:alpha val="63000"/>
              </a:srgbClr>
            </a:outerShdw>
          </a:effectLst>
        </c:spPr>
        <c:marker>
          <c:symbol val="circle"/>
          <c:size val="4"/>
          <c:spPr>
            <a:solidFill>
              <a:srgbClr val="AF1FC7"/>
            </a:solidFill>
            <a:ln w="9525">
              <a:noFill/>
              <a:round/>
            </a:ln>
            <a:effectLst>
              <a:outerShdw blurRad="57150" dist="19050" dir="5400000" algn="ctr" rotWithShape="0">
                <a:srgbClr val="000000">
                  <a:alpha val="63000"/>
                </a:srgbClr>
              </a:outerShdw>
            </a:effectLst>
          </c:spPr>
        </c:marker>
      </c:pivotFmt>
    </c:pivotFmts>
    <c:plotArea>
      <c:layout>
        <c:manualLayout>
          <c:layoutTarget val="inner"/>
          <c:xMode val="edge"/>
          <c:yMode val="edge"/>
          <c:x val="0.1255580149820017"/>
          <c:y val="0.12216494966150693"/>
          <c:w val="0.82935067224286607"/>
          <c:h val="0.63639506923089018"/>
        </c:manualLayout>
      </c:layout>
      <c:lineChart>
        <c:grouping val="standard"/>
        <c:varyColors val="0"/>
        <c:ser>
          <c:idx val="0"/>
          <c:order val="0"/>
          <c:tx>
            <c:strRef>
              <c:f>HVL!$J$5</c:f>
              <c:strCache>
                <c:ptCount val="1"/>
                <c:pt idx="0">
                  <c:v> CD4&lt;200%</c:v>
                </c:pt>
              </c:strCache>
            </c:strRef>
          </c:tx>
          <c:spPr>
            <a:ln w="19050" cap="rnd">
              <a:solidFill>
                <a:srgbClr val="449BCC"/>
              </a:solidFill>
              <a:round/>
            </a:ln>
            <a:effectLst>
              <a:outerShdw blurRad="57150" dist="19050" dir="5400000" algn="ctr" rotWithShape="0">
                <a:srgbClr val="000000">
                  <a:alpha val="63000"/>
                </a:srgbClr>
              </a:outerShdw>
            </a:effectLst>
          </c:spPr>
          <c:marker>
            <c:symbol val="circle"/>
            <c:size val="4"/>
            <c:spPr>
              <a:solidFill>
                <a:srgbClr val="449BCC"/>
              </a:solidFill>
              <a:ln w="9525">
                <a:noFill/>
                <a:round/>
              </a:ln>
              <a:effectLst>
                <a:outerShdw blurRad="57150" dist="19050" dir="5400000" algn="ctr" rotWithShape="0">
                  <a:srgbClr val="000000">
                    <a:alpha val="63000"/>
                  </a:srgbClr>
                </a:outerShdw>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HVL!$I$6:$I$25</c:f>
              <c:multiLvlStrCache>
                <c:ptCount val="1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2024</c:v>
                  </c:pt>
                  <c:pt idx="12">
                    <c:v>2025</c:v>
                  </c:pt>
                </c:lvl>
              </c:multiLvlStrCache>
            </c:multiLvlStrRef>
          </c:cat>
          <c:val>
            <c:numRef>
              <c:f>HVL!$J$6:$J$25</c:f>
              <c:numCache>
                <c:formatCode>General</c:formatCode>
                <c:ptCount val="17"/>
                <c:pt idx="0">
                  <c:v>0.33333333333333331</c:v>
                </c:pt>
                <c:pt idx="1">
                  <c:v>0.24210526315789474</c:v>
                </c:pt>
                <c:pt idx="2">
                  <c:v>0.23711340206185566</c:v>
                </c:pt>
                <c:pt idx="3">
                  <c:v>0.21739130434782608</c:v>
                </c:pt>
                <c:pt idx="4">
                  <c:v>0.30208333333333331</c:v>
                </c:pt>
                <c:pt idx="5">
                  <c:v>0.26229508196721313</c:v>
                </c:pt>
                <c:pt idx="6">
                  <c:v>0.234375</c:v>
                </c:pt>
                <c:pt idx="7">
                  <c:v>0.22222222222222221</c:v>
                </c:pt>
                <c:pt idx="8">
                  <c:v>0.2087912087912088</c:v>
                </c:pt>
                <c:pt idx="9">
                  <c:v>0.21686746987951808</c:v>
                </c:pt>
                <c:pt idx="10">
                  <c:v>0.30864197530864196</c:v>
                </c:pt>
                <c:pt idx="11">
                  <c:v>0.3108108108108108</c:v>
                </c:pt>
                <c:pt idx="12">
                  <c:v>0.33695652173913043</c:v>
                </c:pt>
                <c:pt idx="13">
                  <c:v>0.3125</c:v>
                </c:pt>
                <c:pt idx="14">
                  <c:v>0.25</c:v>
                </c:pt>
                <c:pt idx="15">
                  <c:v>0.23529411764705882</c:v>
                </c:pt>
                <c:pt idx="16">
                  <c:v>0.3380281690140845</c:v>
                </c:pt>
              </c:numCache>
            </c:numRef>
          </c:val>
          <c:smooth val="1"/>
          <c:extLst>
            <c:ext xmlns:c16="http://schemas.microsoft.com/office/drawing/2014/chart" uri="{C3380CC4-5D6E-409C-BE32-E72D297353CC}">
              <c16:uniqueId val="{00000000-E567-40CF-B833-0D1592BF104A}"/>
            </c:ext>
          </c:extLst>
        </c:ser>
        <c:ser>
          <c:idx val="1"/>
          <c:order val="1"/>
          <c:tx>
            <c:strRef>
              <c:f>HVL!$K$5</c:f>
              <c:strCache>
                <c:ptCount val="1"/>
                <c:pt idx="0">
                  <c:v> LAM+%</c:v>
                </c:pt>
              </c:strCache>
            </c:strRef>
          </c:tx>
          <c:spPr>
            <a:ln w="19050" cap="rnd">
              <a:solidFill>
                <a:srgbClr val="AF1FC7"/>
              </a:solidFill>
              <a:round/>
            </a:ln>
            <a:effectLst>
              <a:outerShdw blurRad="57150" dist="19050" dir="5400000" algn="ctr" rotWithShape="0">
                <a:srgbClr val="000000">
                  <a:alpha val="63000"/>
                </a:srgbClr>
              </a:outerShdw>
            </a:effectLst>
          </c:spPr>
          <c:marker>
            <c:symbol val="circle"/>
            <c:size val="4"/>
            <c:spPr>
              <a:solidFill>
                <a:srgbClr val="AF1FC7"/>
              </a:solidFill>
              <a:ln w="9525">
                <a:noFill/>
                <a:round/>
              </a:ln>
              <a:effectLst>
                <a:outerShdw blurRad="57150" dist="19050" dir="5400000" algn="ctr" rotWithShape="0">
                  <a:srgbClr val="000000">
                    <a:alpha val="63000"/>
                  </a:srgbClr>
                </a:outerShdw>
              </a:effectLst>
            </c:spPr>
          </c:marker>
          <c:dPt>
            <c:idx val="2"/>
            <c:marker>
              <c:symbol val="circle"/>
              <c:size val="4"/>
              <c:spPr>
                <a:solidFill>
                  <a:srgbClr val="AF1FC7"/>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1-C76A-4A74-A0E7-D0B38147A361}"/>
              </c:ext>
            </c:extLst>
          </c:dPt>
          <c:dPt>
            <c:idx val="3"/>
            <c:marker>
              <c:symbol val="circle"/>
              <c:size val="4"/>
              <c:spPr>
                <a:solidFill>
                  <a:srgbClr val="AF1FC7"/>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6-E831-431B-84FD-AD0738A4DF23}"/>
              </c:ext>
            </c:extLst>
          </c:dPt>
          <c:dPt>
            <c:idx val="4"/>
            <c:marker>
              <c:symbol val="circle"/>
              <c:size val="4"/>
              <c:spPr>
                <a:solidFill>
                  <a:srgbClr val="AF1FC7"/>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2-E9CB-406C-A7E6-1097BF08891F}"/>
              </c:ext>
            </c:extLst>
          </c:dPt>
          <c:dPt>
            <c:idx val="5"/>
            <c:marker>
              <c:symbol val="circle"/>
              <c:size val="4"/>
              <c:spPr>
                <a:solidFill>
                  <a:srgbClr val="AF1FC7"/>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1-E567-40CF-B833-0D1592BF104A}"/>
              </c:ext>
            </c:extLst>
          </c:dPt>
          <c:dPt>
            <c:idx val="6"/>
            <c:marker>
              <c:symbol val="circle"/>
              <c:size val="4"/>
              <c:spPr>
                <a:solidFill>
                  <a:srgbClr val="AF1FC7"/>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8-8492-4748-9494-16CB78808D63}"/>
              </c:ext>
            </c:extLst>
          </c:dPt>
          <c:dPt>
            <c:idx val="7"/>
            <c:marker>
              <c:symbol val="circle"/>
              <c:size val="4"/>
              <c:spPr>
                <a:solidFill>
                  <a:srgbClr val="AF1FC7"/>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9-C0C2-4A76-920C-63ACE0DD679F}"/>
              </c:ext>
            </c:extLst>
          </c:dPt>
          <c:dPt>
            <c:idx val="8"/>
            <c:marker>
              <c:symbol val="circle"/>
              <c:size val="4"/>
              <c:spPr>
                <a:solidFill>
                  <a:srgbClr val="AF1FC7"/>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B-C0C2-4A76-920C-63ACE0DD679F}"/>
              </c:ext>
            </c:extLst>
          </c:dPt>
          <c:dPt>
            <c:idx val="9"/>
            <c:marker>
              <c:symbol val="circle"/>
              <c:size val="4"/>
              <c:spPr>
                <a:solidFill>
                  <a:srgbClr val="AF1FC7"/>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7-F4FE-4EDA-B1D0-D0C1B6E22644}"/>
              </c:ext>
            </c:extLst>
          </c:dPt>
          <c:dPt>
            <c:idx val="14"/>
            <c:marker>
              <c:symbol val="circle"/>
              <c:size val="4"/>
              <c:spPr>
                <a:solidFill>
                  <a:srgbClr val="AF1FC7"/>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9-C18A-4569-B67E-EC2FF1D1EEF4}"/>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HVL!$I$6:$I$25</c:f>
              <c:multiLvlStrCache>
                <c:ptCount val="1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2024</c:v>
                  </c:pt>
                  <c:pt idx="12">
                    <c:v>2025</c:v>
                  </c:pt>
                </c:lvl>
              </c:multiLvlStrCache>
            </c:multiLvlStrRef>
          </c:cat>
          <c:val>
            <c:numRef>
              <c:f>HVL!$K$6:$K$25</c:f>
              <c:numCache>
                <c:formatCode>General</c:formatCode>
                <c:ptCount val="17"/>
                <c:pt idx="0">
                  <c:v>0</c:v>
                </c:pt>
                <c:pt idx="1">
                  <c:v>0</c:v>
                </c:pt>
                <c:pt idx="2">
                  <c:v>4.5454545454545456E-2</c:v>
                </c:pt>
                <c:pt idx="3">
                  <c:v>0.1</c:v>
                </c:pt>
                <c:pt idx="4">
                  <c:v>#N/A</c:v>
                </c:pt>
                <c:pt idx="5">
                  <c:v>#N/A</c:v>
                </c:pt>
                <c:pt idx="6">
                  <c:v>#N/A</c:v>
                </c:pt>
                <c:pt idx="7">
                  <c:v>0</c:v>
                </c:pt>
                <c:pt idx="8">
                  <c:v>5.2631578947368418E-2</c:v>
                </c:pt>
                <c:pt idx="9">
                  <c:v>0.05</c:v>
                </c:pt>
                <c:pt idx="10">
                  <c:v>0</c:v>
                </c:pt>
                <c:pt idx="11">
                  <c:v>4.3478260869565216E-2</c:v>
                </c:pt>
                <c:pt idx="12">
                  <c:v>0</c:v>
                </c:pt>
                <c:pt idx="13">
                  <c:v>0</c:v>
                </c:pt>
                <c:pt idx="14">
                  <c:v>0</c:v>
                </c:pt>
                <c:pt idx="15">
                  <c:v>0</c:v>
                </c:pt>
                <c:pt idx="16">
                  <c:v>8.6956521739130432E-2</c:v>
                </c:pt>
              </c:numCache>
            </c:numRef>
          </c:val>
          <c:smooth val="1"/>
          <c:extLst>
            <c:ext xmlns:c16="http://schemas.microsoft.com/office/drawing/2014/chart" uri="{C3380CC4-5D6E-409C-BE32-E72D297353CC}">
              <c16:uniqueId val="{00000002-E567-40CF-B833-0D1592BF104A}"/>
            </c:ext>
          </c:extLst>
        </c:ser>
        <c:ser>
          <c:idx val="2"/>
          <c:order val="2"/>
          <c:tx>
            <c:strRef>
              <c:f>HVL!$L$5</c:f>
              <c:strCache>
                <c:ptCount val="1"/>
                <c:pt idx="0">
                  <c:v> CrAg+%</c:v>
                </c:pt>
              </c:strCache>
            </c:strRef>
          </c:tx>
          <c:spPr>
            <a:ln w="19050" cap="rnd">
              <a:solidFill>
                <a:srgbClr val="6CAEA5"/>
              </a:solidFill>
              <a:round/>
            </a:ln>
            <a:effectLst>
              <a:outerShdw blurRad="57150" dist="19050" dir="5400000" algn="ctr" rotWithShape="0">
                <a:srgbClr val="000000">
                  <a:alpha val="63000"/>
                </a:srgbClr>
              </a:outerShdw>
            </a:effectLst>
          </c:spPr>
          <c:marker>
            <c:symbol val="circle"/>
            <c:size val="4"/>
            <c:spPr>
              <a:solidFill>
                <a:srgbClr val="6CAEA5"/>
              </a:solidFill>
              <a:ln w="9525">
                <a:noFill/>
                <a:round/>
              </a:ln>
              <a:effectLst>
                <a:outerShdw blurRad="57150" dist="19050" dir="5400000" algn="ctr" rotWithShape="0">
                  <a:srgbClr val="000000">
                    <a:alpha val="63000"/>
                  </a:srgbClr>
                </a:outerShdw>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HVL!$I$6:$I$25</c:f>
              <c:multiLvlStrCache>
                <c:ptCount val="1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2024</c:v>
                  </c:pt>
                  <c:pt idx="12">
                    <c:v>2025</c:v>
                  </c:pt>
                </c:lvl>
              </c:multiLvlStrCache>
            </c:multiLvlStrRef>
          </c:cat>
          <c:val>
            <c:numRef>
              <c:f>HVL!$L$6:$L$25</c:f>
              <c:numCache>
                <c:formatCode>General</c:formatCode>
                <c:ptCount val="17"/>
                <c:pt idx="0">
                  <c:v>0</c:v>
                </c:pt>
                <c:pt idx="1">
                  <c:v>4.3478260869565216E-2</c:v>
                </c:pt>
                <c:pt idx="2">
                  <c:v>0</c:v>
                </c:pt>
                <c:pt idx="3">
                  <c:v>0</c:v>
                </c:pt>
                <c:pt idx="4">
                  <c:v>0</c:v>
                </c:pt>
                <c:pt idx="5">
                  <c:v>3.125E-2</c:v>
                </c:pt>
                <c:pt idx="6">
                  <c:v>2.4390243902439025E-2</c:v>
                </c:pt>
                <c:pt idx="7">
                  <c:v>0</c:v>
                </c:pt>
                <c:pt idx="8">
                  <c:v>5.2631578947368418E-2</c:v>
                </c:pt>
                <c:pt idx="9">
                  <c:v>0</c:v>
                </c:pt>
                <c:pt idx="10">
                  <c:v>3.8461538461538464E-2</c:v>
                </c:pt>
                <c:pt idx="11">
                  <c:v>8.6956521739130432E-2</c:v>
                </c:pt>
                <c:pt idx="12">
                  <c:v>2.7027027027027029E-2</c:v>
                </c:pt>
                <c:pt idx="13">
                  <c:v>0.3</c:v>
                </c:pt>
                <c:pt idx="14">
                  <c:v>0</c:v>
                </c:pt>
                <c:pt idx="15">
                  <c:v>0.05</c:v>
                </c:pt>
                <c:pt idx="16">
                  <c:v>0</c:v>
                </c:pt>
              </c:numCache>
            </c:numRef>
          </c:val>
          <c:smooth val="1"/>
          <c:extLst>
            <c:ext xmlns:c16="http://schemas.microsoft.com/office/drawing/2014/chart" uri="{C3380CC4-5D6E-409C-BE32-E72D297353CC}">
              <c16:uniqueId val="{00000003-E567-40CF-B833-0D1592BF104A}"/>
            </c:ext>
          </c:extLst>
        </c:ser>
        <c:dLbls>
          <c:dLblPos val="t"/>
          <c:showLegendKey val="0"/>
          <c:showVal val="1"/>
          <c:showCatName val="0"/>
          <c:showSerName val="0"/>
          <c:showPercent val="0"/>
          <c:showBubbleSize val="0"/>
        </c:dLbls>
        <c:marker val="1"/>
        <c:smooth val="0"/>
        <c:axId val="1061181040"/>
        <c:axId val="1061182480"/>
      </c:lineChart>
      <c:catAx>
        <c:axId val="1061181040"/>
        <c:scaling>
          <c:orientation val="minMax"/>
        </c:scaling>
        <c:delete val="0"/>
        <c:axPos val="b"/>
        <c:numFmt formatCode="General" sourceLinked="1"/>
        <c:majorTickMark val="none"/>
        <c:minorTickMark val="none"/>
        <c:tickLblPos val="nextTo"/>
        <c:spPr>
          <a:noFill/>
          <a:ln w="12700" cap="flat" cmpd="sng" algn="ctr">
            <a:solidFill>
              <a:schemeClr val="tx2"/>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61182480"/>
        <c:crosses val="autoZero"/>
        <c:auto val="1"/>
        <c:lblAlgn val="ctr"/>
        <c:lblOffset val="100"/>
        <c:noMultiLvlLbl val="0"/>
      </c:catAx>
      <c:valAx>
        <c:axId val="1061182480"/>
        <c:scaling>
          <c:orientation val="minMax"/>
          <c:max val="1"/>
          <c:min val="0"/>
        </c:scaling>
        <c:delete val="0"/>
        <c:axPos val="l"/>
        <c:title>
          <c:tx>
            <c:rich>
              <a:bodyPr rot="-54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r>
                  <a:rPr lang="en-GB"/>
                  <a:t>proporton of ROC with AHD</a:t>
                </a:r>
              </a:p>
            </c:rich>
          </c:tx>
          <c:layout>
            <c:manualLayout>
              <c:xMode val="edge"/>
              <c:yMode val="edge"/>
              <c:x val="1.8493126754159431E-2"/>
              <c:y val="0.39059530569825962"/>
            </c:manualLayout>
          </c:layout>
          <c:overlay val="0"/>
          <c:spPr>
            <a:noFill/>
            <a:ln w="6350">
              <a:noFill/>
            </a:ln>
            <a:effectLst/>
          </c:spPr>
          <c:txPr>
            <a:bodyPr rot="-54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itle>
        <c:numFmt formatCode="0%" sourceLinked="0"/>
        <c:majorTickMark val="none"/>
        <c:minorTickMark val="none"/>
        <c:tickLblPos val="nextTo"/>
        <c:spPr>
          <a:noFill/>
          <a:ln>
            <a:solidFill>
              <a:schemeClr val="tx2"/>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61181040"/>
        <c:crosses val="autoZero"/>
        <c:crossBetween val="between"/>
      </c:valAx>
      <c:spPr>
        <a:noFill/>
        <a:ln>
          <a:noFill/>
        </a:ln>
        <a:effectLst/>
      </c:spPr>
    </c:plotArea>
    <c:legend>
      <c:legendPos val="r"/>
      <c:layout>
        <c:manualLayout>
          <c:xMode val="edge"/>
          <c:yMode val="edge"/>
          <c:x val="0.15521042495619217"/>
          <c:y val="0.9403744492046916"/>
          <c:w val="0.7041295086564634"/>
          <c:h val="5.3198252883228013E-2"/>
        </c:manualLayout>
      </c:layout>
      <c:overlay val="0"/>
      <c:spPr>
        <a:noFill/>
        <a:ln w="6350">
          <a:solidFill>
            <a:schemeClr val="accent5">
              <a:lumMod val="60000"/>
              <a:lumOff val="40000"/>
            </a:schemeClr>
          </a:solid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lumMod val="60000"/>
          <a:lumOff val="40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[AHD_Reporting_Form.xlsx]RTT!PivotTable1</c:name>
    <c:fmtId val="17"/>
  </c:pivotSource>
  <c:chart>
    <c:title>
      <c:tx>
        <c:rich>
          <a:bodyPr rot="0" spcFirstLastPara="1" vertOverflow="ellipsis" vert="horz" wrap="square" anchor="ctr" anchorCtr="1"/>
          <a:lstStyle/>
          <a:p>
            <a:pPr>
              <a:defRPr sz="1200" b="1" i="0" u="sng" strike="noStrike" kern="1200" baseline="0">
                <a:solidFill>
                  <a:sysClr val="windowText" lastClr="000000"/>
                </a:solidFill>
                <a:latin typeface="+mn-lt"/>
                <a:ea typeface="+mn-ea"/>
                <a:cs typeface="+mn-cs"/>
              </a:defRPr>
            </a:pPr>
            <a:r>
              <a:rPr lang="en-GB" sz="1200" u="sng"/>
              <a:t>AHD screening among Treatment interrupters who returned to care</a:t>
            </a:r>
          </a:p>
        </c:rich>
      </c:tx>
      <c:layout>
        <c:manualLayout>
          <c:xMode val="edge"/>
          <c:yMode val="edge"/>
          <c:x val="0.16578168501023419"/>
          <c:y val="1.9286756211597953E-2"/>
        </c:manualLayout>
      </c:layout>
      <c:overlay val="0"/>
      <c:spPr>
        <a:noFill/>
        <a:ln>
          <a:noFill/>
        </a:ln>
        <a:effectLst/>
      </c:spPr>
      <c:txPr>
        <a:bodyPr rot="0" spcFirstLastPara="1" vertOverflow="ellipsis" vert="horz" wrap="square" anchor="ctr" anchorCtr="1"/>
        <a:lstStyle/>
        <a:p>
          <a:pPr>
            <a:defRPr sz="1200" b="1" i="0" u="sng" strike="noStrike" kern="1200" baseline="0">
              <a:solidFill>
                <a:sysClr val="windowText" lastClr="000000"/>
              </a:solidFill>
              <a:latin typeface="+mn-lt"/>
              <a:ea typeface="+mn-ea"/>
              <a:cs typeface="+mn-cs"/>
            </a:defRPr>
          </a:pPr>
          <a:endParaRPr lang="en-US"/>
        </a:p>
      </c:txPr>
    </c:title>
    <c:autoTitleDeleted val="0"/>
    <c:pivotFmts>
      <c:pivotFmt>
        <c:idx val="0"/>
        <c:spPr>
          <a:solidFill>
            <a:schemeClr val="accent2"/>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alpha val="88000"/>
            </a:scheme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alpha val="84000"/>
            </a:srgb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D80A0359-4340-464C-97BF-50043DB18A22}" type="CELLRANGE">
                  <a:rPr lang="en-US"/>
                  <a:pPr>
                    <a:defRPr sz="900" b="0" i="0" u="none" strike="noStrike" kern="1200" baseline="0">
                      <a:solidFill>
                        <a:sysClr val="windowText" lastClr="000000"/>
                      </a:solidFill>
                      <a:latin typeface="+mn-lt"/>
                      <a:ea typeface="+mn-ea"/>
                      <a:cs typeface="+mn-cs"/>
                    </a:defRPr>
                  </a:pPr>
                  <a:t>[CELLRANGE]</a:t>
                </a:fld>
                <a:r>
                  <a:rPr lang="en-US" baseline="0"/>
                  <a:t>, </a:t>
                </a:r>
                <a:fld id="{619AE429-5DC9-4CD0-95CD-5E4572E53792}" type="VALUE">
                  <a:rPr lang="en-US" baseline="0"/>
                  <a:pPr>
                    <a:defRPr sz="900" b="0" i="0" u="none" strike="noStrike" kern="1200" baseline="0">
                      <a:solidFill>
                        <a:sysClr val="windowText" lastClr="000000"/>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pivotFmt>
      <c:pivotFmt>
        <c:idx val="9"/>
        <c:dLbl>
          <c:idx val="0"/>
          <c:tx>
            <c:rich>
              <a:bodyPr/>
              <a:lstStyle/>
              <a:p>
                <a:fld id="{38B64FBF-4335-4EAD-B861-26F6E525AC74}" type="CELLRANGE">
                  <a:rPr lang="en-US"/>
                  <a:pPr/>
                  <a:t>[CELLRANGE]</a:t>
                </a:fld>
                <a:r>
                  <a:rPr lang="en-US" baseline="0"/>
                  <a:t>, </a:t>
                </a:r>
                <a:fld id="{D6C7321C-6E0F-4D2E-8B46-F65C3D7A4003}"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dLbl>
          <c:idx val="0"/>
          <c:tx>
            <c:rich>
              <a:bodyPr/>
              <a:lstStyle/>
              <a:p>
                <a:fld id="{8C44B063-F912-4FC5-A6C3-78054BAA1475}" type="CELLRANGE">
                  <a:rPr lang="en-US"/>
                  <a:pPr/>
                  <a:t>[CELLRANGE]</a:t>
                </a:fld>
                <a:r>
                  <a:rPr lang="en-US" baseline="0"/>
                  <a:t>, </a:t>
                </a:r>
                <a:fld id="{70B358C0-DB55-4F7E-A4CF-8DEB0B8DBBA3}"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dLbl>
          <c:idx val="0"/>
          <c:tx>
            <c:rich>
              <a:bodyPr/>
              <a:lstStyle/>
              <a:p>
                <a:fld id="{F1E15D6C-0C92-4F9E-8CBC-D5B2D9BC2075}" type="CELLRANGE">
                  <a:rPr lang="en-US"/>
                  <a:pPr/>
                  <a:t>[CELLRANGE]</a:t>
                </a:fld>
                <a:r>
                  <a:rPr lang="en-US" baseline="0"/>
                  <a:t>, </a:t>
                </a:r>
                <a:fld id="{CD39BF99-5182-4B7E-AEC5-5FB76F9FE533}"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2"/>
        <c:dLbl>
          <c:idx val="0"/>
          <c:tx>
            <c:rich>
              <a:bodyPr/>
              <a:lstStyle/>
              <a:p>
                <a:fld id="{AADAE8A4-138F-410E-9AB9-60EEC0EAE95C}" type="CELLRANGE">
                  <a:rPr lang="en-US"/>
                  <a:pPr/>
                  <a:t>[CELLRANGE]</a:t>
                </a:fld>
                <a:r>
                  <a:rPr lang="en-US" baseline="0"/>
                  <a:t>, </a:t>
                </a:r>
                <a:fld id="{200D7C23-70DD-4AC4-951B-7904139BAA90}"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3"/>
        <c:dLbl>
          <c:idx val="0"/>
          <c:tx>
            <c:rich>
              <a:bodyPr/>
              <a:lstStyle/>
              <a:p>
                <a:fld id="{EBB42741-FBB1-42C9-8CA9-7DC956E899D1}" type="CELLRANGE">
                  <a:rPr lang="en-US"/>
                  <a:pPr/>
                  <a:t>[CELLRANGE]</a:t>
                </a:fld>
                <a:r>
                  <a:rPr lang="en-US" baseline="0"/>
                  <a:t>, </a:t>
                </a:r>
                <a:fld id="{300B405C-545E-4C3B-9B9C-A09D74648588}"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4"/>
        <c:dLbl>
          <c:idx val="0"/>
          <c:tx>
            <c:rich>
              <a:bodyPr/>
              <a:lstStyle/>
              <a:p>
                <a:fld id="{5ACDCCC9-477B-4D80-84D3-265AA1551F99}" type="CELLRANGE">
                  <a:rPr lang="en-US"/>
                  <a:pPr/>
                  <a:t>[CELLRANGE]</a:t>
                </a:fld>
                <a:r>
                  <a:rPr lang="en-US" baseline="0"/>
                  <a:t>, </a:t>
                </a:r>
                <a:fld id="{EBF96CAC-98C3-4753-841D-F0B5B77629A4}"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solidFill>
              <a:schemeClr val="accent2">
                <a:lumMod val="50000"/>
              </a:schemeClr>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
        <c:dLbl>
          <c:idx val="0"/>
          <c:tx>
            <c:rich>
              <a:bodyPr/>
              <a:lstStyle/>
              <a:p>
                <a:fld id="{85641F05-FEC1-4650-8FDD-8843A09484ED}" type="CELLRANGE">
                  <a:rPr lang="en-US"/>
                  <a:pPr/>
                  <a:t>[CELLRANGE]</a:t>
                </a:fld>
                <a:r>
                  <a:rPr lang="en-US" baseline="0"/>
                  <a:t>, </a:t>
                </a:r>
                <a:fld id="{A601C9D9-40B0-4DB3-A221-74FC1FEA479F}"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7"/>
        <c:dLbl>
          <c:idx val="0"/>
          <c:tx>
            <c:rich>
              <a:bodyPr/>
              <a:lstStyle/>
              <a:p>
                <a:fld id="{FF4EBAB4-9208-426C-A2C0-06A9B7A20937}" type="CELLRANGE">
                  <a:rPr lang="en-US"/>
                  <a:pPr/>
                  <a:t>[CELLRANGE]</a:t>
                </a:fld>
                <a:r>
                  <a:rPr lang="en-US" baseline="0"/>
                  <a:t>, </a:t>
                </a:r>
                <a:fld id="{DF0E314E-1845-4B08-9E93-FA96B8217187}"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8"/>
        <c:dLbl>
          <c:idx val="0"/>
          <c:tx>
            <c:rich>
              <a:bodyPr/>
              <a:lstStyle/>
              <a:p>
                <a:fld id="{DD926363-9992-4DFE-80C3-994ABB41FDA7}" type="CELLRANGE">
                  <a:rPr lang="en-US"/>
                  <a:pPr/>
                  <a:t>[CELLRANGE]</a:t>
                </a:fld>
                <a:r>
                  <a:rPr lang="en-US" baseline="0"/>
                  <a:t>, </a:t>
                </a:r>
                <a:fld id="{C6BB680B-7623-4EA3-B83B-2011C5679ED2}"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9"/>
        <c:dLbl>
          <c:idx val="0"/>
          <c:tx>
            <c:rich>
              <a:bodyPr/>
              <a:lstStyle/>
              <a:p>
                <a:fld id="{50D0BCCD-DA80-4AEC-ADFD-7478183D354A}" type="CELLRANGE">
                  <a:rPr lang="en-US"/>
                  <a:pPr/>
                  <a:t>[CELLRANGE]</a:t>
                </a:fld>
                <a:r>
                  <a:rPr lang="en-US" baseline="0"/>
                  <a:t>, </a:t>
                </a:r>
                <a:fld id="{EE890978-0538-4AD0-BE1B-680453DC062D}"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0"/>
        <c:dLbl>
          <c:idx val="0"/>
          <c:tx>
            <c:rich>
              <a:bodyPr/>
              <a:lstStyle/>
              <a:p>
                <a:fld id="{7D984C0A-AF2C-4FAD-9538-9CE56ED5F567}" type="CELLRANGE">
                  <a:rPr lang="en-US"/>
                  <a:pPr/>
                  <a:t>[CELLRANGE]</a:t>
                </a:fld>
                <a:r>
                  <a:rPr lang="en-US" baseline="0"/>
                  <a:t>, </a:t>
                </a:r>
                <a:fld id="{9F5C0507-D70F-477A-95F2-C63830573DD7}"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1"/>
        <c:dLbl>
          <c:idx val="0"/>
          <c:tx>
            <c:rich>
              <a:bodyPr/>
              <a:lstStyle/>
              <a:p>
                <a:fld id="{CF4FB6D9-9767-42D1-B639-24FD87FBFE31}" type="CELLRANGE">
                  <a:rPr lang="en-US"/>
                  <a:pPr/>
                  <a:t>[CELLRANGE]</a:t>
                </a:fld>
                <a:r>
                  <a:rPr lang="en-US" baseline="0"/>
                  <a:t>, </a:t>
                </a:r>
                <a:fld id="{91BB9253-F401-4063-A925-95408FA77268}"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2"/>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4731A5D9-539A-4F7D-A744-CF24B4E851B3}" type="CELLRANGE">
                  <a:rPr lang="en-US"/>
                  <a:pPr>
                    <a:defRPr sz="900" b="0" i="0" u="none" strike="noStrike" kern="1200" baseline="0">
                      <a:solidFill>
                        <a:sysClr val="windowText" lastClr="000000"/>
                      </a:solidFill>
                      <a:latin typeface="+mn-lt"/>
                      <a:ea typeface="+mn-ea"/>
                      <a:cs typeface="+mn-cs"/>
                    </a:defRPr>
                  </a:pPr>
                  <a:t>[CELLRANGE]</a:t>
                </a:fld>
                <a:r>
                  <a:rPr lang="en-US" baseline="0"/>
                  <a:t>, </a:t>
                </a:r>
                <a:fld id="{B03745B5-70AB-4486-8B6A-5E28FBF5B9A6}" type="VALUE">
                  <a:rPr lang="en-US" baseline="0"/>
                  <a:pPr>
                    <a:defRPr sz="900" b="0" i="0" u="none" strike="noStrike" kern="1200" baseline="0">
                      <a:solidFill>
                        <a:sysClr val="windowText" lastClr="000000"/>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3"/>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C9006498-42A4-45CE-BCE8-EC546067215F}" type="CELLRANGE">
                  <a:rPr lang="en-US"/>
                  <a:pPr>
                    <a:defRPr sz="900" b="0" i="0" u="none" strike="noStrike" kern="1200" baseline="0">
                      <a:solidFill>
                        <a:sysClr val="windowText" lastClr="000000"/>
                      </a:solidFill>
                      <a:latin typeface="+mn-lt"/>
                      <a:ea typeface="+mn-ea"/>
                      <a:cs typeface="+mn-cs"/>
                    </a:defRPr>
                  </a:pPr>
                  <a:t>[CELLRANGE]</a:t>
                </a:fld>
                <a:r>
                  <a:rPr lang="en-US" baseline="0"/>
                  <a:t>, </a:t>
                </a:r>
                <a:fld id="{13415703-C5CA-4787-8825-FCBD5C55B0DC}" type="VALUE">
                  <a:rPr lang="en-US" baseline="0"/>
                  <a:pPr>
                    <a:defRPr sz="900" b="0" i="0" u="none" strike="noStrike" kern="1200" baseline="0">
                      <a:solidFill>
                        <a:sysClr val="windowText" lastClr="000000"/>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4"/>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E39C17C5-A6DE-465E-BA2E-A0457662CE4F}" type="CELLRANGE">
                  <a:rPr lang="en-US"/>
                  <a:pPr>
                    <a:defRPr sz="900" b="0" i="0" u="none" strike="noStrike" kern="1200" baseline="0">
                      <a:solidFill>
                        <a:sysClr val="windowText" lastClr="000000"/>
                      </a:solidFill>
                      <a:latin typeface="+mn-lt"/>
                      <a:ea typeface="+mn-ea"/>
                      <a:cs typeface="+mn-cs"/>
                    </a:defRPr>
                  </a:pPr>
                  <a:t>[CELLRANGE]</a:t>
                </a:fld>
                <a:r>
                  <a:rPr lang="en-US" baseline="0"/>
                  <a:t>, </a:t>
                </a:r>
                <a:fld id="{D26FCEF1-5A34-41A0-B6CD-F3663AD6D4C1}" type="VALUE">
                  <a:rPr lang="en-US" baseline="0"/>
                  <a:pPr>
                    <a:defRPr sz="900" b="0" i="0" u="none" strike="noStrike" kern="1200" baseline="0">
                      <a:solidFill>
                        <a:sysClr val="windowText" lastClr="000000"/>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5"/>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183C6365-A22B-4AE8-B76B-F63703475BFE}" type="CELLRANGE">
                  <a:rPr lang="en-US"/>
                  <a:pPr>
                    <a:defRPr sz="900" b="0" i="0" u="none" strike="noStrike" kern="1200" baseline="0">
                      <a:solidFill>
                        <a:sysClr val="windowText" lastClr="000000"/>
                      </a:solidFill>
                      <a:latin typeface="+mn-lt"/>
                      <a:ea typeface="+mn-ea"/>
                      <a:cs typeface="+mn-cs"/>
                    </a:defRPr>
                  </a:pPr>
                  <a:t>[CELLRANGE]</a:t>
                </a:fld>
                <a:r>
                  <a:rPr lang="en-US" baseline="0"/>
                  <a:t>, </a:t>
                </a:r>
                <a:fld id="{2F81CAD8-CC36-4E7F-B6DF-B7DA1E4CEDA1}" type="VALUE">
                  <a:rPr lang="en-US" baseline="0"/>
                  <a:pPr>
                    <a:defRPr sz="900" b="0" i="0" u="none" strike="noStrike" kern="1200" baseline="0">
                      <a:solidFill>
                        <a:sysClr val="windowText" lastClr="000000"/>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6"/>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847F4BA0-4AA9-499D-BA2A-3AAAC0496E86}" type="CELLRANGE">
                  <a:rPr lang="en-US"/>
                  <a:pPr>
                    <a:defRPr sz="900" b="0" i="0" u="none" strike="noStrike" kern="1200" baseline="0">
                      <a:solidFill>
                        <a:sysClr val="windowText" lastClr="000000"/>
                      </a:solidFill>
                      <a:latin typeface="+mn-lt"/>
                      <a:ea typeface="+mn-ea"/>
                      <a:cs typeface="+mn-cs"/>
                    </a:defRPr>
                  </a:pPr>
                  <a:t>[CELLRANGE]</a:t>
                </a:fld>
                <a:r>
                  <a:rPr lang="en-US" baseline="0"/>
                  <a:t>, </a:t>
                </a:r>
                <a:fld id="{3D14E329-43B4-454C-B933-1CE45CA6E605}" type="VALUE">
                  <a:rPr lang="en-US" baseline="0"/>
                  <a:pPr>
                    <a:defRPr sz="900" b="0" i="0" u="none" strike="noStrike" kern="1200" baseline="0">
                      <a:solidFill>
                        <a:sysClr val="windowText" lastClr="000000"/>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7"/>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5589FF5D-4B2A-47E1-8019-27F023C54ACE}" type="CELLRANGE">
                  <a:rPr lang="en-US"/>
                  <a:pPr>
                    <a:defRPr sz="900" b="0" i="0" u="none" strike="noStrike" kern="1200" baseline="0">
                      <a:solidFill>
                        <a:sysClr val="windowText" lastClr="000000"/>
                      </a:solidFill>
                      <a:latin typeface="+mn-lt"/>
                      <a:ea typeface="+mn-ea"/>
                      <a:cs typeface="+mn-cs"/>
                    </a:defRPr>
                  </a:pPr>
                  <a:t>[CELLRANGE]</a:t>
                </a:fld>
                <a:r>
                  <a:rPr lang="en-US" baseline="0"/>
                  <a:t>, </a:t>
                </a:r>
                <a:fld id="{0AFB73F6-2AF1-48C0-8CBA-C2B6AFAFD8A1}" type="VALUE">
                  <a:rPr lang="en-US" baseline="0"/>
                  <a:pPr>
                    <a:defRPr sz="900" b="0" i="0" u="none" strike="noStrike" kern="1200" baseline="0">
                      <a:solidFill>
                        <a:sysClr val="windowText" lastClr="000000"/>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8"/>
        <c:dLbl>
          <c:idx val="0"/>
          <c:layout>
            <c:manualLayout>
              <c:x val="-1.3084725270352189E-2"/>
              <c:y val="-3.711340206185567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9"/>
        <c:dLbl>
          <c:idx val="0"/>
          <c:layout>
            <c:manualLayout>
              <c:x val="-2.2894524616056434E-2"/>
              <c:y val="-2.472187886279359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0"/>
        <c:dLbl>
          <c:idx val="0"/>
          <c:layout>
            <c:manualLayout>
              <c:x val="-1.7988555055472866E-2"/>
              <c:y val="-2.060156571899464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1"/>
        <c:dLbl>
          <c:idx val="0"/>
          <c:layout>
            <c:manualLayout>
              <c:x val="-1.3082585494889358E-2"/>
              <c:y val="-2.88421920065925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2"/>
        <c:dLbl>
          <c:idx val="0"/>
          <c:layout>
            <c:manualLayout>
              <c:x val="-1.6353231868611758E-2"/>
              <c:y val="-3.2962505150391445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3"/>
        <c:dLbl>
          <c:idx val="0"/>
          <c:layout>
            <c:manualLayout>
              <c:x val="-2.1259201429195206E-2"/>
              <c:y val="-2.472187886279359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1.9623878242334036E-2"/>
              <c:y val="-1.8541409147095178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EF9B2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rgbClr val="E6D800">
              <a:alpha val="93000"/>
            </a:srgbClr>
          </a:solidFill>
          <a:ln>
            <a:noFill/>
          </a:ln>
          <a:effectLst>
            <a:outerShdw blurRad="57150" dist="19050" dir="5400000" algn="ctr" rotWithShape="0">
              <a:srgbClr val="000000">
                <a:alpha val="63000"/>
              </a:srgbClr>
            </a:outerShdw>
          </a:effectLst>
        </c:spPr>
        <c:marker>
          <c:symbol val="none"/>
        </c:marker>
        <c:dLbl>
          <c:idx val="0"/>
          <c:spPr>
            <a:solidFill>
              <a:srgbClr val="FFFF00"/>
            </a:solidFill>
            <a:ln>
              <a:noFill/>
            </a:ln>
            <a:effectLst>
              <a:softEdge rad="31750"/>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rgbClr val="1A53FF">
              <a:alpha val="87451"/>
            </a:srgbClr>
          </a:solidFill>
          <a:ln>
            <a:noFill/>
          </a:ln>
          <a:effectLst>
            <a:outerShdw blurRad="57150" dist="19050" dir="5400000" algn="ctr" rotWithShape="0">
              <a:srgbClr val="000000">
                <a:alpha val="63000"/>
              </a:srgbClr>
            </a:outerShdw>
          </a:effectLst>
        </c:spPr>
        <c:marker>
          <c:symbol val="none"/>
        </c:marker>
        <c:dLbl>
          <c:idx val="0"/>
          <c:spPr>
            <a:solidFill>
              <a:schemeClr val="accent1">
                <a:lumMod val="60000"/>
                <a:lumOff val="40000"/>
              </a:schemeClr>
            </a:solidFill>
            <a:ln>
              <a:noFill/>
            </a:ln>
            <a:effectLst>
              <a:softEdge rad="31750"/>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5875" cap="rnd">
            <a:solidFill>
              <a:srgbClr val="99600B"/>
            </a:solidFill>
            <a:round/>
          </a:ln>
          <a:effectLst>
            <a:outerShdw blurRad="57150" dist="19050" dir="5400000" algn="ctr" rotWithShape="0">
              <a:srgbClr val="000000">
                <a:alpha val="63000"/>
              </a:srgbClr>
            </a:outerShdw>
          </a:effectLst>
        </c:spPr>
        <c:marker>
          <c:symbol val="circle"/>
          <c:size val="6"/>
          <c:spPr>
            <a:solidFill>
              <a:srgbClr val="99600B"/>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1A53FF">
              <a:alpha val="95000"/>
            </a:srgbClr>
          </a:solidFill>
          <a:ln>
            <a:noFill/>
          </a:ln>
          <a:effectLst>
            <a:outerShdw blurRad="57150" dist="19050" dir="5400000" algn="ctr" rotWithShape="0">
              <a:srgbClr val="000000">
                <a:alpha val="63000"/>
              </a:srgbClr>
            </a:outerShdw>
          </a:effectLst>
        </c:spPr>
      </c:pivotFmt>
      <c:pivotFmt>
        <c:idx val="40"/>
        <c:spPr>
          <a:solidFill>
            <a:srgbClr val="EF9B2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rgbClr val="E6D800">
              <a:alpha val="93000"/>
            </a:srgbClr>
          </a:solidFill>
          <a:ln>
            <a:noFill/>
          </a:ln>
          <a:effectLst>
            <a:outerShdw blurRad="57150" dist="19050" dir="5400000" algn="ctr" rotWithShape="0">
              <a:srgbClr val="000000">
                <a:alpha val="63000"/>
              </a:srgbClr>
            </a:outerShdw>
          </a:effectLst>
        </c:spPr>
        <c:marker>
          <c:symbol val="none"/>
        </c:marker>
        <c:dLbl>
          <c:idx val="0"/>
          <c:spPr>
            <a:solidFill>
              <a:srgbClr val="FFFF00"/>
            </a:solidFill>
            <a:ln>
              <a:noFill/>
            </a:ln>
            <a:effectLst>
              <a:softEdge rad="31750"/>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rgbClr val="1A53FF">
              <a:alpha val="87451"/>
            </a:srgbClr>
          </a:solidFill>
          <a:ln>
            <a:noFill/>
          </a:ln>
          <a:effectLst>
            <a:outerShdw blurRad="57150" dist="19050" dir="5400000" algn="ctr" rotWithShape="0">
              <a:srgbClr val="000000">
                <a:alpha val="63000"/>
              </a:srgbClr>
            </a:outerShdw>
          </a:effectLst>
        </c:spPr>
        <c:marker>
          <c:symbol val="none"/>
        </c:marker>
        <c:dLbl>
          <c:idx val="0"/>
          <c:spPr>
            <a:solidFill>
              <a:schemeClr val="accent1">
                <a:lumMod val="60000"/>
                <a:lumOff val="40000"/>
              </a:schemeClr>
            </a:solidFill>
            <a:ln>
              <a:noFill/>
            </a:ln>
            <a:effectLst>
              <a:softEdge rad="31750"/>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5875" cap="rnd">
            <a:solidFill>
              <a:srgbClr val="99600B"/>
            </a:solidFill>
            <a:round/>
          </a:ln>
          <a:effectLst>
            <a:outerShdw blurRad="57150" dist="19050" dir="5400000" algn="ctr" rotWithShape="0">
              <a:srgbClr val="000000">
                <a:alpha val="63000"/>
              </a:srgbClr>
            </a:outerShdw>
          </a:effectLst>
        </c:spPr>
        <c:marker>
          <c:symbol val="circle"/>
          <c:size val="6"/>
          <c:spPr>
            <a:solidFill>
              <a:srgbClr val="99600B"/>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EF9B2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E6D800">
              <a:alpha val="93000"/>
            </a:srgbClr>
          </a:solidFill>
          <a:ln>
            <a:noFill/>
          </a:ln>
          <a:effectLst>
            <a:outerShdw blurRad="57150" dist="19050" dir="5400000" algn="ctr" rotWithShape="0">
              <a:srgbClr val="000000">
                <a:alpha val="63000"/>
              </a:srgbClr>
            </a:outerShdw>
          </a:effectLst>
        </c:spPr>
        <c:marker>
          <c:symbol val="none"/>
        </c:marker>
        <c:dLbl>
          <c:idx val="0"/>
          <c:spPr>
            <a:solidFill>
              <a:srgbClr val="FFFF00"/>
            </a:solidFill>
            <a:ln>
              <a:noFill/>
            </a:ln>
            <a:effectLst>
              <a:softEdge rad="31750"/>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1A53FF">
              <a:alpha val="87451"/>
            </a:srgbClr>
          </a:solidFill>
          <a:ln>
            <a:noFill/>
          </a:ln>
          <a:effectLst>
            <a:outerShdw blurRad="57150" dist="19050" dir="5400000" algn="ctr" rotWithShape="0">
              <a:srgbClr val="000000">
                <a:alpha val="63000"/>
              </a:srgbClr>
            </a:outerShdw>
          </a:effectLst>
        </c:spPr>
        <c:marker>
          <c:symbol val="none"/>
        </c:marker>
        <c:dLbl>
          <c:idx val="0"/>
          <c:spPr>
            <a:solidFill>
              <a:schemeClr val="accent1">
                <a:lumMod val="60000"/>
                <a:lumOff val="40000"/>
              </a:schemeClr>
            </a:solidFill>
            <a:ln>
              <a:noFill/>
            </a:ln>
            <a:effectLst>
              <a:softEdge rad="31750"/>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5875" cap="rnd">
            <a:solidFill>
              <a:srgbClr val="99600B"/>
            </a:solidFill>
            <a:round/>
          </a:ln>
          <a:effectLst>
            <a:outerShdw blurRad="57150" dist="19050" dir="5400000" algn="ctr" rotWithShape="0">
              <a:srgbClr val="000000">
                <a:alpha val="63000"/>
              </a:srgbClr>
            </a:outerShdw>
          </a:effectLst>
        </c:spPr>
        <c:marker>
          <c:symbol val="circle"/>
          <c:size val="6"/>
          <c:spPr>
            <a:solidFill>
              <a:srgbClr val="99600B"/>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EF9B2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rgbClr val="E6D800">
              <a:alpha val="93000"/>
            </a:srgbClr>
          </a:solidFill>
          <a:ln>
            <a:noFill/>
          </a:ln>
          <a:effectLst>
            <a:outerShdw blurRad="57150" dist="19050" dir="5400000" algn="ctr" rotWithShape="0">
              <a:srgbClr val="000000">
                <a:alpha val="63000"/>
              </a:srgbClr>
            </a:outerShdw>
          </a:effectLst>
        </c:spPr>
        <c:marker>
          <c:symbol val="none"/>
        </c:marker>
        <c:dLbl>
          <c:idx val="0"/>
          <c:spPr>
            <a:solidFill>
              <a:srgbClr val="FFFF00"/>
            </a:solidFill>
            <a:ln>
              <a:noFill/>
            </a:ln>
            <a:effectLst>
              <a:softEdge rad="31750"/>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rgbClr val="1A53FF">
              <a:alpha val="87451"/>
            </a:srgbClr>
          </a:solidFill>
          <a:ln>
            <a:noFill/>
          </a:ln>
          <a:effectLst>
            <a:outerShdw blurRad="57150" dist="19050" dir="5400000" algn="ctr" rotWithShape="0">
              <a:srgbClr val="000000">
                <a:alpha val="63000"/>
              </a:srgbClr>
            </a:outerShdw>
          </a:effectLst>
        </c:spPr>
        <c:marker>
          <c:symbol val="none"/>
        </c:marker>
        <c:dLbl>
          <c:idx val="0"/>
          <c:spPr>
            <a:solidFill>
              <a:schemeClr val="accent1">
                <a:lumMod val="60000"/>
                <a:lumOff val="40000"/>
              </a:schemeClr>
            </a:solidFill>
            <a:ln>
              <a:noFill/>
            </a:ln>
            <a:effectLst>
              <a:softEdge rad="31750"/>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5875" cap="rnd">
            <a:solidFill>
              <a:srgbClr val="99600B"/>
            </a:solidFill>
            <a:round/>
          </a:ln>
          <a:effectLst>
            <a:outerShdw blurRad="57150" dist="19050" dir="5400000" algn="ctr" rotWithShape="0">
              <a:srgbClr val="000000">
                <a:alpha val="63000"/>
              </a:srgbClr>
            </a:outerShdw>
          </a:effectLst>
        </c:spPr>
        <c:marker>
          <c:symbol val="circle"/>
          <c:size val="6"/>
          <c:spPr>
            <a:solidFill>
              <a:schemeClr val="accent4">
                <a:lumMod val="50000"/>
              </a:schemeClr>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EF9B2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rgbClr val="E6D800">
              <a:alpha val="93000"/>
            </a:srgbClr>
          </a:solidFill>
          <a:ln>
            <a:noFill/>
          </a:ln>
          <a:effectLst>
            <a:outerShdw blurRad="57150" dist="19050" dir="5400000" algn="ctr" rotWithShape="0">
              <a:srgbClr val="000000">
                <a:alpha val="63000"/>
              </a:srgbClr>
            </a:outerShdw>
          </a:effectLst>
        </c:spPr>
        <c:marker>
          <c:symbol val="none"/>
        </c:marker>
        <c:dLbl>
          <c:idx val="0"/>
          <c:spPr>
            <a:solidFill>
              <a:srgbClr val="FFFF00"/>
            </a:solidFill>
            <a:ln>
              <a:noFill/>
            </a:ln>
            <a:effectLst>
              <a:softEdge rad="31750"/>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1A53FF">
              <a:alpha val="87451"/>
            </a:srgbClr>
          </a:solidFill>
          <a:ln>
            <a:noFill/>
          </a:ln>
          <a:effectLst>
            <a:outerShdw blurRad="57150" dist="19050" dir="5400000" algn="ctr" rotWithShape="0">
              <a:srgbClr val="000000">
                <a:alpha val="63000"/>
              </a:srgbClr>
            </a:outerShdw>
          </a:effectLst>
        </c:spPr>
        <c:marker>
          <c:symbol val="none"/>
        </c:marker>
        <c:dLbl>
          <c:idx val="0"/>
          <c:spPr>
            <a:solidFill>
              <a:schemeClr val="accent1">
                <a:lumMod val="60000"/>
                <a:lumOff val="40000"/>
              </a:schemeClr>
            </a:solidFill>
            <a:ln>
              <a:noFill/>
            </a:ln>
            <a:effectLst>
              <a:softEdge rad="31750"/>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5875" cap="rnd">
            <a:solidFill>
              <a:srgbClr val="99600B"/>
            </a:solidFill>
            <a:round/>
          </a:ln>
          <a:effectLst>
            <a:outerShdw blurRad="57150" dist="19050" dir="5400000" algn="ctr" rotWithShape="0">
              <a:srgbClr val="000000">
                <a:alpha val="63000"/>
              </a:srgbClr>
            </a:outerShdw>
          </a:effectLst>
        </c:spPr>
        <c:marker>
          <c:symbol val="circle"/>
          <c:size val="6"/>
          <c:spPr>
            <a:solidFill>
              <a:schemeClr val="accent4">
                <a:lumMod val="50000"/>
              </a:schemeClr>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
        <c:spPr>
          <a:solidFill>
            <a:srgbClr val="EF9B2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rgbClr val="E6D800">
              <a:alpha val="93000"/>
            </a:srgbClr>
          </a:solidFill>
          <a:ln>
            <a:noFill/>
          </a:ln>
          <a:effectLst>
            <a:outerShdw blurRad="57150" dist="19050" dir="5400000" algn="ctr" rotWithShape="0">
              <a:srgbClr val="000000">
                <a:alpha val="63000"/>
              </a:srgbClr>
            </a:outerShdw>
          </a:effectLst>
        </c:spPr>
        <c:marker>
          <c:symbol val="none"/>
        </c:marker>
        <c:dLbl>
          <c:idx val="0"/>
          <c:spPr>
            <a:solidFill>
              <a:srgbClr val="FFFF00"/>
            </a:solidFill>
            <a:ln>
              <a:noFill/>
            </a:ln>
            <a:effectLst>
              <a:softEdge rad="31750"/>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rgbClr val="1A53FF">
              <a:alpha val="87451"/>
            </a:srgbClr>
          </a:solidFill>
          <a:ln>
            <a:noFill/>
          </a:ln>
          <a:effectLst>
            <a:outerShdw blurRad="57150" dist="19050" dir="5400000" algn="ctr" rotWithShape="0">
              <a:srgbClr val="000000">
                <a:alpha val="63000"/>
              </a:srgbClr>
            </a:outerShdw>
          </a:effectLst>
        </c:spPr>
        <c:marker>
          <c:symbol val="none"/>
        </c:marker>
        <c:dLbl>
          <c:idx val="0"/>
          <c:spPr>
            <a:solidFill>
              <a:schemeClr val="accent1">
                <a:lumMod val="60000"/>
                <a:lumOff val="40000"/>
              </a:schemeClr>
            </a:solidFill>
            <a:ln>
              <a:noFill/>
            </a:ln>
            <a:effectLst>
              <a:softEdge rad="31750"/>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9"/>
        <c:spPr>
          <a:ln w="15875" cap="rnd">
            <a:solidFill>
              <a:srgbClr val="99600B"/>
            </a:solidFill>
            <a:round/>
          </a:ln>
          <a:effectLst>
            <a:outerShdw blurRad="57150" dist="19050" dir="5400000" algn="ctr" rotWithShape="0">
              <a:srgbClr val="000000">
                <a:alpha val="63000"/>
              </a:srgbClr>
            </a:outerShdw>
          </a:effectLst>
        </c:spPr>
        <c:marker>
          <c:symbol val="circle"/>
          <c:size val="6"/>
          <c:spPr>
            <a:solidFill>
              <a:schemeClr val="accent4">
                <a:lumMod val="50000"/>
              </a:schemeClr>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0"/>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61"/>
        <c:dLbl>
          <c:idx val="0"/>
          <c:layout>
            <c:manualLayout>
              <c:x val="-5.0619381508211041E-2"/>
              <c:y val="-3.1123109283609916E-2"/>
            </c:manualLayout>
          </c:layout>
          <c:dLblPos val="r"/>
          <c:showLegendKey val="0"/>
          <c:showVal val="0"/>
          <c:showCatName val="0"/>
          <c:showSerName val="0"/>
          <c:showPercent val="0"/>
          <c:showBubbleSize val="0"/>
          <c:extLst>
            <c:ext xmlns:c15="http://schemas.microsoft.com/office/drawing/2012/chart" uri="{CE6537A1-D6FC-4f65-9D91-7224C49458BB}"/>
          </c:extLst>
        </c:dLbl>
      </c:pivotFmt>
      <c:pivotFmt>
        <c:idx val="62"/>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63"/>
        <c:dLbl>
          <c:idx val="0"/>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87562038524821"/>
          <c:y val="0.13727177831294327"/>
          <c:w val="0.78288603842881155"/>
          <c:h val="0.59146509972480021"/>
        </c:manualLayout>
      </c:layout>
      <c:barChart>
        <c:barDir val="col"/>
        <c:grouping val="clustered"/>
        <c:varyColors val="0"/>
        <c:ser>
          <c:idx val="0"/>
          <c:order val="0"/>
          <c:tx>
            <c:strRef>
              <c:f>RTT!$B$5</c:f>
              <c:strCache>
                <c:ptCount val="1"/>
                <c:pt idx="0">
                  <c:v> CD4_tests</c:v>
                </c:pt>
              </c:strCache>
            </c:strRef>
          </c:tx>
          <c:spPr>
            <a:solidFill>
              <a:srgbClr val="EF9B2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RTT!$A$6:$A$42</c:f>
              <c:multiLvlStrCache>
                <c:ptCount val="17"/>
                <c:lvl>
                  <c:pt idx="0">
                    <c:v>14</c:v>
                  </c:pt>
                  <c:pt idx="1">
                    <c:v>36</c:v>
                  </c:pt>
                  <c:pt idx="2">
                    <c:v>44</c:v>
                  </c:pt>
                  <c:pt idx="3">
                    <c:v>50</c:v>
                  </c:pt>
                  <c:pt idx="4">
                    <c:v>67</c:v>
                  </c:pt>
                  <c:pt idx="5">
                    <c:v>45</c:v>
                  </c:pt>
                  <c:pt idx="6">
                    <c:v>64</c:v>
                  </c:pt>
                  <c:pt idx="7">
                    <c:v>44</c:v>
                  </c:pt>
                  <c:pt idx="8">
                    <c:v>48</c:v>
                  </c:pt>
                  <c:pt idx="9">
                    <c:v>41</c:v>
                  </c:pt>
                  <c:pt idx="10">
                    <c:v>29</c:v>
                  </c:pt>
                  <c:pt idx="11">
                    <c:v>50</c:v>
                  </c:pt>
                  <c:pt idx="12">
                    <c:v>44</c:v>
                  </c:pt>
                  <c:pt idx="13">
                    <c:v>26</c:v>
                  </c:pt>
                  <c:pt idx="14">
                    <c:v>24</c:v>
                  </c:pt>
                  <c:pt idx="15">
                    <c:v>35</c:v>
                  </c:pt>
                  <c:pt idx="16">
                    <c:v>69</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2024</c:v>
                  </c:pt>
                  <c:pt idx="12">
                    <c:v>2025</c:v>
                  </c:pt>
                </c:lvl>
              </c:multiLvlStrCache>
            </c:multiLvlStrRef>
          </c:cat>
          <c:val>
            <c:numRef>
              <c:f>RTT!$B$6:$B$42</c:f>
              <c:numCache>
                <c:formatCode>General</c:formatCode>
                <c:ptCount val="17"/>
                <c:pt idx="0">
                  <c:v>14</c:v>
                </c:pt>
                <c:pt idx="1">
                  <c:v>36</c:v>
                </c:pt>
                <c:pt idx="2">
                  <c:v>44</c:v>
                </c:pt>
                <c:pt idx="3">
                  <c:v>37</c:v>
                </c:pt>
                <c:pt idx="4">
                  <c:v>42</c:v>
                </c:pt>
                <c:pt idx="5">
                  <c:v>45</c:v>
                </c:pt>
                <c:pt idx="6">
                  <c:v>64</c:v>
                </c:pt>
                <c:pt idx="7">
                  <c:v>44</c:v>
                </c:pt>
                <c:pt idx="8">
                  <c:v>48</c:v>
                </c:pt>
                <c:pt idx="9">
                  <c:v>41</c:v>
                </c:pt>
                <c:pt idx="10">
                  <c:v>29</c:v>
                </c:pt>
                <c:pt idx="11">
                  <c:v>50</c:v>
                </c:pt>
                <c:pt idx="12">
                  <c:v>44</c:v>
                </c:pt>
                <c:pt idx="13">
                  <c:v>26</c:v>
                </c:pt>
                <c:pt idx="14">
                  <c:v>24</c:v>
                </c:pt>
                <c:pt idx="15">
                  <c:v>34</c:v>
                </c:pt>
                <c:pt idx="16">
                  <c:v>35</c:v>
                </c:pt>
              </c:numCache>
            </c:numRef>
          </c:val>
          <c:extLst>
            <c:ext xmlns:c16="http://schemas.microsoft.com/office/drawing/2014/chart" uri="{C3380CC4-5D6E-409C-BE32-E72D297353CC}">
              <c16:uniqueId val="{00000000-A8A5-425C-B69F-A536BA014A10}"/>
            </c:ext>
          </c:extLst>
        </c:ser>
        <c:ser>
          <c:idx val="1"/>
          <c:order val="1"/>
          <c:tx>
            <c:strRef>
              <c:f>RTT!$C$5</c:f>
              <c:strCache>
                <c:ptCount val="1"/>
                <c:pt idx="0">
                  <c:v> LAM_tests</c:v>
                </c:pt>
              </c:strCache>
            </c:strRef>
          </c:tx>
          <c:spPr>
            <a:solidFill>
              <a:srgbClr val="E6D800">
                <a:alpha val="93000"/>
              </a:srgbClr>
            </a:solidFill>
            <a:ln>
              <a:noFill/>
            </a:ln>
            <a:effectLst>
              <a:outerShdw blurRad="57150" dist="19050" dir="5400000" algn="ctr" rotWithShape="0">
                <a:srgbClr val="000000">
                  <a:alpha val="63000"/>
                </a:srgbClr>
              </a:outerShdw>
            </a:effectLst>
          </c:spPr>
          <c:invertIfNegative val="0"/>
          <c:dLbls>
            <c:spPr>
              <a:solidFill>
                <a:srgbClr val="FFFF00"/>
              </a:solidFill>
              <a:ln>
                <a:noFill/>
              </a:ln>
              <a:effectLst>
                <a:softEdge rad="31750"/>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RTT!$A$6:$A$42</c:f>
              <c:multiLvlStrCache>
                <c:ptCount val="17"/>
                <c:lvl>
                  <c:pt idx="0">
                    <c:v>14</c:v>
                  </c:pt>
                  <c:pt idx="1">
                    <c:v>36</c:v>
                  </c:pt>
                  <c:pt idx="2">
                    <c:v>44</c:v>
                  </c:pt>
                  <c:pt idx="3">
                    <c:v>50</c:v>
                  </c:pt>
                  <c:pt idx="4">
                    <c:v>67</c:v>
                  </c:pt>
                  <c:pt idx="5">
                    <c:v>45</c:v>
                  </c:pt>
                  <c:pt idx="6">
                    <c:v>64</c:v>
                  </c:pt>
                  <c:pt idx="7">
                    <c:v>44</c:v>
                  </c:pt>
                  <c:pt idx="8">
                    <c:v>48</c:v>
                  </c:pt>
                  <c:pt idx="9">
                    <c:v>41</c:v>
                  </c:pt>
                  <c:pt idx="10">
                    <c:v>29</c:v>
                  </c:pt>
                  <c:pt idx="11">
                    <c:v>50</c:v>
                  </c:pt>
                  <c:pt idx="12">
                    <c:v>44</c:v>
                  </c:pt>
                  <c:pt idx="13">
                    <c:v>26</c:v>
                  </c:pt>
                  <c:pt idx="14">
                    <c:v>24</c:v>
                  </c:pt>
                  <c:pt idx="15">
                    <c:v>35</c:v>
                  </c:pt>
                  <c:pt idx="16">
                    <c:v>69</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2024</c:v>
                  </c:pt>
                  <c:pt idx="12">
                    <c:v>2025</c:v>
                  </c:pt>
                </c:lvl>
              </c:multiLvlStrCache>
            </c:multiLvlStrRef>
          </c:cat>
          <c:val>
            <c:numRef>
              <c:f>RTT!$C$6:$C$42</c:f>
              <c:numCache>
                <c:formatCode>General</c:formatCode>
                <c:ptCount val="17"/>
                <c:pt idx="0">
                  <c:v>2</c:v>
                </c:pt>
                <c:pt idx="1">
                  <c:v>10</c:v>
                </c:pt>
                <c:pt idx="2">
                  <c:v>11</c:v>
                </c:pt>
                <c:pt idx="3">
                  <c:v>0</c:v>
                </c:pt>
                <c:pt idx="4">
                  <c:v>0</c:v>
                </c:pt>
                <c:pt idx="5">
                  <c:v>0</c:v>
                </c:pt>
                <c:pt idx="6">
                  <c:v>0</c:v>
                </c:pt>
                <c:pt idx="7">
                  <c:v>2</c:v>
                </c:pt>
                <c:pt idx="8">
                  <c:v>20</c:v>
                </c:pt>
                <c:pt idx="9">
                  <c:v>11</c:v>
                </c:pt>
                <c:pt idx="10">
                  <c:v>5</c:v>
                </c:pt>
                <c:pt idx="11">
                  <c:v>16</c:v>
                </c:pt>
                <c:pt idx="12">
                  <c:v>9</c:v>
                </c:pt>
                <c:pt idx="13">
                  <c:v>5</c:v>
                </c:pt>
                <c:pt idx="14">
                  <c:v>4</c:v>
                </c:pt>
                <c:pt idx="15">
                  <c:v>6</c:v>
                </c:pt>
                <c:pt idx="16">
                  <c:v>3</c:v>
                </c:pt>
              </c:numCache>
            </c:numRef>
          </c:val>
          <c:extLst>
            <c:ext xmlns:c16="http://schemas.microsoft.com/office/drawing/2014/chart" uri="{C3380CC4-5D6E-409C-BE32-E72D297353CC}">
              <c16:uniqueId val="{00000001-A8A5-425C-B69F-A536BA014A10}"/>
            </c:ext>
          </c:extLst>
        </c:ser>
        <c:ser>
          <c:idx val="2"/>
          <c:order val="2"/>
          <c:tx>
            <c:strRef>
              <c:f>RTT!$D$5</c:f>
              <c:strCache>
                <c:ptCount val="1"/>
                <c:pt idx="0">
                  <c:v>CrAg-tests</c:v>
                </c:pt>
              </c:strCache>
            </c:strRef>
          </c:tx>
          <c:spPr>
            <a:solidFill>
              <a:srgbClr val="1A53FF">
                <a:alpha val="87451"/>
              </a:srgbClr>
            </a:solidFill>
            <a:ln>
              <a:noFill/>
            </a:ln>
            <a:effectLst>
              <a:outerShdw blurRad="57150" dist="19050" dir="5400000" algn="ctr" rotWithShape="0">
                <a:srgbClr val="000000">
                  <a:alpha val="63000"/>
                </a:srgbClr>
              </a:outerShdw>
            </a:effectLst>
          </c:spPr>
          <c:invertIfNegative val="0"/>
          <c:dLbls>
            <c:spPr>
              <a:solidFill>
                <a:schemeClr val="accent1">
                  <a:lumMod val="60000"/>
                  <a:lumOff val="40000"/>
                </a:schemeClr>
              </a:solidFill>
              <a:ln>
                <a:noFill/>
              </a:ln>
              <a:effectLst>
                <a:softEdge rad="31750"/>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RTT!$A$6:$A$42</c:f>
              <c:multiLvlStrCache>
                <c:ptCount val="17"/>
                <c:lvl>
                  <c:pt idx="0">
                    <c:v>14</c:v>
                  </c:pt>
                  <c:pt idx="1">
                    <c:v>36</c:v>
                  </c:pt>
                  <c:pt idx="2">
                    <c:v>44</c:v>
                  </c:pt>
                  <c:pt idx="3">
                    <c:v>50</c:v>
                  </c:pt>
                  <c:pt idx="4">
                    <c:v>67</c:v>
                  </c:pt>
                  <c:pt idx="5">
                    <c:v>45</c:v>
                  </c:pt>
                  <c:pt idx="6">
                    <c:v>64</c:v>
                  </c:pt>
                  <c:pt idx="7">
                    <c:v>44</c:v>
                  </c:pt>
                  <c:pt idx="8">
                    <c:v>48</c:v>
                  </c:pt>
                  <c:pt idx="9">
                    <c:v>41</c:v>
                  </c:pt>
                  <c:pt idx="10">
                    <c:v>29</c:v>
                  </c:pt>
                  <c:pt idx="11">
                    <c:v>50</c:v>
                  </c:pt>
                  <c:pt idx="12">
                    <c:v>44</c:v>
                  </c:pt>
                  <c:pt idx="13">
                    <c:v>26</c:v>
                  </c:pt>
                  <c:pt idx="14">
                    <c:v>24</c:v>
                  </c:pt>
                  <c:pt idx="15">
                    <c:v>35</c:v>
                  </c:pt>
                  <c:pt idx="16">
                    <c:v>69</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2024</c:v>
                  </c:pt>
                  <c:pt idx="12">
                    <c:v>2025</c:v>
                  </c:pt>
                </c:lvl>
              </c:multiLvlStrCache>
            </c:multiLvlStrRef>
          </c:cat>
          <c:val>
            <c:numRef>
              <c:f>RTT!$D$6:$D$42</c:f>
              <c:numCache>
                <c:formatCode>General</c:formatCode>
                <c:ptCount val="17"/>
                <c:pt idx="0">
                  <c:v>2</c:v>
                </c:pt>
                <c:pt idx="1">
                  <c:v>10</c:v>
                </c:pt>
                <c:pt idx="2">
                  <c:v>11</c:v>
                </c:pt>
                <c:pt idx="3">
                  <c:v>8</c:v>
                </c:pt>
                <c:pt idx="4">
                  <c:v>11</c:v>
                </c:pt>
                <c:pt idx="5">
                  <c:v>0</c:v>
                </c:pt>
                <c:pt idx="6">
                  <c:v>16</c:v>
                </c:pt>
                <c:pt idx="7">
                  <c:v>11</c:v>
                </c:pt>
                <c:pt idx="8">
                  <c:v>20</c:v>
                </c:pt>
                <c:pt idx="9">
                  <c:v>11</c:v>
                </c:pt>
                <c:pt idx="10">
                  <c:v>5</c:v>
                </c:pt>
                <c:pt idx="11">
                  <c:v>16</c:v>
                </c:pt>
                <c:pt idx="12">
                  <c:v>9</c:v>
                </c:pt>
                <c:pt idx="13">
                  <c:v>5</c:v>
                </c:pt>
                <c:pt idx="14">
                  <c:v>4</c:v>
                </c:pt>
                <c:pt idx="15">
                  <c:v>6</c:v>
                </c:pt>
                <c:pt idx="16">
                  <c:v>3</c:v>
                </c:pt>
              </c:numCache>
            </c:numRef>
          </c:val>
          <c:extLst>
            <c:ext xmlns:c16="http://schemas.microsoft.com/office/drawing/2014/chart" uri="{C3380CC4-5D6E-409C-BE32-E72D297353CC}">
              <c16:uniqueId val="{00000002-A8A5-425C-B69F-A536BA014A10}"/>
            </c:ext>
          </c:extLst>
        </c:ser>
        <c:dLbls>
          <c:showLegendKey val="0"/>
          <c:showVal val="0"/>
          <c:showCatName val="0"/>
          <c:showSerName val="0"/>
          <c:showPercent val="0"/>
          <c:showBubbleSize val="0"/>
        </c:dLbls>
        <c:gapWidth val="100"/>
        <c:overlap val="44"/>
        <c:axId val="939995816"/>
        <c:axId val="939997976"/>
      </c:barChart>
      <c:lineChart>
        <c:grouping val="standard"/>
        <c:varyColors val="0"/>
        <c:ser>
          <c:idx val="3"/>
          <c:order val="3"/>
          <c:tx>
            <c:strRef>
              <c:f>RTT!$E$5</c:f>
              <c:strCache>
                <c:ptCount val="1"/>
                <c:pt idx="0">
                  <c:v> AHD_screening_cov%</c:v>
                </c:pt>
              </c:strCache>
            </c:strRef>
          </c:tx>
          <c:spPr>
            <a:ln w="15875" cap="rnd">
              <a:solidFill>
                <a:srgbClr val="99600B"/>
              </a:solidFill>
              <a:round/>
            </a:ln>
            <a:effectLst>
              <a:outerShdw blurRad="57150" dist="19050" dir="5400000" algn="ctr" rotWithShape="0">
                <a:srgbClr val="000000">
                  <a:alpha val="63000"/>
                </a:srgbClr>
              </a:outerShdw>
            </a:effectLst>
          </c:spPr>
          <c:marker>
            <c:symbol val="circle"/>
            <c:size val="6"/>
            <c:spPr>
              <a:solidFill>
                <a:schemeClr val="accent4">
                  <a:lumMod val="50000"/>
                </a:schemeClr>
              </a:solidFill>
              <a:ln w="9525">
                <a:no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RTT!$A$6:$A$42</c:f>
              <c:multiLvlStrCache>
                <c:ptCount val="17"/>
                <c:lvl>
                  <c:pt idx="0">
                    <c:v>14</c:v>
                  </c:pt>
                  <c:pt idx="1">
                    <c:v>36</c:v>
                  </c:pt>
                  <c:pt idx="2">
                    <c:v>44</c:v>
                  </c:pt>
                  <c:pt idx="3">
                    <c:v>50</c:v>
                  </c:pt>
                  <c:pt idx="4">
                    <c:v>67</c:v>
                  </c:pt>
                  <c:pt idx="5">
                    <c:v>45</c:v>
                  </c:pt>
                  <c:pt idx="6">
                    <c:v>64</c:v>
                  </c:pt>
                  <c:pt idx="7">
                    <c:v>44</c:v>
                  </c:pt>
                  <c:pt idx="8">
                    <c:v>48</c:v>
                  </c:pt>
                  <c:pt idx="9">
                    <c:v>41</c:v>
                  </c:pt>
                  <c:pt idx="10">
                    <c:v>29</c:v>
                  </c:pt>
                  <c:pt idx="11">
                    <c:v>50</c:v>
                  </c:pt>
                  <c:pt idx="12">
                    <c:v>44</c:v>
                  </c:pt>
                  <c:pt idx="13">
                    <c:v>26</c:v>
                  </c:pt>
                  <c:pt idx="14">
                    <c:v>24</c:v>
                  </c:pt>
                  <c:pt idx="15">
                    <c:v>35</c:v>
                  </c:pt>
                  <c:pt idx="16">
                    <c:v>69</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2024</c:v>
                  </c:pt>
                  <c:pt idx="12">
                    <c:v>2025</c:v>
                  </c:pt>
                </c:lvl>
              </c:multiLvlStrCache>
            </c:multiLvlStrRef>
          </c:cat>
          <c:val>
            <c:numRef>
              <c:f>RTT!$E$6:$E$42</c:f>
              <c:numCache>
                <c:formatCode>0%</c:formatCode>
                <c:ptCount val="17"/>
                <c:pt idx="0">
                  <c:v>1</c:v>
                </c:pt>
                <c:pt idx="1">
                  <c:v>1</c:v>
                </c:pt>
                <c:pt idx="2">
                  <c:v>1</c:v>
                </c:pt>
                <c:pt idx="3">
                  <c:v>0.74</c:v>
                </c:pt>
                <c:pt idx="4">
                  <c:v>0.62686567164179108</c:v>
                </c:pt>
                <c:pt idx="5">
                  <c:v>1</c:v>
                </c:pt>
                <c:pt idx="6">
                  <c:v>1</c:v>
                </c:pt>
                <c:pt idx="7">
                  <c:v>1</c:v>
                </c:pt>
                <c:pt idx="8">
                  <c:v>1</c:v>
                </c:pt>
                <c:pt idx="9">
                  <c:v>1</c:v>
                </c:pt>
                <c:pt idx="10">
                  <c:v>1</c:v>
                </c:pt>
                <c:pt idx="11">
                  <c:v>1</c:v>
                </c:pt>
                <c:pt idx="12">
                  <c:v>1</c:v>
                </c:pt>
                <c:pt idx="13">
                  <c:v>1</c:v>
                </c:pt>
                <c:pt idx="14">
                  <c:v>1</c:v>
                </c:pt>
                <c:pt idx="15">
                  <c:v>0.97142857142857142</c:v>
                </c:pt>
                <c:pt idx="16">
                  <c:v>0.50724637681159424</c:v>
                </c:pt>
              </c:numCache>
            </c:numRef>
          </c:val>
          <c:smooth val="1"/>
          <c:extLst>
            <c:ext xmlns:c16="http://schemas.microsoft.com/office/drawing/2014/chart" uri="{C3380CC4-5D6E-409C-BE32-E72D297353CC}">
              <c16:uniqueId val="{00000001-1ADF-4F2C-B832-926314AB77AC}"/>
            </c:ext>
          </c:extLst>
        </c:ser>
        <c:dLbls>
          <c:showLegendKey val="0"/>
          <c:showVal val="0"/>
          <c:showCatName val="0"/>
          <c:showSerName val="0"/>
          <c:showPercent val="0"/>
          <c:showBubbleSize val="0"/>
        </c:dLbls>
        <c:marker val="1"/>
        <c:smooth val="0"/>
        <c:axId val="76707791"/>
        <c:axId val="76703471"/>
      </c:lineChart>
      <c:catAx>
        <c:axId val="939995816"/>
        <c:scaling>
          <c:orientation val="minMax"/>
        </c:scaling>
        <c:delete val="0"/>
        <c:axPos val="b"/>
        <c:title>
          <c:tx>
            <c:rich>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r>
                  <a:rPr lang="en-US"/>
                  <a:t>Number of RTTs per period</a:t>
                </a:r>
              </a:p>
            </c:rich>
          </c:tx>
          <c:layout>
            <c:manualLayout>
              <c:xMode val="edge"/>
              <c:yMode val="edge"/>
              <c:x val="0.40679011940305809"/>
              <c:y val="0.88843684403479228"/>
            </c:manualLayout>
          </c:layout>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accent1">
                <a:lumMod val="50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939997976"/>
        <c:crosses val="autoZero"/>
        <c:auto val="1"/>
        <c:lblAlgn val="ctr"/>
        <c:lblOffset val="100"/>
        <c:noMultiLvlLbl val="0"/>
      </c:catAx>
      <c:valAx>
        <c:axId val="939997976"/>
        <c:scaling>
          <c:orientation val="minMax"/>
          <c:max val="30"/>
          <c:min val="0"/>
        </c:scaling>
        <c:delete val="0"/>
        <c:axPos val="l"/>
        <c:title>
          <c:tx>
            <c:rich>
              <a:bodyPr rot="-54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r>
                  <a:rPr lang="en-US"/>
                  <a:t>Number of RTTs screened</a:t>
                </a:r>
              </a:p>
            </c:rich>
          </c:tx>
          <c:layout>
            <c:manualLayout>
              <c:xMode val="edge"/>
              <c:yMode val="edge"/>
              <c:x val="2.0439085632044572E-2"/>
              <c:y val="0.3572817205765732"/>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solidFill>
              <a:schemeClr val="accent1">
                <a:lumMod val="50000"/>
              </a:schemeClr>
            </a:solid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939995816"/>
        <c:crosses val="autoZero"/>
        <c:crossBetween val="between"/>
      </c:valAx>
      <c:valAx>
        <c:axId val="76703471"/>
        <c:scaling>
          <c:orientation val="minMax"/>
          <c:max val="1"/>
          <c:min val="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76707791"/>
        <c:crosses val="max"/>
        <c:crossBetween val="between"/>
      </c:valAx>
      <c:catAx>
        <c:axId val="76707791"/>
        <c:scaling>
          <c:orientation val="minMax"/>
        </c:scaling>
        <c:delete val="1"/>
        <c:axPos val="b"/>
        <c:numFmt formatCode="General" sourceLinked="1"/>
        <c:majorTickMark val="out"/>
        <c:minorTickMark val="none"/>
        <c:tickLblPos val="nextTo"/>
        <c:crossAx val="76703471"/>
        <c:crosses val="autoZero"/>
        <c:auto val="1"/>
        <c:lblAlgn val="ctr"/>
        <c:lblOffset val="100"/>
        <c:noMultiLvlLbl val="0"/>
      </c:catAx>
      <c:spPr>
        <a:noFill/>
        <a:ln>
          <a:noFill/>
        </a:ln>
        <a:effectLst/>
      </c:spPr>
    </c:plotArea>
    <c:legend>
      <c:legendPos val="r"/>
      <c:layout>
        <c:manualLayout>
          <c:xMode val="edge"/>
          <c:yMode val="edge"/>
          <c:x val="2.5939062571173712E-3"/>
          <c:y val="0.93811185321022472"/>
          <c:w val="0.96807225205063185"/>
          <c:h val="6.188814678977532E-2"/>
        </c:manualLayout>
      </c:layout>
      <c:overlay val="0"/>
      <c:spPr>
        <a:noFill/>
        <a:ln w="6350">
          <a:solidFill>
            <a:schemeClr val="accent5">
              <a:lumMod val="40000"/>
              <a:lumOff val="60000"/>
            </a:schemeClr>
          </a:solid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lumMod val="60000"/>
          <a:lumOff val="40000"/>
        </a:schemeClr>
      </a:solidFill>
      <a:round/>
    </a:ln>
    <a:effectLst/>
  </c:spPr>
  <c:txPr>
    <a:bodyPr/>
    <a:lstStyle/>
    <a:p>
      <a:pPr>
        <a:defRPr sz="1100">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[AHD_Reporting_Form.xlsx]RTT!PivotTable2</c:name>
    <c:fmtId val="19"/>
  </c:pivotSource>
  <c:chart>
    <c:title>
      <c:tx>
        <c:rich>
          <a:bodyPr rot="0" spcFirstLastPara="1" vertOverflow="ellipsis" vert="horz" wrap="square" anchor="ctr" anchorCtr="1"/>
          <a:lstStyle/>
          <a:p>
            <a:pPr>
              <a:defRPr sz="1200" b="1" i="0" u="sng" strike="noStrike" kern="1200" baseline="0">
                <a:solidFill>
                  <a:sysClr val="windowText" lastClr="000000"/>
                </a:solidFill>
                <a:latin typeface="+mn-lt"/>
                <a:ea typeface="+mn-ea"/>
                <a:cs typeface="+mn-cs"/>
              </a:defRPr>
            </a:pPr>
            <a:r>
              <a:rPr lang="en-GB" sz="1200" u="sng"/>
              <a:t>AHD Yield among treatment Interrupters who returned to care</a:t>
            </a:r>
          </a:p>
        </c:rich>
      </c:tx>
      <c:layout>
        <c:manualLayout>
          <c:xMode val="edge"/>
          <c:yMode val="edge"/>
          <c:x val="0.19836702798091019"/>
          <c:y val="3.2469721824606619E-2"/>
        </c:manualLayout>
      </c:layout>
      <c:overlay val="0"/>
      <c:spPr>
        <a:noFill/>
        <a:ln>
          <a:noFill/>
        </a:ln>
        <a:effectLst/>
      </c:spPr>
      <c:txPr>
        <a:bodyPr rot="0" spcFirstLastPara="1" vertOverflow="ellipsis" vert="horz" wrap="square" anchor="ctr" anchorCtr="1"/>
        <a:lstStyle/>
        <a:p>
          <a:pPr>
            <a:defRPr sz="1200" b="1" i="0" u="sng" strike="noStrike" kern="1200" baseline="0">
              <a:solidFill>
                <a:sysClr val="windowText" lastClr="000000"/>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2"/>
            </a:solidFill>
            <a:round/>
          </a:ln>
          <a:effectLst>
            <a:outerShdw blurRad="57150" dist="19050" dir="5400000" algn="ctr" rotWithShape="0">
              <a:srgbClr val="000000">
                <a:alpha val="63000"/>
              </a:srgbClr>
            </a:outerShdw>
          </a:effectLst>
        </c:spPr>
        <c:marker>
          <c:symbol val="circle"/>
          <c:size val="4"/>
          <c:spPr>
            <a:solidFill>
              <a:schemeClr val="accent2"/>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5"/>
            </a:solidFill>
            <a:round/>
          </a:ln>
          <a:effectLst>
            <a:outerShdw blurRad="57150" dist="19050" dir="5400000" algn="ctr" rotWithShape="0">
              <a:srgbClr val="000000">
                <a:alpha val="63000"/>
              </a:srgbClr>
            </a:outerShdw>
          </a:effectLst>
        </c:spPr>
        <c:marker>
          <c:symbol val="circle"/>
          <c:size val="4"/>
          <c:spPr>
            <a:solidFill>
              <a:schemeClr val="accent5"/>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chemeClr val="accent4"/>
            </a:solidFill>
            <a:round/>
          </a:ln>
          <a:effectLst>
            <a:outerShdw blurRad="57150" dist="19050" dir="5400000" algn="ctr" rotWithShape="0">
              <a:srgbClr val="000000">
                <a:alpha val="63000"/>
              </a:srgbClr>
            </a:outerShdw>
          </a:effectLst>
        </c:spPr>
        <c:marker>
          <c:symbol val="circle"/>
          <c:size val="4"/>
          <c:spPr>
            <a:solidFill>
              <a:schemeClr val="accent4"/>
            </a:solidFill>
            <a:ln w="9525">
              <a:noFill/>
              <a:round/>
            </a:ln>
            <a:effectLst>
              <a:outerShdw blurRad="57150" dist="19050" dir="5400000" algn="ctr" rotWithShape="0">
                <a:srgbClr val="000000">
                  <a:alpha val="63000"/>
                </a:srgbClr>
              </a:outerShdw>
            </a:effectLst>
          </c:spPr>
        </c:marker>
        <c:dLbl>
          <c:idx val="0"/>
          <c:layout>
            <c:manualLayout>
              <c:x val="-3.6779396559352875E-2"/>
              <c:y val="3.23599931903843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F9B20"/>
            </a:solidFill>
            <a:round/>
          </a:ln>
          <a:effectLst>
            <a:outerShdw blurRad="57150" dist="19050" dir="5400000" algn="ctr" rotWithShape="0">
              <a:srgbClr val="000000">
                <a:alpha val="63000"/>
              </a:srgbClr>
            </a:outerShdw>
          </a:effectLst>
        </c:spPr>
        <c:marker>
          <c:symbol val="circle"/>
          <c:size val="4"/>
          <c:spPr>
            <a:solidFill>
              <a:srgbClr val="EF9B20"/>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1A53FF"/>
            </a:solidFill>
            <a:round/>
          </a:ln>
          <a:effectLst>
            <a:outerShdw blurRad="57150" dist="19050" dir="5400000" algn="ctr" rotWithShape="0">
              <a:srgbClr val="000000">
                <a:alpha val="63000"/>
              </a:srgbClr>
            </a:outerShdw>
          </a:effectLst>
        </c:spPr>
        <c:marker>
          <c:symbol val="circle"/>
          <c:size val="4"/>
          <c:spPr>
            <a:solidFill>
              <a:srgbClr val="1A53FF"/>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dLbl>
          <c:idx val="0"/>
          <c:layout>
            <c:manualLayout>
              <c:x val="2.9845988186046887E-2"/>
              <c:y val="-1.793741126407416E-3"/>
            </c:manualLayout>
          </c:layout>
          <c:numFmt formatCode="0%" sourceLinked="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F9B20"/>
            </a:solidFill>
            <a:round/>
          </a:ln>
          <a:effectLst>
            <a:outerShdw blurRad="57150" dist="19050" dir="5400000" algn="ctr" rotWithShape="0">
              <a:srgbClr val="000000">
                <a:alpha val="63000"/>
              </a:srgbClr>
            </a:outerShdw>
          </a:effectLst>
        </c:spPr>
        <c:marker>
          <c:symbol val="circle"/>
          <c:size val="4"/>
          <c:spPr>
            <a:solidFill>
              <a:srgbClr val="EF9B20"/>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dLbl>
          <c:idx val="0"/>
          <c:layout>
            <c:manualLayout>
              <c:x val="2.9845988186046887E-2"/>
              <c:y val="-1.793741126407416E-3"/>
            </c:manualLayout>
          </c:layout>
          <c:numFmt formatCode="0%" sourceLinked="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1A53FF"/>
            </a:solidFill>
            <a:round/>
          </a:ln>
          <a:effectLst>
            <a:outerShdw blurRad="57150" dist="19050" dir="5400000" algn="ctr" rotWithShape="0">
              <a:srgbClr val="000000">
                <a:alpha val="63000"/>
              </a:srgbClr>
            </a:outerShdw>
          </a:effectLst>
        </c:spPr>
        <c:marker>
          <c:symbol val="circle"/>
          <c:size val="4"/>
          <c:spPr>
            <a:solidFill>
              <a:srgbClr val="1A53FF"/>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F9B20"/>
            </a:solidFill>
            <a:round/>
          </a:ln>
          <a:effectLst>
            <a:outerShdw blurRad="57150" dist="19050" dir="5400000" algn="ctr" rotWithShape="0">
              <a:srgbClr val="000000">
                <a:alpha val="63000"/>
              </a:srgbClr>
            </a:outerShdw>
          </a:effectLst>
        </c:spPr>
        <c:marker>
          <c:symbol val="circle"/>
          <c:size val="4"/>
          <c:spPr>
            <a:solidFill>
              <a:srgbClr val="EF9B20"/>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dLbl>
          <c:idx val="0"/>
          <c:layout>
            <c:manualLayout>
              <c:x val="2.9845988186046887E-2"/>
              <c:y val="-1.793741126407416E-3"/>
            </c:manualLayout>
          </c:layout>
          <c:numFmt formatCode="0%" sourceLinked="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1A53FF"/>
            </a:solidFill>
            <a:round/>
          </a:ln>
          <a:effectLst>
            <a:outerShdw blurRad="57150" dist="19050" dir="5400000" algn="ctr" rotWithShape="0">
              <a:srgbClr val="000000">
                <a:alpha val="63000"/>
              </a:srgbClr>
            </a:outerShdw>
          </a:effectLst>
        </c:spPr>
        <c:marker>
          <c:symbol val="circle"/>
          <c:size val="4"/>
          <c:spPr>
            <a:solidFill>
              <a:srgbClr val="1A53FF"/>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1A53FF"/>
            </a:solidFill>
            <a:round/>
          </a:ln>
          <a:effectLst>
            <a:outerShdw blurRad="57150" dist="19050" dir="5400000" algn="ctr" rotWithShape="0">
              <a:srgbClr val="000000">
                <a:alpha val="63000"/>
              </a:srgbClr>
            </a:outerShdw>
          </a:effectLst>
        </c:spPr>
        <c:marker>
          <c:symbol val="circle"/>
          <c:size val="4"/>
          <c:spPr>
            <a:solidFill>
              <a:srgbClr val="1A53FF"/>
            </a:solidFill>
            <a:ln w="9525">
              <a:noFill/>
              <a:round/>
            </a:ln>
            <a:effectLst>
              <a:outerShdw blurRad="57150" dist="19050" dir="5400000" algn="ctr" rotWithShape="0">
                <a:srgbClr val="000000">
                  <a:alpha val="63000"/>
                </a:srgbClr>
              </a:outerShdw>
            </a:effectLst>
          </c:spPr>
        </c:marke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1A53FF"/>
            </a:solidFill>
            <a:round/>
          </a:ln>
          <a:effectLst>
            <a:outerShdw blurRad="57150" dist="19050" dir="5400000" algn="ctr" rotWithShape="0">
              <a:srgbClr val="000000">
                <a:alpha val="63000"/>
              </a:srgbClr>
            </a:outerShdw>
          </a:effectLst>
        </c:spPr>
        <c:marker>
          <c:symbol val="circle"/>
          <c:size val="4"/>
          <c:spPr>
            <a:solidFill>
              <a:srgbClr val="1A53FF"/>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1A53FF"/>
            </a:solidFill>
            <a:round/>
          </a:ln>
          <a:effectLst>
            <a:outerShdw blurRad="57150" dist="19050" dir="5400000" algn="ctr" rotWithShape="0">
              <a:srgbClr val="000000">
                <a:alpha val="63000"/>
              </a:srgbClr>
            </a:outerShdw>
          </a:effectLst>
        </c:spPr>
        <c:marker>
          <c:symbol val="circle"/>
          <c:size val="4"/>
          <c:spPr>
            <a:solidFill>
              <a:srgbClr val="1A53FF"/>
            </a:solidFill>
            <a:ln w="9525">
              <a:noFill/>
              <a:round/>
            </a:ln>
            <a:effectLst>
              <a:outerShdw blurRad="57150" dist="19050" dir="5400000" algn="ctr" rotWithShape="0">
                <a:srgbClr val="000000">
                  <a:alpha val="63000"/>
                </a:srgbClr>
              </a:outerShdw>
            </a:effectLst>
          </c:spPr>
        </c:marke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1A53FF"/>
            </a:solidFill>
            <a:round/>
          </a:ln>
          <a:effectLst>
            <a:outerShdw blurRad="57150" dist="19050" dir="5400000" algn="ctr" rotWithShape="0">
              <a:srgbClr val="000000">
                <a:alpha val="63000"/>
              </a:srgbClr>
            </a:outerShdw>
          </a:effectLst>
        </c:spPr>
        <c:marker>
          <c:symbol val="circle"/>
          <c:size val="4"/>
          <c:spPr>
            <a:solidFill>
              <a:srgbClr val="1A53FF"/>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19050" cap="rnd">
            <a:solidFill>
              <a:srgbClr val="EF9B20"/>
            </a:solidFill>
            <a:round/>
          </a:ln>
          <a:effectLst>
            <a:outerShdw blurRad="57150" dist="19050" dir="5400000" algn="ctr" rotWithShape="0">
              <a:srgbClr val="000000">
                <a:alpha val="63000"/>
              </a:srgbClr>
            </a:outerShdw>
          </a:effectLst>
        </c:spPr>
        <c:marker>
          <c:symbol val="circle"/>
          <c:size val="4"/>
          <c:spPr>
            <a:solidFill>
              <a:srgbClr val="EF9B20"/>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6"/>
        <c:spPr>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dLbl>
          <c:idx val="0"/>
          <c:layout>
            <c:manualLayout>
              <c:x val="2.9845988186046887E-2"/>
              <c:y val="-1.793741126407416E-3"/>
            </c:manualLayout>
          </c:layout>
          <c:numFmt formatCode="0%" sourceLinked="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pivotFmt>
      <c:pivotFmt>
        <c:idx val="45"/>
        <c:spPr>
          <a:ln w="19050" cap="rnd">
            <a:solidFill>
              <a:srgbClr val="1A53FF"/>
            </a:solidFill>
            <a:round/>
          </a:ln>
          <a:effectLst>
            <a:outerShdw blurRad="57150" dist="19050" dir="5400000" algn="ctr" rotWithShape="0">
              <a:srgbClr val="000000">
                <a:alpha val="63000"/>
              </a:srgbClr>
            </a:outerShdw>
          </a:effectLst>
        </c:spPr>
        <c:marker>
          <c:symbol val="circle"/>
          <c:size val="4"/>
          <c:spPr>
            <a:solidFill>
              <a:srgbClr val="1A53FF"/>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1A53FF"/>
            </a:solidFill>
            <a:round/>
          </a:ln>
          <a:effectLst>
            <a:outerShdw blurRad="57150" dist="19050" dir="5400000" algn="ctr" rotWithShape="0">
              <a:srgbClr val="000000">
                <a:alpha val="63000"/>
              </a:srgbClr>
            </a:outerShdw>
          </a:effectLst>
        </c:spPr>
        <c:marker>
          <c:symbol val="circle"/>
          <c:size val="4"/>
          <c:spPr>
            <a:solidFill>
              <a:srgbClr val="1A53FF"/>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1A53FF"/>
            </a:solidFill>
            <a:round/>
          </a:ln>
          <a:effectLst>
            <a:outerShdw blurRad="57150" dist="19050" dir="5400000" algn="ctr" rotWithShape="0">
              <a:srgbClr val="000000">
                <a:alpha val="63000"/>
              </a:srgbClr>
            </a:outerShdw>
          </a:effectLst>
        </c:spPr>
        <c:marker>
          <c:symbol val="circle"/>
          <c:size val="4"/>
          <c:spPr>
            <a:solidFill>
              <a:srgbClr val="1A53FF"/>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1A53FF"/>
            </a:solidFill>
            <a:round/>
          </a:ln>
          <a:effectLst>
            <a:outerShdw blurRad="57150" dist="19050" dir="5400000" algn="ctr" rotWithShape="0">
              <a:srgbClr val="000000">
                <a:alpha val="63000"/>
              </a:srgbClr>
            </a:outerShdw>
          </a:effectLst>
        </c:spPr>
        <c:marker>
          <c:symbol val="circle"/>
          <c:size val="4"/>
          <c:spPr>
            <a:solidFill>
              <a:srgbClr val="1A53FF"/>
            </a:solidFill>
            <a:ln w="9525">
              <a:noFill/>
              <a:round/>
            </a:ln>
            <a:effectLst>
              <a:outerShdw blurRad="57150" dist="19050" dir="5400000" algn="ctr" rotWithShape="0">
                <a:srgbClr val="000000">
                  <a:alpha val="63000"/>
                </a:srgbClr>
              </a:outerShdw>
            </a:effectLst>
          </c:spPr>
        </c:marke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dLbl>
          <c:idx val="0"/>
          <c:layout>
            <c:manualLayout>
              <c:x val="2.9845988186046887E-2"/>
              <c:y val="-1.793741126407416E-3"/>
            </c:manualLayout>
          </c:layout>
          <c:numFmt formatCode="0%" sourceLinked="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pivotFmt>
      <c:pivotFmt>
        <c:idx val="52"/>
        <c:spPr>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pivotFmt>
      <c:pivotFmt>
        <c:idx val="53"/>
        <c:spPr>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pivotFmt>
      <c:pivotFmt>
        <c:idx val="54"/>
        <c:spPr>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pivotFmt>
      <c:pivotFmt>
        <c:idx val="55"/>
        <c:spPr>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pivotFmt>
      <c:pivotFmt>
        <c:idx val="56"/>
        <c:spPr>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pivotFmt>
      <c:pivotFmt>
        <c:idx val="57"/>
        <c:spPr>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pivotFmt>
      <c:pivotFmt>
        <c:idx val="58"/>
        <c:spPr>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pivotFmt>
      <c:pivotFmt>
        <c:idx val="59"/>
        <c:spPr>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pivotFmt>
      <c:pivotFmt>
        <c:idx val="60"/>
        <c:spPr>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pivotFmt>
      <c:pivotFmt>
        <c:idx val="61"/>
        <c:spPr>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pivotFmt>
      <c:pivotFmt>
        <c:idx val="62"/>
        <c:spPr>
          <a:ln w="19050" cap="rnd">
            <a:solidFill>
              <a:srgbClr val="1A53FF"/>
            </a:solidFill>
            <a:round/>
          </a:ln>
          <a:effectLst>
            <a:outerShdw blurRad="57150" dist="19050" dir="5400000" algn="ctr" rotWithShape="0">
              <a:srgbClr val="000000">
                <a:alpha val="63000"/>
              </a:srgbClr>
            </a:outerShdw>
          </a:effectLst>
        </c:spPr>
        <c:marker>
          <c:symbol val="circle"/>
          <c:size val="4"/>
          <c:spPr>
            <a:solidFill>
              <a:srgbClr val="1A53FF"/>
            </a:solidFill>
            <a:ln w="9525">
              <a:noFill/>
              <a:round/>
            </a:ln>
            <a:effectLst>
              <a:outerShdw blurRad="57150" dist="19050" dir="5400000" algn="ctr" rotWithShape="0">
                <a:srgbClr val="000000">
                  <a:alpha val="63000"/>
                </a:srgbClr>
              </a:outerShdw>
            </a:effectLst>
          </c:spPr>
        </c:marker>
      </c:pivotFmt>
      <c:pivotFmt>
        <c:idx val="63"/>
        <c:spPr>
          <a:ln w="19050" cap="rnd">
            <a:solidFill>
              <a:srgbClr val="1A53FF"/>
            </a:solidFill>
            <a:round/>
          </a:ln>
          <a:effectLst>
            <a:outerShdw blurRad="57150" dist="19050" dir="5400000" algn="ctr" rotWithShape="0">
              <a:srgbClr val="000000">
                <a:alpha val="63000"/>
              </a:srgbClr>
            </a:outerShdw>
          </a:effectLst>
        </c:spPr>
        <c:marker>
          <c:symbol val="circle"/>
          <c:size val="4"/>
          <c:spPr>
            <a:solidFill>
              <a:srgbClr val="1A53FF"/>
            </a:solidFill>
            <a:ln w="9525">
              <a:noFill/>
              <a:round/>
            </a:ln>
            <a:effectLst>
              <a:outerShdw blurRad="57150" dist="19050" dir="5400000" algn="ctr" rotWithShape="0">
                <a:srgbClr val="000000">
                  <a:alpha val="63000"/>
                </a:srgbClr>
              </a:outerShdw>
            </a:effectLst>
          </c:spPr>
        </c:marker>
      </c:pivotFmt>
      <c:pivotFmt>
        <c:idx val="64"/>
        <c:spPr>
          <a:ln w="19050" cap="rnd">
            <a:solidFill>
              <a:srgbClr val="1A53FF"/>
            </a:solidFill>
            <a:round/>
          </a:ln>
          <a:effectLst>
            <a:outerShdw blurRad="57150" dist="19050" dir="5400000" algn="ctr" rotWithShape="0">
              <a:srgbClr val="000000">
                <a:alpha val="63000"/>
              </a:srgbClr>
            </a:outerShdw>
          </a:effectLst>
        </c:spPr>
        <c:marker>
          <c:symbol val="circle"/>
          <c:size val="4"/>
          <c:spPr>
            <a:solidFill>
              <a:srgbClr val="1A53FF"/>
            </a:solidFill>
            <a:ln w="9525">
              <a:noFill/>
              <a:round/>
            </a:ln>
            <a:effectLst>
              <a:outerShdw blurRad="57150" dist="19050" dir="5400000" algn="ctr" rotWithShape="0">
                <a:srgbClr val="000000">
                  <a:alpha val="63000"/>
                </a:srgbClr>
              </a:outerShdw>
            </a:effectLst>
          </c:spPr>
        </c:marker>
      </c:pivotFmt>
      <c:pivotFmt>
        <c:idx val="65"/>
        <c:spPr>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pivotFmt>
    </c:pivotFmts>
    <c:plotArea>
      <c:layout>
        <c:manualLayout>
          <c:layoutTarget val="inner"/>
          <c:xMode val="edge"/>
          <c:yMode val="edge"/>
          <c:x val="0.12610566800638637"/>
          <c:y val="0.1132481584388354"/>
          <c:w val="0.82606489039782749"/>
          <c:h val="0.6707394986880163"/>
        </c:manualLayout>
      </c:layout>
      <c:lineChart>
        <c:grouping val="standard"/>
        <c:varyColors val="0"/>
        <c:ser>
          <c:idx val="0"/>
          <c:order val="0"/>
          <c:tx>
            <c:strRef>
              <c:f>RTT!$J$5</c:f>
              <c:strCache>
                <c:ptCount val="1"/>
                <c:pt idx="0">
                  <c:v> CD4&lt;200%</c:v>
                </c:pt>
              </c:strCache>
            </c:strRef>
          </c:tx>
          <c:spPr>
            <a:ln w="19050" cap="rnd">
              <a:solidFill>
                <a:srgbClr val="EF9B20"/>
              </a:solidFill>
              <a:round/>
            </a:ln>
            <a:effectLst>
              <a:outerShdw blurRad="57150" dist="19050" dir="5400000" algn="ctr" rotWithShape="0">
                <a:srgbClr val="000000">
                  <a:alpha val="63000"/>
                </a:srgbClr>
              </a:outerShdw>
            </a:effectLst>
          </c:spPr>
          <c:marker>
            <c:symbol val="circle"/>
            <c:size val="4"/>
            <c:spPr>
              <a:solidFill>
                <a:srgbClr val="EF9B20"/>
              </a:solidFill>
              <a:ln w="9525">
                <a:noFill/>
                <a:round/>
              </a:ln>
              <a:effectLst>
                <a:outerShdw blurRad="57150" dist="19050" dir="5400000" algn="ctr" rotWithShape="0">
                  <a:srgbClr val="000000">
                    <a:alpha val="63000"/>
                  </a:srgbClr>
                </a:outerShdw>
              </a:effectLst>
            </c:spPr>
          </c:marker>
          <c:dLbls>
            <c:numFmt formatCode="0%" sourceLinked="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RTT!$I$6:$I$25</c:f>
              <c:multiLvlStrCache>
                <c:ptCount val="1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2024</c:v>
                  </c:pt>
                  <c:pt idx="12">
                    <c:v>2025</c:v>
                  </c:pt>
                </c:lvl>
              </c:multiLvlStrCache>
            </c:multiLvlStrRef>
          </c:cat>
          <c:val>
            <c:numRef>
              <c:f>RTT!$J$6:$J$25</c:f>
              <c:numCache>
                <c:formatCode>General</c:formatCode>
                <c:ptCount val="17"/>
                <c:pt idx="0">
                  <c:v>0.21428571428571427</c:v>
                </c:pt>
                <c:pt idx="1">
                  <c:v>0.27777777777777779</c:v>
                </c:pt>
                <c:pt idx="2">
                  <c:v>0.22727272727272727</c:v>
                </c:pt>
                <c:pt idx="3">
                  <c:v>0.1891891891891892</c:v>
                </c:pt>
                <c:pt idx="4">
                  <c:v>0.19047619047619047</c:v>
                </c:pt>
                <c:pt idx="5">
                  <c:v>0.24444444444444444</c:v>
                </c:pt>
                <c:pt idx="6">
                  <c:v>0.265625</c:v>
                </c:pt>
                <c:pt idx="7">
                  <c:v>0.25</c:v>
                </c:pt>
                <c:pt idx="8">
                  <c:v>0.41666666666666669</c:v>
                </c:pt>
                <c:pt idx="9">
                  <c:v>0.26829268292682928</c:v>
                </c:pt>
                <c:pt idx="10">
                  <c:v>0.17241379310344829</c:v>
                </c:pt>
                <c:pt idx="11">
                  <c:v>0.32</c:v>
                </c:pt>
                <c:pt idx="12">
                  <c:v>0.20454545454545456</c:v>
                </c:pt>
                <c:pt idx="13">
                  <c:v>0.19230769230769232</c:v>
                </c:pt>
                <c:pt idx="14">
                  <c:v>0.16666666666666666</c:v>
                </c:pt>
                <c:pt idx="15">
                  <c:v>0.17647058823529413</c:v>
                </c:pt>
                <c:pt idx="16">
                  <c:v>5.7142857142857141E-2</c:v>
                </c:pt>
              </c:numCache>
            </c:numRef>
          </c:val>
          <c:smooth val="1"/>
          <c:extLst>
            <c:ext xmlns:c16="http://schemas.microsoft.com/office/drawing/2014/chart" uri="{C3380CC4-5D6E-409C-BE32-E72D297353CC}">
              <c16:uniqueId val="{00000012-5842-4EAE-911F-44B2DD29C38D}"/>
            </c:ext>
          </c:extLst>
        </c:ser>
        <c:ser>
          <c:idx val="1"/>
          <c:order val="1"/>
          <c:tx>
            <c:strRef>
              <c:f>RTT!$K$5</c:f>
              <c:strCache>
                <c:ptCount val="1"/>
                <c:pt idx="0">
                  <c:v> LAM+%</c:v>
                </c:pt>
              </c:strCache>
            </c:strRef>
          </c:tx>
          <c:spPr>
            <a:ln w="19050" cap="rnd">
              <a:solidFill>
                <a:srgbClr val="E6D800"/>
              </a:solidFill>
              <a:round/>
            </a:ln>
            <a:effectLst>
              <a:outerShdw blurRad="57150" dist="19050" dir="5400000" algn="ctr" rotWithShape="0">
                <a:srgbClr val="000000">
                  <a:alpha val="63000"/>
                </a:srgbClr>
              </a:outerShdw>
            </a:effectLst>
          </c:spPr>
          <c:marker>
            <c:symbol val="circle"/>
            <c:size val="4"/>
            <c:spPr>
              <a:solidFill>
                <a:srgbClr val="E6D800"/>
              </a:solidFill>
              <a:ln w="9525">
                <a:noFill/>
                <a:round/>
              </a:ln>
              <a:effectLst>
                <a:outerShdw blurRad="57150" dist="19050" dir="5400000" algn="ctr" rotWithShape="0">
                  <a:srgbClr val="000000">
                    <a:alpha val="63000"/>
                  </a:srgbClr>
                </a:outerShdw>
              </a:effectLst>
            </c:spPr>
          </c:marker>
          <c:dPt>
            <c:idx val="0"/>
            <c:marker>
              <c:symbol val="circle"/>
              <c:size val="4"/>
              <c:spPr>
                <a:solidFill>
                  <a:srgbClr val="E6D800"/>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1-4204-453D-9EE4-73CE9D26A608}"/>
              </c:ext>
            </c:extLst>
          </c:dPt>
          <c:dPt>
            <c:idx val="1"/>
            <c:marker>
              <c:symbol val="circle"/>
              <c:size val="4"/>
              <c:spPr>
                <a:solidFill>
                  <a:srgbClr val="E6D800"/>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3-4204-453D-9EE4-73CE9D26A608}"/>
              </c:ext>
            </c:extLst>
          </c:dPt>
          <c:dPt>
            <c:idx val="2"/>
            <c:marker>
              <c:symbol val="circle"/>
              <c:size val="4"/>
              <c:spPr>
                <a:solidFill>
                  <a:srgbClr val="E6D800"/>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5-4204-453D-9EE4-73CE9D26A608}"/>
              </c:ext>
            </c:extLst>
          </c:dPt>
          <c:dPt>
            <c:idx val="3"/>
            <c:marker>
              <c:symbol val="circle"/>
              <c:size val="4"/>
              <c:spPr>
                <a:solidFill>
                  <a:srgbClr val="E6D800"/>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7-4204-453D-9EE4-73CE9D26A608}"/>
              </c:ext>
            </c:extLst>
          </c:dPt>
          <c:dPt>
            <c:idx val="4"/>
            <c:marker>
              <c:symbol val="circle"/>
              <c:size val="4"/>
              <c:spPr>
                <a:solidFill>
                  <a:srgbClr val="E6D800"/>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9-4204-453D-9EE4-73CE9D26A608}"/>
              </c:ext>
            </c:extLst>
          </c:dPt>
          <c:dPt>
            <c:idx val="5"/>
            <c:marker>
              <c:symbol val="circle"/>
              <c:size val="4"/>
              <c:spPr>
                <a:solidFill>
                  <a:srgbClr val="E6D800"/>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B-4204-453D-9EE4-73CE9D26A608}"/>
              </c:ext>
            </c:extLst>
          </c:dPt>
          <c:dPt>
            <c:idx val="6"/>
            <c:marker>
              <c:symbol val="circle"/>
              <c:size val="4"/>
              <c:spPr>
                <a:solidFill>
                  <a:srgbClr val="E6D800"/>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D-4204-453D-9EE4-73CE9D26A608}"/>
              </c:ext>
            </c:extLst>
          </c:dPt>
          <c:dPt>
            <c:idx val="7"/>
            <c:marker>
              <c:symbol val="circle"/>
              <c:size val="4"/>
              <c:spPr>
                <a:solidFill>
                  <a:srgbClr val="E6D800"/>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F-4204-453D-9EE4-73CE9D26A608}"/>
              </c:ext>
            </c:extLst>
          </c:dPt>
          <c:dPt>
            <c:idx val="12"/>
            <c:marker>
              <c:symbol val="circle"/>
              <c:size val="4"/>
              <c:spPr>
                <a:solidFill>
                  <a:srgbClr val="E6D800"/>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9-E9D4-4198-B31B-6D1DCC25990E}"/>
              </c:ext>
            </c:extLst>
          </c:dPt>
          <c:dPt>
            <c:idx val="13"/>
            <c:marker>
              <c:symbol val="circle"/>
              <c:size val="4"/>
              <c:spPr>
                <a:solidFill>
                  <a:srgbClr val="E6D800"/>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B-E9D4-4198-B31B-6D1DCC25990E}"/>
              </c:ext>
            </c:extLst>
          </c:dPt>
          <c:dPt>
            <c:idx val="14"/>
            <c:marker>
              <c:symbol val="circle"/>
              <c:size val="4"/>
              <c:spPr>
                <a:solidFill>
                  <a:srgbClr val="E6D800"/>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D-E9D4-4198-B31B-6D1DCC25990E}"/>
              </c:ext>
            </c:extLst>
          </c:dPt>
          <c:dLbls>
            <c:numFmt formatCode="0%" sourceLinked="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RTT!$I$6:$I$25</c:f>
              <c:multiLvlStrCache>
                <c:ptCount val="1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2024</c:v>
                  </c:pt>
                  <c:pt idx="12">
                    <c:v>2025</c:v>
                  </c:pt>
                </c:lvl>
              </c:multiLvlStrCache>
            </c:multiLvlStrRef>
          </c:cat>
          <c:val>
            <c:numRef>
              <c:f>RTT!$K$6:$K$25</c:f>
              <c:numCache>
                <c:formatCode>General</c:formatCode>
                <c:ptCount val="17"/>
                <c:pt idx="0">
                  <c:v>0</c:v>
                </c:pt>
                <c:pt idx="1">
                  <c:v>0</c:v>
                </c:pt>
                <c:pt idx="2">
                  <c:v>0</c:v>
                </c:pt>
                <c:pt idx="3">
                  <c:v>#N/A</c:v>
                </c:pt>
                <c:pt idx="4">
                  <c:v>#N/A</c:v>
                </c:pt>
                <c:pt idx="5">
                  <c:v>#N/A</c:v>
                </c:pt>
                <c:pt idx="6">
                  <c:v>#N/A</c:v>
                </c:pt>
                <c:pt idx="7">
                  <c:v>0</c:v>
                </c:pt>
                <c:pt idx="8">
                  <c:v>0.1</c:v>
                </c:pt>
                <c:pt idx="9">
                  <c:v>9.0909090909090912E-2</c:v>
                </c:pt>
                <c:pt idx="10">
                  <c:v>0</c:v>
                </c:pt>
                <c:pt idx="11">
                  <c:v>0.1875</c:v>
                </c:pt>
                <c:pt idx="12">
                  <c:v>0.1111111111111111</c:v>
                </c:pt>
                <c:pt idx="13">
                  <c:v>0</c:v>
                </c:pt>
                <c:pt idx="14">
                  <c:v>0.25</c:v>
                </c:pt>
                <c:pt idx="15">
                  <c:v>0</c:v>
                </c:pt>
                <c:pt idx="16">
                  <c:v>0</c:v>
                </c:pt>
              </c:numCache>
            </c:numRef>
          </c:val>
          <c:smooth val="1"/>
          <c:extLst>
            <c:ext xmlns:c16="http://schemas.microsoft.com/office/drawing/2014/chart" uri="{C3380CC4-5D6E-409C-BE32-E72D297353CC}">
              <c16:uniqueId val="{00000013-5842-4EAE-911F-44B2DD29C38D}"/>
            </c:ext>
          </c:extLst>
        </c:ser>
        <c:ser>
          <c:idx val="2"/>
          <c:order val="2"/>
          <c:tx>
            <c:strRef>
              <c:f>RTT!$L$5</c:f>
              <c:strCache>
                <c:ptCount val="1"/>
                <c:pt idx="0">
                  <c:v> CrAg+%</c:v>
                </c:pt>
              </c:strCache>
            </c:strRef>
          </c:tx>
          <c:spPr>
            <a:ln w="19050" cap="rnd">
              <a:solidFill>
                <a:srgbClr val="1A53FF"/>
              </a:solidFill>
              <a:round/>
            </a:ln>
            <a:effectLst>
              <a:outerShdw blurRad="57150" dist="19050" dir="5400000" algn="ctr" rotWithShape="0">
                <a:srgbClr val="000000">
                  <a:alpha val="63000"/>
                </a:srgbClr>
              </a:outerShdw>
            </a:effectLst>
          </c:spPr>
          <c:marker>
            <c:symbol val="circle"/>
            <c:size val="4"/>
            <c:spPr>
              <a:solidFill>
                <a:srgbClr val="1A53FF"/>
              </a:solidFill>
              <a:ln w="9525">
                <a:noFill/>
                <a:round/>
              </a:ln>
              <a:effectLst>
                <a:outerShdw blurRad="57150" dist="19050" dir="5400000" algn="ctr" rotWithShape="0">
                  <a:srgbClr val="000000">
                    <a:alpha val="63000"/>
                  </a:srgbClr>
                </a:outerShdw>
              </a:effectLst>
            </c:spPr>
          </c:marker>
          <c:dPt>
            <c:idx val="3"/>
            <c:marker>
              <c:symbol val="circle"/>
              <c:size val="4"/>
              <c:spPr>
                <a:solidFill>
                  <a:srgbClr val="1A53FF"/>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10-4204-453D-9EE4-73CE9D26A608}"/>
              </c:ext>
            </c:extLst>
          </c:dPt>
          <c:dPt>
            <c:idx val="7"/>
            <c:marker>
              <c:symbol val="circle"/>
              <c:size val="4"/>
              <c:spPr>
                <a:solidFill>
                  <a:srgbClr val="1A53FF"/>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12-4786-4EE0-BFD2-43331F01BCAC}"/>
              </c:ext>
            </c:extLst>
          </c:dPt>
          <c:dPt>
            <c:idx val="8"/>
            <c:marker>
              <c:symbol val="circle"/>
              <c:size val="4"/>
              <c:spPr>
                <a:solidFill>
                  <a:srgbClr val="1A53FF"/>
                </a:solidFill>
                <a:ln w="9525">
                  <a:no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11-4204-453D-9EE4-73CE9D26A608}"/>
              </c:ext>
            </c:extLst>
          </c:dPt>
          <c:dLbls>
            <c:numFmt formatCode="0%" sourceLinked="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RTT!$I$6:$I$25</c:f>
              <c:multiLvlStrCache>
                <c:ptCount val="1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2024</c:v>
                  </c:pt>
                  <c:pt idx="12">
                    <c:v>2025</c:v>
                  </c:pt>
                </c:lvl>
              </c:multiLvlStrCache>
            </c:multiLvlStrRef>
          </c:cat>
          <c:val>
            <c:numRef>
              <c:f>RTT!$L$6:$L$25</c:f>
              <c:numCache>
                <c:formatCode>General</c:formatCode>
                <c:ptCount val="17"/>
                <c:pt idx="0">
                  <c:v>0</c:v>
                </c:pt>
                <c:pt idx="1">
                  <c:v>0</c:v>
                </c:pt>
                <c:pt idx="2">
                  <c:v>0</c:v>
                </c:pt>
                <c:pt idx="3">
                  <c:v>0.125</c:v>
                </c:pt>
                <c:pt idx="4">
                  <c:v>0</c:v>
                </c:pt>
                <c:pt idx="5">
                  <c:v>#N/A</c:v>
                </c:pt>
                <c:pt idx="6">
                  <c:v>6.25E-2</c:v>
                </c:pt>
                <c:pt idx="7">
                  <c:v>0</c:v>
                </c:pt>
                <c:pt idx="8">
                  <c:v>0.1</c:v>
                </c:pt>
                <c:pt idx="9">
                  <c:v>0</c:v>
                </c:pt>
                <c:pt idx="10">
                  <c:v>0</c:v>
                </c:pt>
                <c:pt idx="11">
                  <c:v>6.25E-2</c:v>
                </c:pt>
                <c:pt idx="12">
                  <c:v>0.22222222222222221</c:v>
                </c:pt>
                <c:pt idx="13">
                  <c:v>0.2</c:v>
                </c:pt>
                <c:pt idx="14">
                  <c:v>0</c:v>
                </c:pt>
                <c:pt idx="15">
                  <c:v>0</c:v>
                </c:pt>
                <c:pt idx="16">
                  <c:v>0</c:v>
                </c:pt>
              </c:numCache>
            </c:numRef>
          </c:val>
          <c:smooth val="1"/>
          <c:extLst>
            <c:ext xmlns:c16="http://schemas.microsoft.com/office/drawing/2014/chart" uri="{C3380CC4-5D6E-409C-BE32-E72D297353CC}">
              <c16:uniqueId val="{00000014-5842-4EAE-911F-44B2DD29C38D}"/>
            </c:ext>
          </c:extLst>
        </c:ser>
        <c:dLbls>
          <c:dLblPos val="t"/>
          <c:showLegendKey val="0"/>
          <c:showVal val="1"/>
          <c:showCatName val="0"/>
          <c:showSerName val="0"/>
          <c:showPercent val="0"/>
          <c:showBubbleSize val="0"/>
        </c:dLbls>
        <c:marker val="1"/>
        <c:smooth val="0"/>
        <c:axId val="1061181040"/>
        <c:axId val="1061182480"/>
      </c:lineChart>
      <c:catAx>
        <c:axId val="1061181040"/>
        <c:scaling>
          <c:orientation val="minMax"/>
        </c:scaling>
        <c:delete val="0"/>
        <c:axPos val="b"/>
        <c:title>
          <c:tx>
            <c:rich>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r>
                  <a:rPr lang="en-GB"/>
                  <a:t>Period</a:t>
                </a:r>
              </a:p>
            </c:rich>
          </c:tx>
          <c:layout>
            <c:manualLayout>
              <c:xMode val="edge"/>
              <c:yMode val="edge"/>
              <c:x val="0.4690924539228587"/>
              <c:y val="0.89745240517227309"/>
            </c:manualLayout>
          </c:layout>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2"/>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1061182480"/>
        <c:crosses val="autoZero"/>
        <c:auto val="1"/>
        <c:lblAlgn val="ctr"/>
        <c:lblOffset val="100"/>
        <c:noMultiLvlLbl val="0"/>
      </c:catAx>
      <c:valAx>
        <c:axId val="1061182480"/>
        <c:scaling>
          <c:orientation val="minMax"/>
          <c:max val="1"/>
          <c:min val="0"/>
        </c:scaling>
        <c:delete val="0"/>
        <c:axPos val="l"/>
        <c:title>
          <c:tx>
            <c:rich>
              <a:bodyPr rot="-54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r>
                  <a:rPr lang="en-GB"/>
                  <a:t>proporton of ROC with AHD</a:t>
                </a:r>
              </a:p>
            </c:rich>
          </c:tx>
          <c:layout>
            <c:manualLayout>
              <c:xMode val="edge"/>
              <c:yMode val="edge"/>
              <c:x val="1.4477543687895786E-2"/>
              <c:y val="0.34694706527595781"/>
            </c:manualLayout>
          </c:layout>
          <c:overlay val="0"/>
          <c:spPr>
            <a:noFill/>
            <a:ln w="6350">
              <a:noFill/>
            </a:ln>
            <a:effectLst/>
          </c:spPr>
          <c:txPr>
            <a:bodyPr rot="-54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title>
        <c:numFmt formatCode="0%" sourceLinked="0"/>
        <c:majorTickMark val="none"/>
        <c:minorTickMark val="none"/>
        <c:tickLblPos val="nextTo"/>
        <c:spPr>
          <a:noFill/>
          <a:ln>
            <a:solidFill>
              <a:schemeClr val="tx2"/>
            </a:solid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1061181040"/>
        <c:crosses val="autoZero"/>
        <c:crossBetween val="between"/>
      </c:valAx>
      <c:spPr>
        <a:noFill/>
        <a:ln>
          <a:noFill/>
        </a:ln>
        <a:effectLst/>
      </c:spPr>
    </c:plotArea>
    <c:legend>
      <c:legendPos val="r"/>
      <c:layout>
        <c:manualLayout>
          <c:xMode val="edge"/>
          <c:yMode val="edge"/>
          <c:x val="0.15521042495619217"/>
          <c:y val="0.9403744492046916"/>
          <c:w val="0.74030762477551249"/>
          <c:h val="5.9625591625575833E-2"/>
        </c:manualLayout>
      </c:layout>
      <c:overlay val="0"/>
      <c:spPr>
        <a:noFill/>
        <a:ln w="6350">
          <a:solidFill>
            <a:schemeClr val="accent5">
              <a:lumMod val="60000"/>
              <a:lumOff val="40000"/>
            </a:schemeClr>
          </a:solid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lumMod val="60000"/>
          <a:lumOff val="40000"/>
        </a:schemeClr>
      </a:solidFill>
      <a:round/>
    </a:ln>
    <a:effectLst/>
  </c:spPr>
  <c:txPr>
    <a:bodyPr/>
    <a:lstStyle/>
    <a:p>
      <a:pPr>
        <a:defRPr sz="1100">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ocumenttasks/documenttask1.xml><?xml version="1.0" encoding="utf-8"?>
<Tasks xmlns="http://schemas.microsoft.com/office/tasks/2019/documenttasks">
  <Task id="{C3072927-50B5-4A86-937B-3B169B7562A0}">
    <Anchor>
      <Comment id="{D089DF92-0262-4F81-A3B2-A82592704375}"/>
    </Anchor>
    <History>
      <Event time="2024-08-12T09:25:33.96" id="{BED10455-37FA-4A93-8CE2-660B1AB3E9F9}">
        <Attribution userId="S::anhlema@lighthouse.org.mw::3f6e5fff-790d-490a-b0fe-8851ce713eb5" userName="Angelina  Nhlema" userProvider="AD"/>
        <Anchor>
          <Comment id="{D089DF92-0262-4F81-A3B2-A82592704375}"/>
        </Anchor>
        <Create/>
      </Event>
      <Event time="2024-08-12T09:25:33.96" id="{9D66E4AF-F513-4275-A16E-E7008C5FE5D6}">
        <Attribution userId="S::anhlema@lighthouse.org.mw::3f6e5fff-790d-490a-b0fe-8851ce713eb5" userName="Angelina  Nhlema" userProvider="AD"/>
        <Anchor>
          <Comment id="{D089DF92-0262-4F81-A3B2-A82592704375}"/>
        </Anchor>
        <Assign userId="S::mchirwa@lighthouse.org.mw::25535428-ddb5-45ef-91bc-279847954755" userName="Margaret  Chirwa" userProvider="AD"/>
      </Event>
      <Event time="2024-08-12T09:25:33.96" id="{03B24DB2-D658-4DDA-9FFD-B66A26FE63DA}">
        <Attribution userId="S::anhlema@lighthouse.org.mw::3f6e5fff-790d-490a-b0fe-8851ce713eb5" userName="Angelina  Nhlema" userProvider="AD"/>
        <Anchor>
          <Comment id="{D089DF92-0262-4F81-A3B2-A82592704375}"/>
        </Anchor>
        <SetTitle title="@Margaret Chirwa can you check for area 18 duplicate May reports on HTS new pos. @Luciano Billion "/>
      </Event>
      <Event time="2024-08-12T13:38:03.20" id="{FF3F9CBB-5261-4FC7-94DB-6D6CE52EF522}">
        <Attribution userId="S::anhlema@lighthouse.org.mw::3f6e5fff-790d-490a-b0fe-8851ce713eb5" userName="Angelina  Nhlema" userProvider="AD"/>
        <Progress percentComplete="100"/>
      </Event>
    </History>
  </Task>
</Tasks>
</file>

<file path=xl/documenttasks/documenttask2.xml><?xml version="1.0" encoding="utf-8"?>
<Tasks xmlns="http://schemas.microsoft.com/office/tasks/2019/documenttasks">
  <Task id="{E04B3DAA-69DF-47AD-A880-C1E734BA5D1B}">
    <Anchor>
      <Comment id="{16B1849F-246C-4E16-B62A-46DCF7985263}"/>
    </Anchor>
    <History>
      <Event time="2024-04-19T15:43:59.89" id="{D42E67B9-623E-4B2B-AB46-4991098E1D90}">
        <Attribution userId="S::anhlema@lighthouse.org.mw::3f6e5fff-790d-490a-b0fe-8851ce713eb5" userName="Angelina  Nhlema" userProvider="AD"/>
        <Anchor>
          <Comment id="{16B1849F-246C-4E16-B62A-46DCF7985263}"/>
        </Anchor>
        <Create/>
      </Event>
      <Event time="2024-04-19T15:43:59.89" id="{7FCF4842-ADE6-4DE6-93CA-4657B8EC9D8A}">
        <Attribution userId="S::anhlema@lighthouse.org.mw::3f6e5fff-790d-490a-b0fe-8851ce713eb5" userName="Angelina  Nhlema" userProvider="AD"/>
        <Anchor>
          <Comment id="{16B1849F-246C-4E16-B62A-46DCF7985263}"/>
        </Anchor>
        <Assign userId="S::lgabriel@lighthouse.org.mw::32114797-b56e-48ca-8683-23af22bea00a" userName="Layout  Gabriel" userProvider="AD"/>
      </Event>
      <Event time="2024-04-19T15:43:59.89" id="{B3CA3FB2-8639-4D99-8226-56189EAF71C6}">
        <Attribution userId="S::anhlema@lighthouse.org.mw::3f6e5fff-790d-490a-b0fe-8851ce713eb5" userName="Angelina  Nhlema" userProvider="AD"/>
        <Anchor>
          <Comment id="{16B1849F-246C-4E16-B62A-46DCF7985263}"/>
        </Anchor>
        <SetTitle title="@Layout Gabriel @Maxson Musama you can check summaries from this sheet. use the slicers to navigate the data by facility, AHD category or reporting period"/>
      </Event>
    </History>
  </Task>
</Tasks>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9.xml.rels><?xml version="1.0" encoding="UTF-8" standalone="yes"?>
<Relationships xmlns="http://schemas.openxmlformats.org/package/2006/relationships"><Relationship Id="rId8" Type="http://schemas.openxmlformats.org/officeDocument/2006/relationships/chart" Target="../charts/chart22.xml"/><Relationship Id="rId13" Type="http://schemas.openxmlformats.org/officeDocument/2006/relationships/chart" Target="../charts/chart27.xml"/><Relationship Id="rId3" Type="http://schemas.openxmlformats.org/officeDocument/2006/relationships/chart" Target="../charts/chart17.xml"/><Relationship Id="rId7" Type="http://schemas.openxmlformats.org/officeDocument/2006/relationships/chart" Target="../charts/chart21.xml"/><Relationship Id="rId12" Type="http://schemas.openxmlformats.org/officeDocument/2006/relationships/chart" Target="../charts/chart26.xml"/><Relationship Id="rId2" Type="http://schemas.openxmlformats.org/officeDocument/2006/relationships/chart" Target="../charts/chart16.xml"/><Relationship Id="rId1" Type="http://schemas.openxmlformats.org/officeDocument/2006/relationships/chart" Target="../charts/chart15.xml"/><Relationship Id="rId6" Type="http://schemas.openxmlformats.org/officeDocument/2006/relationships/chart" Target="../charts/chart20.xml"/><Relationship Id="rId11" Type="http://schemas.openxmlformats.org/officeDocument/2006/relationships/chart" Target="../charts/chart25.xml"/><Relationship Id="rId5" Type="http://schemas.openxmlformats.org/officeDocument/2006/relationships/chart" Target="../charts/chart19.xml"/><Relationship Id="rId15" Type="http://schemas.openxmlformats.org/officeDocument/2006/relationships/chart" Target="../charts/chart29.xml"/><Relationship Id="rId10" Type="http://schemas.openxmlformats.org/officeDocument/2006/relationships/chart" Target="../charts/chart24.xml"/><Relationship Id="rId4" Type="http://schemas.openxmlformats.org/officeDocument/2006/relationships/chart" Target="../charts/chart18.xml"/><Relationship Id="rId9" Type="http://schemas.openxmlformats.org/officeDocument/2006/relationships/chart" Target="../charts/chart23.xml"/><Relationship Id="rId14" Type="http://schemas.openxmlformats.org/officeDocument/2006/relationships/chart" Target="../charts/chart28.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32.xml"/><Relationship Id="rId2" Type="http://schemas.openxmlformats.org/officeDocument/2006/relationships/chart" Target="../charts/chart31.xml"/><Relationship Id="rId1" Type="http://schemas.openxmlformats.org/officeDocument/2006/relationships/chart" Target="../charts/chart30.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34.xml"/><Relationship Id="rId1" Type="http://schemas.openxmlformats.org/officeDocument/2006/relationships/chart" Target="../charts/chart33.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36.xml"/><Relationship Id="rId1" Type="http://schemas.openxmlformats.org/officeDocument/2006/relationships/chart" Target="../charts/chart35.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38.xml"/><Relationship Id="rId1" Type="http://schemas.openxmlformats.org/officeDocument/2006/relationships/chart" Target="../charts/chart37.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40.xml"/><Relationship Id="rId1" Type="http://schemas.openxmlformats.org/officeDocument/2006/relationships/chart" Target="../charts/chart39.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42.xml"/><Relationship Id="rId1" Type="http://schemas.openxmlformats.org/officeDocument/2006/relationships/chart" Target="../charts/chart41.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44.xml"/><Relationship Id="rId1" Type="http://schemas.openxmlformats.org/officeDocument/2006/relationships/chart" Target="../charts/chart43.xml"/></Relationships>
</file>

<file path=xl/drawings/drawing1.xml><?xml version="1.0" encoding="utf-8"?>
<xdr:wsDr xmlns:xdr="http://schemas.openxmlformats.org/drawingml/2006/spreadsheetDrawing" xmlns:a="http://schemas.openxmlformats.org/drawingml/2006/main">
  <xdr:twoCellAnchor>
    <xdr:from>
      <xdr:col>3</xdr:col>
      <xdr:colOff>255270</xdr:colOff>
      <xdr:row>16</xdr:row>
      <xdr:rowOff>62867</xdr:rowOff>
    </xdr:from>
    <xdr:to>
      <xdr:col>12</xdr:col>
      <xdr:colOff>47624</xdr:colOff>
      <xdr:row>48</xdr:row>
      <xdr:rowOff>0</xdr:rowOff>
    </xdr:to>
    <xdr:graphicFrame macro="">
      <xdr:nvGraphicFramePr>
        <xdr:cNvPr id="2" name="Chart 1">
          <a:extLst>
            <a:ext uri="{FF2B5EF4-FFF2-40B4-BE49-F238E27FC236}">
              <a16:creationId xmlns:a16="http://schemas.microsoft.com/office/drawing/2014/main" id="{E4BFD164-8D1B-4039-ADBF-F60D0E137D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34290</xdr:rowOff>
    </xdr:from>
    <xdr:to>
      <xdr:col>2</xdr:col>
      <xdr:colOff>567728</xdr:colOff>
      <xdr:row>7</xdr:row>
      <xdr:rowOff>148590</xdr:rowOff>
    </xdr:to>
    <mc:AlternateContent xmlns:mc="http://schemas.openxmlformats.org/markup-compatibility/2006" xmlns:a14="http://schemas.microsoft.com/office/drawing/2010/main">
      <mc:Choice Requires="a14">
        <xdr:graphicFrame macro="">
          <xdr:nvGraphicFramePr>
            <xdr:cNvPr id="3" name="AHD_eligible_category&#10; 14">
              <a:extLst>
                <a:ext uri="{FF2B5EF4-FFF2-40B4-BE49-F238E27FC236}">
                  <a16:creationId xmlns:a16="http://schemas.microsoft.com/office/drawing/2014/main" id="{4E9B51AE-0758-4C5A-8308-D60EE9A3C737}"/>
                </a:ext>
              </a:extLst>
            </xdr:cNvPr>
            <xdr:cNvGraphicFramePr/>
          </xdr:nvGraphicFramePr>
          <xdr:xfrm>
            <a:off x="0" y="0"/>
            <a:ext cx="0" cy="0"/>
          </xdr:xfrm>
          <a:graphic>
            <a:graphicData uri="http://schemas.microsoft.com/office/drawing/2010/slicer">
              <sle:slicer xmlns:sle="http://schemas.microsoft.com/office/drawing/2010/slicer" name="AHD_eligible_category&#10; 14"/>
            </a:graphicData>
          </a:graphic>
        </xdr:graphicFrame>
      </mc:Choice>
      <mc:Fallback xmlns="">
        <xdr:sp macro="" textlink="">
          <xdr:nvSpPr>
            <xdr:cNvPr id="0" name=""/>
            <xdr:cNvSpPr>
              <a:spLocks noTextEdit="1"/>
            </xdr:cNvSpPr>
          </xdr:nvSpPr>
          <xdr:spPr>
            <a:xfrm>
              <a:off x="0" y="215266"/>
              <a:ext cx="1863128" cy="1200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152401</xdr:rowOff>
    </xdr:from>
    <xdr:to>
      <xdr:col>3</xdr:col>
      <xdr:colOff>3080</xdr:colOff>
      <xdr:row>26</xdr:row>
      <xdr:rowOff>2541</xdr:rowOff>
    </xdr:to>
    <mc:AlternateContent xmlns:mc="http://schemas.openxmlformats.org/markup-compatibility/2006" xmlns:a14="http://schemas.microsoft.com/office/drawing/2010/main">
      <mc:Choice Requires="a14">
        <xdr:graphicFrame macro="">
          <xdr:nvGraphicFramePr>
            <xdr:cNvPr id="4" name="Facility 15">
              <a:extLst>
                <a:ext uri="{FF2B5EF4-FFF2-40B4-BE49-F238E27FC236}">
                  <a16:creationId xmlns:a16="http://schemas.microsoft.com/office/drawing/2014/main" id="{4D390ED9-5571-4EEB-8E5A-90E8C148D50F}"/>
                </a:ext>
              </a:extLst>
            </xdr:cNvPr>
            <xdr:cNvGraphicFramePr/>
          </xdr:nvGraphicFramePr>
          <xdr:xfrm>
            <a:off x="0" y="0"/>
            <a:ext cx="0" cy="0"/>
          </xdr:xfrm>
          <a:graphic>
            <a:graphicData uri="http://schemas.microsoft.com/office/drawing/2010/slicer">
              <sle:slicer xmlns:sle="http://schemas.microsoft.com/office/drawing/2010/slicer" name="Facility 15"/>
            </a:graphicData>
          </a:graphic>
        </xdr:graphicFrame>
      </mc:Choice>
      <mc:Fallback xmlns="">
        <xdr:sp macro="" textlink="">
          <xdr:nvSpPr>
            <xdr:cNvPr id="0" name=""/>
            <xdr:cNvSpPr>
              <a:spLocks noTextEdit="1"/>
            </xdr:cNvSpPr>
          </xdr:nvSpPr>
          <xdr:spPr>
            <a:xfrm>
              <a:off x="0" y="2867027"/>
              <a:ext cx="1946180" cy="18408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7</xdr:row>
      <xdr:rowOff>151131</xdr:rowOff>
    </xdr:from>
    <xdr:to>
      <xdr:col>3</xdr:col>
      <xdr:colOff>2540</xdr:colOff>
      <xdr:row>15</xdr:row>
      <xdr:rowOff>148590</xdr:rowOff>
    </xdr:to>
    <mc:AlternateContent xmlns:mc="http://schemas.openxmlformats.org/markup-compatibility/2006" xmlns:a14="http://schemas.microsoft.com/office/drawing/2010/main">
      <mc:Choice Requires="a14">
        <xdr:graphicFrame macro="">
          <xdr:nvGraphicFramePr>
            <xdr:cNvPr id="5" name="Reporting_year&#10; 9">
              <a:extLst>
                <a:ext uri="{FF2B5EF4-FFF2-40B4-BE49-F238E27FC236}">
                  <a16:creationId xmlns:a16="http://schemas.microsoft.com/office/drawing/2014/main" id="{97B73C4E-92D8-4411-9D04-D9BAD192E252}"/>
                </a:ext>
              </a:extLst>
            </xdr:cNvPr>
            <xdr:cNvGraphicFramePr/>
          </xdr:nvGraphicFramePr>
          <xdr:xfrm>
            <a:off x="0" y="0"/>
            <a:ext cx="0" cy="0"/>
          </xdr:xfrm>
          <a:graphic>
            <a:graphicData uri="http://schemas.microsoft.com/office/drawing/2010/slicer">
              <sle:slicer xmlns:sle="http://schemas.microsoft.com/office/drawing/2010/slicer" name="Reporting_year&#10; 9"/>
            </a:graphicData>
          </a:graphic>
        </xdr:graphicFrame>
      </mc:Choice>
      <mc:Fallback xmlns="">
        <xdr:sp macro="" textlink="">
          <xdr:nvSpPr>
            <xdr:cNvPr id="0" name=""/>
            <xdr:cNvSpPr>
              <a:spLocks noTextEdit="1"/>
            </xdr:cNvSpPr>
          </xdr:nvSpPr>
          <xdr:spPr>
            <a:xfrm>
              <a:off x="0" y="1417957"/>
              <a:ext cx="1945640" cy="14452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37</xdr:row>
      <xdr:rowOff>104141</xdr:rowOff>
    </xdr:from>
    <xdr:to>
      <xdr:col>2</xdr:col>
      <xdr:colOff>574040</xdr:colOff>
      <xdr:row>45</xdr:row>
      <xdr:rowOff>154941</xdr:rowOff>
    </xdr:to>
    <mc:AlternateContent xmlns:mc="http://schemas.openxmlformats.org/markup-compatibility/2006" xmlns:a14="http://schemas.microsoft.com/office/drawing/2010/main">
      <mc:Choice Requires="a14">
        <xdr:graphicFrame macro="">
          <xdr:nvGraphicFramePr>
            <xdr:cNvPr id="6" name="Reporting_Quarter&#10; 7">
              <a:extLst>
                <a:ext uri="{FF2B5EF4-FFF2-40B4-BE49-F238E27FC236}">
                  <a16:creationId xmlns:a16="http://schemas.microsoft.com/office/drawing/2014/main" id="{C5AA6F6F-9628-4DCA-B89E-F9968A795A4E}"/>
                </a:ext>
              </a:extLst>
            </xdr:cNvPr>
            <xdr:cNvGraphicFramePr/>
          </xdr:nvGraphicFramePr>
          <xdr:xfrm>
            <a:off x="0" y="0"/>
            <a:ext cx="0" cy="0"/>
          </xdr:xfrm>
          <a:graphic>
            <a:graphicData uri="http://schemas.microsoft.com/office/drawing/2010/slicer">
              <sle:slicer xmlns:sle="http://schemas.microsoft.com/office/drawing/2010/slicer" name="Reporting_Quarter&#10; 7"/>
            </a:graphicData>
          </a:graphic>
        </xdr:graphicFrame>
      </mc:Choice>
      <mc:Fallback xmlns="">
        <xdr:sp macro="" textlink="">
          <xdr:nvSpPr>
            <xdr:cNvPr id="0" name=""/>
            <xdr:cNvSpPr>
              <a:spLocks noTextEdit="1"/>
            </xdr:cNvSpPr>
          </xdr:nvSpPr>
          <xdr:spPr>
            <a:xfrm>
              <a:off x="0" y="6800217"/>
              <a:ext cx="1869440" cy="1498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86676</xdr:colOff>
      <xdr:row>16</xdr:row>
      <xdr:rowOff>58579</xdr:rowOff>
    </xdr:from>
    <xdr:to>
      <xdr:col>20</xdr:col>
      <xdr:colOff>1828800</xdr:colOff>
      <xdr:row>47</xdr:row>
      <xdr:rowOff>114299</xdr:rowOff>
    </xdr:to>
    <xdr:graphicFrame macro="">
      <xdr:nvGraphicFramePr>
        <xdr:cNvPr id="7" name="Chart 6">
          <a:extLst>
            <a:ext uri="{FF2B5EF4-FFF2-40B4-BE49-F238E27FC236}">
              <a16:creationId xmlns:a16="http://schemas.microsoft.com/office/drawing/2014/main" id="{277117F9-4085-48A3-A2EE-EFA5BDF0D7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45720</xdr:colOff>
      <xdr:row>11</xdr:row>
      <xdr:rowOff>85091</xdr:rowOff>
    </xdr:from>
    <xdr:to>
      <xdr:col>11</xdr:col>
      <xdr:colOff>2540</xdr:colOff>
      <xdr:row>44</xdr:row>
      <xdr:rowOff>72390</xdr:rowOff>
    </xdr:to>
    <xdr:graphicFrame macro="">
      <xdr:nvGraphicFramePr>
        <xdr:cNvPr id="2" name="Chart 1">
          <a:extLst>
            <a:ext uri="{FF2B5EF4-FFF2-40B4-BE49-F238E27FC236}">
              <a16:creationId xmlns:a16="http://schemas.microsoft.com/office/drawing/2014/main" id="{9D55D1CF-8EFA-484A-9B45-8D59E5A3F8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34290</xdr:rowOff>
    </xdr:from>
    <xdr:to>
      <xdr:col>2</xdr:col>
      <xdr:colOff>567728</xdr:colOff>
      <xdr:row>7</xdr:row>
      <xdr:rowOff>148590</xdr:rowOff>
    </xdr:to>
    <mc:AlternateContent xmlns:mc="http://schemas.openxmlformats.org/markup-compatibility/2006" xmlns:a14="http://schemas.microsoft.com/office/drawing/2010/main">
      <mc:Choice Requires="a14">
        <xdr:graphicFrame macro="">
          <xdr:nvGraphicFramePr>
            <xdr:cNvPr id="3" name="AHD_eligible_category&#10; 13">
              <a:extLst>
                <a:ext uri="{FF2B5EF4-FFF2-40B4-BE49-F238E27FC236}">
                  <a16:creationId xmlns:a16="http://schemas.microsoft.com/office/drawing/2014/main" id="{D1E8C3FD-5A1C-495C-99D7-1FFEF90BFFDF}"/>
                </a:ext>
              </a:extLst>
            </xdr:cNvPr>
            <xdr:cNvGraphicFramePr/>
          </xdr:nvGraphicFramePr>
          <xdr:xfrm>
            <a:off x="0" y="0"/>
            <a:ext cx="0" cy="0"/>
          </xdr:xfrm>
          <a:graphic>
            <a:graphicData uri="http://schemas.microsoft.com/office/drawing/2010/slicer">
              <sle:slicer xmlns:sle="http://schemas.microsoft.com/office/drawing/2010/slicer" name="AHD_eligible_category&#10; 13"/>
            </a:graphicData>
          </a:graphic>
        </xdr:graphicFrame>
      </mc:Choice>
      <mc:Fallback xmlns="">
        <xdr:sp macro="" textlink="">
          <xdr:nvSpPr>
            <xdr:cNvPr id="0" name=""/>
            <xdr:cNvSpPr>
              <a:spLocks noTextEdit="1"/>
            </xdr:cNvSpPr>
          </xdr:nvSpPr>
          <xdr:spPr>
            <a:xfrm>
              <a:off x="0" y="217170"/>
              <a:ext cx="1786928" cy="12115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152401</xdr:rowOff>
    </xdr:from>
    <xdr:to>
      <xdr:col>3</xdr:col>
      <xdr:colOff>3080</xdr:colOff>
      <xdr:row>26</xdr:row>
      <xdr:rowOff>2541</xdr:rowOff>
    </xdr:to>
    <mc:AlternateContent xmlns:mc="http://schemas.openxmlformats.org/markup-compatibility/2006" xmlns:a14="http://schemas.microsoft.com/office/drawing/2010/main">
      <mc:Choice Requires="a14">
        <xdr:graphicFrame macro="">
          <xdr:nvGraphicFramePr>
            <xdr:cNvPr id="4" name="Facility 14">
              <a:extLst>
                <a:ext uri="{FF2B5EF4-FFF2-40B4-BE49-F238E27FC236}">
                  <a16:creationId xmlns:a16="http://schemas.microsoft.com/office/drawing/2014/main" id="{85AB8FE4-3F07-4333-9D7D-01AA78C62C77}"/>
                </a:ext>
              </a:extLst>
            </xdr:cNvPr>
            <xdr:cNvGraphicFramePr/>
          </xdr:nvGraphicFramePr>
          <xdr:xfrm>
            <a:off x="0" y="0"/>
            <a:ext cx="0" cy="0"/>
          </xdr:xfrm>
          <a:graphic>
            <a:graphicData uri="http://schemas.microsoft.com/office/drawing/2010/slicer">
              <sle:slicer xmlns:sle="http://schemas.microsoft.com/office/drawing/2010/slicer" name="Facility 14"/>
            </a:graphicData>
          </a:graphic>
        </xdr:graphicFrame>
      </mc:Choice>
      <mc:Fallback xmlns="">
        <xdr:sp macro="" textlink="">
          <xdr:nvSpPr>
            <xdr:cNvPr id="0" name=""/>
            <xdr:cNvSpPr>
              <a:spLocks noTextEdit="1"/>
            </xdr:cNvSpPr>
          </xdr:nvSpPr>
          <xdr:spPr>
            <a:xfrm>
              <a:off x="0" y="2895601"/>
              <a:ext cx="1831880" cy="18618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7</xdr:row>
      <xdr:rowOff>151131</xdr:rowOff>
    </xdr:from>
    <xdr:to>
      <xdr:col>3</xdr:col>
      <xdr:colOff>2540</xdr:colOff>
      <xdr:row>15</xdr:row>
      <xdr:rowOff>148590</xdr:rowOff>
    </xdr:to>
    <mc:AlternateContent xmlns:mc="http://schemas.openxmlformats.org/markup-compatibility/2006" xmlns:a14="http://schemas.microsoft.com/office/drawing/2010/main">
      <mc:Choice Requires="a14">
        <xdr:graphicFrame macro="">
          <xdr:nvGraphicFramePr>
            <xdr:cNvPr id="5" name="Reporting_year&#10; 8">
              <a:extLst>
                <a:ext uri="{FF2B5EF4-FFF2-40B4-BE49-F238E27FC236}">
                  <a16:creationId xmlns:a16="http://schemas.microsoft.com/office/drawing/2014/main" id="{8F3EEE21-F2F6-4EB4-91DF-6FB206443C72}"/>
                </a:ext>
              </a:extLst>
            </xdr:cNvPr>
            <xdr:cNvGraphicFramePr/>
          </xdr:nvGraphicFramePr>
          <xdr:xfrm>
            <a:off x="0" y="0"/>
            <a:ext cx="0" cy="0"/>
          </xdr:xfrm>
          <a:graphic>
            <a:graphicData uri="http://schemas.microsoft.com/office/drawing/2010/slicer">
              <sle:slicer xmlns:sle="http://schemas.microsoft.com/office/drawing/2010/slicer" name="Reporting_year&#10; 8"/>
            </a:graphicData>
          </a:graphic>
        </xdr:graphicFrame>
      </mc:Choice>
      <mc:Fallback xmlns="">
        <xdr:sp macro="" textlink="">
          <xdr:nvSpPr>
            <xdr:cNvPr id="0" name=""/>
            <xdr:cNvSpPr>
              <a:spLocks noTextEdit="1"/>
            </xdr:cNvSpPr>
          </xdr:nvSpPr>
          <xdr:spPr>
            <a:xfrm>
              <a:off x="0" y="1431291"/>
              <a:ext cx="1831340" cy="14604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26</xdr:row>
      <xdr:rowOff>92711</xdr:rowOff>
    </xdr:from>
    <xdr:to>
      <xdr:col>2</xdr:col>
      <xdr:colOff>574040</xdr:colOff>
      <xdr:row>34</xdr:row>
      <xdr:rowOff>148591</xdr:rowOff>
    </xdr:to>
    <mc:AlternateContent xmlns:mc="http://schemas.openxmlformats.org/markup-compatibility/2006" xmlns:a14="http://schemas.microsoft.com/office/drawing/2010/main">
      <mc:Choice Requires="a14">
        <xdr:graphicFrame macro="">
          <xdr:nvGraphicFramePr>
            <xdr:cNvPr id="6" name="Reporting_Quarter&#10; 6">
              <a:extLst>
                <a:ext uri="{FF2B5EF4-FFF2-40B4-BE49-F238E27FC236}">
                  <a16:creationId xmlns:a16="http://schemas.microsoft.com/office/drawing/2014/main" id="{C244C324-3AE9-4513-898D-EE45A6906F80}"/>
                </a:ext>
              </a:extLst>
            </xdr:cNvPr>
            <xdr:cNvGraphicFramePr/>
          </xdr:nvGraphicFramePr>
          <xdr:xfrm>
            <a:off x="0" y="0"/>
            <a:ext cx="0" cy="0"/>
          </xdr:xfrm>
          <a:graphic>
            <a:graphicData uri="http://schemas.microsoft.com/office/drawing/2010/slicer">
              <sle:slicer xmlns:sle="http://schemas.microsoft.com/office/drawing/2010/slicer" name="Reporting_Quarter&#10; 6"/>
            </a:graphicData>
          </a:graphic>
        </xdr:graphicFrame>
      </mc:Choice>
      <mc:Fallback xmlns="">
        <xdr:sp macro="" textlink="">
          <xdr:nvSpPr>
            <xdr:cNvPr id="0" name=""/>
            <xdr:cNvSpPr>
              <a:spLocks noTextEdit="1"/>
            </xdr:cNvSpPr>
          </xdr:nvSpPr>
          <xdr:spPr>
            <a:xfrm>
              <a:off x="0" y="4878071"/>
              <a:ext cx="1793240" cy="15316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8254</xdr:colOff>
      <xdr:row>11</xdr:row>
      <xdr:rowOff>85724</xdr:rowOff>
    </xdr:from>
    <xdr:to>
      <xdr:col>19</xdr:col>
      <xdr:colOff>48260</xdr:colOff>
      <xdr:row>44</xdr:row>
      <xdr:rowOff>107950</xdr:rowOff>
    </xdr:to>
    <xdr:graphicFrame macro="">
      <xdr:nvGraphicFramePr>
        <xdr:cNvPr id="8" name="Chart 7">
          <a:extLst>
            <a:ext uri="{FF2B5EF4-FFF2-40B4-BE49-F238E27FC236}">
              <a16:creationId xmlns:a16="http://schemas.microsoft.com/office/drawing/2014/main" id="{2B2F5780-06E3-4FE1-A23D-CC58248170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9525</xdr:colOff>
      <xdr:row>0</xdr:row>
      <xdr:rowOff>28575</xdr:rowOff>
    </xdr:from>
    <xdr:to>
      <xdr:col>12</xdr:col>
      <xdr:colOff>9525</xdr:colOff>
      <xdr:row>13</xdr:row>
      <xdr:rowOff>76200</xdr:rowOff>
    </xdr:to>
    <mc:AlternateContent xmlns:mc="http://schemas.openxmlformats.org/markup-compatibility/2006" xmlns:a14="http://schemas.microsoft.com/office/drawing/2010/main">
      <mc:Choice Requires="a14">
        <xdr:graphicFrame macro="">
          <xdr:nvGraphicFramePr>
            <xdr:cNvPr id="3" name="AHD_eligible_category&#10; 15">
              <a:extLst>
                <a:ext uri="{FF2B5EF4-FFF2-40B4-BE49-F238E27FC236}">
                  <a16:creationId xmlns:a16="http://schemas.microsoft.com/office/drawing/2014/main" id="{F41DFFCB-4E75-02AA-5EE4-D83179552E1C}"/>
                </a:ext>
              </a:extLst>
            </xdr:cNvPr>
            <xdr:cNvGraphicFramePr/>
          </xdr:nvGraphicFramePr>
          <xdr:xfrm>
            <a:off x="0" y="0"/>
            <a:ext cx="0" cy="0"/>
          </xdr:xfrm>
          <a:graphic>
            <a:graphicData uri="http://schemas.microsoft.com/office/drawing/2010/slicer">
              <sle:slicer xmlns:sle="http://schemas.microsoft.com/office/drawing/2010/slicer" name="AHD_eligible_category&#10; 15"/>
            </a:graphicData>
          </a:graphic>
        </xdr:graphicFrame>
      </mc:Choice>
      <mc:Fallback xmlns="">
        <xdr:sp macro="" textlink="">
          <xdr:nvSpPr>
            <xdr:cNvPr id="0" name=""/>
            <xdr:cNvSpPr>
              <a:spLocks noTextEdit="1"/>
            </xdr:cNvSpPr>
          </xdr:nvSpPr>
          <xdr:spPr>
            <a:xfrm>
              <a:off x="10153650" y="285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257175</xdr:colOff>
      <xdr:row>16</xdr:row>
      <xdr:rowOff>23813</xdr:rowOff>
    </xdr:from>
    <xdr:to>
      <xdr:col>3</xdr:col>
      <xdr:colOff>800100</xdr:colOff>
      <xdr:row>29</xdr:row>
      <xdr:rowOff>71438</xdr:rowOff>
    </xdr:to>
    <mc:AlternateContent xmlns:mc="http://schemas.openxmlformats.org/markup-compatibility/2006" xmlns:a14="http://schemas.microsoft.com/office/drawing/2010/main">
      <mc:Choice Requires="a14">
        <xdr:graphicFrame macro="">
          <xdr:nvGraphicFramePr>
            <xdr:cNvPr id="31" name="Reporting_year&#10; 12">
              <a:extLst>
                <a:ext uri="{FF2B5EF4-FFF2-40B4-BE49-F238E27FC236}">
                  <a16:creationId xmlns:a16="http://schemas.microsoft.com/office/drawing/2014/main" id="{A37FB961-5232-3FB0-0EA2-9FA06F31558C}"/>
                </a:ext>
              </a:extLst>
            </xdr:cNvPr>
            <xdr:cNvGraphicFramePr/>
          </xdr:nvGraphicFramePr>
          <xdr:xfrm>
            <a:off x="0" y="0"/>
            <a:ext cx="0" cy="0"/>
          </xdr:xfrm>
          <a:graphic>
            <a:graphicData uri="http://schemas.microsoft.com/office/drawing/2010/slicer">
              <sle:slicer xmlns:sle="http://schemas.microsoft.com/office/drawing/2010/slicer" name="Reporting_year&#10; 12"/>
            </a:graphicData>
          </a:graphic>
        </xdr:graphicFrame>
      </mc:Choice>
      <mc:Fallback xmlns="">
        <xdr:sp macro="" textlink="">
          <xdr:nvSpPr>
            <xdr:cNvPr id="0" name=""/>
            <xdr:cNvSpPr>
              <a:spLocks noTextEdit="1"/>
            </xdr:cNvSpPr>
          </xdr:nvSpPr>
          <xdr:spPr>
            <a:xfrm>
              <a:off x="2686050" y="2919413"/>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38100</xdr:colOff>
      <xdr:row>12</xdr:row>
      <xdr:rowOff>128588</xdr:rowOff>
    </xdr:from>
    <xdr:to>
      <xdr:col>14</xdr:col>
      <xdr:colOff>38100</xdr:colOff>
      <xdr:row>25</xdr:row>
      <xdr:rowOff>176213</xdr:rowOff>
    </xdr:to>
    <mc:AlternateContent xmlns:mc="http://schemas.openxmlformats.org/markup-compatibility/2006" xmlns:a14="http://schemas.microsoft.com/office/drawing/2010/main">
      <mc:Choice Requires="a14">
        <xdr:graphicFrame macro="">
          <xdr:nvGraphicFramePr>
            <xdr:cNvPr id="8" name="COP_Year1">
              <a:extLst>
                <a:ext uri="{FF2B5EF4-FFF2-40B4-BE49-F238E27FC236}">
                  <a16:creationId xmlns:a16="http://schemas.microsoft.com/office/drawing/2014/main" id="{89ECF0E4-CE81-E72F-EE3B-441978AAF15F}"/>
                </a:ext>
              </a:extLst>
            </xdr:cNvPr>
            <xdr:cNvGraphicFramePr/>
          </xdr:nvGraphicFramePr>
          <xdr:xfrm>
            <a:off x="0" y="0"/>
            <a:ext cx="0" cy="0"/>
          </xdr:xfrm>
          <a:graphic>
            <a:graphicData uri="http://schemas.microsoft.com/office/drawing/2010/slicer">
              <sle:slicer xmlns:sle="http://schemas.microsoft.com/office/drawing/2010/slicer" name="COP_Year1"/>
            </a:graphicData>
          </a:graphic>
        </xdr:graphicFrame>
      </mc:Choice>
      <mc:Fallback xmlns="">
        <xdr:sp macro="" textlink="">
          <xdr:nvSpPr>
            <xdr:cNvPr id="0" name=""/>
            <xdr:cNvSpPr>
              <a:spLocks noTextEdit="1"/>
            </xdr:cNvSpPr>
          </xdr:nvSpPr>
          <xdr:spPr>
            <a:xfrm>
              <a:off x="11477625" y="2300288"/>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400049</xdr:colOff>
      <xdr:row>14</xdr:row>
      <xdr:rowOff>9525</xdr:rowOff>
    </xdr:from>
    <xdr:to>
      <xdr:col>8</xdr:col>
      <xdr:colOff>209549</xdr:colOff>
      <xdr:row>27</xdr:row>
      <xdr:rowOff>57150</xdr:rowOff>
    </xdr:to>
    <mc:AlternateContent xmlns:mc="http://schemas.openxmlformats.org/markup-compatibility/2006" xmlns:a14="http://schemas.microsoft.com/office/drawing/2010/main">
      <mc:Choice Requires="a14">
        <xdr:graphicFrame macro="">
          <xdr:nvGraphicFramePr>
            <xdr:cNvPr id="32" name="COP_Quarter1">
              <a:extLst>
                <a:ext uri="{FF2B5EF4-FFF2-40B4-BE49-F238E27FC236}">
                  <a16:creationId xmlns:a16="http://schemas.microsoft.com/office/drawing/2014/main" id="{8034D913-FBE6-6AF1-F2E4-31D439E11A40}"/>
                </a:ext>
              </a:extLst>
            </xdr:cNvPr>
            <xdr:cNvGraphicFramePr/>
          </xdr:nvGraphicFramePr>
          <xdr:xfrm>
            <a:off x="0" y="0"/>
            <a:ext cx="0" cy="0"/>
          </xdr:xfrm>
          <a:graphic>
            <a:graphicData uri="http://schemas.microsoft.com/office/drawing/2010/slicer">
              <sle:slicer xmlns:sle="http://schemas.microsoft.com/office/drawing/2010/slicer" name="COP_Quarter1"/>
            </a:graphicData>
          </a:graphic>
        </xdr:graphicFrame>
      </mc:Choice>
      <mc:Fallback xmlns="">
        <xdr:sp macro="" textlink="">
          <xdr:nvSpPr>
            <xdr:cNvPr id="0" name=""/>
            <xdr:cNvSpPr>
              <a:spLocks noTextEdit="1"/>
            </xdr:cNvSpPr>
          </xdr:nvSpPr>
          <xdr:spPr>
            <a:xfrm>
              <a:off x="7786687" y="25431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280984</xdr:colOff>
      <xdr:row>15</xdr:row>
      <xdr:rowOff>85723</xdr:rowOff>
    </xdr:from>
    <xdr:to>
      <xdr:col>6</xdr:col>
      <xdr:colOff>76197</xdr:colOff>
      <xdr:row>34</xdr:row>
      <xdr:rowOff>66673</xdr:rowOff>
    </xdr:to>
    <mc:AlternateContent xmlns:mc="http://schemas.openxmlformats.org/markup-compatibility/2006" xmlns:a14="http://schemas.microsoft.com/office/drawing/2010/main">
      <mc:Choice Requires="a14">
        <xdr:graphicFrame macro="">
          <xdr:nvGraphicFramePr>
            <xdr:cNvPr id="30" name="Reporting_month&#10; 1">
              <a:extLst>
                <a:ext uri="{FF2B5EF4-FFF2-40B4-BE49-F238E27FC236}">
                  <a16:creationId xmlns:a16="http://schemas.microsoft.com/office/drawing/2014/main" id="{A75CC684-2002-5B62-C50A-D60FCE517608}"/>
                </a:ext>
              </a:extLst>
            </xdr:cNvPr>
            <xdr:cNvGraphicFramePr/>
          </xdr:nvGraphicFramePr>
          <xdr:xfrm>
            <a:off x="0" y="0"/>
            <a:ext cx="0" cy="0"/>
          </xdr:xfrm>
          <a:graphic>
            <a:graphicData uri="http://schemas.microsoft.com/office/drawing/2010/slicer">
              <sle:slicer xmlns:sle="http://schemas.microsoft.com/office/drawing/2010/slicer" name="Reporting_month&#10; 1"/>
            </a:graphicData>
          </a:graphic>
        </xdr:graphicFrame>
      </mc:Choice>
      <mc:Fallback xmlns="">
        <xdr:sp macro="" textlink="">
          <xdr:nvSpPr>
            <xdr:cNvPr id="0" name=""/>
            <xdr:cNvSpPr>
              <a:spLocks noTextEdit="1"/>
            </xdr:cNvSpPr>
          </xdr:nvSpPr>
          <xdr:spPr>
            <a:xfrm>
              <a:off x="5105397" y="2800348"/>
              <a:ext cx="2405063" cy="3600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55926</xdr:colOff>
      <xdr:row>0</xdr:row>
      <xdr:rowOff>154939</xdr:rowOff>
    </xdr:from>
    <xdr:to>
      <xdr:col>10</xdr:col>
      <xdr:colOff>301711</xdr:colOff>
      <xdr:row>27</xdr:row>
      <xdr:rowOff>7620</xdr:rowOff>
    </xdr:to>
    <xdr:graphicFrame macro="">
      <xdr:nvGraphicFramePr>
        <xdr:cNvPr id="2" name="Chart 1">
          <a:extLst>
            <a:ext uri="{FF2B5EF4-FFF2-40B4-BE49-F238E27FC236}">
              <a16:creationId xmlns:a16="http://schemas.microsoft.com/office/drawing/2014/main" id="{1C9E3E69-8301-46F5-6C83-3C9447CDB0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25</xdr:row>
      <xdr:rowOff>25400</xdr:rowOff>
    </xdr:from>
    <xdr:to>
      <xdr:col>1</xdr:col>
      <xdr:colOff>605790</xdr:colOff>
      <xdr:row>31</xdr:row>
      <xdr:rowOff>3809</xdr:rowOff>
    </xdr:to>
    <mc:AlternateContent xmlns:mc="http://schemas.openxmlformats.org/markup-compatibility/2006" xmlns:a14="http://schemas.microsoft.com/office/drawing/2010/main">
      <mc:Choice Requires="a14">
        <xdr:graphicFrame macro="">
          <xdr:nvGraphicFramePr>
            <xdr:cNvPr id="3" name="AHD_eligible_category&#10; 8">
              <a:extLst>
                <a:ext uri="{FF2B5EF4-FFF2-40B4-BE49-F238E27FC236}">
                  <a16:creationId xmlns:a16="http://schemas.microsoft.com/office/drawing/2014/main" id="{58EFD152-B2A2-B6DA-C736-AF11F471551C}"/>
                </a:ext>
              </a:extLst>
            </xdr:cNvPr>
            <xdr:cNvGraphicFramePr/>
          </xdr:nvGraphicFramePr>
          <xdr:xfrm>
            <a:off x="0" y="0"/>
            <a:ext cx="0" cy="0"/>
          </xdr:xfrm>
          <a:graphic>
            <a:graphicData uri="http://schemas.microsoft.com/office/drawing/2010/slicer">
              <sle:slicer xmlns:sle="http://schemas.microsoft.com/office/drawing/2010/slicer" name="AHD_eligible_category&#10; 8"/>
            </a:graphicData>
          </a:graphic>
        </xdr:graphicFrame>
      </mc:Choice>
      <mc:Fallback xmlns="">
        <xdr:sp macro="" textlink="">
          <xdr:nvSpPr>
            <xdr:cNvPr id="0" name=""/>
            <xdr:cNvSpPr>
              <a:spLocks noTextEdit="1"/>
            </xdr:cNvSpPr>
          </xdr:nvSpPr>
          <xdr:spPr>
            <a:xfrm>
              <a:off x="0" y="4631690"/>
              <a:ext cx="1215390" cy="10807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66041</xdr:rowOff>
    </xdr:from>
    <xdr:to>
      <xdr:col>2</xdr:col>
      <xdr:colOff>34290</xdr:colOff>
      <xdr:row>9</xdr:row>
      <xdr:rowOff>110490</xdr:rowOff>
    </xdr:to>
    <mc:AlternateContent xmlns:mc="http://schemas.openxmlformats.org/markup-compatibility/2006" xmlns:a14="http://schemas.microsoft.com/office/drawing/2010/main">
      <mc:Choice Requires="a14">
        <xdr:graphicFrame macro="">
          <xdr:nvGraphicFramePr>
            <xdr:cNvPr id="6" name="Facility 9">
              <a:extLst>
                <a:ext uri="{FF2B5EF4-FFF2-40B4-BE49-F238E27FC236}">
                  <a16:creationId xmlns:a16="http://schemas.microsoft.com/office/drawing/2014/main" id="{1CA5D90C-414F-AFE3-FFA9-829111565FE5}"/>
                </a:ext>
              </a:extLst>
            </xdr:cNvPr>
            <xdr:cNvGraphicFramePr/>
          </xdr:nvGraphicFramePr>
          <xdr:xfrm>
            <a:off x="0" y="0"/>
            <a:ext cx="0" cy="0"/>
          </xdr:xfrm>
          <a:graphic>
            <a:graphicData uri="http://schemas.microsoft.com/office/drawing/2010/slicer">
              <sle:slicer xmlns:sle="http://schemas.microsoft.com/office/drawing/2010/slicer" name="Facility 9"/>
            </a:graphicData>
          </a:graphic>
        </xdr:graphicFrame>
      </mc:Choice>
      <mc:Fallback xmlns="">
        <xdr:sp macro="" textlink="">
          <xdr:nvSpPr>
            <xdr:cNvPr id="0" name=""/>
            <xdr:cNvSpPr>
              <a:spLocks noTextEdit="1"/>
            </xdr:cNvSpPr>
          </xdr:nvSpPr>
          <xdr:spPr>
            <a:xfrm>
              <a:off x="0" y="63501"/>
              <a:ext cx="1028700" cy="169291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44451</xdr:rowOff>
    </xdr:from>
    <xdr:to>
      <xdr:col>2</xdr:col>
      <xdr:colOff>38100</xdr:colOff>
      <xdr:row>15</xdr:row>
      <xdr:rowOff>110490</xdr:rowOff>
    </xdr:to>
    <mc:AlternateContent xmlns:mc="http://schemas.openxmlformats.org/markup-compatibility/2006" xmlns:a14="http://schemas.microsoft.com/office/drawing/2010/main">
      <mc:Choice Requires="a14">
        <xdr:graphicFrame macro="">
          <xdr:nvGraphicFramePr>
            <xdr:cNvPr id="7" name="Reporting_year&#10; 3">
              <a:extLst>
                <a:ext uri="{FF2B5EF4-FFF2-40B4-BE49-F238E27FC236}">
                  <a16:creationId xmlns:a16="http://schemas.microsoft.com/office/drawing/2014/main" id="{96DF7A1D-71DD-5587-3374-4B449E209355}"/>
                </a:ext>
              </a:extLst>
            </xdr:cNvPr>
            <xdr:cNvGraphicFramePr/>
          </xdr:nvGraphicFramePr>
          <xdr:xfrm>
            <a:off x="0" y="0"/>
            <a:ext cx="0" cy="0"/>
          </xdr:xfrm>
          <a:graphic>
            <a:graphicData uri="http://schemas.microsoft.com/office/drawing/2010/slicer">
              <sle:slicer xmlns:sle="http://schemas.microsoft.com/office/drawing/2010/slicer" name="Reporting_year&#10; 3"/>
            </a:graphicData>
          </a:graphic>
        </xdr:graphicFrame>
      </mc:Choice>
      <mc:Fallback xmlns="">
        <xdr:sp macro="" textlink="">
          <xdr:nvSpPr>
            <xdr:cNvPr id="0" name=""/>
            <xdr:cNvSpPr>
              <a:spLocks noTextEdit="1"/>
            </xdr:cNvSpPr>
          </xdr:nvSpPr>
          <xdr:spPr>
            <a:xfrm>
              <a:off x="0" y="1691641"/>
              <a:ext cx="1104900" cy="1168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10160</xdr:rowOff>
    </xdr:from>
    <xdr:to>
      <xdr:col>1</xdr:col>
      <xdr:colOff>605790</xdr:colOff>
      <xdr:row>25</xdr:row>
      <xdr:rowOff>3809</xdr:rowOff>
    </xdr:to>
    <mc:AlternateContent xmlns:mc="http://schemas.openxmlformats.org/markup-compatibility/2006" xmlns:a14="http://schemas.microsoft.com/office/drawing/2010/main">
      <mc:Choice Requires="a14">
        <xdr:graphicFrame macro="">
          <xdr:nvGraphicFramePr>
            <xdr:cNvPr id="8" name="Reporting_Quarter&#10; 1">
              <a:extLst>
                <a:ext uri="{FF2B5EF4-FFF2-40B4-BE49-F238E27FC236}">
                  <a16:creationId xmlns:a16="http://schemas.microsoft.com/office/drawing/2014/main" id="{2506B1C2-B9AD-0429-7CDB-01A5172EF5A9}"/>
                </a:ext>
              </a:extLst>
            </xdr:cNvPr>
            <xdr:cNvGraphicFramePr/>
          </xdr:nvGraphicFramePr>
          <xdr:xfrm>
            <a:off x="0" y="0"/>
            <a:ext cx="0" cy="0"/>
          </xdr:xfrm>
          <a:graphic>
            <a:graphicData uri="http://schemas.microsoft.com/office/drawing/2010/slicer">
              <sle:slicer xmlns:sle="http://schemas.microsoft.com/office/drawing/2010/slicer" name="Reporting_Quarter&#10; 1"/>
            </a:graphicData>
          </a:graphic>
        </xdr:graphicFrame>
      </mc:Choice>
      <mc:Fallback xmlns="">
        <xdr:sp macro="" textlink="">
          <xdr:nvSpPr>
            <xdr:cNvPr id="0" name=""/>
            <xdr:cNvSpPr>
              <a:spLocks noTextEdit="1"/>
            </xdr:cNvSpPr>
          </xdr:nvSpPr>
          <xdr:spPr>
            <a:xfrm>
              <a:off x="0" y="2938781"/>
              <a:ext cx="1183640" cy="126746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316097</xdr:colOff>
      <xdr:row>1</xdr:row>
      <xdr:rowOff>3448</xdr:rowOff>
    </xdr:from>
    <xdr:to>
      <xdr:col>19</xdr:col>
      <xdr:colOff>274806</xdr:colOff>
      <xdr:row>27</xdr:row>
      <xdr:rowOff>42788</xdr:rowOff>
    </xdr:to>
    <xdr:graphicFrame macro="">
      <xdr:nvGraphicFramePr>
        <xdr:cNvPr id="10" name="Chart 9">
          <a:extLst>
            <a:ext uri="{FF2B5EF4-FFF2-40B4-BE49-F238E27FC236}">
              <a16:creationId xmlns:a16="http://schemas.microsoft.com/office/drawing/2014/main" id="{807332F4-9A71-E0F4-F6EF-794E9B8328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22</xdr:col>
      <xdr:colOff>420840</xdr:colOff>
      <xdr:row>1</xdr:row>
      <xdr:rowOff>90828</xdr:rowOff>
    </xdr:from>
    <xdr:to>
      <xdr:col>24</xdr:col>
      <xdr:colOff>117796</xdr:colOff>
      <xdr:row>27</xdr:row>
      <xdr:rowOff>34949</xdr:rowOff>
    </xdr:to>
    <mc:AlternateContent xmlns:mc="http://schemas.openxmlformats.org/markup-compatibility/2006" xmlns:a14="http://schemas.microsoft.com/office/drawing/2010/main">
      <mc:Choice Requires="a14">
        <xdr:graphicFrame macro="">
          <xdr:nvGraphicFramePr>
            <xdr:cNvPr id="4" name="Facility 16">
              <a:extLst>
                <a:ext uri="{FF2B5EF4-FFF2-40B4-BE49-F238E27FC236}">
                  <a16:creationId xmlns:a16="http://schemas.microsoft.com/office/drawing/2014/main" id="{90251481-F4EE-1700-4621-B5FF7CAEA355}"/>
                </a:ext>
              </a:extLst>
            </xdr:cNvPr>
            <xdr:cNvGraphicFramePr/>
          </xdr:nvGraphicFramePr>
          <xdr:xfrm>
            <a:off x="0" y="0"/>
            <a:ext cx="0" cy="0"/>
          </xdr:xfrm>
          <a:graphic>
            <a:graphicData uri="http://schemas.microsoft.com/office/drawing/2010/slicer">
              <sle:slicer xmlns:sle="http://schemas.microsoft.com/office/drawing/2010/slicer" name="Facility 16"/>
            </a:graphicData>
          </a:graphic>
        </xdr:graphicFrame>
      </mc:Choice>
      <mc:Fallback xmlns="">
        <xdr:sp macro="" textlink="">
          <xdr:nvSpPr>
            <xdr:cNvPr id="0" name=""/>
            <xdr:cNvSpPr>
              <a:spLocks noTextEdit="1"/>
            </xdr:cNvSpPr>
          </xdr:nvSpPr>
          <xdr:spPr>
            <a:xfrm>
              <a:off x="17975062" y="269569"/>
              <a:ext cx="1954735" cy="45913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339574</xdr:colOff>
      <xdr:row>8</xdr:row>
      <xdr:rowOff>33051</xdr:rowOff>
    </xdr:from>
    <xdr:to>
      <xdr:col>20</xdr:col>
      <xdr:colOff>1292639</xdr:colOff>
      <xdr:row>21</xdr:row>
      <xdr:rowOff>117507</xdr:rowOff>
    </xdr:to>
    <mc:AlternateContent xmlns:mc="http://schemas.openxmlformats.org/markup-compatibility/2006" xmlns:a14="http://schemas.microsoft.com/office/drawing/2010/main">
      <mc:Choice Requires="a14">
        <xdr:graphicFrame macro="">
          <xdr:nvGraphicFramePr>
            <xdr:cNvPr id="5" name="Reporting_year&#10; 11">
              <a:extLst>
                <a:ext uri="{FF2B5EF4-FFF2-40B4-BE49-F238E27FC236}">
                  <a16:creationId xmlns:a16="http://schemas.microsoft.com/office/drawing/2014/main" id="{6B468A24-ED93-C9A3-A3E8-099FFEE5DD6B}"/>
                </a:ext>
              </a:extLst>
            </xdr:cNvPr>
            <xdr:cNvGraphicFramePr/>
          </xdr:nvGraphicFramePr>
          <xdr:xfrm>
            <a:off x="0" y="0"/>
            <a:ext cx="0" cy="0"/>
          </xdr:xfrm>
          <a:graphic>
            <a:graphicData uri="http://schemas.microsoft.com/office/drawing/2010/slicer">
              <sle:slicer xmlns:sle="http://schemas.microsoft.com/office/drawing/2010/slicer" name="Reporting_year&#10; 11"/>
            </a:graphicData>
          </a:graphic>
        </xdr:graphicFrame>
      </mc:Choice>
      <mc:Fallback xmlns="">
        <xdr:sp macro="" textlink="">
          <xdr:nvSpPr>
            <xdr:cNvPr id="0" name=""/>
            <xdr:cNvSpPr>
              <a:spLocks noTextEdit="1"/>
            </xdr:cNvSpPr>
          </xdr:nvSpPr>
          <xdr:spPr>
            <a:xfrm>
              <a:off x="14064981" y="1462977"/>
              <a:ext cx="1818548" cy="240808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1521037</xdr:colOff>
      <xdr:row>0</xdr:row>
      <xdr:rowOff>29743</xdr:rowOff>
    </xdr:from>
    <xdr:to>
      <xdr:col>22</xdr:col>
      <xdr:colOff>384184</xdr:colOff>
      <xdr:row>13</xdr:row>
      <xdr:rowOff>148896</xdr:rowOff>
    </xdr:to>
    <mc:AlternateContent xmlns:mc="http://schemas.openxmlformats.org/markup-compatibility/2006" xmlns:a14="http://schemas.microsoft.com/office/drawing/2010/main">
      <mc:Choice Requires="a14">
        <xdr:graphicFrame macro="">
          <xdr:nvGraphicFramePr>
            <xdr:cNvPr id="9" name="COP_Quarter">
              <a:extLst>
                <a:ext uri="{FF2B5EF4-FFF2-40B4-BE49-F238E27FC236}">
                  <a16:creationId xmlns:a16="http://schemas.microsoft.com/office/drawing/2014/main" id="{B9A55851-C2B0-B8A1-A34B-8D6BDC8B7A38}"/>
                </a:ext>
              </a:extLst>
            </xdr:cNvPr>
            <xdr:cNvGraphicFramePr/>
          </xdr:nvGraphicFramePr>
          <xdr:xfrm>
            <a:off x="0" y="0"/>
            <a:ext cx="0" cy="0"/>
          </xdr:xfrm>
          <a:graphic>
            <a:graphicData uri="http://schemas.microsoft.com/office/drawing/2010/slicer">
              <sle:slicer xmlns:sle="http://schemas.microsoft.com/office/drawing/2010/slicer" name="COP_Quarter"/>
            </a:graphicData>
          </a:graphic>
        </xdr:graphicFrame>
      </mc:Choice>
      <mc:Fallback xmlns="">
        <xdr:sp macro="" textlink="">
          <xdr:nvSpPr>
            <xdr:cNvPr id="0" name=""/>
            <xdr:cNvSpPr>
              <a:spLocks noTextEdit="1"/>
            </xdr:cNvSpPr>
          </xdr:nvSpPr>
          <xdr:spPr>
            <a:xfrm>
              <a:off x="16111926" y="29743"/>
              <a:ext cx="1826479" cy="244278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1568074</xdr:colOff>
      <xdr:row>9</xdr:row>
      <xdr:rowOff>29741</xdr:rowOff>
    </xdr:from>
    <xdr:to>
      <xdr:col>22</xdr:col>
      <xdr:colOff>340252</xdr:colOff>
      <xdr:row>30</xdr:row>
      <xdr:rowOff>72875</xdr:rowOff>
    </xdr:to>
    <mc:AlternateContent xmlns:mc="http://schemas.openxmlformats.org/markup-compatibility/2006" xmlns:a14="http://schemas.microsoft.com/office/drawing/2010/main">
      <mc:Choice Requires="a14">
        <xdr:graphicFrame macro="">
          <xdr:nvGraphicFramePr>
            <xdr:cNvPr id="11" name="Reporting_month&#10;">
              <a:extLst>
                <a:ext uri="{FF2B5EF4-FFF2-40B4-BE49-F238E27FC236}">
                  <a16:creationId xmlns:a16="http://schemas.microsoft.com/office/drawing/2014/main" id="{4EF8232D-5FBB-A7D6-6C21-B410A80C84A0}"/>
                </a:ext>
              </a:extLst>
            </xdr:cNvPr>
            <xdr:cNvGraphicFramePr/>
          </xdr:nvGraphicFramePr>
          <xdr:xfrm>
            <a:off x="0" y="0"/>
            <a:ext cx="0" cy="0"/>
          </xdr:xfrm>
          <a:graphic>
            <a:graphicData uri="http://schemas.microsoft.com/office/drawing/2010/slicer">
              <sle:slicer xmlns:sle="http://schemas.microsoft.com/office/drawing/2010/slicer" name="Reporting_month&#10;"/>
            </a:graphicData>
          </a:graphic>
        </xdr:graphicFrame>
      </mc:Choice>
      <mc:Fallback xmlns="">
        <xdr:sp macro="" textlink="">
          <xdr:nvSpPr>
            <xdr:cNvPr id="0" name=""/>
            <xdr:cNvSpPr>
              <a:spLocks noTextEdit="1"/>
            </xdr:cNvSpPr>
          </xdr:nvSpPr>
          <xdr:spPr>
            <a:xfrm>
              <a:off x="16158963" y="1638408"/>
              <a:ext cx="1735510" cy="379668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381549</xdr:colOff>
      <xdr:row>0</xdr:row>
      <xdr:rowOff>141237</xdr:rowOff>
    </xdr:from>
    <xdr:to>
      <xdr:col>20</xdr:col>
      <xdr:colOff>1332716</xdr:colOff>
      <xdr:row>8</xdr:row>
      <xdr:rowOff>1051</xdr:rowOff>
    </xdr:to>
    <mc:AlternateContent xmlns:mc="http://schemas.openxmlformats.org/markup-compatibility/2006" xmlns:a14="http://schemas.microsoft.com/office/drawing/2010/main">
      <mc:Choice Requires="a14">
        <xdr:graphicFrame macro="">
          <xdr:nvGraphicFramePr>
            <xdr:cNvPr id="12" name="COP_Year 1">
              <a:extLst>
                <a:ext uri="{FF2B5EF4-FFF2-40B4-BE49-F238E27FC236}">
                  <a16:creationId xmlns:a16="http://schemas.microsoft.com/office/drawing/2014/main" id="{F2C4E129-38AC-13C4-90A3-2A036AF08EF8}"/>
                </a:ext>
              </a:extLst>
            </xdr:cNvPr>
            <xdr:cNvGraphicFramePr/>
          </xdr:nvGraphicFramePr>
          <xdr:xfrm>
            <a:off x="0" y="0"/>
            <a:ext cx="0" cy="0"/>
          </xdr:xfrm>
          <a:graphic>
            <a:graphicData uri="http://schemas.microsoft.com/office/drawing/2010/slicer">
              <sle:slicer xmlns:sle="http://schemas.microsoft.com/office/drawing/2010/slicer" name="COP_Year 1"/>
            </a:graphicData>
          </a:graphic>
        </xdr:graphicFrame>
      </mc:Choice>
      <mc:Fallback xmlns="">
        <xdr:sp macro="" textlink="">
          <xdr:nvSpPr>
            <xdr:cNvPr id="0" name=""/>
            <xdr:cNvSpPr>
              <a:spLocks noTextEdit="1"/>
            </xdr:cNvSpPr>
          </xdr:nvSpPr>
          <xdr:spPr>
            <a:xfrm>
              <a:off x="14106956" y="141237"/>
              <a:ext cx="1816650" cy="128974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563880</xdr:colOff>
      <xdr:row>0</xdr:row>
      <xdr:rowOff>0</xdr:rowOff>
    </xdr:from>
    <xdr:to>
      <xdr:col>10</xdr:col>
      <xdr:colOff>781050</xdr:colOff>
      <xdr:row>32</xdr:row>
      <xdr:rowOff>176529</xdr:rowOff>
    </xdr:to>
    <xdr:graphicFrame macro="">
      <xdr:nvGraphicFramePr>
        <xdr:cNvPr id="2" name="Chart 1">
          <a:extLst>
            <a:ext uri="{FF2B5EF4-FFF2-40B4-BE49-F238E27FC236}">
              <a16:creationId xmlns:a16="http://schemas.microsoft.com/office/drawing/2014/main" id="{B6C7C985-49DE-4676-B632-800C71A7B6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34290</xdr:rowOff>
    </xdr:from>
    <xdr:to>
      <xdr:col>2</xdr:col>
      <xdr:colOff>567728</xdr:colOff>
      <xdr:row>7</xdr:row>
      <xdr:rowOff>148590</xdr:rowOff>
    </xdr:to>
    <mc:AlternateContent xmlns:mc="http://schemas.openxmlformats.org/markup-compatibility/2006" xmlns:a14="http://schemas.microsoft.com/office/drawing/2010/main">
      <mc:Choice Requires="a14">
        <xdr:graphicFrame macro="">
          <xdr:nvGraphicFramePr>
            <xdr:cNvPr id="3" name="AHD_eligible_category&#10; 12">
              <a:extLst>
                <a:ext uri="{FF2B5EF4-FFF2-40B4-BE49-F238E27FC236}">
                  <a16:creationId xmlns:a16="http://schemas.microsoft.com/office/drawing/2014/main" id="{F7EDAA3D-93C5-4A22-87D2-426D562C33CA}"/>
                </a:ext>
              </a:extLst>
            </xdr:cNvPr>
            <xdr:cNvGraphicFramePr/>
          </xdr:nvGraphicFramePr>
          <xdr:xfrm>
            <a:off x="0" y="0"/>
            <a:ext cx="0" cy="0"/>
          </xdr:xfrm>
          <a:graphic>
            <a:graphicData uri="http://schemas.microsoft.com/office/drawing/2010/slicer">
              <sle:slicer xmlns:sle="http://schemas.microsoft.com/office/drawing/2010/slicer" name="AHD_eligible_category&#10; 12"/>
            </a:graphicData>
          </a:graphic>
        </xdr:graphicFrame>
      </mc:Choice>
      <mc:Fallback xmlns="">
        <xdr:sp macro="" textlink="">
          <xdr:nvSpPr>
            <xdr:cNvPr id="0" name=""/>
            <xdr:cNvSpPr>
              <a:spLocks noTextEdit="1"/>
            </xdr:cNvSpPr>
          </xdr:nvSpPr>
          <xdr:spPr>
            <a:xfrm>
              <a:off x="0" y="217170"/>
              <a:ext cx="1786928" cy="12115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152401</xdr:rowOff>
    </xdr:from>
    <xdr:to>
      <xdr:col>3</xdr:col>
      <xdr:colOff>3080</xdr:colOff>
      <xdr:row>26</xdr:row>
      <xdr:rowOff>2541</xdr:rowOff>
    </xdr:to>
    <mc:AlternateContent xmlns:mc="http://schemas.openxmlformats.org/markup-compatibility/2006" xmlns:a14="http://schemas.microsoft.com/office/drawing/2010/main">
      <mc:Choice Requires="a14">
        <xdr:graphicFrame macro="">
          <xdr:nvGraphicFramePr>
            <xdr:cNvPr id="4" name="Facility 13">
              <a:extLst>
                <a:ext uri="{FF2B5EF4-FFF2-40B4-BE49-F238E27FC236}">
                  <a16:creationId xmlns:a16="http://schemas.microsoft.com/office/drawing/2014/main" id="{0C750E44-B878-4799-8D38-372FD799CE69}"/>
                </a:ext>
              </a:extLst>
            </xdr:cNvPr>
            <xdr:cNvGraphicFramePr/>
          </xdr:nvGraphicFramePr>
          <xdr:xfrm>
            <a:off x="0" y="0"/>
            <a:ext cx="0" cy="0"/>
          </xdr:xfrm>
          <a:graphic>
            <a:graphicData uri="http://schemas.microsoft.com/office/drawing/2010/slicer">
              <sle:slicer xmlns:sle="http://schemas.microsoft.com/office/drawing/2010/slicer" name="Facility 13"/>
            </a:graphicData>
          </a:graphic>
        </xdr:graphicFrame>
      </mc:Choice>
      <mc:Fallback xmlns="">
        <xdr:sp macro="" textlink="">
          <xdr:nvSpPr>
            <xdr:cNvPr id="0" name=""/>
            <xdr:cNvSpPr>
              <a:spLocks noTextEdit="1"/>
            </xdr:cNvSpPr>
          </xdr:nvSpPr>
          <xdr:spPr>
            <a:xfrm>
              <a:off x="0" y="2895601"/>
              <a:ext cx="1831880" cy="18618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7</xdr:row>
      <xdr:rowOff>151131</xdr:rowOff>
    </xdr:from>
    <xdr:to>
      <xdr:col>3</xdr:col>
      <xdr:colOff>2540</xdr:colOff>
      <xdr:row>15</xdr:row>
      <xdr:rowOff>148590</xdr:rowOff>
    </xdr:to>
    <mc:AlternateContent xmlns:mc="http://schemas.openxmlformats.org/markup-compatibility/2006" xmlns:a14="http://schemas.microsoft.com/office/drawing/2010/main">
      <mc:Choice Requires="a14">
        <xdr:graphicFrame macro="">
          <xdr:nvGraphicFramePr>
            <xdr:cNvPr id="5" name="Reporting_year&#10; 7">
              <a:extLst>
                <a:ext uri="{FF2B5EF4-FFF2-40B4-BE49-F238E27FC236}">
                  <a16:creationId xmlns:a16="http://schemas.microsoft.com/office/drawing/2014/main" id="{B8FEB8BF-AA50-438E-9610-4F8435C8FF47}"/>
                </a:ext>
              </a:extLst>
            </xdr:cNvPr>
            <xdr:cNvGraphicFramePr/>
          </xdr:nvGraphicFramePr>
          <xdr:xfrm>
            <a:off x="0" y="0"/>
            <a:ext cx="0" cy="0"/>
          </xdr:xfrm>
          <a:graphic>
            <a:graphicData uri="http://schemas.microsoft.com/office/drawing/2010/slicer">
              <sle:slicer xmlns:sle="http://schemas.microsoft.com/office/drawing/2010/slicer" name="Reporting_year&#10; 7"/>
            </a:graphicData>
          </a:graphic>
        </xdr:graphicFrame>
      </mc:Choice>
      <mc:Fallback xmlns="">
        <xdr:sp macro="" textlink="">
          <xdr:nvSpPr>
            <xdr:cNvPr id="0" name=""/>
            <xdr:cNvSpPr>
              <a:spLocks noTextEdit="1"/>
            </xdr:cNvSpPr>
          </xdr:nvSpPr>
          <xdr:spPr>
            <a:xfrm>
              <a:off x="0" y="1431291"/>
              <a:ext cx="1831340" cy="14604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37</xdr:row>
      <xdr:rowOff>104141</xdr:rowOff>
    </xdr:from>
    <xdr:to>
      <xdr:col>2</xdr:col>
      <xdr:colOff>574040</xdr:colOff>
      <xdr:row>45</xdr:row>
      <xdr:rowOff>154941</xdr:rowOff>
    </xdr:to>
    <mc:AlternateContent xmlns:mc="http://schemas.openxmlformats.org/markup-compatibility/2006" xmlns:a14="http://schemas.microsoft.com/office/drawing/2010/main">
      <mc:Choice Requires="a14">
        <xdr:graphicFrame macro="">
          <xdr:nvGraphicFramePr>
            <xdr:cNvPr id="6" name="Reporting_Quarter&#10; 5">
              <a:extLst>
                <a:ext uri="{FF2B5EF4-FFF2-40B4-BE49-F238E27FC236}">
                  <a16:creationId xmlns:a16="http://schemas.microsoft.com/office/drawing/2014/main" id="{56A3123B-D67B-449C-B344-1AC491F151C1}"/>
                </a:ext>
              </a:extLst>
            </xdr:cNvPr>
            <xdr:cNvGraphicFramePr/>
          </xdr:nvGraphicFramePr>
          <xdr:xfrm>
            <a:off x="0" y="0"/>
            <a:ext cx="0" cy="0"/>
          </xdr:xfrm>
          <a:graphic>
            <a:graphicData uri="http://schemas.microsoft.com/office/drawing/2010/slicer">
              <sle:slicer xmlns:sle="http://schemas.microsoft.com/office/drawing/2010/slicer" name="Reporting_Quarter&#10; 5"/>
            </a:graphicData>
          </a:graphic>
        </xdr:graphicFrame>
      </mc:Choice>
      <mc:Fallback xmlns="">
        <xdr:sp macro="" textlink="">
          <xdr:nvSpPr>
            <xdr:cNvPr id="0" name=""/>
            <xdr:cNvSpPr>
              <a:spLocks noTextEdit="1"/>
            </xdr:cNvSpPr>
          </xdr:nvSpPr>
          <xdr:spPr>
            <a:xfrm>
              <a:off x="0" y="6870701"/>
              <a:ext cx="1793240" cy="151384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793750</xdr:colOff>
      <xdr:row>0</xdr:row>
      <xdr:rowOff>0</xdr:rowOff>
    </xdr:from>
    <xdr:to>
      <xdr:col>18</xdr:col>
      <xdr:colOff>147320</xdr:colOff>
      <xdr:row>32</xdr:row>
      <xdr:rowOff>177800</xdr:rowOff>
    </xdr:to>
    <xdr:graphicFrame macro="">
      <xdr:nvGraphicFramePr>
        <xdr:cNvPr id="8" name="Chart 7">
          <a:extLst>
            <a:ext uri="{FF2B5EF4-FFF2-40B4-BE49-F238E27FC236}">
              <a16:creationId xmlns:a16="http://schemas.microsoft.com/office/drawing/2014/main" id="{331E8E85-8364-0C7B-2ABC-6D0859579A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45720</xdr:colOff>
      <xdr:row>15</xdr:row>
      <xdr:rowOff>167641</xdr:rowOff>
    </xdr:from>
    <xdr:to>
      <xdr:col>11</xdr:col>
      <xdr:colOff>2540</xdr:colOff>
      <xdr:row>48</xdr:row>
      <xdr:rowOff>154940</xdr:rowOff>
    </xdr:to>
    <xdr:graphicFrame macro="">
      <xdr:nvGraphicFramePr>
        <xdr:cNvPr id="2" name="Chart 1">
          <a:extLst>
            <a:ext uri="{FF2B5EF4-FFF2-40B4-BE49-F238E27FC236}">
              <a16:creationId xmlns:a16="http://schemas.microsoft.com/office/drawing/2014/main" id="{C09E4FA1-D071-45A4-8FAB-8198C02F0F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34290</xdr:rowOff>
    </xdr:from>
    <xdr:to>
      <xdr:col>2</xdr:col>
      <xdr:colOff>567728</xdr:colOff>
      <xdr:row>7</xdr:row>
      <xdr:rowOff>148590</xdr:rowOff>
    </xdr:to>
    <mc:AlternateContent xmlns:mc="http://schemas.openxmlformats.org/markup-compatibility/2006" xmlns:a14="http://schemas.microsoft.com/office/drawing/2010/main">
      <mc:Choice Requires="a14">
        <xdr:graphicFrame macro="">
          <xdr:nvGraphicFramePr>
            <xdr:cNvPr id="3" name="AHD_eligible_category&#10; 9">
              <a:extLst>
                <a:ext uri="{FF2B5EF4-FFF2-40B4-BE49-F238E27FC236}">
                  <a16:creationId xmlns:a16="http://schemas.microsoft.com/office/drawing/2014/main" id="{77100889-1FC2-4A8D-BE34-07E6069F5656}"/>
                </a:ext>
              </a:extLst>
            </xdr:cNvPr>
            <xdr:cNvGraphicFramePr/>
          </xdr:nvGraphicFramePr>
          <xdr:xfrm>
            <a:off x="0" y="0"/>
            <a:ext cx="0" cy="0"/>
          </xdr:xfrm>
          <a:graphic>
            <a:graphicData uri="http://schemas.microsoft.com/office/drawing/2010/slicer">
              <sle:slicer xmlns:sle="http://schemas.microsoft.com/office/drawing/2010/slicer" name="AHD_eligible_category&#10; 9"/>
            </a:graphicData>
          </a:graphic>
        </xdr:graphicFrame>
      </mc:Choice>
      <mc:Fallback xmlns="">
        <xdr:sp macro="" textlink="">
          <xdr:nvSpPr>
            <xdr:cNvPr id="0" name=""/>
            <xdr:cNvSpPr>
              <a:spLocks noTextEdit="1"/>
            </xdr:cNvSpPr>
          </xdr:nvSpPr>
          <xdr:spPr>
            <a:xfrm>
              <a:off x="0" y="217170"/>
              <a:ext cx="1786928" cy="12115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152401</xdr:rowOff>
    </xdr:from>
    <xdr:to>
      <xdr:col>3</xdr:col>
      <xdr:colOff>3080</xdr:colOff>
      <xdr:row>26</xdr:row>
      <xdr:rowOff>2541</xdr:rowOff>
    </xdr:to>
    <mc:AlternateContent xmlns:mc="http://schemas.openxmlformats.org/markup-compatibility/2006" xmlns:a14="http://schemas.microsoft.com/office/drawing/2010/main">
      <mc:Choice Requires="a14">
        <xdr:graphicFrame macro="">
          <xdr:nvGraphicFramePr>
            <xdr:cNvPr id="4" name="Facility 10">
              <a:extLst>
                <a:ext uri="{FF2B5EF4-FFF2-40B4-BE49-F238E27FC236}">
                  <a16:creationId xmlns:a16="http://schemas.microsoft.com/office/drawing/2014/main" id="{6E796B43-A7B9-4B9E-8D41-49CA140E837F}"/>
                </a:ext>
              </a:extLst>
            </xdr:cNvPr>
            <xdr:cNvGraphicFramePr/>
          </xdr:nvGraphicFramePr>
          <xdr:xfrm>
            <a:off x="0" y="0"/>
            <a:ext cx="0" cy="0"/>
          </xdr:xfrm>
          <a:graphic>
            <a:graphicData uri="http://schemas.microsoft.com/office/drawing/2010/slicer">
              <sle:slicer xmlns:sle="http://schemas.microsoft.com/office/drawing/2010/slicer" name="Facility 10"/>
            </a:graphicData>
          </a:graphic>
        </xdr:graphicFrame>
      </mc:Choice>
      <mc:Fallback xmlns="">
        <xdr:sp macro="" textlink="">
          <xdr:nvSpPr>
            <xdr:cNvPr id="0" name=""/>
            <xdr:cNvSpPr>
              <a:spLocks noTextEdit="1"/>
            </xdr:cNvSpPr>
          </xdr:nvSpPr>
          <xdr:spPr>
            <a:xfrm>
              <a:off x="0" y="2895601"/>
              <a:ext cx="1831880" cy="18618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7</xdr:row>
      <xdr:rowOff>151131</xdr:rowOff>
    </xdr:from>
    <xdr:to>
      <xdr:col>3</xdr:col>
      <xdr:colOff>2540</xdr:colOff>
      <xdr:row>15</xdr:row>
      <xdr:rowOff>148590</xdr:rowOff>
    </xdr:to>
    <mc:AlternateContent xmlns:mc="http://schemas.openxmlformats.org/markup-compatibility/2006" xmlns:a14="http://schemas.microsoft.com/office/drawing/2010/main">
      <mc:Choice Requires="a14">
        <xdr:graphicFrame macro="">
          <xdr:nvGraphicFramePr>
            <xdr:cNvPr id="5" name="Reporting_year&#10; 4">
              <a:extLst>
                <a:ext uri="{FF2B5EF4-FFF2-40B4-BE49-F238E27FC236}">
                  <a16:creationId xmlns:a16="http://schemas.microsoft.com/office/drawing/2014/main" id="{8EC2CDDC-6CF9-4269-AB2B-C179D7DE4724}"/>
                </a:ext>
              </a:extLst>
            </xdr:cNvPr>
            <xdr:cNvGraphicFramePr/>
          </xdr:nvGraphicFramePr>
          <xdr:xfrm>
            <a:off x="0" y="0"/>
            <a:ext cx="0" cy="0"/>
          </xdr:xfrm>
          <a:graphic>
            <a:graphicData uri="http://schemas.microsoft.com/office/drawing/2010/slicer">
              <sle:slicer xmlns:sle="http://schemas.microsoft.com/office/drawing/2010/slicer" name="Reporting_year&#10; 4"/>
            </a:graphicData>
          </a:graphic>
        </xdr:graphicFrame>
      </mc:Choice>
      <mc:Fallback xmlns="">
        <xdr:sp macro="" textlink="">
          <xdr:nvSpPr>
            <xdr:cNvPr id="0" name=""/>
            <xdr:cNvSpPr>
              <a:spLocks noTextEdit="1"/>
            </xdr:cNvSpPr>
          </xdr:nvSpPr>
          <xdr:spPr>
            <a:xfrm>
              <a:off x="0" y="1431291"/>
              <a:ext cx="1831340" cy="14604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37</xdr:row>
      <xdr:rowOff>104141</xdr:rowOff>
    </xdr:from>
    <xdr:to>
      <xdr:col>2</xdr:col>
      <xdr:colOff>574040</xdr:colOff>
      <xdr:row>45</xdr:row>
      <xdr:rowOff>154941</xdr:rowOff>
    </xdr:to>
    <mc:AlternateContent xmlns:mc="http://schemas.openxmlformats.org/markup-compatibility/2006" xmlns:a14="http://schemas.microsoft.com/office/drawing/2010/main">
      <mc:Choice Requires="a14">
        <xdr:graphicFrame macro="">
          <xdr:nvGraphicFramePr>
            <xdr:cNvPr id="6" name="Reporting_Quarter&#10; 2">
              <a:extLst>
                <a:ext uri="{FF2B5EF4-FFF2-40B4-BE49-F238E27FC236}">
                  <a16:creationId xmlns:a16="http://schemas.microsoft.com/office/drawing/2014/main" id="{2A55820F-A8DF-45B8-8D65-3295F595508C}"/>
                </a:ext>
              </a:extLst>
            </xdr:cNvPr>
            <xdr:cNvGraphicFramePr/>
          </xdr:nvGraphicFramePr>
          <xdr:xfrm>
            <a:off x="0" y="0"/>
            <a:ext cx="0" cy="0"/>
          </xdr:xfrm>
          <a:graphic>
            <a:graphicData uri="http://schemas.microsoft.com/office/drawing/2010/slicer">
              <sle:slicer xmlns:sle="http://schemas.microsoft.com/office/drawing/2010/slicer" name="Reporting_Quarter&#10; 2"/>
            </a:graphicData>
          </a:graphic>
        </xdr:graphicFrame>
      </mc:Choice>
      <mc:Fallback xmlns="">
        <xdr:sp macro="" textlink="">
          <xdr:nvSpPr>
            <xdr:cNvPr id="0" name=""/>
            <xdr:cNvSpPr>
              <a:spLocks noTextEdit="1"/>
            </xdr:cNvSpPr>
          </xdr:nvSpPr>
          <xdr:spPr>
            <a:xfrm>
              <a:off x="0" y="6870701"/>
              <a:ext cx="1793240" cy="151384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952</xdr:colOff>
      <xdr:row>15</xdr:row>
      <xdr:rowOff>153828</xdr:rowOff>
    </xdr:from>
    <xdr:to>
      <xdr:col>19</xdr:col>
      <xdr:colOff>44450</xdr:colOff>
      <xdr:row>48</xdr:row>
      <xdr:rowOff>168434</xdr:rowOff>
    </xdr:to>
    <xdr:graphicFrame macro="">
      <xdr:nvGraphicFramePr>
        <xdr:cNvPr id="8" name="Chart 7">
          <a:extLst>
            <a:ext uri="{FF2B5EF4-FFF2-40B4-BE49-F238E27FC236}">
              <a16:creationId xmlns:a16="http://schemas.microsoft.com/office/drawing/2014/main" id="{2D2FD349-D75C-8431-3CD2-A1752F167E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513356</xdr:colOff>
      <xdr:row>16</xdr:row>
      <xdr:rowOff>103369</xdr:rowOff>
    </xdr:from>
    <xdr:to>
      <xdr:col>12</xdr:col>
      <xdr:colOff>564156</xdr:colOff>
      <xdr:row>49</xdr:row>
      <xdr:rowOff>100829</xdr:rowOff>
    </xdr:to>
    <xdr:graphicFrame macro="">
      <xdr:nvGraphicFramePr>
        <xdr:cNvPr id="2" name="Chart 1">
          <a:extLst>
            <a:ext uri="{FF2B5EF4-FFF2-40B4-BE49-F238E27FC236}">
              <a16:creationId xmlns:a16="http://schemas.microsoft.com/office/drawing/2014/main" id="{E0517DBB-0E04-4351-BC9C-8B586C3D5B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34290</xdr:rowOff>
    </xdr:from>
    <xdr:to>
      <xdr:col>2</xdr:col>
      <xdr:colOff>567728</xdr:colOff>
      <xdr:row>7</xdr:row>
      <xdr:rowOff>148590</xdr:rowOff>
    </xdr:to>
    <mc:AlternateContent xmlns:mc="http://schemas.openxmlformats.org/markup-compatibility/2006" xmlns:a14="http://schemas.microsoft.com/office/drawing/2010/main">
      <mc:Choice Requires="a14">
        <xdr:graphicFrame macro="">
          <xdr:nvGraphicFramePr>
            <xdr:cNvPr id="3" name="AHD_eligible_category&#10; 11">
              <a:extLst>
                <a:ext uri="{FF2B5EF4-FFF2-40B4-BE49-F238E27FC236}">
                  <a16:creationId xmlns:a16="http://schemas.microsoft.com/office/drawing/2014/main" id="{6A9CF2D4-6681-44C9-82FF-97B323E69A6F}"/>
                </a:ext>
              </a:extLst>
            </xdr:cNvPr>
            <xdr:cNvGraphicFramePr/>
          </xdr:nvGraphicFramePr>
          <xdr:xfrm>
            <a:off x="0" y="0"/>
            <a:ext cx="0" cy="0"/>
          </xdr:xfrm>
          <a:graphic>
            <a:graphicData uri="http://schemas.microsoft.com/office/drawing/2010/slicer">
              <sle:slicer xmlns:sle="http://schemas.microsoft.com/office/drawing/2010/slicer" name="AHD_eligible_category&#10; 11"/>
            </a:graphicData>
          </a:graphic>
        </xdr:graphicFrame>
      </mc:Choice>
      <mc:Fallback xmlns="">
        <xdr:sp macro="" textlink="">
          <xdr:nvSpPr>
            <xdr:cNvPr id="0" name=""/>
            <xdr:cNvSpPr>
              <a:spLocks noTextEdit="1"/>
            </xdr:cNvSpPr>
          </xdr:nvSpPr>
          <xdr:spPr>
            <a:xfrm>
              <a:off x="0" y="217170"/>
              <a:ext cx="1786928" cy="12115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27032</xdr:rowOff>
    </xdr:from>
    <xdr:to>
      <xdr:col>3</xdr:col>
      <xdr:colOff>3080</xdr:colOff>
      <xdr:row>26</xdr:row>
      <xdr:rowOff>72983</xdr:rowOff>
    </xdr:to>
    <mc:AlternateContent xmlns:mc="http://schemas.openxmlformats.org/markup-compatibility/2006" xmlns:a14="http://schemas.microsoft.com/office/drawing/2010/main">
      <mc:Choice Requires="a14">
        <xdr:graphicFrame macro="">
          <xdr:nvGraphicFramePr>
            <xdr:cNvPr id="4" name="Facility 12">
              <a:extLst>
                <a:ext uri="{FF2B5EF4-FFF2-40B4-BE49-F238E27FC236}">
                  <a16:creationId xmlns:a16="http://schemas.microsoft.com/office/drawing/2014/main" id="{F97D7FED-ECC2-408F-8777-DE1C1C6A7DC6}"/>
                </a:ext>
              </a:extLst>
            </xdr:cNvPr>
            <xdr:cNvGraphicFramePr/>
          </xdr:nvGraphicFramePr>
          <xdr:xfrm>
            <a:off x="0" y="0"/>
            <a:ext cx="0" cy="0"/>
          </xdr:xfrm>
          <a:graphic>
            <a:graphicData uri="http://schemas.microsoft.com/office/drawing/2010/slicer">
              <sle:slicer xmlns:sle="http://schemas.microsoft.com/office/drawing/2010/slicer" name="Facility 12"/>
            </a:graphicData>
          </a:graphic>
        </xdr:graphicFrame>
      </mc:Choice>
      <mc:Fallback xmlns="">
        <xdr:sp macro="" textlink="">
          <xdr:nvSpPr>
            <xdr:cNvPr id="0" name=""/>
            <xdr:cNvSpPr>
              <a:spLocks noTextEdit="1"/>
            </xdr:cNvSpPr>
          </xdr:nvSpPr>
          <xdr:spPr>
            <a:xfrm>
              <a:off x="0" y="3030858"/>
              <a:ext cx="1825254" cy="190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7</xdr:row>
      <xdr:rowOff>151131</xdr:rowOff>
    </xdr:from>
    <xdr:to>
      <xdr:col>3</xdr:col>
      <xdr:colOff>2540</xdr:colOff>
      <xdr:row>15</xdr:row>
      <xdr:rowOff>148590</xdr:rowOff>
    </xdr:to>
    <mc:AlternateContent xmlns:mc="http://schemas.openxmlformats.org/markup-compatibility/2006" xmlns:a14="http://schemas.microsoft.com/office/drawing/2010/main">
      <mc:Choice Requires="a14">
        <xdr:graphicFrame macro="">
          <xdr:nvGraphicFramePr>
            <xdr:cNvPr id="5" name="Reporting_year&#10; 6">
              <a:extLst>
                <a:ext uri="{FF2B5EF4-FFF2-40B4-BE49-F238E27FC236}">
                  <a16:creationId xmlns:a16="http://schemas.microsoft.com/office/drawing/2014/main" id="{CC5631B5-8994-4DE4-A56E-633BD09E8E30}"/>
                </a:ext>
              </a:extLst>
            </xdr:cNvPr>
            <xdr:cNvGraphicFramePr/>
          </xdr:nvGraphicFramePr>
          <xdr:xfrm>
            <a:off x="0" y="0"/>
            <a:ext cx="0" cy="0"/>
          </xdr:xfrm>
          <a:graphic>
            <a:graphicData uri="http://schemas.microsoft.com/office/drawing/2010/slicer">
              <sle:slicer xmlns:sle="http://schemas.microsoft.com/office/drawing/2010/slicer" name="Reporting_year&#10; 6"/>
            </a:graphicData>
          </a:graphic>
        </xdr:graphicFrame>
      </mc:Choice>
      <mc:Fallback xmlns="">
        <xdr:sp macro="" textlink="">
          <xdr:nvSpPr>
            <xdr:cNvPr id="0" name=""/>
            <xdr:cNvSpPr>
              <a:spLocks noTextEdit="1"/>
            </xdr:cNvSpPr>
          </xdr:nvSpPr>
          <xdr:spPr>
            <a:xfrm>
              <a:off x="0" y="1431291"/>
              <a:ext cx="1831340" cy="14604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37</xdr:row>
      <xdr:rowOff>104141</xdr:rowOff>
    </xdr:from>
    <xdr:to>
      <xdr:col>2</xdr:col>
      <xdr:colOff>574040</xdr:colOff>
      <xdr:row>45</xdr:row>
      <xdr:rowOff>154941</xdr:rowOff>
    </xdr:to>
    <mc:AlternateContent xmlns:mc="http://schemas.openxmlformats.org/markup-compatibility/2006" xmlns:a14="http://schemas.microsoft.com/office/drawing/2010/main">
      <mc:Choice Requires="a14">
        <xdr:graphicFrame macro="">
          <xdr:nvGraphicFramePr>
            <xdr:cNvPr id="6" name="Reporting_Quarter&#10; 4">
              <a:extLst>
                <a:ext uri="{FF2B5EF4-FFF2-40B4-BE49-F238E27FC236}">
                  <a16:creationId xmlns:a16="http://schemas.microsoft.com/office/drawing/2014/main" id="{63F0A588-2D7A-4B90-A347-3BC6901C0DCB}"/>
                </a:ext>
              </a:extLst>
            </xdr:cNvPr>
            <xdr:cNvGraphicFramePr/>
          </xdr:nvGraphicFramePr>
          <xdr:xfrm>
            <a:off x="0" y="0"/>
            <a:ext cx="0" cy="0"/>
          </xdr:xfrm>
          <a:graphic>
            <a:graphicData uri="http://schemas.microsoft.com/office/drawing/2010/slicer">
              <sle:slicer xmlns:sle="http://schemas.microsoft.com/office/drawing/2010/slicer" name="Reporting_Quarter&#10; 4"/>
            </a:graphicData>
          </a:graphic>
        </xdr:graphicFrame>
      </mc:Choice>
      <mc:Fallback xmlns="">
        <xdr:sp macro="" textlink="">
          <xdr:nvSpPr>
            <xdr:cNvPr id="0" name=""/>
            <xdr:cNvSpPr>
              <a:spLocks noTextEdit="1"/>
            </xdr:cNvSpPr>
          </xdr:nvSpPr>
          <xdr:spPr>
            <a:xfrm>
              <a:off x="0" y="6870701"/>
              <a:ext cx="1793240" cy="151384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656838</xdr:colOff>
      <xdr:row>12</xdr:row>
      <xdr:rowOff>147044</xdr:rowOff>
    </xdr:from>
    <xdr:to>
      <xdr:col>20</xdr:col>
      <xdr:colOff>751177</xdr:colOff>
      <xdr:row>45</xdr:row>
      <xdr:rowOff>69573</xdr:rowOff>
    </xdr:to>
    <xdr:graphicFrame macro="">
      <xdr:nvGraphicFramePr>
        <xdr:cNvPr id="8" name="Chart 7">
          <a:extLst>
            <a:ext uri="{FF2B5EF4-FFF2-40B4-BE49-F238E27FC236}">
              <a16:creationId xmlns:a16="http://schemas.microsoft.com/office/drawing/2014/main" id="{8FD3661F-1B7F-384E-7E9B-A85C20A7E8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20</xdr:col>
      <xdr:colOff>1279718</xdr:colOff>
      <xdr:row>16</xdr:row>
      <xdr:rowOff>102704</xdr:rowOff>
    </xdr:from>
    <xdr:to>
      <xdr:col>22</xdr:col>
      <xdr:colOff>79459</xdr:colOff>
      <xdr:row>23</xdr:row>
      <xdr:rowOff>41247</xdr:rowOff>
    </xdr:to>
    <mc:AlternateContent xmlns:mc="http://schemas.openxmlformats.org/markup-compatibility/2006" xmlns:a14="http://schemas.microsoft.com/office/drawing/2010/main">
      <mc:Choice Requires="a14">
        <xdr:graphicFrame macro="">
          <xdr:nvGraphicFramePr>
            <xdr:cNvPr id="7" name="Reporting_year&#10; 10">
              <a:extLst>
                <a:ext uri="{FF2B5EF4-FFF2-40B4-BE49-F238E27FC236}">
                  <a16:creationId xmlns:a16="http://schemas.microsoft.com/office/drawing/2014/main" id="{5D447022-9850-5FA2-F748-A71721375B7C}"/>
                </a:ext>
              </a:extLst>
            </xdr:cNvPr>
            <xdr:cNvGraphicFramePr/>
          </xdr:nvGraphicFramePr>
          <xdr:xfrm>
            <a:off x="0" y="0"/>
            <a:ext cx="0" cy="0"/>
          </xdr:xfrm>
          <a:graphic>
            <a:graphicData uri="http://schemas.microsoft.com/office/drawing/2010/slicer">
              <sle:slicer xmlns:sle="http://schemas.microsoft.com/office/drawing/2010/slicer" name="Reporting_year&#10; 10"/>
            </a:graphicData>
          </a:graphic>
        </xdr:graphicFrame>
      </mc:Choice>
      <mc:Fallback xmlns="">
        <xdr:sp macro="" textlink="">
          <xdr:nvSpPr>
            <xdr:cNvPr id="0" name=""/>
            <xdr:cNvSpPr>
              <a:spLocks noTextEdit="1"/>
            </xdr:cNvSpPr>
          </xdr:nvSpPr>
          <xdr:spPr>
            <a:xfrm>
              <a:off x="15724588" y="3106530"/>
              <a:ext cx="1748348" cy="125271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1588934</xdr:colOff>
      <xdr:row>6</xdr:row>
      <xdr:rowOff>170622</xdr:rowOff>
    </xdr:from>
    <xdr:to>
      <xdr:col>22</xdr:col>
      <xdr:colOff>530474</xdr:colOff>
      <xdr:row>13</xdr:row>
      <xdr:rowOff>34787</xdr:rowOff>
    </xdr:to>
    <mc:AlternateContent xmlns:mc="http://schemas.openxmlformats.org/markup-compatibility/2006" xmlns:a14="http://schemas.microsoft.com/office/drawing/2010/main">
      <mc:Choice Requires="a14">
        <xdr:graphicFrame macro="">
          <xdr:nvGraphicFramePr>
            <xdr:cNvPr id="9" name="COP_Year">
              <a:extLst>
                <a:ext uri="{FF2B5EF4-FFF2-40B4-BE49-F238E27FC236}">
                  <a16:creationId xmlns:a16="http://schemas.microsoft.com/office/drawing/2014/main" id="{9FB718AD-F171-48D5-8605-05F889CBB29C}"/>
                </a:ext>
              </a:extLst>
            </xdr:cNvPr>
            <xdr:cNvGraphicFramePr/>
          </xdr:nvGraphicFramePr>
          <xdr:xfrm>
            <a:off x="0" y="0"/>
            <a:ext cx="0" cy="0"/>
          </xdr:xfrm>
          <a:graphic>
            <a:graphicData uri="http://schemas.microsoft.com/office/drawing/2010/slicer">
              <sle:slicer xmlns:sle="http://schemas.microsoft.com/office/drawing/2010/slicer" name="COP_Year"/>
            </a:graphicData>
          </a:graphic>
        </xdr:graphicFrame>
      </mc:Choice>
      <mc:Fallback xmlns="">
        <xdr:sp macro="" textlink="">
          <xdr:nvSpPr>
            <xdr:cNvPr id="0" name=""/>
            <xdr:cNvSpPr>
              <a:spLocks noTextEdit="1"/>
            </xdr:cNvSpPr>
          </xdr:nvSpPr>
          <xdr:spPr>
            <a:xfrm>
              <a:off x="16033804" y="1297057"/>
              <a:ext cx="1890147" cy="117833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2</xdr:col>
      <xdr:colOff>515620</xdr:colOff>
      <xdr:row>10</xdr:row>
      <xdr:rowOff>2541</xdr:rowOff>
    </xdr:from>
    <xdr:to>
      <xdr:col>10</xdr:col>
      <xdr:colOff>732790</xdr:colOff>
      <xdr:row>42</xdr:row>
      <xdr:rowOff>180340</xdr:rowOff>
    </xdr:to>
    <xdr:graphicFrame macro="">
      <xdr:nvGraphicFramePr>
        <xdr:cNvPr id="2" name="Chart 1">
          <a:extLst>
            <a:ext uri="{FF2B5EF4-FFF2-40B4-BE49-F238E27FC236}">
              <a16:creationId xmlns:a16="http://schemas.microsoft.com/office/drawing/2014/main" id="{2FE9217A-2F6F-4072-95BB-0A1254BB2D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34290</xdr:rowOff>
    </xdr:from>
    <xdr:to>
      <xdr:col>2</xdr:col>
      <xdr:colOff>567728</xdr:colOff>
      <xdr:row>7</xdr:row>
      <xdr:rowOff>148590</xdr:rowOff>
    </xdr:to>
    <mc:AlternateContent xmlns:mc="http://schemas.openxmlformats.org/markup-compatibility/2006" xmlns:a14="http://schemas.microsoft.com/office/drawing/2010/main">
      <mc:Choice Requires="a14">
        <xdr:graphicFrame macro="">
          <xdr:nvGraphicFramePr>
            <xdr:cNvPr id="3" name="AHD_eligible_category&#10; 10">
              <a:extLst>
                <a:ext uri="{FF2B5EF4-FFF2-40B4-BE49-F238E27FC236}">
                  <a16:creationId xmlns:a16="http://schemas.microsoft.com/office/drawing/2014/main" id="{118F6D5C-BEC8-4654-BB1E-990D31527F4D}"/>
                </a:ext>
              </a:extLst>
            </xdr:cNvPr>
            <xdr:cNvGraphicFramePr/>
          </xdr:nvGraphicFramePr>
          <xdr:xfrm>
            <a:off x="0" y="0"/>
            <a:ext cx="0" cy="0"/>
          </xdr:xfrm>
          <a:graphic>
            <a:graphicData uri="http://schemas.microsoft.com/office/drawing/2010/slicer">
              <sle:slicer xmlns:sle="http://schemas.microsoft.com/office/drawing/2010/slicer" name="AHD_eligible_category&#10; 10"/>
            </a:graphicData>
          </a:graphic>
        </xdr:graphicFrame>
      </mc:Choice>
      <mc:Fallback xmlns="">
        <xdr:sp macro="" textlink="">
          <xdr:nvSpPr>
            <xdr:cNvPr id="0" name=""/>
            <xdr:cNvSpPr>
              <a:spLocks noTextEdit="1"/>
            </xdr:cNvSpPr>
          </xdr:nvSpPr>
          <xdr:spPr>
            <a:xfrm>
              <a:off x="0" y="217170"/>
              <a:ext cx="1786928" cy="12115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152401</xdr:rowOff>
    </xdr:from>
    <xdr:to>
      <xdr:col>3</xdr:col>
      <xdr:colOff>3080</xdr:colOff>
      <xdr:row>26</xdr:row>
      <xdr:rowOff>2541</xdr:rowOff>
    </xdr:to>
    <mc:AlternateContent xmlns:mc="http://schemas.openxmlformats.org/markup-compatibility/2006" xmlns:a14="http://schemas.microsoft.com/office/drawing/2010/main">
      <mc:Choice Requires="a14">
        <xdr:graphicFrame macro="">
          <xdr:nvGraphicFramePr>
            <xdr:cNvPr id="4" name="Facility 11">
              <a:extLst>
                <a:ext uri="{FF2B5EF4-FFF2-40B4-BE49-F238E27FC236}">
                  <a16:creationId xmlns:a16="http://schemas.microsoft.com/office/drawing/2014/main" id="{EDA077B8-AD04-477B-9742-817DCB232C24}"/>
                </a:ext>
              </a:extLst>
            </xdr:cNvPr>
            <xdr:cNvGraphicFramePr/>
          </xdr:nvGraphicFramePr>
          <xdr:xfrm>
            <a:off x="0" y="0"/>
            <a:ext cx="0" cy="0"/>
          </xdr:xfrm>
          <a:graphic>
            <a:graphicData uri="http://schemas.microsoft.com/office/drawing/2010/slicer">
              <sle:slicer xmlns:sle="http://schemas.microsoft.com/office/drawing/2010/slicer" name="Facility 11"/>
            </a:graphicData>
          </a:graphic>
        </xdr:graphicFrame>
      </mc:Choice>
      <mc:Fallback xmlns="">
        <xdr:sp macro="" textlink="">
          <xdr:nvSpPr>
            <xdr:cNvPr id="0" name=""/>
            <xdr:cNvSpPr>
              <a:spLocks noTextEdit="1"/>
            </xdr:cNvSpPr>
          </xdr:nvSpPr>
          <xdr:spPr>
            <a:xfrm>
              <a:off x="0" y="2895601"/>
              <a:ext cx="1831880" cy="18618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7</xdr:row>
      <xdr:rowOff>151131</xdr:rowOff>
    </xdr:from>
    <xdr:to>
      <xdr:col>3</xdr:col>
      <xdr:colOff>2540</xdr:colOff>
      <xdr:row>15</xdr:row>
      <xdr:rowOff>148590</xdr:rowOff>
    </xdr:to>
    <mc:AlternateContent xmlns:mc="http://schemas.openxmlformats.org/markup-compatibility/2006" xmlns:a14="http://schemas.microsoft.com/office/drawing/2010/main">
      <mc:Choice Requires="a14">
        <xdr:graphicFrame macro="">
          <xdr:nvGraphicFramePr>
            <xdr:cNvPr id="5" name="Reporting_year&#10; 5">
              <a:extLst>
                <a:ext uri="{FF2B5EF4-FFF2-40B4-BE49-F238E27FC236}">
                  <a16:creationId xmlns:a16="http://schemas.microsoft.com/office/drawing/2014/main" id="{A4F4E607-D10C-4C34-A65D-74B83D1F12BB}"/>
                </a:ext>
              </a:extLst>
            </xdr:cNvPr>
            <xdr:cNvGraphicFramePr/>
          </xdr:nvGraphicFramePr>
          <xdr:xfrm>
            <a:off x="0" y="0"/>
            <a:ext cx="0" cy="0"/>
          </xdr:xfrm>
          <a:graphic>
            <a:graphicData uri="http://schemas.microsoft.com/office/drawing/2010/slicer">
              <sle:slicer xmlns:sle="http://schemas.microsoft.com/office/drawing/2010/slicer" name="Reporting_year&#10; 5"/>
            </a:graphicData>
          </a:graphic>
        </xdr:graphicFrame>
      </mc:Choice>
      <mc:Fallback xmlns="">
        <xdr:sp macro="" textlink="">
          <xdr:nvSpPr>
            <xdr:cNvPr id="0" name=""/>
            <xdr:cNvSpPr>
              <a:spLocks noTextEdit="1"/>
            </xdr:cNvSpPr>
          </xdr:nvSpPr>
          <xdr:spPr>
            <a:xfrm>
              <a:off x="0" y="1431291"/>
              <a:ext cx="1831340" cy="14604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37</xdr:row>
      <xdr:rowOff>104141</xdr:rowOff>
    </xdr:from>
    <xdr:to>
      <xdr:col>2</xdr:col>
      <xdr:colOff>574040</xdr:colOff>
      <xdr:row>45</xdr:row>
      <xdr:rowOff>154941</xdr:rowOff>
    </xdr:to>
    <mc:AlternateContent xmlns:mc="http://schemas.openxmlformats.org/markup-compatibility/2006" xmlns:a14="http://schemas.microsoft.com/office/drawing/2010/main">
      <mc:Choice Requires="a14">
        <xdr:graphicFrame macro="">
          <xdr:nvGraphicFramePr>
            <xdr:cNvPr id="6" name="Reporting_Quarter&#10; 3">
              <a:extLst>
                <a:ext uri="{FF2B5EF4-FFF2-40B4-BE49-F238E27FC236}">
                  <a16:creationId xmlns:a16="http://schemas.microsoft.com/office/drawing/2014/main" id="{AF65BDE8-A0A7-4D0C-A5E6-2BF4F5DC935F}"/>
                </a:ext>
              </a:extLst>
            </xdr:cNvPr>
            <xdr:cNvGraphicFramePr/>
          </xdr:nvGraphicFramePr>
          <xdr:xfrm>
            <a:off x="0" y="0"/>
            <a:ext cx="0" cy="0"/>
          </xdr:xfrm>
          <a:graphic>
            <a:graphicData uri="http://schemas.microsoft.com/office/drawing/2010/slicer">
              <sle:slicer xmlns:sle="http://schemas.microsoft.com/office/drawing/2010/slicer" name="Reporting_Quarter&#10; 3"/>
            </a:graphicData>
          </a:graphic>
        </xdr:graphicFrame>
      </mc:Choice>
      <mc:Fallback xmlns="">
        <xdr:sp macro="" textlink="">
          <xdr:nvSpPr>
            <xdr:cNvPr id="0" name=""/>
            <xdr:cNvSpPr>
              <a:spLocks noTextEdit="1"/>
            </xdr:cNvSpPr>
          </xdr:nvSpPr>
          <xdr:spPr>
            <a:xfrm>
              <a:off x="0" y="6870701"/>
              <a:ext cx="1793240" cy="151384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727190</xdr:colOff>
      <xdr:row>9</xdr:row>
      <xdr:rowOff>178954</xdr:rowOff>
    </xdr:from>
    <xdr:to>
      <xdr:col>16</xdr:col>
      <xdr:colOff>832889</xdr:colOff>
      <xdr:row>42</xdr:row>
      <xdr:rowOff>111067</xdr:rowOff>
    </xdr:to>
    <xdr:graphicFrame macro="">
      <xdr:nvGraphicFramePr>
        <xdr:cNvPr id="8" name="Chart 7">
          <a:extLst>
            <a:ext uri="{FF2B5EF4-FFF2-40B4-BE49-F238E27FC236}">
              <a16:creationId xmlns:a16="http://schemas.microsoft.com/office/drawing/2014/main" id="{0F140B63-E15E-942D-4442-D4CF741A9B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15</xdr:col>
      <xdr:colOff>595746</xdr:colOff>
      <xdr:row>4</xdr:row>
      <xdr:rowOff>41563</xdr:rowOff>
    </xdr:from>
    <xdr:to>
      <xdr:col>29</xdr:col>
      <xdr:colOff>27710</xdr:colOff>
      <xdr:row>27</xdr:row>
      <xdr:rowOff>41564</xdr:rowOff>
    </xdr:to>
    <xdr:graphicFrame macro="">
      <xdr:nvGraphicFramePr>
        <xdr:cNvPr id="19" name="Chart 6">
          <a:extLst>
            <a:ext uri="{FF2B5EF4-FFF2-40B4-BE49-F238E27FC236}">
              <a16:creationId xmlns:a16="http://schemas.microsoft.com/office/drawing/2014/main" id="{D0AA65A0-DB84-4C88-B391-E7A0013E5BA9}"/>
            </a:ext>
            <a:ext uri="{147F2762-F138-4A5C-976F-8EAC2B608ADB}">
              <a16:predDERef xmlns:a16="http://schemas.microsoft.com/office/drawing/2014/main" pred="{8AF88897-D995-46D6-B674-E2AE606125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xdr:row>
      <xdr:rowOff>110837</xdr:rowOff>
    </xdr:from>
    <xdr:to>
      <xdr:col>13</xdr:col>
      <xdr:colOff>595744</xdr:colOff>
      <xdr:row>53</xdr:row>
      <xdr:rowOff>90055</xdr:rowOff>
    </xdr:to>
    <xdr:graphicFrame macro="">
      <xdr:nvGraphicFramePr>
        <xdr:cNvPr id="4" name="Chart 3">
          <a:extLst>
            <a:ext uri="{FF2B5EF4-FFF2-40B4-BE49-F238E27FC236}">
              <a16:creationId xmlns:a16="http://schemas.microsoft.com/office/drawing/2014/main" id="{9E4D97EA-8B9C-42BC-82D1-AF955E654306}"/>
            </a:ext>
            <a:ext uri="{147F2762-F138-4A5C-976F-8EAC2B608ADB}">
              <a16:predDERef xmlns:a16="http://schemas.microsoft.com/office/drawing/2014/main" pred="{E07078D1-C319-4E8B-A949-CB33C6B923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14004</xdr:colOff>
      <xdr:row>27</xdr:row>
      <xdr:rowOff>78508</xdr:rowOff>
    </xdr:from>
    <xdr:to>
      <xdr:col>29</xdr:col>
      <xdr:colOff>13970</xdr:colOff>
      <xdr:row>53</xdr:row>
      <xdr:rowOff>28978</xdr:rowOff>
    </xdr:to>
    <xdr:graphicFrame macro="">
      <xdr:nvGraphicFramePr>
        <xdr:cNvPr id="5" name="Chart 4">
          <a:extLst>
            <a:ext uri="{FF2B5EF4-FFF2-40B4-BE49-F238E27FC236}">
              <a16:creationId xmlns:a16="http://schemas.microsoft.com/office/drawing/2014/main" id="{918A6373-CE6D-40F8-948E-481EC67B037A}"/>
            </a:ext>
            <a:ext uri="{147F2762-F138-4A5C-976F-8EAC2B608ADB}">
              <a16:predDERef xmlns:a16="http://schemas.microsoft.com/office/drawing/2014/main" pred="{9E4D97EA-8B9C-42BC-82D1-AF955E6543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79</xdr:row>
      <xdr:rowOff>160193</xdr:rowOff>
    </xdr:from>
    <xdr:to>
      <xdr:col>13</xdr:col>
      <xdr:colOff>503001</xdr:colOff>
      <xdr:row>105</xdr:row>
      <xdr:rowOff>115743</xdr:rowOff>
    </xdr:to>
    <xdr:graphicFrame macro="">
      <xdr:nvGraphicFramePr>
        <xdr:cNvPr id="6" name="Chart 3">
          <a:extLst>
            <a:ext uri="{FF2B5EF4-FFF2-40B4-BE49-F238E27FC236}">
              <a16:creationId xmlns:a16="http://schemas.microsoft.com/office/drawing/2014/main" id="{60F51985-2132-4A45-94DF-A81C2F8256E5}"/>
            </a:ext>
            <a:ext uri="{147F2762-F138-4A5C-976F-8EAC2B608ADB}">
              <a16:predDERef xmlns:a16="http://schemas.microsoft.com/office/drawing/2014/main" pred="{918A6373-CE6D-40F8-948E-481EC67B03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554181</xdr:colOff>
      <xdr:row>79</xdr:row>
      <xdr:rowOff>128156</xdr:rowOff>
    </xdr:from>
    <xdr:to>
      <xdr:col>28</xdr:col>
      <xdr:colOff>573442</xdr:colOff>
      <xdr:row>105</xdr:row>
      <xdr:rowOff>124690</xdr:rowOff>
    </xdr:to>
    <xdr:graphicFrame macro="">
      <xdr:nvGraphicFramePr>
        <xdr:cNvPr id="7" name="Chart 6">
          <a:extLst>
            <a:ext uri="{FF2B5EF4-FFF2-40B4-BE49-F238E27FC236}">
              <a16:creationId xmlns:a16="http://schemas.microsoft.com/office/drawing/2014/main" id="{C631FB87-E142-4876-96FC-D3CE75840A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53</xdr:row>
      <xdr:rowOff>133351</xdr:rowOff>
    </xdr:from>
    <xdr:to>
      <xdr:col>13</xdr:col>
      <xdr:colOff>568036</xdr:colOff>
      <xdr:row>79</xdr:row>
      <xdr:rowOff>96983</xdr:rowOff>
    </xdr:to>
    <xdr:graphicFrame macro="">
      <xdr:nvGraphicFramePr>
        <xdr:cNvPr id="8" name="Chart 3">
          <a:extLst>
            <a:ext uri="{FF2B5EF4-FFF2-40B4-BE49-F238E27FC236}">
              <a16:creationId xmlns:a16="http://schemas.microsoft.com/office/drawing/2014/main" id="{E6B27BC1-73C1-49DA-B200-46E0E9610B04}"/>
            </a:ext>
            <a:ext uri="{147F2762-F138-4A5C-976F-8EAC2B608ADB}">
              <a16:predDERef xmlns:a16="http://schemas.microsoft.com/office/drawing/2014/main" pred="{C631FB87-E142-4876-96FC-D3CE75840A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526992</xdr:colOff>
      <xdr:row>53</xdr:row>
      <xdr:rowOff>78510</xdr:rowOff>
    </xdr:from>
    <xdr:to>
      <xdr:col>28</xdr:col>
      <xdr:colOff>569698</xdr:colOff>
      <xdr:row>79</xdr:row>
      <xdr:rowOff>77356</xdr:rowOff>
    </xdr:to>
    <xdr:graphicFrame macro="">
      <xdr:nvGraphicFramePr>
        <xdr:cNvPr id="9" name="Chart 4">
          <a:extLst>
            <a:ext uri="{FF2B5EF4-FFF2-40B4-BE49-F238E27FC236}">
              <a16:creationId xmlns:a16="http://schemas.microsoft.com/office/drawing/2014/main" id="{C8158EB1-F4CB-460B-8646-253B2468D371}"/>
            </a:ext>
            <a:ext uri="{147F2762-F138-4A5C-976F-8EAC2B608ADB}">
              <a16:predDERef xmlns:a16="http://schemas.microsoft.com/office/drawing/2014/main" pred="{0D52F195-08F8-4367-94D3-5AA5539848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106</xdr:row>
      <xdr:rowOff>0</xdr:rowOff>
    </xdr:from>
    <xdr:to>
      <xdr:col>13</xdr:col>
      <xdr:colOff>457200</xdr:colOff>
      <xdr:row>134</xdr:row>
      <xdr:rowOff>6929</xdr:rowOff>
    </xdr:to>
    <xdr:graphicFrame macro="">
      <xdr:nvGraphicFramePr>
        <xdr:cNvPr id="10" name="Chart 9">
          <a:extLst>
            <a:ext uri="{FF2B5EF4-FFF2-40B4-BE49-F238E27FC236}">
              <a16:creationId xmlns:a16="http://schemas.microsoft.com/office/drawing/2014/main" id="{7B41488F-B604-4E60-876F-521749EE019A}"/>
            </a:ext>
            <a:ext uri="{147F2762-F138-4A5C-976F-8EAC2B608ADB}">
              <a16:predDERef xmlns:a16="http://schemas.microsoft.com/office/drawing/2014/main" pred="{8B39AD9B-D2DD-4F1C-AB5F-2DA7737546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554181</xdr:colOff>
      <xdr:row>106</xdr:row>
      <xdr:rowOff>43873</xdr:rowOff>
    </xdr:from>
    <xdr:to>
      <xdr:col>28</xdr:col>
      <xdr:colOff>552286</xdr:colOff>
      <xdr:row>133</xdr:row>
      <xdr:rowOff>152399</xdr:rowOff>
    </xdr:to>
    <xdr:graphicFrame macro="">
      <xdr:nvGraphicFramePr>
        <xdr:cNvPr id="11" name="Chart 10">
          <a:extLst>
            <a:ext uri="{FF2B5EF4-FFF2-40B4-BE49-F238E27FC236}">
              <a16:creationId xmlns:a16="http://schemas.microsoft.com/office/drawing/2014/main" id="{19BA3A07-21AD-42C6-A1AD-6AB5715F2CE6}"/>
            </a:ext>
            <a:ext uri="{147F2762-F138-4A5C-976F-8EAC2B608ADB}">
              <a16:predDERef xmlns:a16="http://schemas.microsoft.com/office/drawing/2014/main" pred="{92D13376-D514-463B-BB6F-1F8AABE07E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69273</xdr:colOff>
      <xdr:row>134</xdr:row>
      <xdr:rowOff>117994</xdr:rowOff>
    </xdr:from>
    <xdr:to>
      <xdr:col>13</xdr:col>
      <xdr:colOff>529244</xdr:colOff>
      <xdr:row>163</xdr:row>
      <xdr:rowOff>100329</xdr:rowOff>
    </xdr:to>
    <xdr:graphicFrame macro="">
      <xdr:nvGraphicFramePr>
        <xdr:cNvPr id="12" name="Chart 3">
          <a:extLst>
            <a:ext uri="{FF2B5EF4-FFF2-40B4-BE49-F238E27FC236}">
              <a16:creationId xmlns:a16="http://schemas.microsoft.com/office/drawing/2014/main" id="{97F30D8C-8DD4-4506-B6B8-2E1723AAF106}"/>
            </a:ext>
            <a:ext uri="{147F2762-F138-4A5C-976F-8EAC2B608ADB}">
              <a16:predDERef xmlns:a16="http://schemas.microsoft.com/office/drawing/2014/main" pred="{19BA3A07-21AD-42C6-A1AD-6AB5715F2C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540327</xdr:colOff>
      <xdr:row>134</xdr:row>
      <xdr:rowOff>110837</xdr:rowOff>
    </xdr:from>
    <xdr:to>
      <xdr:col>28</xdr:col>
      <xdr:colOff>609599</xdr:colOff>
      <xdr:row>163</xdr:row>
      <xdr:rowOff>152399</xdr:rowOff>
    </xdr:to>
    <xdr:graphicFrame macro="">
      <xdr:nvGraphicFramePr>
        <xdr:cNvPr id="13" name="Chart 4">
          <a:extLst>
            <a:ext uri="{FF2B5EF4-FFF2-40B4-BE49-F238E27FC236}">
              <a16:creationId xmlns:a16="http://schemas.microsoft.com/office/drawing/2014/main" id="{32725255-C623-4CDD-BB8A-784ED29BA0A0}"/>
            </a:ext>
            <a:ext uri="{147F2762-F138-4A5C-976F-8EAC2B608ADB}">
              <a16:predDERef xmlns:a16="http://schemas.microsoft.com/office/drawing/2014/main" pred="{97F30D8C-8DD4-4506-B6B8-2E1723AAF1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29</xdr:col>
      <xdr:colOff>67195</xdr:colOff>
      <xdr:row>0</xdr:row>
      <xdr:rowOff>1</xdr:rowOff>
    </xdr:from>
    <xdr:to>
      <xdr:col>31</xdr:col>
      <xdr:colOff>558800</xdr:colOff>
      <xdr:row>23</xdr:row>
      <xdr:rowOff>0</xdr:rowOff>
    </xdr:to>
    <mc:AlternateContent xmlns:mc="http://schemas.openxmlformats.org/markup-compatibility/2006" xmlns:a14="http://schemas.microsoft.com/office/drawing/2010/main">
      <mc:Choice Requires="a14">
        <xdr:graphicFrame macro="">
          <xdr:nvGraphicFramePr>
            <xdr:cNvPr id="14" name="Facility 8">
              <a:extLst>
                <a:ext uri="{FF2B5EF4-FFF2-40B4-BE49-F238E27FC236}">
                  <a16:creationId xmlns:a16="http://schemas.microsoft.com/office/drawing/2014/main" id="{ADC819DD-7384-4006-BC15-51D317DA9825}"/>
                </a:ext>
              </a:extLst>
            </xdr:cNvPr>
            <xdr:cNvGraphicFramePr/>
          </xdr:nvGraphicFramePr>
          <xdr:xfrm>
            <a:off x="0" y="0"/>
            <a:ext cx="0" cy="0"/>
          </xdr:xfrm>
          <a:graphic>
            <a:graphicData uri="http://schemas.microsoft.com/office/drawing/2010/slicer">
              <sle:slicer xmlns:sle="http://schemas.microsoft.com/office/drawing/2010/slicer" name="Facility 8"/>
            </a:graphicData>
          </a:graphic>
        </xdr:graphicFrame>
      </mc:Choice>
      <mc:Fallback xmlns="">
        <xdr:sp macro="" textlink="">
          <xdr:nvSpPr>
            <xdr:cNvPr id="0" name=""/>
            <xdr:cNvSpPr>
              <a:spLocks noTextEdit="1"/>
            </xdr:cNvSpPr>
          </xdr:nvSpPr>
          <xdr:spPr>
            <a:xfrm>
              <a:off x="17869632" y="1"/>
              <a:ext cx="4036598" cy="460840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29</xdr:col>
      <xdr:colOff>12276</xdr:colOff>
      <xdr:row>25</xdr:row>
      <xdr:rowOff>163406</xdr:rowOff>
    </xdr:from>
    <xdr:to>
      <xdr:col>38</xdr:col>
      <xdr:colOff>361950</xdr:colOff>
      <xdr:row>48</xdr:row>
      <xdr:rowOff>133349</xdr:rowOff>
    </xdr:to>
    <xdr:graphicFrame macro="">
      <xdr:nvGraphicFramePr>
        <xdr:cNvPr id="15" name="Chart 14">
          <a:extLst>
            <a:ext uri="{FF2B5EF4-FFF2-40B4-BE49-F238E27FC236}">
              <a16:creationId xmlns:a16="http://schemas.microsoft.com/office/drawing/2014/main" id="{D0094058-576E-4923-A546-9BDF927838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29</xdr:col>
      <xdr:colOff>67310</xdr:colOff>
      <xdr:row>49</xdr:row>
      <xdr:rowOff>35561</xdr:rowOff>
    </xdr:from>
    <xdr:to>
      <xdr:col>38</xdr:col>
      <xdr:colOff>285750</xdr:colOff>
      <xdr:row>73</xdr:row>
      <xdr:rowOff>156210</xdr:rowOff>
    </xdr:to>
    <xdr:graphicFrame macro="">
      <xdr:nvGraphicFramePr>
        <xdr:cNvPr id="16" name="Chart 15">
          <a:extLst>
            <a:ext uri="{FF2B5EF4-FFF2-40B4-BE49-F238E27FC236}">
              <a16:creationId xmlns:a16="http://schemas.microsoft.com/office/drawing/2014/main" id="{0592C26B-221D-4AB0-A961-033F9C7B6E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29</xdr:col>
      <xdr:colOff>101810</xdr:colOff>
      <xdr:row>74</xdr:row>
      <xdr:rowOff>18626</xdr:rowOff>
    </xdr:from>
    <xdr:to>
      <xdr:col>38</xdr:col>
      <xdr:colOff>266699</xdr:colOff>
      <xdr:row>97</xdr:row>
      <xdr:rowOff>158749</xdr:rowOff>
    </xdr:to>
    <xdr:graphicFrame macro="">
      <xdr:nvGraphicFramePr>
        <xdr:cNvPr id="17" name="Chart 16">
          <a:extLst>
            <a:ext uri="{FF2B5EF4-FFF2-40B4-BE49-F238E27FC236}">
              <a16:creationId xmlns:a16="http://schemas.microsoft.com/office/drawing/2014/main" id="{E32BE024-02DF-43F3-817E-220AD7298B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32</xdr:col>
      <xdr:colOff>12700</xdr:colOff>
      <xdr:row>0</xdr:row>
      <xdr:rowOff>0</xdr:rowOff>
    </xdr:from>
    <xdr:to>
      <xdr:col>35</xdr:col>
      <xdr:colOff>166255</xdr:colOff>
      <xdr:row>7</xdr:row>
      <xdr:rowOff>41563</xdr:rowOff>
    </xdr:to>
    <mc:AlternateContent xmlns:mc="http://schemas.openxmlformats.org/markup-compatibility/2006" xmlns:a14="http://schemas.microsoft.com/office/drawing/2010/main">
      <mc:Choice Requires="a14">
        <xdr:graphicFrame macro="">
          <xdr:nvGraphicFramePr>
            <xdr:cNvPr id="18" name="Reporting_year&#10; 2">
              <a:extLst>
                <a:ext uri="{FF2B5EF4-FFF2-40B4-BE49-F238E27FC236}">
                  <a16:creationId xmlns:a16="http://schemas.microsoft.com/office/drawing/2014/main" id="{835282AA-9E4B-484B-B60A-F42C496E9548}"/>
                </a:ext>
              </a:extLst>
            </xdr:cNvPr>
            <xdr:cNvGraphicFramePr/>
          </xdr:nvGraphicFramePr>
          <xdr:xfrm>
            <a:off x="0" y="0"/>
            <a:ext cx="0" cy="0"/>
          </xdr:xfrm>
          <a:graphic>
            <a:graphicData uri="http://schemas.microsoft.com/office/drawing/2010/slicer">
              <sle:slicer xmlns:sle="http://schemas.microsoft.com/office/drawing/2010/slicer" name="Reporting_year&#10; 2"/>
            </a:graphicData>
          </a:graphic>
        </xdr:graphicFrame>
      </mc:Choice>
      <mc:Fallback xmlns="">
        <xdr:sp macro="" textlink="">
          <xdr:nvSpPr>
            <xdr:cNvPr id="0" name=""/>
            <xdr:cNvSpPr>
              <a:spLocks noTextEdit="1"/>
            </xdr:cNvSpPr>
          </xdr:nvSpPr>
          <xdr:spPr>
            <a:xfrm>
              <a:off x="19519900" y="0"/>
              <a:ext cx="1982355" cy="130232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4</xdr:row>
      <xdr:rowOff>41564</xdr:rowOff>
    </xdr:from>
    <xdr:to>
      <xdr:col>13</xdr:col>
      <xdr:colOff>595745</xdr:colOff>
      <xdr:row>27</xdr:row>
      <xdr:rowOff>13855</xdr:rowOff>
    </xdr:to>
    <xdr:graphicFrame macro="">
      <xdr:nvGraphicFramePr>
        <xdr:cNvPr id="3" name="Chart 5">
          <a:extLst>
            <a:ext uri="{FF2B5EF4-FFF2-40B4-BE49-F238E27FC236}">
              <a16:creationId xmlns:a16="http://schemas.microsoft.com/office/drawing/2014/main" id="{10DCF791-D251-463B-B8DD-BA49BADD412C}"/>
            </a:ext>
            <a:ext uri="{147F2762-F138-4A5C-976F-8EAC2B608ADB}">
              <a16:predDERef xmlns:a16="http://schemas.microsoft.com/office/drawing/2014/main" pred="{BF7A4332-6599-BDF9-75FA-3ADC6BC882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oneCell">
    <xdr:from>
      <xdr:col>13</xdr:col>
      <xdr:colOff>236008</xdr:colOff>
      <xdr:row>4</xdr:row>
      <xdr:rowOff>0</xdr:rowOff>
    </xdr:from>
    <xdr:to>
      <xdr:col>19</xdr:col>
      <xdr:colOff>41272</xdr:colOff>
      <xdr:row>27</xdr:row>
      <xdr:rowOff>113877</xdr:rowOff>
    </xdr:to>
    <mc:AlternateContent xmlns:mc="http://schemas.openxmlformats.org/markup-compatibility/2006" xmlns:a14="http://schemas.microsoft.com/office/drawing/2010/main">
      <mc:Choice Requires="a14">
        <xdr:graphicFrame macro="">
          <xdr:nvGraphicFramePr>
            <xdr:cNvPr id="2" name="Facility 7">
              <a:extLst>
                <a:ext uri="{FF2B5EF4-FFF2-40B4-BE49-F238E27FC236}">
                  <a16:creationId xmlns:a16="http://schemas.microsoft.com/office/drawing/2014/main" id="{94A74305-C03A-493B-A5E2-0B4886802459}"/>
                </a:ext>
              </a:extLst>
            </xdr:cNvPr>
            <xdr:cNvGraphicFramePr/>
          </xdr:nvGraphicFramePr>
          <xdr:xfrm>
            <a:off x="0" y="0"/>
            <a:ext cx="0" cy="0"/>
          </xdr:xfrm>
          <a:graphic>
            <a:graphicData uri="http://schemas.microsoft.com/office/drawing/2010/slicer">
              <sle:slicer xmlns:sle="http://schemas.microsoft.com/office/drawing/2010/slicer" name="Facility 7"/>
            </a:graphicData>
          </a:graphic>
        </xdr:graphicFrame>
      </mc:Choice>
      <mc:Fallback xmlns="">
        <xdr:sp macro="" textlink="">
          <xdr:nvSpPr>
            <xdr:cNvPr id="0" name=""/>
            <xdr:cNvSpPr>
              <a:spLocks noTextEdit="1"/>
            </xdr:cNvSpPr>
          </xdr:nvSpPr>
          <xdr:spPr>
            <a:xfrm>
              <a:off x="12045738" y="719667"/>
              <a:ext cx="1944369" cy="425196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180975</xdr:colOff>
      <xdr:row>5</xdr:row>
      <xdr:rowOff>104775</xdr:rowOff>
    </xdr:from>
    <xdr:to>
      <xdr:col>34</xdr:col>
      <xdr:colOff>188595</xdr:colOff>
      <xdr:row>17</xdr:row>
      <xdr:rowOff>111125</xdr:rowOff>
    </xdr:to>
    <mc:AlternateContent xmlns:mc="http://schemas.openxmlformats.org/markup-compatibility/2006" xmlns:a14="http://schemas.microsoft.com/office/drawing/2010/main">
      <mc:Choice Requires="a14">
        <xdr:graphicFrame macro="">
          <xdr:nvGraphicFramePr>
            <xdr:cNvPr id="5" name="AHD_eligible_category&#10; 7">
              <a:extLst>
                <a:ext uri="{FF2B5EF4-FFF2-40B4-BE49-F238E27FC236}">
                  <a16:creationId xmlns:a16="http://schemas.microsoft.com/office/drawing/2014/main" id="{9E2FE826-1E12-4079-8A2E-E2A4D8AE84DD}"/>
                </a:ext>
                <a:ext uri="{147F2762-F138-4A5C-976F-8EAC2B608ADB}">
                  <a16:predDERef xmlns:a16="http://schemas.microsoft.com/office/drawing/2014/main" pred="{94A74305-C03A-493B-A5E2-0B4886802459}"/>
                </a:ext>
              </a:extLst>
            </xdr:cNvPr>
            <xdr:cNvGraphicFramePr/>
          </xdr:nvGraphicFramePr>
          <xdr:xfrm>
            <a:off x="0" y="0"/>
            <a:ext cx="0" cy="0"/>
          </xdr:xfrm>
          <a:graphic>
            <a:graphicData uri="http://schemas.microsoft.com/office/drawing/2010/slicer">
              <sle:slicer xmlns:sle="http://schemas.microsoft.com/office/drawing/2010/slicer" name="AHD_eligible_category&#10; 7"/>
            </a:graphicData>
          </a:graphic>
        </xdr:graphicFrame>
      </mc:Choice>
      <mc:Fallback xmlns="">
        <xdr:sp macro="" textlink="">
          <xdr:nvSpPr>
            <xdr:cNvPr id="0" name=""/>
            <xdr:cNvSpPr>
              <a:spLocks noTextEdit="1"/>
            </xdr:cNvSpPr>
          </xdr:nvSpPr>
          <xdr:spPr>
            <a:xfrm>
              <a:off x="13262186" y="1"/>
              <a:ext cx="2833373" cy="4394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1</xdr:colOff>
      <xdr:row>18</xdr:row>
      <xdr:rowOff>42332</xdr:rowOff>
    </xdr:from>
    <xdr:to>
      <xdr:col>42</xdr:col>
      <xdr:colOff>116417</xdr:colOff>
      <xdr:row>39</xdr:row>
      <xdr:rowOff>66039</xdr:rowOff>
    </xdr:to>
    <xdr:graphicFrame macro="">
      <xdr:nvGraphicFramePr>
        <xdr:cNvPr id="6" name="Chart 5">
          <a:extLst>
            <a:ext uri="{FF2B5EF4-FFF2-40B4-BE49-F238E27FC236}">
              <a16:creationId xmlns:a16="http://schemas.microsoft.com/office/drawing/2014/main" id="{2437312A-7A53-B6BE-B736-CEB5CAE2E4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48</xdr:col>
      <xdr:colOff>130387</xdr:colOff>
      <xdr:row>19</xdr:row>
      <xdr:rowOff>149436</xdr:rowOff>
    </xdr:from>
    <xdr:to>
      <xdr:col>58</xdr:col>
      <xdr:colOff>72816</xdr:colOff>
      <xdr:row>33</xdr:row>
      <xdr:rowOff>79798</xdr:rowOff>
    </xdr:to>
    <mc:AlternateContent xmlns:mc="http://schemas.openxmlformats.org/markup-compatibility/2006" xmlns:a14="http://schemas.microsoft.com/office/drawing/2010/main">
      <mc:Choice Requires="a14">
        <xdr:graphicFrame macro="">
          <xdr:nvGraphicFramePr>
            <xdr:cNvPr id="7" name="Reporting_year&#10; 1">
              <a:extLst>
                <a:ext uri="{FF2B5EF4-FFF2-40B4-BE49-F238E27FC236}">
                  <a16:creationId xmlns:a16="http://schemas.microsoft.com/office/drawing/2014/main" id="{6891E007-F943-0D22-0D90-815AE549B7E3}"/>
                </a:ext>
              </a:extLst>
            </xdr:cNvPr>
            <xdr:cNvGraphicFramePr/>
          </xdr:nvGraphicFramePr>
          <xdr:xfrm>
            <a:off x="0" y="0"/>
            <a:ext cx="0" cy="0"/>
          </xdr:xfrm>
          <a:graphic>
            <a:graphicData uri="http://schemas.microsoft.com/office/drawing/2010/slicer">
              <sle:slicer xmlns:sle="http://schemas.microsoft.com/office/drawing/2010/slicer" name="Reporting_year&#10; 1"/>
            </a:graphicData>
          </a:graphic>
        </xdr:graphicFrame>
      </mc:Choice>
      <mc:Fallback xmlns="">
        <xdr:sp macro="" textlink="">
          <xdr:nvSpPr>
            <xdr:cNvPr id="0" name=""/>
            <xdr:cNvSpPr>
              <a:spLocks noTextEdit="1"/>
            </xdr:cNvSpPr>
          </xdr:nvSpPr>
          <xdr:spPr>
            <a:xfrm>
              <a:off x="20712430" y="3567853"/>
              <a:ext cx="1828800" cy="244919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275378</xdr:colOff>
      <xdr:row>32</xdr:row>
      <xdr:rowOff>9738</xdr:rowOff>
    </xdr:from>
    <xdr:to>
      <xdr:col>12</xdr:col>
      <xdr:colOff>275167</xdr:colOff>
      <xdr:row>52</xdr:row>
      <xdr:rowOff>74083</xdr:rowOff>
    </xdr:to>
    <xdr:graphicFrame macro="">
      <xdr:nvGraphicFramePr>
        <xdr:cNvPr id="9" name="Chart 8">
          <a:extLst>
            <a:ext uri="{FF2B5EF4-FFF2-40B4-BE49-F238E27FC236}">
              <a16:creationId xmlns:a16="http://schemas.microsoft.com/office/drawing/2014/main" id="{98DBD053-2100-39C9-E2FA-DDA89018E8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74083</xdr:colOff>
      <xdr:row>41</xdr:row>
      <xdr:rowOff>67734</xdr:rowOff>
    </xdr:from>
    <xdr:to>
      <xdr:col>42</xdr:col>
      <xdr:colOff>169333</xdr:colOff>
      <xdr:row>56</xdr:row>
      <xdr:rowOff>112184</xdr:rowOff>
    </xdr:to>
    <xdr:graphicFrame macro="">
      <xdr:nvGraphicFramePr>
        <xdr:cNvPr id="10" name="Chart 9">
          <a:extLst>
            <a:ext uri="{FF2B5EF4-FFF2-40B4-BE49-F238E27FC236}">
              <a16:creationId xmlns:a16="http://schemas.microsoft.com/office/drawing/2014/main" id="{9F0A2890-B45B-BC97-C0AC-D58464DA6D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13</xdr:col>
      <xdr:colOff>1110887</xdr:colOff>
      <xdr:row>0</xdr:row>
      <xdr:rowOff>0</xdr:rowOff>
    </xdr:from>
    <xdr:to>
      <xdr:col>16</xdr:col>
      <xdr:colOff>193129</xdr:colOff>
      <xdr:row>25</xdr:row>
      <xdr:rowOff>117566</xdr:rowOff>
    </xdr:to>
    <mc:AlternateContent xmlns:mc="http://schemas.openxmlformats.org/markup-compatibility/2006" xmlns:a14="http://schemas.microsoft.com/office/drawing/2010/main">
      <mc:Choice Requires="a14">
        <xdr:graphicFrame macro="">
          <xdr:nvGraphicFramePr>
            <xdr:cNvPr id="2" name="Facility 2">
              <a:extLst>
                <a:ext uri="{FF2B5EF4-FFF2-40B4-BE49-F238E27FC236}">
                  <a16:creationId xmlns:a16="http://schemas.microsoft.com/office/drawing/2014/main" id="{22B36EBB-1940-422B-B734-E23E740B1007}"/>
                </a:ext>
              </a:extLst>
            </xdr:cNvPr>
            <xdr:cNvGraphicFramePr/>
          </xdr:nvGraphicFramePr>
          <xdr:xfrm>
            <a:off x="0" y="0"/>
            <a:ext cx="0" cy="0"/>
          </xdr:xfrm>
          <a:graphic>
            <a:graphicData uri="http://schemas.microsoft.com/office/drawing/2010/slicer">
              <sle:slicer xmlns:sle="http://schemas.microsoft.com/office/drawing/2010/slicer" name="Facility 2"/>
            </a:graphicData>
          </a:graphic>
        </xdr:graphicFrame>
      </mc:Choice>
      <mc:Fallback xmlns="">
        <xdr:sp macro="" textlink="">
          <xdr:nvSpPr>
            <xdr:cNvPr id="0" name=""/>
            <xdr:cNvSpPr>
              <a:spLocks noTextEdit="1"/>
            </xdr:cNvSpPr>
          </xdr:nvSpPr>
          <xdr:spPr>
            <a:xfrm>
              <a:off x="13860417" y="0"/>
              <a:ext cx="1521913" cy="488006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11611</xdr:colOff>
      <xdr:row>0</xdr:row>
      <xdr:rowOff>18869</xdr:rowOff>
    </xdr:from>
    <xdr:to>
      <xdr:col>30</xdr:col>
      <xdr:colOff>40642</xdr:colOff>
      <xdr:row>2</xdr:row>
      <xdr:rowOff>636</xdr:rowOff>
    </xdr:to>
    <mc:AlternateContent xmlns:mc="http://schemas.openxmlformats.org/markup-compatibility/2006" xmlns:a14="http://schemas.microsoft.com/office/drawing/2010/main">
      <mc:Choice Requires="a14">
        <xdr:graphicFrame macro="">
          <xdr:nvGraphicFramePr>
            <xdr:cNvPr id="3" name="AHD_eligible_category&#10; 2">
              <a:extLst>
                <a:ext uri="{FF2B5EF4-FFF2-40B4-BE49-F238E27FC236}">
                  <a16:creationId xmlns:a16="http://schemas.microsoft.com/office/drawing/2014/main" id="{E07078D1-C319-4E8B-A949-CB33C6B9237A}"/>
                </a:ext>
              </a:extLst>
            </xdr:cNvPr>
            <xdr:cNvGraphicFramePr/>
          </xdr:nvGraphicFramePr>
          <xdr:xfrm>
            <a:off x="0" y="0"/>
            <a:ext cx="0" cy="0"/>
          </xdr:xfrm>
          <a:graphic>
            <a:graphicData uri="http://schemas.microsoft.com/office/drawing/2010/slicer">
              <sle:slicer xmlns:sle="http://schemas.microsoft.com/office/drawing/2010/slicer" name="AHD_eligible_category&#10; 2"/>
            </a:graphicData>
          </a:graphic>
        </xdr:graphicFrame>
      </mc:Choice>
      <mc:Fallback xmlns="">
        <xdr:sp macro="" textlink="">
          <xdr:nvSpPr>
            <xdr:cNvPr id="0" name=""/>
            <xdr:cNvSpPr>
              <a:spLocks noTextEdit="1"/>
            </xdr:cNvSpPr>
          </xdr:nvSpPr>
          <xdr:spPr>
            <a:xfrm>
              <a:off x="15401471" y="16329"/>
              <a:ext cx="2825569" cy="35705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344714</xdr:colOff>
      <xdr:row>25</xdr:row>
      <xdr:rowOff>97971</xdr:rowOff>
    </xdr:from>
    <xdr:to>
      <xdr:col>8</xdr:col>
      <xdr:colOff>907143</xdr:colOff>
      <xdr:row>53</xdr:row>
      <xdr:rowOff>117928</xdr:rowOff>
    </xdr:to>
    <xdr:graphicFrame macro="">
      <xdr:nvGraphicFramePr>
        <xdr:cNvPr id="49" name="Chart 3">
          <a:extLst>
            <a:ext uri="{FF2B5EF4-FFF2-40B4-BE49-F238E27FC236}">
              <a16:creationId xmlns:a16="http://schemas.microsoft.com/office/drawing/2014/main" id="{65E923AF-89BD-4045-B441-B4D6C9A72F4A}"/>
            </a:ext>
            <a:ext uri="{147F2762-F138-4A5C-976F-8EAC2B608ADB}">
              <a16:predDERef xmlns:a16="http://schemas.microsoft.com/office/drawing/2014/main" pred="{E07078D1-C319-4E8B-A949-CB33C6B923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136524</xdr:colOff>
      <xdr:row>25</xdr:row>
      <xdr:rowOff>112305</xdr:rowOff>
    </xdr:from>
    <xdr:to>
      <xdr:col>24</xdr:col>
      <xdr:colOff>36285</xdr:colOff>
      <xdr:row>53</xdr:row>
      <xdr:rowOff>18143</xdr:rowOff>
    </xdr:to>
    <xdr:graphicFrame macro="">
      <xdr:nvGraphicFramePr>
        <xdr:cNvPr id="6" name="Chart 4">
          <a:extLst>
            <a:ext uri="{FF2B5EF4-FFF2-40B4-BE49-F238E27FC236}">
              <a16:creationId xmlns:a16="http://schemas.microsoft.com/office/drawing/2014/main" id="{71A67B81-51A1-496D-A4F9-EAC0602CAB00}"/>
            </a:ext>
            <a:ext uri="{147F2762-F138-4A5C-976F-8EAC2B608ADB}">
              <a16:predDERef xmlns:a16="http://schemas.microsoft.com/office/drawing/2014/main" pred="{65E923AF-89BD-4045-B441-B4D6C9A72F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editAs="oneCell">
    <xdr:from>
      <xdr:col>14</xdr:col>
      <xdr:colOff>404496</xdr:colOff>
      <xdr:row>2</xdr:row>
      <xdr:rowOff>72708</xdr:rowOff>
    </xdr:from>
    <xdr:to>
      <xdr:col>18</xdr:col>
      <xdr:colOff>117793</xdr:colOff>
      <xdr:row>24</xdr:row>
      <xdr:rowOff>155575</xdr:rowOff>
    </xdr:to>
    <mc:AlternateContent xmlns:mc="http://schemas.openxmlformats.org/markup-compatibility/2006" xmlns:a14="http://schemas.microsoft.com/office/drawing/2010/main">
      <mc:Choice Requires="a14">
        <xdr:graphicFrame macro="">
          <xdr:nvGraphicFramePr>
            <xdr:cNvPr id="7" name="Facility 6">
              <a:extLst>
                <a:ext uri="{FF2B5EF4-FFF2-40B4-BE49-F238E27FC236}">
                  <a16:creationId xmlns:a16="http://schemas.microsoft.com/office/drawing/2014/main" id="{57938023-2966-44D2-B029-896B5DD94DCD}"/>
                </a:ext>
              </a:extLst>
            </xdr:cNvPr>
            <xdr:cNvGraphicFramePr/>
          </xdr:nvGraphicFramePr>
          <xdr:xfrm>
            <a:off x="0" y="0"/>
            <a:ext cx="0" cy="0"/>
          </xdr:xfrm>
          <a:graphic>
            <a:graphicData uri="http://schemas.microsoft.com/office/drawing/2010/slicer">
              <sle:slicer xmlns:sle="http://schemas.microsoft.com/office/drawing/2010/slicer" name="Facility 6"/>
            </a:graphicData>
          </a:graphic>
        </xdr:graphicFrame>
      </mc:Choice>
      <mc:Fallback xmlns="">
        <xdr:sp macro="" textlink="">
          <xdr:nvSpPr>
            <xdr:cNvPr id="0" name=""/>
            <xdr:cNvSpPr>
              <a:spLocks noTextEdit="1"/>
            </xdr:cNvSpPr>
          </xdr:nvSpPr>
          <xdr:spPr>
            <a:xfrm>
              <a:off x="11043921" y="434658"/>
              <a:ext cx="2382837" cy="407066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583564</xdr:colOff>
      <xdr:row>1</xdr:row>
      <xdr:rowOff>1905</xdr:rowOff>
    </xdr:from>
    <xdr:to>
      <xdr:col>26</xdr:col>
      <xdr:colOff>3</xdr:colOff>
      <xdr:row>2</xdr:row>
      <xdr:rowOff>148908</xdr:rowOff>
    </xdr:to>
    <mc:AlternateContent xmlns:mc="http://schemas.openxmlformats.org/markup-compatibility/2006" xmlns:a14="http://schemas.microsoft.com/office/drawing/2010/main">
      <mc:Choice Requires="a14">
        <xdr:graphicFrame macro="">
          <xdr:nvGraphicFramePr>
            <xdr:cNvPr id="3" name="AHD_eligible_category&#10; 6">
              <a:extLst>
                <a:ext uri="{FF2B5EF4-FFF2-40B4-BE49-F238E27FC236}">
                  <a16:creationId xmlns:a16="http://schemas.microsoft.com/office/drawing/2014/main" id="{066730FF-3688-4ED5-A702-99750DB67486}"/>
                </a:ext>
              </a:extLst>
            </xdr:cNvPr>
            <xdr:cNvGraphicFramePr/>
          </xdr:nvGraphicFramePr>
          <xdr:xfrm>
            <a:off x="0" y="0"/>
            <a:ext cx="0" cy="0"/>
          </xdr:xfrm>
          <a:graphic>
            <a:graphicData uri="http://schemas.microsoft.com/office/drawing/2010/slicer">
              <sle:slicer xmlns:sle="http://schemas.microsoft.com/office/drawing/2010/slicer" name="AHD_eligible_category&#10; 6"/>
            </a:graphicData>
          </a:graphic>
        </xdr:graphicFrame>
      </mc:Choice>
      <mc:Fallback xmlns="">
        <xdr:sp macro="" textlink="">
          <xdr:nvSpPr>
            <xdr:cNvPr id="0" name=""/>
            <xdr:cNvSpPr>
              <a:spLocks noTextEdit="1"/>
            </xdr:cNvSpPr>
          </xdr:nvSpPr>
          <xdr:spPr>
            <a:xfrm>
              <a:off x="12415837" y="184468"/>
              <a:ext cx="2601914" cy="31813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35718</xdr:colOff>
      <xdr:row>30</xdr:row>
      <xdr:rowOff>53816</xdr:rowOff>
    </xdr:from>
    <xdr:to>
      <xdr:col>8</xdr:col>
      <xdr:colOff>241458</xdr:colOff>
      <xdr:row>57</xdr:row>
      <xdr:rowOff>156210</xdr:rowOff>
    </xdr:to>
    <xdr:graphicFrame macro="">
      <xdr:nvGraphicFramePr>
        <xdr:cNvPr id="2" name="Chart 3">
          <a:extLst>
            <a:ext uri="{FF2B5EF4-FFF2-40B4-BE49-F238E27FC236}">
              <a16:creationId xmlns:a16="http://schemas.microsoft.com/office/drawing/2014/main" id="{600E1430-4152-45C9-A60C-6A71A027FB09}"/>
            </a:ext>
            <a:ext uri="{147F2762-F138-4A5C-976F-8EAC2B608ADB}">
              <a16:predDERef xmlns:a16="http://schemas.microsoft.com/office/drawing/2014/main" pred="{066730FF-3688-4ED5-A702-99750DB674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56358</xdr:colOff>
      <xdr:row>0</xdr:row>
      <xdr:rowOff>2</xdr:rowOff>
    </xdr:from>
    <xdr:to>
      <xdr:col>22</xdr:col>
      <xdr:colOff>178593</xdr:colOff>
      <xdr:row>23</xdr:row>
      <xdr:rowOff>35720</xdr:rowOff>
    </xdr:to>
    <xdr:graphicFrame macro="">
      <xdr:nvGraphicFramePr>
        <xdr:cNvPr id="5" name="Chart 4">
          <a:extLst>
            <a:ext uri="{FF2B5EF4-FFF2-40B4-BE49-F238E27FC236}">
              <a16:creationId xmlns:a16="http://schemas.microsoft.com/office/drawing/2014/main" id="{6621AEF9-8186-46A0-97CF-D20FA05CF68E}"/>
            </a:ext>
            <a:ext uri="{147F2762-F138-4A5C-976F-8EAC2B608ADB}">
              <a16:predDERef xmlns:a16="http://schemas.microsoft.com/office/drawing/2014/main" pred="{600E1430-4152-45C9-A60C-6A71A027FB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editAs="oneCell">
    <xdr:from>
      <xdr:col>7</xdr:col>
      <xdr:colOff>2436770</xdr:colOff>
      <xdr:row>17</xdr:row>
      <xdr:rowOff>117022</xdr:rowOff>
    </xdr:from>
    <xdr:to>
      <xdr:col>9</xdr:col>
      <xdr:colOff>361315</xdr:colOff>
      <xdr:row>36</xdr:row>
      <xdr:rowOff>3085</xdr:rowOff>
    </xdr:to>
    <mc:AlternateContent xmlns:mc="http://schemas.openxmlformats.org/markup-compatibility/2006" xmlns:a14="http://schemas.microsoft.com/office/drawing/2010/main">
      <mc:Choice Requires="a14">
        <xdr:graphicFrame macro="">
          <xdr:nvGraphicFramePr>
            <xdr:cNvPr id="8" name="Facility">
              <a:extLst>
                <a:ext uri="{FF2B5EF4-FFF2-40B4-BE49-F238E27FC236}">
                  <a16:creationId xmlns:a16="http://schemas.microsoft.com/office/drawing/2014/main" id="{6A524AA2-1999-D597-4B10-D2CF2E5862D8}"/>
                </a:ext>
              </a:extLst>
            </xdr:cNvPr>
            <xdr:cNvGraphicFramePr/>
          </xdr:nvGraphicFramePr>
          <xdr:xfrm>
            <a:off x="0" y="0"/>
            <a:ext cx="0" cy="0"/>
          </xdr:xfrm>
          <a:graphic>
            <a:graphicData uri="http://schemas.microsoft.com/office/drawing/2010/slicer">
              <sle:slicer xmlns:sle="http://schemas.microsoft.com/office/drawing/2010/slicer" name="Facility"/>
            </a:graphicData>
          </a:graphic>
        </xdr:graphicFrame>
      </mc:Choice>
      <mc:Fallback xmlns="">
        <xdr:sp macro="" textlink="">
          <xdr:nvSpPr>
            <xdr:cNvPr id="0" name=""/>
            <xdr:cNvSpPr>
              <a:spLocks noTextEdit="1"/>
            </xdr:cNvSpPr>
          </xdr:nvSpPr>
          <xdr:spPr>
            <a:xfrm>
              <a:off x="10982056" y="3262993"/>
              <a:ext cx="1675945" cy="341230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641804</xdr:colOff>
      <xdr:row>1</xdr:row>
      <xdr:rowOff>87086</xdr:rowOff>
    </xdr:from>
    <xdr:to>
      <xdr:col>7</xdr:col>
      <xdr:colOff>2555785</xdr:colOff>
      <xdr:row>15</xdr:row>
      <xdr:rowOff>78831</xdr:rowOff>
    </xdr:to>
    <mc:AlternateContent xmlns:mc="http://schemas.openxmlformats.org/markup-compatibility/2006" xmlns:a14="http://schemas.microsoft.com/office/drawing/2010/main">
      <mc:Choice Requires="a14">
        <xdr:graphicFrame macro="">
          <xdr:nvGraphicFramePr>
            <xdr:cNvPr id="3" name="Reporting_year&#10;">
              <a:extLst>
                <a:ext uri="{FF2B5EF4-FFF2-40B4-BE49-F238E27FC236}">
                  <a16:creationId xmlns:a16="http://schemas.microsoft.com/office/drawing/2014/main" id="{15BCABA1-41D2-6B76-D5EA-9F1520BACB64}"/>
                </a:ext>
                <a:ext uri="{147F2762-F138-4A5C-976F-8EAC2B608ADB}">
                  <a16:predDERef xmlns:a16="http://schemas.microsoft.com/office/drawing/2014/main" pred="{6A524AA2-1999-D597-4B10-D2CF2E5862D8}"/>
                </a:ext>
              </a:extLst>
            </xdr:cNvPr>
            <xdr:cNvGraphicFramePr/>
          </xdr:nvGraphicFramePr>
          <xdr:xfrm>
            <a:off x="0" y="0"/>
            <a:ext cx="0" cy="0"/>
          </xdr:xfrm>
          <a:graphic>
            <a:graphicData uri="http://schemas.microsoft.com/office/drawing/2010/slicer">
              <sle:slicer xmlns:sle="http://schemas.microsoft.com/office/drawing/2010/slicer" name="Reporting_year&#10;"/>
            </a:graphicData>
          </a:graphic>
        </xdr:graphicFrame>
      </mc:Choice>
      <mc:Fallback xmlns="">
        <xdr:sp macro="" textlink="">
          <xdr:nvSpPr>
            <xdr:cNvPr id="0" name=""/>
            <xdr:cNvSpPr>
              <a:spLocks noTextEdit="1"/>
            </xdr:cNvSpPr>
          </xdr:nvSpPr>
          <xdr:spPr>
            <a:xfrm>
              <a:off x="9187090" y="272143"/>
              <a:ext cx="1867263" cy="258508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146138</xdr:colOff>
      <xdr:row>1</xdr:row>
      <xdr:rowOff>65314</xdr:rowOff>
    </xdr:from>
    <xdr:to>
      <xdr:col>9</xdr:col>
      <xdr:colOff>932815</xdr:colOff>
      <xdr:row>15</xdr:row>
      <xdr:rowOff>41819</xdr:rowOff>
    </xdr:to>
    <mc:AlternateContent xmlns:mc="http://schemas.openxmlformats.org/markup-compatibility/2006" xmlns:a14="http://schemas.microsoft.com/office/drawing/2010/main">
      <mc:Choice Requires="a14">
        <xdr:graphicFrame macro="">
          <xdr:nvGraphicFramePr>
            <xdr:cNvPr id="4" name="Reporting_Quarter&#10;">
              <a:extLst>
                <a:ext uri="{FF2B5EF4-FFF2-40B4-BE49-F238E27FC236}">
                  <a16:creationId xmlns:a16="http://schemas.microsoft.com/office/drawing/2014/main" id="{A526EB1E-CCDD-695C-7149-EDDC18AB5BC2}"/>
                </a:ext>
                <a:ext uri="{147F2762-F138-4A5C-976F-8EAC2B608ADB}">
                  <a16:predDERef xmlns:a16="http://schemas.microsoft.com/office/drawing/2014/main" pred="{15BCABA1-41D2-6B76-D5EA-9F1520BACB64}"/>
                </a:ext>
              </a:extLst>
            </xdr:cNvPr>
            <xdr:cNvGraphicFramePr/>
          </xdr:nvGraphicFramePr>
          <xdr:xfrm>
            <a:off x="0" y="0"/>
            <a:ext cx="0" cy="0"/>
          </xdr:xfrm>
          <a:graphic>
            <a:graphicData uri="http://schemas.microsoft.com/office/drawing/2010/slicer">
              <sle:slicer xmlns:sle="http://schemas.microsoft.com/office/drawing/2010/slicer" name="Reporting_Quarter&#10;"/>
            </a:graphicData>
          </a:graphic>
        </xdr:graphicFrame>
      </mc:Choice>
      <mc:Fallback xmlns="">
        <xdr:sp macro="" textlink="">
          <xdr:nvSpPr>
            <xdr:cNvPr id="0" name=""/>
            <xdr:cNvSpPr>
              <a:spLocks noTextEdit="1"/>
            </xdr:cNvSpPr>
          </xdr:nvSpPr>
          <xdr:spPr>
            <a:xfrm>
              <a:off x="11325767" y="250371"/>
              <a:ext cx="1899648" cy="25685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946515</xdr:colOff>
      <xdr:row>1</xdr:row>
      <xdr:rowOff>136072</xdr:rowOff>
    </xdr:from>
    <xdr:to>
      <xdr:col>11</xdr:col>
      <xdr:colOff>505185</xdr:colOff>
      <xdr:row>15</xdr:row>
      <xdr:rowOff>111579</xdr:rowOff>
    </xdr:to>
    <mc:AlternateContent xmlns:mc="http://schemas.openxmlformats.org/markup-compatibility/2006" xmlns:a14="http://schemas.microsoft.com/office/drawing/2010/main">
      <mc:Choice Requires="a14">
        <xdr:graphicFrame macro="">
          <xdr:nvGraphicFramePr>
            <xdr:cNvPr id="6" name="AHD_eligible_category&#10;">
              <a:extLst>
                <a:ext uri="{FF2B5EF4-FFF2-40B4-BE49-F238E27FC236}">
                  <a16:creationId xmlns:a16="http://schemas.microsoft.com/office/drawing/2014/main" id="{03B35EBC-6D56-6EAD-E03F-1E82F47B21BC}"/>
                </a:ext>
                <a:ext uri="{147F2762-F138-4A5C-976F-8EAC2B608ADB}">
                  <a16:predDERef xmlns:a16="http://schemas.microsoft.com/office/drawing/2014/main" pred="{C1718798-7F92-CF2C-0629-BF254D8F0D54}"/>
                </a:ext>
              </a:extLst>
            </xdr:cNvPr>
            <xdr:cNvGraphicFramePr/>
          </xdr:nvGraphicFramePr>
          <xdr:xfrm>
            <a:off x="0" y="0"/>
            <a:ext cx="0" cy="0"/>
          </xdr:xfrm>
          <a:graphic>
            <a:graphicData uri="http://schemas.microsoft.com/office/drawing/2010/slicer">
              <sle:slicer xmlns:sle="http://schemas.microsoft.com/office/drawing/2010/slicer" name="AHD_eligible_category&#10;"/>
            </a:graphicData>
          </a:graphic>
        </xdr:graphicFrame>
      </mc:Choice>
      <mc:Fallback xmlns="">
        <xdr:sp macro="" textlink="">
          <xdr:nvSpPr>
            <xdr:cNvPr id="0" name=""/>
            <xdr:cNvSpPr>
              <a:spLocks noTextEdit="1"/>
            </xdr:cNvSpPr>
          </xdr:nvSpPr>
          <xdr:spPr>
            <a:xfrm>
              <a:off x="9053651" y="2982686"/>
              <a:ext cx="1930128" cy="25622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4.xml><?xml version="1.0" encoding="utf-8"?>
<xdr:wsDr xmlns:xdr="http://schemas.openxmlformats.org/drawingml/2006/spreadsheetDrawing" xmlns:a="http://schemas.openxmlformats.org/drawingml/2006/main">
  <xdr:twoCellAnchor editAs="oneCell">
    <xdr:from>
      <xdr:col>23</xdr:col>
      <xdr:colOff>96927</xdr:colOff>
      <xdr:row>1</xdr:row>
      <xdr:rowOff>73118</xdr:rowOff>
    </xdr:from>
    <xdr:to>
      <xdr:col>37</xdr:col>
      <xdr:colOff>34474</xdr:colOff>
      <xdr:row>23</xdr:row>
      <xdr:rowOff>111489</xdr:rowOff>
    </xdr:to>
    <mc:AlternateContent xmlns:mc="http://schemas.openxmlformats.org/markup-compatibility/2006" xmlns:a14="http://schemas.microsoft.com/office/drawing/2010/main">
      <mc:Choice Requires="a14">
        <xdr:graphicFrame macro="">
          <xdr:nvGraphicFramePr>
            <xdr:cNvPr id="2" name="Facility 1">
              <a:extLst>
                <a:ext uri="{FF2B5EF4-FFF2-40B4-BE49-F238E27FC236}">
                  <a16:creationId xmlns:a16="http://schemas.microsoft.com/office/drawing/2014/main" id="{2D6FA19B-B7B7-C335-0157-E568ACBA8DB2}"/>
                </a:ext>
              </a:extLst>
            </xdr:cNvPr>
            <xdr:cNvGraphicFramePr/>
          </xdr:nvGraphicFramePr>
          <xdr:xfrm>
            <a:off x="0" y="0"/>
            <a:ext cx="0" cy="0"/>
          </xdr:xfrm>
          <a:graphic>
            <a:graphicData uri="http://schemas.microsoft.com/office/drawing/2010/slicer">
              <sle:slicer xmlns:sle="http://schemas.microsoft.com/office/drawing/2010/slicer" name="Facility 1"/>
            </a:graphicData>
          </a:graphic>
        </xdr:graphicFrame>
      </mc:Choice>
      <mc:Fallback xmlns="">
        <xdr:sp macro="" textlink="">
          <xdr:nvSpPr>
            <xdr:cNvPr id="0" name=""/>
            <xdr:cNvSpPr>
              <a:spLocks noTextEdit="1"/>
            </xdr:cNvSpPr>
          </xdr:nvSpPr>
          <xdr:spPr>
            <a:xfrm>
              <a:off x="25620117" y="247743"/>
              <a:ext cx="3003323" cy="386234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2503079</xdr:colOff>
      <xdr:row>18</xdr:row>
      <xdr:rowOff>45720</xdr:rowOff>
    </xdr:from>
    <xdr:to>
      <xdr:col>24</xdr:col>
      <xdr:colOff>81765</xdr:colOff>
      <xdr:row>29</xdr:row>
      <xdr:rowOff>110671</xdr:rowOff>
    </xdr:to>
    <mc:AlternateContent xmlns:mc="http://schemas.openxmlformats.org/markup-compatibility/2006" xmlns:a14="http://schemas.microsoft.com/office/drawing/2010/main">
      <mc:Choice Requires="a14">
        <xdr:graphicFrame macro="">
          <xdr:nvGraphicFramePr>
            <xdr:cNvPr id="5" name="AHD_eligible_category&#10; 1">
              <a:extLst>
                <a:ext uri="{FF2B5EF4-FFF2-40B4-BE49-F238E27FC236}">
                  <a16:creationId xmlns:a16="http://schemas.microsoft.com/office/drawing/2014/main" id="{BF7A4332-6599-BDF9-75FA-3ADC6BC8822B}"/>
                </a:ext>
              </a:extLst>
            </xdr:cNvPr>
            <xdr:cNvGraphicFramePr/>
          </xdr:nvGraphicFramePr>
          <xdr:xfrm>
            <a:off x="0" y="0"/>
            <a:ext cx="0" cy="0"/>
          </xdr:xfrm>
          <a:graphic>
            <a:graphicData uri="http://schemas.microsoft.com/office/drawing/2010/slicer">
              <sle:slicer xmlns:sle="http://schemas.microsoft.com/office/drawing/2010/slicer" name="AHD_eligible_category&#10; 1"/>
            </a:graphicData>
          </a:graphic>
        </xdr:graphicFrame>
      </mc:Choice>
      <mc:Fallback xmlns="">
        <xdr:sp macro="" textlink="">
          <xdr:nvSpPr>
            <xdr:cNvPr id="0" name=""/>
            <xdr:cNvSpPr>
              <a:spLocks noTextEdit="1"/>
            </xdr:cNvSpPr>
          </xdr:nvSpPr>
          <xdr:spPr>
            <a:xfrm>
              <a:off x="21291036" y="3282950"/>
              <a:ext cx="3394863" cy="201355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746398</xdr:colOff>
      <xdr:row>25</xdr:row>
      <xdr:rowOff>34474</xdr:rowOff>
    </xdr:from>
    <xdr:to>
      <xdr:col>10</xdr:col>
      <xdr:colOff>809625</xdr:colOff>
      <xdr:row>64</xdr:row>
      <xdr:rowOff>111125</xdr:rowOff>
    </xdr:to>
    <xdr:graphicFrame macro="">
      <xdr:nvGraphicFramePr>
        <xdr:cNvPr id="4" name="Chart 5">
          <a:extLst>
            <a:ext uri="{FF2B5EF4-FFF2-40B4-BE49-F238E27FC236}">
              <a16:creationId xmlns:a16="http://schemas.microsoft.com/office/drawing/2014/main" id="{65704842-E358-A0C5-24E8-1D2878FF022F}"/>
            </a:ext>
            <a:ext uri="{147F2762-F138-4A5C-976F-8EAC2B608ADB}">
              <a16:predDERef xmlns:a16="http://schemas.microsoft.com/office/drawing/2014/main" pred="{BF7A4332-6599-BDF9-75FA-3ADC6BC882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426083</xdr:colOff>
      <xdr:row>25</xdr:row>
      <xdr:rowOff>60780</xdr:rowOff>
    </xdr:from>
    <xdr:to>
      <xdr:col>18</xdr:col>
      <xdr:colOff>1333501</xdr:colOff>
      <xdr:row>66</xdr:row>
      <xdr:rowOff>127000</xdr:rowOff>
    </xdr:to>
    <xdr:graphicFrame macro="">
      <xdr:nvGraphicFramePr>
        <xdr:cNvPr id="3" name="Chart 6">
          <a:extLst>
            <a:ext uri="{FF2B5EF4-FFF2-40B4-BE49-F238E27FC236}">
              <a16:creationId xmlns:a16="http://schemas.microsoft.com/office/drawing/2014/main" id="{3F81E0EB-43EB-B781-335A-0120BBF9C600}"/>
            </a:ext>
            <a:ext uri="{147F2762-F138-4A5C-976F-8EAC2B608ADB}">
              <a16:predDERef xmlns:a16="http://schemas.microsoft.com/office/drawing/2014/main" pred="{65704842-E358-A0C5-24E8-1D2878FF02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editAs="oneCell">
    <xdr:from>
      <xdr:col>14</xdr:col>
      <xdr:colOff>36738</xdr:colOff>
      <xdr:row>0</xdr:row>
      <xdr:rowOff>0</xdr:rowOff>
    </xdr:from>
    <xdr:to>
      <xdr:col>15</xdr:col>
      <xdr:colOff>803640</xdr:colOff>
      <xdr:row>14</xdr:row>
      <xdr:rowOff>149046</xdr:rowOff>
    </xdr:to>
    <mc:AlternateContent xmlns:mc="http://schemas.openxmlformats.org/markup-compatibility/2006" xmlns:a14="http://schemas.microsoft.com/office/drawing/2010/main">
      <mc:Choice Requires="a14">
        <xdr:graphicFrame macro="">
          <xdr:nvGraphicFramePr>
            <xdr:cNvPr id="2" name="Facility 5">
              <a:extLst>
                <a:ext uri="{FF2B5EF4-FFF2-40B4-BE49-F238E27FC236}">
                  <a16:creationId xmlns:a16="http://schemas.microsoft.com/office/drawing/2014/main" id="{165E4845-AA34-4FF3-B4F2-4B3E67A50A2B}"/>
                </a:ext>
              </a:extLst>
            </xdr:cNvPr>
            <xdr:cNvGraphicFramePr/>
          </xdr:nvGraphicFramePr>
          <xdr:xfrm>
            <a:off x="0" y="0"/>
            <a:ext cx="0" cy="0"/>
          </xdr:xfrm>
          <a:graphic>
            <a:graphicData uri="http://schemas.microsoft.com/office/drawing/2010/slicer">
              <sle:slicer xmlns:sle="http://schemas.microsoft.com/office/drawing/2010/slicer" name="Facility 5"/>
            </a:graphicData>
          </a:graphic>
        </xdr:graphicFrame>
      </mc:Choice>
      <mc:Fallback xmlns="">
        <xdr:sp macro="" textlink="">
          <xdr:nvSpPr>
            <xdr:cNvPr id="0" name=""/>
            <xdr:cNvSpPr>
              <a:spLocks noTextEdit="1"/>
            </xdr:cNvSpPr>
          </xdr:nvSpPr>
          <xdr:spPr>
            <a:xfrm>
              <a:off x="15222309" y="0"/>
              <a:ext cx="1904641" cy="266999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833305</xdr:colOff>
      <xdr:row>0</xdr:row>
      <xdr:rowOff>0</xdr:rowOff>
    </xdr:from>
    <xdr:to>
      <xdr:col>29</xdr:col>
      <xdr:colOff>117202</xdr:colOff>
      <xdr:row>14</xdr:row>
      <xdr:rowOff>78920</xdr:rowOff>
    </xdr:to>
    <mc:AlternateContent xmlns:mc="http://schemas.openxmlformats.org/markup-compatibility/2006" xmlns:a14="http://schemas.microsoft.com/office/drawing/2010/main">
      <mc:Choice Requires="a14">
        <xdr:graphicFrame macro="">
          <xdr:nvGraphicFramePr>
            <xdr:cNvPr id="3" name="AHD_eligible_category&#10; 5">
              <a:extLst>
                <a:ext uri="{FF2B5EF4-FFF2-40B4-BE49-F238E27FC236}">
                  <a16:creationId xmlns:a16="http://schemas.microsoft.com/office/drawing/2014/main" id="{1F8D955F-38A1-460D-80A2-9BDCFBD9F8DD}"/>
                </a:ext>
              </a:extLst>
            </xdr:cNvPr>
            <xdr:cNvGraphicFramePr/>
          </xdr:nvGraphicFramePr>
          <xdr:xfrm>
            <a:off x="0" y="0"/>
            <a:ext cx="0" cy="0"/>
          </xdr:xfrm>
          <a:graphic>
            <a:graphicData uri="http://schemas.microsoft.com/office/drawing/2010/slicer">
              <sle:slicer xmlns:sle="http://schemas.microsoft.com/office/drawing/2010/slicer" name="AHD_eligible_category&#10; 5"/>
            </a:graphicData>
          </a:graphic>
        </xdr:graphicFrame>
      </mc:Choice>
      <mc:Fallback xmlns="">
        <xdr:sp macro="" textlink="">
          <xdr:nvSpPr>
            <xdr:cNvPr id="0" name=""/>
            <xdr:cNvSpPr>
              <a:spLocks noTextEdit="1"/>
            </xdr:cNvSpPr>
          </xdr:nvSpPr>
          <xdr:spPr>
            <a:xfrm>
              <a:off x="12961804" y="0"/>
              <a:ext cx="1635757" cy="80463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15</xdr:row>
      <xdr:rowOff>66584</xdr:rowOff>
    </xdr:from>
    <xdr:to>
      <xdr:col>7</xdr:col>
      <xdr:colOff>680357</xdr:colOff>
      <xdr:row>43</xdr:row>
      <xdr:rowOff>27214</xdr:rowOff>
    </xdr:to>
    <xdr:graphicFrame macro="">
      <xdr:nvGraphicFramePr>
        <xdr:cNvPr id="11" name="Chart 3">
          <a:extLst>
            <a:ext uri="{FF2B5EF4-FFF2-40B4-BE49-F238E27FC236}">
              <a16:creationId xmlns:a16="http://schemas.microsoft.com/office/drawing/2014/main" id="{0D52F195-08F8-4367-94D3-5AA553984804}"/>
            </a:ext>
            <a:ext uri="{147F2762-F138-4A5C-976F-8EAC2B608ADB}">
              <a16:predDERef xmlns:a16="http://schemas.microsoft.com/office/drawing/2014/main" pred="{1F8D955F-38A1-460D-80A2-9BDCFBD9F8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1043122</xdr:colOff>
      <xdr:row>19</xdr:row>
      <xdr:rowOff>110670</xdr:rowOff>
    </xdr:from>
    <xdr:to>
      <xdr:col>14</xdr:col>
      <xdr:colOff>301171</xdr:colOff>
      <xdr:row>49</xdr:row>
      <xdr:rowOff>36284</xdr:rowOff>
    </xdr:to>
    <xdr:graphicFrame macro="">
      <xdr:nvGraphicFramePr>
        <xdr:cNvPr id="14" name="Chart 4">
          <a:extLst>
            <a:ext uri="{FF2B5EF4-FFF2-40B4-BE49-F238E27FC236}">
              <a16:creationId xmlns:a16="http://schemas.microsoft.com/office/drawing/2014/main" id="{7C990136-C2A0-4F46-A686-D45D68F852C8}"/>
            </a:ext>
            <a:ext uri="{147F2762-F138-4A5C-976F-8EAC2B608ADB}">
              <a16:predDERef xmlns:a16="http://schemas.microsoft.com/office/drawing/2014/main" pred="{0D52F195-08F8-4367-94D3-5AA5539848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editAs="oneCell">
    <xdr:from>
      <xdr:col>15</xdr:col>
      <xdr:colOff>215718</xdr:colOff>
      <xdr:row>2</xdr:row>
      <xdr:rowOff>44450</xdr:rowOff>
    </xdr:from>
    <xdr:to>
      <xdr:col>25</xdr:col>
      <xdr:colOff>3176</xdr:colOff>
      <xdr:row>35</xdr:row>
      <xdr:rowOff>41909</xdr:rowOff>
    </xdr:to>
    <mc:AlternateContent xmlns:mc="http://schemas.openxmlformats.org/markup-compatibility/2006" xmlns:a14="http://schemas.microsoft.com/office/drawing/2010/main">
      <mc:Choice Requires="a14">
        <xdr:graphicFrame macro="">
          <xdr:nvGraphicFramePr>
            <xdr:cNvPr id="2" name="Facility 4">
              <a:extLst>
                <a:ext uri="{FF2B5EF4-FFF2-40B4-BE49-F238E27FC236}">
                  <a16:creationId xmlns:a16="http://schemas.microsoft.com/office/drawing/2014/main" id="{4189D41A-FD59-4551-8F6E-F9969290A0D1}"/>
                </a:ext>
              </a:extLst>
            </xdr:cNvPr>
            <xdr:cNvGraphicFramePr/>
          </xdr:nvGraphicFramePr>
          <xdr:xfrm>
            <a:off x="0" y="0"/>
            <a:ext cx="0" cy="0"/>
          </xdr:xfrm>
          <a:graphic>
            <a:graphicData uri="http://schemas.microsoft.com/office/drawing/2010/slicer">
              <sle:slicer xmlns:sle="http://schemas.microsoft.com/office/drawing/2010/slicer" name="Facility 4"/>
            </a:graphicData>
          </a:graphic>
        </xdr:graphicFrame>
      </mc:Choice>
      <mc:Fallback xmlns="">
        <xdr:sp macro="" textlink="">
          <xdr:nvSpPr>
            <xdr:cNvPr id="0" name=""/>
            <xdr:cNvSpPr>
              <a:spLocks noTextEdit="1"/>
            </xdr:cNvSpPr>
          </xdr:nvSpPr>
          <xdr:spPr>
            <a:xfrm>
              <a:off x="12727759" y="403014"/>
              <a:ext cx="2020026" cy="384664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40820</xdr:colOff>
      <xdr:row>3</xdr:row>
      <xdr:rowOff>15572</xdr:rowOff>
    </xdr:from>
    <xdr:to>
      <xdr:col>41</xdr:col>
      <xdr:colOff>74083</xdr:colOff>
      <xdr:row>5</xdr:row>
      <xdr:rowOff>74084</xdr:rowOff>
    </xdr:to>
    <mc:AlternateContent xmlns:mc="http://schemas.openxmlformats.org/markup-compatibility/2006" xmlns:a14="http://schemas.microsoft.com/office/drawing/2010/main">
      <mc:Choice Requires="a14">
        <xdr:graphicFrame macro="">
          <xdr:nvGraphicFramePr>
            <xdr:cNvPr id="3" name="AHD_eligible_category&#10; 4">
              <a:extLst>
                <a:ext uri="{FF2B5EF4-FFF2-40B4-BE49-F238E27FC236}">
                  <a16:creationId xmlns:a16="http://schemas.microsoft.com/office/drawing/2014/main" id="{8B39AD9B-D2DD-4F1C-AB5F-2DA773754624}"/>
                </a:ext>
              </a:extLst>
            </xdr:cNvPr>
            <xdr:cNvGraphicFramePr/>
          </xdr:nvGraphicFramePr>
          <xdr:xfrm>
            <a:off x="0" y="0"/>
            <a:ext cx="0" cy="0"/>
          </xdr:xfrm>
          <a:graphic>
            <a:graphicData uri="http://schemas.microsoft.com/office/drawing/2010/slicer">
              <sle:slicer xmlns:sle="http://schemas.microsoft.com/office/drawing/2010/slicer" name="AHD_eligible_category&#10; 4"/>
            </a:graphicData>
          </a:graphic>
        </xdr:graphicFrame>
      </mc:Choice>
      <mc:Fallback xmlns="">
        <xdr:sp macro="" textlink="">
          <xdr:nvSpPr>
            <xdr:cNvPr id="0" name=""/>
            <xdr:cNvSpPr>
              <a:spLocks noTextEdit="1"/>
            </xdr:cNvSpPr>
          </xdr:nvSpPr>
          <xdr:spPr>
            <a:xfrm>
              <a:off x="16286237" y="552782"/>
              <a:ext cx="2668513" cy="42088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0</xdr:rowOff>
    </xdr:from>
    <xdr:to>
      <xdr:col>6</xdr:col>
      <xdr:colOff>1562100</xdr:colOff>
      <xdr:row>40</xdr:row>
      <xdr:rowOff>63500</xdr:rowOff>
    </xdr:to>
    <xdr:graphicFrame macro="">
      <xdr:nvGraphicFramePr>
        <xdr:cNvPr id="9" name="Chart 3">
          <a:extLst>
            <a:ext uri="{FF2B5EF4-FFF2-40B4-BE49-F238E27FC236}">
              <a16:creationId xmlns:a16="http://schemas.microsoft.com/office/drawing/2014/main" id="{92D13376-D514-463B-BB6F-1F8AABE07E2D}"/>
            </a:ext>
            <a:ext uri="{147F2762-F138-4A5C-976F-8EAC2B608ADB}">
              <a16:predDERef xmlns:a16="http://schemas.microsoft.com/office/drawing/2014/main" pred="{8B39AD9B-D2DD-4F1C-AB5F-2DA7737546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1626993</xdr:colOff>
      <xdr:row>0</xdr:row>
      <xdr:rowOff>0</xdr:rowOff>
    </xdr:from>
    <xdr:to>
      <xdr:col>14</xdr:col>
      <xdr:colOff>228600</xdr:colOff>
      <xdr:row>29</xdr:row>
      <xdr:rowOff>25400</xdr:rowOff>
    </xdr:to>
    <xdr:graphicFrame macro="">
      <xdr:nvGraphicFramePr>
        <xdr:cNvPr id="11" name="Chart 4">
          <a:extLst>
            <a:ext uri="{FF2B5EF4-FFF2-40B4-BE49-F238E27FC236}">
              <a16:creationId xmlns:a16="http://schemas.microsoft.com/office/drawing/2014/main" id="{94A17780-42ED-41FF-B6DC-0200E1FF3220}"/>
            </a:ext>
            <a:ext uri="{147F2762-F138-4A5C-976F-8EAC2B608ADB}">
              <a16:predDERef xmlns:a16="http://schemas.microsoft.com/office/drawing/2014/main" pred="{92D13376-D514-463B-BB6F-1F8AABE07E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editAs="oneCell">
    <xdr:from>
      <xdr:col>13</xdr:col>
      <xdr:colOff>1904</xdr:colOff>
      <xdr:row>5</xdr:row>
      <xdr:rowOff>21167</xdr:rowOff>
    </xdr:from>
    <xdr:to>
      <xdr:col>14</xdr:col>
      <xdr:colOff>803696</xdr:colOff>
      <xdr:row>28</xdr:row>
      <xdr:rowOff>117263</xdr:rowOff>
    </xdr:to>
    <mc:AlternateContent xmlns:mc="http://schemas.openxmlformats.org/markup-compatibility/2006" xmlns:a14="http://schemas.microsoft.com/office/drawing/2010/main">
      <mc:Choice Requires="a14">
        <xdr:graphicFrame macro="">
          <xdr:nvGraphicFramePr>
            <xdr:cNvPr id="12" name="Facility 3">
              <a:extLst>
                <a:ext uri="{FF2B5EF4-FFF2-40B4-BE49-F238E27FC236}">
                  <a16:creationId xmlns:a16="http://schemas.microsoft.com/office/drawing/2014/main" id="{845BB4E9-5A6C-4E95-ADFA-9D9323833818}"/>
                </a:ext>
              </a:extLst>
            </xdr:cNvPr>
            <xdr:cNvGraphicFramePr/>
          </xdr:nvGraphicFramePr>
          <xdr:xfrm>
            <a:off x="0" y="0"/>
            <a:ext cx="0" cy="0"/>
          </xdr:xfrm>
          <a:graphic>
            <a:graphicData uri="http://schemas.microsoft.com/office/drawing/2010/slicer">
              <sle:slicer xmlns:sle="http://schemas.microsoft.com/office/drawing/2010/slicer" name="Facility 3"/>
            </a:graphicData>
          </a:graphic>
        </xdr:graphicFrame>
      </mc:Choice>
      <mc:Fallback xmlns="">
        <xdr:sp macro="" textlink="">
          <xdr:nvSpPr>
            <xdr:cNvPr id="0" name=""/>
            <xdr:cNvSpPr>
              <a:spLocks noTextEdit="1"/>
            </xdr:cNvSpPr>
          </xdr:nvSpPr>
          <xdr:spPr>
            <a:xfrm>
              <a:off x="16607154" y="923290"/>
              <a:ext cx="1941829" cy="425196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117686</xdr:colOff>
      <xdr:row>0</xdr:row>
      <xdr:rowOff>1</xdr:rowOff>
    </xdr:from>
    <xdr:to>
      <xdr:col>30</xdr:col>
      <xdr:colOff>262895</xdr:colOff>
      <xdr:row>2</xdr:row>
      <xdr:rowOff>79588</xdr:rowOff>
    </xdr:to>
    <mc:AlternateContent xmlns:mc="http://schemas.openxmlformats.org/markup-compatibility/2006" xmlns:a14="http://schemas.microsoft.com/office/drawing/2010/main">
      <mc:Choice Requires="a14">
        <xdr:graphicFrame macro="">
          <xdr:nvGraphicFramePr>
            <xdr:cNvPr id="15" name="AHD_eligible_category&#10; 3">
              <a:extLst>
                <a:ext uri="{FF2B5EF4-FFF2-40B4-BE49-F238E27FC236}">
                  <a16:creationId xmlns:a16="http://schemas.microsoft.com/office/drawing/2014/main" id="{5AD9FB94-E988-4302-A07E-FD7B98921FA9}"/>
                </a:ext>
              </a:extLst>
            </xdr:cNvPr>
            <xdr:cNvGraphicFramePr/>
          </xdr:nvGraphicFramePr>
          <xdr:xfrm>
            <a:off x="0" y="0"/>
            <a:ext cx="0" cy="0"/>
          </xdr:xfrm>
          <a:graphic>
            <a:graphicData uri="http://schemas.microsoft.com/office/drawing/2010/slicer">
              <sle:slicer xmlns:sle="http://schemas.microsoft.com/office/drawing/2010/slicer" name="AHD_eligible_category&#10; 3"/>
            </a:graphicData>
          </a:graphic>
        </xdr:graphicFrame>
      </mc:Choice>
      <mc:Fallback xmlns="">
        <xdr:sp macro="" textlink="">
          <xdr:nvSpPr>
            <xdr:cNvPr id="0" name=""/>
            <xdr:cNvSpPr>
              <a:spLocks noTextEdit="1"/>
            </xdr:cNvSpPr>
          </xdr:nvSpPr>
          <xdr:spPr>
            <a:xfrm>
              <a:off x="13950103" y="0"/>
              <a:ext cx="2952750" cy="240495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44450</xdr:rowOff>
    </xdr:from>
    <xdr:to>
      <xdr:col>5</xdr:col>
      <xdr:colOff>1428750</xdr:colOff>
      <xdr:row>32</xdr:row>
      <xdr:rowOff>88900</xdr:rowOff>
    </xdr:to>
    <xdr:graphicFrame macro="">
      <xdr:nvGraphicFramePr>
        <xdr:cNvPr id="6" name="Chart 3">
          <a:extLst>
            <a:ext uri="{FF2B5EF4-FFF2-40B4-BE49-F238E27FC236}">
              <a16:creationId xmlns:a16="http://schemas.microsoft.com/office/drawing/2014/main" id="{7B894984-97CC-4CFB-8FCC-C9DC08AE3C30}"/>
            </a:ext>
            <a:ext uri="{147F2762-F138-4A5C-976F-8EAC2B608ADB}">
              <a16:predDERef xmlns:a16="http://schemas.microsoft.com/office/drawing/2014/main" pred="{5AD9FB94-E988-4302-A07E-FD7B98921F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1553000</xdr:colOff>
      <xdr:row>0</xdr:row>
      <xdr:rowOff>0</xdr:rowOff>
    </xdr:from>
    <xdr:to>
      <xdr:col>12</xdr:col>
      <xdr:colOff>65194</xdr:colOff>
      <xdr:row>32</xdr:row>
      <xdr:rowOff>76200</xdr:rowOff>
    </xdr:to>
    <xdr:graphicFrame macro="">
      <xdr:nvGraphicFramePr>
        <xdr:cNvPr id="8" name="Chart 4">
          <a:extLst>
            <a:ext uri="{FF2B5EF4-FFF2-40B4-BE49-F238E27FC236}">
              <a16:creationId xmlns:a16="http://schemas.microsoft.com/office/drawing/2014/main" id="{3AC33B0C-B74A-4C1C-B84B-36EB121290A9}"/>
            </a:ext>
            <a:ext uri="{147F2762-F138-4A5C-976F-8EAC2B608ADB}">
              <a16:predDERef xmlns:a16="http://schemas.microsoft.com/office/drawing/2014/main" pred="{7B894984-97CC-4CFB-8FCC-C9DC08AE3C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garet  Chirwa" id="{2CE21C69-8302-4D55-841E-2DDC63FB9DFB}" userId="mchirwa@lighthouse.org.mw" providerId="PeoplePicker"/>
  <person displayName="Maxson  Musama" id="{9D6D3C41-4C9D-40CE-8BC3-81116556C0F1}" userId="mmusama@lighthouse.org.mw" providerId="PeoplePicker"/>
  <person displayName="Luciano  Billion" id="{8B562D29-781F-401B-9952-B882AEE7C0B6}" userId="lbillion@lighthouse.org.mw" providerId="PeoplePicker"/>
  <person displayName="Layout  Gabriel" id="{15AA740D-B881-4696-863F-402724B61D4A}" userId="lgabriel@lighthouse.org.mw" providerId="PeoplePicker"/>
  <person displayName="Angelina  Nhlema" id="{7E424D32-04D4-4D08-B11F-094119994903}" userId="S::anhlema@lighthouse.org.mw::3f6e5fff-790d-490a-b0fe-8851ce713eb5"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gellina" refreshedDate="45852.618972453703" createdVersion="8" refreshedVersion="8" minRefreshableVersion="3" recordCount="2720" xr:uid="{5E1D5D24-97B4-49B8-A8DA-1561A6588920}">
  <cacheSource type="worksheet">
    <worksheetSource ref="A1:AM1048576" sheet="Dataset"/>
  </cacheSource>
  <cacheFields count="44">
    <cacheField name="Id" numFmtId="0">
      <sharedItems containsString="0" containsBlank="1" containsNumber="1" containsInteger="1" minValue="3" maxValue="1823"/>
    </cacheField>
    <cacheField name="Start time" numFmtId="0">
      <sharedItems containsNonDate="0" containsDate="1" containsString="0" containsBlank="1" minDate="2023-12-15T12:11:52" maxDate="2025-07-14T13:52:14"/>
    </cacheField>
    <cacheField name="Completion time" numFmtId="0">
      <sharedItems containsNonDate="0" containsDate="1" containsString="0" containsBlank="1" minDate="2023-12-15T12:16:35" maxDate="2025-07-14T13:53:41"/>
    </cacheField>
    <cacheField name="Email" numFmtId="0">
      <sharedItems containsBlank="1"/>
    </cacheField>
    <cacheField name="Name" numFmtId="0">
      <sharedItems containsBlank="1"/>
    </cacheField>
    <cacheField name="Facility" numFmtId="0">
      <sharedItems containsBlank="1" count="15">
        <s v="Area_18"/>
        <s v="Chileka"/>
        <s v="Chitedze"/>
        <s v="Kawale"/>
        <s v="KCH_OPD1"/>
        <s v="LH_KCH"/>
        <s v="Lumbadzi"/>
        <s v="Maula_prison"/>
        <s v="Mitundu"/>
        <s v="MPC_Bwaila"/>
        <s v="Nathenje"/>
        <s v="Rainbow_MCH"/>
        <s v="Tisungane_ZCH"/>
        <s v="UFC_Queens"/>
        <m/>
      </sharedItems>
    </cacheField>
    <cacheField name="Type of Facility_x000a_" numFmtId="0">
      <sharedItems containsBlank="1"/>
    </cacheField>
    <cacheField name="Reporting_year_x000a_" numFmtId="0">
      <sharedItems containsBlank="1" count="4">
        <s v="2023"/>
        <s v="2024"/>
        <s v="2025"/>
        <m/>
      </sharedItems>
    </cacheField>
    <cacheField name="COP_Year1" numFmtId="0">
      <sharedItems containsBlank="1"/>
    </cacheField>
    <cacheField name="COP_Year" numFmtId="0">
      <sharedItems containsBlank="1"/>
    </cacheField>
    <cacheField name="Reporting_Quarter_x000a_" numFmtId="0">
      <sharedItems containsBlank="1"/>
    </cacheField>
    <cacheField name="COP_Quarter1" numFmtId="0">
      <sharedItems containsBlank="1"/>
    </cacheField>
    <cacheField name="COP_Quarter" numFmtId="0">
      <sharedItems containsBlank="1"/>
    </cacheField>
    <cacheField name="Reporting_month_x000a_" numFmtId="0">
      <sharedItems containsBlank="1" count="14">
        <s v="Oct"/>
        <s v="Nov"/>
        <s v="Sep"/>
        <s v="Mar"/>
        <s v="Jan"/>
        <s v="Feb"/>
        <s v="May"/>
        <s v="Apr"/>
        <s v="Jun"/>
        <s v="Jul"/>
        <s v="Aug"/>
        <s v="Dec"/>
        <m/>
        <s v="                                                                                         "/>
      </sharedItems>
    </cacheField>
    <cacheField name="Startdate_x000a_" numFmtId="0">
      <sharedItems containsNonDate="0" containsDate="1" containsString="0" containsBlank="1" minDate="2023-08-01T00:00:00" maxDate="2025-11-02T00:00:00"/>
    </cacheField>
    <cacheField name="Enddate" numFmtId="0">
      <sharedItems containsNonDate="0" containsDate="1" containsString="0" containsBlank="1" minDate="2023-08-31T00:00:00" maxDate="2025-08-01T00:00:00"/>
    </cacheField>
    <cacheField name="AHD_eligible_category_x000a_" numFmtId="0">
      <sharedItems containsBlank="1" count="9">
        <s v="All_Categories(totals from page summeries)"/>
        <s v="New_HIV_pos"/>
        <s v="ART_interrupters(for &gt;2months)"/>
        <s v="Children(0-4yrs)"/>
        <s v="Pre_and_adolescents(5-14)"/>
        <s v="Unsuppressed_ROC"/>
        <s v="Inpatients(HIV_pos_admitted)"/>
        <m/>
        <s v="                                                                                         " u="1"/>
      </sharedItems>
    </cacheField>
    <cacheField name="Total_number_of_ROC_x000a_" numFmtId="0">
      <sharedItems containsBlank="1" containsMixedTypes="1" containsNumber="1" containsInteger="1" minValue="0" maxValue="557" count="194">
        <n v="35"/>
        <n v="55"/>
        <n v="30"/>
        <n v="53"/>
        <n v="48"/>
        <n v="44"/>
        <n v="70"/>
        <n v="56"/>
        <n v="45"/>
        <n v="25"/>
        <n v="51"/>
        <n v="50"/>
        <n v="62"/>
        <n v="52"/>
        <n v="58"/>
        <n v="66"/>
        <n v="21"/>
        <n v="23"/>
        <n v="1"/>
        <n v="43"/>
        <n v="2"/>
        <n v="0"/>
        <n v="123"/>
        <n v="13"/>
        <n v="120"/>
        <n v="9"/>
        <n v="22"/>
        <n v="113"/>
        <n v="31"/>
        <n v="12"/>
        <n v="3"/>
        <n v="7"/>
        <n v="42"/>
        <n v="4"/>
        <n v="29"/>
        <n v="67"/>
        <n v="11"/>
        <n v="6"/>
        <n v="36"/>
        <n v="8"/>
        <n v="37"/>
        <n v="34"/>
        <n v="14"/>
        <n v="32"/>
        <n v="16"/>
        <n v="88"/>
        <n v="64"/>
        <n v="74"/>
        <n v="54"/>
        <n v="10"/>
        <n v="46"/>
        <n v="17"/>
        <n v="24"/>
        <n v="20"/>
        <n v="5"/>
        <n v="41"/>
        <n v="28"/>
        <n v="15"/>
        <n v="38"/>
        <n v="26"/>
        <n v="18"/>
        <n v="19"/>
        <n v="27"/>
        <n v="47"/>
        <n v="39"/>
        <n v="40"/>
        <n v="82"/>
        <n v="60"/>
        <n v="61"/>
        <n v="77"/>
        <n v="81"/>
        <n v="171"/>
        <n v="288"/>
        <n v="157"/>
        <n v="107"/>
        <n v="183"/>
        <n v="152"/>
        <n v="121"/>
        <n v="89"/>
        <n v="111"/>
        <n v="153"/>
        <n v="33"/>
        <n v="165"/>
        <n v="127"/>
        <n v="90"/>
        <n v="119"/>
        <n v="99"/>
        <n v="167"/>
        <n v="136"/>
        <n v="203"/>
        <n v="100"/>
        <n v="168"/>
        <n v="103"/>
        <n v="162"/>
        <n v="105"/>
        <n v="140"/>
        <n v="96"/>
        <n v="156"/>
        <n v="72"/>
        <n v="129"/>
        <n v="73"/>
        <n v="80"/>
        <n v="148"/>
        <n v="142"/>
        <n v="78"/>
        <n v="161"/>
        <n v="197"/>
        <n v="114"/>
        <n v="57"/>
        <n v="108"/>
        <n v="139"/>
        <n v="76"/>
        <n v="84"/>
        <n v="219"/>
        <n v="213"/>
        <n v="242"/>
        <n v="163"/>
        <n v="138"/>
        <n v="92"/>
        <n v="155"/>
        <n v="144"/>
        <n v="134"/>
        <n v="98"/>
        <n v="49"/>
        <n v="93"/>
        <n v="141"/>
        <n v="117"/>
        <n v="177"/>
        <n v="149"/>
        <n v="106"/>
        <n v="87"/>
        <n v="71"/>
        <n v="116"/>
        <n v="110"/>
        <n v="115"/>
        <n v="79"/>
        <n v="59"/>
        <n v="158"/>
        <n v="181"/>
        <n v="175"/>
        <n v="159"/>
        <n v="146"/>
        <n v="131"/>
        <n v="185"/>
        <n v="68"/>
        <n v="130"/>
        <n v="147"/>
        <n v="124"/>
        <n v="137"/>
        <n v="188"/>
        <n v="182"/>
        <n v="207"/>
        <n v="195"/>
        <n v="145"/>
        <n v="63"/>
        <n v="102"/>
        <n v="186"/>
        <n v="104"/>
        <n v="239"/>
        <n v="255"/>
        <n v="212"/>
        <n v="206"/>
        <n v="228"/>
        <n v="94"/>
        <n v="331"/>
        <n v="538"/>
        <n v="97"/>
        <n v="333"/>
        <n v="198"/>
        <n v="214"/>
        <n v="95"/>
        <n v="289"/>
        <n v="315"/>
        <n v="187"/>
        <n v="170"/>
        <n v="453"/>
        <n v="143"/>
        <n v="377"/>
        <n v="557"/>
        <n v="91"/>
        <n v="196"/>
        <n v="118"/>
        <n v="69"/>
        <n v="101"/>
        <n v="440"/>
        <n v="86"/>
        <n v="478"/>
        <n v="135"/>
        <n v="247"/>
        <n v="429"/>
        <n v="528"/>
        <n v="471"/>
        <m/>
        <s v="   "/>
      </sharedItems>
    </cacheField>
    <cacheField name="Seriously_ill" numFmtId="0">
      <sharedItems containsBlank="1" containsMixedTypes="1" containsNumber="1" containsInteger="1" minValue="0" maxValue="216"/>
    </cacheField>
    <cacheField name="WHO_stage_1" numFmtId="0">
      <sharedItems containsString="0" containsBlank="1" containsNumber="1" containsInteger="1" minValue="0" maxValue="315"/>
    </cacheField>
    <cacheField name="WHO_stage_2" numFmtId="0">
      <sharedItems containsString="0" containsBlank="1" containsNumber="1" containsInteger="1" minValue="0" maxValue="116"/>
    </cacheField>
    <cacheField name="WHO_stage_3" numFmtId="0">
      <sharedItems containsString="0" containsBlank="1" containsNumber="1" containsInteger="1" minValue="0" maxValue="185"/>
    </cacheField>
    <cacheField name="WHO_stage_4" numFmtId="0">
      <sharedItems containsString="0" containsBlank="1" containsNumber="1" containsInteger="1" minValue="0" maxValue="118"/>
    </cacheField>
    <cacheField name="CD4_tests" numFmtId="0">
      <sharedItems containsString="0" containsBlank="1" containsNumber="1" containsInteger="1" minValue="0" maxValue="534"/>
    </cacheField>
    <cacheField name="CD4&lt;200" numFmtId="0">
      <sharedItems containsString="0" containsBlank="1" containsNumber="1" containsInteger="1" minValue="0" maxValue="168"/>
    </cacheField>
    <cacheField name="CrAg_tests" numFmtId="0">
      <sharedItems containsString="0" containsBlank="1" containsNumber="1" containsInteger="1" minValue="0" maxValue="284"/>
    </cacheField>
    <cacheField name="CrAg+" numFmtId="0">
      <sharedItems containsString="0" containsBlank="1" containsNumber="1" containsInteger="1" minValue="0" maxValue="18"/>
    </cacheField>
    <cacheField name="CSF_CrAg" numFmtId="0">
      <sharedItems containsString="0" containsBlank="1" containsNumber="1" containsInteger="1" minValue="0" maxValue="164"/>
    </cacheField>
    <cacheField name="CSF_CrAg+" numFmtId="0">
      <sharedItems containsString="0" containsBlank="1" containsNumber="1" containsInteger="1" minValue="0" maxValue="8"/>
    </cacheField>
    <cacheField name="LAM_tests" numFmtId="0">
      <sharedItems containsString="0" containsBlank="1" containsNumber="1" containsInteger="1" minValue="0" maxValue="174"/>
    </cacheField>
    <cacheField name="LAM+" numFmtId="0">
      <sharedItems containsString="0" containsBlank="1" containsNumber="1" containsInteger="1" minValue="0" maxValue="20"/>
    </cacheField>
    <cacheField name="Gene_Xpert_done" numFmtId="0">
      <sharedItems containsString="0" containsBlank="1" containsNumber="1" containsInteger="1" minValue="0" maxValue="153"/>
    </cacheField>
    <cacheField name="Gene_Xpert+" numFmtId="0">
      <sharedItems containsString="0" containsBlank="1" containsNumber="1" containsInteger="1" minValue="0" maxValue="9"/>
    </cacheField>
    <cacheField name="Chest_Xlay" numFmtId="0">
      <sharedItems containsString="0" containsBlank="1" containsNumber="1" containsInteger="1" minValue="0" maxValue="207"/>
    </cacheField>
    <cacheField name="Chest_Xlay_abnormal" numFmtId="0">
      <sharedItems containsString="0" containsBlank="1" containsNumber="1" containsInteger="1" minValue="0" maxValue="36"/>
    </cacheField>
    <cacheField name="FASH" numFmtId="0">
      <sharedItems containsString="0" containsBlank="1" containsNumber="1" containsInteger="1" minValue="0" maxValue="207"/>
    </cacheField>
    <cacheField name="FASH+" numFmtId="0">
      <sharedItems containsString="0" containsBlank="1" containsNumber="1" containsInteger="1" minValue="0" maxValue="22"/>
    </cacheField>
    <cacheField name="TX_TB" numFmtId="0">
      <sharedItems containsString="0" containsBlank="1" containsNumber="1" containsInteger="1" minValue="0" maxValue="27"/>
    </cacheField>
    <cacheField name="TX_CM" numFmtId="0">
      <sharedItems containsString="0" containsBlank="1" containsNumber="1" containsInteger="1" minValue="0" maxValue="20"/>
    </cacheField>
    <cacheField name="CD4&lt;200%" numFmtId="0" formula="'CD4&lt;200'/CD4_tests" databaseField="0"/>
    <cacheField name="CrAg+%" numFmtId="0" formula="'CrAg+'/CrAg_tests" databaseField="0"/>
    <cacheField name="LAM+%" numFmtId="0" formula="'LAM+'/LAM_tests" databaseField="0"/>
    <cacheField name="CD4_cov%" numFmtId="0" formula="CD4_tests/'Total_number_of_ROC_x000a_'" databaseField="0"/>
    <cacheField name="LAM_COV%" numFmtId="0" formula="LAM_tests/'Total_number_of_ROC_x000a_'" databaseField="0"/>
  </cacheFields>
  <extLst>
    <ext xmlns:x14="http://schemas.microsoft.com/office/spreadsheetml/2009/9/main" uri="{725AE2AE-9491-48be-B2B4-4EB974FC3084}">
      <x14:pivotCacheDefinition pivotCacheId="62096119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gellina" refreshedDate="45852.618974537036" createdVersion="8" refreshedVersion="8" minRefreshableVersion="3" recordCount="2720" xr:uid="{338EF968-1D52-424E-8C0F-DF07DB0F2C84}">
  <cacheSource type="worksheet">
    <worksheetSource ref="A1:AO1048576" sheet="Dataset"/>
  </cacheSource>
  <cacheFields count="46">
    <cacheField name="Id" numFmtId="0">
      <sharedItems containsString="0" containsBlank="1" containsNumber="1" containsInteger="1" minValue="3" maxValue="1823"/>
    </cacheField>
    <cacheField name="Start time" numFmtId="0">
      <sharedItems containsNonDate="0" containsDate="1" containsString="0" containsBlank="1" minDate="2023-12-15T12:11:52" maxDate="2025-07-14T13:52:14"/>
    </cacheField>
    <cacheField name="Completion time" numFmtId="0">
      <sharedItems containsNonDate="0" containsDate="1" containsString="0" containsBlank="1" minDate="2023-12-15T12:16:35" maxDate="2025-07-14T13:53:41"/>
    </cacheField>
    <cacheField name="Email" numFmtId="0">
      <sharedItems containsBlank="1"/>
    </cacheField>
    <cacheField name="Name" numFmtId="0">
      <sharedItems containsBlank="1"/>
    </cacheField>
    <cacheField name="Facility" numFmtId="0">
      <sharedItems containsBlank="1" count="15">
        <s v="Area_18"/>
        <s v="Chileka"/>
        <s v="Chitedze"/>
        <s v="Kawale"/>
        <s v="KCH_OPD1"/>
        <s v="LH_KCH"/>
        <s v="Lumbadzi"/>
        <s v="Maula_prison"/>
        <s v="Mitundu"/>
        <s v="MPC_Bwaila"/>
        <s v="Nathenje"/>
        <s v="Rainbow_MCH"/>
        <s v="Tisungane_ZCH"/>
        <s v="UFC_Queens"/>
        <m/>
      </sharedItems>
    </cacheField>
    <cacheField name="Type of Facility_x000a_" numFmtId="0">
      <sharedItems containsBlank="1"/>
    </cacheField>
    <cacheField name="Reporting_year_x000a_" numFmtId="0">
      <sharedItems containsBlank="1" count="4">
        <s v="2023"/>
        <s v="2024"/>
        <s v="2025"/>
        <m/>
      </sharedItems>
    </cacheField>
    <cacheField name="COP_Year1" numFmtId="0">
      <sharedItems containsBlank="1"/>
    </cacheField>
    <cacheField name="COP_Year" numFmtId="0">
      <sharedItems containsBlank="1" count="4">
        <s v="COP_23"/>
        <s v="COP_22"/>
        <s v="COP_24"/>
        <m/>
      </sharedItems>
    </cacheField>
    <cacheField name="Reporting_Quarter_x000a_" numFmtId="0">
      <sharedItems containsBlank="1" count="6">
        <s v="Quarter4"/>
        <s v="Quarter3"/>
        <s v="Quarter1"/>
        <s v="Quarter2"/>
        <m/>
        <s v="Quarter 3" u="1"/>
      </sharedItems>
    </cacheField>
    <cacheField name="COP_Quarter1" numFmtId="0">
      <sharedItems containsBlank="1"/>
    </cacheField>
    <cacheField name="COP_Quarter" numFmtId="0">
      <sharedItems containsBlank="1" count="5">
        <s v="Qtr_1"/>
        <s v="Qtr_4"/>
        <s v="Qtr_2"/>
        <s v="Qtr_3"/>
        <m/>
      </sharedItems>
    </cacheField>
    <cacheField name="Reporting_month_x000a_" numFmtId="0">
      <sharedItems containsBlank="1" count="14">
        <s v="Oct"/>
        <s v="Nov"/>
        <s v="Sep"/>
        <s v="Mar"/>
        <s v="Jan"/>
        <s v="Feb"/>
        <s v="May"/>
        <s v="Apr"/>
        <s v="Jun"/>
        <s v="Jul"/>
        <s v="Aug"/>
        <s v="Dec"/>
        <m/>
        <s v="                                                                                         "/>
      </sharedItems>
    </cacheField>
    <cacheField name="Startdate_x000a_" numFmtId="0">
      <sharedItems containsNonDate="0" containsDate="1" containsString="0" containsBlank="1" minDate="2023-08-01T00:00:00" maxDate="2025-11-02T00:00:00"/>
    </cacheField>
    <cacheField name="Enddate" numFmtId="0">
      <sharedItems containsNonDate="0" containsDate="1" containsString="0" containsBlank="1" minDate="2023-08-31T00:00:00" maxDate="2025-08-01T00:00:00"/>
    </cacheField>
    <cacheField name="AHD_eligible_category_x000a_" numFmtId="0">
      <sharedItems containsBlank="1" count="8">
        <s v="All_Categories(totals from page summeries)"/>
        <s v="New_HIV_pos"/>
        <s v="ART_interrupters(for &gt;2months)"/>
        <s v="Children(0-4yrs)"/>
        <s v="Pre_and_adolescents(5-14)"/>
        <s v="Unsuppressed_ROC"/>
        <s v="Inpatients(HIV_pos_admitted)"/>
        <m/>
      </sharedItems>
    </cacheField>
    <cacheField name="Total_number_of_ROC_x000a_" numFmtId="0">
      <sharedItems containsBlank="1" containsMixedTypes="1" containsNumber="1" containsInteger="1" minValue="0" maxValue="557"/>
    </cacheField>
    <cacheField name="Seriously_ill" numFmtId="0">
      <sharedItems containsBlank="1" containsMixedTypes="1" containsNumber="1" containsInteger="1" minValue="0" maxValue="216"/>
    </cacheField>
    <cacheField name="WHO_stage_1" numFmtId="0">
      <sharedItems containsString="0" containsBlank="1" containsNumber="1" containsInteger="1" minValue="0" maxValue="315"/>
    </cacheField>
    <cacheField name="WHO_stage_2" numFmtId="0">
      <sharedItems containsString="0" containsBlank="1" containsNumber="1" containsInteger="1" minValue="0" maxValue="116"/>
    </cacheField>
    <cacheField name="WHO_stage_3" numFmtId="0">
      <sharedItems containsString="0" containsBlank="1" containsNumber="1" containsInteger="1" minValue="0" maxValue="185"/>
    </cacheField>
    <cacheField name="WHO_stage_4" numFmtId="0">
      <sharedItems containsString="0" containsBlank="1" containsNumber="1" containsInteger="1" minValue="0" maxValue="118"/>
    </cacheField>
    <cacheField name="CD4_tests" numFmtId="0">
      <sharedItems containsString="0" containsBlank="1" containsNumber="1" containsInteger="1" minValue="0" maxValue="534"/>
    </cacheField>
    <cacheField name="CD4&lt;200" numFmtId="0">
      <sharedItems containsString="0" containsBlank="1" containsNumber="1" containsInteger="1" minValue="0" maxValue="168"/>
    </cacheField>
    <cacheField name="CrAg_tests" numFmtId="0">
      <sharedItems containsString="0" containsBlank="1" containsNumber="1" containsInteger="1" minValue="0" maxValue="284"/>
    </cacheField>
    <cacheField name="CrAg+" numFmtId="0">
      <sharedItems containsString="0" containsBlank="1" containsNumber="1" containsInteger="1" minValue="0" maxValue="18"/>
    </cacheField>
    <cacheField name="CSF_CrAg" numFmtId="0">
      <sharedItems containsString="0" containsBlank="1" containsNumber="1" containsInteger="1" minValue="0" maxValue="164"/>
    </cacheField>
    <cacheField name="CSF_CrAg+" numFmtId="0">
      <sharedItems containsString="0" containsBlank="1" containsNumber="1" containsInteger="1" minValue="0" maxValue="8"/>
    </cacheField>
    <cacheField name="LAM_tests" numFmtId="0">
      <sharedItems containsString="0" containsBlank="1" containsNumber="1" containsInteger="1" minValue="0" maxValue="174"/>
    </cacheField>
    <cacheField name="LAM+" numFmtId="0">
      <sharedItems containsString="0" containsBlank="1" containsNumber="1" containsInteger="1" minValue="0" maxValue="20"/>
    </cacheField>
    <cacheField name="Gene_Xpert_done" numFmtId="0">
      <sharedItems containsString="0" containsBlank="1" containsNumber="1" containsInteger="1" minValue="0" maxValue="153"/>
    </cacheField>
    <cacheField name="Gene_Xpert+" numFmtId="0">
      <sharedItems containsString="0" containsBlank="1" containsNumber="1" containsInteger="1" minValue="0" maxValue="9"/>
    </cacheField>
    <cacheField name="Chest_Xlay" numFmtId="0">
      <sharedItems containsString="0" containsBlank="1" containsNumber="1" containsInteger="1" minValue="0" maxValue="207"/>
    </cacheField>
    <cacheField name="Chest_Xlay_abnormal" numFmtId="0">
      <sharedItems containsString="0" containsBlank="1" containsNumber="1" containsInteger="1" minValue="0" maxValue="36"/>
    </cacheField>
    <cacheField name="FASH" numFmtId="0">
      <sharedItems containsString="0" containsBlank="1" containsNumber="1" containsInteger="1" minValue="0" maxValue="207"/>
    </cacheField>
    <cacheField name="FASH+" numFmtId="0">
      <sharedItems containsString="0" containsBlank="1" containsNumber="1" containsInteger="1" minValue="0" maxValue="22"/>
    </cacheField>
    <cacheField name="TX_TB" numFmtId="0">
      <sharedItems containsString="0" containsBlank="1" containsNumber="1" containsInteger="1" minValue="0" maxValue="27"/>
    </cacheField>
    <cacheField name="TX_CM" numFmtId="0">
      <sharedItems containsString="0" containsBlank="1" containsNumber="1" containsInteger="1" minValue="0" maxValue="20"/>
    </cacheField>
    <cacheField name="TX_Cryptococcemia" numFmtId="0">
      <sharedItems containsString="0" containsBlank="1" containsNumber="1" containsInteger="1" minValue="0" maxValue="10"/>
    </cacheField>
    <cacheField name="TX_KS" numFmtId="0">
      <sharedItems containsString="0" containsBlank="1" containsNumber="1" containsInteger="1" minValue="0" maxValue="29"/>
    </cacheField>
    <cacheField name="CD4%" numFmtId="0" formula="CD4_tests/'Total_number_of_ROC_x000a_'" databaseField="0"/>
    <cacheField name="LAM_cov%" numFmtId="0" formula="LAM_tests/'Total_number_of_ROC_x000a_'" databaseField="0"/>
    <cacheField name="LAM+%" numFmtId="0" formula="'LAM+'/LAM_tests" databaseField="0"/>
    <cacheField name="CrAG+%" numFmtId="0" formula="'CrAg+'/CrAg_tests" databaseField="0"/>
    <cacheField name="CD4_yield" numFmtId="0" formula="'CD4&lt;200'/CD4_tests" databaseField="0"/>
  </cacheFields>
  <extLst>
    <ext xmlns:x14="http://schemas.microsoft.com/office/spreadsheetml/2009/9/main" uri="{725AE2AE-9491-48be-B2B4-4EB974FC3084}">
      <x14:pivotCacheDefinition pivotCacheId="1500933230"/>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gellina" refreshedDate="45852.618977199076" createdVersion="8" refreshedVersion="8" minRefreshableVersion="3" recordCount="1648" xr:uid="{733ECE0F-2DB2-40F1-A5D3-AB7B2AC1E159}">
  <cacheSource type="worksheet">
    <worksheetSource name="OfficeForms.Table"/>
  </cacheSource>
  <cacheFields count="51">
    <cacheField name="Id" numFmtId="0">
      <sharedItems containsSemiMixedTypes="0" containsString="0" containsNumber="1" containsInteger="1" minValue="3" maxValue="1823"/>
    </cacheField>
    <cacheField name="Start time" numFmtId="164">
      <sharedItems containsNonDate="0" containsDate="1" containsString="0" containsBlank="1" minDate="2023-12-15T12:11:52" maxDate="2025-07-14T13:52:14"/>
    </cacheField>
    <cacheField name="Completion time" numFmtId="164">
      <sharedItems containsSemiMixedTypes="0" containsNonDate="0" containsDate="1" containsString="0" minDate="2023-12-15T12:16:35" maxDate="2025-07-14T13:53:41"/>
    </cacheField>
    <cacheField name="Email" numFmtId="0">
      <sharedItems/>
    </cacheField>
    <cacheField name="Name" numFmtId="0">
      <sharedItems/>
    </cacheField>
    <cacheField name="Facility" numFmtId="0">
      <sharedItems containsBlank="1" count="15">
        <s v="Area_18"/>
        <s v="Chileka"/>
        <s v="Chitedze"/>
        <s v="Kawale"/>
        <s v="KCH_OPD1"/>
        <s v="LH_KCH"/>
        <s v="Lumbadzi"/>
        <s v="Maula_prison"/>
        <s v="Mitundu"/>
        <s v="MPC_Bwaila"/>
        <s v="Nathenje"/>
        <s v="Rainbow_MCH"/>
        <s v="Tisungane_ZCH"/>
        <s v="UFC_Queens"/>
        <m u="1"/>
      </sharedItems>
    </cacheField>
    <cacheField name="Type of Facility_x000a_" numFmtId="0">
      <sharedItems/>
    </cacheField>
    <cacheField name="Reporting_year_x000a_" numFmtId="0">
      <sharedItems containsBlank="1" count="4">
        <s v="2023"/>
        <s v="2024"/>
        <s v="2025"/>
        <m u="1"/>
      </sharedItems>
    </cacheField>
    <cacheField name="COP_Year1" numFmtId="0">
      <sharedItems/>
    </cacheField>
    <cacheField name="COP_Year" numFmtId="0">
      <sharedItems containsBlank="1"/>
    </cacheField>
    <cacheField name="Reporting_Quarter_x000a_" numFmtId="0">
      <sharedItems containsBlank="1" count="6">
        <s v="Quarter4"/>
        <s v="Quarter3"/>
        <s v="Quarter1"/>
        <s v="Quarter2"/>
        <m u="1"/>
        <s v="Quarter 3" u="1"/>
      </sharedItems>
    </cacheField>
    <cacheField name="COP_Quarter1" numFmtId="49">
      <sharedItems/>
    </cacheField>
    <cacheField name="COP_Quarter" numFmtId="0">
      <sharedItems containsBlank="1"/>
    </cacheField>
    <cacheField name="Reporting_month_x000a_" numFmtId="0">
      <sharedItems/>
    </cacheField>
    <cacheField name="Startdate_x000a_" numFmtId="14">
      <sharedItems containsNonDate="0" containsDate="1" containsString="0" containsBlank="1" minDate="2023-08-01T00:00:00" maxDate="2025-11-02T00:00:00"/>
    </cacheField>
    <cacheField name="Enddate" numFmtId="14">
      <sharedItems containsNonDate="0" containsDate="1" containsString="0" containsBlank="1" minDate="2023-08-31T00:00:00" maxDate="2025-08-01T00:00:00"/>
    </cacheField>
    <cacheField name="AHD_eligible_category_x000a_" numFmtId="0">
      <sharedItems containsBlank="1" count="8">
        <s v="All_Categories(totals from page summeries)"/>
        <s v="New_HIV_pos"/>
        <s v="ART_interrupters(for &gt;2months)"/>
        <s v="Children(0-4yrs)"/>
        <s v="Pre_and_adolescents(5-14)"/>
        <s v="Unsuppressed_ROC"/>
        <s v="Inpatients(HIV_pos_admitted)"/>
        <m u="1"/>
      </sharedItems>
    </cacheField>
    <cacheField name="Total_number_of_ROC_x000a_" numFmtId="0">
      <sharedItems containsSemiMixedTypes="0" containsString="0" containsNumber="1" containsInteger="1" minValue="0" maxValue="557"/>
    </cacheField>
    <cacheField name="Seriously_ill" numFmtId="0">
      <sharedItems containsBlank="1" containsMixedTypes="1" containsNumber="1" containsInteger="1" minValue="0" maxValue="216"/>
    </cacheField>
    <cacheField name="WHO_stage_1" numFmtId="0">
      <sharedItems containsSemiMixedTypes="0" containsString="0" containsNumber="1" containsInteger="1" minValue="0" maxValue="315"/>
    </cacheField>
    <cacheField name="WHO_stage_2" numFmtId="0">
      <sharedItems containsSemiMixedTypes="0" containsString="0" containsNumber="1" containsInteger="1" minValue="0" maxValue="116"/>
    </cacheField>
    <cacheField name="WHO_stage_3" numFmtId="0">
      <sharedItems containsSemiMixedTypes="0" containsString="0" containsNumber="1" containsInteger="1" minValue="0" maxValue="185"/>
    </cacheField>
    <cacheField name="WHO_stage_4" numFmtId="0">
      <sharedItems containsSemiMixedTypes="0" containsString="0" containsNumber="1" containsInteger="1" minValue="0" maxValue="118"/>
    </cacheField>
    <cacheField name="CD4_tests" numFmtId="0">
      <sharedItems containsSemiMixedTypes="0" containsString="0" containsNumber="1" containsInteger="1" minValue="0" maxValue="534"/>
    </cacheField>
    <cacheField name="CD4&lt;200" numFmtId="0">
      <sharedItems containsSemiMixedTypes="0" containsString="0" containsNumber="1" containsInteger="1" minValue="0" maxValue="168"/>
    </cacheField>
    <cacheField name="CrAg_tests" numFmtId="0">
      <sharedItems containsSemiMixedTypes="0" containsString="0" containsNumber="1" containsInteger="1" minValue="0" maxValue="284"/>
    </cacheField>
    <cacheField name="CrAg+" numFmtId="0">
      <sharedItems containsSemiMixedTypes="0" containsString="0" containsNumber="1" containsInteger="1" minValue="0" maxValue="18"/>
    </cacheField>
    <cacheField name="CSF_CrAg" numFmtId="0">
      <sharedItems containsSemiMixedTypes="0" containsString="0" containsNumber="1" containsInteger="1" minValue="0" maxValue="164"/>
    </cacheField>
    <cacheField name="CSF_CrAg+" numFmtId="0">
      <sharedItems containsSemiMixedTypes="0" containsString="0" containsNumber="1" containsInteger="1" minValue="0" maxValue="8"/>
    </cacheField>
    <cacheField name="LAM_tests" numFmtId="0">
      <sharedItems containsSemiMixedTypes="0" containsString="0" containsNumber="1" containsInteger="1" minValue="0" maxValue="174"/>
    </cacheField>
    <cacheField name="LAM+" numFmtId="0">
      <sharedItems containsSemiMixedTypes="0" containsString="0" containsNumber="1" containsInteger="1" minValue="0" maxValue="20"/>
    </cacheField>
    <cacheField name="Gene_Xpert_done" numFmtId="0">
      <sharedItems containsSemiMixedTypes="0" containsString="0" containsNumber="1" containsInteger="1" minValue="0" maxValue="153"/>
    </cacheField>
    <cacheField name="Gene_Xpert+" numFmtId="0">
      <sharedItems containsSemiMixedTypes="0" containsString="0" containsNumber="1" containsInteger="1" minValue="0" maxValue="9"/>
    </cacheField>
    <cacheField name="Chest_Xlay" numFmtId="0">
      <sharedItems containsSemiMixedTypes="0" containsString="0" containsNumber="1" containsInteger="1" minValue="0" maxValue="207"/>
    </cacheField>
    <cacheField name="Chest_Xlay_abnormal" numFmtId="0">
      <sharedItems containsSemiMixedTypes="0" containsString="0" containsNumber="1" containsInteger="1" minValue="0" maxValue="36"/>
    </cacheField>
    <cacheField name="FASH" numFmtId="0">
      <sharedItems containsSemiMixedTypes="0" containsString="0" containsNumber="1" containsInteger="1" minValue="0" maxValue="207"/>
    </cacheField>
    <cacheField name="FASH+" numFmtId="0">
      <sharedItems containsSemiMixedTypes="0" containsString="0" containsNumber="1" containsInteger="1" minValue="0" maxValue="22"/>
    </cacheField>
    <cacheField name="TX_TB" numFmtId="0">
      <sharedItems containsSemiMixedTypes="0" containsString="0" containsNumber="1" containsInteger="1" minValue="0" maxValue="27"/>
    </cacheField>
    <cacheField name="TX_CM" numFmtId="0">
      <sharedItems containsSemiMixedTypes="0" containsString="0" containsNumber="1" containsInteger="1" minValue="0" maxValue="20"/>
    </cacheField>
    <cacheField name="TX_Cryptococcemia" numFmtId="0">
      <sharedItems containsSemiMixedTypes="0" containsString="0" containsNumber="1" containsInteger="1" minValue="0" maxValue="10"/>
    </cacheField>
    <cacheField name="TX_KS" numFmtId="0">
      <sharedItems containsSemiMixedTypes="0" containsString="0" containsNumber="1" containsInteger="1" minValue="0" maxValue="29"/>
    </cacheField>
    <cacheField name="Other_treatment" numFmtId="0">
      <sharedItems containsSemiMixedTypes="0" containsString="0" containsNumber="1" containsInteger="1" minValue="0" maxValue="518"/>
    </cacheField>
    <cacheField name="Column1" numFmtId="0">
      <sharedItems containsBlank="1"/>
    </cacheField>
    <cacheField name="%AHD_Coverage" numFmtId="0" formula="CD4_tests/'Total_number_of_ROC_x000a_'" databaseField="0"/>
    <cacheField name="%CD4_yield" numFmtId="0" formula="'CD4&lt;200'/CD4_tests" databaseField="0"/>
    <cacheField name="%AHD_yeild_LAM" numFmtId="0" formula="'LAM+'/LAM_tests" databaseField="0"/>
    <cacheField name="%AHD_Yeild_CrAG" numFmtId="0" formula="'CSF_CrAg+'/CSF_CrAg" databaseField="0"/>
    <cacheField name="%AHD_Yield_GnXprt" numFmtId="0" formula="'Gene_Xpert+'/Gene_Xpert_done" databaseField="0"/>
    <cacheField name="%AHD_Yield_" numFmtId="0" formula="Chest_Xlay_abnormal/Chest_Xlay" databaseField="0"/>
    <cacheField name="%AHD_Yield_FASH" numFmtId="0" formula="'FASH+'/FASH" databaseField="0"/>
    <cacheField name="Total" numFmtId="0" formula="WHO_stage_1+WHO_stage_2+WHO_stage_3+WHO_stage_4" databaseField="0"/>
  </cacheFields>
  <extLst>
    <ext xmlns:x14="http://schemas.microsoft.com/office/spreadsheetml/2009/9/main" uri="{725AE2AE-9491-48be-B2B4-4EB974FC3084}">
      <x14:pivotCacheDefinition pivotCacheId="1937108829"/>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gellina" refreshedDate="45852.6189787037" createdVersion="8" refreshedVersion="8" minRefreshableVersion="3" recordCount="2720" xr:uid="{66196C1C-8D50-445B-935E-78A0E7F476E4}">
  <cacheSource type="worksheet">
    <worksheetSource ref="A1:AQ1048576" sheet="Dataset"/>
  </cacheSource>
  <cacheFields count="43">
    <cacheField name="Id" numFmtId="0">
      <sharedItems containsString="0" containsBlank="1" containsNumber="1" containsInteger="1" minValue="3" maxValue="1823"/>
    </cacheField>
    <cacheField name="Start time" numFmtId="0">
      <sharedItems containsNonDate="0" containsDate="1" containsString="0" containsBlank="1" minDate="2023-12-15T12:11:52" maxDate="2025-07-14T13:52:14"/>
    </cacheField>
    <cacheField name="Completion time" numFmtId="0">
      <sharedItems containsNonDate="0" containsDate="1" containsString="0" containsBlank="1" minDate="2023-12-15T12:16:35" maxDate="2025-07-14T13:53:41"/>
    </cacheField>
    <cacheField name="Email" numFmtId="0">
      <sharedItems containsBlank="1"/>
    </cacheField>
    <cacheField name="Name" numFmtId="0">
      <sharedItems containsBlank="1"/>
    </cacheField>
    <cacheField name="Facility" numFmtId="0">
      <sharedItems containsBlank="1"/>
    </cacheField>
    <cacheField name="Type of Facility_x000a_" numFmtId="0">
      <sharedItems containsBlank="1"/>
    </cacheField>
    <cacheField name="Reporting_year_x000a_" numFmtId="0">
      <sharedItems containsBlank="1" count="4">
        <s v="2023"/>
        <s v="2024"/>
        <s v="2025"/>
        <m/>
      </sharedItems>
    </cacheField>
    <cacheField name="COP_Year1" numFmtId="0">
      <sharedItems containsBlank="1" count="6">
        <s v="COP_23"/>
        <s v="COP_22"/>
        <s v="COP_24"/>
        <m/>
        <s v="COP_25" u="1"/>
        <s v="COP_26" u="1"/>
      </sharedItems>
    </cacheField>
    <cacheField name="COP_Year" numFmtId="0">
      <sharedItems containsBlank="1"/>
    </cacheField>
    <cacheField name="Reporting_Quarter_x000a_" numFmtId="0">
      <sharedItems containsBlank="1"/>
    </cacheField>
    <cacheField name="COP_Quarter1" numFmtId="0">
      <sharedItems containsBlank="1" count="5">
        <s v="Quarter1"/>
        <s v="Quarter4"/>
        <s v="Quarter2"/>
        <s v="Quarter3"/>
        <m/>
      </sharedItems>
    </cacheField>
    <cacheField name="COP_Quarter" numFmtId="0">
      <sharedItems containsBlank="1"/>
    </cacheField>
    <cacheField name="Reporting_month_x000a_" numFmtId="0">
      <sharedItems containsBlank="1" count="14">
        <s v="Oct"/>
        <s v="Nov"/>
        <s v="Sep"/>
        <s v="Mar"/>
        <s v="Jan"/>
        <s v="Feb"/>
        <s v="May"/>
        <s v="Apr"/>
        <s v="Jun"/>
        <s v="Jul"/>
        <s v="Aug"/>
        <s v="Dec"/>
        <m/>
        <s v="                                                                                         "/>
      </sharedItems>
    </cacheField>
    <cacheField name="Startdate_x000a_" numFmtId="0">
      <sharedItems containsNonDate="0" containsDate="1" containsString="0" containsBlank="1" minDate="2023-08-01T00:00:00" maxDate="2025-11-02T00:00:00"/>
    </cacheField>
    <cacheField name="Enddate" numFmtId="0">
      <sharedItems containsNonDate="0" containsDate="1" containsString="0" containsBlank="1" minDate="2023-08-31T00:00:00" maxDate="2025-08-01T00:00:00"/>
    </cacheField>
    <cacheField name="AHD_eligible_category_x000a_" numFmtId="0">
      <sharedItems containsBlank="1" count="8">
        <s v="All_Categories(totals from page summeries)"/>
        <s v="New_HIV_pos"/>
        <s v="ART_interrupters(for &gt;2months)"/>
        <s v="Children(0-4yrs)"/>
        <s v="Pre_and_adolescents(5-14)"/>
        <s v="Unsuppressed_ROC"/>
        <s v="Inpatients(HIV_pos_admitted)"/>
        <m/>
      </sharedItems>
    </cacheField>
    <cacheField name="Total_number_of_ROC_x000a_" numFmtId="0">
      <sharedItems containsBlank="1" containsMixedTypes="1" containsNumber="1" containsInteger="1" minValue="0" maxValue="557"/>
    </cacheField>
    <cacheField name="Seriously_ill" numFmtId="0">
      <sharedItems containsBlank="1" containsMixedTypes="1" containsNumber="1" containsInteger="1" minValue="0" maxValue="216"/>
    </cacheField>
    <cacheField name="WHO_stage_1" numFmtId="0">
      <sharedItems containsString="0" containsBlank="1" containsNumber="1" containsInteger="1" minValue="0" maxValue="315"/>
    </cacheField>
    <cacheField name="WHO_stage_2" numFmtId="0">
      <sharedItems containsString="0" containsBlank="1" containsNumber="1" containsInteger="1" minValue="0" maxValue="116"/>
    </cacheField>
    <cacheField name="WHO_stage_3" numFmtId="0">
      <sharedItems containsString="0" containsBlank="1" containsNumber="1" containsInteger="1" minValue="0" maxValue="185"/>
    </cacheField>
    <cacheField name="WHO_stage_4" numFmtId="0">
      <sharedItems containsString="0" containsBlank="1" containsNumber="1" containsInteger="1" minValue="0" maxValue="118"/>
    </cacheField>
    <cacheField name="CD4_tests" numFmtId="0">
      <sharedItems containsString="0" containsBlank="1" containsNumber="1" containsInteger="1" minValue="0" maxValue="534"/>
    </cacheField>
    <cacheField name="CD4&lt;200" numFmtId="0">
      <sharedItems containsString="0" containsBlank="1" containsNumber="1" containsInteger="1" minValue="0" maxValue="168"/>
    </cacheField>
    <cacheField name="CrAg_tests" numFmtId="0">
      <sharedItems containsString="0" containsBlank="1" containsNumber="1" containsInteger="1" minValue="0" maxValue="284"/>
    </cacheField>
    <cacheField name="CrAg+" numFmtId="0">
      <sharedItems containsString="0" containsBlank="1" containsNumber="1" containsInteger="1" minValue="0" maxValue="18"/>
    </cacheField>
    <cacheField name="CSF_CrAg" numFmtId="0">
      <sharedItems containsString="0" containsBlank="1" containsNumber="1" containsInteger="1" minValue="0" maxValue="164"/>
    </cacheField>
    <cacheField name="CSF_CrAg+" numFmtId="0">
      <sharedItems containsString="0" containsBlank="1" containsNumber="1" containsInteger="1" minValue="0" maxValue="8"/>
    </cacheField>
    <cacheField name="LAM_tests" numFmtId="0">
      <sharedItems containsString="0" containsBlank="1" containsNumber="1" containsInteger="1" minValue="0" maxValue="174"/>
    </cacheField>
    <cacheField name="LAM+" numFmtId="0">
      <sharedItems containsString="0" containsBlank="1" containsNumber="1" containsInteger="1" minValue="0" maxValue="20"/>
    </cacheField>
    <cacheField name="Gene_Xpert_done" numFmtId="0">
      <sharedItems containsString="0" containsBlank="1" containsNumber="1" containsInteger="1" minValue="0" maxValue="153"/>
    </cacheField>
    <cacheField name="Gene_Xpert+" numFmtId="0">
      <sharedItems containsString="0" containsBlank="1" containsNumber="1" containsInteger="1" minValue="0" maxValue="9"/>
    </cacheField>
    <cacheField name="Chest_Xlay" numFmtId="0">
      <sharedItems containsString="0" containsBlank="1" containsNumber="1" containsInteger="1" minValue="0" maxValue="207"/>
    </cacheField>
    <cacheField name="Chest_Xlay_abnormal" numFmtId="0">
      <sharedItems containsString="0" containsBlank="1" containsNumber="1" containsInteger="1" minValue="0" maxValue="36"/>
    </cacheField>
    <cacheField name="FASH" numFmtId="0">
      <sharedItems containsString="0" containsBlank="1" containsNumber="1" containsInteger="1" minValue="0" maxValue="207"/>
    </cacheField>
    <cacheField name="FASH+" numFmtId="0">
      <sharedItems containsString="0" containsBlank="1" containsNumber="1" containsInteger="1" minValue="0" maxValue="22"/>
    </cacheField>
    <cacheField name="TX_TB" numFmtId="0">
      <sharedItems containsString="0" containsBlank="1" containsNumber="1" containsInteger="1" minValue="0" maxValue="27"/>
    </cacheField>
    <cacheField name="TX_CM" numFmtId="0">
      <sharedItems containsString="0" containsBlank="1" containsNumber="1" containsInteger="1" minValue="0" maxValue="20"/>
    </cacheField>
    <cacheField name="TX_Cryptococcemia" numFmtId="0">
      <sharedItems containsString="0" containsBlank="1" containsNumber="1" containsInteger="1" minValue="0" maxValue="10"/>
    </cacheField>
    <cacheField name="TX_KS" numFmtId="0">
      <sharedItems containsString="0" containsBlank="1" containsNumber="1" containsInteger="1" minValue="0" maxValue="29"/>
    </cacheField>
    <cacheField name="Other_treatment" numFmtId="0">
      <sharedItems containsString="0" containsBlank="1" containsNumber="1" containsInteger="1" minValue="0" maxValue="518"/>
    </cacheField>
    <cacheField name="Column1" numFmtId="0">
      <sharedItems containsBlank="1"/>
    </cacheField>
  </cacheFields>
  <extLst>
    <ext xmlns:x14="http://schemas.microsoft.com/office/spreadsheetml/2009/9/main" uri="{725AE2AE-9491-48be-B2B4-4EB974FC3084}">
      <x14:pivotCacheDefinition pivotCacheId="1664772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20">
  <r>
    <n v="5"/>
    <d v="2023-12-15T12:13:28"/>
    <d v="2023-12-15T12:31:37"/>
    <s v="mchirwa@lighthouse.org.mw"/>
    <s v="Margaret Chirwa"/>
    <x v="0"/>
    <s v="Prototype"/>
    <x v="0"/>
    <s v="COP_23"/>
    <s v="COP_23"/>
    <s v="Quarter4"/>
    <s v="Quarter1"/>
    <s v="Qtr_1"/>
    <x v="0"/>
    <d v="2023-10-01T00:00:00"/>
    <d v="2023-10-31T00:00:00"/>
    <x v="0"/>
    <x v="0"/>
    <n v="0"/>
    <n v="12"/>
    <n v="2"/>
    <n v="1"/>
    <n v="1"/>
    <n v="16"/>
    <n v="3"/>
    <n v="1"/>
    <n v="0"/>
    <n v="0"/>
    <n v="0"/>
    <n v="2"/>
    <n v="0"/>
    <n v="0"/>
    <n v="0"/>
    <n v="0"/>
    <n v="0"/>
    <n v="1"/>
    <n v="0"/>
    <n v="1"/>
    <n v="0"/>
  </r>
  <r>
    <n v="7"/>
    <d v="2023-12-15T12:31:51"/>
    <d v="2023-12-15T12:39:44"/>
    <s v="mchirwa@lighthouse.org.mw"/>
    <s v="Margaret Chirwa"/>
    <x v="0"/>
    <s v="Prototype"/>
    <x v="0"/>
    <s v="COP_23"/>
    <s v="COP_23"/>
    <s v="Quarter4"/>
    <s v="Quarter1"/>
    <s v="Qtr_1"/>
    <x v="1"/>
    <d v="2023-11-01T00:00:00"/>
    <d v="2023-11-30T00:00:00"/>
    <x v="0"/>
    <x v="1"/>
    <n v="0"/>
    <n v="38"/>
    <n v="1"/>
    <n v="1"/>
    <n v="1"/>
    <n v="41"/>
    <n v="7"/>
    <n v="6"/>
    <n v="0"/>
    <n v="0"/>
    <n v="0"/>
    <n v="1"/>
    <n v="0"/>
    <n v="0"/>
    <n v="0"/>
    <n v="0"/>
    <n v="0"/>
    <n v="0"/>
    <n v="0"/>
    <n v="0"/>
    <n v="0"/>
  </r>
  <r>
    <n v="8"/>
    <d v="2023-12-15T13:15:02"/>
    <d v="2023-12-15T13:15:53"/>
    <s v="mchirwa@lighthouse.org.mw"/>
    <s v="Margaret Chirwa"/>
    <x v="0"/>
    <s v="Prototype"/>
    <x v="0"/>
    <s v="COP_22"/>
    <s v="COP_22"/>
    <s v="Quarter3"/>
    <s v="Quarter4"/>
    <s v="Qtr_4"/>
    <x v="2"/>
    <d v="2023-09-01T00:00:00"/>
    <d v="2023-09-30T00:00:00"/>
    <x v="0"/>
    <x v="0"/>
    <n v="1"/>
    <n v="35"/>
    <n v="2"/>
    <n v="1"/>
    <n v="1"/>
    <n v="39"/>
    <n v="8"/>
    <n v="10"/>
    <n v="0"/>
    <n v="8"/>
    <n v="0"/>
    <n v="8"/>
    <n v="0"/>
    <n v="1"/>
    <n v="1"/>
    <n v="0"/>
    <n v="0"/>
    <n v="0"/>
    <n v="0"/>
    <n v="2"/>
    <n v="0"/>
  </r>
  <r>
    <n v="232"/>
    <d v="2024-04-09T13:21:04"/>
    <d v="2024-04-09T13:33:06"/>
    <s v="mchirwa@lighthouse.org.mw"/>
    <s v="Margaret Chirwa"/>
    <x v="0"/>
    <s v="Prototype"/>
    <x v="1"/>
    <s v="COP_23"/>
    <s v="COP_23"/>
    <s v="Quarter1"/>
    <s v="Quarter2"/>
    <s v="Qtr_2"/>
    <x v="3"/>
    <d v="2024-03-01T00:00:00"/>
    <d v="2024-03-31T00:00:00"/>
    <x v="1"/>
    <x v="2"/>
    <n v="0"/>
    <n v="17"/>
    <n v="0"/>
    <n v="1"/>
    <n v="0"/>
    <n v="3"/>
    <n v="0"/>
    <n v="1"/>
    <n v="0"/>
    <n v="0"/>
    <n v="0"/>
    <n v="1"/>
    <n v="1"/>
    <n v="0"/>
    <n v="0"/>
    <n v="0"/>
    <n v="0"/>
    <n v="0"/>
    <n v="0"/>
    <n v="1"/>
    <n v="0"/>
  </r>
  <r>
    <n v="280"/>
    <d v="2024-04-24T08:10:55"/>
    <d v="2024-04-24T08:31:59"/>
    <s v="mchirwa@lighthouse.org.mw"/>
    <s v="Margaret Chirwa"/>
    <x v="0"/>
    <s v="Prototype"/>
    <x v="1"/>
    <s v="COP_23"/>
    <s v="COP_23"/>
    <s v="Quarter1"/>
    <s v="Quarter2"/>
    <s v="Qtr_2"/>
    <x v="4"/>
    <d v="2024-01-01T00:00:00"/>
    <d v="2024-01-31T00:00:00"/>
    <x v="1"/>
    <x v="3"/>
    <n v="0"/>
    <n v="39"/>
    <n v="2"/>
    <n v="0"/>
    <n v="0"/>
    <n v="11"/>
    <n v="3"/>
    <n v="0"/>
    <n v="0"/>
    <n v="0"/>
    <n v="0"/>
    <n v="1"/>
    <n v="0"/>
    <n v="0"/>
    <n v="0"/>
    <n v="0"/>
    <n v="0"/>
    <n v="0"/>
    <n v="0"/>
    <n v="0"/>
    <n v="0"/>
  </r>
  <r>
    <n v="328"/>
    <d v="2024-04-30T08:55:55"/>
    <d v="2024-04-30T09:18:36"/>
    <s v="mchirwa@lighthouse.org.mw"/>
    <s v="Margaret Chirwa"/>
    <x v="0"/>
    <s v="Prototype"/>
    <x v="1"/>
    <s v="COP_23"/>
    <s v="COP_23"/>
    <s v="Quarter1"/>
    <s v="Quarter2"/>
    <s v="Qtr_2"/>
    <x v="5"/>
    <d v="2024-02-01T00:00:00"/>
    <d v="2024-02-29T00:00:00"/>
    <x v="1"/>
    <x v="4"/>
    <n v="0"/>
    <n v="47"/>
    <n v="24"/>
    <n v="0"/>
    <n v="0"/>
    <n v="24"/>
    <n v="3"/>
    <n v="2"/>
    <n v="0"/>
    <n v="0"/>
    <n v="0"/>
    <n v="2"/>
    <n v="0"/>
    <n v="0"/>
    <n v="0"/>
    <n v="0"/>
    <n v="0"/>
    <n v="0"/>
    <n v="0"/>
    <n v="0"/>
    <n v="0"/>
  </r>
  <r>
    <n v="599"/>
    <d v="2024-07-12T08:34:30"/>
    <d v="2024-07-12T09:07:02"/>
    <s v="mchirwa@lighthouse.org.mw"/>
    <s v="Margaret Chirwa"/>
    <x v="0"/>
    <s v="Prototype"/>
    <x v="1"/>
    <s v="COP_23"/>
    <s v="COP_23"/>
    <s v="Quarter2"/>
    <s v="Quarter3"/>
    <s v="Qtr_3"/>
    <x v="6"/>
    <d v="2024-05-01T00:00:00"/>
    <d v="2024-05-31T00:00:00"/>
    <x v="1"/>
    <x v="5"/>
    <n v="0"/>
    <n v="37"/>
    <n v="0"/>
    <n v="0"/>
    <n v="0"/>
    <n v="18"/>
    <n v="0"/>
    <n v="0"/>
    <n v="0"/>
    <n v="0"/>
    <n v="0"/>
    <n v="0"/>
    <n v="0"/>
    <n v="0"/>
    <n v="0"/>
    <n v="0"/>
    <n v="0"/>
    <n v="0"/>
    <n v="0"/>
    <n v="0"/>
    <n v="0"/>
  </r>
  <r>
    <n v="606"/>
    <d v="2024-07-12T09:24:45"/>
    <d v="2024-07-12T09:27:40"/>
    <s v="mchirwa@lighthouse.org.mw"/>
    <s v="Margaret Chirwa"/>
    <x v="0"/>
    <s v="Prototype"/>
    <x v="1"/>
    <s v="COP_23"/>
    <s v="COP_23"/>
    <s v="Quarter2"/>
    <s v="Quarter3"/>
    <s v="Qtr_3"/>
    <x v="7"/>
    <d v="2024-04-01T00:00:00"/>
    <d v="2024-04-30T00:00:00"/>
    <x v="1"/>
    <x v="6"/>
    <n v="0"/>
    <n v="57"/>
    <n v="0"/>
    <n v="0"/>
    <n v="0"/>
    <n v="29"/>
    <n v="9"/>
    <n v="9"/>
    <n v="0"/>
    <n v="0"/>
    <n v="0"/>
    <n v="0"/>
    <n v="0"/>
    <n v="0"/>
    <n v="0"/>
    <n v="0"/>
    <n v="0"/>
    <n v="0"/>
    <n v="0"/>
    <n v="0"/>
    <n v="0"/>
  </r>
  <r>
    <n v="709"/>
    <d v="2024-08-05T13:37:37"/>
    <d v="2024-08-05T13:42:43"/>
    <s v="mchirwa@lighthouse.org.mw"/>
    <s v="Margaret Chirwa"/>
    <x v="0"/>
    <s v="Prototype"/>
    <x v="1"/>
    <s v="COP_23"/>
    <s v="COP_23"/>
    <s v="Quarter2"/>
    <s v="Quarter3"/>
    <s v="Qtr_3"/>
    <x v="8"/>
    <d v="2024-06-01T00:00:00"/>
    <d v="2024-06-30T00:00:00"/>
    <x v="1"/>
    <x v="2"/>
    <n v="0"/>
    <n v="27"/>
    <n v="2"/>
    <n v="0"/>
    <n v="0"/>
    <n v="27"/>
    <n v="3"/>
    <n v="3"/>
    <n v="0"/>
    <n v="0"/>
    <n v="0"/>
    <n v="1"/>
    <n v="0"/>
    <n v="0"/>
    <n v="0"/>
    <n v="0"/>
    <n v="0"/>
    <n v="0"/>
    <n v="0"/>
    <n v="0"/>
    <n v="0"/>
  </r>
  <r>
    <n v="926"/>
    <d v="2024-10-16T09:49:01"/>
    <d v="2024-10-16T09:53:51"/>
    <s v="mchirwa@lighthouse.org.mw"/>
    <s v="Margaret Chirwa"/>
    <x v="0"/>
    <s v="Prototype"/>
    <x v="1"/>
    <s v="COP_23"/>
    <s v="COP_23"/>
    <s v="Quarter3"/>
    <s v="Quarter4"/>
    <s v="Qtr_4"/>
    <x v="9"/>
    <d v="2024-07-01T00:00:00"/>
    <d v="2024-08-31T00:00:00"/>
    <x v="1"/>
    <x v="7"/>
    <n v="1"/>
    <n v="46"/>
    <n v="2"/>
    <n v="1"/>
    <n v="0"/>
    <n v="35"/>
    <n v="2"/>
    <n v="3"/>
    <n v="0"/>
    <n v="0"/>
    <n v="0"/>
    <n v="1"/>
    <n v="0"/>
    <n v="1"/>
    <n v="0"/>
    <n v="0"/>
    <n v="0"/>
    <n v="0"/>
    <n v="0"/>
    <n v="0"/>
    <n v="0"/>
  </r>
  <r>
    <n v="933"/>
    <d v="2024-10-16T10:06:15"/>
    <d v="2024-10-16T10:08:19"/>
    <s v="mchirwa@lighthouse.org.mw"/>
    <s v="Margaret Chirwa"/>
    <x v="0"/>
    <s v="Prototype"/>
    <x v="1"/>
    <s v="COP_23"/>
    <s v="COP_23"/>
    <s v="Quarter3"/>
    <s v="Quarter4"/>
    <s v="Qtr_4"/>
    <x v="10"/>
    <d v="2024-08-01T00:00:00"/>
    <d v="2024-08-31T00:00:00"/>
    <x v="1"/>
    <x v="8"/>
    <n v="0"/>
    <n v="41"/>
    <n v="0"/>
    <n v="0"/>
    <n v="1"/>
    <n v="38"/>
    <n v="9"/>
    <n v="5"/>
    <n v="0"/>
    <n v="0"/>
    <n v="0"/>
    <n v="1"/>
    <n v="0"/>
    <n v="0"/>
    <n v="0"/>
    <n v="0"/>
    <n v="0"/>
    <n v="0"/>
    <n v="0"/>
    <n v="0"/>
    <n v="0"/>
  </r>
  <r>
    <n v="64"/>
    <d v="2024-01-10T09:05:40"/>
    <d v="2024-01-10T09:20:16"/>
    <s v="mchirwa@lighthouse.org.mw"/>
    <s v="Margaret Chirwa"/>
    <x v="0"/>
    <s v="Prototype"/>
    <x v="0"/>
    <s v="COP_23"/>
    <s v="COP_23"/>
    <s v="Quarter4"/>
    <s v="Quarter1"/>
    <s v="Qtr_1"/>
    <x v="11"/>
    <d v="2023-12-01T00:00:00"/>
    <d v="2023-12-31T00:00:00"/>
    <x v="0"/>
    <x v="9"/>
    <n v="1"/>
    <n v="23"/>
    <n v="0"/>
    <n v="0"/>
    <n v="2"/>
    <n v="21"/>
    <n v="1"/>
    <n v="1"/>
    <n v="0"/>
    <n v="0"/>
    <n v="0"/>
    <n v="1"/>
    <n v="1"/>
    <n v="0"/>
    <n v="0"/>
    <n v="0"/>
    <n v="0"/>
    <n v="0"/>
    <n v="0"/>
    <n v="1"/>
    <n v="0"/>
  </r>
  <r>
    <n v="332"/>
    <d v="2024-04-30T10:35:18"/>
    <d v="2024-04-30T10:44:18"/>
    <s v="mchirwa@lighthouse.org.mw"/>
    <s v="Margaret Chirwa"/>
    <x v="0"/>
    <s v="Prototype"/>
    <x v="1"/>
    <s v="COP_23"/>
    <s v="COP_23"/>
    <s v="Quarter1"/>
    <s v="Quarter2"/>
    <s v="Qtr_2"/>
    <x v="5"/>
    <d v="2024-02-01T00:00:00"/>
    <d v="2024-02-29T00:00:00"/>
    <x v="2"/>
    <x v="3"/>
    <n v="2"/>
    <n v="0"/>
    <n v="1"/>
    <n v="0"/>
    <n v="1"/>
    <n v="0"/>
    <n v="0"/>
    <n v="1"/>
    <n v="0"/>
    <n v="0"/>
    <n v="0"/>
    <n v="1"/>
    <n v="1"/>
    <n v="0"/>
    <n v="0"/>
    <n v="0"/>
    <n v="0"/>
    <n v="0"/>
    <n v="0"/>
    <n v="1"/>
    <n v="0"/>
  </r>
  <r>
    <n v="335"/>
    <d v="2024-04-30T10:56:07"/>
    <d v="2024-04-30T10:57:28"/>
    <s v="mchirwa@lighthouse.org.mw"/>
    <s v="Margaret Chirwa"/>
    <x v="0"/>
    <s v="Prototype"/>
    <x v="1"/>
    <s v="COP_23"/>
    <s v="COP_23"/>
    <s v="Quarter1"/>
    <s v="Quarter2"/>
    <s v="Qtr_2"/>
    <x v="4"/>
    <d v="2024-01-01T00:00:00"/>
    <d v="2024-01-31T00:00:00"/>
    <x v="2"/>
    <x v="10"/>
    <n v="0"/>
    <n v="0"/>
    <n v="0"/>
    <n v="0"/>
    <n v="0"/>
    <n v="0"/>
    <n v="0"/>
    <n v="0"/>
    <n v="0"/>
    <n v="0"/>
    <n v="0"/>
    <n v="0"/>
    <n v="0"/>
    <n v="0"/>
    <n v="0"/>
    <n v="0"/>
    <n v="0"/>
    <n v="0"/>
    <n v="0"/>
    <n v="0"/>
    <n v="0"/>
  </r>
  <r>
    <n v="342"/>
    <d v="2024-04-30T11:34:52"/>
    <d v="2024-04-30T11:36:07"/>
    <s v="mchirwa@lighthouse.org.mw"/>
    <s v="Margaret Chirwa"/>
    <x v="0"/>
    <s v="Prototype"/>
    <x v="1"/>
    <s v="COP_23"/>
    <s v="COP_23"/>
    <s v="Quarter1"/>
    <s v="Quarter2"/>
    <s v="Qtr_2"/>
    <x v="3"/>
    <d v="2024-03-01T00:00:00"/>
    <d v="2024-03-31T00:00:00"/>
    <x v="2"/>
    <x v="11"/>
    <n v="1"/>
    <n v="4"/>
    <n v="0"/>
    <n v="0"/>
    <n v="0"/>
    <n v="0"/>
    <n v="0"/>
    <n v="1"/>
    <n v="0"/>
    <n v="0"/>
    <n v="0"/>
    <n v="1"/>
    <n v="0"/>
    <n v="0"/>
    <n v="0"/>
    <n v="0"/>
    <n v="0"/>
    <n v="0"/>
    <n v="0"/>
    <n v="0"/>
    <n v="0"/>
  </r>
  <r>
    <n v="594"/>
    <d v="2024-07-11T10:21:59"/>
    <d v="2024-07-11T10:23:33"/>
    <s v="mchirwa@lighthouse.org.mw"/>
    <s v="Margaret Chirwa"/>
    <x v="0"/>
    <s v="Prototype"/>
    <x v="1"/>
    <s v="COP_23"/>
    <s v="COP_23"/>
    <s v="Quarter2"/>
    <s v="Quarter3"/>
    <s v="Qtr_3"/>
    <x v="8"/>
    <d v="2024-06-01T00:00:00"/>
    <d v="2024-06-30T00:00:00"/>
    <x v="2"/>
    <x v="12"/>
    <n v="0"/>
    <n v="1"/>
    <n v="1"/>
    <n v="0"/>
    <n v="0"/>
    <n v="2"/>
    <n v="1"/>
    <n v="1"/>
    <n v="0"/>
    <n v="0"/>
    <n v="0"/>
    <n v="0"/>
    <n v="0"/>
    <n v="0"/>
    <n v="0"/>
    <n v="0"/>
    <n v="0"/>
    <n v="0"/>
    <n v="0"/>
    <n v="0"/>
    <n v="0"/>
  </r>
  <r>
    <n v="940"/>
    <d v="2024-10-16T10:19:52"/>
    <d v="2024-10-16T10:29:57"/>
    <s v="mchirwa@lighthouse.org.mw"/>
    <s v="Margaret Chirwa"/>
    <x v="0"/>
    <s v="Prototype"/>
    <x v="1"/>
    <s v="COP_23"/>
    <s v="COP_23"/>
    <s v="Quarter3"/>
    <s v="Quarter4"/>
    <s v="Qtr_4"/>
    <x v="2"/>
    <d v="2024-09-01T00:00:00"/>
    <d v="2024-09-30T00:00:00"/>
    <x v="1"/>
    <x v="13"/>
    <n v="0"/>
    <n v="42"/>
    <n v="0"/>
    <n v="0"/>
    <n v="0"/>
    <n v="35"/>
    <n v="8"/>
    <n v="8"/>
    <n v="0"/>
    <n v="0"/>
    <n v="0"/>
    <n v="7"/>
    <n v="0"/>
    <n v="0"/>
    <n v="0"/>
    <n v="0"/>
    <n v="0"/>
    <n v="0"/>
    <n v="0"/>
    <n v="0"/>
    <n v="0"/>
  </r>
  <r>
    <n v="603"/>
    <d v="2024-07-12T09:20:33"/>
    <d v="2024-07-12T09:21:20"/>
    <s v="mchirwa@lighthouse.org.mw"/>
    <s v="Margaret Chirwa"/>
    <x v="0"/>
    <s v="Prototype"/>
    <x v="1"/>
    <s v="COP_23"/>
    <s v="COP_23"/>
    <s v="Quarter2"/>
    <s v="Quarter3"/>
    <s v="Qtr_3"/>
    <x v="6"/>
    <d v="2024-05-01T00:00:00"/>
    <d v="2024-05-31T00:00:00"/>
    <x v="2"/>
    <x v="14"/>
    <n v="0"/>
    <n v="5"/>
    <n v="0"/>
    <n v="0"/>
    <n v="0"/>
    <n v="5"/>
    <n v="2"/>
    <n v="1"/>
    <n v="0"/>
    <n v="0"/>
    <n v="0"/>
    <n v="0"/>
    <n v="0"/>
    <n v="0"/>
    <n v="0"/>
    <n v="0"/>
    <n v="0"/>
    <n v="0"/>
    <n v="0"/>
    <n v="0"/>
    <n v="0"/>
  </r>
  <r>
    <n v="611"/>
    <d v="2024-07-12T10:16:00"/>
    <d v="2024-07-12T10:18:14"/>
    <s v="mchirwa@lighthouse.org.mw"/>
    <s v="Margaret Chirwa"/>
    <x v="0"/>
    <s v="Prototype"/>
    <x v="1"/>
    <s v="COP_23"/>
    <s v="COP_23"/>
    <s v="Quarter2"/>
    <s v="Quarter3"/>
    <s v="Qtr_3"/>
    <x v="7"/>
    <d v="2024-04-01T00:00:00"/>
    <d v="2024-04-30T00:00:00"/>
    <x v="2"/>
    <x v="15"/>
    <n v="0"/>
    <n v="2"/>
    <n v="0"/>
    <n v="2"/>
    <n v="0"/>
    <n v="4"/>
    <n v="1"/>
    <n v="2"/>
    <n v="0"/>
    <n v="0"/>
    <n v="0"/>
    <n v="2"/>
    <n v="1"/>
    <n v="0"/>
    <n v="0"/>
    <n v="0"/>
    <n v="0"/>
    <n v="0"/>
    <n v="0"/>
    <n v="1"/>
    <n v="0"/>
  </r>
  <r>
    <n v="930"/>
    <d v="2024-10-16T09:58:22"/>
    <d v="2024-10-16T10:02:04"/>
    <s v="mchirwa@lighthouse.org.mw"/>
    <s v="Margaret Chirwa"/>
    <x v="0"/>
    <s v="Prototype"/>
    <x v="1"/>
    <s v="COP_23"/>
    <s v="COP_23"/>
    <s v="Quarter3"/>
    <s v="Quarter4"/>
    <s v="Qtr_4"/>
    <x v="9"/>
    <d v="2024-07-01T00:00:00"/>
    <d v="2024-07-31T00:00:00"/>
    <x v="2"/>
    <x v="16"/>
    <n v="1"/>
    <n v="15"/>
    <n v="0"/>
    <n v="0"/>
    <n v="0"/>
    <n v="7"/>
    <n v="3"/>
    <n v="4"/>
    <n v="0"/>
    <n v="0"/>
    <n v="0"/>
    <n v="0"/>
    <n v="0"/>
    <n v="0"/>
    <n v="0"/>
    <n v="0"/>
    <n v="0"/>
    <n v="0"/>
    <n v="0"/>
    <n v="0"/>
    <n v="0"/>
  </r>
  <r>
    <n v="944"/>
    <d v="2024-10-16T10:50:30"/>
    <d v="2024-10-16T10:51:08"/>
    <s v="mchirwa@lighthouse.org.mw"/>
    <s v="Margaret Chirwa"/>
    <x v="0"/>
    <s v="Prototype"/>
    <x v="1"/>
    <s v="COP_23"/>
    <s v="COP_23"/>
    <s v="Quarter3"/>
    <s v="Quarter4"/>
    <s v="Qtr_4"/>
    <x v="2"/>
    <d v="2024-09-01T00:00:00"/>
    <d v="2024-09-30T00:00:00"/>
    <x v="2"/>
    <x v="17"/>
    <n v="0"/>
    <n v="23"/>
    <n v="0"/>
    <n v="0"/>
    <n v="0"/>
    <n v="3"/>
    <n v="0"/>
    <n v="0"/>
    <n v="0"/>
    <n v="0"/>
    <n v="0"/>
    <n v="0"/>
    <n v="0"/>
    <n v="0"/>
    <n v="0"/>
    <n v="0"/>
    <n v="0"/>
    <n v="0"/>
    <n v="0"/>
    <n v="0"/>
    <n v="0"/>
  </r>
  <r>
    <n v="281"/>
    <d v="2024-04-24T08:32:56"/>
    <d v="2024-04-24T08:34:17"/>
    <s v="mchirwa@lighthouse.org.mw"/>
    <s v="Margaret Chirwa"/>
    <x v="0"/>
    <s v="Prototype"/>
    <x v="1"/>
    <s v="COP_23"/>
    <s v="COP_23"/>
    <s v="Quarter1"/>
    <s v="Quarter2"/>
    <s v="Qtr_2"/>
    <x v="4"/>
    <d v="2024-01-01T00:00:00"/>
    <d v="2024-01-31T00:00:00"/>
    <x v="3"/>
    <x v="18"/>
    <n v="0"/>
    <n v="0"/>
    <n v="1"/>
    <n v="0"/>
    <n v="0"/>
    <n v="0"/>
    <n v="0"/>
    <n v="0"/>
    <n v="0"/>
    <n v="0"/>
    <n v="0"/>
    <n v="0"/>
    <n v="0"/>
    <n v="0"/>
    <n v="0"/>
    <n v="0"/>
    <n v="0"/>
    <n v="0"/>
    <n v="0"/>
    <n v="0"/>
    <n v="0"/>
  </r>
  <r>
    <n v="282"/>
    <d v="2024-04-24T08:34:28"/>
    <d v="2024-04-24T08:45:07"/>
    <s v="mchirwa@lighthouse.org.mw"/>
    <s v="Margaret Chirwa"/>
    <x v="0"/>
    <s v="Prototype"/>
    <x v="1"/>
    <s v="COP_23"/>
    <s v="COP_23"/>
    <s v="Quarter1"/>
    <s v="Quarter2"/>
    <s v="Qtr_2"/>
    <x v="4"/>
    <d v="2024-01-01T00:00:00"/>
    <d v="2024-01-31T00:00:00"/>
    <x v="4"/>
    <x v="18"/>
    <n v="0"/>
    <n v="0"/>
    <n v="0"/>
    <n v="0"/>
    <n v="1"/>
    <n v="1"/>
    <n v="1"/>
    <n v="1"/>
    <n v="0"/>
    <n v="0"/>
    <n v="0"/>
    <n v="1"/>
    <n v="1"/>
    <n v="0"/>
    <n v="0"/>
    <n v="0"/>
    <n v="0"/>
    <n v="0"/>
    <n v="0"/>
    <n v="1"/>
    <n v="0"/>
  </r>
  <r>
    <n v="283"/>
    <d v="2024-04-24T08:45:13"/>
    <d v="2024-04-24T08:56:35"/>
    <s v="mchirwa@lighthouse.org.mw"/>
    <s v="Margaret Chirwa"/>
    <x v="0"/>
    <s v="Prototype"/>
    <x v="1"/>
    <s v="COP_23"/>
    <s v="COP_23"/>
    <s v="Quarter1"/>
    <s v="Quarter2"/>
    <s v="Qtr_2"/>
    <x v="4"/>
    <d v="2024-01-01T00:00:00"/>
    <d v="2024-01-31T00:00:00"/>
    <x v="0"/>
    <x v="19"/>
    <n v="39"/>
    <n v="3"/>
    <n v="0"/>
    <n v="1"/>
    <n v="12"/>
    <n v="4"/>
    <n v="1"/>
    <n v="0"/>
    <n v="0"/>
    <n v="0"/>
    <n v="0"/>
    <n v="2"/>
    <n v="1"/>
    <n v="0"/>
    <n v="0"/>
    <n v="0"/>
    <n v="0"/>
    <n v="0"/>
    <n v="0"/>
    <n v="1"/>
    <n v="0"/>
  </r>
  <r>
    <n v="329"/>
    <d v="2024-04-30T10:22:37"/>
    <d v="2024-04-30T10:22:58"/>
    <s v="mchirwa@lighthouse.org.mw"/>
    <s v="Margaret Chirwa"/>
    <x v="0"/>
    <s v="Prototype"/>
    <x v="1"/>
    <s v="COP_23"/>
    <s v="COP_23"/>
    <s v="Quarter1"/>
    <s v="Quarter2"/>
    <s v="Qtr_2"/>
    <x v="5"/>
    <d v="2024-01-01T00:00:00"/>
    <d v="2024-02-29T00:00:00"/>
    <x v="3"/>
    <x v="20"/>
    <n v="0"/>
    <n v="0"/>
    <n v="0"/>
    <n v="0"/>
    <n v="0"/>
    <n v="0"/>
    <n v="0"/>
    <n v="0"/>
    <n v="0"/>
    <n v="0"/>
    <n v="0"/>
    <n v="0"/>
    <n v="0"/>
    <n v="0"/>
    <n v="0"/>
    <n v="0"/>
    <n v="0"/>
    <n v="0"/>
    <n v="0"/>
    <n v="0"/>
    <n v="0"/>
  </r>
  <r>
    <n v="330"/>
    <d v="2024-04-30T10:23:03"/>
    <d v="2024-04-30T10:24:55"/>
    <s v="mchirwa@lighthouse.org.mw"/>
    <s v="Margaret Chirwa"/>
    <x v="0"/>
    <s v="Prototype"/>
    <x v="1"/>
    <s v="COP_23"/>
    <s v="COP_23"/>
    <s v="Quarter1"/>
    <s v="Quarter2"/>
    <s v="Qtr_2"/>
    <x v="5"/>
    <d v="2024-02-01T00:00:00"/>
    <d v="2024-02-29T00:00:00"/>
    <x v="4"/>
    <x v="20"/>
    <n v="0"/>
    <n v="1"/>
    <n v="0"/>
    <n v="0"/>
    <n v="0"/>
    <n v="0"/>
    <n v="0"/>
    <n v="0"/>
    <n v="0"/>
    <n v="0"/>
    <n v="0"/>
    <n v="0"/>
    <n v="0"/>
    <n v="0"/>
    <n v="0"/>
    <n v="0"/>
    <n v="0"/>
    <n v="0"/>
    <n v="0"/>
    <n v="0"/>
    <n v="0"/>
  </r>
  <r>
    <n v="331"/>
    <d v="2024-04-30T10:25:03"/>
    <d v="2024-04-30T10:35:15"/>
    <s v="mchirwa@lighthouse.org.mw"/>
    <s v="Margaret Chirwa"/>
    <x v="0"/>
    <s v="Prototype"/>
    <x v="1"/>
    <s v="COP_23"/>
    <s v="COP_23"/>
    <s v="Quarter1"/>
    <s v="Quarter2"/>
    <s v="Qtr_2"/>
    <x v="5"/>
    <d v="2024-02-01T00:00:00"/>
    <d v="2024-02-29T00:00:00"/>
    <x v="5"/>
    <x v="21"/>
    <n v="0"/>
    <n v="0"/>
    <n v="0"/>
    <n v="0"/>
    <n v="0"/>
    <n v="0"/>
    <n v="0"/>
    <n v="0"/>
    <n v="0"/>
    <n v="0"/>
    <n v="0"/>
    <n v="0"/>
    <n v="0"/>
    <n v="0"/>
    <n v="0"/>
    <n v="0"/>
    <n v="0"/>
    <n v="0"/>
    <n v="0"/>
    <n v="0"/>
    <n v="0"/>
  </r>
  <r>
    <n v="333"/>
    <d v="2024-04-30T10:44:37"/>
    <d v="2024-04-30T10:54:10"/>
    <s v="mchirwa@lighthouse.org.mw"/>
    <s v="Margaret Chirwa"/>
    <x v="0"/>
    <s v="Prototype"/>
    <x v="1"/>
    <s v="COP_23"/>
    <s v="COP_23"/>
    <s v="Quarter1"/>
    <s v="Quarter2"/>
    <s v="Qtr_2"/>
    <x v="5"/>
    <d v="2024-02-01T00:00:00"/>
    <d v="2024-02-29T00:00:00"/>
    <x v="0"/>
    <x v="22"/>
    <n v="2"/>
    <n v="48"/>
    <n v="1"/>
    <n v="0"/>
    <n v="1"/>
    <n v="24"/>
    <n v="3"/>
    <n v="3"/>
    <n v="0"/>
    <n v="0"/>
    <n v="0"/>
    <n v="3"/>
    <n v="1"/>
    <n v="0"/>
    <n v="0"/>
    <n v="0"/>
    <n v="0"/>
    <n v="0"/>
    <n v="0"/>
    <n v="1"/>
    <n v="0"/>
  </r>
  <r>
    <n v="334"/>
    <d v="2024-04-30T10:54:28"/>
    <d v="2024-04-30T10:56:03"/>
    <s v="mchirwa@lighthouse.org.mw"/>
    <s v="Margaret Chirwa"/>
    <x v="0"/>
    <s v="Prototype"/>
    <x v="1"/>
    <s v="COP_23"/>
    <s v="COP_23"/>
    <s v="Quarter1"/>
    <s v="Quarter2"/>
    <s v="Qtr_2"/>
    <x v="4"/>
    <d v="2024-01-01T00:00:00"/>
    <d v="2024-01-31T00:00:00"/>
    <x v="5"/>
    <x v="23"/>
    <n v="0"/>
    <n v="0"/>
    <n v="0"/>
    <n v="0"/>
    <n v="0"/>
    <n v="0"/>
    <n v="0"/>
    <n v="0"/>
    <n v="0"/>
    <n v="0"/>
    <n v="0"/>
    <n v="0"/>
    <n v="0"/>
    <n v="0"/>
    <n v="0"/>
    <n v="0"/>
    <n v="0"/>
    <n v="0"/>
    <n v="0"/>
    <n v="0"/>
    <n v="0"/>
  </r>
  <r>
    <n v="336"/>
    <d v="2024-04-30T10:57:31"/>
    <d v="2024-04-30T10:59:25"/>
    <s v="mchirwa@lighthouse.org.mw"/>
    <s v="Margaret Chirwa"/>
    <x v="0"/>
    <s v="Prototype"/>
    <x v="1"/>
    <s v="COP_23"/>
    <s v="COP_23"/>
    <s v="Quarter1"/>
    <s v="Quarter2"/>
    <s v="Qtr_2"/>
    <x v="4"/>
    <d v="2024-01-01T00:00:00"/>
    <d v="2024-01-31T00:00:00"/>
    <x v="0"/>
    <x v="24"/>
    <n v="0"/>
    <n v="39"/>
    <n v="3"/>
    <n v="0"/>
    <n v="1"/>
    <n v="12"/>
    <n v="4"/>
    <n v="1"/>
    <n v="0"/>
    <n v="0"/>
    <n v="0"/>
    <n v="2"/>
    <n v="1"/>
    <n v="0"/>
    <n v="0"/>
    <n v="0"/>
    <n v="0"/>
    <n v="0"/>
    <n v="0"/>
    <n v="1"/>
    <n v="0"/>
  </r>
  <r>
    <n v="337"/>
    <d v="2024-04-30T11:25:38"/>
    <d v="2024-04-30T11:26:26"/>
    <s v="mchirwa@lighthouse.org.mw"/>
    <s v="Margaret Chirwa"/>
    <x v="0"/>
    <s v="Prototype"/>
    <x v="1"/>
    <s v="COP_23"/>
    <s v="COP_23"/>
    <s v="Quarter1"/>
    <s v="Quarter2"/>
    <s v="Qtr_2"/>
    <x v="3"/>
    <d v="2024-03-01T00:00:00"/>
    <d v="2024-03-31T00:00:00"/>
    <x v="3"/>
    <x v="20"/>
    <n v="0"/>
    <n v="0"/>
    <n v="0"/>
    <n v="0"/>
    <n v="0"/>
    <n v="0"/>
    <n v="0"/>
    <n v="0"/>
    <n v="0"/>
    <n v="0"/>
    <n v="0"/>
    <n v="0"/>
    <n v="0"/>
    <n v="0"/>
    <n v="0"/>
    <n v="0"/>
    <n v="0"/>
    <n v="0"/>
    <n v="0"/>
    <n v="0"/>
    <n v="0"/>
  </r>
  <r>
    <n v="338"/>
    <d v="2024-04-30T11:26:30"/>
    <d v="2024-04-30T11:28:40"/>
    <s v="mchirwa@lighthouse.org.mw"/>
    <s v="Margaret Chirwa"/>
    <x v="0"/>
    <s v="Prototype"/>
    <x v="1"/>
    <s v="COP_23"/>
    <s v="COP_23"/>
    <s v="Quarter1"/>
    <s v="Quarter2"/>
    <s v="Qtr_2"/>
    <x v="3"/>
    <d v="2024-03-01T00:00:00"/>
    <d v="2024-03-31T00:00:00"/>
    <x v="4"/>
    <x v="25"/>
    <n v="0"/>
    <n v="0"/>
    <n v="0"/>
    <n v="0"/>
    <n v="0"/>
    <n v="0"/>
    <n v="0"/>
    <n v="0"/>
    <n v="0"/>
    <n v="0"/>
    <n v="0"/>
    <n v="0"/>
    <n v="0"/>
    <n v="0"/>
    <n v="0"/>
    <n v="0"/>
    <n v="0"/>
    <n v="0"/>
    <n v="0"/>
    <n v="0"/>
    <n v="0"/>
  </r>
  <r>
    <n v="339"/>
    <d v="2024-04-30T11:28:43"/>
    <d v="2024-04-30T11:30:51"/>
    <s v="mchirwa@lighthouse.org.mw"/>
    <s v="Margaret Chirwa"/>
    <x v="0"/>
    <s v="Prototype"/>
    <x v="1"/>
    <s v="COP_23"/>
    <s v="COP_23"/>
    <s v="Quarter1"/>
    <s v="Quarter2"/>
    <s v="Qtr_2"/>
    <x v="3"/>
    <d v="2024-03-01T00:00:00"/>
    <d v="2024-03-31T00:00:00"/>
    <x v="5"/>
    <x v="26"/>
    <n v="0"/>
    <n v="0"/>
    <n v="0"/>
    <n v="0"/>
    <n v="0"/>
    <n v="0"/>
    <n v="0"/>
    <n v="0"/>
    <n v="0"/>
    <n v="0"/>
    <n v="0"/>
    <n v="0"/>
    <n v="0"/>
    <n v="0"/>
    <n v="0"/>
    <n v="0"/>
    <n v="0"/>
    <n v="0"/>
    <n v="0"/>
    <n v="0"/>
    <n v="0"/>
  </r>
  <r>
    <n v="340"/>
    <d v="2024-04-30T11:31:11"/>
    <d v="2024-04-30T11:32:38"/>
    <s v="mchirwa@lighthouse.org.mw"/>
    <s v="Margaret Chirwa"/>
    <x v="0"/>
    <s v="Prototype"/>
    <x v="1"/>
    <s v="COP_23"/>
    <s v="COP_23"/>
    <s v="Quarter1"/>
    <s v="Quarter2"/>
    <s v="Qtr_2"/>
    <x v="3"/>
    <d v="2024-03-01T00:00:00"/>
    <d v="2024-03-31T00:00:00"/>
    <x v="0"/>
    <x v="27"/>
    <n v="1"/>
    <n v="21"/>
    <n v="0"/>
    <n v="1"/>
    <n v="0"/>
    <n v="3"/>
    <n v="0"/>
    <n v="2"/>
    <n v="0"/>
    <n v="0"/>
    <n v="0"/>
    <n v="2"/>
    <n v="0"/>
    <n v="0"/>
    <n v="0"/>
    <n v="2"/>
    <n v="1"/>
    <n v="0"/>
    <n v="0"/>
    <n v="1"/>
    <n v="0"/>
  </r>
  <r>
    <n v="595"/>
    <d v="2024-07-11T10:23:46"/>
    <d v="2024-07-11T10:25:56"/>
    <s v="mchirwa@lighthouse.org.mw"/>
    <s v="Margaret Chirwa"/>
    <x v="0"/>
    <s v="Prototype"/>
    <x v="1"/>
    <s v="COP_23"/>
    <s v="COP_23"/>
    <s v="Quarter2"/>
    <s v="Quarter3"/>
    <s v="Qtr_3"/>
    <x v="8"/>
    <d v="2024-07-01T00:00:00"/>
    <d v="2024-06-30T00:00:00"/>
    <x v="0"/>
    <x v="28"/>
    <n v="0"/>
    <n v="28"/>
    <n v="3"/>
    <n v="0"/>
    <n v="0"/>
    <n v="29"/>
    <n v="4"/>
    <n v="4"/>
    <n v="0"/>
    <n v="0"/>
    <n v="0"/>
    <n v="1"/>
    <n v="0"/>
    <n v="0"/>
    <n v="0"/>
    <n v="0"/>
    <n v="0"/>
    <n v="0"/>
    <n v="0"/>
    <n v="0"/>
    <n v="0"/>
  </r>
  <r>
    <n v="596"/>
    <d v="2024-07-12T08:19:26"/>
    <d v="2024-07-12T08:30:34"/>
    <s v="mchirwa@lighthouse.org.mw"/>
    <s v="Margaret Chirwa"/>
    <x v="0"/>
    <s v="Prototype"/>
    <x v="1"/>
    <s v="COP_23"/>
    <s v="COP_23"/>
    <s v="Quarter2"/>
    <s v="Quarter3"/>
    <s v="Qtr_3"/>
    <x v="8"/>
    <d v="2024-06-01T00:00:00"/>
    <d v="2024-06-30T00:00:00"/>
    <x v="5"/>
    <x v="29"/>
    <n v="0"/>
    <n v="0"/>
    <n v="0"/>
    <n v="0"/>
    <n v="0"/>
    <n v="0"/>
    <n v="0"/>
    <n v="0"/>
    <n v="0"/>
    <n v="0"/>
    <n v="0"/>
    <n v="0"/>
    <n v="0"/>
    <n v="0"/>
    <n v="0"/>
    <n v="0"/>
    <n v="0"/>
    <n v="0"/>
    <n v="0"/>
    <n v="0"/>
    <n v="0"/>
  </r>
  <r>
    <n v="597"/>
    <d v="2024-07-12T08:31:19"/>
    <d v="2024-07-12T08:33:14"/>
    <s v="mchirwa@lighthouse.org.mw"/>
    <s v="Margaret Chirwa"/>
    <x v="0"/>
    <s v="Prototype"/>
    <x v="1"/>
    <s v="COP_23"/>
    <s v="COP_23"/>
    <s v="Quarter2"/>
    <s v="Quarter3"/>
    <s v="Qtr_3"/>
    <x v="8"/>
    <d v="2024-06-01T00:00:00"/>
    <d v="2024-06-30T00:00:00"/>
    <x v="4"/>
    <x v="30"/>
    <n v="0"/>
    <n v="0"/>
    <n v="0"/>
    <n v="0"/>
    <n v="0"/>
    <n v="0"/>
    <n v="0"/>
    <n v="0"/>
    <n v="0"/>
    <n v="0"/>
    <n v="0"/>
    <n v="0"/>
    <n v="0"/>
    <n v="0"/>
    <n v="0"/>
    <n v="0"/>
    <n v="0"/>
    <n v="0"/>
    <n v="0"/>
    <n v="0"/>
    <n v="0"/>
  </r>
  <r>
    <n v="598"/>
    <d v="2024-07-12T08:33:18"/>
    <d v="2024-07-12T08:34:16"/>
    <s v="mchirwa@lighthouse.org.mw"/>
    <s v="Margaret Chirwa"/>
    <x v="0"/>
    <s v="Prototype"/>
    <x v="1"/>
    <s v="COP_23"/>
    <s v="COP_23"/>
    <s v="Quarter2"/>
    <s v="Quarter3"/>
    <s v="Qtr_3"/>
    <x v="8"/>
    <d v="2024-06-01T00:00:00"/>
    <d v="2024-06-30T00:00:00"/>
    <x v="3"/>
    <x v="20"/>
    <n v="0"/>
    <n v="0"/>
    <n v="2"/>
    <n v="0"/>
    <n v="0"/>
    <n v="0"/>
    <n v="0"/>
    <n v="0"/>
    <n v="0"/>
    <n v="0"/>
    <n v="0"/>
    <n v="0"/>
    <n v="0"/>
    <n v="0"/>
    <n v="0"/>
    <n v="0"/>
    <n v="0"/>
    <n v="0"/>
    <n v="0"/>
    <n v="0"/>
    <n v="0"/>
  </r>
  <r>
    <n v="600"/>
    <d v="2024-07-12T09:07:11"/>
    <d v="2024-07-12T09:11:37"/>
    <s v="mchirwa@lighthouse.org.mw"/>
    <s v="Margaret Chirwa"/>
    <x v="0"/>
    <s v="Prototype"/>
    <x v="1"/>
    <s v="COP_23"/>
    <s v="COP_23"/>
    <s v="Quarter2"/>
    <s v="Quarter3"/>
    <s v="Qtr_3"/>
    <x v="6"/>
    <d v="2024-05-01T00:00:00"/>
    <d v="2024-05-31T00:00:00"/>
    <x v="3"/>
    <x v="18"/>
    <n v="0"/>
    <n v="0"/>
    <n v="0"/>
    <n v="0"/>
    <n v="0"/>
    <n v="0"/>
    <n v="0"/>
    <n v="0"/>
    <n v="0"/>
    <n v="0"/>
    <n v="0"/>
    <n v="0"/>
    <n v="0"/>
    <n v="0"/>
    <n v="0"/>
    <n v="0"/>
    <n v="0"/>
    <n v="0"/>
    <n v="0"/>
    <n v="0"/>
    <n v="0"/>
  </r>
  <r>
    <n v="601"/>
    <d v="2024-07-12T09:11:44"/>
    <d v="2024-07-12T09:13:50"/>
    <s v="mchirwa@lighthouse.org.mw"/>
    <s v="Margaret Chirwa"/>
    <x v="0"/>
    <s v="Prototype"/>
    <x v="1"/>
    <s v="COP_23"/>
    <s v="COP_23"/>
    <s v="Quarter2"/>
    <s v="Quarter3"/>
    <s v="Qtr_3"/>
    <x v="6"/>
    <d v="2024-05-01T00:00:00"/>
    <d v="2024-05-31T00:00:00"/>
    <x v="4"/>
    <x v="20"/>
    <n v="0"/>
    <n v="0"/>
    <n v="0"/>
    <n v="0"/>
    <n v="0"/>
    <n v="0"/>
    <n v="0"/>
    <n v="0"/>
    <n v="0"/>
    <n v="0"/>
    <n v="0"/>
    <n v="0"/>
    <n v="0"/>
    <n v="0"/>
    <n v="0"/>
    <n v="0"/>
    <n v="0"/>
    <n v="0"/>
    <n v="0"/>
    <n v="0"/>
    <n v="0"/>
  </r>
  <r>
    <n v="602"/>
    <d v="2024-07-12T09:14:06"/>
    <d v="2024-07-12T09:16:46"/>
    <s v="mchirwa@lighthouse.org.mw"/>
    <s v="Margaret Chirwa"/>
    <x v="0"/>
    <s v="Prototype"/>
    <x v="1"/>
    <s v="COP_23"/>
    <s v="COP_23"/>
    <s v="Quarter2"/>
    <s v="Quarter3"/>
    <s v="Qtr_3"/>
    <x v="6"/>
    <d v="2024-05-01T00:00:00"/>
    <d v="2024-05-31T00:00:00"/>
    <x v="5"/>
    <x v="31"/>
    <n v="0"/>
    <n v="0"/>
    <n v="0"/>
    <n v="0"/>
    <n v="0"/>
    <n v="0"/>
    <n v="0"/>
    <n v="0"/>
    <n v="0"/>
    <n v="0"/>
    <n v="0"/>
    <n v="0"/>
    <n v="0"/>
    <n v="0"/>
    <n v="0"/>
    <n v="0"/>
    <n v="0"/>
    <n v="0"/>
    <n v="0"/>
    <n v="0"/>
    <n v="0"/>
  </r>
  <r>
    <n v="604"/>
    <d v="2024-07-12T09:21:26"/>
    <d v="2024-07-12T09:22:21"/>
    <s v="mchirwa@lighthouse.org.mw"/>
    <s v="Margaret Chirwa"/>
    <x v="0"/>
    <s v="Prototype"/>
    <x v="1"/>
    <s v="COP_23"/>
    <s v="COP_23"/>
    <s v="Quarter2"/>
    <s v="Quarter3"/>
    <s v="Qtr_3"/>
    <x v="6"/>
    <d v="2024-05-01T00:00:00"/>
    <d v="2024-05-31T00:00:00"/>
    <x v="6"/>
    <x v="21"/>
    <n v="0"/>
    <n v="0"/>
    <n v="0"/>
    <n v="0"/>
    <n v="0"/>
    <n v="0"/>
    <n v="0"/>
    <n v="0"/>
    <n v="0"/>
    <n v="0"/>
    <n v="0"/>
    <n v="0"/>
    <n v="0"/>
    <n v="0"/>
    <n v="0"/>
    <n v="0"/>
    <n v="0"/>
    <n v="0"/>
    <n v="0"/>
    <n v="0"/>
    <n v="0"/>
  </r>
  <r>
    <n v="605"/>
    <d v="2024-07-12T09:23:19"/>
    <d v="2024-07-12T09:24:20"/>
    <s v="mchirwa@lighthouse.org.mw"/>
    <s v="Margaret Chirwa"/>
    <x v="0"/>
    <s v="Prototype"/>
    <x v="1"/>
    <s v="COP_23"/>
    <s v="COP_23"/>
    <s v="Quarter2"/>
    <s v="Quarter3"/>
    <s v="Qtr_3"/>
    <x v="6"/>
    <d v="2024-05-01T00:00:00"/>
    <d v="2024-05-31T00:00:00"/>
    <x v="0"/>
    <x v="32"/>
    <n v="0"/>
    <n v="42"/>
    <n v="0"/>
    <n v="0"/>
    <n v="0"/>
    <n v="23"/>
    <n v="2"/>
    <n v="1"/>
    <n v="0"/>
    <n v="0"/>
    <n v="0"/>
    <n v="0"/>
    <n v="0"/>
    <n v="0"/>
    <n v="0"/>
    <n v="0"/>
    <n v="0"/>
    <n v="0"/>
    <n v="0"/>
    <n v="0"/>
    <n v="0"/>
  </r>
  <r>
    <n v="607"/>
    <d v="2024-07-12T09:28:21"/>
    <d v="2024-07-12T10:03:39"/>
    <s v="mchirwa@lighthouse.org.mw"/>
    <s v="Margaret Chirwa"/>
    <x v="0"/>
    <s v="Prototype"/>
    <x v="1"/>
    <s v="COP_23"/>
    <s v="COP_23"/>
    <s v="Quarter2"/>
    <s v="Quarter3"/>
    <s v="Qtr_3"/>
    <x v="7"/>
    <d v="2024-05-01T00:00:00"/>
    <d v="2024-05-31T00:00:00"/>
    <x v="3"/>
    <x v="18"/>
    <n v="0"/>
    <n v="0"/>
    <n v="0"/>
    <n v="1"/>
    <n v="0"/>
    <n v="0"/>
    <n v="0"/>
    <n v="0"/>
    <n v="0"/>
    <n v="0"/>
    <n v="0"/>
    <n v="0"/>
    <n v="0"/>
    <n v="0"/>
    <n v="0"/>
    <n v="0"/>
    <n v="0"/>
    <n v="0"/>
    <n v="0"/>
    <n v="0"/>
    <n v="0"/>
  </r>
  <r>
    <n v="608"/>
    <d v="2024-07-12T10:03:50"/>
    <d v="2024-07-12T10:06:31"/>
    <s v="mchirwa@lighthouse.org.mw"/>
    <s v="Margaret Chirwa"/>
    <x v="0"/>
    <s v="Prototype"/>
    <x v="1"/>
    <s v="COP_23"/>
    <s v="COP_23"/>
    <s v="Quarter2"/>
    <s v="Quarter3"/>
    <s v="Qtr_3"/>
    <x v="7"/>
    <d v="2024-04-01T00:00:00"/>
    <d v="2024-04-30T00:00:00"/>
    <x v="4"/>
    <x v="30"/>
    <n v="0"/>
    <n v="0"/>
    <n v="0"/>
    <n v="0"/>
    <n v="0"/>
    <n v="0"/>
    <n v="0"/>
    <n v="0"/>
    <n v="0"/>
    <n v="0"/>
    <n v="0"/>
    <n v="0"/>
    <n v="0"/>
    <n v="0"/>
    <n v="0"/>
    <n v="0"/>
    <n v="0"/>
    <n v="0"/>
    <n v="0"/>
    <n v="0"/>
    <n v="0"/>
  </r>
  <r>
    <n v="610"/>
    <d v="2024-07-12T10:13:55"/>
    <d v="2024-07-12T10:15:56"/>
    <s v="mchirwa@lighthouse.org.mw"/>
    <s v="Margaret Chirwa"/>
    <x v="0"/>
    <s v="Prototype"/>
    <x v="1"/>
    <s v="COP_23"/>
    <s v="COP_23"/>
    <s v="Quarter2"/>
    <s v="Quarter3"/>
    <s v="Qtr_3"/>
    <x v="7"/>
    <d v="2024-04-01T00:00:00"/>
    <d v="2024-04-30T00:00:00"/>
    <x v="5"/>
    <x v="33"/>
    <n v="0"/>
    <n v="1"/>
    <n v="0"/>
    <n v="1"/>
    <n v="0"/>
    <n v="2"/>
    <n v="1"/>
    <n v="2"/>
    <n v="1"/>
    <n v="0"/>
    <n v="0"/>
    <n v="2"/>
    <n v="1"/>
    <n v="0"/>
    <n v="0"/>
    <n v="0"/>
    <n v="0"/>
    <n v="0"/>
    <n v="0"/>
    <n v="1"/>
    <n v="0"/>
  </r>
  <r>
    <n v="612"/>
    <d v="2024-07-12T10:18:56"/>
    <d v="2024-07-12T10:19:45"/>
    <s v="mchirwa@lighthouse.org.mw"/>
    <s v="Margaret Chirwa"/>
    <x v="0"/>
    <s v="Prototype"/>
    <x v="1"/>
    <s v="COP_23"/>
    <s v="COP_23"/>
    <s v="Quarter2"/>
    <s v="Quarter3"/>
    <s v="Qtr_3"/>
    <x v="7"/>
    <d v="2024-04-01T00:00:00"/>
    <d v="2024-04-30T00:00:00"/>
    <x v="6"/>
    <x v="21"/>
    <n v="0"/>
    <n v="0"/>
    <n v="0"/>
    <n v="0"/>
    <n v="0"/>
    <n v="0"/>
    <n v="0"/>
    <n v="0"/>
    <n v="0"/>
    <n v="0"/>
    <n v="0"/>
    <n v="0"/>
    <n v="0"/>
    <n v="0"/>
    <n v="0"/>
    <n v="0"/>
    <n v="0"/>
    <n v="0"/>
    <n v="0"/>
    <n v="0"/>
    <n v="0"/>
  </r>
  <r>
    <n v="769"/>
    <d v="2024-08-19T10:24:28"/>
    <d v="2024-08-19T10:33:16"/>
    <s v="mchirwa@lighthouse.org.mw"/>
    <s v="Margaret Chirwa"/>
    <x v="0"/>
    <s v="Prototype"/>
    <x v="1"/>
    <s v="COP_23"/>
    <s v="COP_23"/>
    <s v="Quarter2"/>
    <s v="Quarter3"/>
    <s v="Qtr_3"/>
    <x v="7"/>
    <d v="2024-04-01T00:00:00"/>
    <d v="2024-04-30T00:00:00"/>
    <x v="0"/>
    <x v="12"/>
    <n v="0"/>
    <n v="59"/>
    <n v="0"/>
    <n v="3"/>
    <n v="0"/>
    <n v="34"/>
    <n v="10"/>
    <n v="0"/>
    <n v="12"/>
    <n v="0"/>
    <n v="0"/>
    <n v="15"/>
    <n v="3"/>
    <n v="0"/>
    <n v="0"/>
    <n v="0"/>
    <n v="0"/>
    <n v="0"/>
    <n v="0"/>
    <n v="3"/>
    <n v="0"/>
  </r>
  <r>
    <n v="927"/>
    <d v="2024-10-16T09:53:57"/>
    <d v="2024-10-16T09:55:15"/>
    <s v="mchirwa@lighthouse.org.mw"/>
    <s v="Margaret Chirwa"/>
    <x v="0"/>
    <s v="Prototype"/>
    <x v="1"/>
    <s v="COP_23"/>
    <s v="COP_23"/>
    <s v="Quarter3"/>
    <s v="Quarter4"/>
    <s v="Qtr_4"/>
    <x v="9"/>
    <d v="2024-07-01T00:00:00"/>
    <d v="2024-07-31T00:00:00"/>
    <x v="3"/>
    <x v="21"/>
    <n v="0"/>
    <n v="0"/>
    <n v="0"/>
    <n v="0"/>
    <n v="0"/>
    <n v="0"/>
    <n v="0"/>
    <n v="0"/>
    <n v="0"/>
    <n v="0"/>
    <n v="0"/>
    <n v="0"/>
    <n v="0"/>
    <n v="0"/>
    <n v="0"/>
    <n v="0"/>
    <n v="0"/>
    <n v="0"/>
    <n v="0"/>
    <n v="0"/>
    <n v="0"/>
  </r>
  <r>
    <n v="928"/>
    <d v="2024-10-16T09:55:18"/>
    <d v="2024-10-16T09:56:27"/>
    <s v="mchirwa@lighthouse.org.mw"/>
    <s v="Margaret Chirwa"/>
    <x v="0"/>
    <s v="Prototype"/>
    <x v="1"/>
    <s v="COP_23"/>
    <s v="COP_23"/>
    <s v="Quarter3"/>
    <s v="Quarter4"/>
    <s v="Qtr_4"/>
    <x v="9"/>
    <d v="2024-07-01T00:00:00"/>
    <d v="2024-07-31T00:00:00"/>
    <x v="4"/>
    <x v="30"/>
    <n v="0"/>
    <n v="0"/>
    <n v="0"/>
    <n v="0"/>
    <n v="0"/>
    <n v="0"/>
    <n v="0"/>
    <n v="0"/>
    <n v="0"/>
    <n v="0"/>
    <n v="0"/>
    <n v="0"/>
    <n v="0"/>
    <n v="0"/>
    <n v="0"/>
    <n v="0"/>
    <n v="0"/>
    <n v="0"/>
    <n v="0"/>
    <n v="0"/>
    <n v="0"/>
  </r>
  <r>
    <n v="929"/>
    <d v="2024-10-16T09:56:34"/>
    <d v="2024-10-16T09:58:10"/>
    <s v="mchirwa@lighthouse.org.mw"/>
    <s v="Margaret Chirwa"/>
    <x v="0"/>
    <s v="Prototype"/>
    <x v="1"/>
    <s v="COP_23"/>
    <s v="COP_23"/>
    <s v="Quarter3"/>
    <s v="Quarter4"/>
    <s v="Qtr_4"/>
    <x v="9"/>
    <d v="2024-07-01T00:00:00"/>
    <d v="2024-07-31T00:00:00"/>
    <x v="5"/>
    <x v="34"/>
    <n v="0"/>
    <n v="4"/>
    <n v="0"/>
    <n v="0"/>
    <n v="0"/>
    <n v="1"/>
    <n v="0"/>
    <n v="1"/>
    <n v="0"/>
    <n v="0"/>
    <n v="0"/>
    <n v="0"/>
    <n v="0"/>
    <n v="0"/>
    <n v="0"/>
    <n v="0"/>
    <n v="0"/>
    <n v="0"/>
    <n v="0"/>
    <n v="0"/>
    <n v="0"/>
  </r>
  <r>
    <n v="931"/>
    <d v="2024-10-16T10:02:10"/>
    <d v="2024-10-16T10:03:03"/>
    <s v="mchirwa@lighthouse.org.mw"/>
    <s v="Margaret Chirwa"/>
    <x v="0"/>
    <s v="Prototype"/>
    <x v="1"/>
    <s v="COP_23"/>
    <s v="COP_23"/>
    <s v="Quarter3"/>
    <s v="Quarter4"/>
    <s v="Qtr_4"/>
    <x v="9"/>
    <d v="2024-07-01T00:00:00"/>
    <d v="2024-07-31T00:00:00"/>
    <x v="6"/>
    <x v="21"/>
    <n v="0"/>
    <n v="0"/>
    <n v="0"/>
    <n v="0"/>
    <n v="0"/>
    <n v="0"/>
    <n v="0"/>
    <n v="0"/>
    <n v="0"/>
    <n v="0"/>
    <n v="0"/>
    <n v="0"/>
    <n v="0"/>
    <n v="0"/>
    <n v="0"/>
    <n v="0"/>
    <n v="0"/>
    <n v="0"/>
    <n v="0"/>
    <n v="0"/>
    <n v="0"/>
  </r>
  <r>
    <n v="932"/>
    <d v="2024-10-16T10:03:13"/>
    <d v="2024-10-16T10:06:06"/>
    <s v="mchirwa@lighthouse.org.mw"/>
    <s v="Margaret Chirwa"/>
    <x v="0"/>
    <s v="Prototype"/>
    <x v="1"/>
    <s v="COP_23"/>
    <s v="COP_23"/>
    <s v="Quarter3"/>
    <s v="Quarter4"/>
    <s v="Qtr_4"/>
    <x v="9"/>
    <d v="2024-07-01T00:00:00"/>
    <d v="2024-07-31T00:00:00"/>
    <x v="0"/>
    <x v="35"/>
    <n v="3"/>
    <n v="63"/>
    <n v="2"/>
    <n v="2"/>
    <n v="0"/>
    <n v="42"/>
    <n v="5"/>
    <n v="7"/>
    <n v="0"/>
    <n v="1"/>
    <n v="0"/>
    <n v="1"/>
    <n v="0"/>
    <n v="0"/>
    <n v="0"/>
    <n v="0"/>
    <n v="0"/>
    <n v="0"/>
    <n v="0"/>
    <n v="0"/>
    <n v="0"/>
  </r>
  <r>
    <n v="934"/>
    <d v="2024-10-16T10:08:22"/>
    <d v="2024-10-16T10:09:29"/>
    <s v="mchirwa@lighthouse.org.mw"/>
    <s v="Margaret Chirwa"/>
    <x v="0"/>
    <s v="Prototype"/>
    <x v="1"/>
    <s v="COP_23"/>
    <s v="COP_23"/>
    <s v="Quarter3"/>
    <s v="Quarter4"/>
    <s v="Qtr_4"/>
    <x v="10"/>
    <d v="2024-08-01T00:00:00"/>
    <d v="2024-08-31T00:00:00"/>
    <x v="3"/>
    <x v="20"/>
    <n v="0"/>
    <n v="1"/>
    <n v="0"/>
    <n v="0"/>
    <n v="0"/>
    <n v="0"/>
    <n v="0"/>
    <n v="0"/>
    <n v="0"/>
    <n v="0"/>
    <n v="0"/>
    <n v="0"/>
    <n v="0"/>
    <n v="0"/>
    <n v="0"/>
    <n v="0"/>
    <n v="0"/>
    <n v="0"/>
    <n v="0"/>
    <n v="0"/>
    <n v="0"/>
  </r>
  <r>
    <n v="935"/>
    <d v="2024-10-16T10:09:31"/>
    <d v="2024-10-16T10:10:41"/>
    <s v="mchirwa@lighthouse.org.mw"/>
    <s v="Margaret Chirwa"/>
    <x v="0"/>
    <s v="Prototype"/>
    <x v="1"/>
    <s v="COP_23"/>
    <s v="COP_23"/>
    <s v="Quarter3"/>
    <s v="Quarter4"/>
    <s v="Qtr_4"/>
    <x v="10"/>
    <d v="2024-08-01T00:00:00"/>
    <d v="2024-08-31T00:00:00"/>
    <x v="4"/>
    <x v="20"/>
    <n v="0"/>
    <n v="0"/>
    <n v="0"/>
    <n v="0"/>
    <n v="0"/>
    <n v="0"/>
    <n v="0"/>
    <n v="0"/>
    <n v="0"/>
    <n v="0"/>
    <n v="0"/>
    <n v="0"/>
    <n v="0"/>
    <n v="0"/>
    <n v="0"/>
    <n v="0"/>
    <n v="0"/>
    <n v="0"/>
    <n v="0"/>
    <n v="0"/>
    <n v="0"/>
  </r>
  <r>
    <n v="936"/>
    <d v="2024-10-16T10:11:26"/>
    <d v="2024-10-16T10:14:05"/>
    <s v="mchirwa@lighthouse.org.mw"/>
    <s v="Margaret Chirwa"/>
    <x v="0"/>
    <s v="Prototype"/>
    <x v="1"/>
    <s v="COP_23"/>
    <s v="COP_23"/>
    <s v="Quarter3"/>
    <s v="Quarter4"/>
    <s v="Qtr_4"/>
    <x v="10"/>
    <d v="2024-08-01T00:00:00"/>
    <d v="2024-08-31T00:00:00"/>
    <x v="5"/>
    <x v="17"/>
    <n v="1"/>
    <n v="7"/>
    <n v="0"/>
    <n v="1"/>
    <n v="0"/>
    <n v="8"/>
    <n v="2"/>
    <n v="2"/>
    <n v="0"/>
    <n v="0"/>
    <n v="0"/>
    <n v="0"/>
    <n v="0"/>
    <n v="0"/>
    <n v="0"/>
    <n v="0"/>
    <n v="0"/>
    <n v="0"/>
    <n v="0"/>
    <n v="0"/>
    <n v="0"/>
  </r>
  <r>
    <n v="937"/>
    <d v="2024-10-16T10:14:08"/>
    <d v="2024-10-16T10:16:10"/>
    <s v="mchirwa@lighthouse.org.mw"/>
    <s v="Margaret Chirwa"/>
    <x v="0"/>
    <s v="Prototype"/>
    <x v="1"/>
    <s v="COP_23"/>
    <s v="COP_23"/>
    <s v="Quarter3"/>
    <s v="Quarter4"/>
    <s v="Qtr_4"/>
    <x v="10"/>
    <d v="2024-08-01T00:00:00"/>
    <d v="2024-08-31T00:00:00"/>
    <x v="6"/>
    <x v="36"/>
    <n v="0"/>
    <n v="3"/>
    <n v="0"/>
    <n v="0"/>
    <n v="0"/>
    <n v="3"/>
    <n v="0"/>
    <n v="0"/>
    <n v="0"/>
    <n v="0"/>
    <n v="0"/>
    <n v="1"/>
    <n v="0"/>
    <n v="0"/>
    <n v="0"/>
    <n v="0"/>
    <n v="0"/>
    <n v="0"/>
    <n v="0"/>
    <n v="0"/>
    <n v="0"/>
  </r>
  <r>
    <n v="938"/>
    <d v="2024-10-16T10:16:43"/>
    <d v="2024-10-16T10:17:47"/>
    <s v="mchirwa@lighthouse.org.mw"/>
    <s v="Margaret Chirwa"/>
    <x v="0"/>
    <s v="Prototype"/>
    <x v="1"/>
    <s v="COP_23"/>
    <s v="COP_23"/>
    <s v="Quarter3"/>
    <s v="Quarter4"/>
    <s v="Qtr_4"/>
    <x v="10"/>
    <d v="2024-08-01T00:00:00"/>
    <d v="2024-08-31T00:00:00"/>
    <x v="6"/>
    <x v="21"/>
    <n v="0"/>
    <n v="0"/>
    <n v="0"/>
    <n v="0"/>
    <n v="0"/>
    <n v="0"/>
    <n v="0"/>
    <n v="0"/>
    <n v="0"/>
    <n v="0"/>
    <n v="0"/>
    <n v="0"/>
    <n v="0"/>
    <n v="0"/>
    <n v="0"/>
    <n v="0"/>
    <n v="0"/>
    <n v="0"/>
    <n v="0"/>
    <n v="0"/>
    <n v="0"/>
  </r>
  <r>
    <n v="939"/>
    <d v="2024-10-16T10:17:55"/>
    <d v="2024-10-16T10:19:07"/>
    <s v="mchirwa@lighthouse.org.mw"/>
    <s v="Margaret Chirwa"/>
    <x v="0"/>
    <s v="Prototype"/>
    <x v="1"/>
    <s v="COP_23"/>
    <s v="COP_23"/>
    <s v="Quarter3"/>
    <s v="Quarter4"/>
    <s v="Qtr_4"/>
    <x v="10"/>
    <d v="2024-08-01T00:00:00"/>
    <d v="2024-08-31T00:00:00"/>
    <x v="0"/>
    <x v="1"/>
    <n v="1"/>
    <n v="53"/>
    <n v="0"/>
    <n v="1"/>
    <n v="1"/>
    <n v="51"/>
    <n v="11"/>
    <n v="7"/>
    <n v="0"/>
    <n v="0"/>
    <n v="0"/>
    <n v="1"/>
    <n v="0"/>
    <n v="0"/>
    <n v="0"/>
    <n v="0"/>
    <n v="0"/>
    <n v="0"/>
    <n v="0"/>
    <n v="0"/>
    <n v="0"/>
  </r>
  <r>
    <n v="941"/>
    <d v="2024-10-16T10:30:05"/>
    <d v="2024-10-16T10:38:08"/>
    <s v="mchirwa@lighthouse.org.mw"/>
    <s v="Margaret Chirwa"/>
    <x v="0"/>
    <s v="Prototype"/>
    <x v="1"/>
    <s v="COP_23"/>
    <s v="COP_23"/>
    <s v="Quarter3"/>
    <s v="Quarter4"/>
    <s v="Qtr_4"/>
    <x v="2"/>
    <d v="2024-09-01T00:00:00"/>
    <d v="2024-09-30T00:00:00"/>
    <x v="3"/>
    <x v="18"/>
    <n v="0"/>
    <n v="1"/>
    <n v="0"/>
    <n v="0"/>
    <n v="0"/>
    <n v="0"/>
    <n v="0"/>
    <n v="0"/>
    <n v="0"/>
    <n v="0"/>
    <n v="0"/>
    <n v="0"/>
    <n v="0"/>
    <n v="0"/>
    <n v="0"/>
    <n v="0"/>
    <n v="0"/>
    <n v="0"/>
    <n v="0"/>
    <n v="0"/>
    <n v="0"/>
  </r>
  <r>
    <n v="942"/>
    <d v="2024-10-16T10:38:12"/>
    <d v="2024-10-16T10:41:08"/>
    <s v="mchirwa@lighthouse.org.mw"/>
    <s v="Margaret Chirwa"/>
    <x v="0"/>
    <s v="Prototype"/>
    <x v="1"/>
    <s v="COP_23"/>
    <s v="COP_23"/>
    <s v="Quarter3"/>
    <s v="Quarter4"/>
    <s v="Qtr_4"/>
    <x v="2"/>
    <d v="2024-09-01T00:00:00"/>
    <d v="2024-09-30T00:00:00"/>
    <x v="4"/>
    <x v="20"/>
    <n v="0"/>
    <n v="2"/>
    <n v="0"/>
    <n v="0"/>
    <n v="0"/>
    <n v="2"/>
    <n v="0"/>
    <n v="1"/>
    <n v="0"/>
    <n v="0"/>
    <n v="0"/>
    <n v="1"/>
    <n v="0"/>
    <n v="0"/>
    <n v="0"/>
    <n v="0"/>
    <n v="0"/>
    <n v="0"/>
    <n v="0"/>
    <n v="0"/>
    <n v="0"/>
  </r>
  <r>
    <n v="943"/>
    <d v="2024-10-16T10:41:31"/>
    <d v="2024-10-16T10:42:34"/>
    <s v="mchirwa@lighthouse.org.mw"/>
    <s v="Margaret Chirwa"/>
    <x v="0"/>
    <s v="Prototype"/>
    <x v="1"/>
    <s v="COP_23"/>
    <s v="COP_23"/>
    <s v="Quarter3"/>
    <s v="Quarter4"/>
    <s v="Qtr_4"/>
    <x v="2"/>
    <d v="2024-09-01T00:00:00"/>
    <d v="2024-09-30T00:00:00"/>
    <x v="5"/>
    <x v="37"/>
    <n v="0"/>
    <n v="1"/>
    <n v="0"/>
    <n v="0"/>
    <n v="0"/>
    <n v="1"/>
    <n v="0"/>
    <n v="0"/>
    <n v="0"/>
    <n v="0"/>
    <n v="0"/>
    <n v="0"/>
    <n v="0"/>
    <n v="0"/>
    <n v="0"/>
    <n v="0"/>
    <n v="0"/>
    <n v="0"/>
    <n v="0"/>
    <n v="0"/>
    <n v="0"/>
  </r>
  <r>
    <n v="945"/>
    <d v="2024-10-16T10:51:11"/>
    <d v="2024-10-16T10:52:17"/>
    <s v="mchirwa@lighthouse.org.mw"/>
    <s v="Margaret Chirwa"/>
    <x v="0"/>
    <s v="Prototype"/>
    <x v="1"/>
    <s v="COP_23"/>
    <s v="COP_23"/>
    <s v="Quarter3"/>
    <s v="Quarter4"/>
    <s v="Qtr_4"/>
    <x v="2"/>
    <d v="2024-09-01T00:00:00"/>
    <d v="2024-09-30T00:00:00"/>
    <x v="6"/>
    <x v="21"/>
    <n v="0"/>
    <n v="0"/>
    <n v="0"/>
    <n v="0"/>
    <n v="0"/>
    <n v="0"/>
    <n v="0"/>
    <n v="0"/>
    <n v="0"/>
    <n v="0"/>
    <n v="0"/>
    <n v="0"/>
    <n v="0"/>
    <n v="0"/>
    <n v="0"/>
    <n v="0"/>
    <n v="0"/>
    <n v="0"/>
    <n v="0"/>
    <n v="0"/>
    <n v="0"/>
  </r>
  <r>
    <n v="946"/>
    <d v="2024-10-16T10:52:34"/>
    <d v="2024-10-16T10:56:48"/>
    <s v="mchirwa@lighthouse.org.mw"/>
    <s v="Margaret Chirwa"/>
    <x v="0"/>
    <s v="Prototype"/>
    <x v="1"/>
    <s v="COP_23"/>
    <s v="COP_23"/>
    <s v="Quarter3"/>
    <s v="Quarter4"/>
    <s v="Qtr_4"/>
    <x v="2"/>
    <d v="2024-09-01T00:00:00"/>
    <d v="2024-09-30T00:00:00"/>
    <x v="0"/>
    <x v="15"/>
    <n v="0"/>
    <n v="66"/>
    <n v="0"/>
    <n v="0"/>
    <n v="0"/>
    <n v="59"/>
    <n v="11"/>
    <n v="11"/>
    <n v="0"/>
    <n v="0"/>
    <n v="0"/>
    <n v="10"/>
    <n v="0"/>
    <n v="0"/>
    <n v="0"/>
    <n v="0"/>
    <n v="0"/>
    <n v="0"/>
    <n v="0"/>
    <n v="0"/>
    <n v="0"/>
  </r>
  <r>
    <n v="1169"/>
    <d v="2025-01-02T14:20:19"/>
    <d v="2025-01-02T14:33:56"/>
    <s v="mchirwa@lighthouse.org.mw"/>
    <s v="Margaret Chirwa"/>
    <x v="0"/>
    <s v="Prototype"/>
    <x v="1"/>
    <s v="COP_24"/>
    <s v="COP_24"/>
    <s v="Quarter4"/>
    <s v="Quarter1"/>
    <s v="Qtr_1"/>
    <x v="0"/>
    <d v="2024-10-01T00:00:00"/>
    <d v="2024-10-31T00:00:00"/>
    <x v="1"/>
    <x v="38"/>
    <n v="0"/>
    <n v="28"/>
    <n v="0"/>
    <n v="0"/>
    <n v="0"/>
    <n v="9"/>
    <n v="2"/>
    <n v="0"/>
    <n v="0"/>
    <n v="0"/>
    <n v="0"/>
    <n v="1"/>
    <n v="0"/>
    <n v="0"/>
    <n v="0"/>
    <n v="0"/>
    <n v="0"/>
    <n v="0"/>
    <n v="0"/>
    <n v="0"/>
    <n v="0"/>
  </r>
  <r>
    <n v="1170"/>
    <d v="2025-01-02T14:34:17"/>
    <d v="2025-01-02T14:37:00"/>
    <s v="mchirwa@lighthouse.org.mw"/>
    <s v="Margaret Chirwa"/>
    <x v="0"/>
    <s v="Prototype"/>
    <x v="1"/>
    <s v="COP_24"/>
    <s v="COP_24"/>
    <s v="Quarter4"/>
    <s v="Quarter1"/>
    <s v="Qtr_1"/>
    <x v="0"/>
    <d v="2024-10-01T00:00:00"/>
    <d v="2024-10-31T00:00:00"/>
    <x v="3"/>
    <x v="21"/>
    <n v="0"/>
    <n v="0"/>
    <n v="0"/>
    <n v="0"/>
    <n v="0"/>
    <n v="0"/>
    <n v="0"/>
    <n v="0"/>
    <n v="0"/>
    <n v="0"/>
    <n v="0"/>
    <n v="0"/>
    <n v="0"/>
    <n v="0"/>
    <n v="0"/>
    <n v="0"/>
    <n v="0"/>
    <n v="0"/>
    <n v="0"/>
    <n v="0"/>
    <n v="0"/>
  </r>
  <r>
    <n v="1171"/>
    <d v="2025-01-02T14:37:09"/>
    <d v="2025-01-02T14:38:43"/>
    <s v="mchirwa@lighthouse.org.mw"/>
    <s v="Margaret Chirwa"/>
    <x v="0"/>
    <s v="Prototype"/>
    <x v="1"/>
    <s v="COP_24"/>
    <s v="COP_24"/>
    <s v="Quarter4"/>
    <s v="Quarter1"/>
    <s v="Qtr_1"/>
    <x v="0"/>
    <d v="2024-10-01T00:00:00"/>
    <d v="2024-10-31T00:00:00"/>
    <x v="4"/>
    <x v="18"/>
    <n v="0"/>
    <n v="1"/>
    <n v="0"/>
    <n v="0"/>
    <n v="0"/>
    <n v="0"/>
    <n v="0"/>
    <n v="0"/>
    <n v="0"/>
    <n v="0"/>
    <n v="0"/>
    <n v="0"/>
    <n v="0"/>
    <n v="0"/>
    <n v="0"/>
    <n v="0"/>
    <n v="0"/>
    <n v="0"/>
    <n v="0"/>
    <n v="0"/>
    <n v="0"/>
  </r>
  <r>
    <n v="1172"/>
    <d v="2025-01-02T14:38:50"/>
    <d v="2025-01-02T14:44:14"/>
    <s v="mchirwa@lighthouse.org.mw"/>
    <s v="Margaret Chirwa"/>
    <x v="0"/>
    <s v="Prototype"/>
    <x v="1"/>
    <s v="COP_24"/>
    <s v="COP_24"/>
    <s v="Quarter4"/>
    <s v="Quarter1"/>
    <s v="Qtr_1"/>
    <x v="0"/>
    <d v="2024-10-01T00:00:00"/>
    <d v="2024-10-31T00:00:00"/>
    <x v="5"/>
    <x v="21"/>
    <n v="0"/>
    <n v="0"/>
    <n v="0"/>
    <n v="0"/>
    <n v="0"/>
    <n v="0"/>
    <n v="0"/>
    <n v="0"/>
    <n v="0"/>
    <n v="0"/>
    <n v="0"/>
    <n v="0"/>
    <n v="0"/>
    <n v="0"/>
    <n v="0"/>
    <n v="0"/>
    <n v="0"/>
    <n v="0"/>
    <n v="0"/>
    <n v="0"/>
    <n v="0"/>
  </r>
  <r>
    <n v="1173"/>
    <d v="2025-01-02T14:44:17"/>
    <d v="2025-01-02T14:51:02"/>
    <s v="mchirwa@lighthouse.org.mw"/>
    <s v="Margaret Chirwa"/>
    <x v="0"/>
    <s v="Prototype"/>
    <x v="1"/>
    <s v="COP_24"/>
    <s v="COP_24"/>
    <s v="Quarter4"/>
    <s v="Quarter1"/>
    <s v="Qtr_1"/>
    <x v="0"/>
    <d v="2024-10-01T00:00:00"/>
    <d v="2024-10-31T00:00:00"/>
    <x v="2"/>
    <x v="39"/>
    <n v="0"/>
    <n v="8"/>
    <n v="0"/>
    <n v="0"/>
    <n v="0"/>
    <n v="8"/>
    <n v="0"/>
    <n v="1"/>
    <n v="0"/>
    <n v="0"/>
    <n v="0"/>
    <n v="0"/>
    <n v="0"/>
    <n v="0"/>
    <n v="0"/>
    <n v="0"/>
    <n v="0"/>
    <n v="0"/>
    <n v="0"/>
    <n v="0"/>
    <n v="0"/>
  </r>
  <r>
    <n v="1174"/>
    <d v="2025-01-02T14:51:15"/>
    <d v="2025-01-02T14:54:08"/>
    <s v="mchirwa@lighthouse.org.mw"/>
    <s v="Margaret Chirwa"/>
    <x v="0"/>
    <s v="Prototype"/>
    <x v="1"/>
    <s v="COP_24"/>
    <s v="COP_24"/>
    <s v="Quarter4"/>
    <s v="Quarter1"/>
    <s v="Qtr_1"/>
    <x v="0"/>
    <d v="2024-10-01T00:00:00"/>
    <d v="2024-10-31T00:00:00"/>
    <x v="0"/>
    <x v="40"/>
    <n v="0"/>
    <n v="37"/>
    <n v="0"/>
    <n v="0"/>
    <n v="0"/>
    <n v="17"/>
    <n v="2"/>
    <n v="1"/>
    <n v="0"/>
    <n v="0"/>
    <n v="0"/>
    <n v="1"/>
    <n v="0"/>
    <n v="0"/>
    <n v="0"/>
    <n v="0"/>
    <n v="0"/>
    <n v="0"/>
    <n v="0"/>
    <n v="0"/>
    <n v="0"/>
  </r>
  <r>
    <n v="1175"/>
    <d v="2025-01-02T14:55:54"/>
    <d v="2025-01-02T14:58:23"/>
    <s v="mchirwa@lighthouse.org.mw"/>
    <s v="Margaret Chirwa"/>
    <x v="0"/>
    <s v="Prototype"/>
    <x v="1"/>
    <s v="COP_24"/>
    <s v="COP_24"/>
    <s v="Quarter4"/>
    <s v="Quarter1"/>
    <s v="Qtr_1"/>
    <x v="1"/>
    <d v="2024-11-01T00:00:00"/>
    <d v="2024-11-30T00:00:00"/>
    <x v="1"/>
    <x v="0"/>
    <n v="0"/>
    <n v="32"/>
    <n v="1"/>
    <n v="1"/>
    <n v="0"/>
    <n v="24"/>
    <n v="4"/>
    <n v="4"/>
    <n v="0"/>
    <n v="0"/>
    <n v="0"/>
    <n v="4"/>
    <n v="0"/>
    <n v="0"/>
    <n v="0"/>
    <n v="0"/>
    <n v="0"/>
    <n v="0"/>
    <n v="0"/>
    <n v="0"/>
    <n v="0"/>
  </r>
  <r>
    <n v="1176"/>
    <d v="2025-01-02T14:58:26"/>
    <d v="2025-01-02T14:59:43"/>
    <s v="mchirwa@lighthouse.org.mw"/>
    <s v="Margaret Chirwa"/>
    <x v="0"/>
    <s v="Prototype"/>
    <x v="1"/>
    <s v="COP_24"/>
    <s v="COP_24"/>
    <s v="Quarter4"/>
    <s v="Quarter1"/>
    <s v="Qtr_1"/>
    <x v="1"/>
    <d v="2024-11-01T00:00:00"/>
    <d v="2024-11-30T00:00:00"/>
    <x v="3"/>
    <x v="21"/>
    <n v="0"/>
    <n v="0"/>
    <n v="0"/>
    <n v="0"/>
    <n v="0"/>
    <n v="0"/>
    <n v="0"/>
    <n v="0"/>
    <n v="0"/>
    <n v="0"/>
    <n v="0"/>
    <n v="0"/>
    <n v="0"/>
    <n v="0"/>
    <n v="0"/>
    <n v="0"/>
    <n v="0"/>
    <n v="0"/>
    <n v="0"/>
    <n v="0"/>
    <n v="0"/>
  </r>
  <r>
    <n v="1177"/>
    <d v="2025-01-02T14:59:54"/>
    <d v="2025-01-02T15:00:52"/>
    <s v="mchirwa@lighthouse.org.mw"/>
    <s v="Margaret Chirwa"/>
    <x v="0"/>
    <s v="Prototype"/>
    <x v="1"/>
    <s v="COP_24"/>
    <s v="COP_24"/>
    <s v="Quarter4"/>
    <s v="Quarter1"/>
    <s v="Qtr_1"/>
    <x v="1"/>
    <d v="2024-11-01T00:00:00"/>
    <d v="2024-11-30T00:00:00"/>
    <x v="4"/>
    <x v="18"/>
    <n v="0"/>
    <n v="1"/>
    <n v="0"/>
    <n v="0"/>
    <n v="0"/>
    <n v="0"/>
    <n v="0"/>
    <n v="0"/>
    <n v="0"/>
    <n v="0"/>
    <n v="0"/>
    <n v="0"/>
    <n v="0"/>
    <n v="0"/>
    <n v="0"/>
    <n v="0"/>
    <n v="0"/>
    <n v="0"/>
    <n v="0"/>
    <n v="0"/>
    <n v="0"/>
  </r>
  <r>
    <n v="1178"/>
    <d v="2025-01-02T15:00:56"/>
    <d v="2025-01-02T15:04:13"/>
    <s v="mchirwa@lighthouse.org.mw"/>
    <s v="Margaret Chirwa"/>
    <x v="0"/>
    <s v="Prototype"/>
    <x v="1"/>
    <s v="COP_24"/>
    <s v="COP_24"/>
    <s v="Quarter4"/>
    <s v="Quarter1"/>
    <s v="Qtr_1"/>
    <x v="1"/>
    <d v="2024-11-01T00:00:00"/>
    <d v="2024-11-30T00:00:00"/>
    <x v="5"/>
    <x v="21"/>
    <n v="0"/>
    <n v="0"/>
    <n v="0"/>
    <n v="0"/>
    <n v="0"/>
    <n v="0"/>
    <n v="0"/>
    <n v="0"/>
    <n v="0"/>
    <n v="0"/>
    <n v="0"/>
    <n v="0"/>
    <n v="0"/>
    <n v="0"/>
    <n v="0"/>
    <n v="0"/>
    <n v="0"/>
    <n v="0"/>
    <n v="0"/>
    <n v="0"/>
    <n v="0"/>
  </r>
  <r>
    <n v="1179"/>
    <d v="2025-01-02T15:04:17"/>
    <d v="2025-01-02T15:06:25"/>
    <s v="mchirwa@lighthouse.org.mw"/>
    <s v="Margaret Chirwa"/>
    <x v="0"/>
    <s v="Prototype"/>
    <x v="1"/>
    <s v="COP_24"/>
    <s v="COP_24"/>
    <s v="Quarter4"/>
    <s v="Quarter1"/>
    <s v="Qtr_1"/>
    <x v="1"/>
    <d v="2024-11-01T00:00:00"/>
    <d v="2024-11-30T00:00:00"/>
    <x v="2"/>
    <x v="36"/>
    <n v="0"/>
    <n v="9"/>
    <n v="2"/>
    <n v="0"/>
    <n v="0"/>
    <n v="11"/>
    <n v="6"/>
    <n v="6"/>
    <n v="0"/>
    <n v="0"/>
    <n v="0"/>
    <n v="6"/>
    <n v="0"/>
    <n v="0"/>
    <n v="0"/>
    <n v="0"/>
    <n v="0"/>
    <n v="0"/>
    <n v="0"/>
    <n v="0"/>
    <n v="0"/>
  </r>
  <r>
    <n v="1180"/>
    <d v="2025-01-02T15:22:07"/>
    <d v="2025-01-02T15:22:39"/>
    <s v="mchirwa@lighthouse.org.mw"/>
    <s v="Margaret Chirwa"/>
    <x v="0"/>
    <s v="Prototype"/>
    <x v="1"/>
    <s v="COP_24"/>
    <s v="COP_24"/>
    <s v="Quarter4"/>
    <s v="Quarter1"/>
    <s v="Qtr_1"/>
    <x v="1"/>
    <d v="2024-11-01T00:00:00"/>
    <d v="2024-11-30T00:00:00"/>
    <x v="0"/>
    <x v="8"/>
    <n v="0"/>
    <n v="41"/>
    <n v="3"/>
    <n v="1"/>
    <n v="0"/>
    <n v="35"/>
    <n v="10"/>
    <n v="10"/>
    <n v="0"/>
    <n v="0"/>
    <n v="0"/>
    <n v="10"/>
    <n v="0"/>
    <n v="0"/>
    <n v="0"/>
    <n v="0"/>
    <n v="0"/>
    <n v="0"/>
    <n v="0"/>
    <n v="0"/>
    <n v="0"/>
  </r>
  <r>
    <n v="1261"/>
    <d v="2025-01-14T11:47:53"/>
    <d v="2025-01-14T11:51:28"/>
    <s v="mchirwa@lighthouse.org.mw"/>
    <s v="Margaret Chirwa"/>
    <x v="0"/>
    <s v="Prototype"/>
    <x v="1"/>
    <s v="COP_24"/>
    <s v="COP_24"/>
    <s v="Quarter4"/>
    <s v="Quarter1"/>
    <s v="Qtr_1"/>
    <x v="11"/>
    <d v="2024-12-01T00:00:00"/>
    <d v="2023-12-31T00:00:00"/>
    <x v="1"/>
    <x v="38"/>
    <n v="0"/>
    <n v="33"/>
    <n v="1"/>
    <n v="2"/>
    <n v="0"/>
    <n v="17"/>
    <n v="1"/>
    <n v="1"/>
    <n v="0"/>
    <n v="0"/>
    <n v="0"/>
    <n v="1"/>
    <n v="0"/>
    <n v="0"/>
    <n v="0"/>
    <n v="0"/>
    <n v="0"/>
    <n v="0"/>
    <n v="0"/>
    <n v="0"/>
    <n v="0"/>
  </r>
  <r>
    <n v="1263"/>
    <d v="2025-01-14T11:51:35"/>
    <d v="2025-01-14T11:53:58"/>
    <s v="mchirwa@lighthouse.org.mw"/>
    <s v="Margaret Chirwa"/>
    <x v="0"/>
    <s v="Prototype"/>
    <x v="1"/>
    <s v="COP_24"/>
    <s v="COP_24"/>
    <s v="Quarter4"/>
    <s v="Quarter1"/>
    <s v="Qtr_1"/>
    <x v="11"/>
    <d v="2024-12-01T00:00:00"/>
    <d v="2024-12-31T00:00:00"/>
    <x v="3"/>
    <x v="18"/>
    <n v="0"/>
    <n v="0"/>
    <n v="0"/>
    <n v="1"/>
    <n v="0"/>
    <n v="0"/>
    <n v="0"/>
    <n v="0"/>
    <n v="0"/>
    <n v="0"/>
    <n v="0"/>
    <n v="0"/>
    <n v="0"/>
    <n v="0"/>
    <n v="0"/>
    <n v="0"/>
    <n v="0"/>
    <n v="0"/>
    <n v="0"/>
    <n v="0"/>
    <n v="0"/>
  </r>
  <r>
    <n v="1265"/>
    <d v="2025-01-14T11:54:02"/>
    <d v="2025-01-14T11:58:51"/>
    <s v="mchirwa@lighthouse.org.mw"/>
    <s v="Margaret Chirwa"/>
    <x v="0"/>
    <s v="Prototype"/>
    <x v="1"/>
    <s v="COP_24"/>
    <s v="COP_24"/>
    <s v="Quarter4"/>
    <s v="Quarter1"/>
    <s v="Qtr_1"/>
    <x v="11"/>
    <d v="2024-12-01T00:00:00"/>
    <d v="2024-12-31T00:00:00"/>
    <x v="4"/>
    <x v="21"/>
    <n v="0"/>
    <n v="0"/>
    <n v="0"/>
    <n v="0"/>
    <n v="0"/>
    <n v="0"/>
    <n v="0"/>
    <n v="0"/>
    <n v="0"/>
    <n v="0"/>
    <n v="0"/>
    <n v="0"/>
    <n v="0"/>
    <n v="0"/>
    <n v="0"/>
    <n v="0"/>
    <n v="0"/>
    <n v="0"/>
    <n v="0"/>
    <n v="0"/>
    <n v="0"/>
  </r>
  <r>
    <n v="1266"/>
    <d v="2025-01-14T11:58:55"/>
    <d v="2025-01-14T12:11:47"/>
    <s v="mchirwa@lighthouse.org.mw"/>
    <s v="Margaret Chirwa"/>
    <x v="0"/>
    <s v="Prototype"/>
    <x v="1"/>
    <s v="COP_24"/>
    <s v="COP_24"/>
    <s v="Quarter4"/>
    <s v="Quarter1"/>
    <s v="Qtr_1"/>
    <x v="11"/>
    <d v="2024-12-01T00:00:00"/>
    <d v="2024-12-31T00:00:00"/>
    <x v="5"/>
    <x v="18"/>
    <n v="0"/>
    <n v="0"/>
    <n v="0"/>
    <n v="1"/>
    <n v="0"/>
    <n v="0"/>
    <n v="0"/>
    <n v="0"/>
    <n v="0"/>
    <n v="0"/>
    <n v="0"/>
    <n v="0"/>
    <n v="0"/>
    <n v="0"/>
    <n v="0"/>
    <n v="0"/>
    <n v="0"/>
    <n v="0"/>
    <n v="0"/>
    <n v="0"/>
    <n v="0"/>
  </r>
  <r>
    <n v="1267"/>
    <d v="2025-01-14T12:11:51"/>
    <d v="2025-01-14T12:19:52"/>
    <s v="mchirwa@lighthouse.org.mw"/>
    <s v="Margaret Chirwa"/>
    <x v="0"/>
    <s v="Prototype"/>
    <x v="1"/>
    <s v="COP_24"/>
    <s v="COP_24"/>
    <s v="Quarter4"/>
    <s v="Quarter1"/>
    <s v="Qtr_1"/>
    <x v="11"/>
    <d v="2024-12-01T00:00:00"/>
    <d v="2024-12-31T00:00:00"/>
    <x v="2"/>
    <x v="20"/>
    <n v="0"/>
    <n v="1"/>
    <n v="1"/>
    <n v="0"/>
    <n v="0"/>
    <n v="0"/>
    <n v="0"/>
    <n v="2"/>
    <n v="0"/>
    <n v="0"/>
    <n v="0"/>
    <n v="2"/>
    <n v="0"/>
    <n v="0"/>
    <n v="0"/>
    <n v="0"/>
    <n v="0"/>
    <n v="0"/>
    <n v="0"/>
    <n v="0"/>
    <n v="0"/>
  </r>
  <r>
    <n v="1268"/>
    <d v="2025-01-14T12:19:57"/>
    <d v="2025-01-14T12:27:10"/>
    <s v="mchirwa@lighthouse.org.mw"/>
    <s v="Margaret Chirwa"/>
    <x v="0"/>
    <s v="Prototype"/>
    <x v="1"/>
    <s v="COP_24"/>
    <s v="COP_24"/>
    <s v="Quarter4"/>
    <s v="Quarter1"/>
    <s v="Qtr_1"/>
    <x v="11"/>
    <d v="2024-12-01T00:00:00"/>
    <d v="2024-12-31T00:00:00"/>
    <x v="0"/>
    <x v="38"/>
    <n v="0"/>
    <n v="0"/>
    <n v="33"/>
    <n v="1"/>
    <n v="2"/>
    <n v="18"/>
    <n v="1"/>
    <n v="3"/>
    <n v="0"/>
    <n v="0"/>
    <n v="0"/>
    <n v="3"/>
    <n v="0"/>
    <n v="0"/>
    <n v="0"/>
    <n v="0"/>
    <n v="0"/>
    <n v="0"/>
    <n v="0"/>
    <n v="0"/>
    <n v="0"/>
  </r>
  <r>
    <n v="1269"/>
    <d v="2025-01-14T12:27:58"/>
    <d v="2025-01-14T12:30:49"/>
    <s v="mchirwa@lighthouse.org.mw"/>
    <s v="Margaret Chirwa"/>
    <x v="0"/>
    <s v="Prototype"/>
    <x v="1"/>
    <s v="COP_24"/>
    <s v="COP_24"/>
    <s v="Quarter4"/>
    <s v="Quarter1"/>
    <s v="Qtr_1"/>
    <x v="11"/>
    <d v="2024-12-01T00:00:00"/>
    <d v="2024-12-31T00:00:00"/>
    <x v="2"/>
    <x v="20"/>
    <n v="0"/>
    <n v="1"/>
    <n v="1"/>
    <n v="0"/>
    <n v="0"/>
    <n v="0"/>
    <n v="0"/>
    <n v="2"/>
    <n v="0"/>
    <n v="0"/>
    <n v="0"/>
    <n v="2"/>
    <n v="0"/>
    <n v="0"/>
    <n v="0"/>
    <n v="0"/>
    <n v="0"/>
    <n v="0"/>
    <n v="0"/>
    <n v="0"/>
    <n v="0"/>
  </r>
  <r>
    <n v="1432"/>
    <d v="2025-03-19T08:14:19"/>
    <d v="2025-03-19T08:25:42"/>
    <s v="mchirwa@lighthouse.org.mw"/>
    <s v="Margaret Chirwa"/>
    <x v="0"/>
    <s v="Prototype"/>
    <x v="2"/>
    <s v="COP_22"/>
    <s v="COP_24"/>
    <s v="Quarter1"/>
    <s v="Quarter2"/>
    <s v="Qtr_2"/>
    <x v="4"/>
    <d v="2025-01-01T00:00:00"/>
    <d v="2025-01-31T00:00:00"/>
    <x v="1"/>
    <x v="0"/>
    <n v="1"/>
    <n v="26"/>
    <n v="2"/>
    <n v="0"/>
    <n v="1"/>
    <n v="0"/>
    <n v="0"/>
    <n v="1"/>
    <n v="0"/>
    <n v="0"/>
    <n v="0"/>
    <n v="1"/>
    <n v="0"/>
    <n v="0"/>
    <n v="0"/>
    <n v="0"/>
    <n v="0"/>
    <n v="0"/>
    <n v="0"/>
    <n v="0"/>
    <n v="0"/>
  </r>
  <r>
    <n v="1433"/>
    <d v="2025-03-19T08:25:45"/>
    <d v="2025-03-19T08:27:38"/>
    <s v="mchirwa@lighthouse.org.mw"/>
    <s v="Margaret Chirwa"/>
    <x v="0"/>
    <s v="Prototype"/>
    <x v="2"/>
    <s v="COP_23"/>
    <s v="COP_24"/>
    <s v="Quarter1"/>
    <s v="Quarter2"/>
    <s v="Qtr_2"/>
    <x v="4"/>
    <d v="2025-01-01T00:00:00"/>
    <d v="2025-01-31T00:00:00"/>
    <x v="3"/>
    <x v="30"/>
    <n v="0"/>
    <n v="2"/>
    <n v="0"/>
    <n v="0"/>
    <n v="1"/>
    <n v="0"/>
    <n v="0"/>
    <n v="0"/>
    <n v="0"/>
    <n v="0"/>
    <n v="0"/>
    <n v="0"/>
    <n v="0"/>
    <n v="0"/>
    <n v="0"/>
    <n v="0"/>
    <n v="0"/>
    <n v="0"/>
    <n v="0"/>
    <n v="0"/>
    <n v="0"/>
  </r>
  <r>
    <n v="1434"/>
    <d v="2025-03-19T08:27:48"/>
    <d v="2025-03-19T08:30:46"/>
    <s v="mchirwa@lighthouse.org.mw"/>
    <s v="Margaret Chirwa"/>
    <x v="0"/>
    <s v="Prototype"/>
    <x v="2"/>
    <s v="COP_23"/>
    <s v="COP_24"/>
    <s v="Quarter1"/>
    <s v="Quarter2"/>
    <s v="Qtr_2"/>
    <x v="4"/>
    <d v="2025-01-01T00:00:00"/>
    <d v="2025-01-31T00:00:00"/>
    <x v="4"/>
    <x v="21"/>
    <n v="0"/>
    <n v="0"/>
    <n v="0"/>
    <n v="0"/>
    <n v="0"/>
    <n v="0"/>
    <n v="0"/>
    <n v="0"/>
    <n v="0"/>
    <n v="0"/>
    <n v="0"/>
    <n v="0"/>
    <n v="0"/>
    <n v="0"/>
    <n v="0"/>
    <n v="0"/>
    <n v="0"/>
    <n v="0"/>
    <n v="0"/>
    <n v="0"/>
    <n v="0"/>
  </r>
  <r>
    <n v="1435"/>
    <d v="2025-03-19T08:31:04"/>
    <d v="2025-03-19T08:31:58"/>
    <s v="mchirwa@lighthouse.org.mw"/>
    <s v="Margaret Chirwa"/>
    <x v="0"/>
    <s v="Prototype"/>
    <x v="2"/>
    <s v="COP_23"/>
    <s v="COP_24"/>
    <s v="Quarter1"/>
    <s v="Quarter2"/>
    <s v="Qtr_2"/>
    <x v="4"/>
    <d v="2025-01-01T00:00:00"/>
    <d v="2025-01-31T00:00:00"/>
    <x v="5"/>
    <x v="21"/>
    <n v="0"/>
    <n v="0"/>
    <n v="0"/>
    <n v="0"/>
    <n v="0"/>
    <n v="0"/>
    <n v="0"/>
    <n v="0"/>
    <n v="0"/>
    <n v="0"/>
    <n v="0"/>
    <n v="0"/>
    <n v="0"/>
    <n v="0"/>
    <n v="0"/>
    <n v="0"/>
    <n v="0"/>
    <n v="0"/>
    <n v="0"/>
    <n v="0"/>
    <n v="0"/>
  </r>
  <r>
    <n v="1436"/>
    <d v="2025-03-19T08:33:35"/>
    <d v="2025-03-19T08:36:52"/>
    <s v="mchirwa@lighthouse.org.mw"/>
    <s v="Margaret Chirwa"/>
    <x v="0"/>
    <s v="Prototype"/>
    <x v="2"/>
    <s v="COP_23"/>
    <s v="COP_24"/>
    <s v="Quarter1"/>
    <s v="Quarter2"/>
    <s v="Qtr_2"/>
    <x v="4"/>
    <d v="2025-01-01T00:00:00"/>
    <d v="2025-01-31T00:00:00"/>
    <x v="6"/>
    <x v="21"/>
    <n v="0"/>
    <n v="0"/>
    <n v="0"/>
    <n v="0"/>
    <n v="0"/>
    <n v="0"/>
    <n v="0"/>
    <n v="0"/>
    <n v="0"/>
    <n v="0"/>
    <n v="0"/>
    <n v="0"/>
    <n v="0"/>
    <n v="0"/>
    <n v="0"/>
    <n v="0"/>
    <n v="0"/>
    <n v="0"/>
    <n v="0"/>
    <n v="0"/>
    <n v="0"/>
  </r>
  <r>
    <n v="1437"/>
    <d v="2025-03-19T08:37:24"/>
    <d v="2025-03-19T08:42:54"/>
    <s v="mchirwa@lighthouse.org.mw"/>
    <s v="Margaret Chirwa"/>
    <x v="0"/>
    <s v="Prototype"/>
    <x v="2"/>
    <s v="COP_23"/>
    <s v="COP_24"/>
    <s v="Quarter1"/>
    <s v="Quarter2"/>
    <s v="Qtr_2"/>
    <x v="4"/>
    <d v="2025-01-01T00:00:00"/>
    <d v="2025-01-31T00:00:00"/>
    <x v="0"/>
    <x v="2"/>
    <n v="1"/>
    <n v="27"/>
    <n v="2"/>
    <n v="0"/>
    <n v="1"/>
    <n v="0"/>
    <n v="0"/>
    <n v="1"/>
    <n v="0"/>
    <n v="0"/>
    <n v="0"/>
    <n v="1"/>
    <n v="0"/>
    <n v="0"/>
    <n v="0"/>
    <n v="0"/>
    <n v="0"/>
    <n v="0"/>
    <n v="0"/>
    <n v="0"/>
    <n v="0"/>
  </r>
  <r>
    <n v="1438"/>
    <d v="2025-03-19T08:43:08"/>
    <d v="2025-03-19T08:49:56"/>
    <s v="mchirwa@lighthouse.org.mw"/>
    <s v="Margaret Chirwa"/>
    <x v="0"/>
    <s v="Prototype"/>
    <x v="2"/>
    <s v="COP_23"/>
    <s v="COP_24"/>
    <s v="Quarter1"/>
    <s v="Quarter2"/>
    <s v="Qtr_2"/>
    <x v="5"/>
    <d v="2025-02-01T00:00:00"/>
    <d v="2025-02-28T00:00:00"/>
    <x v="1"/>
    <x v="41"/>
    <n v="0"/>
    <n v="13"/>
    <n v="1"/>
    <n v="0"/>
    <n v="0"/>
    <n v="0"/>
    <n v="0"/>
    <n v="0"/>
    <n v="0"/>
    <n v="0"/>
    <n v="0"/>
    <n v="0"/>
    <n v="0"/>
    <n v="0"/>
    <n v="0"/>
    <n v="0"/>
    <n v="0"/>
    <n v="0"/>
    <n v="0"/>
    <n v="0"/>
    <n v="0"/>
  </r>
  <r>
    <n v="1439"/>
    <d v="2025-03-19T08:50:50"/>
    <d v="2025-03-19T08:53:12"/>
    <s v="mchirwa@lighthouse.org.mw"/>
    <s v="Margaret Chirwa"/>
    <x v="0"/>
    <s v="Prototype"/>
    <x v="2"/>
    <s v="COP_23"/>
    <s v="COP_24"/>
    <s v="Quarter1"/>
    <s v="Quarter2"/>
    <s v="Qtr_2"/>
    <x v="5"/>
    <d v="2025-02-01T00:00:00"/>
    <d v="2025-02-28T00:00:00"/>
    <x v="3"/>
    <x v="21"/>
    <n v="0"/>
    <n v="0"/>
    <n v="0"/>
    <n v="0"/>
    <n v="0"/>
    <n v="0"/>
    <n v="0"/>
    <n v="0"/>
    <n v="0"/>
    <n v="0"/>
    <n v="0"/>
    <n v="0"/>
    <n v="0"/>
    <n v="0"/>
    <n v="0"/>
    <n v="0"/>
    <n v="0"/>
    <n v="0"/>
    <n v="0"/>
    <n v="0"/>
    <n v="0"/>
  </r>
  <r>
    <n v="1440"/>
    <d v="2025-03-19T08:53:25"/>
    <d v="2025-03-19T08:55:16"/>
    <s v="mchirwa@lighthouse.org.mw"/>
    <s v="Margaret Chirwa"/>
    <x v="0"/>
    <s v="Prototype"/>
    <x v="2"/>
    <s v="COP_23"/>
    <s v="COP_24"/>
    <s v="Quarter1"/>
    <s v="Quarter2"/>
    <s v="Qtr_2"/>
    <x v="5"/>
    <d v="2025-02-01T00:00:00"/>
    <d v="2025-02-28T00:00:00"/>
    <x v="4"/>
    <x v="21"/>
    <n v="0"/>
    <n v="0"/>
    <n v="0"/>
    <n v="0"/>
    <n v="0"/>
    <n v="0"/>
    <n v="0"/>
    <n v="0"/>
    <n v="0"/>
    <n v="0"/>
    <n v="0"/>
    <n v="0"/>
    <n v="0"/>
    <n v="0"/>
    <n v="0"/>
    <n v="0"/>
    <n v="0"/>
    <n v="0"/>
    <n v="0"/>
    <n v="0"/>
    <n v="0"/>
  </r>
  <r>
    <n v="1441"/>
    <d v="2025-03-19T08:55:21"/>
    <d v="2025-03-19T08:56:16"/>
    <s v="mchirwa@lighthouse.org.mw"/>
    <s v="Margaret Chirwa"/>
    <x v="0"/>
    <s v="Prototype"/>
    <x v="2"/>
    <s v="COP_23"/>
    <s v="COP_24"/>
    <s v="Quarter1"/>
    <s v="Quarter2"/>
    <s v="Qtr_2"/>
    <x v="5"/>
    <d v="2025-02-01T00:00:00"/>
    <d v="2025-02-28T00:00:00"/>
    <x v="5"/>
    <x v="21"/>
    <n v="0"/>
    <n v="0"/>
    <n v="0"/>
    <n v="0"/>
    <n v="0"/>
    <n v="0"/>
    <n v="0"/>
    <n v="0"/>
    <n v="0"/>
    <n v="0"/>
    <n v="0"/>
    <n v="0"/>
    <n v="0"/>
    <n v="0"/>
    <n v="0"/>
    <n v="0"/>
    <n v="0"/>
    <n v="0"/>
    <n v="0"/>
    <n v="0"/>
    <n v="0"/>
  </r>
  <r>
    <n v="1442"/>
    <d v="2025-03-19T08:56:46"/>
    <d v="2025-03-19T08:57:31"/>
    <s v="mchirwa@lighthouse.org.mw"/>
    <s v="Margaret Chirwa"/>
    <x v="0"/>
    <s v="Prototype"/>
    <x v="2"/>
    <s v="COP_23"/>
    <s v="COP_24"/>
    <s v="Quarter1"/>
    <s v="Quarter2"/>
    <s v="Qtr_2"/>
    <x v="5"/>
    <d v="2025-02-01T00:00:00"/>
    <d v="2025-02-28T00:00:00"/>
    <x v="2"/>
    <x v="21"/>
    <n v="0"/>
    <n v="0"/>
    <n v="0"/>
    <n v="0"/>
    <n v="0"/>
    <n v="0"/>
    <n v="0"/>
    <n v="0"/>
    <n v="0"/>
    <n v="0"/>
    <n v="0"/>
    <n v="0"/>
    <n v="0"/>
    <n v="0"/>
    <n v="0"/>
    <n v="0"/>
    <n v="0"/>
    <n v="0"/>
    <n v="0"/>
    <n v="0"/>
    <n v="0"/>
  </r>
  <r>
    <n v="1443"/>
    <d v="2025-03-19T08:57:33"/>
    <d v="2025-03-19T08:58:40"/>
    <s v="mchirwa@lighthouse.org.mw"/>
    <s v="Margaret Chirwa"/>
    <x v="0"/>
    <s v="Prototype"/>
    <x v="2"/>
    <s v="COP_23"/>
    <s v="COP_24"/>
    <s v="Quarter1"/>
    <s v="Quarter2"/>
    <s v="Qtr_2"/>
    <x v="5"/>
    <d v="2025-02-01T00:00:00"/>
    <d v="2025-02-28T00:00:00"/>
    <x v="6"/>
    <x v="21"/>
    <n v="0"/>
    <n v="0"/>
    <n v="0"/>
    <n v="0"/>
    <n v="0"/>
    <n v="0"/>
    <n v="0"/>
    <n v="0"/>
    <n v="0"/>
    <n v="0"/>
    <n v="0"/>
    <n v="0"/>
    <n v="0"/>
    <n v="0"/>
    <n v="0"/>
    <n v="0"/>
    <n v="0"/>
    <n v="0"/>
    <n v="0"/>
    <n v="0"/>
    <n v="0"/>
  </r>
  <r>
    <n v="1444"/>
    <d v="2025-03-19T08:59:02"/>
    <d v="2025-03-19T09:00:36"/>
    <s v="mchirwa@lighthouse.org.mw"/>
    <s v="Margaret Chirwa"/>
    <x v="0"/>
    <s v="Prototype"/>
    <x v="2"/>
    <s v="COP_23"/>
    <s v="COP_24"/>
    <s v="Quarter1"/>
    <s v="Quarter2"/>
    <s v="Qtr_2"/>
    <x v="5"/>
    <d v="2025-02-01T00:00:00"/>
    <d v="2025-02-28T00:00:00"/>
    <x v="0"/>
    <x v="42"/>
    <n v="0"/>
    <n v="13"/>
    <n v="1"/>
    <n v="0"/>
    <n v="0"/>
    <n v="0"/>
    <n v="0"/>
    <n v="0"/>
    <n v="0"/>
    <n v="0"/>
    <n v="0"/>
    <n v="0"/>
    <n v="0"/>
    <n v="0"/>
    <n v="0"/>
    <n v="0"/>
    <n v="0"/>
    <n v="0"/>
    <n v="0"/>
    <n v="0"/>
    <n v="0"/>
  </r>
  <r>
    <n v="1504"/>
    <d v="2025-04-04T10:38:39"/>
    <d v="2025-04-04T10:45:55"/>
    <s v="mchirwa@lighthouse.org.mw"/>
    <s v="Margaret Chirwa"/>
    <x v="0"/>
    <s v="Prototype"/>
    <x v="2"/>
    <s v="COP_23"/>
    <s v="COP_24"/>
    <s v="Quarter1"/>
    <s v="Quarter2"/>
    <s v="Qtr_2"/>
    <x v="3"/>
    <d v="2025-03-01T00:00:00"/>
    <d v="2025-03-31T00:00:00"/>
    <x v="1"/>
    <x v="43"/>
    <n v="0"/>
    <n v="32"/>
    <n v="0"/>
    <n v="0"/>
    <n v="0"/>
    <n v="17"/>
    <n v="3"/>
    <n v="0"/>
    <n v="0"/>
    <n v="0"/>
    <n v="0"/>
    <n v="3"/>
    <n v="0"/>
    <n v="0"/>
    <n v="0"/>
    <n v="0"/>
    <n v="0"/>
    <n v="0"/>
    <n v="0"/>
    <n v="0"/>
    <n v="0"/>
  </r>
  <r>
    <n v="1505"/>
    <d v="2025-04-04T10:46:00"/>
    <d v="2025-04-04T10:52:56"/>
    <s v="mchirwa@lighthouse.org.mw"/>
    <s v="Margaret Chirwa"/>
    <x v="0"/>
    <s v="Prototype"/>
    <x v="2"/>
    <s v="COP_23"/>
    <s v="COP_24"/>
    <s v="Quarter1"/>
    <s v="Quarter2"/>
    <s v="Qtr_2"/>
    <x v="3"/>
    <d v="2025-03-01T00:00:00"/>
    <d v="2025-03-31T00:00:00"/>
    <x v="3"/>
    <x v="30"/>
    <n v="0"/>
    <n v="3"/>
    <n v="0"/>
    <n v="0"/>
    <n v="0"/>
    <n v="0"/>
    <n v="0"/>
    <n v="0"/>
    <n v="0"/>
    <n v="0"/>
    <n v="0"/>
    <n v="0"/>
    <n v="0"/>
    <n v="0"/>
    <n v="0"/>
    <n v="0"/>
    <n v="0"/>
    <n v="0"/>
    <n v="0"/>
    <n v="0"/>
    <n v="0"/>
  </r>
  <r>
    <n v="1506"/>
    <d v="2025-04-04T10:53:00"/>
    <d v="2025-04-04T10:55:21"/>
    <s v="mchirwa@lighthouse.org.mw"/>
    <s v="Margaret Chirwa"/>
    <x v="0"/>
    <s v="Prototype"/>
    <x v="2"/>
    <s v="COP_23"/>
    <s v="COP_24"/>
    <s v="Quarter1"/>
    <s v="Quarter2"/>
    <s v="Qtr_2"/>
    <x v="3"/>
    <d v="2025-03-01T00:00:00"/>
    <d v="2025-03-31T00:00:00"/>
    <x v="4"/>
    <x v="21"/>
    <n v="0"/>
    <n v="0"/>
    <n v="0"/>
    <n v="0"/>
    <n v="0"/>
    <n v="0"/>
    <n v="0"/>
    <n v="0"/>
    <n v="0"/>
    <n v="0"/>
    <n v="0"/>
    <n v="0"/>
    <n v="0"/>
    <n v="0"/>
    <n v="0"/>
    <n v="0"/>
    <n v="0"/>
    <n v="0"/>
    <n v="0"/>
    <n v="0"/>
    <n v="0"/>
  </r>
  <r>
    <n v="1507"/>
    <d v="2025-04-04T10:55:31"/>
    <d v="2025-04-04T10:58:34"/>
    <s v="mchirwa@lighthouse.org.mw"/>
    <s v="Margaret Chirwa"/>
    <x v="0"/>
    <s v="Prototype"/>
    <x v="2"/>
    <s v="COP_23"/>
    <s v="COP_24"/>
    <s v="Quarter1"/>
    <s v="Quarter2"/>
    <s v="Qtr_2"/>
    <x v="3"/>
    <d v="2025-03-01T00:00:00"/>
    <d v="2025-03-31T00:00:00"/>
    <x v="5"/>
    <x v="18"/>
    <n v="0"/>
    <n v="1"/>
    <n v="0"/>
    <n v="0"/>
    <n v="0"/>
    <n v="0"/>
    <n v="1"/>
    <n v="0"/>
    <n v="0"/>
    <n v="0"/>
    <n v="0"/>
    <n v="1"/>
    <n v="0"/>
    <n v="0"/>
    <n v="0"/>
    <n v="0"/>
    <n v="0"/>
    <n v="0"/>
    <n v="0"/>
    <n v="0"/>
    <n v="0"/>
  </r>
  <r>
    <n v="1508"/>
    <d v="2025-04-04T11:11:58"/>
    <d v="2025-04-04T11:25:58"/>
    <s v="mchirwa@lighthouse.org.mw"/>
    <s v="Margaret Chirwa"/>
    <x v="0"/>
    <s v="Prototype"/>
    <x v="2"/>
    <s v="COP_23"/>
    <s v="COP_24"/>
    <s v="Quarter1"/>
    <s v="Quarter2"/>
    <s v="Qtr_2"/>
    <x v="3"/>
    <d v="2025-03-01T00:00:00"/>
    <d v="2025-03-31T00:00:00"/>
    <x v="2"/>
    <x v="25"/>
    <n v="0"/>
    <n v="7"/>
    <n v="1"/>
    <n v="0"/>
    <n v="1"/>
    <n v="7"/>
    <n v="1"/>
    <n v="0"/>
    <n v="0"/>
    <n v="0"/>
    <n v="0"/>
    <n v="1"/>
    <n v="1"/>
    <n v="0"/>
    <n v="0"/>
    <n v="0"/>
    <n v="0"/>
    <n v="0"/>
    <n v="0"/>
    <n v="1"/>
    <n v="0"/>
  </r>
  <r>
    <n v="1509"/>
    <d v="2025-04-04T11:27:05"/>
    <d v="2025-04-04T11:30:09"/>
    <s v="mchirwa@lighthouse.org.mw"/>
    <s v="Margaret Chirwa"/>
    <x v="0"/>
    <s v="Prototype"/>
    <x v="2"/>
    <s v="COP_23"/>
    <s v="COP_24"/>
    <s v="Quarter1"/>
    <s v="Quarter2"/>
    <s v="Qtr_2"/>
    <x v="3"/>
    <d v="2025-03-01T00:00:00"/>
    <d v="2025-03-31T00:00:00"/>
    <x v="6"/>
    <x v="21"/>
    <n v="0"/>
    <n v="0"/>
    <n v="0"/>
    <n v="0"/>
    <n v="0"/>
    <n v="0"/>
    <n v="0"/>
    <n v="0"/>
    <n v="0"/>
    <n v="0"/>
    <n v="0"/>
    <n v="0"/>
    <n v="0"/>
    <n v="0"/>
    <n v="0"/>
    <n v="0"/>
    <n v="0"/>
    <n v="0"/>
    <n v="0"/>
    <n v="0"/>
    <n v="0"/>
  </r>
  <r>
    <n v="1510"/>
    <d v="2025-04-04T11:30:30"/>
    <d v="2025-04-04T11:31:36"/>
    <s v="mchirwa@lighthouse.org.mw"/>
    <s v="Margaret Chirwa"/>
    <x v="0"/>
    <s v="Prototype"/>
    <x v="2"/>
    <s v="COP_23"/>
    <s v="COP_24"/>
    <s v="Quarter1"/>
    <s v="Quarter2"/>
    <s v="Qtr_2"/>
    <x v="3"/>
    <d v="2025-03-01T00:00:00"/>
    <d v="2025-03-31T00:00:00"/>
    <x v="0"/>
    <x v="5"/>
    <n v="1"/>
    <n v="41"/>
    <n v="1"/>
    <n v="0"/>
    <n v="1"/>
    <n v="27"/>
    <n v="5"/>
    <n v="0"/>
    <n v="0"/>
    <n v="0"/>
    <n v="0"/>
    <n v="5"/>
    <n v="1"/>
    <n v="0"/>
    <n v="0"/>
    <n v="0"/>
    <n v="0"/>
    <n v="0"/>
    <n v="0"/>
    <n v="1"/>
    <n v="0"/>
  </r>
  <r>
    <n v="1583"/>
    <d v="2025-05-07T08:22:33"/>
    <d v="2025-05-07T08:42:57"/>
    <s v="mchirwa@lighthouse.org.mw"/>
    <s v="Margaret Chirwa"/>
    <x v="0"/>
    <s v="Prototype"/>
    <x v="2"/>
    <s v="COP_23"/>
    <m/>
    <s v="Quarter3"/>
    <s v="Quarter3"/>
    <m/>
    <x v="7"/>
    <d v="2025-04-01T00:00:00"/>
    <d v="2025-04-30T00:00:00"/>
    <x v="1"/>
    <x v="43"/>
    <n v="32"/>
    <n v="31"/>
    <n v="1"/>
    <n v="0"/>
    <n v="0"/>
    <n v="32"/>
    <n v="6"/>
    <n v="8"/>
    <n v="0"/>
    <n v="0"/>
    <n v="0"/>
    <n v="8"/>
    <n v="0"/>
    <n v="0"/>
    <n v="0"/>
    <n v="0"/>
    <n v="0"/>
    <n v="0"/>
    <n v="0"/>
    <n v="0"/>
    <n v="0"/>
  </r>
  <r>
    <n v="1584"/>
    <d v="2025-05-07T08:43:36"/>
    <d v="2025-05-07T08:45:57"/>
    <s v="mchirwa@lighthouse.org.mw"/>
    <s v="Margaret Chirwa"/>
    <x v="0"/>
    <s v="Prototype"/>
    <x v="2"/>
    <s v="COP_23"/>
    <m/>
    <s v="Quarter3"/>
    <s v="Quarter3"/>
    <m/>
    <x v="7"/>
    <d v="2025-04-01T00:00:00"/>
    <d v="2025-04-30T00:00:00"/>
    <x v="3"/>
    <x v="21"/>
    <n v="0"/>
    <n v="0"/>
    <n v="0"/>
    <n v="0"/>
    <n v="0"/>
    <n v="0"/>
    <n v="0"/>
    <n v="0"/>
    <n v="0"/>
    <n v="0"/>
    <n v="0"/>
    <n v="0"/>
    <n v="0"/>
    <n v="0"/>
    <n v="0"/>
    <n v="0"/>
    <n v="0"/>
    <n v="0"/>
    <n v="0"/>
    <n v="0"/>
    <n v="0"/>
  </r>
  <r>
    <n v="1585"/>
    <d v="2025-05-07T08:46:02"/>
    <d v="2025-05-07T08:48:04"/>
    <s v="mchirwa@lighthouse.org.mw"/>
    <s v="Margaret Chirwa"/>
    <x v="0"/>
    <s v="Prototype"/>
    <x v="2"/>
    <s v="COP_23"/>
    <m/>
    <s v="Quarter2"/>
    <s v="Quarter3"/>
    <m/>
    <x v="7"/>
    <d v="2025-04-01T00:00:00"/>
    <d v="2025-04-30T00:00:00"/>
    <x v="4"/>
    <x v="20"/>
    <n v="0"/>
    <n v="2"/>
    <n v="0"/>
    <n v="0"/>
    <n v="0"/>
    <n v="2"/>
    <n v="0"/>
    <n v="0"/>
    <n v="0"/>
    <n v="0"/>
    <n v="0"/>
    <n v="0"/>
    <n v="0"/>
    <n v="0"/>
    <n v="0"/>
    <n v="0"/>
    <n v="0"/>
    <n v="0"/>
    <n v="0"/>
    <n v="0"/>
    <n v="0"/>
  </r>
  <r>
    <n v="1586"/>
    <d v="2025-05-07T08:48:09"/>
    <d v="2025-05-07T08:56:40"/>
    <s v="mchirwa@lighthouse.org.mw"/>
    <s v="Margaret Chirwa"/>
    <x v="0"/>
    <s v="Prototype"/>
    <x v="2"/>
    <s v="COP_23"/>
    <m/>
    <s v="Quarter2"/>
    <s v="Quarter3"/>
    <m/>
    <x v="7"/>
    <d v="2025-04-01T00:00:00"/>
    <d v="2025-04-30T00:00:00"/>
    <x v="5"/>
    <x v="44"/>
    <n v="0"/>
    <n v="1"/>
    <n v="0"/>
    <n v="0"/>
    <n v="0"/>
    <n v="1"/>
    <n v="0"/>
    <n v="0"/>
    <n v="0"/>
    <n v="0"/>
    <n v="0"/>
    <n v="0"/>
    <n v="0"/>
    <n v="0"/>
    <n v="0"/>
    <n v="0"/>
    <n v="0"/>
    <n v="0"/>
    <n v="0"/>
    <n v="0"/>
    <n v="0"/>
  </r>
  <r>
    <n v="1588"/>
    <d v="2025-05-07T09:02:49"/>
    <d v="2025-05-07T09:13:02"/>
    <s v="mchirwa@lighthouse.org.mw"/>
    <s v="Margaret Chirwa"/>
    <x v="0"/>
    <s v="Prototype"/>
    <x v="2"/>
    <s v="COP_23"/>
    <m/>
    <s v="Quarter2"/>
    <s v="Quarter3"/>
    <m/>
    <x v="7"/>
    <d v="2025-04-01T00:00:00"/>
    <d v="2025-04-30T00:00:00"/>
    <x v="0"/>
    <x v="32"/>
    <n v="0"/>
    <n v="40"/>
    <n v="2"/>
    <n v="0"/>
    <n v="0"/>
    <n v="42"/>
    <n v="9"/>
    <n v="10"/>
    <n v="0"/>
    <n v="0"/>
    <n v="0"/>
    <n v="10"/>
    <n v="0"/>
    <n v="0"/>
    <n v="0"/>
    <n v="0"/>
    <n v="0"/>
    <n v="0"/>
    <n v="0"/>
    <n v="0"/>
    <n v="0"/>
  </r>
  <r>
    <n v="1671"/>
    <d v="2025-06-11T08:23:40"/>
    <d v="2025-06-11T09:08:00"/>
    <s v="mchirwa@lighthouse.org.mw"/>
    <s v="Margaret Chirwa"/>
    <x v="0"/>
    <s v="Prototype"/>
    <x v="2"/>
    <s v="COP_23"/>
    <m/>
    <s v="Quarter2"/>
    <s v="Quarter3"/>
    <m/>
    <x v="6"/>
    <d v="2025-05-01T00:00:00"/>
    <d v="2025-05-31T00:00:00"/>
    <x v="1"/>
    <x v="1"/>
    <n v="1"/>
    <n v="48"/>
    <n v="5"/>
    <n v="1"/>
    <n v="0"/>
    <n v="53"/>
    <n v="8"/>
    <n v="8"/>
    <n v="0"/>
    <n v="0"/>
    <n v="0"/>
    <n v="8"/>
    <n v="0"/>
    <n v="0"/>
    <n v="0"/>
    <n v="0"/>
    <n v="0"/>
    <n v="0"/>
    <n v="0"/>
    <n v="1"/>
    <n v="0"/>
  </r>
  <r>
    <n v="1672"/>
    <d v="2025-06-11T09:08:07"/>
    <d v="2025-06-11T09:10:14"/>
    <s v="mchirwa@lighthouse.org.mw"/>
    <s v="Margaret Chirwa"/>
    <x v="0"/>
    <s v="Prototype"/>
    <x v="2"/>
    <s v="COP_23"/>
    <m/>
    <s v="Quarter2"/>
    <s v="Quarter3"/>
    <m/>
    <x v="6"/>
    <d v="2025-05-01T00:00:00"/>
    <d v="2025-05-31T00:00:00"/>
    <x v="3"/>
    <x v="18"/>
    <n v="0"/>
    <n v="1"/>
    <n v="0"/>
    <n v="0"/>
    <n v="0"/>
    <n v="0"/>
    <n v="0"/>
    <n v="0"/>
    <n v="0"/>
    <n v="0"/>
    <n v="0"/>
    <n v="0"/>
    <n v="0"/>
    <n v="0"/>
    <n v="0"/>
    <n v="0"/>
    <n v="0"/>
    <n v="0"/>
    <n v="0"/>
    <n v="0"/>
    <n v="0"/>
  </r>
  <r>
    <n v="1673"/>
    <d v="2025-06-11T09:10:34"/>
    <d v="2025-06-11T09:12:47"/>
    <s v="mchirwa@lighthouse.org.mw"/>
    <s v="Margaret Chirwa"/>
    <x v="0"/>
    <s v="Prototype"/>
    <x v="1"/>
    <s v="COP_23"/>
    <m/>
    <s v="Quarter2"/>
    <s v="Quarter3"/>
    <m/>
    <x v="6"/>
    <d v="2025-05-01T00:00:00"/>
    <d v="2025-05-31T00:00:00"/>
    <x v="4"/>
    <x v="20"/>
    <n v="0"/>
    <n v="0"/>
    <n v="0"/>
    <n v="0"/>
    <n v="0"/>
    <n v="0"/>
    <n v="0"/>
    <n v="0"/>
    <n v="0"/>
    <n v="0"/>
    <n v="0"/>
    <n v="0"/>
    <n v="0"/>
    <n v="0"/>
    <n v="0"/>
    <n v="0"/>
    <n v="0"/>
    <n v="0"/>
    <n v="0"/>
    <n v="0"/>
    <n v="0"/>
  </r>
  <r>
    <n v="1674"/>
    <d v="2025-06-11T09:13:33"/>
    <d v="2025-06-11T09:14:49"/>
    <s v="mchirwa@lighthouse.org.mw"/>
    <s v="Margaret Chirwa"/>
    <x v="0"/>
    <s v="Prototype"/>
    <x v="2"/>
    <s v="COP_23"/>
    <m/>
    <s v="Quarter2"/>
    <s v="Quarter3"/>
    <m/>
    <x v="6"/>
    <d v="2025-05-01T00:00:00"/>
    <d v="2025-05-31T00:00:00"/>
    <x v="5"/>
    <x v="37"/>
    <n v="0"/>
    <n v="0"/>
    <n v="0"/>
    <n v="0"/>
    <n v="0"/>
    <n v="0"/>
    <n v="0"/>
    <n v="0"/>
    <n v="0"/>
    <n v="0"/>
    <n v="0"/>
    <n v="0"/>
    <n v="0"/>
    <n v="0"/>
    <n v="0"/>
    <n v="0"/>
    <n v="0"/>
    <n v="0"/>
    <n v="0"/>
    <n v="0"/>
    <n v="0"/>
  </r>
  <r>
    <n v="1675"/>
    <d v="2025-06-11T09:15:08"/>
    <d v="2025-06-11T09:16:39"/>
    <s v="mchirwa@lighthouse.org.mw"/>
    <s v="Margaret Chirwa"/>
    <x v="0"/>
    <s v="Prototype"/>
    <x v="2"/>
    <s v="COP_23"/>
    <m/>
    <s v="Quarter2"/>
    <s v="Quarter3"/>
    <m/>
    <x v="6"/>
    <d v="2025-05-01T00:00:00"/>
    <d v="2025-05-31T00:00:00"/>
    <x v="2"/>
    <x v="45"/>
    <n v="0"/>
    <n v="8"/>
    <n v="0"/>
    <n v="0"/>
    <n v="0"/>
    <n v="8"/>
    <n v="3"/>
    <n v="3"/>
    <n v="0"/>
    <n v="0"/>
    <n v="0"/>
    <n v="3"/>
    <n v="0"/>
    <n v="0"/>
    <n v="0"/>
    <n v="0"/>
    <n v="0"/>
    <n v="0"/>
    <n v="0"/>
    <n v="0"/>
    <n v="0"/>
  </r>
  <r>
    <n v="1676"/>
    <d v="2025-06-11T09:16:53"/>
    <d v="2025-06-11T09:19:06"/>
    <s v="mchirwa@lighthouse.org.mw"/>
    <s v="Margaret Chirwa"/>
    <x v="0"/>
    <s v="Prototype"/>
    <x v="2"/>
    <s v="COP_23"/>
    <m/>
    <s v="Quarter2"/>
    <s v="Quarter3"/>
    <m/>
    <x v="6"/>
    <d v="2025-05-01T00:00:00"/>
    <d v="2025-05-31T00:00:00"/>
    <x v="0"/>
    <x v="46"/>
    <n v="1"/>
    <n v="58"/>
    <n v="5"/>
    <n v="1"/>
    <n v="0"/>
    <n v="63"/>
    <n v="10"/>
    <n v="10"/>
    <n v="0"/>
    <n v="0"/>
    <n v="0"/>
    <n v="10"/>
    <n v="0"/>
    <n v="0"/>
    <n v="0"/>
    <n v="0"/>
    <n v="0"/>
    <n v="0"/>
    <n v="0"/>
    <n v="1"/>
    <n v="0"/>
  </r>
  <r>
    <n v="1770"/>
    <d v="2025-07-09T14:15:25"/>
    <d v="2025-07-09T14:19:13"/>
    <s v="mchirwa@lighthouse.org.mw"/>
    <s v="Margaret Chirwa"/>
    <x v="0"/>
    <s v="Prototype"/>
    <x v="2"/>
    <s v="COP_23"/>
    <m/>
    <s v="Quarter3"/>
    <s v="Quarter2"/>
    <m/>
    <x v="8"/>
    <d v="2025-06-01T00:00:00"/>
    <d v="2025-06-30T00:00:00"/>
    <x v="1"/>
    <x v="40"/>
    <n v="0"/>
    <n v="32"/>
    <n v="3"/>
    <n v="2"/>
    <n v="0"/>
    <n v="37"/>
    <n v="8"/>
    <n v="8"/>
    <n v="1"/>
    <n v="0"/>
    <n v="0"/>
    <n v="8"/>
    <n v="2"/>
    <n v="0"/>
    <n v="0"/>
    <n v="0"/>
    <n v="0"/>
    <n v="0"/>
    <n v="0"/>
    <n v="2"/>
    <n v="0"/>
  </r>
  <r>
    <n v="1771"/>
    <d v="2025-07-09T14:19:23"/>
    <d v="2025-07-09T14:20:47"/>
    <s v="mchirwa@lighthouse.org.mw"/>
    <s v="Margaret Chirwa"/>
    <x v="0"/>
    <s v="Prototype"/>
    <x v="2"/>
    <s v="COP_23"/>
    <m/>
    <s v="Quarter2"/>
    <s v="Quarter3"/>
    <m/>
    <x v="8"/>
    <d v="2025-06-01T00:00:00"/>
    <d v="2025-06-30T00:00:00"/>
    <x v="3"/>
    <x v="21"/>
    <n v="0"/>
    <n v="0"/>
    <n v="0"/>
    <n v="0"/>
    <n v="0"/>
    <n v="0"/>
    <n v="0"/>
    <n v="0"/>
    <n v="0"/>
    <n v="0"/>
    <n v="0"/>
    <n v="0"/>
    <n v="0"/>
    <n v="0"/>
    <n v="0"/>
    <n v="0"/>
    <n v="0"/>
    <n v="0"/>
    <n v="0"/>
    <n v="0"/>
    <n v="0"/>
  </r>
  <r>
    <n v="1772"/>
    <d v="2025-07-09T14:20:56"/>
    <d v="2025-07-09T14:21:56"/>
    <s v="mchirwa@lighthouse.org.mw"/>
    <s v="Margaret Chirwa"/>
    <x v="0"/>
    <s v="Prototype"/>
    <x v="2"/>
    <s v="COP_23"/>
    <m/>
    <s v="Quarter2"/>
    <s v="Quarter3"/>
    <m/>
    <x v="8"/>
    <d v="2025-06-01T00:00:00"/>
    <d v="2025-06-30T00:00:00"/>
    <x v="4"/>
    <x v="20"/>
    <n v="0"/>
    <n v="0"/>
    <n v="0"/>
    <n v="0"/>
    <n v="0"/>
    <n v="0"/>
    <n v="0"/>
    <n v="0"/>
    <n v="0"/>
    <n v="0"/>
    <n v="0"/>
    <n v="0"/>
    <n v="0"/>
    <n v="0"/>
    <n v="0"/>
    <n v="0"/>
    <n v="0"/>
    <n v="0"/>
    <n v="0"/>
    <n v="0"/>
    <n v="0"/>
  </r>
  <r>
    <n v="1773"/>
    <d v="2025-07-09T14:22:01"/>
    <d v="2025-07-09T14:24:10"/>
    <s v="mchirwa@lighthouse.org.mw"/>
    <s v="Margaret Chirwa"/>
    <x v="0"/>
    <s v="Prototype"/>
    <x v="2"/>
    <s v="COP_23"/>
    <m/>
    <s v="Quarter2"/>
    <s v="Quarter3"/>
    <m/>
    <x v="8"/>
    <d v="2025-06-01T00:00:00"/>
    <d v="2025-06-30T00:00:00"/>
    <x v="4"/>
    <x v="20"/>
    <n v="0"/>
    <n v="2"/>
    <n v="0"/>
    <n v="0"/>
    <n v="0"/>
    <n v="2"/>
    <n v="0"/>
    <n v="0"/>
    <n v="0"/>
    <n v="0"/>
    <n v="0"/>
    <n v="2"/>
    <n v="0"/>
    <n v="0"/>
    <n v="0"/>
    <n v="0"/>
    <n v="0"/>
    <n v="0"/>
    <n v="0"/>
    <n v="0"/>
    <n v="0"/>
  </r>
  <r>
    <n v="1774"/>
    <d v="2025-07-09T14:24:20"/>
    <d v="2025-07-09T14:25:26"/>
    <s v="mchirwa@lighthouse.org.mw"/>
    <s v="Margaret Chirwa"/>
    <x v="0"/>
    <s v="Prototype"/>
    <x v="2"/>
    <s v="COP_23"/>
    <m/>
    <s v="Quarter2"/>
    <s v="Quarter3"/>
    <m/>
    <x v="8"/>
    <d v="2025-06-01T00:00:00"/>
    <d v="2025-06-30T00:00:00"/>
    <x v="5"/>
    <x v="37"/>
    <n v="0"/>
    <n v="0"/>
    <n v="0"/>
    <n v="0"/>
    <n v="0"/>
    <n v="0"/>
    <n v="0"/>
    <n v="0"/>
    <n v="0"/>
    <n v="0"/>
    <n v="0"/>
    <n v="0"/>
    <n v="0"/>
    <n v="0"/>
    <n v="0"/>
    <n v="0"/>
    <n v="0"/>
    <n v="0"/>
    <n v="0"/>
    <n v="0"/>
    <n v="0"/>
  </r>
  <r>
    <n v="1775"/>
    <d v="2025-07-09T14:25:36"/>
    <d v="2025-07-09T14:30:45"/>
    <s v="mchirwa@lighthouse.org.mw"/>
    <s v="Margaret Chirwa"/>
    <x v="0"/>
    <s v="Prototype"/>
    <x v="2"/>
    <s v="COP_23"/>
    <m/>
    <s v="Quarter2"/>
    <s v="Quarter3"/>
    <m/>
    <x v="8"/>
    <d v="2025-06-01T00:00:00"/>
    <d v="2025-06-30T00:00:00"/>
    <x v="2"/>
    <x v="47"/>
    <n v="0"/>
    <n v="16"/>
    <n v="0"/>
    <n v="1"/>
    <n v="16"/>
    <n v="3"/>
    <n v="4"/>
    <n v="0"/>
    <n v="0"/>
    <n v="0"/>
    <n v="0"/>
    <n v="4"/>
    <n v="0"/>
    <n v="0"/>
    <n v="0"/>
    <n v="0"/>
    <n v="0"/>
    <n v="0"/>
    <n v="0"/>
    <n v="0"/>
    <n v="0"/>
  </r>
  <r>
    <n v="1776"/>
    <d v="2025-07-09T14:30:52"/>
    <d v="2025-07-09T14:33:07"/>
    <s v="mchirwa@lighthouse.org.mw"/>
    <s v="Margaret Chirwa"/>
    <x v="0"/>
    <s v="Prototype"/>
    <x v="2"/>
    <s v="COP_23"/>
    <m/>
    <s v="Quarter2"/>
    <s v="Quarter3"/>
    <m/>
    <x v="8"/>
    <d v="2025-06-01T00:00:00"/>
    <d v="2025-06-30T00:00:00"/>
    <x v="0"/>
    <x v="48"/>
    <n v="1"/>
    <n v="48"/>
    <n v="3"/>
    <n v="3"/>
    <n v="0"/>
    <n v="53"/>
    <n v="10"/>
    <n v="11"/>
    <n v="1"/>
    <n v="0"/>
    <n v="0"/>
    <n v="11"/>
    <n v="2"/>
    <n v="0"/>
    <n v="0"/>
    <n v="0"/>
    <n v="0"/>
    <n v="0"/>
    <n v="0"/>
    <n v="2"/>
    <n v="0"/>
  </r>
  <r>
    <n v="43"/>
    <d v="2023-12-20T11:23:15"/>
    <d v="2023-12-20T11:36:38"/>
    <s v="bchirwa@lighthouse.org.mw"/>
    <s v="Bethsheba Chirwa"/>
    <x v="1"/>
    <s v="Prototype"/>
    <x v="0"/>
    <s v="COP_23"/>
    <s v="COP_22"/>
    <s v="Quarter3"/>
    <s v="Quarter4"/>
    <s v="Qtr_4"/>
    <x v="2"/>
    <d v="2023-09-01T00:00:00"/>
    <d v="2023-09-30T00:00:00"/>
    <x v="0"/>
    <x v="16"/>
    <n v="0"/>
    <n v="1"/>
    <n v="1"/>
    <n v="0"/>
    <n v="0"/>
    <n v="2"/>
    <n v="0"/>
    <n v="0"/>
    <n v="0"/>
    <n v="0"/>
    <n v="0"/>
    <n v="0"/>
    <n v="0"/>
    <n v="0"/>
    <n v="0"/>
    <n v="0"/>
    <n v="0"/>
    <n v="0"/>
    <n v="0"/>
    <n v="0"/>
    <n v="0"/>
  </r>
  <r>
    <n v="45"/>
    <d v="2023-12-20T11:36:46"/>
    <d v="2023-12-20T11:43:52"/>
    <s v="bchirwa@lighthouse.org.mw"/>
    <s v="Bethsheba Chirwa"/>
    <x v="1"/>
    <s v="Prototype"/>
    <x v="0"/>
    <s v="COP_23"/>
    <s v="COP_23"/>
    <s v="Quarter4"/>
    <s v="Quarter1"/>
    <s v="Qtr_1"/>
    <x v="0"/>
    <d v="2023-10-01T00:00:00"/>
    <d v="2023-10-31T00:00:00"/>
    <x v="0"/>
    <x v="49"/>
    <n v="0"/>
    <n v="10"/>
    <n v="0"/>
    <n v="0"/>
    <n v="0"/>
    <n v="0"/>
    <n v="2"/>
    <n v="2"/>
    <n v="0"/>
    <n v="0"/>
    <n v="0"/>
    <n v="2"/>
    <n v="0"/>
    <n v="0"/>
    <n v="0"/>
    <n v="0"/>
    <n v="0"/>
    <n v="0"/>
    <n v="0"/>
    <n v="0"/>
    <n v="0"/>
  </r>
  <r>
    <n v="48"/>
    <d v="2023-12-20T11:44:15"/>
    <d v="2023-12-20T11:56:48"/>
    <s v="bchirwa@lighthouse.org.mw"/>
    <s v="Bethsheba Chirwa"/>
    <x v="1"/>
    <s v="Prototype"/>
    <x v="0"/>
    <s v="COP_23"/>
    <s v="COP_23"/>
    <s v="Quarter4"/>
    <s v="Quarter1"/>
    <s v="Qtr_1"/>
    <x v="1"/>
    <d v="2023-11-01T00:00:00"/>
    <d v="2023-11-30T00:00:00"/>
    <x v="0"/>
    <x v="23"/>
    <n v="0"/>
    <n v="9"/>
    <n v="0"/>
    <n v="0"/>
    <n v="0"/>
    <n v="0"/>
    <n v="0"/>
    <n v="0"/>
    <n v="0"/>
    <n v="0"/>
    <n v="0"/>
    <n v="0"/>
    <n v="0"/>
    <n v="0"/>
    <n v="0"/>
    <n v="0"/>
    <n v="0"/>
    <n v="0"/>
    <n v="0"/>
    <n v="0"/>
    <n v="0"/>
  </r>
  <r>
    <n v="63"/>
    <d v="2024-01-09T10:50:23"/>
    <d v="2024-01-09T11:52:20"/>
    <s v="bchirwa@lighthouse.org.mw"/>
    <s v="Bethsheba Chirwa"/>
    <x v="1"/>
    <s v="Prototype"/>
    <x v="0"/>
    <s v="COP_23"/>
    <s v="COP_23"/>
    <s v="Quarter4"/>
    <s v="Quarter1"/>
    <s v="Qtr_1"/>
    <x v="11"/>
    <d v="2023-12-01T00:00:00"/>
    <d v="2023-12-31T00:00:00"/>
    <x v="0"/>
    <x v="23"/>
    <n v="0"/>
    <n v="7"/>
    <n v="4"/>
    <n v="0"/>
    <n v="0"/>
    <n v="8"/>
    <n v="0"/>
    <n v="0"/>
    <n v="0"/>
    <n v="0"/>
    <n v="0"/>
    <n v="0"/>
    <n v="0"/>
    <n v="0"/>
    <n v="0"/>
    <n v="0"/>
    <n v="0"/>
    <n v="0"/>
    <n v="0"/>
    <n v="0"/>
    <n v="0"/>
  </r>
  <r>
    <n v="109"/>
    <d v="2024-01-23T10:27:28"/>
    <d v="2024-01-23T10:31:57"/>
    <s v="bchirwa@lighthouse.org.mw"/>
    <s v="Bethsheba Chirwa"/>
    <x v="1"/>
    <s v="Prototype"/>
    <x v="0"/>
    <s v="COP_23"/>
    <s v="COP_23"/>
    <s v="Quarter4"/>
    <s v="Quarter1"/>
    <s v="Qtr_1"/>
    <x v="11"/>
    <d v="2023-12-01T00:00:00"/>
    <d v="2023-12-31T00:00:00"/>
    <x v="1"/>
    <x v="36"/>
    <n v="0"/>
    <n v="7"/>
    <n v="4"/>
    <n v="0"/>
    <n v="0"/>
    <n v="11"/>
    <n v="0"/>
    <n v="0"/>
    <n v="0"/>
    <n v="0"/>
    <n v="0"/>
    <n v="0"/>
    <n v="0"/>
    <n v="0"/>
    <n v="0"/>
    <n v="0"/>
    <n v="0"/>
    <n v="0"/>
    <n v="0"/>
    <n v="0"/>
    <n v="0"/>
  </r>
  <r>
    <n v="188"/>
    <d v="2024-04-04T12:26:15"/>
    <d v="2024-04-04T12:41:39"/>
    <s v="bchirwa@lighthouse.org.mw"/>
    <s v="Bethsheba Chirwa"/>
    <x v="1"/>
    <s v="Prototype"/>
    <x v="1"/>
    <s v="COP_23"/>
    <s v="COP_23"/>
    <s v="Quarter1"/>
    <s v="Quarter2"/>
    <s v="Qtr_2"/>
    <x v="4"/>
    <d v="2024-01-01T00:00:00"/>
    <d v="2024-01-31T00:00:00"/>
    <x v="1"/>
    <x v="50"/>
    <n v="1"/>
    <n v="9"/>
    <n v="2"/>
    <n v="1"/>
    <n v="0"/>
    <n v="12"/>
    <n v="2"/>
    <n v="2"/>
    <n v="0"/>
    <n v="0"/>
    <n v="0"/>
    <n v="2"/>
    <n v="0"/>
    <n v="0"/>
    <n v="0"/>
    <n v="0"/>
    <n v="0"/>
    <n v="0"/>
    <n v="0"/>
    <n v="0"/>
    <n v="0"/>
  </r>
  <r>
    <n v="190"/>
    <d v="2024-04-04T12:55:07"/>
    <d v="2024-04-04T13:01:30"/>
    <s v="bchirwa@lighthouse.org.mw"/>
    <s v="Bethsheba Chirwa"/>
    <x v="1"/>
    <s v="Prototype"/>
    <x v="1"/>
    <s v="COP_23"/>
    <s v="COP_23"/>
    <s v="Quarter1"/>
    <s v="Quarter2"/>
    <s v="Qtr_2"/>
    <x v="5"/>
    <d v="2024-02-01T00:00:00"/>
    <d v="2024-02-29T00:00:00"/>
    <x v="1"/>
    <x v="51"/>
    <n v="0"/>
    <n v="15"/>
    <n v="2"/>
    <n v="0"/>
    <n v="0"/>
    <n v="17"/>
    <n v="5"/>
    <n v="5"/>
    <n v="0"/>
    <n v="0"/>
    <n v="0"/>
    <n v="5"/>
    <n v="0"/>
    <n v="0"/>
    <n v="0"/>
    <n v="0"/>
    <n v="0"/>
    <n v="0"/>
    <n v="0"/>
    <n v="0"/>
    <n v="0"/>
  </r>
  <r>
    <n v="195"/>
    <d v="2024-04-04T13:21:37"/>
    <d v="2024-04-04T13:30:59"/>
    <s v="bchirwa@lighthouse.org.mw"/>
    <s v="Bethsheba Chirwa"/>
    <x v="1"/>
    <s v="Prototype"/>
    <x v="1"/>
    <s v="COP_23"/>
    <s v="COP_23"/>
    <s v="Quarter1"/>
    <s v="Quarter2"/>
    <s v="Qtr_2"/>
    <x v="3"/>
    <d v="2024-03-01T00:00:00"/>
    <d v="2024-03-31T00:00:00"/>
    <x v="1"/>
    <x v="51"/>
    <n v="0"/>
    <n v="5"/>
    <n v="0"/>
    <n v="0"/>
    <n v="0"/>
    <n v="5"/>
    <n v="2"/>
    <n v="2"/>
    <n v="0"/>
    <n v="0"/>
    <n v="0"/>
    <n v="2"/>
    <n v="0"/>
    <n v="0"/>
    <n v="0"/>
    <n v="0"/>
    <n v="0"/>
    <n v="0"/>
    <n v="0"/>
    <n v="0"/>
    <n v="0"/>
  </r>
  <r>
    <n v="352"/>
    <d v="2024-05-07T14:24:28"/>
    <d v="2024-05-07T14:42:47"/>
    <s v="bchirwa@lighthouse.org.mw"/>
    <s v="Bethsheba Chirwa"/>
    <x v="1"/>
    <s v="Prototype"/>
    <x v="1"/>
    <s v="COP_23"/>
    <s v="COP_23"/>
    <s v="Quarter2"/>
    <s v="Quarter3"/>
    <s v="Qtr_3"/>
    <x v="7"/>
    <d v="2024-04-01T00:00:00"/>
    <d v="2024-04-30T00:00:00"/>
    <x v="1"/>
    <x v="39"/>
    <n v="0"/>
    <n v="8"/>
    <n v="0"/>
    <n v="0"/>
    <n v="0"/>
    <n v="8"/>
    <n v="1"/>
    <n v="2"/>
    <n v="0"/>
    <n v="0"/>
    <n v="0"/>
    <n v="2"/>
    <n v="1"/>
    <n v="0"/>
    <n v="0"/>
    <n v="0"/>
    <n v="0"/>
    <n v="0"/>
    <n v="0"/>
    <n v="0"/>
    <n v="0"/>
  </r>
  <r>
    <n v="490"/>
    <d v="2024-06-05T15:02:41"/>
    <d v="2024-06-05T15:41:54"/>
    <s v="bchirwa@lighthouse.org.mw"/>
    <s v="Bethsheba Chirwa"/>
    <x v="1"/>
    <s v="Prototype"/>
    <x v="1"/>
    <s v="COP_23"/>
    <s v="COP_23"/>
    <s v="Quarter2"/>
    <s v="Quarter3"/>
    <s v="Qtr_3"/>
    <x v="6"/>
    <d v="2024-05-01T00:00:00"/>
    <d v="2024-05-31T00:00:00"/>
    <x v="1"/>
    <x v="51"/>
    <n v="0"/>
    <n v="17"/>
    <n v="0"/>
    <n v="0"/>
    <n v="0"/>
    <n v="17"/>
    <n v="2"/>
    <n v="2"/>
    <n v="0"/>
    <n v="0"/>
    <n v="0"/>
    <n v="0"/>
    <n v="0"/>
    <n v="0"/>
    <n v="0"/>
    <n v="0"/>
    <n v="0"/>
    <n v="0"/>
    <n v="0"/>
    <n v="0"/>
    <n v="0"/>
  </r>
  <r>
    <n v="554"/>
    <d v="2024-07-02T10:07:57"/>
    <d v="2024-07-02T10:36:58"/>
    <s v="bchirwa@lighthouse.org.mw"/>
    <s v="Bethsheba Chirwa"/>
    <x v="1"/>
    <s v="Prototype"/>
    <x v="1"/>
    <s v="COP_23"/>
    <s v="COP_23"/>
    <s v="Quarter2"/>
    <s v="Quarter3"/>
    <s v="Qtr_3"/>
    <x v="8"/>
    <d v="2024-06-01T00:00:00"/>
    <d v="2024-06-30T00:00:00"/>
    <x v="1"/>
    <x v="29"/>
    <n v="1"/>
    <n v="10"/>
    <n v="1"/>
    <n v="1"/>
    <n v="0"/>
    <n v="12"/>
    <n v="1"/>
    <n v="1"/>
    <n v="0"/>
    <n v="0"/>
    <n v="0"/>
    <n v="0"/>
    <n v="0"/>
    <n v="0"/>
    <n v="0"/>
    <n v="0"/>
    <n v="0"/>
    <n v="0"/>
    <n v="0"/>
    <n v="0"/>
    <n v="0"/>
  </r>
  <r>
    <n v="791"/>
    <d v="2024-09-10T10:19:21"/>
    <d v="2024-09-10T10:49:54"/>
    <s v="bchirwa@lighthouse.org.mw"/>
    <s v="Bethsheba Chirwa"/>
    <x v="1"/>
    <s v="Prototype"/>
    <x v="1"/>
    <s v="COP_23"/>
    <s v="COP_23"/>
    <s v="Quarter3"/>
    <s v="Quarter4"/>
    <s v="Qtr_4"/>
    <x v="9"/>
    <d v="2024-07-01T00:00:00"/>
    <d v="2024-07-31T00:00:00"/>
    <x v="1"/>
    <x v="51"/>
    <n v="0"/>
    <n v="14"/>
    <n v="2"/>
    <n v="1"/>
    <n v="0"/>
    <n v="15"/>
    <n v="1"/>
    <n v="1"/>
    <n v="0"/>
    <n v="0"/>
    <n v="0"/>
    <n v="0"/>
    <n v="0"/>
    <n v="0"/>
    <n v="0"/>
    <n v="0"/>
    <n v="0"/>
    <n v="0"/>
    <n v="0"/>
    <n v="0"/>
    <n v="0"/>
  </r>
  <r>
    <n v="792"/>
    <d v="2024-09-10T10:50:12"/>
    <d v="2024-09-10T11:04:46"/>
    <s v="bchirwa@lighthouse.org.mw"/>
    <s v="Bethsheba Chirwa"/>
    <x v="1"/>
    <s v="Prototype"/>
    <x v="1"/>
    <s v="COP_23"/>
    <s v="COP_23"/>
    <s v="Quarter3"/>
    <s v="Quarter4"/>
    <s v="Qtr_4"/>
    <x v="10"/>
    <d v="2024-08-01T00:00:00"/>
    <d v="2024-08-31T00:00:00"/>
    <x v="1"/>
    <x v="23"/>
    <n v="0"/>
    <n v="5"/>
    <n v="0"/>
    <n v="0"/>
    <n v="0"/>
    <n v="5"/>
    <n v="0"/>
    <n v="0"/>
    <n v="0"/>
    <n v="0"/>
    <n v="0"/>
    <n v="0"/>
    <n v="0"/>
    <n v="0"/>
    <n v="0"/>
    <n v="0"/>
    <n v="0"/>
    <n v="0"/>
    <n v="0"/>
    <n v="0"/>
    <n v="0"/>
  </r>
  <r>
    <n v="898"/>
    <d v="2024-10-07T09:31:25"/>
    <d v="2024-10-07T09:50:10"/>
    <s v="bchirwa@lighthouse.org.mw"/>
    <s v="Bethsheba Chirwa"/>
    <x v="1"/>
    <s v="Prototype"/>
    <x v="1"/>
    <s v="COP_23"/>
    <s v="COP_23"/>
    <s v="Quarter3"/>
    <s v="Quarter4"/>
    <s v="Qtr_4"/>
    <x v="2"/>
    <d v="2024-09-01T00:00:00"/>
    <d v="2024-09-30T00:00:00"/>
    <x v="1"/>
    <x v="52"/>
    <n v="0"/>
    <n v="5"/>
    <n v="0"/>
    <n v="1"/>
    <n v="0"/>
    <n v="6"/>
    <n v="0"/>
    <n v="6"/>
    <n v="0"/>
    <n v="0"/>
    <n v="0"/>
    <n v="6"/>
    <n v="1"/>
    <n v="0"/>
    <n v="0"/>
    <n v="0"/>
    <n v="0"/>
    <n v="0"/>
    <n v="0"/>
    <n v="0"/>
    <n v="0"/>
  </r>
  <r>
    <n v="191"/>
    <d v="2024-04-04T13:01:42"/>
    <d v="2024-04-04T13:04:53"/>
    <s v="bchirwa@lighthouse.org.mw"/>
    <s v="Bethsheba Chirwa"/>
    <x v="1"/>
    <s v="Prototype"/>
    <x v="1"/>
    <s v="COP_23"/>
    <s v="COP_23"/>
    <s v="Quarter1"/>
    <s v="Quarter2"/>
    <s v="Qtr_2"/>
    <x v="5"/>
    <d v="2024-02-01T00:00:00"/>
    <d v="2024-02-29T00:00:00"/>
    <x v="3"/>
    <x v="18"/>
    <n v="0"/>
    <n v="0"/>
    <n v="1"/>
    <n v="0"/>
    <n v="0"/>
    <n v="1"/>
    <n v="1"/>
    <n v="1"/>
    <n v="0"/>
    <n v="0"/>
    <n v="0"/>
    <n v="1"/>
    <n v="0"/>
    <n v="0"/>
    <n v="0"/>
    <n v="0"/>
    <n v="0"/>
    <n v="0"/>
    <n v="0"/>
    <n v="0"/>
    <n v="0"/>
  </r>
  <r>
    <n v="193"/>
    <d v="2024-04-04T13:13:27"/>
    <d v="2024-04-04T13:17:35"/>
    <s v="bchirwa@lighthouse.org.mw"/>
    <s v="Bethsheba Chirwa"/>
    <x v="1"/>
    <s v="Prototype"/>
    <x v="1"/>
    <s v="COP_23"/>
    <s v="COP_23"/>
    <s v="Quarter1"/>
    <s v="Quarter2"/>
    <s v="Qtr_2"/>
    <x v="5"/>
    <d v="2024-02-01T00:00:00"/>
    <d v="2024-02-29T00:00:00"/>
    <x v="0"/>
    <x v="16"/>
    <n v="0"/>
    <n v="18"/>
    <n v="3"/>
    <n v="0"/>
    <n v="0"/>
    <n v="21"/>
    <n v="5"/>
    <n v="5"/>
    <n v="0"/>
    <n v="0"/>
    <n v="0"/>
    <n v="5"/>
    <n v="0"/>
    <n v="0"/>
    <n v="0"/>
    <n v="0"/>
    <n v="0"/>
    <n v="0"/>
    <n v="0"/>
    <n v="0"/>
    <n v="0"/>
  </r>
  <r>
    <n v="194"/>
    <d v="2024-04-04T13:17:52"/>
    <d v="2024-04-04T13:20:24"/>
    <s v="bchirwa@lighthouse.org.mw"/>
    <s v="Bethsheba Chirwa"/>
    <x v="1"/>
    <s v="Prototype"/>
    <x v="1"/>
    <s v="COP_23"/>
    <s v="COP_23"/>
    <s v="Quarter1"/>
    <s v="Quarter2"/>
    <s v="Qtr_2"/>
    <x v="4"/>
    <d v="2024-01-01T00:00:00"/>
    <d v="2024-01-31T00:00:00"/>
    <x v="5"/>
    <x v="30"/>
    <n v="0"/>
    <n v="1"/>
    <n v="0"/>
    <n v="0"/>
    <n v="0"/>
    <n v="3"/>
    <n v="0"/>
    <n v="0"/>
    <n v="0"/>
    <n v="0"/>
    <n v="0"/>
    <n v="0"/>
    <n v="0"/>
    <n v="0"/>
    <n v="0"/>
    <n v="0"/>
    <n v="0"/>
    <n v="0"/>
    <n v="0"/>
    <n v="0"/>
    <n v="0"/>
  </r>
  <r>
    <n v="192"/>
    <d v="2024-04-04T13:08:19"/>
    <d v="2024-04-04T13:13:25"/>
    <s v="bchirwa@lighthouse.org.mw"/>
    <s v="Bethsheba Chirwa"/>
    <x v="1"/>
    <s v="Prototype"/>
    <x v="1"/>
    <s v="COP_23"/>
    <s v="COP_23"/>
    <s v="Quarter1"/>
    <s v="Quarter2"/>
    <s v="Qtr_2"/>
    <x v="5"/>
    <d v="2024-02-01T00:00:00"/>
    <d v="2024-02-29T00:00:00"/>
    <x v="2"/>
    <x v="33"/>
    <n v="0"/>
    <n v="4"/>
    <n v="0"/>
    <n v="0"/>
    <n v="0"/>
    <n v="4"/>
    <n v="0"/>
    <n v="0"/>
    <n v="0"/>
    <n v="0"/>
    <n v="0"/>
    <n v="0"/>
    <n v="0"/>
    <n v="0"/>
    <n v="0"/>
    <n v="0"/>
    <n v="0"/>
    <n v="0"/>
    <n v="0"/>
    <n v="0"/>
    <n v="0"/>
  </r>
  <r>
    <n v="197"/>
    <d v="2024-04-04T14:18:35"/>
    <d v="2024-04-04T14:24:16"/>
    <s v="bchirwa@lighthouse.org.mw"/>
    <s v="Bethsheba Chirwa"/>
    <x v="1"/>
    <s v="Prototype"/>
    <x v="1"/>
    <s v="COP_23"/>
    <s v="COP_23"/>
    <s v="Quarter1"/>
    <s v="Quarter2"/>
    <s v="Qtr_2"/>
    <x v="3"/>
    <d v="2024-03-01T00:00:00"/>
    <d v="2024-03-31T00:00:00"/>
    <x v="3"/>
    <x v="21"/>
    <n v="0"/>
    <n v="1"/>
    <n v="0"/>
    <n v="0"/>
    <n v="0"/>
    <n v="0"/>
    <n v="0"/>
    <n v="1"/>
    <n v="0"/>
    <n v="0"/>
    <n v="0"/>
    <n v="1"/>
    <n v="0"/>
    <n v="0"/>
    <n v="0"/>
    <n v="0"/>
    <n v="0"/>
    <n v="0"/>
    <n v="0"/>
    <n v="0"/>
    <n v="0"/>
  </r>
  <r>
    <n v="198"/>
    <d v="2024-04-04T14:24:25"/>
    <d v="2024-04-04T14:25:57"/>
    <s v="bchirwa@lighthouse.org.mw"/>
    <s v="Bethsheba Chirwa"/>
    <x v="1"/>
    <s v="Prototype"/>
    <x v="1"/>
    <s v="COP_23"/>
    <s v="COP_23"/>
    <s v="Quarter1"/>
    <s v="Quarter2"/>
    <s v="Qtr_2"/>
    <x v="5"/>
    <d v="2024-02-01T00:00:00"/>
    <d v="2024-02-29T00:00:00"/>
    <x v="4"/>
    <x v="18"/>
    <n v="0"/>
    <n v="0"/>
    <n v="1"/>
    <n v="0"/>
    <n v="0"/>
    <n v="1"/>
    <n v="0"/>
    <n v="0"/>
    <n v="0"/>
    <n v="0"/>
    <n v="0"/>
    <n v="1"/>
    <n v="0"/>
    <n v="0"/>
    <n v="0"/>
    <n v="0"/>
    <n v="0"/>
    <n v="0"/>
    <n v="0"/>
    <n v="0"/>
    <n v="0"/>
  </r>
  <r>
    <n v="196"/>
    <d v="2024-04-04T13:31:15"/>
    <d v="2024-04-04T13:35:05"/>
    <s v="bchirwa@lighthouse.org.mw"/>
    <s v="Bethsheba Chirwa"/>
    <x v="1"/>
    <s v="Prototype"/>
    <x v="1"/>
    <s v="COP_23"/>
    <s v="COP_23"/>
    <s v="Quarter1"/>
    <s v="Quarter2"/>
    <s v="Qtr_2"/>
    <x v="3"/>
    <d v="2024-03-01T00:00:00"/>
    <d v="2024-03-31T00:00:00"/>
    <x v="2"/>
    <x v="20"/>
    <n v="0"/>
    <n v="2"/>
    <n v="0"/>
    <n v="0"/>
    <n v="0"/>
    <n v="2"/>
    <n v="1"/>
    <n v="1"/>
    <n v="0"/>
    <n v="0"/>
    <n v="0"/>
    <n v="1"/>
    <n v="0"/>
    <n v="0"/>
    <n v="0"/>
    <n v="0"/>
    <n v="0"/>
    <n v="0"/>
    <n v="0"/>
    <n v="0"/>
    <n v="0"/>
  </r>
  <r>
    <n v="271"/>
    <d v="2024-04-23T11:00:57"/>
    <d v="2024-04-23T11:09:14"/>
    <s v="bchirwa@lighthouse.org.mw"/>
    <s v="Bethsheba Chirwa"/>
    <x v="1"/>
    <s v="Prototype"/>
    <x v="1"/>
    <s v="COP_23"/>
    <s v="COP_23"/>
    <s v="Quarter1"/>
    <s v="Quarter2"/>
    <s v="Qtr_2"/>
    <x v="4"/>
    <d v="2024-01-01T00:00:00"/>
    <d v="2024-01-31T00:00:00"/>
    <x v="2"/>
    <x v="20"/>
    <n v="0"/>
    <n v="2"/>
    <n v="0"/>
    <n v="0"/>
    <n v="0"/>
    <n v="0"/>
    <n v="0"/>
    <n v="0"/>
    <n v="0"/>
    <n v="0"/>
    <n v="0"/>
    <n v="0"/>
    <n v="0"/>
    <n v="0"/>
    <n v="0"/>
    <n v="0"/>
    <n v="0"/>
    <n v="0"/>
    <n v="0"/>
    <n v="0"/>
    <n v="0"/>
  </r>
  <r>
    <n v="356"/>
    <d v="2024-05-07T14:57:00"/>
    <d v="2024-05-07T15:13:03"/>
    <s v="bchirwa@lighthouse.org.mw"/>
    <s v="Bethsheba Chirwa"/>
    <x v="1"/>
    <s v="Prototype"/>
    <x v="1"/>
    <s v="COP_24"/>
    <s v="COP_23"/>
    <s v="Quarter2"/>
    <s v="Quarter3"/>
    <s v="Qtr_3"/>
    <x v="7"/>
    <d v="2024-04-01T00:00:00"/>
    <d v="2024-04-30T00:00:00"/>
    <x v="2"/>
    <x v="37"/>
    <n v="0"/>
    <n v="6"/>
    <n v="0"/>
    <n v="0"/>
    <n v="0"/>
    <n v="4"/>
    <n v="1"/>
    <n v="1"/>
    <n v="0"/>
    <n v="0"/>
    <n v="0"/>
    <n v="1"/>
    <n v="0"/>
    <n v="0"/>
    <n v="0"/>
    <n v="0"/>
    <n v="0"/>
    <n v="0"/>
    <n v="0"/>
    <n v="0"/>
    <n v="0"/>
  </r>
  <r>
    <n v="498"/>
    <d v="2024-06-06T08:48:17"/>
    <d v="2024-06-06T09:04:13"/>
    <s v="bchirwa@lighthouse.org.mw"/>
    <s v="Bethsheba Chirwa"/>
    <x v="1"/>
    <s v="Prototype"/>
    <x v="1"/>
    <s v="COP_24"/>
    <s v="COP_23"/>
    <s v="Quarter2"/>
    <s v="Quarter3"/>
    <s v="Qtr_3"/>
    <x v="6"/>
    <d v="2024-05-01T00:00:00"/>
    <d v="2024-05-31T00:00:00"/>
    <x v="2"/>
    <x v="25"/>
    <n v="0"/>
    <n v="9"/>
    <n v="0"/>
    <n v="0"/>
    <n v="0"/>
    <n v="9"/>
    <n v="0"/>
    <n v="0"/>
    <n v="0"/>
    <n v="0"/>
    <n v="0"/>
    <n v="0"/>
    <n v="0"/>
    <n v="0"/>
    <n v="0"/>
    <n v="0"/>
    <n v="0"/>
    <n v="0"/>
    <n v="0"/>
    <n v="0"/>
    <n v="0"/>
  </r>
  <r>
    <n v="558"/>
    <d v="2024-07-02T11:18:58"/>
    <d v="2024-07-02T11:28:38"/>
    <s v="bchirwa@lighthouse.org.mw"/>
    <s v="Bethsheba Chirwa"/>
    <x v="1"/>
    <s v="Prototype"/>
    <x v="1"/>
    <s v="COP_24"/>
    <s v="COP_23"/>
    <s v="Quarter2"/>
    <s v="Quarter3"/>
    <s v="Qtr_3"/>
    <x v="8"/>
    <d v="2024-06-01T00:00:00"/>
    <d v="2024-06-30T00:00:00"/>
    <x v="2"/>
    <x v="23"/>
    <n v="0"/>
    <n v="8"/>
    <n v="0"/>
    <n v="0"/>
    <n v="0"/>
    <n v="8"/>
    <n v="2"/>
    <n v="2"/>
    <n v="0"/>
    <n v="0"/>
    <n v="0"/>
    <n v="0"/>
    <n v="0"/>
    <n v="0"/>
    <n v="0"/>
    <n v="0"/>
    <n v="0"/>
    <n v="0"/>
    <n v="0"/>
    <n v="0"/>
    <n v="0"/>
  </r>
  <r>
    <n v="786"/>
    <d v="2024-09-10T10:00:30"/>
    <d v="2024-09-10T10:07:19"/>
    <s v="bchirwa@lighthouse.org.mw"/>
    <s v="Bethsheba Chirwa"/>
    <x v="1"/>
    <s v="Prototype"/>
    <x v="1"/>
    <s v="COP_22"/>
    <s v="COP_23"/>
    <s v="Quarter3"/>
    <s v="Quarter4"/>
    <s v="Qtr_4"/>
    <x v="9"/>
    <d v="2024-07-01T00:00:00"/>
    <d v="2024-07-31T00:00:00"/>
    <x v="2"/>
    <x v="31"/>
    <n v="0"/>
    <n v="7"/>
    <n v="0"/>
    <n v="0"/>
    <n v="0"/>
    <n v="0"/>
    <n v="0"/>
    <n v="0"/>
    <n v="0"/>
    <n v="0"/>
    <n v="0"/>
    <n v="0"/>
    <n v="0"/>
    <n v="0"/>
    <n v="0"/>
    <n v="0"/>
    <n v="0"/>
    <n v="0"/>
    <n v="0"/>
    <n v="0"/>
    <n v="0"/>
  </r>
  <r>
    <n v="797"/>
    <d v="2024-09-10T11:39:32"/>
    <d v="2024-09-10T11:48:32"/>
    <s v="bchirwa@lighthouse.org.mw"/>
    <s v="Bethsheba Chirwa"/>
    <x v="1"/>
    <s v="Prototype"/>
    <x v="1"/>
    <s v="COP_22"/>
    <s v="COP_23"/>
    <s v="Quarter3"/>
    <s v="Quarter4"/>
    <s v="Qtr_4"/>
    <x v="10"/>
    <d v="2024-08-01T00:00:00"/>
    <d v="2024-08-31T00:00:00"/>
    <x v="2"/>
    <x v="52"/>
    <n v="0"/>
    <n v="0"/>
    <n v="0"/>
    <n v="0"/>
    <n v="0"/>
    <n v="0"/>
    <n v="0"/>
    <n v="0"/>
    <n v="0"/>
    <n v="0"/>
    <n v="0"/>
    <n v="0"/>
    <n v="0"/>
    <n v="0"/>
    <n v="0"/>
    <n v="0"/>
    <n v="0"/>
    <n v="0"/>
    <n v="0"/>
    <n v="0"/>
    <n v="0"/>
  </r>
  <r>
    <n v="902"/>
    <d v="2024-10-07T10:08:01"/>
    <d v="2024-10-07T10:20:37"/>
    <s v="bchirwa@lighthouse.org.mw"/>
    <s v="Bethsheba Chirwa"/>
    <x v="1"/>
    <s v="Prototype"/>
    <x v="1"/>
    <s v="COP_22"/>
    <s v="COP_23"/>
    <s v="Quarter3"/>
    <s v="Quarter4"/>
    <s v="Qtr_4"/>
    <x v="2"/>
    <d v="2024-09-01T00:00:00"/>
    <d v="2024-09-30T00:00:00"/>
    <x v="2"/>
    <x v="44"/>
    <n v="0"/>
    <n v="0"/>
    <n v="0"/>
    <n v="0"/>
    <n v="0"/>
    <n v="0"/>
    <n v="0"/>
    <n v="0"/>
    <n v="0"/>
    <n v="0"/>
    <n v="0"/>
    <n v="0"/>
    <n v="0"/>
    <n v="0"/>
    <n v="0"/>
    <n v="0"/>
    <n v="0"/>
    <n v="0"/>
    <n v="0"/>
    <n v="0"/>
    <n v="0"/>
  </r>
  <r>
    <n v="270"/>
    <d v="2024-04-23T10:45:57"/>
    <d v="2024-04-23T11:00:34"/>
    <s v="bchirwa@lighthouse.org.mw"/>
    <s v="Bethsheba Chirwa"/>
    <x v="1"/>
    <s v="Prototype"/>
    <x v="1"/>
    <s v="COP_24"/>
    <s v="COP_23"/>
    <s v="Quarter1"/>
    <s v="Quarter2"/>
    <s v="Qtr_2"/>
    <x v="4"/>
    <d v="2024-01-01T00:00:00"/>
    <d v="2024-01-31T00:00:00"/>
    <x v="4"/>
    <x v="21"/>
    <n v="0"/>
    <n v="0"/>
    <n v="0"/>
    <n v="0"/>
    <n v="0"/>
    <n v="0"/>
    <n v="0"/>
    <n v="0"/>
    <n v="0"/>
    <n v="0"/>
    <n v="0"/>
    <n v="0"/>
    <n v="0"/>
    <n v="0"/>
    <n v="0"/>
    <n v="0"/>
    <n v="0"/>
    <n v="0"/>
    <n v="0"/>
    <n v="0"/>
    <n v="0"/>
  </r>
  <r>
    <n v="274"/>
    <d v="2024-04-23T11:18:06"/>
    <d v="2024-04-23T11:21:55"/>
    <s v="bchirwa@lighthouse.org.mw"/>
    <s v="Bethsheba Chirwa"/>
    <x v="1"/>
    <s v="Prototype"/>
    <x v="1"/>
    <s v="COP_24"/>
    <s v="COP_23"/>
    <s v="Quarter1"/>
    <s v="Quarter2"/>
    <s v="Qtr_2"/>
    <x v="5"/>
    <d v="2024-02-01T00:00:00"/>
    <d v="2024-02-29T00:00:00"/>
    <x v="5"/>
    <x v="20"/>
    <n v="0"/>
    <n v="2"/>
    <n v="0"/>
    <n v="0"/>
    <n v="0"/>
    <n v="2"/>
    <n v="0"/>
    <n v="0"/>
    <n v="0"/>
    <n v="0"/>
    <n v="0"/>
    <n v="0"/>
    <n v="0"/>
    <n v="0"/>
    <n v="0"/>
    <n v="0"/>
    <n v="0"/>
    <n v="0"/>
    <n v="0"/>
    <n v="0"/>
    <n v="0"/>
  </r>
  <r>
    <n v="276"/>
    <d v="2024-04-23T11:25:27"/>
    <d v="2024-04-23T11:27:30"/>
    <s v="bchirwa@lighthouse.org.mw"/>
    <s v="Bethsheba Chirwa"/>
    <x v="1"/>
    <s v="Prototype"/>
    <x v="1"/>
    <s v="COP_24"/>
    <s v="COP_23"/>
    <s v="Quarter1"/>
    <s v="Quarter2"/>
    <s v="Qtr_2"/>
    <x v="3"/>
    <d v="2024-03-08T00:00:00"/>
    <d v="2024-03-31T00:00:00"/>
    <x v="4"/>
    <x v="21"/>
    <n v="0"/>
    <n v="0"/>
    <n v="0"/>
    <n v="0"/>
    <n v="0"/>
    <n v="0"/>
    <n v="0"/>
    <n v="0"/>
    <n v="0"/>
    <n v="0"/>
    <n v="0"/>
    <n v="0"/>
    <n v="0"/>
    <n v="0"/>
    <n v="0"/>
    <n v="0"/>
    <n v="0"/>
    <n v="0"/>
    <n v="0"/>
    <n v="0"/>
    <n v="0"/>
  </r>
  <r>
    <n v="277"/>
    <d v="2024-04-23T11:27:51"/>
    <d v="2024-04-23T11:30:00"/>
    <s v="bchirwa@lighthouse.org.mw"/>
    <s v="Bethsheba Chirwa"/>
    <x v="1"/>
    <s v="Prototype"/>
    <x v="1"/>
    <s v="COP_24"/>
    <s v="COP_23"/>
    <s v="Quarter1"/>
    <s v="Quarter2"/>
    <s v="Qtr_2"/>
    <x v="3"/>
    <d v="2024-04-01T00:00:00"/>
    <d v="2024-03-31T00:00:00"/>
    <x v="5"/>
    <x v="20"/>
    <n v="0"/>
    <n v="2"/>
    <n v="0"/>
    <n v="0"/>
    <n v="0"/>
    <n v="0"/>
    <n v="0"/>
    <n v="0"/>
    <n v="0"/>
    <n v="0"/>
    <n v="0"/>
    <n v="0"/>
    <n v="0"/>
    <n v="0"/>
    <n v="0"/>
    <n v="0"/>
    <n v="0"/>
    <n v="0"/>
    <n v="0"/>
    <n v="0"/>
    <n v="0"/>
  </r>
  <r>
    <n v="279"/>
    <d v="2024-04-23T11:33:11"/>
    <d v="2024-04-23T11:36:01"/>
    <s v="bchirwa@lighthouse.org.mw"/>
    <s v="Bethsheba Chirwa"/>
    <x v="1"/>
    <s v="Prototype"/>
    <x v="1"/>
    <s v="COP_24"/>
    <s v="COP_23"/>
    <s v="Quarter1"/>
    <s v="Quarter2"/>
    <s v="Qtr_2"/>
    <x v="3"/>
    <d v="2024-03-01T00:00:00"/>
    <d v="2024-03-31T00:00:00"/>
    <x v="0"/>
    <x v="31"/>
    <n v="0"/>
    <n v="7"/>
    <n v="0"/>
    <n v="0"/>
    <n v="0"/>
    <n v="7"/>
    <n v="3"/>
    <n v="3"/>
    <n v="0"/>
    <n v="0"/>
    <n v="0"/>
    <n v="3"/>
    <n v="0"/>
    <n v="0"/>
    <n v="0"/>
    <n v="0"/>
    <n v="0"/>
    <n v="0"/>
    <n v="0"/>
    <n v="0"/>
    <n v="0"/>
  </r>
  <r>
    <n v="353"/>
    <d v="2024-05-07T14:42:54"/>
    <d v="2024-05-07T14:45:19"/>
    <s v="bchirwa@lighthouse.org.mw"/>
    <s v="Bethsheba Chirwa"/>
    <x v="1"/>
    <s v="Prototype"/>
    <x v="1"/>
    <s v="COP_24"/>
    <s v="COP_23"/>
    <s v="Quarter2"/>
    <s v="Quarter3"/>
    <s v="Qtr_3"/>
    <x v="7"/>
    <d v="2024-05-01T00:00:00"/>
    <d v="2024-04-30T00:00:00"/>
    <x v="3"/>
    <x v="18"/>
    <n v="0"/>
    <n v="1"/>
    <n v="0"/>
    <n v="0"/>
    <n v="0"/>
    <n v="0"/>
    <n v="0"/>
    <n v="1"/>
    <n v="0"/>
    <n v="0"/>
    <n v="0"/>
    <n v="1"/>
    <n v="0"/>
    <n v="0"/>
    <n v="0"/>
    <n v="0"/>
    <n v="0"/>
    <n v="0"/>
    <n v="0"/>
    <n v="0"/>
    <n v="0"/>
  </r>
  <r>
    <n v="354"/>
    <d v="2024-05-07T14:45:42"/>
    <d v="2024-05-07T14:48:32"/>
    <s v="bchirwa@lighthouse.org.mw"/>
    <s v="Bethsheba Chirwa"/>
    <x v="1"/>
    <s v="Prototype"/>
    <x v="1"/>
    <s v="COP_24"/>
    <s v="COP_23"/>
    <s v="Quarter2"/>
    <s v="Quarter3"/>
    <s v="Qtr_3"/>
    <x v="7"/>
    <d v="2024-04-01T00:00:00"/>
    <d v="2024-04-30T00:00:00"/>
    <x v="4"/>
    <x v="18"/>
    <n v="0"/>
    <n v="1"/>
    <n v="0"/>
    <n v="0"/>
    <n v="0"/>
    <n v="1"/>
    <n v="0"/>
    <n v="1"/>
    <n v="0"/>
    <n v="0"/>
    <n v="0"/>
    <n v="1"/>
    <n v="0"/>
    <n v="0"/>
    <n v="0"/>
    <n v="0"/>
    <n v="0"/>
    <n v="0"/>
    <n v="0"/>
    <n v="0"/>
    <n v="0"/>
  </r>
  <r>
    <n v="355"/>
    <d v="2024-05-07T14:49:09"/>
    <d v="2024-05-07T14:56:19"/>
    <s v="bchirwa@lighthouse.org.mw"/>
    <s v="Bethsheba Chirwa"/>
    <x v="1"/>
    <s v="Prototype"/>
    <x v="1"/>
    <s v="COP_24"/>
    <s v="COP_23"/>
    <s v="Quarter2"/>
    <s v="Quarter3"/>
    <s v="Qtr_3"/>
    <x v="7"/>
    <d v="2024-04-01T00:00:00"/>
    <d v="2024-04-30T00:00:00"/>
    <x v="5"/>
    <x v="18"/>
    <n v="0"/>
    <n v="1"/>
    <n v="0"/>
    <n v="0"/>
    <n v="0"/>
    <n v="1"/>
    <n v="0"/>
    <n v="0"/>
    <n v="0"/>
    <n v="0"/>
    <n v="0"/>
    <n v="0"/>
    <n v="0"/>
    <n v="0"/>
    <n v="0"/>
    <n v="0"/>
    <n v="0"/>
    <n v="0"/>
    <n v="0"/>
    <n v="0"/>
    <n v="0"/>
  </r>
  <r>
    <n v="357"/>
    <d v="2024-05-07T15:13:21"/>
    <d v="2024-05-07T15:16:10"/>
    <s v="bchirwa@lighthouse.org.mw"/>
    <s v="Bethsheba Chirwa"/>
    <x v="1"/>
    <s v="Prototype"/>
    <x v="1"/>
    <s v="COP_24"/>
    <s v="COP_23"/>
    <s v="Quarter2"/>
    <s v="Quarter3"/>
    <s v="Qtr_3"/>
    <x v="7"/>
    <d v="2024-04-01T00:00:00"/>
    <d v="2024-04-30T00:00:00"/>
    <x v="5"/>
    <x v="18"/>
    <n v="0"/>
    <n v="1"/>
    <n v="0"/>
    <n v="0"/>
    <n v="0"/>
    <n v="1"/>
    <n v="0"/>
    <n v="0"/>
    <n v="0"/>
    <n v="0"/>
    <n v="0"/>
    <n v="0"/>
    <n v="0"/>
    <n v="0"/>
    <n v="0"/>
    <n v="0"/>
    <n v="0"/>
    <n v="0"/>
    <n v="0"/>
    <n v="0"/>
    <n v="0"/>
  </r>
  <r>
    <n v="360"/>
    <d v="2024-05-07T15:18:21"/>
    <d v="2024-05-07T15:20:57"/>
    <s v="bchirwa@lighthouse.org.mw"/>
    <s v="Bethsheba Chirwa"/>
    <x v="1"/>
    <s v="Prototype"/>
    <x v="1"/>
    <s v="COP_24"/>
    <s v="COP_23"/>
    <s v="Quarter2"/>
    <s v="Quarter3"/>
    <s v="Qtr_3"/>
    <x v="7"/>
    <d v="2024-04-01T00:00:00"/>
    <d v="2024-04-30T00:00:00"/>
    <x v="0"/>
    <x v="53"/>
    <n v="0"/>
    <n v="20"/>
    <n v="0"/>
    <n v="0"/>
    <n v="0"/>
    <n v="4"/>
    <n v="4"/>
    <n v="4"/>
    <n v="0"/>
    <n v="0"/>
    <n v="0"/>
    <n v="4"/>
    <n v="1"/>
    <n v="0"/>
    <n v="0"/>
    <n v="0"/>
    <n v="0"/>
    <n v="0"/>
    <n v="0"/>
    <n v="0"/>
    <n v="0"/>
  </r>
  <r>
    <n v="363"/>
    <d v="2024-05-07T15:24:58"/>
    <d v="2024-05-07T15:26:15"/>
    <s v="bchirwa@lighthouse.org.mw"/>
    <s v="Bethsheba Chirwa"/>
    <x v="1"/>
    <s v="Prototype"/>
    <x v="1"/>
    <s v="COP_24"/>
    <s v="COP_23"/>
    <s v="Quarter1"/>
    <s v="Quarter2"/>
    <s v="Qtr_2"/>
    <x v="4"/>
    <d v="2024-01-01T00:00:00"/>
    <d v="2024-01-31T00:00:00"/>
    <x v="3"/>
    <x v="21"/>
    <n v="0"/>
    <n v="0"/>
    <n v="0"/>
    <n v="0"/>
    <n v="0"/>
    <n v="0"/>
    <n v="0"/>
    <n v="0"/>
    <n v="0"/>
    <n v="0"/>
    <n v="0"/>
    <n v="0"/>
    <n v="0"/>
    <n v="0"/>
    <n v="0"/>
    <n v="0"/>
    <n v="0"/>
    <n v="0"/>
    <n v="0"/>
    <n v="0"/>
    <n v="0"/>
  </r>
  <r>
    <n v="364"/>
    <d v="2024-05-07T15:26:17"/>
    <d v="2024-05-07T15:28:07"/>
    <s v="bchirwa@lighthouse.org.mw"/>
    <s v="Bethsheba Chirwa"/>
    <x v="1"/>
    <s v="Prototype"/>
    <x v="1"/>
    <s v="COP_24"/>
    <s v="COP_23"/>
    <s v="Quarter1"/>
    <s v="Quarter2"/>
    <s v="Qtr_2"/>
    <x v="4"/>
    <d v="2024-01-01T00:00:00"/>
    <d v="2024-01-31T00:00:00"/>
    <x v="0"/>
    <x v="23"/>
    <n v="0"/>
    <n v="13"/>
    <n v="0"/>
    <n v="0"/>
    <n v="0"/>
    <n v="13"/>
    <n v="2"/>
    <n v="2"/>
    <n v="0"/>
    <n v="0"/>
    <n v="0"/>
    <n v="2"/>
    <n v="0"/>
    <n v="0"/>
    <n v="0"/>
    <n v="0"/>
    <n v="0"/>
    <n v="0"/>
    <n v="0"/>
    <n v="0"/>
    <n v="0"/>
  </r>
  <r>
    <n v="493"/>
    <d v="2024-06-05T15:42:11"/>
    <d v="2024-06-05T15:48:08"/>
    <s v="bchirwa@lighthouse.org.mw"/>
    <s v="Bethsheba Chirwa"/>
    <x v="1"/>
    <s v="Prototype"/>
    <x v="1"/>
    <s v="COP_22"/>
    <s v="COP_23"/>
    <s v="Quarter2"/>
    <s v="Quarter3"/>
    <s v="Qtr_3"/>
    <x v="6"/>
    <d v="2024-05-01T00:00:00"/>
    <d v="2024-05-31T00:00:00"/>
    <x v="3"/>
    <x v="18"/>
    <n v="0"/>
    <n v="1"/>
    <n v="0"/>
    <n v="0"/>
    <n v="0"/>
    <n v="0"/>
    <n v="0"/>
    <n v="1"/>
    <n v="0"/>
    <n v="0"/>
    <n v="0"/>
    <n v="0"/>
    <n v="0"/>
    <n v="0"/>
    <n v="0"/>
    <n v="0"/>
    <n v="0"/>
    <n v="0"/>
    <n v="0"/>
    <n v="0"/>
    <n v="0"/>
  </r>
  <r>
    <n v="495"/>
    <d v="2024-06-05T15:48:36"/>
    <d v="2024-06-05T15:53:59"/>
    <s v="bchirwa@lighthouse.org.mw"/>
    <s v="Bethsheba Chirwa"/>
    <x v="1"/>
    <s v="Prototype"/>
    <x v="1"/>
    <s v="COP_23"/>
    <s v="COP_23"/>
    <s v="Quarter2"/>
    <s v="Quarter3"/>
    <s v="Qtr_3"/>
    <x v="6"/>
    <d v="2024-05-01T00:00:00"/>
    <d v="2024-05-31T00:00:00"/>
    <x v="4"/>
    <x v="30"/>
    <n v="0"/>
    <n v="1"/>
    <n v="0"/>
    <n v="0"/>
    <n v="0"/>
    <n v="3"/>
    <n v="0"/>
    <n v="0"/>
    <n v="0"/>
    <n v="0"/>
    <n v="0"/>
    <n v="0"/>
    <n v="0"/>
    <n v="0"/>
    <n v="0"/>
    <n v="0"/>
    <n v="0"/>
    <n v="0"/>
    <n v="0"/>
    <n v="0"/>
    <n v="0"/>
  </r>
  <r>
    <n v="497"/>
    <d v="2024-06-06T08:46:07"/>
    <d v="2024-06-06T08:48:06"/>
    <s v="bchirwa@lighthouse.org.mw"/>
    <s v="Bethsheba Chirwa"/>
    <x v="1"/>
    <s v="Prototype"/>
    <x v="1"/>
    <s v="COP_23"/>
    <s v="COP_23"/>
    <s v="Quarter2"/>
    <s v="Quarter3"/>
    <s v="Qtr_3"/>
    <x v="6"/>
    <d v="2024-05-01T00:00:00"/>
    <d v="2024-05-31T00:00:00"/>
    <x v="5"/>
    <x v="33"/>
    <n v="0"/>
    <n v="4"/>
    <n v="0"/>
    <n v="0"/>
    <n v="0"/>
    <n v="4"/>
    <n v="1"/>
    <n v="0"/>
    <n v="0"/>
    <n v="0"/>
    <n v="0"/>
    <n v="0"/>
    <n v="0"/>
    <n v="0"/>
    <n v="0"/>
    <n v="0"/>
    <n v="0"/>
    <n v="0"/>
    <n v="0"/>
    <n v="0"/>
    <n v="0"/>
  </r>
  <r>
    <n v="503"/>
    <d v="2024-06-06T09:14:15"/>
    <d v="2024-06-06T09:41:59"/>
    <s v="bchirwa@lighthouse.org.mw"/>
    <s v="Bethsheba Chirwa"/>
    <x v="1"/>
    <s v="Prototype"/>
    <x v="1"/>
    <s v="COP_23"/>
    <s v="COP_23"/>
    <s v="Quarter2"/>
    <s v="Quarter3"/>
    <s v="Qtr_3"/>
    <x v="6"/>
    <d v="2024-05-01T00:00:00"/>
    <d v="2024-05-31T00:00:00"/>
    <x v="0"/>
    <x v="2"/>
    <n v="0"/>
    <n v="28"/>
    <n v="2"/>
    <n v="0"/>
    <n v="0"/>
    <n v="30"/>
    <n v="6"/>
    <n v="6"/>
    <n v="0"/>
    <n v="0"/>
    <n v="0"/>
    <n v="0"/>
    <n v="0"/>
    <n v="0"/>
    <n v="0"/>
    <n v="0"/>
    <n v="0"/>
    <n v="0"/>
    <n v="0"/>
    <n v="0"/>
    <n v="0"/>
  </r>
  <r>
    <n v="555"/>
    <d v="2024-07-02T10:49:07"/>
    <d v="2024-07-02T10:58:05"/>
    <s v="bchirwa@lighthouse.org.mw"/>
    <s v="Bethsheba Chirwa"/>
    <x v="1"/>
    <s v="Prototype"/>
    <x v="1"/>
    <s v="COP_23"/>
    <s v="COP_23"/>
    <s v="Quarter2"/>
    <s v="Quarter3"/>
    <s v="Qtr_3"/>
    <x v="8"/>
    <d v="2024-06-01T00:00:00"/>
    <d v="2024-06-30T00:00:00"/>
    <x v="3"/>
    <x v="21"/>
    <n v="0"/>
    <n v="0"/>
    <n v="0"/>
    <n v="0"/>
    <n v="0"/>
    <n v="0"/>
    <n v="0"/>
    <n v="0"/>
    <n v="0"/>
    <n v="0"/>
    <n v="0"/>
    <n v="0"/>
    <n v="0"/>
    <n v="0"/>
    <n v="0"/>
    <n v="0"/>
    <n v="0"/>
    <n v="0"/>
    <n v="0"/>
    <n v="0"/>
    <n v="0"/>
  </r>
  <r>
    <n v="556"/>
    <d v="2024-07-02T10:58:20"/>
    <d v="2024-07-02T11:01:46"/>
    <s v="bchirwa@lighthouse.org.mw"/>
    <s v="Bethsheba Chirwa"/>
    <x v="1"/>
    <s v="Prototype"/>
    <x v="1"/>
    <s v="COP_23"/>
    <s v="COP_23"/>
    <s v="Quarter2"/>
    <s v="Quarter3"/>
    <s v="Qtr_3"/>
    <x v="8"/>
    <d v="2024-06-01T00:00:00"/>
    <d v="2024-06-30T00:00:00"/>
    <x v="4"/>
    <x v="21"/>
    <n v="0"/>
    <n v="0"/>
    <n v="0"/>
    <n v="0"/>
    <n v="0"/>
    <n v="0"/>
    <n v="0"/>
    <n v="0"/>
    <n v="0"/>
    <n v="0"/>
    <n v="0"/>
    <n v="0"/>
    <n v="0"/>
    <n v="0"/>
    <n v="0"/>
    <n v="0"/>
    <n v="0"/>
    <n v="0"/>
    <n v="0"/>
    <n v="0"/>
    <n v="0"/>
  </r>
  <r>
    <n v="557"/>
    <d v="2024-07-02T11:01:55"/>
    <d v="2024-07-02T11:16:26"/>
    <s v="bchirwa@lighthouse.org.mw"/>
    <s v="Bethsheba Chirwa"/>
    <x v="1"/>
    <s v="Prototype"/>
    <x v="1"/>
    <s v="COP_23"/>
    <s v="COP_23"/>
    <s v="Quarter2"/>
    <s v="Quarter3"/>
    <s v="Qtr_3"/>
    <x v="8"/>
    <d v="2024-06-01T00:00:00"/>
    <d v="2024-06-30T00:00:00"/>
    <x v="5"/>
    <x v="21"/>
    <n v="0"/>
    <n v="0"/>
    <n v="0"/>
    <n v="0"/>
    <n v="0"/>
    <n v="0"/>
    <n v="0"/>
    <n v="0"/>
    <n v="0"/>
    <n v="0"/>
    <n v="0"/>
    <n v="0"/>
    <n v="0"/>
    <n v="0"/>
    <n v="0"/>
    <n v="0"/>
    <n v="0"/>
    <n v="0"/>
    <n v="0"/>
    <n v="0"/>
    <n v="0"/>
  </r>
  <r>
    <n v="560"/>
    <d v="2024-07-02T11:32:29"/>
    <d v="2024-07-02T11:37:20"/>
    <s v="bchirwa@lighthouse.org.mw"/>
    <s v="Bethsheba Chirwa"/>
    <x v="1"/>
    <s v="Prototype"/>
    <x v="1"/>
    <s v="COP_23"/>
    <s v="COP_23"/>
    <s v="Quarter2"/>
    <s v="Quarter3"/>
    <s v="Qtr_3"/>
    <x v="8"/>
    <d v="2024-06-01T00:00:00"/>
    <d v="2024-06-30T00:00:00"/>
    <x v="0"/>
    <x v="17"/>
    <n v="1"/>
    <n v="20"/>
    <n v="2"/>
    <n v="1"/>
    <n v="0"/>
    <n v="23"/>
    <n v="3"/>
    <n v="3"/>
    <n v="0"/>
    <n v="0"/>
    <n v="0"/>
    <n v="0"/>
    <n v="0"/>
    <n v="0"/>
    <n v="0"/>
    <n v="0"/>
    <n v="0"/>
    <n v="0"/>
    <n v="0"/>
    <n v="0"/>
    <n v="0"/>
  </r>
  <r>
    <n v="785"/>
    <d v="2024-09-10T09:50:32"/>
    <d v="2024-09-10T10:00:24"/>
    <s v="bchirwa@lighthouse.org.mw"/>
    <s v="Bethsheba Chirwa"/>
    <x v="1"/>
    <s v="Prototype"/>
    <x v="1"/>
    <s v="COP_23"/>
    <s v="COP_23"/>
    <s v="Quarter3"/>
    <s v="Quarter4"/>
    <s v="Qtr_4"/>
    <x v="9"/>
    <d v="2024-07-01T00:00:00"/>
    <d v="2024-07-31T00:00:00"/>
    <x v="0"/>
    <x v="9"/>
    <n v="0"/>
    <n v="22"/>
    <n v="2"/>
    <n v="1"/>
    <n v="0"/>
    <n v="23"/>
    <n v="1"/>
    <n v="1"/>
    <n v="0"/>
    <n v="0"/>
    <n v="0"/>
    <n v="0"/>
    <n v="0"/>
    <n v="0"/>
    <n v="0"/>
    <n v="0"/>
    <n v="0"/>
    <n v="0"/>
    <n v="0"/>
    <n v="0"/>
    <n v="0"/>
  </r>
  <r>
    <n v="787"/>
    <d v="2024-09-10T10:07:24"/>
    <d v="2024-09-10T10:10:57"/>
    <s v="bchirwa@lighthouse.org.mw"/>
    <s v="Bethsheba Chirwa"/>
    <x v="1"/>
    <s v="Prototype"/>
    <x v="1"/>
    <s v="COP_23"/>
    <s v="COP_23"/>
    <s v="Quarter3"/>
    <s v="Quarter4"/>
    <s v="Qtr_4"/>
    <x v="9"/>
    <d v="2024-07-01T00:00:00"/>
    <d v="2024-07-31T00:00:00"/>
    <x v="5"/>
    <x v="18"/>
    <n v="0"/>
    <n v="1"/>
    <n v="0"/>
    <n v="0"/>
    <n v="0"/>
    <n v="1"/>
    <n v="0"/>
    <n v="0"/>
    <n v="0"/>
    <n v="0"/>
    <n v="0"/>
    <n v="0"/>
    <n v="0"/>
    <n v="0"/>
    <n v="0"/>
    <n v="0"/>
    <n v="0"/>
    <n v="0"/>
    <n v="0"/>
    <n v="0"/>
    <n v="0"/>
  </r>
  <r>
    <n v="788"/>
    <d v="2024-09-10T10:11:02"/>
    <d v="2024-09-10T10:13:12"/>
    <s v="bchirwa@lighthouse.org.mw"/>
    <s v="Bethsheba Chirwa"/>
    <x v="1"/>
    <s v="Prototype"/>
    <x v="1"/>
    <s v="COP_23"/>
    <s v="COP_23"/>
    <s v="Quarter3"/>
    <s v="Quarter4"/>
    <s v="Qtr_4"/>
    <x v="9"/>
    <d v="2024-07-01T00:00:00"/>
    <d v="2024-07-31T00:00:00"/>
    <x v="4"/>
    <x v="21"/>
    <n v="0"/>
    <n v="0"/>
    <n v="0"/>
    <n v="0"/>
    <n v="0"/>
    <n v="0"/>
    <n v="0"/>
    <n v="0"/>
    <n v="0"/>
    <n v="0"/>
    <n v="0"/>
    <n v="0"/>
    <n v="0"/>
    <n v="0"/>
    <n v="0"/>
    <n v="0"/>
    <n v="0"/>
    <n v="0"/>
    <n v="0"/>
    <n v="0"/>
    <n v="0"/>
  </r>
  <r>
    <n v="789"/>
    <d v="2024-09-10T10:13:34"/>
    <d v="2024-09-10T10:15:46"/>
    <s v="bchirwa@lighthouse.org.mw"/>
    <s v="Bethsheba Chirwa"/>
    <x v="1"/>
    <s v="Prototype"/>
    <x v="1"/>
    <s v="COP_23"/>
    <s v="COP_23"/>
    <s v="Quarter3"/>
    <s v="Quarter4"/>
    <s v="Qtr_4"/>
    <x v="9"/>
    <d v="2024-07-01T00:00:00"/>
    <d v="2024-07-31T00:00:00"/>
    <x v="3"/>
    <x v="21"/>
    <n v="0"/>
    <n v="0"/>
    <n v="0"/>
    <n v="0"/>
    <n v="0"/>
    <n v="0"/>
    <n v="0"/>
    <n v="0"/>
    <n v="0"/>
    <n v="0"/>
    <n v="0"/>
    <n v="0"/>
    <n v="0"/>
    <n v="0"/>
    <n v="0"/>
    <n v="0"/>
    <n v="0"/>
    <n v="0"/>
    <n v="0"/>
    <n v="0"/>
    <n v="0"/>
  </r>
  <r>
    <n v="793"/>
    <d v="2024-09-10T11:07:04"/>
    <d v="2024-09-10T11:11:11"/>
    <s v="bchirwa@lighthouse.org.mw"/>
    <s v="Bethsheba Chirwa"/>
    <x v="1"/>
    <s v="Prototype"/>
    <x v="1"/>
    <s v="COP_23"/>
    <s v="COP_23"/>
    <s v="Quarter3"/>
    <s v="Quarter4"/>
    <s v="Qtr_4"/>
    <x v="10"/>
    <d v="2024-08-01T00:00:00"/>
    <d v="2024-08-31T00:00:00"/>
    <x v="3"/>
    <x v="21"/>
    <n v="0"/>
    <n v="0"/>
    <n v="0"/>
    <n v="0"/>
    <n v="0"/>
    <n v="0"/>
    <n v="0"/>
    <n v="0"/>
    <n v="0"/>
    <n v="0"/>
    <n v="0"/>
    <n v="0"/>
    <n v="0"/>
    <n v="0"/>
    <n v="0"/>
    <n v="0"/>
    <n v="0"/>
    <n v="0"/>
    <n v="0"/>
    <n v="0"/>
    <n v="0"/>
  </r>
  <r>
    <n v="795"/>
    <d v="2024-09-10T11:15:16"/>
    <d v="2024-09-10T11:28:02"/>
    <s v="bchirwa@lighthouse.org.mw"/>
    <s v="Bethsheba Chirwa"/>
    <x v="1"/>
    <s v="Prototype"/>
    <x v="1"/>
    <s v="COP_23"/>
    <s v="COP_23"/>
    <s v="Quarter3"/>
    <s v="Quarter4"/>
    <s v="Qtr_4"/>
    <x v="10"/>
    <d v="2024-08-01T00:00:00"/>
    <d v="2024-08-31T00:00:00"/>
    <x v="4"/>
    <x v="18"/>
    <n v="0"/>
    <n v="1"/>
    <n v="0"/>
    <n v="0"/>
    <n v="0"/>
    <n v="0"/>
    <n v="0"/>
    <n v="0"/>
    <n v="0"/>
    <n v="0"/>
    <n v="0"/>
    <n v="0"/>
    <n v="0"/>
    <n v="0"/>
    <n v="0"/>
    <n v="0"/>
    <n v="0"/>
    <n v="0"/>
    <n v="0"/>
    <n v="0"/>
    <n v="0"/>
  </r>
  <r>
    <n v="796"/>
    <d v="2024-09-10T11:28:09"/>
    <d v="2024-09-10T11:39:27"/>
    <s v="bchirwa@lighthouse.org.mw"/>
    <s v="Bethsheba Chirwa"/>
    <x v="1"/>
    <s v="Prototype"/>
    <x v="1"/>
    <s v="COP_23"/>
    <s v="COP_23"/>
    <s v="Quarter3"/>
    <s v="Quarter4"/>
    <s v="Qtr_4"/>
    <x v="10"/>
    <d v="2024-08-01T00:00:00"/>
    <d v="2024-08-31T00:00:00"/>
    <x v="5"/>
    <x v="54"/>
    <n v="0"/>
    <n v="0"/>
    <n v="0"/>
    <n v="0"/>
    <n v="0"/>
    <n v="0"/>
    <n v="0"/>
    <n v="0"/>
    <n v="0"/>
    <n v="0"/>
    <n v="0"/>
    <n v="0"/>
    <n v="0"/>
    <n v="0"/>
    <n v="0"/>
    <n v="0"/>
    <n v="0"/>
    <n v="0"/>
    <n v="0"/>
    <n v="0"/>
    <n v="0"/>
  </r>
  <r>
    <n v="798"/>
    <d v="2024-09-10T11:49:23"/>
    <d v="2024-09-10T11:54:28"/>
    <s v="bchirwa@lighthouse.org.mw"/>
    <s v="Bethsheba Chirwa"/>
    <x v="1"/>
    <s v="Prototype"/>
    <x v="1"/>
    <s v="COP_23"/>
    <s v="COP_23"/>
    <s v="Quarter3"/>
    <s v="Quarter4"/>
    <s v="Qtr_4"/>
    <x v="10"/>
    <d v="2024-08-01T00:00:00"/>
    <d v="2024-08-31T00:00:00"/>
    <x v="0"/>
    <x v="55"/>
    <n v="0"/>
    <n v="5"/>
    <n v="0"/>
    <n v="0"/>
    <n v="0"/>
    <n v="5"/>
    <n v="0"/>
    <n v="0"/>
    <n v="0"/>
    <n v="0"/>
    <n v="0"/>
    <n v="0"/>
    <n v="0"/>
    <n v="0"/>
    <n v="0"/>
    <n v="0"/>
    <n v="0"/>
    <n v="0"/>
    <n v="0"/>
    <n v="0"/>
    <n v="0"/>
  </r>
  <r>
    <n v="899"/>
    <d v="2024-10-07T09:50:21"/>
    <d v="2024-10-07T09:56:56"/>
    <s v="bchirwa@lighthouse.org.mw"/>
    <s v="Bethsheba Chirwa"/>
    <x v="1"/>
    <s v="Prototype"/>
    <x v="1"/>
    <s v="COP_23"/>
    <s v="COP_23"/>
    <s v="Quarter3"/>
    <s v="Quarter4"/>
    <s v="Qtr_4"/>
    <x v="2"/>
    <d v="2024-09-01T00:00:00"/>
    <d v="2024-09-30T00:00:00"/>
    <x v="3"/>
    <x v="18"/>
    <n v="0"/>
    <n v="1"/>
    <n v="0"/>
    <n v="0"/>
    <n v="0"/>
    <n v="0"/>
    <n v="0"/>
    <n v="1"/>
    <n v="0"/>
    <n v="0"/>
    <n v="0"/>
    <n v="1"/>
    <n v="0"/>
    <n v="0"/>
    <n v="0"/>
    <n v="0"/>
    <n v="0"/>
    <n v="0"/>
    <n v="0"/>
    <n v="0"/>
    <n v="0"/>
  </r>
  <r>
    <n v="900"/>
    <d v="2024-10-07T09:57:00"/>
    <d v="2024-10-07T09:59:17"/>
    <s v="bchirwa@lighthouse.org.mw"/>
    <s v="Bethsheba Chirwa"/>
    <x v="1"/>
    <s v="Prototype"/>
    <x v="1"/>
    <s v="COP_23"/>
    <s v="COP_23"/>
    <s v="Quarter3"/>
    <s v="Quarter4"/>
    <s v="Qtr_4"/>
    <x v="2"/>
    <d v="2024-09-01T00:00:00"/>
    <d v="2024-09-30T00:00:00"/>
    <x v="4"/>
    <x v="21"/>
    <n v="0"/>
    <n v="0"/>
    <n v="0"/>
    <n v="0"/>
    <n v="0"/>
    <n v="0"/>
    <n v="0"/>
    <n v="0"/>
    <n v="0"/>
    <n v="0"/>
    <n v="0"/>
    <n v="0"/>
    <n v="0"/>
    <n v="0"/>
    <n v="0"/>
    <n v="0"/>
    <n v="0"/>
    <n v="0"/>
    <n v="0"/>
    <n v="0"/>
    <n v="0"/>
  </r>
  <r>
    <n v="901"/>
    <d v="2024-10-07T09:59:41"/>
    <d v="2024-10-07T10:07:52"/>
    <s v="bchirwa@lighthouse.org.mw"/>
    <s v="Bethsheba Chirwa"/>
    <x v="1"/>
    <s v="Prototype"/>
    <x v="1"/>
    <s v="COP_23"/>
    <s v="COP_23"/>
    <s v="Quarter3"/>
    <s v="Quarter4"/>
    <s v="Qtr_4"/>
    <x v="2"/>
    <d v="2024-09-01T00:00:00"/>
    <d v="2024-09-30T00:00:00"/>
    <x v="5"/>
    <x v="37"/>
    <n v="0"/>
    <n v="6"/>
    <n v="0"/>
    <n v="0"/>
    <n v="0"/>
    <n v="0"/>
    <n v="0"/>
    <n v="0"/>
    <n v="0"/>
    <n v="0"/>
    <n v="0"/>
    <n v="0"/>
    <n v="0"/>
    <n v="0"/>
    <n v="0"/>
    <n v="0"/>
    <n v="0"/>
    <n v="0"/>
    <n v="0"/>
    <n v="0"/>
    <n v="0"/>
  </r>
  <r>
    <n v="903"/>
    <d v="2024-10-07T10:20:49"/>
    <d v="2024-10-07T10:39:13"/>
    <s v="bchirwa@lighthouse.org.mw"/>
    <s v="Bethsheba Chirwa"/>
    <x v="1"/>
    <s v="Prototype"/>
    <x v="1"/>
    <s v="COP_23"/>
    <s v="COP_23"/>
    <s v="Quarter3"/>
    <s v="Quarter4"/>
    <s v="Qtr_4"/>
    <x v="2"/>
    <d v="2024-09-01T00:00:00"/>
    <d v="2024-09-30T00:00:00"/>
    <x v="0"/>
    <x v="56"/>
    <n v="0"/>
    <n v="27"/>
    <n v="0"/>
    <n v="1"/>
    <n v="0"/>
    <n v="0"/>
    <n v="0"/>
    <n v="6"/>
    <n v="0"/>
    <n v="0"/>
    <n v="0"/>
    <n v="6"/>
    <n v="0"/>
    <n v="0"/>
    <n v="0"/>
    <n v="0"/>
    <n v="0"/>
    <n v="0"/>
    <n v="0"/>
    <n v="0"/>
    <n v="0"/>
  </r>
  <r>
    <n v="1089"/>
    <d v="2024-11-26T10:38:24"/>
    <d v="2024-11-26T10:53:29"/>
    <s v="bchirwa@lighthouse.org.mw"/>
    <s v="Bethsheba Chirwa"/>
    <x v="1"/>
    <s v="Prototype"/>
    <x v="1"/>
    <s v="COP_23"/>
    <s v="COP_24"/>
    <s v="Quarter4"/>
    <s v="Quarter1"/>
    <s v="Qtr_1"/>
    <x v="0"/>
    <d v="2024-10-01T00:00:00"/>
    <d v="2024-10-31T00:00:00"/>
    <x v="1"/>
    <x v="23"/>
    <n v="0"/>
    <n v="12"/>
    <n v="1"/>
    <n v="0"/>
    <n v="0"/>
    <n v="0"/>
    <n v="0"/>
    <n v="0"/>
    <n v="0"/>
    <n v="0"/>
    <n v="0"/>
    <n v="1"/>
    <n v="0"/>
    <n v="0"/>
    <n v="0"/>
    <n v="0"/>
    <n v="0"/>
    <n v="0"/>
    <n v="0"/>
    <n v="0"/>
    <n v="0"/>
  </r>
  <r>
    <n v="1090"/>
    <d v="2024-11-26T10:53:47"/>
    <d v="2024-11-26T10:57:59"/>
    <s v="bchirwa@lighthouse.org.mw"/>
    <s v="Bethsheba Chirwa"/>
    <x v="1"/>
    <s v="Prototype"/>
    <x v="1"/>
    <s v="COP_23"/>
    <s v="COP_24"/>
    <s v="Quarter4"/>
    <s v="Quarter1"/>
    <s v="Qtr_1"/>
    <x v="0"/>
    <d v="2024-10-01T00:00:00"/>
    <d v="2024-10-31T00:00:00"/>
    <x v="3"/>
    <x v="21"/>
    <n v="0"/>
    <n v="0"/>
    <n v="0"/>
    <n v="0"/>
    <n v="0"/>
    <n v="0"/>
    <n v="0"/>
    <n v="0"/>
    <n v="0"/>
    <n v="0"/>
    <n v="0"/>
    <n v="0"/>
    <n v="0"/>
    <n v="0"/>
    <n v="0"/>
    <n v="0"/>
    <n v="0"/>
    <n v="0"/>
    <n v="0"/>
    <n v="0"/>
    <n v="0"/>
  </r>
  <r>
    <n v="1091"/>
    <d v="2024-11-26T10:59:18"/>
    <d v="2024-11-26T11:05:07"/>
    <s v="bchirwa@lighthouse.org.mw"/>
    <s v="Bethsheba Chirwa"/>
    <x v="1"/>
    <s v="Prototype"/>
    <x v="1"/>
    <s v="COP_23"/>
    <s v="COP_24"/>
    <s v="Quarter4"/>
    <s v="Quarter1"/>
    <s v="Qtr_1"/>
    <x v="0"/>
    <d v="2024-10-01T00:00:00"/>
    <d v="2024-10-31T00:00:00"/>
    <x v="4"/>
    <x v="21"/>
    <n v="0"/>
    <n v="0"/>
    <n v="0"/>
    <n v="0"/>
    <n v="0"/>
    <n v="0"/>
    <n v="0"/>
    <n v="0"/>
    <n v="0"/>
    <n v="0"/>
    <n v="0"/>
    <n v="0"/>
    <n v="0"/>
    <n v="0"/>
    <n v="0"/>
    <n v="0"/>
    <n v="0"/>
    <n v="0"/>
    <n v="0"/>
    <n v="0"/>
    <n v="0"/>
  </r>
  <r>
    <n v="1092"/>
    <d v="2024-11-26T11:06:16"/>
    <d v="2024-11-26T11:14:52"/>
    <s v="bchirwa@lighthouse.org.mw"/>
    <s v="Bethsheba Chirwa"/>
    <x v="1"/>
    <s v="Prototype"/>
    <x v="1"/>
    <s v="COP_23"/>
    <s v="COP_24"/>
    <s v="Quarter4"/>
    <s v="Quarter1"/>
    <s v="Qtr_1"/>
    <x v="0"/>
    <d v="2024-10-01T00:00:00"/>
    <d v="2024-10-31T00:00:00"/>
    <x v="5"/>
    <x v="18"/>
    <n v="0"/>
    <n v="0"/>
    <n v="0"/>
    <n v="0"/>
    <n v="0"/>
    <n v="0"/>
    <n v="0"/>
    <n v="0"/>
    <n v="0"/>
    <n v="0"/>
    <n v="0"/>
    <n v="0"/>
    <n v="0"/>
    <n v="0"/>
    <n v="0"/>
    <n v="0"/>
    <n v="0"/>
    <n v="0"/>
    <n v="0"/>
    <n v="0"/>
    <n v="0"/>
  </r>
  <r>
    <n v="1093"/>
    <d v="2024-11-26T11:15:19"/>
    <d v="2024-11-26T11:18:13"/>
    <s v="bchirwa@lighthouse.org.mw"/>
    <s v="Bethsheba Chirwa"/>
    <x v="1"/>
    <s v="Prototype"/>
    <x v="1"/>
    <s v="COP_23"/>
    <s v="COP_24"/>
    <s v="Quarter4"/>
    <s v="Quarter1"/>
    <s v="Qtr_1"/>
    <x v="0"/>
    <d v="2024-10-01T00:00:00"/>
    <d v="2024-10-31T00:00:00"/>
    <x v="2"/>
    <x v="18"/>
    <n v="1"/>
    <n v="1"/>
    <n v="0"/>
    <n v="0"/>
    <n v="0"/>
    <n v="0"/>
    <n v="0"/>
    <n v="0"/>
    <n v="0"/>
    <n v="0"/>
    <n v="0"/>
    <n v="1"/>
    <n v="0"/>
    <n v="0"/>
    <n v="0"/>
    <n v="0"/>
    <n v="0"/>
    <n v="0"/>
    <n v="0"/>
    <n v="0"/>
    <n v="0"/>
  </r>
  <r>
    <n v="1094"/>
    <d v="2024-11-26T11:19:24"/>
    <d v="2024-11-26T11:22:12"/>
    <s v="bchirwa@lighthouse.org.mw"/>
    <s v="Bethsheba Chirwa"/>
    <x v="1"/>
    <s v="Prototype"/>
    <x v="1"/>
    <s v="COP_24"/>
    <s v="COP_24"/>
    <s v="Quarter4"/>
    <s v="Quarter1"/>
    <s v="Qtr_1"/>
    <x v="0"/>
    <d v="2024-10-01T00:00:00"/>
    <d v="2024-10-31T00:00:00"/>
    <x v="0"/>
    <x v="57"/>
    <n v="0"/>
    <n v="14"/>
    <n v="1"/>
    <n v="0"/>
    <n v="0"/>
    <n v="0"/>
    <n v="0"/>
    <n v="0"/>
    <n v="0"/>
    <n v="0"/>
    <n v="0"/>
    <n v="2"/>
    <n v="0"/>
    <n v="0"/>
    <n v="0"/>
    <n v="0"/>
    <n v="0"/>
    <n v="0"/>
    <n v="0"/>
    <n v="0"/>
    <n v="0"/>
  </r>
  <r>
    <n v="1215"/>
    <d v="2025-01-08T14:05:55"/>
    <d v="2025-01-08T14:14:23"/>
    <s v="bchirwa@lighthouse.org.mw"/>
    <s v="Bethsheba Chirwa"/>
    <x v="1"/>
    <s v="Prototype"/>
    <x v="1"/>
    <s v="COP_23"/>
    <s v="COP_24"/>
    <s v="Quarter4"/>
    <s v="Quarter1"/>
    <s v="Qtr_1"/>
    <x v="1"/>
    <d v="2024-11-01T00:00:00"/>
    <d v="2024-11-30T00:00:00"/>
    <x v="1"/>
    <x v="33"/>
    <n v="0"/>
    <n v="4"/>
    <n v="0"/>
    <n v="0"/>
    <n v="0"/>
    <n v="0"/>
    <n v="0"/>
    <n v="0"/>
    <n v="0"/>
    <n v="0"/>
    <n v="0"/>
    <n v="0"/>
    <n v="0"/>
    <n v="0"/>
    <n v="0"/>
    <n v="0"/>
    <n v="0"/>
    <n v="0"/>
    <n v="0"/>
    <n v="0"/>
    <n v="0"/>
  </r>
  <r>
    <n v="1216"/>
    <d v="2025-01-08T14:14:31"/>
    <d v="2025-01-08T14:16:18"/>
    <s v="bchirwa@lighthouse.org.mw"/>
    <s v="Bethsheba Chirwa"/>
    <x v="1"/>
    <s v="Prototype"/>
    <x v="1"/>
    <s v="COP_23"/>
    <s v="COP_24"/>
    <s v="Quarter4"/>
    <s v="Quarter1"/>
    <s v="Qtr_1"/>
    <x v="1"/>
    <d v="2024-11-01T00:00:00"/>
    <d v="2024-11-30T00:00:00"/>
    <x v="3"/>
    <x v="21"/>
    <n v="0"/>
    <n v="0"/>
    <n v="0"/>
    <n v="0"/>
    <n v="0"/>
    <n v="0"/>
    <n v="0"/>
    <n v="0"/>
    <n v="0"/>
    <n v="0"/>
    <n v="0"/>
    <n v="0"/>
    <n v="0"/>
    <n v="0"/>
    <n v="0"/>
    <n v="0"/>
    <n v="0"/>
    <n v="0"/>
    <n v="0"/>
    <n v="0"/>
    <n v="0"/>
  </r>
  <r>
    <n v="1217"/>
    <d v="2025-01-08T14:16:20"/>
    <d v="2025-01-08T14:17:39"/>
    <s v="bchirwa@lighthouse.org.mw"/>
    <s v="Bethsheba Chirwa"/>
    <x v="1"/>
    <s v="Prototype"/>
    <x v="1"/>
    <s v="COP_23"/>
    <s v="COP_24"/>
    <s v="Quarter4"/>
    <s v="Quarter1"/>
    <s v="Qtr_1"/>
    <x v="1"/>
    <d v="2024-11-01T00:00:00"/>
    <d v="2024-11-30T00:00:00"/>
    <x v="4"/>
    <x v="21"/>
    <n v="0"/>
    <n v="0"/>
    <n v="0"/>
    <n v="0"/>
    <n v="0"/>
    <n v="0"/>
    <n v="0"/>
    <n v="0"/>
    <n v="0"/>
    <n v="0"/>
    <n v="0"/>
    <n v="0"/>
    <n v="0"/>
    <n v="0"/>
    <n v="0"/>
    <n v="0"/>
    <n v="0"/>
    <n v="0"/>
    <n v="0"/>
    <n v="0"/>
    <n v="0"/>
  </r>
  <r>
    <n v="1218"/>
    <d v="2025-01-08T14:17:46"/>
    <d v="2025-01-08T14:20:24"/>
    <s v="bchirwa@lighthouse.org.mw"/>
    <s v="Bethsheba Chirwa"/>
    <x v="1"/>
    <s v="Prototype"/>
    <x v="1"/>
    <s v="COP_23"/>
    <s v="COP_24"/>
    <s v="Quarter4"/>
    <s v="Quarter1"/>
    <s v="Qtr_1"/>
    <x v="1"/>
    <d v="2024-11-01T00:00:00"/>
    <d v="2024-11-30T00:00:00"/>
    <x v="5"/>
    <x v="20"/>
    <n v="0"/>
    <n v="2"/>
    <n v="0"/>
    <n v="0"/>
    <n v="0"/>
    <n v="0"/>
    <n v="0"/>
    <n v="0"/>
    <n v="0"/>
    <n v="0"/>
    <n v="0"/>
    <n v="0"/>
    <n v="0"/>
    <n v="0"/>
    <n v="0"/>
    <n v="0"/>
    <n v="0"/>
    <n v="0"/>
    <n v="0"/>
    <n v="0"/>
    <n v="0"/>
  </r>
  <r>
    <n v="1219"/>
    <d v="2025-01-08T14:20:27"/>
    <d v="2025-01-08T14:22:11"/>
    <s v="bchirwa@lighthouse.org.mw"/>
    <s v="Bethsheba Chirwa"/>
    <x v="1"/>
    <s v="Prototype"/>
    <x v="1"/>
    <s v="COP_23"/>
    <s v="COP_24"/>
    <s v="Quarter4"/>
    <s v="Quarter1"/>
    <s v="Qtr_1"/>
    <x v="1"/>
    <d v="2024-11-01T00:00:00"/>
    <d v="2024-11-30T00:00:00"/>
    <x v="0"/>
    <x v="37"/>
    <n v="0"/>
    <n v="6"/>
    <n v="0"/>
    <n v="0"/>
    <n v="0"/>
    <n v="0"/>
    <n v="0"/>
    <n v="0"/>
    <n v="0"/>
    <n v="0"/>
    <n v="0"/>
    <n v="0"/>
    <n v="0"/>
    <n v="0"/>
    <n v="0"/>
    <n v="0"/>
    <n v="0"/>
    <n v="0"/>
    <n v="0"/>
    <n v="0"/>
    <n v="0"/>
  </r>
  <r>
    <n v="1220"/>
    <d v="2025-01-08T14:22:17"/>
    <d v="2025-01-08T14:26:24"/>
    <s v="bchirwa@lighthouse.org.mw"/>
    <s v="Bethsheba Chirwa"/>
    <x v="1"/>
    <s v="Prototype"/>
    <x v="1"/>
    <s v="COP_23"/>
    <s v="COP_24"/>
    <s v="Quarter4"/>
    <s v="Quarter1"/>
    <s v="Qtr_1"/>
    <x v="11"/>
    <d v="2024-12-01T00:00:00"/>
    <d v="2024-12-31T00:00:00"/>
    <x v="1"/>
    <x v="33"/>
    <n v="0"/>
    <n v="3"/>
    <n v="1"/>
    <n v="0"/>
    <n v="0"/>
    <n v="0"/>
    <n v="0"/>
    <n v="0"/>
    <n v="0"/>
    <n v="0"/>
    <n v="0"/>
    <n v="0"/>
    <n v="0"/>
    <n v="0"/>
    <n v="0"/>
    <n v="0"/>
    <n v="0"/>
    <n v="0"/>
    <n v="0"/>
    <n v="0"/>
    <n v="0"/>
  </r>
  <r>
    <n v="1221"/>
    <d v="2025-01-08T14:26:32"/>
    <d v="2025-01-08T14:29:03"/>
    <s v="bchirwa@lighthouse.org.mw"/>
    <s v="Bethsheba Chirwa"/>
    <x v="1"/>
    <s v="Prototype"/>
    <x v="1"/>
    <s v="COP_23"/>
    <s v="COP_24"/>
    <s v="Quarter4"/>
    <s v="Quarter1"/>
    <s v="Qtr_1"/>
    <x v="11"/>
    <d v="2024-12-01T00:00:00"/>
    <d v="2024-12-31T00:00:00"/>
    <x v="3"/>
    <x v="21"/>
    <n v="0"/>
    <n v="0"/>
    <n v="0"/>
    <n v="0"/>
    <n v="0"/>
    <n v="0"/>
    <n v="0"/>
    <n v="0"/>
    <n v="0"/>
    <n v="0"/>
    <n v="0"/>
    <n v="0"/>
    <n v="0"/>
    <n v="0"/>
    <n v="0"/>
    <n v="0"/>
    <n v="0"/>
    <n v="0"/>
    <n v="0"/>
    <n v="0"/>
    <n v="0"/>
  </r>
  <r>
    <n v="1222"/>
    <d v="2025-01-08T14:29:13"/>
    <d v="2025-01-08T14:30:15"/>
    <s v="bchirwa@lighthouse.org.mw"/>
    <s v="Bethsheba Chirwa"/>
    <x v="1"/>
    <s v="Prototype"/>
    <x v="1"/>
    <s v="COP_23"/>
    <s v="COP_24"/>
    <s v="Quarter4"/>
    <s v="Quarter1"/>
    <s v="Qtr_1"/>
    <x v="11"/>
    <d v="2024-12-01T00:00:00"/>
    <d v="2024-12-31T00:00:00"/>
    <x v="4"/>
    <x v="21"/>
    <n v="0"/>
    <n v="0"/>
    <n v="0"/>
    <n v="0"/>
    <n v="0"/>
    <n v="0"/>
    <n v="0"/>
    <n v="0"/>
    <n v="0"/>
    <n v="0"/>
    <n v="0"/>
    <n v="0"/>
    <n v="0"/>
    <n v="0"/>
    <n v="0"/>
    <n v="0"/>
    <n v="0"/>
    <n v="0"/>
    <n v="0"/>
    <n v="0"/>
    <n v="0"/>
  </r>
  <r>
    <n v="1223"/>
    <d v="2025-01-08T14:30:20"/>
    <d v="2025-01-08T14:33:56"/>
    <s v="bchirwa@lighthouse.org.mw"/>
    <s v="Bethsheba Chirwa"/>
    <x v="1"/>
    <s v="Prototype"/>
    <x v="1"/>
    <s v="COP_23"/>
    <s v="COP_24"/>
    <s v="Quarter4"/>
    <s v="Quarter1"/>
    <s v="Qtr_1"/>
    <x v="11"/>
    <d v="2024-12-01T00:00:00"/>
    <d v="2024-12-31T00:00:00"/>
    <x v="5"/>
    <x v="18"/>
    <n v="0"/>
    <n v="0"/>
    <n v="0"/>
    <n v="0"/>
    <n v="0"/>
    <n v="0"/>
    <n v="0"/>
    <n v="0"/>
    <n v="0"/>
    <n v="0"/>
    <n v="0"/>
    <n v="0"/>
    <n v="0"/>
    <n v="0"/>
    <n v="0"/>
    <n v="0"/>
    <n v="0"/>
    <n v="0"/>
    <n v="0"/>
    <n v="0"/>
    <n v="0"/>
  </r>
  <r>
    <n v="1224"/>
    <d v="2025-01-08T14:34:12"/>
    <d v="2025-01-08T14:40:28"/>
    <s v="bchirwa@lighthouse.org.mw"/>
    <s v="Bethsheba Chirwa"/>
    <x v="1"/>
    <s v="Prototype"/>
    <x v="1"/>
    <s v="COP_23"/>
    <s v="COP_24"/>
    <s v="Quarter4"/>
    <s v="Quarter1"/>
    <s v="Qtr_1"/>
    <x v="11"/>
    <d v="2024-12-01T00:00:00"/>
    <d v="2024-12-31T00:00:00"/>
    <x v="0"/>
    <x v="37"/>
    <n v="0"/>
    <n v="5"/>
    <n v="1"/>
    <n v="0"/>
    <n v="0"/>
    <n v="0"/>
    <n v="0"/>
    <n v="0"/>
    <n v="0"/>
    <n v="0"/>
    <n v="0"/>
    <n v="0"/>
    <n v="0"/>
    <n v="0"/>
    <n v="0"/>
    <n v="0"/>
    <n v="0"/>
    <n v="0"/>
    <n v="0"/>
    <n v="0"/>
    <n v="0"/>
  </r>
  <r>
    <n v="1262"/>
    <d v="2025-01-14T11:37:18"/>
    <d v="2025-01-14T11:51:35"/>
    <s v="bchirwa@lighthouse.org.mw"/>
    <s v="Bethsheba Chirwa"/>
    <x v="1"/>
    <s v="Prototype"/>
    <x v="1"/>
    <s v="COP_23"/>
    <s v="COP_24"/>
    <s v="Quarter4"/>
    <s v="Quarter1"/>
    <s v="Qtr_1"/>
    <x v="1"/>
    <d v="2025-11-01T00:00:00"/>
    <d v="2024-11-30T00:00:00"/>
    <x v="2"/>
    <x v="19"/>
    <n v="0"/>
    <n v="0"/>
    <n v="0"/>
    <n v="0"/>
    <n v="0"/>
    <n v="0"/>
    <n v="0"/>
    <n v="0"/>
    <n v="0"/>
    <n v="0"/>
    <n v="0"/>
    <n v="0"/>
    <n v="0"/>
    <n v="0"/>
    <n v="0"/>
    <n v="0"/>
    <n v="0"/>
    <n v="0"/>
    <n v="0"/>
    <n v="0"/>
    <n v="0"/>
  </r>
  <r>
    <n v="1264"/>
    <d v="2025-01-14T11:51:40"/>
    <d v="2025-01-14T11:56:16"/>
    <s v="bchirwa@lighthouse.org.mw"/>
    <s v="Bethsheba Chirwa"/>
    <x v="1"/>
    <s v="Prototype"/>
    <x v="1"/>
    <s v="COP_23"/>
    <s v="COP_24"/>
    <s v="Quarter4"/>
    <s v="Quarter1"/>
    <s v="Qtr_1"/>
    <x v="11"/>
    <d v="2024-12-01T00:00:00"/>
    <d v="2024-12-31T00:00:00"/>
    <x v="2"/>
    <x v="58"/>
    <n v="0"/>
    <n v="1"/>
    <n v="0"/>
    <n v="0"/>
    <n v="0"/>
    <n v="1"/>
    <n v="0"/>
    <n v="0"/>
    <n v="0"/>
    <n v="0"/>
    <n v="0"/>
    <n v="0"/>
    <n v="0"/>
    <n v="0"/>
    <n v="0"/>
    <n v="0"/>
    <n v="0"/>
    <n v="0"/>
    <n v="0"/>
    <n v="0"/>
    <n v="0"/>
  </r>
  <r>
    <n v="1361"/>
    <d v="2025-03-06T10:04:21"/>
    <d v="2025-03-06T10:14:34"/>
    <s v="bchirwa@lighthouse.org.mw"/>
    <s v="Bethsheba Chirwa"/>
    <x v="1"/>
    <s v="Prototype"/>
    <x v="2"/>
    <s v="COP_23"/>
    <s v="COP_24"/>
    <s v="Quarter1"/>
    <s v="Quarter2"/>
    <s v="Qtr_2"/>
    <x v="4"/>
    <d v="2025-01-01T00:00:00"/>
    <d v="2025-01-31T00:00:00"/>
    <x v="1"/>
    <x v="29"/>
    <n v="0"/>
    <n v="11"/>
    <n v="0"/>
    <n v="0"/>
    <n v="0"/>
    <n v="11"/>
    <n v="0"/>
    <n v="0"/>
    <n v="0"/>
    <n v="0"/>
    <n v="0"/>
    <n v="0"/>
    <n v="0"/>
    <n v="0"/>
    <n v="0"/>
    <n v="0"/>
    <n v="0"/>
    <n v="0"/>
    <n v="0"/>
    <n v="0"/>
    <n v="0"/>
  </r>
  <r>
    <n v="1362"/>
    <d v="2025-03-06T10:14:38"/>
    <d v="2025-03-06T10:16:37"/>
    <s v="bchirwa@lighthouse.org.mw"/>
    <s v="Bethsheba Chirwa"/>
    <x v="1"/>
    <s v="Prototype"/>
    <x v="2"/>
    <s v="COP_23"/>
    <s v="COP_24"/>
    <s v="Quarter1"/>
    <s v="Quarter2"/>
    <s v="Qtr_2"/>
    <x v="4"/>
    <d v="2025-01-01T00:00:00"/>
    <d v="2025-01-31T00:00:00"/>
    <x v="3"/>
    <x v="21"/>
    <n v="0"/>
    <n v="0"/>
    <n v="0"/>
    <n v="0"/>
    <n v="0"/>
    <n v="0"/>
    <n v="0"/>
    <n v="0"/>
    <n v="0"/>
    <n v="0"/>
    <n v="0"/>
    <n v="0"/>
    <n v="0"/>
    <n v="0"/>
    <n v="0"/>
    <n v="0"/>
    <n v="0"/>
    <n v="0"/>
    <n v="0"/>
    <n v="0"/>
    <n v="0"/>
  </r>
  <r>
    <n v="1363"/>
    <d v="2025-03-06T10:16:41"/>
    <d v="2025-03-06T10:22:26"/>
    <s v="bchirwa@lighthouse.org.mw"/>
    <s v="Bethsheba Chirwa"/>
    <x v="1"/>
    <s v="Prototype"/>
    <x v="2"/>
    <s v="COP_23"/>
    <s v="COP_24"/>
    <s v="Quarter1"/>
    <s v="Quarter2"/>
    <s v="Qtr_2"/>
    <x v="4"/>
    <d v="2025-01-01T00:00:00"/>
    <d v="2025-01-31T00:00:00"/>
    <x v="4"/>
    <x v="21"/>
    <n v="0"/>
    <n v="0"/>
    <n v="0"/>
    <n v="0"/>
    <n v="0"/>
    <n v="0"/>
    <n v="0"/>
    <n v="0"/>
    <n v="0"/>
    <n v="0"/>
    <n v="0"/>
    <n v="0"/>
    <n v="0"/>
    <n v="0"/>
    <n v="0"/>
    <n v="0"/>
    <n v="0"/>
    <n v="0"/>
    <n v="0"/>
    <n v="0"/>
    <n v="0"/>
  </r>
  <r>
    <n v="1367"/>
    <d v="2025-03-06T10:22:30"/>
    <d v="2025-03-06T10:38:42"/>
    <s v="bchirwa@lighthouse.org.mw"/>
    <s v="Bethsheba Chirwa"/>
    <x v="1"/>
    <s v="Prototype"/>
    <x v="2"/>
    <s v="COP_23"/>
    <s v="COP_24"/>
    <s v="Quarter1"/>
    <s v="Quarter2"/>
    <s v="Qtr_2"/>
    <x v="4"/>
    <d v="2025-01-01T00:00:00"/>
    <d v="2025-01-31T00:00:00"/>
    <x v="5"/>
    <x v="33"/>
    <n v="0"/>
    <n v="1"/>
    <n v="0"/>
    <n v="0"/>
    <n v="0"/>
    <n v="1"/>
    <n v="0"/>
    <n v="0"/>
    <n v="0"/>
    <n v="0"/>
    <n v="0"/>
    <n v="1"/>
    <n v="0"/>
    <n v="0"/>
    <n v="0"/>
    <n v="0"/>
    <n v="0"/>
    <n v="0"/>
    <n v="0"/>
    <n v="0"/>
    <n v="0"/>
  </r>
  <r>
    <n v="1371"/>
    <d v="2025-03-06T10:40:47"/>
    <d v="2025-03-06T10:57:01"/>
    <s v="bchirwa@lighthouse.org.mw"/>
    <s v="Bethsheba Chirwa"/>
    <x v="1"/>
    <s v="Prototype"/>
    <x v="2"/>
    <s v="COP_23"/>
    <s v="COP_24"/>
    <s v="Quarter1"/>
    <s v="Quarter2"/>
    <s v="Qtr_2"/>
    <x v="4"/>
    <d v="2025-01-01T00:00:00"/>
    <d v="2025-01-31T00:00:00"/>
    <x v="2"/>
    <x v="2"/>
    <n v="0"/>
    <n v="1"/>
    <n v="0"/>
    <n v="0"/>
    <n v="0"/>
    <n v="0"/>
    <n v="0"/>
    <n v="0"/>
    <n v="0"/>
    <n v="0"/>
    <n v="0"/>
    <n v="0"/>
    <n v="0"/>
    <n v="0"/>
    <n v="0"/>
    <n v="0"/>
    <n v="0"/>
    <n v="0"/>
    <n v="0"/>
    <n v="0"/>
    <n v="0"/>
  </r>
  <r>
    <n v="1372"/>
    <d v="2025-03-06T10:57:05"/>
    <d v="2025-03-06T11:04:05"/>
    <s v="bchirwa@lighthouse.org.mw"/>
    <s v="Bethsheba Chirwa"/>
    <x v="1"/>
    <s v="Prototype"/>
    <x v="2"/>
    <s v="COP_23"/>
    <s v="COP_24"/>
    <s v="Quarter1"/>
    <s v="Quarter2"/>
    <s v="Qtr_2"/>
    <x v="5"/>
    <d v="2025-01-01T00:00:00"/>
    <d v="2025-01-31T00:00:00"/>
    <x v="0"/>
    <x v="23"/>
    <n v="0"/>
    <n v="13"/>
    <n v="0"/>
    <n v="0"/>
    <n v="0"/>
    <n v="1"/>
    <n v="0"/>
    <n v="0"/>
    <n v="0"/>
    <n v="0"/>
    <n v="0"/>
    <n v="1"/>
    <n v="0"/>
    <n v="0"/>
    <n v="0"/>
    <n v="0"/>
    <n v="0"/>
    <n v="0"/>
    <n v="0"/>
    <n v="0"/>
    <n v="0"/>
  </r>
  <r>
    <n v="1373"/>
    <d v="2025-03-06T11:04:37"/>
    <d v="2025-03-06T11:15:22"/>
    <s v="bchirwa@lighthouse.org.mw"/>
    <s v="Bethsheba Chirwa"/>
    <x v="1"/>
    <s v="Prototype"/>
    <x v="2"/>
    <s v="COP_23"/>
    <s v="COP_24"/>
    <s v="Quarter1"/>
    <s v="Quarter2"/>
    <s v="Qtr_2"/>
    <x v="5"/>
    <d v="2025-02-01T00:00:00"/>
    <d v="2025-02-28T00:00:00"/>
    <x v="1"/>
    <x v="33"/>
    <n v="0"/>
    <n v="4"/>
    <n v="0"/>
    <n v="0"/>
    <n v="0"/>
    <n v="0"/>
    <n v="0"/>
    <n v="0"/>
    <n v="0"/>
    <n v="0"/>
    <n v="0"/>
    <n v="0"/>
    <n v="0"/>
    <n v="0"/>
    <n v="0"/>
    <n v="0"/>
    <n v="0"/>
    <n v="0"/>
    <n v="0"/>
    <n v="0"/>
    <n v="0"/>
  </r>
  <r>
    <n v="1374"/>
    <d v="2025-03-06T11:15:35"/>
    <d v="2025-03-06T11:17:15"/>
    <s v="bchirwa@lighthouse.org.mw"/>
    <s v="Bethsheba Chirwa"/>
    <x v="1"/>
    <s v="Prototype"/>
    <x v="2"/>
    <s v="COP_23"/>
    <s v="COP_24"/>
    <s v="Quarter1"/>
    <s v="Quarter2"/>
    <s v="Qtr_2"/>
    <x v="5"/>
    <d v="2025-02-01T00:00:00"/>
    <d v="2025-02-28T00:00:00"/>
    <x v="3"/>
    <x v="21"/>
    <n v="0"/>
    <n v="0"/>
    <n v="0"/>
    <n v="0"/>
    <n v="0"/>
    <n v="0"/>
    <n v="0"/>
    <n v="0"/>
    <n v="0"/>
    <n v="0"/>
    <n v="0"/>
    <n v="0"/>
    <n v="0"/>
    <n v="0"/>
    <n v="0"/>
    <n v="0"/>
    <n v="0"/>
    <n v="0"/>
    <n v="0"/>
    <n v="0"/>
    <n v="0"/>
  </r>
  <r>
    <n v="1375"/>
    <d v="2025-03-06T11:17:21"/>
    <d v="2025-03-06T11:19:13"/>
    <s v="bchirwa@lighthouse.org.mw"/>
    <s v="Bethsheba Chirwa"/>
    <x v="1"/>
    <s v="Prototype"/>
    <x v="2"/>
    <s v="COP_23"/>
    <s v="COP_24"/>
    <s v="Quarter1"/>
    <s v="Quarter2"/>
    <s v="Qtr_2"/>
    <x v="5"/>
    <d v="2025-02-01T00:00:00"/>
    <d v="2025-02-28T00:00:00"/>
    <x v="4"/>
    <x v="21"/>
    <n v="0"/>
    <n v="0"/>
    <n v="0"/>
    <n v="0"/>
    <n v="0"/>
    <n v="0"/>
    <n v="0"/>
    <n v="0"/>
    <n v="0"/>
    <n v="0"/>
    <n v="0"/>
    <n v="0"/>
    <n v="0"/>
    <n v="0"/>
    <n v="0"/>
    <n v="0"/>
    <n v="0"/>
    <n v="0"/>
    <n v="0"/>
    <n v="0"/>
    <n v="0"/>
  </r>
  <r>
    <n v="1376"/>
    <d v="2025-03-06T11:19:29"/>
    <d v="2025-03-06T11:21:13"/>
    <s v="bchirwa@lighthouse.org.mw"/>
    <s v="Bethsheba Chirwa"/>
    <x v="1"/>
    <s v="Prototype"/>
    <x v="2"/>
    <s v="COP_23"/>
    <s v="COP_24"/>
    <s v="Quarter1"/>
    <s v="Quarter2"/>
    <s v="Qtr_2"/>
    <x v="5"/>
    <d v="2025-02-01T00:00:00"/>
    <d v="2025-02-28T00:00:00"/>
    <x v="5"/>
    <x v="21"/>
    <n v="0"/>
    <n v="0"/>
    <n v="0"/>
    <n v="0"/>
    <n v="0"/>
    <n v="0"/>
    <n v="0"/>
    <n v="0"/>
    <n v="0"/>
    <n v="0"/>
    <n v="0"/>
    <n v="0"/>
    <n v="0"/>
    <n v="0"/>
    <n v="0"/>
    <n v="0"/>
    <n v="0"/>
    <n v="0"/>
    <n v="0"/>
    <n v="0"/>
    <n v="0"/>
  </r>
  <r>
    <n v="1377"/>
    <d v="2025-03-06T11:21:17"/>
    <d v="2025-03-06T11:27:15"/>
    <s v="bchirwa@lighthouse.org.mw"/>
    <s v="Bethsheba Chirwa"/>
    <x v="1"/>
    <s v="Prototype"/>
    <x v="2"/>
    <s v="COP_23"/>
    <s v="COP_24"/>
    <s v="Quarter1"/>
    <s v="Quarter2"/>
    <s v="Qtr_2"/>
    <x v="5"/>
    <d v="2025-02-01T00:00:00"/>
    <d v="2025-02-28T00:00:00"/>
    <x v="2"/>
    <x v="59"/>
    <n v="0"/>
    <n v="1"/>
    <n v="0"/>
    <n v="0"/>
    <n v="0"/>
    <n v="1"/>
    <n v="0"/>
    <n v="0"/>
    <n v="0"/>
    <n v="0"/>
    <n v="0"/>
    <n v="0"/>
    <n v="0"/>
    <n v="0"/>
    <n v="0"/>
    <n v="0"/>
    <n v="0"/>
    <n v="0"/>
    <n v="0"/>
    <n v="0"/>
    <n v="0"/>
  </r>
  <r>
    <n v="1378"/>
    <d v="2025-03-06T11:27:26"/>
    <d v="2025-03-06T11:28:56"/>
    <s v="bchirwa@lighthouse.org.mw"/>
    <s v="Bethsheba Chirwa"/>
    <x v="1"/>
    <s v="Prototype"/>
    <x v="2"/>
    <s v="COP_23"/>
    <s v="COP_24"/>
    <s v="Quarter1"/>
    <s v="Quarter2"/>
    <s v="Qtr_2"/>
    <x v="5"/>
    <d v="2025-02-01T00:00:00"/>
    <d v="2025-02-28T00:00:00"/>
    <x v="0"/>
    <x v="54"/>
    <n v="0"/>
    <n v="5"/>
    <n v="0"/>
    <n v="0"/>
    <n v="0"/>
    <n v="5"/>
    <n v="0"/>
    <n v="0"/>
    <n v="0"/>
    <n v="0"/>
    <n v="0"/>
    <n v="0"/>
    <n v="0"/>
    <n v="0"/>
    <n v="0"/>
    <n v="0"/>
    <n v="0"/>
    <n v="0"/>
    <n v="0"/>
    <n v="0"/>
    <n v="0"/>
  </r>
  <r>
    <n v="1488"/>
    <d v="2025-04-03T10:17:24"/>
    <d v="2025-04-03T10:24:44"/>
    <s v="bchirwa@lighthouse.org.mw"/>
    <s v="Bethsheba Chirwa"/>
    <x v="1"/>
    <s v="Prototype"/>
    <x v="2"/>
    <s v="COP_23"/>
    <s v="COP_24"/>
    <s v="Quarter1"/>
    <s v="Quarter2"/>
    <s v="Qtr_2"/>
    <x v="3"/>
    <d v="2025-03-01T00:00:00"/>
    <d v="2025-03-31T00:00:00"/>
    <x v="1"/>
    <x v="37"/>
    <n v="0"/>
    <n v="5"/>
    <n v="1"/>
    <n v="0"/>
    <n v="0"/>
    <n v="6"/>
    <n v="1"/>
    <n v="1"/>
    <n v="0"/>
    <n v="0"/>
    <n v="0"/>
    <n v="1"/>
    <n v="0"/>
    <n v="0"/>
    <n v="0"/>
    <n v="0"/>
    <n v="0"/>
    <n v="0"/>
    <n v="0"/>
    <n v="0"/>
    <n v="0"/>
  </r>
  <r>
    <n v="1489"/>
    <d v="2025-04-03T10:24:54"/>
    <d v="2025-04-03T10:34:39"/>
    <s v="bchirwa@lighthouse.org.mw"/>
    <s v="Bethsheba Chirwa"/>
    <x v="1"/>
    <s v="Prototype"/>
    <x v="2"/>
    <s v="COP_23"/>
    <s v="COP_24"/>
    <s v="Quarter1"/>
    <s v="Quarter2"/>
    <s v="Qtr_2"/>
    <x v="3"/>
    <d v="2025-03-01T00:00:00"/>
    <d v="2025-03-31T00:00:00"/>
    <x v="3"/>
    <x v="21"/>
    <n v="0"/>
    <n v="0"/>
    <n v="0"/>
    <n v="0"/>
    <n v="0"/>
    <n v="0"/>
    <n v="0"/>
    <n v="0"/>
    <n v="0"/>
    <n v="0"/>
    <n v="0"/>
    <n v="0"/>
    <n v="0"/>
    <n v="0"/>
    <n v="0"/>
    <n v="0"/>
    <n v="0"/>
    <n v="0"/>
    <n v="0"/>
    <n v="0"/>
    <n v="0"/>
  </r>
  <r>
    <n v="1490"/>
    <d v="2025-04-03T10:34:54"/>
    <d v="2025-04-03T10:37:12"/>
    <s v="bchirwa@lighthouse.org.mw"/>
    <s v="Bethsheba Chirwa"/>
    <x v="1"/>
    <s v="Prototype"/>
    <x v="2"/>
    <s v="COP_23"/>
    <s v="COP_24"/>
    <s v="Quarter1"/>
    <s v="Quarter2"/>
    <s v="Qtr_2"/>
    <x v="3"/>
    <d v="2025-03-01T00:00:00"/>
    <d v="2025-03-31T00:00:00"/>
    <x v="4"/>
    <x v="21"/>
    <n v="0"/>
    <n v="0"/>
    <n v="0"/>
    <n v="0"/>
    <n v="0"/>
    <n v="0"/>
    <n v="0"/>
    <n v="0"/>
    <n v="0"/>
    <n v="0"/>
    <n v="0"/>
    <n v="0"/>
    <n v="0"/>
    <n v="0"/>
    <n v="0"/>
    <n v="0"/>
    <n v="0"/>
    <n v="0"/>
    <n v="0"/>
    <n v="0"/>
    <n v="0"/>
  </r>
  <r>
    <n v="1491"/>
    <d v="2025-04-03T10:37:56"/>
    <d v="2025-04-03T10:45:14"/>
    <s v="bchirwa@lighthouse.org.mw"/>
    <s v="Bethsheba Chirwa"/>
    <x v="1"/>
    <s v="Prototype"/>
    <x v="2"/>
    <s v="COP_23"/>
    <s v="COP_24"/>
    <s v="Quarter1"/>
    <s v="Quarter2"/>
    <s v="Qtr_2"/>
    <x v="3"/>
    <d v="2025-03-01T00:00:00"/>
    <d v="2025-03-31T00:00:00"/>
    <x v="5"/>
    <x v="37"/>
    <n v="0"/>
    <n v="0"/>
    <n v="0"/>
    <n v="0"/>
    <n v="0"/>
    <n v="0"/>
    <n v="0"/>
    <n v="0"/>
    <n v="0"/>
    <n v="0"/>
    <n v="0"/>
    <n v="0"/>
    <n v="0"/>
    <n v="0"/>
    <n v="0"/>
    <n v="0"/>
    <n v="0"/>
    <n v="0"/>
    <n v="0"/>
    <n v="0"/>
    <n v="0"/>
  </r>
  <r>
    <n v="1492"/>
    <d v="2025-04-03T10:47:45"/>
    <d v="2025-04-03T10:57:12"/>
    <s v="bchirwa@lighthouse.org.mw"/>
    <s v="Bethsheba Chirwa"/>
    <x v="1"/>
    <s v="Prototype"/>
    <x v="2"/>
    <s v="COP_23"/>
    <s v="COP_24"/>
    <s v="Quarter1"/>
    <s v="Quarter2"/>
    <s v="Qtr_2"/>
    <x v="3"/>
    <d v="2025-03-01T00:00:00"/>
    <d v="2025-03-31T00:00:00"/>
    <x v="2"/>
    <x v="51"/>
    <n v="0"/>
    <n v="0"/>
    <n v="0"/>
    <n v="0"/>
    <n v="0"/>
    <n v="0"/>
    <n v="0"/>
    <n v="0"/>
    <n v="0"/>
    <n v="0"/>
    <n v="0"/>
    <n v="0"/>
    <n v="0"/>
    <n v="0"/>
    <n v="0"/>
    <n v="0"/>
    <n v="0"/>
    <n v="0"/>
    <n v="0"/>
    <n v="0"/>
    <n v="0"/>
  </r>
  <r>
    <n v="1503"/>
    <d v="2025-04-04T10:36:27"/>
    <d v="2025-04-04T10:45:08"/>
    <s v="bchirwa@lighthouse.org.mw"/>
    <s v="Bethsheba Chirwa"/>
    <x v="1"/>
    <s v="Prototype"/>
    <x v="2"/>
    <s v="COP_23"/>
    <s v="COP_24"/>
    <s v="Quarter1"/>
    <s v="Quarter2"/>
    <s v="Qtr_2"/>
    <x v="3"/>
    <d v="2025-03-01T00:00:00"/>
    <d v="2025-03-31T00:00:00"/>
    <x v="0"/>
    <x v="17"/>
    <n v="0"/>
    <n v="5"/>
    <n v="1"/>
    <n v="0"/>
    <n v="0"/>
    <n v="0"/>
    <n v="1"/>
    <n v="1"/>
    <n v="0"/>
    <n v="0"/>
    <n v="0"/>
    <n v="1"/>
    <n v="0"/>
    <n v="0"/>
    <n v="0"/>
    <n v="0"/>
    <n v="0"/>
    <n v="0"/>
    <n v="0"/>
    <n v="0"/>
    <n v="0"/>
  </r>
  <r>
    <n v="1737"/>
    <d v="2025-07-08T12:22:55"/>
    <d v="2025-07-08T12:49:12"/>
    <s v="bchirwa@lighthouse.org.mw"/>
    <s v="Bethsheba Chirwa"/>
    <x v="1"/>
    <s v="Prototype"/>
    <x v="2"/>
    <s v="COP_23"/>
    <m/>
    <s v="Quarter3"/>
    <s v="Quarter3"/>
    <m/>
    <x v="7"/>
    <d v="2025-04-01T00:00:00"/>
    <d v="2025-04-30T00:00:00"/>
    <x v="1"/>
    <x v="60"/>
    <n v="0"/>
    <n v="4"/>
    <n v="14"/>
    <n v="0"/>
    <n v="0"/>
    <n v="18"/>
    <n v="3"/>
    <n v="0"/>
    <n v="0"/>
    <n v="0"/>
    <n v="0"/>
    <n v="0"/>
    <n v="0"/>
    <n v="0"/>
    <n v="0"/>
    <n v="0"/>
    <n v="0"/>
    <n v="0"/>
    <n v="0"/>
    <n v="0"/>
    <n v="0"/>
  </r>
  <r>
    <n v="1738"/>
    <d v="2025-07-08T12:49:45"/>
    <d v="2025-07-08T12:58:43"/>
    <s v="bchirwa@lighthouse.org.mw"/>
    <s v="Bethsheba Chirwa"/>
    <x v="1"/>
    <s v="Prototype"/>
    <x v="2"/>
    <s v="COP_23"/>
    <m/>
    <s v="Quarter3"/>
    <s v="Quarter3"/>
    <m/>
    <x v="7"/>
    <d v="2025-04-01T00:00:00"/>
    <d v="2025-04-30T00:00:00"/>
    <x v="3"/>
    <x v="18"/>
    <n v="0"/>
    <n v="1"/>
    <n v="0"/>
    <n v="0"/>
    <n v="0"/>
    <n v="0"/>
    <n v="0"/>
    <n v="0"/>
    <n v="0"/>
    <n v="0"/>
    <n v="0"/>
    <n v="0"/>
    <n v="0"/>
    <n v="0"/>
    <n v="0"/>
    <n v="0"/>
    <n v="0"/>
    <n v="0"/>
    <n v="0"/>
    <n v="0"/>
    <n v="0"/>
  </r>
  <r>
    <n v="1739"/>
    <d v="2025-07-08T12:58:47"/>
    <d v="2025-07-08T13:00:56"/>
    <s v="bchirwa@lighthouse.org.mw"/>
    <s v="Bethsheba Chirwa"/>
    <x v="1"/>
    <s v="Prototype"/>
    <x v="2"/>
    <s v="COP_23"/>
    <m/>
    <s v="Quarter3"/>
    <s v="Quarter3"/>
    <m/>
    <x v="7"/>
    <d v="2025-04-01T00:00:00"/>
    <d v="2025-04-30T00:00:00"/>
    <x v="4"/>
    <x v="21"/>
    <n v="0"/>
    <n v="0"/>
    <n v="0"/>
    <n v="0"/>
    <n v="0"/>
    <n v="0"/>
    <n v="0"/>
    <n v="0"/>
    <n v="0"/>
    <n v="0"/>
    <n v="0"/>
    <n v="0"/>
    <n v="0"/>
    <n v="0"/>
    <n v="0"/>
    <n v="0"/>
    <n v="0"/>
    <n v="0"/>
    <n v="0"/>
    <n v="0"/>
    <n v="0"/>
  </r>
  <r>
    <n v="1740"/>
    <d v="2025-07-09T09:40:36"/>
    <d v="2025-07-09T09:52:50"/>
    <s v="bchirwa@lighthouse.org.mw"/>
    <s v="Bethsheba Chirwa"/>
    <x v="1"/>
    <s v="Prototype"/>
    <x v="2"/>
    <s v="COP_23"/>
    <m/>
    <s v="Quarter3"/>
    <s v="Quarter3"/>
    <m/>
    <x v="7"/>
    <d v="2025-04-01T00:00:00"/>
    <d v="2025-04-30T00:00:00"/>
    <x v="5"/>
    <x v="18"/>
    <n v="0"/>
    <n v="1"/>
    <n v="0"/>
    <n v="0"/>
    <n v="0"/>
    <n v="1"/>
    <n v="0"/>
    <n v="0"/>
    <n v="0"/>
    <n v="0"/>
    <n v="0"/>
    <n v="0"/>
    <n v="0"/>
    <n v="0"/>
    <n v="0"/>
    <n v="0"/>
    <n v="0"/>
    <n v="0"/>
    <n v="0"/>
    <n v="0"/>
    <n v="0"/>
  </r>
  <r>
    <n v="1742"/>
    <d v="2025-07-09T09:54:13"/>
    <d v="2025-07-09T10:15:01"/>
    <s v="bchirwa@lighthouse.org.mw"/>
    <s v="Bethsheba Chirwa"/>
    <x v="1"/>
    <s v="Prototype"/>
    <x v="2"/>
    <s v="COP_23"/>
    <m/>
    <s v="Quarter3"/>
    <s v="Quarter3"/>
    <m/>
    <x v="7"/>
    <d v="2025-04-01T00:00:00"/>
    <d v="2025-04-30T00:00:00"/>
    <x v="2"/>
    <x v="60"/>
    <n v="0"/>
    <n v="1"/>
    <n v="0"/>
    <n v="0"/>
    <n v="0"/>
    <n v="1"/>
    <n v="0"/>
    <n v="0"/>
    <n v="0"/>
    <n v="0"/>
    <n v="0"/>
    <n v="0"/>
    <n v="0"/>
    <n v="0"/>
    <n v="0"/>
    <n v="0"/>
    <n v="0"/>
    <n v="0"/>
    <n v="0"/>
    <n v="0"/>
    <n v="0"/>
  </r>
  <r>
    <n v="1743"/>
    <d v="2025-07-09T10:15:14"/>
    <d v="2025-07-09T10:20:19"/>
    <s v="bchirwa@lighthouse.org.mw"/>
    <s v="Bethsheba Chirwa"/>
    <x v="1"/>
    <s v="Prototype"/>
    <x v="2"/>
    <s v="COP_23"/>
    <m/>
    <s v="Quarter3"/>
    <s v="Quarter3"/>
    <m/>
    <x v="7"/>
    <d v="2025-04-01T00:00:00"/>
    <d v="2025-04-30T00:00:00"/>
    <x v="0"/>
    <x v="60"/>
    <n v="3"/>
    <n v="15"/>
    <n v="3"/>
    <n v="0"/>
    <n v="0"/>
    <n v="0"/>
    <n v="0"/>
    <n v="0"/>
    <n v="0"/>
    <n v="0"/>
    <n v="0"/>
    <n v="0"/>
    <n v="0"/>
    <n v="0"/>
    <n v="0"/>
    <n v="0"/>
    <n v="0"/>
    <n v="0"/>
    <n v="0"/>
    <n v="0"/>
    <n v="0"/>
  </r>
  <r>
    <n v="1746"/>
    <d v="2025-07-09T10:20:48"/>
    <d v="2025-07-09T10:24:29"/>
    <s v="bchirwa@lighthouse.org.mw"/>
    <s v="Bethsheba Chirwa"/>
    <x v="1"/>
    <s v="Prototype"/>
    <x v="2"/>
    <s v="COP_24"/>
    <m/>
    <s v="Quarter3"/>
    <s v="Quarter3"/>
    <m/>
    <x v="7"/>
    <d v="2025-04-01T00:00:00"/>
    <d v="2025-04-30T00:00:00"/>
    <x v="0"/>
    <x v="60"/>
    <n v="0"/>
    <n v="15"/>
    <n v="3"/>
    <n v="0"/>
    <n v="0"/>
    <n v="17"/>
    <n v="3"/>
    <n v="0"/>
    <n v="0"/>
    <n v="0"/>
    <n v="0"/>
    <n v="0"/>
    <n v="0"/>
    <n v="0"/>
    <n v="0"/>
    <n v="0"/>
    <n v="0"/>
    <n v="0"/>
    <n v="0"/>
    <n v="0"/>
    <n v="0"/>
  </r>
  <r>
    <n v="1751"/>
    <d v="2025-07-09T10:25:37"/>
    <d v="2025-07-09T10:39:44"/>
    <s v="bchirwa@lighthouse.org.mw"/>
    <s v="Bethsheba Chirwa"/>
    <x v="1"/>
    <s v="Prototype"/>
    <x v="2"/>
    <s v="COP_24"/>
    <m/>
    <s v="Quarter3"/>
    <s v="Quarter3"/>
    <m/>
    <x v="6"/>
    <d v="2025-05-01T00:00:00"/>
    <d v="2025-05-31T00:00:00"/>
    <x v="1"/>
    <x v="29"/>
    <n v="0"/>
    <n v="7"/>
    <n v="0"/>
    <n v="1"/>
    <n v="0"/>
    <n v="7"/>
    <n v="0"/>
    <n v="1"/>
    <n v="0"/>
    <n v="0"/>
    <n v="0"/>
    <n v="1"/>
    <n v="1"/>
    <n v="0"/>
    <n v="0"/>
    <n v="0"/>
    <n v="0"/>
    <n v="0"/>
    <n v="0"/>
    <n v="1"/>
    <n v="0"/>
  </r>
  <r>
    <n v="1752"/>
    <d v="2025-07-09T10:42:53"/>
    <d v="2025-07-09T10:43:06"/>
    <s v="bchirwa@lighthouse.org.mw"/>
    <s v="Bethsheba Chirwa"/>
    <x v="1"/>
    <s v="Prototype"/>
    <x v="1"/>
    <s v="COP_24"/>
    <m/>
    <s v="Quarter3"/>
    <s v="Quarter3"/>
    <m/>
    <x v="6"/>
    <d v="2025-05-01T00:00:00"/>
    <d v="2025-05-31T00:00:00"/>
    <x v="3"/>
    <x v="21"/>
    <n v="0"/>
    <n v="0"/>
    <n v="0"/>
    <n v="0"/>
    <n v="0"/>
    <n v="0"/>
    <n v="0"/>
    <n v="0"/>
    <n v="0"/>
    <n v="0"/>
    <n v="0"/>
    <n v="0"/>
    <n v="0"/>
    <n v="0"/>
    <n v="0"/>
    <n v="0"/>
    <n v="0"/>
    <n v="0"/>
    <n v="0"/>
    <n v="0"/>
    <n v="0"/>
  </r>
  <r>
    <n v="1753"/>
    <d v="2025-07-09T10:43:09"/>
    <d v="2025-07-09T10:49:32"/>
    <s v="bchirwa@lighthouse.org.mw"/>
    <s v="Bethsheba Chirwa"/>
    <x v="1"/>
    <s v="Prototype"/>
    <x v="2"/>
    <s v="COP_24"/>
    <m/>
    <s v="Quarter3"/>
    <s v="Quarter3"/>
    <m/>
    <x v="6"/>
    <d v="2025-05-01T00:00:00"/>
    <d v="2025-05-31T00:00:00"/>
    <x v="4"/>
    <x v="21"/>
    <n v="0"/>
    <n v="0"/>
    <n v="0"/>
    <n v="0"/>
    <n v="0"/>
    <n v="0"/>
    <n v="0"/>
    <n v="0"/>
    <n v="0"/>
    <n v="0"/>
    <n v="0"/>
    <n v="0"/>
    <n v="0"/>
    <n v="0"/>
    <n v="0"/>
    <n v="0"/>
    <n v="0"/>
    <n v="0"/>
    <n v="0"/>
    <n v="0"/>
    <n v="0"/>
  </r>
  <r>
    <n v="1754"/>
    <d v="2025-07-09T10:49:38"/>
    <d v="2025-07-09T10:53:58"/>
    <s v="bchirwa@lighthouse.org.mw"/>
    <s v="Bethsheba Chirwa"/>
    <x v="1"/>
    <s v="Prototype"/>
    <x v="2"/>
    <s v="COP_24"/>
    <m/>
    <s v="Quarter3"/>
    <s v="Quarter3"/>
    <m/>
    <x v="6"/>
    <d v="2025-05-01T00:00:00"/>
    <d v="2025-05-31T00:00:00"/>
    <x v="5"/>
    <x v="54"/>
    <n v="0"/>
    <n v="0"/>
    <n v="0"/>
    <n v="0"/>
    <n v="0"/>
    <n v="0"/>
    <n v="0"/>
    <n v="0"/>
    <n v="0"/>
    <n v="0"/>
    <n v="0"/>
    <n v="0"/>
    <n v="0"/>
    <n v="0"/>
    <n v="0"/>
    <n v="0"/>
    <n v="0"/>
    <n v="0"/>
    <n v="0"/>
    <n v="0"/>
    <n v="0"/>
  </r>
  <r>
    <n v="1755"/>
    <d v="2025-07-09T10:54:01"/>
    <d v="2025-07-09T10:55:27"/>
    <s v="bchirwa@lighthouse.org.mw"/>
    <s v="Bethsheba Chirwa"/>
    <x v="1"/>
    <s v="Prototype"/>
    <x v="2"/>
    <s v="COP_24"/>
    <m/>
    <s v="Quarter3"/>
    <s v="Quarter3"/>
    <m/>
    <x v="6"/>
    <d v="2025-05-01T00:00:00"/>
    <d v="2025-05-31T00:00:00"/>
    <x v="2"/>
    <x v="57"/>
    <n v="0"/>
    <n v="0"/>
    <n v="0"/>
    <n v="0"/>
    <n v="0"/>
    <n v="0"/>
    <n v="0"/>
    <n v="0"/>
    <n v="0"/>
    <n v="0"/>
    <n v="0"/>
    <n v="0"/>
    <n v="0"/>
    <n v="0"/>
    <n v="0"/>
    <n v="0"/>
    <n v="0"/>
    <n v="0"/>
    <n v="0"/>
    <n v="0"/>
    <n v="0"/>
  </r>
  <r>
    <n v="1756"/>
    <d v="2025-07-09T10:55:30"/>
    <d v="2025-07-09T11:03:28"/>
    <s v="bchirwa@lighthouse.org.mw"/>
    <s v="Bethsheba Chirwa"/>
    <x v="1"/>
    <s v="Prototype"/>
    <x v="2"/>
    <s v="COP_24"/>
    <m/>
    <s v="Quarter3"/>
    <s v="Quarter3"/>
    <m/>
    <x v="6"/>
    <d v="2025-05-01T00:00:00"/>
    <d v="2025-05-31T00:00:00"/>
    <x v="0"/>
    <x v="39"/>
    <n v="0"/>
    <n v="7"/>
    <n v="0"/>
    <n v="1"/>
    <n v="0"/>
    <n v="0"/>
    <n v="7"/>
    <n v="1"/>
    <n v="0"/>
    <n v="0"/>
    <n v="0"/>
    <n v="1"/>
    <n v="1"/>
    <n v="0"/>
    <n v="0"/>
    <n v="0"/>
    <n v="0"/>
    <n v="0"/>
    <n v="0"/>
    <n v="1"/>
    <n v="0"/>
  </r>
  <r>
    <n v="1757"/>
    <d v="2025-07-09T11:06:57"/>
    <d v="2025-07-09T11:23:49"/>
    <s v="bchirwa@lighthouse.org.mw"/>
    <s v="Bethsheba Chirwa"/>
    <x v="1"/>
    <s v="Prototype"/>
    <x v="2"/>
    <s v="COP_24"/>
    <m/>
    <s v="Quarter3"/>
    <s v="Quarter3"/>
    <m/>
    <x v="8"/>
    <d v="2025-06-01T00:00:00"/>
    <d v="2025-06-30T00:00:00"/>
    <x v="1"/>
    <x v="44"/>
    <n v="0"/>
    <n v="14"/>
    <n v="1"/>
    <n v="0"/>
    <n v="0"/>
    <n v="15"/>
    <n v="0"/>
    <n v="0"/>
    <n v="0"/>
    <n v="0"/>
    <n v="0"/>
    <n v="0"/>
    <n v="0"/>
    <n v="0"/>
    <n v="0"/>
    <n v="0"/>
    <n v="0"/>
    <n v="0"/>
    <n v="0"/>
    <n v="0"/>
    <n v="0"/>
  </r>
  <r>
    <n v="1759"/>
    <d v="2025-07-09T11:23:52"/>
    <d v="2025-07-09T11:26:27"/>
    <s v="bchirwa@lighthouse.org.mw"/>
    <s v="Bethsheba Chirwa"/>
    <x v="1"/>
    <s v="Prototype"/>
    <x v="2"/>
    <s v="COP_24"/>
    <m/>
    <s v="Quarter3"/>
    <s v="Quarter3"/>
    <m/>
    <x v="8"/>
    <d v="2025-06-01T00:00:00"/>
    <d v="2025-06-30T00:00:00"/>
    <x v="3"/>
    <x v="21"/>
    <n v="0"/>
    <n v="0"/>
    <n v="0"/>
    <n v="0"/>
    <n v="0"/>
    <n v="0"/>
    <n v="0"/>
    <n v="0"/>
    <n v="0"/>
    <n v="0"/>
    <n v="0"/>
    <n v="0"/>
    <n v="0"/>
    <n v="0"/>
    <n v="0"/>
    <n v="0"/>
    <n v="0"/>
    <n v="0"/>
    <n v="0"/>
    <n v="0"/>
    <n v="0"/>
  </r>
  <r>
    <n v="1760"/>
    <d v="2025-07-09T11:26:33"/>
    <d v="2025-07-09T11:27:48"/>
    <s v="bchirwa@lighthouse.org.mw"/>
    <s v="Bethsheba Chirwa"/>
    <x v="1"/>
    <s v="Prototype"/>
    <x v="2"/>
    <s v="COP_24"/>
    <m/>
    <s v="Quarter3"/>
    <s v="Quarter3"/>
    <m/>
    <x v="8"/>
    <d v="2025-06-01T00:00:00"/>
    <d v="2025-06-30T00:00:00"/>
    <x v="4"/>
    <x v="21"/>
    <n v="0"/>
    <n v="0"/>
    <n v="0"/>
    <n v="0"/>
    <n v="0"/>
    <n v="0"/>
    <n v="0"/>
    <n v="0"/>
    <n v="0"/>
    <n v="0"/>
    <n v="0"/>
    <n v="0"/>
    <n v="0"/>
    <n v="0"/>
    <n v="0"/>
    <n v="0"/>
    <n v="0"/>
    <n v="0"/>
    <n v="0"/>
    <n v="0"/>
    <n v="0"/>
  </r>
  <r>
    <n v="1761"/>
    <d v="2025-07-09T11:27:51"/>
    <d v="2025-07-09T11:30:31"/>
    <s v="bchirwa@lighthouse.org.mw"/>
    <s v="Bethsheba Chirwa"/>
    <x v="1"/>
    <s v="Prototype"/>
    <x v="2"/>
    <s v="COP_24"/>
    <m/>
    <s v="Quarter3"/>
    <s v="Quarter3"/>
    <m/>
    <x v="8"/>
    <d v="2025-06-01T00:00:00"/>
    <d v="2025-06-30T00:00:00"/>
    <x v="5"/>
    <x v="21"/>
    <n v="0"/>
    <n v="0"/>
    <n v="0"/>
    <n v="0"/>
    <n v="0"/>
    <n v="0"/>
    <n v="0"/>
    <n v="0"/>
    <n v="0"/>
    <n v="0"/>
    <n v="0"/>
    <n v="0"/>
    <n v="0"/>
    <n v="0"/>
    <n v="0"/>
    <n v="0"/>
    <n v="0"/>
    <n v="0"/>
    <n v="0"/>
    <n v="0"/>
    <n v="0"/>
  </r>
  <r>
    <n v="1762"/>
    <d v="2025-07-09T11:30:36"/>
    <d v="2025-07-09T11:37:24"/>
    <s v="bchirwa@lighthouse.org.mw"/>
    <s v="Bethsheba Chirwa"/>
    <x v="1"/>
    <s v="Prototype"/>
    <x v="2"/>
    <s v="COP_24"/>
    <m/>
    <s v="Quarter3"/>
    <s v="Quarter3"/>
    <m/>
    <x v="8"/>
    <d v="2025-06-01T00:00:00"/>
    <d v="2025-06-30T00:00:00"/>
    <x v="2"/>
    <x v="61"/>
    <n v="0"/>
    <n v="1"/>
    <n v="0"/>
    <n v="0"/>
    <n v="0"/>
    <n v="1"/>
    <n v="1"/>
    <n v="1"/>
    <n v="0"/>
    <n v="0"/>
    <n v="0"/>
    <n v="1"/>
    <n v="0"/>
    <n v="0"/>
    <n v="0"/>
    <n v="0"/>
    <n v="0"/>
    <n v="0"/>
    <n v="0"/>
    <n v="0"/>
    <n v="0"/>
  </r>
  <r>
    <n v="1802"/>
    <d v="2025-07-11T11:20:02"/>
    <d v="2025-07-11T11:31:23"/>
    <s v="bchirwa@lighthouse.org.mw"/>
    <s v="Bethsheba Chirwa"/>
    <x v="1"/>
    <s v="Prototype"/>
    <x v="2"/>
    <s v="COP_24"/>
    <m/>
    <s v="Quarter3"/>
    <s v="Quarter3"/>
    <m/>
    <x v="8"/>
    <d v="2025-06-01T00:00:00"/>
    <d v="2025-06-30T00:00:00"/>
    <x v="0"/>
    <x v="51"/>
    <n v="0"/>
    <n v="17"/>
    <n v="1"/>
    <n v="0"/>
    <n v="0"/>
    <n v="17"/>
    <n v="1"/>
    <n v="1"/>
    <n v="0"/>
    <n v="0"/>
    <n v="0"/>
    <n v="1"/>
    <n v="0"/>
    <n v="0"/>
    <n v="0"/>
    <n v="0"/>
    <n v="0"/>
    <n v="0"/>
    <n v="0"/>
    <n v="0"/>
    <n v="0"/>
  </r>
  <r>
    <n v="85"/>
    <d v="2024-01-12T17:49:19"/>
    <d v="2024-01-12T18:00:04"/>
    <s v="tnyauti@lighthouse.org.mw"/>
    <s v="Tamala nyauti"/>
    <x v="2"/>
    <s v="Prototype"/>
    <x v="0"/>
    <s v="COP_22"/>
    <s v="COP_22"/>
    <s v="Quarter3"/>
    <s v="Quarter4"/>
    <s v="Qtr_4"/>
    <x v="2"/>
    <d v="2023-09-01T00:00:00"/>
    <d v="2023-09-29T00:00:00"/>
    <x v="1"/>
    <x v="60"/>
    <n v="0"/>
    <n v="17"/>
    <n v="0"/>
    <n v="1"/>
    <n v="0"/>
    <n v="18"/>
    <n v="1"/>
    <n v="1"/>
    <n v="0"/>
    <n v="0"/>
    <n v="0"/>
    <n v="2"/>
    <n v="0"/>
    <n v="1"/>
    <n v="0"/>
    <n v="0"/>
    <n v="0"/>
    <n v="0"/>
    <n v="0"/>
    <n v="0"/>
    <n v="0"/>
  </r>
  <r>
    <n v="86"/>
    <d v="2024-01-12T18:02:56"/>
    <d v="2024-01-12T21:11:35"/>
    <s v="tnyauti@lighthouse.org.mw"/>
    <s v="Tamala nyauti"/>
    <x v="2"/>
    <s v="Prototype"/>
    <x v="0"/>
    <s v="COP_24"/>
    <s v="COP_23"/>
    <s v="Quarter4"/>
    <s v="Quarter1"/>
    <s v="Qtr_1"/>
    <x v="0"/>
    <d v="2023-10-02T00:00:00"/>
    <d v="2023-10-31T00:00:00"/>
    <x v="1"/>
    <x v="51"/>
    <n v="1"/>
    <n v="16"/>
    <n v="0"/>
    <n v="1"/>
    <n v="0"/>
    <n v="15"/>
    <n v="1"/>
    <n v="1"/>
    <n v="0"/>
    <n v="0"/>
    <n v="0"/>
    <n v="2"/>
    <n v="0"/>
    <n v="0"/>
    <n v="0"/>
    <n v="0"/>
    <n v="0"/>
    <n v="0"/>
    <n v="0"/>
    <n v="0"/>
    <n v="0"/>
  </r>
  <r>
    <n v="87"/>
    <d v="2024-01-12T21:11:47"/>
    <d v="2024-01-12T21:33:45"/>
    <s v="tnyauti@lighthouse.org.mw"/>
    <s v="Tamala nyauti"/>
    <x v="2"/>
    <s v="Prototype"/>
    <x v="0"/>
    <s v="COP_24"/>
    <s v="COP_23"/>
    <s v="Quarter4"/>
    <s v="Quarter1"/>
    <s v="Qtr_1"/>
    <x v="1"/>
    <d v="2023-11-01T00:00:00"/>
    <d v="2023-11-30T00:00:00"/>
    <x v="1"/>
    <x v="17"/>
    <n v="0"/>
    <n v="22"/>
    <n v="1"/>
    <n v="0"/>
    <n v="0"/>
    <n v="23"/>
    <n v="0"/>
    <n v="0"/>
    <n v="0"/>
    <n v="0"/>
    <n v="0"/>
    <n v="0"/>
    <n v="0"/>
    <n v="0"/>
    <n v="0"/>
    <n v="0"/>
    <n v="0"/>
    <n v="0"/>
    <n v="0"/>
    <n v="0"/>
    <n v="0"/>
  </r>
  <r>
    <n v="88"/>
    <d v="2024-01-12T21:33:51"/>
    <d v="2024-01-12T22:03:54"/>
    <s v="tnyauti@lighthouse.org.mw"/>
    <s v="Tamala nyauti"/>
    <x v="2"/>
    <s v="Prototype"/>
    <x v="0"/>
    <s v="COP_24"/>
    <s v="COP_23"/>
    <s v="Quarter4"/>
    <s v="Quarter1"/>
    <s v="Qtr_1"/>
    <x v="11"/>
    <d v="2023-12-01T00:00:00"/>
    <d v="2023-12-29T00:00:00"/>
    <x v="1"/>
    <x v="57"/>
    <n v="0"/>
    <n v="15"/>
    <n v="0"/>
    <n v="0"/>
    <n v="0"/>
    <n v="15"/>
    <n v="2"/>
    <n v="0"/>
    <n v="0"/>
    <n v="2"/>
    <n v="0"/>
    <n v="2"/>
    <n v="0"/>
    <n v="0"/>
    <n v="0"/>
    <n v="0"/>
    <n v="0"/>
    <n v="0"/>
    <n v="0"/>
    <n v="0"/>
    <n v="0"/>
  </r>
  <r>
    <n v="423"/>
    <d v="2024-05-20T09:27:02"/>
    <d v="2024-05-20T09:37:18"/>
    <s v="tnyauti@lighthouse.org.mw"/>
    <s v="Tamala nyauti"/>
    <x v="2"/>
    <s v="Prototype"/>
    <x v="1"/>
    <s v="COP_22"/>
    <s v="COP_23"/>
    <s v="Quarter1"/>
    <s v="Quarter2"/>
    <s v="Qtr_2"/>
    <x v="4"/>
    <d v="2024-01-01T00:00:00"/>
    <d v="2024-01-31T00:00:00"/>
    <x v="1"/>
    <x v="60"/>
    <n v="2"/>
    <n v="16"/>
    <n v="0"/>
    <n v="0"/>
    <n v="2"/>
    <n v="18"/>
    <n v="2"/>
    <n v="0"/>
    <n v="0"/>
    <n v="0"/>
    <n v="0"/>
    <n v="2"/>
    <n v="2"/>
    <n v="2"/>
    <n v="2"/>
    <n v="0"/>
    <n v="0"/>
    <n v="0"/>
    <n v="0"/>
    <n v="0"/>
    <n v="0"/>
  </r>
  <r>
    <n v="429"/>
    <d v="2024-05-20T09:56:29"/>
    <d v="2024-05-20T10:01:49"/>
    <s v="tnyauti@lighthouse.org.mw"/>
    <s v="Tamala nyauti"/>
    <x v="2"/>
    <s v="Prototype"/>
    <x v="1"/>
    <s v="COP_23"/>
    <s v="COP_23"/>
    <s v="Quarter1"/>
    <s v="Quarter2"/>
    <s v="Qtr_2"/>
    <x v="5"/>
    <d v="2024-02-01T00:00:00"/>
    <d v="2024-02-29T00:00:00"/>
    <x v="1"/>
    <x v="52"/>
    <n v="0"/>
    <n v="24"/>
    <n v="0"/>
    <n v="0"/>
    <n v="0"/>
    <n v="24"/>
    <n v="6"/>
    <n v="5"/>
    <n v="0"/>
    <n v="0"/>
    <n v="0"/>
    <n v="2"/>
    <n v="1"/>
    <n v="0"/>
    <n v="0"/>
    <n v="0"/>
    <n v="0"/>
    <n v="0"/>
    <n v="0"/>
    <n v="0"/>
    <n v="0"/>
  </r>
  <r>
    <n v="439"/>
    <d v="2024-05-20T11:17:42"/>
    <d v="2024-05-20T11:21:57"/>
    <s v="tnyauti@lighthouse.org.mw"/>
    <s v="Tamala nyauti"/>
    <x v="2"/>
    <s v="Prototype"/>
    <x v="1"/>
    <s v="COP_22"/>
    <s v="COP_23"/>
    <s v="Quarter1"/>
    <s v="Quarter2"/>
    <s v="Qtr_2"/>
    <x v="3"/>
    <d v="2024-03-01T00:00:00"/>
    <d v="2024-03-31T00:00:00"/>
    <x v="1"/>
    <x v="60"/>
    <n v="0"/>
    <n v="15"/>
    <n v="3"/>
    <n v="0"/>
    <n v="0"/>
    <n v="18"/>
    <n v="6"/>
    <n v="3"/>
    <n v="0"/>
    <n v="0"/>
    <n v="0"/>
    <n v="8"/>
    <n v="1"/>
    <n v="0"/>
    <n v="0"/>
    <n v="0"/>
    <n v="0"/>
    <n v="0"/>
    <n v="0"/>
    <n v="1"/>
    <n v="0"/>
  </r>
  <r>
    <n v="442"/>
    <d v="2024-05-20T11:38:59"/>
    <d v="2024-05-20T11:43:30"/>
    <s v="tnyauti@lighthouse.org.mw"/>
    <s v="Tamala nyauti"/>
    <x v="2"/>
    <s v="Prototype"/>
    <x v="1"/>
    <s v="COP_23"/>
    <s v="COP_23"/>
    <s v="Quarter2"/>
    <s v="Quarter3"/>
    <s v="Qtr_3"/>
    <x v="7"/>
    <d v="2024-04-01T00:00:00"/>
    <d v="2024-04-30T00:00:00"/>
    <x v="1"/>
    <x v="17"/>
    <n v="2"/>
    <n v="19"/>
    <n v="2"/>
    <n v="2"/>
    <n v="0"/>
    <n v="23"/>
    <n v="9"/>
    <n v="8"/>
    <n v="0"/>
    <n v="0"/>
    <n v="0"/>
    <n v="11"/>
    <n v="2"/>
    <n v="0"/>
    <n v="0"/>
    <n v="0"/>
    <n v="0"/>
    <n v="0"/>
    <n v="0"/>
    <n v="1"/>
    <n v="0"/>
  </r>
  <r>
    <n v="542"/>
    <d v="2024-06-11T08:18:40"/>
    <d v="2024-06-11T08:27:57"/>
    <s v="tnyauti@lighthouse.org.mw"/>
    <s v="Tamala nyauti"/>
    <x v="2"/>
    <s v="Prototype"/>
    <x v="1"/>
    <s v="COP_23"/>
    <s v="COP_23"/>
    <s v="Quarter2"/>
    <s v="Quarter3"/>
    <s v="Qtr_3"/>
    <x v="6"/>
    <d v="2024-05-01T00:00:00"/>
    <d v="2024-05-31T00:00:00"/>
    <x v="1"/>
    <x v="53"/>
    <n v="2"/>
    <n v="17"/>
    <n v="0"/>
    <n v="3"/>
    <n v="0"/>
    <n v="20"/>
    <n v="4"/>
    <n v="0"/>
    <n v="0"/>
    <n v="0"/>
    <n v="0"/>
    <n v="4"/>
    <n v="1"/>
    <n v="0"/>
    <n v="0"/>
    <n v="0"/>
    <n v="0"/>
    <n v="0"/>
    <n v="0"/>
    <n v="1"/>
    <n v="0"/>
  </r>
  <r>
    <n v="641"/>
    <d v="2024-07-17T09:59:31"/>
    <d v="2024-07-17T10:01:24"/>
    <s v="tnyauti@lighthouse.org.mw"/>
    <s v="Tamala nyauti"/>
    <x v="2"/>
    <s v="Prototype"/>
    <x v="1"/>
    <s v="COP_23"/>
    <s v="COP_23"/>
    <s v="Quarter2"/>
    <s v="Quarter3"/>
    <s v="Qtr_3"/>
    <x v="8"/>
    <d v="2024-06-01T00:00:00"/>
    <d v="2024-06-30T00:00:00"/>
    <x v="1"/>
    <x v="42"/>
    <n v="0"/>
    <n v="14"/>
    <n v="0"/>
    <n v="0"/>
    <n v="0"/>
    <n v="1"/>
    <n v="0"/>
    <n v="1"/>
    <n v="0"/>
    <n v="0"/>
    <n v="0"/>
    <n v="1"/>
    <n v="0"/>
    <n v="0"/>
    <n v="0"/>
    <n v="0"/>
    <n v="0"/>
    <n v="0"/>
    <n v="0"/>
    <n v="0"/>
    <n v="0"/>
  </r>
  <r>
    <n v="1002"/>
    <d v="2024-10-31T10:56:54"/>
    <d v="2024-10-31T11:15:19"/>
    <s v="tnyauti@lighthouse.org.mw"/>
    <s v="Tamala nyauti"/>
    <x v="2"/>
    <s v="Prototype"/>
    <x v="1"/>
    <s v="COP_23"/>
    <s v="COP_23"/>
    <s v="Quarter3"/>
    <s v="Quarter4"/>
    <s v="Qtr_4"/>
    <x v="9"/>
    <d v="2024-07-01T00:00:00"/>
    <d v="2024-07-31T00:00:00"/>
    <x v="1"/>
    <x v="29"/>
    <n v="1"/>
    <n v="10"/>
    <n v="2"/>
    <n v="0"/>
    <n v="0"/>
    <n v="12"/>
    <n v="1"/>
    <n v="1"/>
    <n v="0"/>
    <n v="0"/>
    <n v="0"/>
    <n v="0"/>
    <n v="0"/>
    <n v="0"/>
    <n v="0"/>
    <n v="0"/>
    <n v="0"/>
    <n v="0"/>
    <n v="0"/>
    <n v="0"/>
    <n v="0"/>
  </r>
  <r>
    <n v="1008"/>
    <d v="2024-10-31T11:43:23"/>
    <d v="2024-10-31T11:45:31"/>
    <s v="tnyauti@lighthouse.org.mw"/>
    <s v="Tamala nyauti"/>
    <x v="2"/>
    <s v="Prototype"/>
    <x v="1"/>
    <s v="COP_23"/>
    <s v="COP_23"/>
    <s v="Quarter3"/>
    <s v="Quarter4"/>
    <s v="Qtr_4"/>
    <x v="10"/>
    <d v="2024-08-01T00:00:00"/>
    <d v="2024-08-31T00:00:00"/>
    <x v="1"/>
    <x v="42"/>
    <n v="0"/>
    <n v="12"/>
    <n v="2"/>
    <n v="0"/>
    <n v="0"/>
    <n v="14"/>
    <n v="4"/>
    <n v="4"/>
    <n v="0"/>
    <n v="0"/>
    <n v="0"/>
    <n v="2"/>
    <n v="0"/>
    <n v="0"/>
    <n v="0"/>
    <n v="0"/>
    <n v="0"/>
    <n v="0"/>
    <n v="0"/>
    <n v="0"/>
    <n v="0"/>
  </r>
  <r>
    <n v="1014"/>
    <d v="2024-10-31T12:51:34"/>
    <d v="2024-10-31T12:53:38"/>
    <s v="tnyauti@lighthouse.org.mw"/>
    <s v="Tamala nyauti"/>
    <x v="2"/>
    <s v="Prototype"/>
    <x v="1"/>
    <s v="COP_23"/>
    <s v="COP_23"/>
    <s v="Quarter3"/>
    <s v="Quarter4"/>
    <s v="Qtr_4"/>
    <x v="2"/>
    <d v="2024-09-01T00:00:00"/>
    <d v="2024-09-30T00:00:00"/>
    <x v="1"/>
    <x v="44"/>
    <n v="0"/>
    <n v="16"/>
    <n v="0"/>
    <n v="0"/>
    <n v="0"/>
    <n v="16"/>
    <n v="0"/>
    <n v="0"/>
    <n v="0"/>
    <n v="0"/>
    <n v="0"/>
    <n v="0"/>
    <n v="0"/>
    <n v="0"/>
    <n v="0"/>
    <n v="0"/>
    <n v="0"/>
    <n v="0"/>
    <n v="0"/>
    <n v="0"/>
    <n v="0"/>
  </r>
  <r>
    <n v="1015"/>
    <d v="2024-10-31T12:53:59"/>
    <d v="2024-10-31T13:13:55"/>
    <s v="tnyauti@lighthouse.org.mw"/>
    <s v="Tamala nyauti"/>
    <x v="2"/>
    <s v="Prototype"/>
    <x v="1"/>
    <s v="COP_23"/>
    <s v="COP_23"/>
    <s v="Quarter3"/>
    <s v="Quarter4"/>
    <s v="Qtr_4"/>
    <x v="2"/>
    <d v="2024-09-01T00:00:00"/>
    <d v="2024-09-30T00:00:00"/>
    <x v="1"/>
    <x v="44"/>
    <n v="0"/>
    <n v="16"/>
    <n v="0"/>
    <n v="0"/>
    <n v="0"/>
    <n v="16"/>
    <n v="0"/>
    <n v="0"/>
    <n v="0"/>
    <n v="0"/>
    <n v="0"/>
    <n v="0"/>
    <n v="0"/>
    <n v="0"/>
    <n v="0"/>
    <n v="0"/>
    <n v="0"/>
    <n v="0"/>
    <n v="0"/>
    <n v="0"/>
    <n v="0"/>
  </r>
  <r>
    <n v="158"/>
    <d v="2024-02-19T14:58:23"/>
    <d v="2024-02-19T15:38:14"/>
    <s v="tnyauti@lighthouse.org.mw"/>
    <s v="Tamala nyauti"/>
    <x v="2"/>
    <s v="Prototype"/>
    <x v="1"/>
    <s v="COP_23"/>
    <s v="COP_23"/>
    <s v="Quarter1"/>
    <s v="Quarter2"/>
    <s v="Qtr_2"/>
    <x v="4"/>
    <d v="2024-01-01T00:00:00"/>
    <d v="2024-01-31T00:00:00"/>
    <x v="0"/>
    <x v="60"/>
    <n v="2"/>
    <n v="16"/>
    <n v="0"/>
    <n v="0"/>
    <n v="2"/>
    <n v="18"/>
    <n v="2"/>
    <n v="2"/>
    <n v="0"/>
    <n v="0"/>
    <n v="0"/>
    <n v="2"/>
    <n v="2"/>
    <n v="2"/>
    <n v="2"/>
    <n v="0"/>
    <n v="0"/>
    <n v="0"/>
    <n v="0"/>
    <n v="0"/>
    <n v="0"/>
  </r>
  <r>
    <n v="345"/>
    <d v="2024-04-30T12:02:10"/>
    <d v="2024-04-30T12:45:25"/>
    <s v="tnyauti@lighthouse.org.mw"/>
    <s v="Tamala nyauti"/>
    <x v="2"/>
    <s v="Prototype"/>
    <x v="1"/>
    <s v="COP_23"/>
    <s v="COP_23"/>
    <s v="Quarter1"/>
    <s v="Quarter2"/>
    <s v="Qtr_2"/>
    <x v="3"/>
    <d v="2024-03-01T00:00:00"/>
    <d v="2024-03-27T00:00:00"/>
    <x v="2"/>
    <x v="25"/>
    <n v="1"/>
    <n v="6"/>
    <n v="1"/>
    <n v="1"/>
    <n v="1"/>
    <n v="9"/>
    <n v="3"/>
    <n v="3"/>
    <n v="0"/>
    <n v="0"/>
    <n v="0"/>
    <n v="3"/>
    <n v="1"/>
    <n v="0"/>
    <n v="0"/>
    <n v="0"/>
    <n v="0"/>
    <n v="0"/>
    <n v="0"/>
    <n v="1"/>
    <n v="0"/>
  </r>
  <r>
    <n v="426"/>
    <d v="2024-05-20T09:41:37"/>
    <d v="2024-05-20T09:44:11"/>
    <s v="tnyauti@lighthouse.org.mw"/>
    <s v="Tamala nyauti"/>
    <x v="2"/>
    <s v="Prototype"/>
    <x v="1"/>
    <s v="COP_23"/>
    <s v="COP_23"/>
    <s v="Quarter1"/>
    <s v="Quarter2"/>
    <s v="Qtr_2"/>
    <x v="4"/>
    <d v="2024-01-01T00:00:00"/>
    <d v="2024-01-31T00:00:00"/>
    <x v="2"/>
    <x v="21"/>
    <n v="0"/>
    <n v="0"/>
    <n v="0"/>
    <n v="0"/>
    <n v="0"/>
    <n v="0"/>
    <n v="0"/>
    <n v="0"/>
    <n v="0"/>
    <n v="0"/>
    <n v="0"/>
    <n v="0"/>
    <n v="0"/>
    <n v="0"/>
    <n v="0"/>
    <n v="0"/>
    <n v="0"/>
    <n v="0"/>
    <n v="0"/>
    <n v="0"/>
    <n v="0"/>
  </r>
  <r>
    <n v="428"/>
    <d v="2024-05-20T09:50:24"/>
    <d v="2024-05-20T09:56:26"/>
    <s v="tnyauti@lighthouse.org.mw"/>
    <s v="Tamala nyauti"/>
    <x v="2"/>
    <s v="Prototype"/>
    <x v="1"/>
    <s v="COP_23"/>
    <s v="COP_23"/>
    <s v="Quarter1"/>
    <s v="Quarter2"/>
    <s v="Qtr_2"/>
    <x v="5"/>
    <d v="2024-02-01T00:00:00"/>
    <d v="2024-02-29T00:00:00"/>
    <x v="2"/>
    <x v="18"/>
    <n v="0"/>
    <n v="1"/>
    <n v="0"/>
    <n v="0"/>
    <n v="0"/>
    <n v="1"/>
    <n v="1"/>
    <n v="1"/>
    <n v="0"/>
    <n v="1"/>
    <n v="0"/>
    <n v="1"/>
    <n v="0"/>
    <n v="0"/>
    <n v="0"/>
    <n v="0"/>
    <n v="0"/>
    <n v="0"/>
    <n v="0"/>
    <n v="0"/>
    <n v="0"/>
  </r>
  <r>
    <n v="436"/>
    <d v="2024-05-20T10:34:48"/>
    <d v="2024-05-20T11:10:25"/>
    <s v="tnyauti@lighthouse.org.mw"/>
    <s v="Tamala nyauti"/>
    <x v="2"/>
    <s v="Prototype"/>
    <x v="1"/>
    <s v="COP_24"/>
    <s v="COP_23"/>
    <s v="Quarter1"/>
    <s v="Quarter2"/>
    <s v="Qtr_2"/>
    <x v="3"/>
    <d v="2024-03-01T00:00:00"/>
    <d v="2024-03-31T00:00:00"/>
    <x v="2"/>
    <x v="49"/>
    <n v="1"/>
    <n v="7"/>
    <n v="1"/>
    <n v="1"/>
    <n v="1"/>
    <n v="9"/>
    <n v="3"/>
    <n v="0"/>
    <n v="0"/>
    <n v="0"/>
    <n v="0"/>
    <n v="3"/>
    <n v="1"/>
    <n v="0"/>
    <n v="0"/>
    <n v="0"/>
    <n v="0"/>
    <n v="0"/>
    <n v="0"/>
    <n v="1"/>
    <n v="0"/>
  </r>
  <r>
    <n v="443"/>
    <d v="2024-05-20T11:43:35"/>
    <d v="2024-05-20T11:49:06"/>
    <s v="tnyauti@lighthouse.org.mw"/>
    <s v="Tamala nyauti"/>
    <x v="2"/>
    <s v="Prototype"/>
    <x v="1"/>
    <s v="COP_23"/>
    <s v="COP_23"/>
    <s v="Quarter2"/>
    <s v="Quarter3"/>
    <s v="Qtr_3"/>
    <x v="7"/>
    <d v="2024-04-01T00:00:00"/>
    <d v="2024-04-30T00:00:00"/>
    <x v="2"/>
    <x v="61"/>
    <n v="1"/>
    <n v="19"/>
    <n v="0"/>
    <n v="0"/>
    <n v="0"/>
    <n v="19"/>
    <n v="1"/>
    <n v="0"/>
    <n v="0"/>
    <n v="0"/>
    <n v="0"/>
    <n v="1"/>
    <n v="0"/>
    <n v="0"/>
    <n v="0"/>
    <n v="0"/>
    <n v="0"/>
    <n v="0"/>
    <n v="0"/>
    <n v="0"/>
    <n v="0"/>
  </r>
  <r>
    <n v="543"/>
    <d v="2024-06-11T08:28:26"/>
    <d v="2024-06-11T08:52:31"/>
    <s v="tnyauti@lighthouse.org.mw"/>
    <s v="Tamala nyauti"/>
    <x v="2"/>
    <s v="Prototype"/>
    <x v="1"/>
    <s v="COP_23"/>
    <s v="COP_23"/>
    <s v="Quarter2"/>
    <s v="Quarter3"/>
    <s v="Qtr_3"/>
    <x v="6"/>
    <d v="2024-05-01T00:00:00"/>
    <d v="2024-05-31T00:00:00"/>
    <x v="2"/>
    <x v="25"/>
    <n v="0"/>
    <n v="7"/>
    <n v="1"/>
    <n v="1"/>
    <n v="0"/>
    <n v="9"/>
    <n v="1"/>
    <n v="1"/>
    <n v="0"/>
    <n v="0"/>
    <n v="0"/>
    <n v="1"/>
    <n v="0"/>
    <n v="0"/>
    <n v="0"/>
    <n v="0"/>
    <n v="0"/>
    <n v="0"/>
    <n v="0"/>
    <n v="0"/>
    <n v="0"/>
  </r>
  <r>
    <n v="642"/>
    <d v="2024-07-17T10:01:40"/>
    <d v="2024-07-17T10:03:38"/>
    <s v="tnyauti@lighthouse.org.mw"/>
    <s v="Tamala nyauti"/>
    <x v="2"/>
    <s v="Prototype"/>
    <x v="1"/>
    <s v="COP_23"/>
    <s v="COP_23"/>
    <s v="Quarter2"/>
    <s v="Quarter3"/>
    <s v="Qtr_3"/>
    <x v="8"/>
    <d v="2024-06-01T00:00:00"/>
    <d v="2024-06-30T00:00:00"/>
    <x v="2"/>
    <x v="20"/>
    <n v="1"/>
    <n v="1"/>
    <n v="0"/>
    <n v="0"/>
    <n v="1"/>
    <n v="2"/>
    <n v="1"/>
    <n v="1"/>
    <n v="0"/>
    <n v="0"/>
    <n v="0"/>
    <n v="1"/>
    <n v="0"/>
    <n v="0"/>
    <n v="0"/>
    <n v="0"/>
    <n v="0"/>
    <n v="0"/>
    <n v="0"/>
    <n v="0"/>
    <n v="0"/>
  </r>
  <r>
    <n v="1003"/>
    <d v="2024-10-31T11:15:26"/>
    <d v="2024-10-31T11:17:47"/>
    <s v="tnyauti@lighthouse.org.mw"/>
    <s v="Tamala nyauti"/>
    <x v="2"/>
    <s v="Prototype"/>
    <x v="1"/>
    <s v="COP_23"/>
    <s v="COP_23"/>
    <s v="Quarter3"/>
    <s v="Quarter4"/>
    <s v="Qtr_4"/>
    <x v="9"/>
    <d v="2024-07-01T00:00:00"/>
    <d v="2024-07-31T00:00:00"/>
    <x v="2"/>
    <x v="49"/>
    <n v="1"/>
    <n v="9"/>
    <n v="0"/>
    <n v="1"/>
    <n v="0"/>
    <n v="10"/>
    <n v="2"/>
    <n v="2"/>
    <n v="0"/>
    <n v="0"/>
    <n v="0"/>
    <n v="0"/>
    <n v="0"/>
    <n v="0"/>
    <n v="0"/>
    <n v="0"/>
    <n v="0"/>
    <n v="0"/>
    <n v="0"/>
    <n v="0"/>
    <n v="0"/>
  </r>
  <r>
    <n v="1009"/>
    <d v="2024-10-31T11:45:49"/>
    <d v="2024-10-31T11:50:47"/>
    <s v="tnyauti@lighthouse.org.mw"/>
    <s v="Tamala nyauti"/>
    <x v="2"/>
    <s v="Prototype"/>
    <x v="1"/>
    <s v="COP_23"/>
    <s v="COP_23"/>
    <s v="Quarter3"/>
    <s v="Quarter4"/>
    <s v="Qtr_4"/>
    <x v="10"/>
    <d v="2024-08-01T00:00:00"/>
    <d v="2024-08-31T00:00:00"/>
    <x v="2"/>
    <x v="23"/>
    <n v="0"/>
    <n v="13"/>
    <n v="0"/>
    <n v="0"/>
    <n v="0"/>
    <n v="13"/>
    <n v="0"/>
    <n v="1"/>
    <n v="0"/>
    <n v="0"/>
    <n v="0"/>
    <n v="0"/>
    <n v="0"/>
    <n v="0"/>
    <n v="0"/>
    <n v="0"/>
    <n v="0"/>
    <n v="0"/>
    <n v="0"/>
    <n v="0"/>
    <n v="0"/>
  </r>
  <r>
    <n v="1016"/>
    <d v="2024-10-31T13:14:04"/>
    <d v="2024-10-31T13:19:04"/>
    <s v="tnyauti@lighthouse.org.mw"/>
    <s v="Tamala nyauti"/>
    <x v="2"/>
    <s v="Prototype"/>
    <x v="1"/>
    <s v="COP_23"/>
    <s v="COP_23"/>
    <s v="Quarter3"/>
    <s v="Quarter4"/>
    <s v="Qtr_4"/>
    <x v="2"/>
    <d v="2024-09-01T00:00:00"/>
    <d v="2024-09-30T00:00:00"/>
    <x v="2"/>
    <x v="42"/>
    <n v="0"/>
    <n v="14"/>
    <n v="0"/>
    <n v="0"/>
    <n v="0"/>
    <n v="12"/>
    <n v="2"/>
    <n v="2"/>
    <n v="0"/>
    <n v="0"/>
    <n v="0"/>
    <n v="0"/>
    <n v="0"/>
    <n v="0"/>
    <n v="0"/>
    <n v="0"/>
    <n v="0"/>
    <n v="0"/>
    <n v="0"/>
    <n v="0"/>
    <n v="0"/>
  </r>
  <r>
    <n v="1083"/>
    <d v="2024-11-20T12:35:38"/>
    <d v="2024-11-20T12:46:50"/>
    <s v="tnyauti@lighthouse.org.mw"/>
    <s v="Tamala nyauti"/>
    <x v="2"/>
    <s v="Prototype"/>
    <x v="1"/>
    <s v="COP_23"/>
    <s v="COP_24"/>
    <s v="Quarter4"/>
    <s v="Quarter1"/>
    <s v="Qtr_1"/>
    <x v="0"/>
    <d v="2024-10-01T00:00:00"/>
    <d v="2024-10-31T00:00:00"/>
    <x v="2"/>
    <x v="25"/>
    <n v="0"/>
    <n v="8"/>
    <n v="0"/>
    <n v="1"/>
    <n v="0"/>
    <n v="8"/>
    <n v="5"/>
    <n v="5"/>
    <n v="0"/>
    <n v="0"/>
    <n v="0"/>
    <n v="5"/>
    <n v="1"/>
    <n v="0"/>
    <n v="0"/>
    <n v="0"/>
    <n v="0"/>
    <n v="0"/>
    <n v="0"/>
    <n v="1"/>
    <n v="0"/>
  </r>
  <r>
    <n v="344"/>
    <d v="2024-04-30T11:36:36"/>
    <d v="2024-04-30T12:01:22"/>
    <s v="tnyauti@lighthouse.org.mw"/>
    <s v="Tamala nyauti"/>
    <x v="2"/>
    <s v="Prototype"/>
    <x v="1"/>
    <s v="COP_23"/>
    <s v="COP_23"/>
    <s v="Quarter1"/>
    <s v="Quarter2"/>
    <s v="Qtr_2"/>
    <x v="3"/>
    <d v="2024-03-01T00:00:00"/>
    <d v="2024-03-27T00:00:00"/>
    <x v="3"/>
    <x v="18"/>
    <n v="0"/>
    <n v="1"/>
    <n v="0"/>
    <n v="0"/>
    <n v="0"/>
    <n v="1"/>
    <n v="1"/>
    <n v="0"/>
    <n v="0"/>
    <n v="0"/>
    <n v="0"/>
    <n v="1"/>
    <n v="0"/>
    <n v="0"/>
    <n v="0"/>
    <n v="0"/>
    <n v="0"/>
    <n v="0"/>
    <n v="0"/>
    <n v="0"/>
    <n v="0"/>
  </r>
  <r>
    <n v="346"/>
    <d v="2024-04-30T12:45:37"/>
    <d v="2024-04-30T13:00:39"/>
    <s v="tnyauti@lighthouse.org.mw"/>
    <s v="Tamala nyauti"/>
    <x v="2"/>
    <s v="Prototype"/>
    <x v="1"/>
    <s v="COP_23"/>
    <s v="COP_23"/>
    <s v="Quarter1"/>
    <s v="Quarter2"/>
    <s v="Qtr_2"/>
    <x v="3"/>
    <d v="2024-03-01T00:00:00"/>
    <d v="2024-03-27T00:00:00"/>
    <x v="0"/>
    <x v="34"/>
    <n v="1"/>
    <n v="24"/>
    <n v="4"/>
    <n v="1"/>
    <n v="0"/>
    <n v="28"/>
    <n v="10"/>
    <n v="6"/>
    <n v="0"/>
    <n v="0"/>
    <n v="0"/>
    <n v="10"/>
    <n v="2"/>
    <n v="0"/>
    <n v="0"/>
    <n v="0"/>
    <n v="0"/>
    <n v="0"/>
    <n v="0"/>
    <n v="2"/>
    <n v="0"/>
  </r>
  <r>
    <n v="422"/>
    <d v="2024-05-20T09:22:19"/>
    <d v="2024-05-20T09:26:49"/>
    <s v="tnyauti@lighthouse.org.mw"/>
    <s v="Tamala nyauti"/>
    <x v="2"/>
    <s v="Prototype"/>
    <x v="1"/>
    <s v="COP_23"/>
    <s v="COP_23"/>
    <s v="Quarter1"/>
    <s v="Quarter2"/>
    <s v="Qtr_2"/>
    <x v="4"/>
    <d v="2024-01-01T00:00:00"/>
    <d v="2024-01-31T00:00:00"/>
    <x v="5"/>
    <x v="21"/>
    <n v="0"/>
    <n v="0"/>
    <n v="0"/>
    <n v="0"/>
    <n v="0"/>
    <n v="0"/>
    <n v="0"/>
    <n v="0"/>
    <n v="0"/>
    <n v="0"/>
    <n v="0"/>
    <n v="0"/>
    <n v="0"/>
    <n v="0"/>
    <n v="0"/>
    <n v="0"/>
    <n v="0"/>
    <n v="0"/>
    <n v="0"/>
    <n v="0"/>
    <n v="0"/>
  </r>
  <r>
    <n v="424"/>
    <d v="2024-05-20T09:37:23"/>
    <d v="2024-05-20T09:39:36"/>
    <s v="tnyauti@lighthouse.org.mw"/>
    <s v="Tamala nyauti"/>
    <x v="2"/>
    <s v="Prototype"/>
    <x v="1"/>
    <s v="COP_23"/>
    <s v="COP_23"/>
    <s v="Quarter1"/>
    <s v="Quarter2"/>
    <s v="Qtr_2"/>
    <x v="4"/>
    <d v="2024-01-01T00:00:00"/>
    <d v="2024-01-31T00:00:00"/>
    <x v="4"/>
    <x v="21"/>
    <n v="0"/>
    <n v="0"/>
    <n v="0"/>
    <n v="0"/>
    <n v="0"/>
    <n v="0"/>
    <n v="0"/>
    <n v="0"/>
    <n v="0"/>
    <n v="0"/>
    <n v="0"/>
    <n v="0"/>
    <n v="0"/>
    <n v="0"/>
    <n v="0"/>
    <n v="0"/>
    <n v="0"/>
    <n v="0"/>
    <n v="0"/>
    <n v="0"/>
    <n v="0"/>
  </r>
  <r>
    <n v="425"/>
    <d v="2024-05-20T09:39:38"/>
    <d v="2024-05-20T09:41:28"/>
    <s v="tnyauti@lighthouse.org.mw"/>
    <s v="Tamala nyauti"/>
    <x v="2"/>
    <s v="Prototype"/>
    <x v="1"/>
    <s v="COP_23"/>
    <s v="COP_23"/>
    <s v="Quarter1"/>
    <s v="Quarter2"/>
    <s v="Qtr_2"/>
    <x v="4"/>
    <d v="2024-01-01T00:00:00"/>
    <d v="2024-01-31T00:00:00"/>
    <x v="3"/>
    <x v="21"/>
    <n v="0"/>
    <n v="0"/>
    <n v="0"/>
    <n v="0"/>
    <n v="0"/>
    <n v="0"/>
    <n v="0"/>
    <n v="0"/>
    <n v="0"/>
    <n v="0"/>
    <n v="0"/>
    <n v="0"/>
    <n v="0"/>
    <n v="0"/>
    <n v="0"/>
    <n v="0"/>
    <n v="0"/>
    <n v="0"/>
    <n v="0"/>
    <n v="0"/>
    <n v="0"/>
  </r>
  <r>
    <n v="427"/>
    <d v="2024-05-20T09:44:38"/>
    <d v="2024-05-20T09:50:18"/>
    <s v="tnyauti@lighthouse.org.mw"/>
    <s v="Tamala nyauti"/>
    <x v="2"/>
    <s v="Prototype"/>
    <x v="1"/>
    <s v="COP_23"/>
    <s v="COP_23"/>
    <s v="Quarter1"/>
    <s v="Quarter2"/>
    <s v="Qtr_2"/>
    <x v="5"/>
    <d v="2024-02-01T00:00:00"/>
    <d v="2024-02-29T00:00:00"/>
    <x v="0"/>
    <x v="9"/>
    <n v="0"/>
    <n v="25"/>
    <n v="0"/>
    <n v="0"/>
    <n v="0"/>
    <n v="25"/>
    <n v="7"/>
    <n v="6"/>
    <n v="0"/>
    <n v="1"/>
    <n v="0"/>
    <n v="8"/>
    <n v="2"/>
    <n v="0"/>
    <n v="0"/>
    <n v="0"/>
    <n v="0"/>
    <n v="0"/>
    <n v="0"/>
    <n v="0"/>
    <n v="0"/>
  </r>
  <r>
    <n v="430"/>
    <d v="2024-05-20T10:02:55"/>
    <d v="2024-05-20T10:04:45"/>
    <s v="tnyauti@lighthouse.org.mw"/>
    <s v="Tamala nyauti"/>
    <x v="2"/>
    <s v="Prototype"/>
    <x v="1"/>
    <s v="COP_23"/>
    <s v="COP_23"/>
    <s v="Quarter1"/>
    <s v="Quarter2"/>
    <s v="Qtr_2"/>
    <x v="5"/>
    <d v="2024-02-01T00:00:00"/>
    <d v="2024-02-29T00:00:00"/>
    <x v="3"/>
    <x v="21"/>
    <n v="0"/>
    <n v="0"/>
    <n v="0"/>
    <n v="0"/>
    <n v="0"/>
    <n v="0"/>
    <n v="0"/>
    <n v="0"/>
    <n v="0"/>
    <n v="0"/>
    <n v="0"/>
    <n v="0"/>
    <n v="0"/>
    <n v="0"/>
    <n v="0"/>
    <n v="0"/>
    <n v="0"/>
    <n v="0"/>
    <n v="0"/>
    <n v="0"/>
    <n v="0"/>
  </r>
  <r>
    <n v="431"/>
    <d v="2024-05-20T10:04:55"/>
    <d v="2024-05-20T10:06:29"/>
    <s v="tnyauti@lighthouse.org.mw"/>
    <s v="Tamala nyauti"/>
    <x v="2"/>
    <s v="Prototype"/>
    <x v="1"/>
    <s v="COP_23"/>
    <s v="COP_23"/>
    <s v="Quarter1"/>
    <s v="Quarter2"/>
    <s v="Qtr_2"/>
    <x v="5"/>
    <d v="2024-02-01T00:00:00"/>
    <d v="2024-02-29T00:00:00"/>
    <x v="4"/>
    <x v="21"/>
    <n v="0"/>
    <n v="0"/>
    <n v="0"/>
    <n v="0"/>
    <n v="0"/>
    <n v="0"/>
    <n v="0"/>
    <n v="0"/>
    <n v="0"/>
    <n v="0"/>
    <n v="0"/>
    <n v="0"/>
    <n v="0"/>
    <n v="0"/>
    <n v="0"/>
    <n v="0"/>
    <n v="0"/>
    <n v="0"/>
    <n v="0"/>
    <n v="0"/>
    <n v="0"/>
  </r>
  <r>
    <n v="433"/>
    <d v="2024-05-20T10:08:31"/>
    <d v="2024-05-20T10:10:57"/>
    <s v="tnyauti@lighthouse.org.mw"/>
    <s v="Tamala nyauti"/>
    <x v="2"/>
    <s v="Prototype"/>
    <x v="1"/>
    <s v="COP_23"/>
    <s v="COP_23"/>
    <s v="Quarter1"/>
    <s v="Quarter2"/>
    <s v="Qtr_2"/>
    <x v="5"/>
    <d v="2024-02-01T00:00:00"/>
    <d v="2024-02-29T00:00:00"/>
    <x v="5"/>
    <x v="21"/>
    <n v="0"/>
    <n v="0"/>
    <n v="0"/>
    <n v="0"/>
    <n v="0"/>
    <n v="0"/>
    <n v="0"/>
    <n v="0"/>
    <n v="0"/>
    <n v="0"/>
    <n v="0"/>
    <n v="0"/>
    <n v="0"/>
    <n v="0"/>
    <n v="0"/>
    <n v="0"/>
    <n v="0"/>
    <n v="0"/>
    <n v="0"/>
    <n v="0"/>
    <n v="0"/>
  </r>
  <r>
    <n v="435"/>
    <d v="2024-05-20T10:31:01"/>
    <d v="2024-05-20T10:34:37"/>
    <s v="tnyauti@lighthouse.org.mw"/>
    <s v="Tamala nyauti"/>
    <x v="2"/>
    <s v="Prototype"/>
    <x v="1"/>
    <s v="COP_23"/>
    <s v="COP_23"/>
    <s v="Quarter1"/>
    <s v="Quarter2"/>
    <s v="Qtr_2"/>
    <x v="3"/>
    <d v="2024-03-01T00:00:00"/>
    <d v="2024-03-31T00:00:00"/>
    <x v="5"/>
    <x v="21"/>
    <n v="0"/>
    <n v="0"/>
    <n v="0"/>
    <n v="0"/>
    <n v="0"/>
    <n v="0"/>
    <n v="0"/>
    <n v="0"/>
    <n v="0"/>
    <n v="0"/>
    <n v="0"/>
    <n v="0"/>
    <n v="0"/>
    <n v="0"/>
    <n v="0"/>
    <n v="0"/>
    <n v="0"/>
    <n v="0"/>
    <n v="0"/>
    <n v="0"/>
    <n v="0"/>
  </r>
  <r>
    <n v="437"/>
    <d v="2024-05-20T11:10:34"/>
    <d v="2024-05-20T11:11:59"/>
    <s v="tnyauti@lighthouse.org.mw"/>
    <s v="Tamala nyauti"/>
    <x v="2"/>
    <s v="Prototype"/>
    <x v="1"/>
    <s v="COP_23"/>
    <s v="COP_23"/>
    <s v="Quarter1"/>
    <s v="Quarter2"/>
    <s v="Qtr_2"/>
    <x v="3"/>
    <d v="2024-03-01T00:00:00"/>
    <d v="2024-03-31T00:00:00"/>
    <x v="4"/>
    <x v="21"/>
    <n v="0"/>
    <n v="0"/>
    <n v="0"/>
    <n v="0"/>
    <n v="0"/>
    <n v="0"/>
    <n v="0"/>
    <n v="0"/>
    <n v="0"/>
    <n v="0"/>
    <n v="0"/>
    <n v="0"/>
    <n v="0"/>
    <n v="0"/>
    <n v="0"/>
    <n v="0"/>
    <n v="0"/>
    <n v="0"/>
    <n v="0"/>
    <n v="0"/>
    <n v="0"/>
  </r>
  <r>
    <n v="438"/>
    <d v="2024-05-20T11:12:19"/>
    <d v="2024-05-20T11:17:38"/>
    <s v="tnyauti@lighthouse.org.mw"/>
    <s v="Tamala nyauti"/>
    <x v="2"/>
    <s v="Prototype"/>
    <x v="1"/>
    <s v="COP_23"/>
    <s v="COP_23"/>
    <s v="Quarter1"/>
    <s v="Quarter2"/>
    <s v="Qtr_2"/>
    <x v="3"/>
    <d v="2024-03-01T00:00:00"/>
    <d v="2024-03-31T00:00:00"/>
    <x v="3"/>
    <x v="18"/>
    <n v="0"/>
    <n v="1"/>
    <n v="0"/>
    <n v="0"/>
    <n v="0"/>
    <n v="1"/>
    <n v="1"/>
    <n v="0"/>
    <n v="0"/>
    <n v="0"/>
    <n v="0"/>
    <n v="1"/>
    <n v="0"/>
    <n v="0"/>
    <n v="0"/>
    <n v="0"/>
    <n v="0"/>
    <n v="0"/>
    <n v="0"/>
    <n v="0"/>
    <n v="0"/>
  </r>
  <r>
    <n v="440"/>
    <d v="2024-05-20T11:22:10"/>
    <d v="2024-05-20T11:36:21"/>
    <s v="tnyauti@lighthouse.org.mw"/>
    <s v="Tamala nyauti"/>
    <x v="2"/>
    <s v="Prototype"/>
    <x v="1"/>
    <s v="COP_23"/>
    <s v="COP_23"/>
    <s v="Quarter2"/>
    <s v="Quarter3"/>
    <s v="Qtr_3"/>
    <x v="7"/>
    <d v="2024-04-01T00:00:00"/>
    <d v="2024-04-30T00:00:00"/>
    <x v="0"/>
    <x v="32"/>
    <n v="3"/>
    <n v="38"/>
    <n v="2"/>
    <n v="2"/>
    <n v="0"/>
    <n v="42"/>
    <n v="10"/>
    <n v="8"/>
    <n v="0"/>
    <n v="0"/>
    <n v="0"/>
    <n v="12"/>
    <n v="2"/>
    <n v="0"/>
    <n v="0"/>
    <n v="0"/>
    <n v="0"/>
    <n v="0"/>
    <n v="0"/>
    <n v="1"/>
    <n v="0"/>
  </r>
  <r>
    <n v="441"/>
    <d v="2024-05-20T11:36:43"/>
    <d v="2024-05-20T11:38:51"/>
    <s v="tnyauti@lighthouse.org.mw"/>
    <s v="Tamala nyauti"/>
    <x v="2"/>
    <s v="Prototype"/>
    <x v="1"/>
    <s v="COP_23"/>
    <s v="COP_23"/>
    <s v="Quarter2"/>
    <s v="Quarter3"/>
    <s v="Qtr_3"/>
    <x v="7"/>
    <d v="2024-04-01T00:00:00"/>
    <d v="2024-04-30T00:00:00"/>
    <x v="4"/>
    <x v="18"/>
    <n v="0"/>
    <n v="1"/>
    <n v="0"/>
    <n v="0"/>
    <n v="0"/>
    <n v="1"/>
    <n v="0"/>
    <n v="0"/>
    <n v="0"/>
    <n v="0"/>
    <n v="0"/>
    <n v="0"/>
    <n v="0"/>
    <n v="0"/>
    <n v="0"/>
    <n v="0"/>
    <n v="0"/>
    <n v="0"/>
    <n v="0"/>
    <n v="0"/>
    <n v="0"/>
  </r>
  <r>
    <n v="444"/>
    <d v="2024-05-20T11:49:22"/>
    <d v="2024-05-20T11:53:03"/>
    <s v="tnyauti@lighthouse.org.mw"/>
    <s v="Tamala nyauti"/>
    <x v="2"/>
    <s v="Prototype"/>
    <x v="1"/>
    <s v="COP_23"/>
    <s v="COP_23"/>
    <s v="Quarter2"/>
    <s v="Quarter3"/>
    <s v="Qtr_3"/>
    <x v="7"/>
    <d v="2024-04-01T00:00:00"/>
    <d v="2024-04-30T00:00:00"/>
    <x v="3"/>
    <x v="21"/>
    <n v="0"/>
    <n v="0"/>
    <n v="0"/>
    <n v="0"/>
    <n v="0"/>
    <n v="0"/>
    <n v="0"/>
    <n v="0"/>
    <n v="0"/>
    <n v="0"/>
    <n v="0"/>
    <n v="0"/>
    <n v="0"/>
    <n v="0"/>
    <n v="0"/>
    <n v="0"/>
    <n v="0"/>
    <n v="0"/>
    <n v="0"/>
    <n v="0"/>
    <n v="0"/>
  </r>
  <r>
    <n v="445"/>
    <d v="2024-05-20T11:53:19"/>
    <d v="2024-05-20T11:55:11"/>
    <s v="tnyauti@lighthouse.org.mw"/>
    <s v="Tamala nyauti"/>
    <x v="2"/>
    <s v="Prototype"/>
    <x v="1"/>
    <s v="COP_24"/>
    <s v="COP_23"/>
    <s v="Quarter2"/>
    <s v="Quarter3"/>
    <s v="Qtr_3"/>
    <x v="7"/>
    <d v="2024-04-01T00:00:00"/>
    <d v="2024-04-30T00:00:00"/>
    <x v="5"/>
    <x v="21"/>
    <n v="0"/>
    <n v="0"/>
    <n v="0"/>
    <n v="0"/>
    <n v="0"/>
    <n v="0"/>
    <n v="0"/>
    <n v="0"/>
    <n v="0"/>
    <n v="0"/>
    <n v="0"/>
    <n v="0"/>
    <n v="0"/>
    <n v="0"/>
    <n v="0"/>
    <n v="0"/>
    <n v="0"/>
    <n v="0"/>
    <n v="0"/>
    <n v="0"/>
    <n v="0"/>
  </r>
  <r>
    <n v="528"/>
    <d v="2024-06-07T15:38:05"/>
    <d v="2024-06-07T15:51:20"/>
    <s v="tnyauti@lighthouse.org.mw"/>
    <s v="Tamala nyauti"/>
    <x v="2"/>
    <s v="Prototype"/>
    <x v="1"/>
    <s v="COP_23"/>
    <s v="COP_23"/>
    <s v="Quarter2"/>
    <s v="Quarter3"/>
    <s v="Qtr_3"/>
    <x v="6"/>
    <d v="2024-05-01T00:00:00"/>
    <d v="2024-05-31T00:00:00"/>
    <x v="0"/>
    <x v="34"/>
    <n v="2"/>
    <n v="24"/>
    <n v="1"/>
    <n v="4"/>
    <n v="0"/>
    <n v="29"/>
    <n v="5"/>
    <n v="5"/>
    <n v="0"/>
    <n v="0"/>
    <n v="0"/>
    <n v="5"/>
    <n v="1"/>
    <n v="0"/>
    <n v="0"/>
    <n v="0"/>
    <n v="0"/>
    <n v="0"/>
    <n v="0"/>
    <n v="1"/>
    <n v="0"/>
  </r>
  <r>
    <n v="544"/>
    <d v="2024-06-11T08:53:01"/>
    <d v="2024-06-11T09:38:02"/>
    <s v="tnyauti@lighthouse.org.mw"/>
    <s v="Tamala nyauti"/>
    <x v="2"/>
    <s v="Prototype"/>
    <x v="1"/>
    <s v="COP_23"/>
    <s v="COP_23"/>
    <s v="Quarter2"/>
    <s v="Quarter3"/>
    <s v="Qtr_3"/>
    <x v="6"/>
    <d v="2024-05-01T00:00:00"/>
    <d v="2024-05-31T00:00:00"/>
    <x v="4"/>
    <x v="18"/>
    <n v="0"/>
    <n v="1"/>
    <n v="0"/>
    <n v="0"/>
    <n v="0"/>
    <n v="1"/>
    <n v="0"/>
    <n v="0"/>
    <n v="0"/>
    <n v="0"/>
    <n v="0"/>
    <n v="0"/>
    <n v="0"/>
    <n v="0"/>
    <n v="0"/>
    <n v="0"/>
    <n v="0"/>
    <n v="0"/>
    <n v="0"/>
    <n v="0"/>
    <n v="0"/>
  </r>
  <r>
    <n v="545"/>
    <d v="2024-06-11T09:38:21"/>
    <d v="2024-06-11T09:42:57"/>
    <s v="tnyauti@lighthouse.org.mw"/>
    <s v="Tamala nyauti"/>
    <x v="2"/>
    <s v="Prototype"/>
    <x v="1"/>
    <s v="COP_23"/>
    <s v="COP_23"/>
    <s v="Quarter2"/>
    <s v="Quarter3"/>
    <s v="Qtr_3"/>
    <x v="6"/>
    <d v="2024-05-01T00:00:00"/>
    <d v="2024-05-31T00:00:00"/>
    <x v="5"/>
    <x v="21"/>
    <n v="0"/>
    <n v="0"/>
    <n v="0"/>
    <n v="0"/>
    <n v="0"/>
    <n v="0"/>
    <n v="0"/>
    <n v="0"/>
    <n v="0"/>
    <n v="0"/>
    <n v="0"/>
    <n v="0"/>
    <n v="0"/>
    <n v="0"/>
    <n v="0"/>
    <n v="0"/>
    <n v="0"/>
    <n v="0"/>
    <n v="0"/>
    <n v="0"/>
    <n v="0"/>
  </r>
  <r>
    <n v="546"/>
    <d v="2024-06-11T09:43:07"/>
    <d v="2024-06-11T09:45:00"/>
    <s v="tnyauti@lighthouse.org.mw"/>
    <s v="Tamala nyauti"/>
    <x v="2"/>
    <s v="Prototype"/>
    <x v="1"/>
    <s v="COP_23"/>
    <s v="COP_23"/>
    <s v="Quarter2"/>
    <s v="Quarter3"/>
    <s v="Qtr_3"/>
    <x v="6"/>
    <d v="2024-05-01T00:00:00"/>
    <d v="2024-05-31T00:00:00"/>
    <x v="3"/>
    <x v="21"/>
    <n v="0"/>
    <n v="0"/>
    <n v="0"/>
    <n v="0"/>
    <n v="0"/>
    <n v="0"/>
    <n v="0"/>
    <n v="0"/>
    <n v="0"/>
    <n v="0"/>
    <n v="0"/>
    <n v="0"/>
    <n v="0"/>
    <n v="0"/>
    <n v="0"/>
    <n v="0"/>
    <n v="0"/>
    <n v="0"/>
    <n v="0"/>
    <n v="0"/>
    <n v="0"/>
  </r>
  <r>
    <n v="640"/>
    <d v="2024-07-17T09:53:32"/>
    <d v="2024-07-17T09:58:49"/>
    <s v="tnyauti@lighthouse.org.mw"/>
    <s v="Tamala nyauti"/>
    <x v="2"/>
    <s v="Prototype"/>
    <x v="1"/>
    <s v="COP_23"/>
    <s v="COP_23"/>
    <s v="Quarter2"/>
    <s v="Quarter3"/>
    <s v="Qtr_3"/>
    <x v="8"/>
    <d v="2024-06-01T00:00:00"/>
    <d v="2024-06-30T00:00:00"/>
    <x v="0"/>
    <x v="44"/>
    <n v="2"/>
    <n v="15"/>
    <n v="0"/>
    <n v="0"/>
    <n v="1"/>
    <n v="16"/>
    <n v="3"/>
    <n v="2"/>
    <n v="0"/>
    <n v="0"/>
    <n v="0"/>
    <n v="2"/>
    <n v="0"/>
    <n v="0"/>
    <n v="0"/>
    <n v="0"/>
    <n v="0"/>
    <n v="0"/>
    <n v="0"/>
    <n v="0"/>
    <n v="0"/>
  </r>
  <r>
    <n v="643"/>
    <d v="2024-07-17T10:03:51"/>
    <d v="2024-07-17T10:06:11"/>
    <s v="tnyauti@lighthouse.org.mw"/>
    <s v="Tamala nyauti"/>
    <x v="2"/>
    <s v="Prototype"/>
    <x v="1"/>
    <s v="COP_23"/>
    <s v="COP_23"/>
    <s v="Quarter2"/>
    <s v="Quarter3"/>
    <s v="Qtr_3"/>
    <x v="8"/>
    <d v="2024-06-01T00:00:00"/>
    <d v="2024-06-30T00:00:00"/>
    <x v="4"/>
    <x v="21"/>
    <n v="0"/>
    <n v="0"/>
    <n v="0"/>
    <n v="0"/>
    <n v="0"/>
    <n v="0"/>
    <n v="0"/>
    <n v="0"/>
    <n v="0"/>
    <n v="0"/>
    <n v="0"/>
    <n v="0"/>
    <n v="0"/>
    <n v="0"/>
    <n v="0"/>
    <n v="0"/>
    <n v="0"/>
    <n v="0"/>
    <n v="0"/>
    <n v="0"/>
    <n v="0"/>
  </r>
  <r>
    <n v="644"/>
    <d v="2024-07-17T10:07:01"/>
    <d v="2024-07-17T10:08:51"/>
    <s v="tnyauti@lighthouse.org.mw"/>
    <s v="Tamala nyauti"/>
    <x v="2"/>
    <s v="Prototype"/>
    <x v="1"/>
    <s v="COP_23"/>
    <s v="COP_23"/>
    <s v="Quarter2"/>
    <s v="Quarter3"/>
    <s v="Qtr_3"/>
    <x v="8"/>
    <d v="2024-06-01T00:00:00"/>
    <d v="2024-06-30T00:00:00"/>
    <x v="5"/>
    <x v="21"/>
    <n v="0"/>
    <n v="0"/>
    <n v="0"/>
    <n v="0"/>
    <n v="0"/>
    <n v="0"/>
    <n v="0"/>
    <n v="0"/>
    <n v="0"/>
    <n v="0"/>
    <n v="0"/>
    <n v="0"/>
    <n v="0"/>
    <n v="0"/>
    <n v="0"/>
    <n v="0"/>
    <n v="0"/>
    <n v="0"/>
    <n v="0"/>
    <n v="0"/>
    <n v="0"/>
  </r>
  <r>
    <n v="645"/>
    <d v="2024-07-17T10:08:57"/>
    <d v="2024-07-17T10:09:49"/>
    <s v="tnyauti@lighthouse.org.mw"/>
    <s v="Tamala nyauti"/>
    <x v="2"/>
    <s v="Prototype"/>
    <x v="1"/>
    <s v="COP_23"/>
    <s v="COP_23"/>
    <s v="Quarter2"/>
    <s v="Quarter3"/>
    <s v="Qtr_3"/>
    <x v="8"/>
    <d v="2024-06-01T00:00:00"/>
    <d v="2024-06-30T00:00:00"/>
    <x v="3"/>
    <x v="21"/>
    <n v="0"/>
    <n v="0"/>
    <n v="0"/>
    <n v="0"/>
    <n v="0"/>
    <n v="0"/>
    <n v="0"/>
    <n v="0"/>
    <n v="0"/>
    <n v="0"/>
    <n v="0"/>
    <n v="0"/>
    <n v="0"/>
    <n v="0"/>
    <n v="0"/>
    <n v="0"/>
    <n v="0"/>
    <n v="0"/>
    <n v="0"/>
    <n v="0"/>
    <n v="0"/>
  </r>
  <r>
    <n v="1001"/>
    <d v="2024-10-31T10:51:55"/>
    <d v="2024-10-31T10:56:45"/>
    <s v="tnyauti@lighthouse.org.mw"/>
    <s v="Tamala nyauti"/>
    <x v="2"/>
    <s v="Prototype"/>
    <x v="1"/>
    <s v="COP_23"/>
    <s v="COP_23"/>
    <s v="Quarter3"/>
    <s v="Quarter4"/>
    <s v="Qtr_4"/>
    <x v="9"/>
    <d v="2024-07-01T00:00:00"/>
    <d v="2024-07-31T00:00:00"/>
    <x v="0"/>
    <x v="26"/>
    <n v="2"/>
    <n v="19"/>
    <n v="2"/>
    <n v="1"/>
    <n v="0"/>
    <n v="22"/>
    <n v="3"/>
    <n v="3"/>
    <n v="0"/>
    <n v="0"/>
    <n v="0"/>
    <n v="0"/>
    <n v="0"/>
    <n v="0"/>
    <n v="0"/>
    <n v="0"/>
    <n v="0"/>
    <n v="0"/>
    <n v="0"/>
    <n v="0"/>
    <n v="0"/>
  </r>
  <r>
    <n v="1004"/>
    <d v="2024-10-31T11:17:59"/>
    <d v="2024-10-31T11:20:08"/>
    <s v="tnyauti@lighthouse.org.mw"/>
    <s v="Tamala nyauti"/>
    <x v="2"/>
    <s v="Prototype"/>
    <x v="1"/>
    <s v="COP_23"/>
    <s v="COP_23"/>
    <s v="Quarter3"/>
    <s v="Quarter4"/>
    <s v="Qtr_4"/>
    <x v="9"/>
    <d v="2024-07-01T00:00:00"/>
    <d v="2024-07-31T00:00:00"/>
    <x v="5"/>
    <x v="21"/>
    <n v="0"/>
    <n v="0"/>
    <n v="0"/>
    <n v="0"/>
    <n v="0"/>
    <n v="0"/>
    <n v="0"/>
    <n v="0"/>
    <n v="0"/>
    <n v="0"/>
    <n v="0"/>
    <n v="0"/>
    <n v="0"/>
    <n v="0"/>
    <n v="0"/>
    <n v="0"/>
    <n v="0"/>
    <n v="0"/>
    <n v="0"/>
    <n v="0"/>
    <n v="0"/>
  </r>
  <r>
    <n v="1005"/>
    <d v="2024-10-31T11:20:14"/>
    <d v="2024-10-31T11:23:32"/>
    <s v="tnyauti@lighthouse.org.mw"/>
    <s v="Tamala nyauti"/>
    <x v="2"/>
    <s v="Prototype"/>
    <x v="1"/>
    <s v="COP_23"/>
    <s v="COP_23"/>
    <s v="Quarter3"/>
    <s v="Quarter4"/>
    <s v="Qtr_4"/>
    <x v="9"/>
    <d v="2024-07-01T00:00:00"/>
    <d v="2024-07-31T00:00:00"/>
    <x v="3"/>
    <x v="21"/>
    <n v="0"/>
    <n v="0"/>
    <n v="0"/>
    <n v="0"/>
    <n v="0"/>
    <n v="0"/>
    <n v="0"/>
    <n v="0"/>
    <n v="0"/>
    <n v="0"/>
    <n v="0"/>
    <n v="0"/>
    <n v="0"/>
    <n v="0"/>
    <n v="0"/>
    <n v="0"/>
    <n v="0"/>
    <n v="0"/>
    <n v="0"/>
    <n v="0"/>
    <n v="0"/>
  </r>
  <r>
    <n v="1006"/>
    <d v="2024-10-31T11:24:26"/>
    <d v="2024-10-31T11:27:45"/>
    <s v="tnyauti@lighthouse.org.mw"/>
    <s v="Tamala nyauti"/>
    <x v="2"/>
    <s v="Prototype"/>
    <x v="1"/>
    <s v="COP_23"/>
    <s v="COP_23"/>
    <s v="Quarter3"/>
    <s v="Quarter4"/>
    <s v="Qtr_4"/>
    <x v="9"/>
    <d v="2024-07-01T00:00:00"/>
    <d v="2024-07-31T00:00:00"/>
    <x v="4"/>
    <x v="21"/>
    <n v="0"/>
    <n v="0"/>
    <n v="0"/>
    <n v="0"/>
    <n v="0"/>
    <n v="0"/>
    <n v="0"/>
    <n v="0"/>
    <n v="0"/>
    <n v="0"/>
    <n v="0"/>
    <n v="0"/>
    <n v="0"/>
    <n v="0"/>
    <n v="0"/>
    <n v="0"/>
    <n v="0"/>
    <n v="0"/>
    <n v="0"/>
    <n v="0"/>
    <n v="0"/>
  </r>
  <r>
    <n v="1007"/>
    <d v="2024-10-31T11:28:49"/>
    <d v="2024-10-31T11:37:23"/>
    <s v="tnyauti@lighthouse.org.mw"/>
    <s v="Tamala nyauti"/>
    <x v="2"/>
    <s v="Prototype"/>
    <x v="1"/>
    <s v="COP_23"/>
    <s v="COP_23"/>
    <s v="Quarter3"/>
    <s v="Quarter4"/>
    <s v="Qtr_4"/>
    <x v="10"/>
    <d v="2024-08-01T00:00:00"/>
    <d v="2024-08-31T00:00:00"/>
    <x v="0"/>
    <x v="62"/>
    <n v="0"/>
    <n v="25"/>
    <n v="2"/>
    <n v="0"/>
    <n v="0"/>
    <n v="24"/>
    <n v="4"/>
    <n v="5"/>
    <n v="0"/>
    <n v="0"/>
    <n v="0"/>
    <n v="0"/>
    <n v="0"/>
    <n v="0"/>
    <n v="0"/>
    <n v="0"/>
    <n v="0"/>
    <n v="0"/>
    <n v="0"/>
    <n v="0"/>
    <n v="0"/>
  </r>
  <r>
    <n v="1010"/>
    <d v="2024-10-31T11:51:14"/>
    <d v="2024-10-31T12:06:02"/>
    <s v="tnyauti@lighthouse.org.mw"/>
    <s v="Tamala nyauti"/>
    <x v="2"/>
    <s v="Prototype"/>
    <x v="1"/>
    <s v="COP_23"/>
    <s v="COP_23"/>
    <s v="Quarter3"/>
    <s v="Quarter4"/>
    <s v="Qtr_4"/>
    <x v="10"/>
    <d v="2024-08-01T00:00:00"/>
    <d v="2024-08-31T00:00:00"/>
    <x v="3"/>
    <x v="18"/>
    <n v="0"/>
    <n v="1"/>
    <n v="0"/>
    <n v="0"/>
    <n v="0"/>
    <n v="1"/>
    <n v="0"/>
    <n v="0"/>
    <n v="0"/>
    <n v="0"/>
    <n v="0"/>
    <n v="0"/>
    <n v="0"/>
    <n v="0"/>
    <n v="0"/>
    <n v="0"/>
    <n v="0"/>
    <n v="0"/>
    <n v="0"/>
    <n v="0"/>
    <n v="0"/>
  </r>
  <r>
    <n v="1011"/>
    <d v="2024-10-31T12:06:15"/>
    <d v="2024-10-31T12:08:46"/>
    <s v="tnyauti@lighthouse.org.mw"/>
    <s v="Tamala nyauti"/>
    <x v="2"/>
    <s v="Prototype"/>
    <x v="1"/>
    <s v="COP_23"/>
    <s v="COP_23"/>
    <s v="Quarter3"/>
    <s v="Quarter4"/>
    <s v="Qtr_4"/>
    <x v="10"/>
    <d v="2024-08-01T00:00:00"/>
    <d v="2024-08-31T00:00:00"/>
    <x v="5"/>
    <x v="21"/>
    <n v="0"/>
    <n v="0"/>
    <n v="0"/>
    <n v="0"/>
    <n v="0"/>
    <n v="0"/>
    <n v="0"/>
    <n v="0"/>
    <n v="0"/>
    <n v="0"/>
    <n v="0"/>
    <n v="0"/>
    <n v="0"/>
    <n v="0"/>
    <n v="0"/>
    <n v="0"/>
    <n v="0"/>
    <n v="0"/>
    <n v="0"/>
    <n v="0"/>
    <n v="0"/>
  </r>
  <r>
    <n v="1012"/>
    <d v="2024-10-31T12:09:17"/>
    <d v="2024-10-31T12:15:59"/>
    <s v="tnyauti@lighthouse.org.mw"/>
    <s v="Tamala nyauti"/>
    <x v="2"/>
    <s v="Prototype"/>
    <x v="1"/>
    <s v="COP_23"/>
    <s v="COP_23"/>
    <s v="Quarter3"/>
    <s v="Quarter4"/>
    <s v="Qtr_4"/>
    <x v="10"/>
    <d v="2024-08-01T00:00:00"/>
    <d v="2024-08-31T00:00:00"/>
    <x v="4"/>
    <x v="21"/>
    <n v="0"/>
    <n v="0"/>
    <n v="0"/>
    <n v="0"/>
    <n v="0"/>
    <n v="0"/>
    <n v="0"/>
    <n v="0"/>
    <n v="0"/>
    <n v="0"/>
    <n v="0"/>
    <n v="0"/>
    <n v="0"/>
    <n v="0"/>
    <n v="0"/>
    <n v="0"/>
    <n v="0"/>
    <n v="0"/>
    <n v="0"/>
    <n v="0"/>
    <n v="0"/>
  </r>
  <r>
    <n v="1013"/>
    <d v="2024-10-31T12:16:40"/>
    <d v="2024-10-31T12:50:54"/>
    <s v="tnyauti@lighthouse.org.mw"/>
    <s v="Tamala nyauti"/>
    <x v="2"/>
    <s v="Prototype"/>
    <x v="1"/>
    <s v="COP_23"/>
    <s v="COP_23"/>
    <s v="Quarter3"/>
    <s v="Quarter4"/>
    <s v="Qtr_4"/>
    <x v="2"/>
    <d v="2024-09-01T00:00:00"/>
    <d v="2024-09-30T00:00:00"/>
    <x v="0"/>
    <x v="2"/>
    <n v="0"/>
    <n v="30"/>
    <n v="0"/>
    <n v="0"/>
    <n v="0"/>
    <n v="28"/>
    <n v="2"/>
    <n v="2"/>
    <n v="0"/>
    <n v="0"/>
    <n v="0"/>
    <n v="0"/>
    <n v="0"/>
    <n v="0"/>
    <n v="0"/>
    <n v="0"/>
    <n v="0"/>
    <n v="0"/>
    <n v="0"/>
    <n v="0"/>
    <n v="0"/>
  </r>
  <r>
    <n v="1017"/>
    <d v="2024-10-31T13:24:27"/>
    <d v="2024-10-31T13:26:25"/>
    <s v="tnyauti@lighthouse.org.mw"/>
    <s v="Tamala nyauti"/>
    <x v="2"/>
    <s v="Prototype"/>
    <x v="1"/>
    <s v="COP_23"/>
    <s v="COP_23"/>
    <s v="Quarter3"/>
    <s v="Quarter4"/>
    <s v="Qtr_4"/>
    <x v="2"/>
    <d v="2024-09-01T00:00:00"/>
    <d v="2024-09-30T00:00:00"/>
    <x v="3"/>
    <x v="18"/>
    <n v="0"/>
    <n v="1"/>
    <n v="0"/>
    <n v="0"/>
    <n v="0"/>
    <n v="1"/>
    <n v="0"/>
    <n v="0"/>
    <n v="0"/>
    <n v="0"/>
    <n v="0"/>
    <n v="0"/>
    <n v="0"/>
    <n v="0"/>
    <n v="0"/>
    <n v="0"/>
    <n v="0"/>
    <n v="0"/>
    <n v="0"/>
    <n v="0"/>
    <n v="0"/>
  </r>
  <r>
    <n v="1018"/>
    <d v="2024-10-31T13:27:36"/>
    <d v="2024-10-31T13:37:59"/>
    <s v="tnyauti@lighthouse.org.mw"/>
    <s v="Tamala nyauti"/>
    <x v="2"/>
    <s v="Prototype"/>
    <x v="1"/>
    <s v="COP_23"/>
    <s v="COP_23"/>
    <s v="Quarter3"/>
    <s v="Quarter4"/>
    <s v="Qtr_4"/>
    <x v="2"/>
    <d v="2024-09-01T00:00:00"/>
    <d v="2024-09-30T00:00:00"/>
    <x v="5"/>
    <x v="21"/>
    <n v="0"/>
    <n v="0"/>
    <n v="0"/>
    <n v="0"/>
    <n v="0"/>
    <n v="0"/>
    <n v="0"/>
    <n v="0"/>
    <n v="0"/>
    <n v="0"/>
    <n v="0"/>
    <n v="0"/>
    <n v="0"/>
    <n v="0"/>
    <n v="0"/>
    <n v="0"/>
    <n v="0"/>
    <n v="0"/>
    <n v="0"/>
    <n v="0"/>
    <n v="0"/>
  </r>
  <r>
    <n v="1019"/>
    <d v="2024-10-31T13:38:23"/>
    <d v="2024-10-31T13:42:24"/>
    <s v="tnyauti@lighthouse.org.mw"/>
    <s v="Tamala nyauti"/>
    <x v="2"/>
    <s v="Prototype"/>
    <x v="1"/>
    <s v="COP_22"/>
    <s v="COP_23"/>
    <s v="Quarter3"/>
    <s v="Quarter4"/>
    <s v="Qtr_4"/>
    <x v="2"/>
    <d v="2024-09-01T00:00:00"/>
    <d v="2024-09-30T00:00:00"/>
    <x v="4"/>
    <x v="21"/>
    <n v="0"/>
    <n v="0"/>
    <n v="0"/>
    <n v="0"/>
    <n v="0"/>
    <n v="0"/>
    <n v="0"/>
    <n v="0"/>
    <n v="0"/>
    <n v="0"/>
    <n v="0"/>
    <n v="0"/>
    <n v="0"/>
    <n v="0"/>
    <n v="0"/>
    <n v="0"/>
    <n v="0"/>
    <n v="0"/>
    <n v="0"/>
    <n v="0"/>
    <n v="0"/>
  </r>
  <r>
    <n v="1082"/>
    <d v="2024-11-20T12:26:14"/>
    <d v="2024-11-20T12:31:28"/>
    <s v="tnyauti@lighthouse.org.mw"/>
    <s v="Tamala nyauti"/>
    <x v="2"/>
    <s v="Prototype"/>
    <x v="1"/>
    <s v="COP_24"/>
    <s v="COP_24"/>
    <s v="Quarter4"/>
    <s v="Quarter1"/>
    <s v="Qtr_1"/>
    <x v="0"/>
    <d v="2024-10-01T00:00:00"/>
    <d v="2024-10-31T00:00:00"/>
    <x v="0"/>
    <x v="60"/>
    <n v="0"/>
    <n v="16"/>
    <n v="0"/>
    <n v="2"/>
    <n v="0"/>
    <n v="17"/>
    <n v="8"/>
    <n v="8"/>
    <n v="0"/>
    <n v="0"/>
    <n v="0"/>
    <n v="8"/>
    <n v="1"/>
    <n v="0"/>
    <n v="0"/>
    <n v="0"/>
    <n v="0"/>
    <n v="0"/>
    <n v="0"/>
    <n v="1"/>
    <n v="0"/>
  </r>
  <r>
    <n v="1084"/>
    <d v="2024-11-20T12:47:00"/>
    <d v="2024-11-20T12:49:30"/>
    <s v="tnyauti@lighthouse.org.mw"/>
    <s v="Tamala nyauti"/>
    <x v="2"/>
    <s v="Prototype"/>
    <x v="1"/>
    <s v="COP_24"/>
    <s v="COP_24"/>
    <s v="Quarter4"/>
    <s v="Quarter1"/>
    <s v="Qtr_1"/>
    <x v="0"/>
    <d v="2024-10-01T00:00:00"/>
    <d v="2024-10-31T00:00:00"/>
    <x v="1"/>
    <x v="25"/>
    <n v="0"/>
    <n v="8"/>
    <n v="0"/>
    <n v="1"/>
    <n v="0"/>
    <n v="9"/>
    <n v="3"/>
    <n v="3"/>
    <n v="0"/>
    <n v="0"/>
    <n v="0"/>
    <n v="3"/>
    <n v="0"/>
    <n v="0"/>
    <n v="0"/>
    <n v="0"/>
    <n v="0"/>
    <n v="0"/>
    <n v="0"/>
    <n v="0"/>
    <n v="0"/>
  </r>
  <r>
    <n v="1085"/>
    <d v="2024-11-20T12:50:05"/>
    <d v="2024-11-20T12:53:05"/>
    <s v="tnyauti@lighthouse.org.mw"/>
    <s v="Tamala nyauti"/>
    <x v="2"/>
    <s v="Prototype"/>
    <x v="1"/>
    <s v="COP_24"/>
    <s v="COP_24"/>
    <s v="Quarter4"/>
    <s v="Quarter1"/>
    <s v="Qtr_1"/>
    <x v="0"/>
    <d v="2024-10-01T00:00:00"/>
    <d v="2024-10-31T00:00:00"/>
    <x v="5"/>
    <x v="21"/>
    <n v="0"/>
    <n v="0"/>
    <n v="0"/>
    <n v="0"/>
    <n v="0"/>
    <n v="0"/>
    <n v="0"/>
    <n v="0"/>
    <n v="0"/>
    <n v="0"/>
    <n v="0"/>
    <n v="0"/>
    <n v="0"/>
    <n v="0"/>
    <n v="0"/>
    <n v="0"/>
    <n v="0"/>
    <n v="0"/>
    <n v="0"/>
    <n v="0"/>
    <n v="0"/>
  </r>
  <r>
    <n v="1086"/>
    <d v="2024-11-20T12:53:21"/>
    <d v="2024-11-20T12:54:33"/>
    <s v="tnyauti@lighthouse.org.mw"/>
    <s v="Tamala nyauti"/>
    <x v="2"/>
    <s v="Prototype"/>
    <x v="1"/>
    <s v="COP_24"/>
    <s v="COP_24"/>
    <s v="Quarter4"/>
    <s v="Quarter1"/>
    <s v="Qtr_1"/>
    <x v="0"/>
    <d v="2024-10-01T00:00:00"/>
    <d v="2024-10-31T00:00:00"/>
    <x v="4"/>
    <x v="21"/>
    <n v="0"/>
    <n v="0"/>
    <n v="0"/>
    <n v="0"/>
    <n v="0"/>
    <n v="0"/>
    <n v="0"/>
    <n v="0"/>
    <n v="0"/>
    <n v="0"/>
    <n v="0"/>
    <n v="0"/>
    <n v="0"/>
    <n v="0"/>
    <n v="0"/>
    <n v="0"/>
    <n v="0"/>
    <n v="0"/>
    <n v="0"/>
    <n v="0"/>
    <n v="0"/>
  </r>
  <r>
    <n v="1087"/>
    <d v="2024-11-20T12:54:42"/>
    <d v="2024-11-20T12:55:42"/>
    <s v="tnyauti@lighthouse.org.mw"/>
    <s v="Tamala nyauti"/>
    <x v="2"/>
    <s v="Prototype"/>
    <x v="1"/>
    <s v="COP_24"/>
    <s v="COP_24"/>
    <s v="Quarter4"/>
    <s v="Quarter1"/>
    <s v="Qtr_1"/>
    <x v="0"/>
    <d v="2024-10-01T00:00:00"/>
    <d v="2024-10-31T00:00:00"/>
    <x v="3"/>
    <x v="21"/>
    <n v="0"/>
    <n v="0"/>
    <n v="0"/>
    <n v="0"/>
    <n v="0"/>
    <n v="0"/>
    <n v="0"/>
    <n v="0"/>
    <n v="0"/>
    <n v="0"/>
    <n v="0"/>
    <n v="0"/>
    <n v="0"/>
    <n v="0"/>
    <n v="0"/>
    <n v="0"/>
    <n v="0"/>
    <n v="0"/>
    <n v="0"/>
    <n v="0"/>
    <n v="0"/>
  </r>
  <r>
    <n v="1163"/>
    <d v="2024-12-20T08:07:11"/>
    <d v="2024-12-20T08:13:59"/>
    <s v="tnyauti@lighthouse.org.mw"/>
    <s v="Tamala nyauti"/>
    <x v="2"/>
    <s v="Prototype"/>
    <x v="1"/>
    <s v="COP_24"/>
    <s v="COP_24"/>
    <s v="Quarter4"/>
    <s v="Quarter1"/>
    <s v="Qtr_1"/>
    <x v="1"/>
    <d v="2024-11-01T00:00:00"/>
    <d v="2024-11-30T00:00:00"/>
    <x v="0"/>
    <x v="0"/>
    <n v="1"/>
    <n v="32"/>
    <n v="2"/>
    <n v="0"/>
    <n v="1"/>
    <n v="35"/>
    <n v="4"/>
    <n v="3"/>
    <n v="0"/>
    <n v="0"/>
    <n v="0"/>
    <n v="4"/>
    <n v="1"/>
    <n v="0"/>
    <n v="0"/>
    <n v="0"/>
    <n v="0"/>
    <n v="0"/>
    <n v="0"/>
    <n v="1"/>
    <n v="0"/>
  </r>
  <r>
    <n v="1164"/>
    <d v="2024-12-20T08:14:16"/>
    <d v="2024-12-20T08:23:40"/>
    <s v="tnyauti@lighthouse.org.mw"/>
    <s v="Tamala nyauti"/>
    <x v="2"/>
    <s v="Prototype"/>
    <x v="1"/>
    <s v="COP_24"/>
    <s v="COP_24"/>
    <s v="Quarter4"/>
    <s v="Quarter1"/>
    <s v="Qtr_1"/>
    <x v="1"/>
    <d v="2024-11-01T00:00:00"/>
    <d v="2024-11-30T00:00:00"/>
    <x v="1"/>
    <x v="9"/>
    <n v="0"/>
    <n v="23"/>
    <n v="2"/>
    <n v="0"/>
    <n v="0"/>
    <n v="25"/>
    <n v="3"/>
    <n v="3"/>
    <n v="0"/>
    <n v="0"/>
    <n v="0"/>
    <n v="0"/>
    <n v="0"/>
    <n v="0"/>
    <n v="0"/>
    <n v="0"/>
    <n v="0"/>
    <n v="0"/>
    <n v="0"/>
    <n v="0"/>
    <n v="0"/>
  </r>
  <r>
    <n v="1165"/>
    <d v="2024-12-20T08:23:56"/>
    <d v="2024-12-20T08:28:22"/>
    <s v="tnyauti@lighthouse.org.mw"/>
    <s v="Tamala nyauti"/>
    <x v="2"/>
    <s v="Prototype"/>
    <x v="1"/>
    <s v="COP_24"/>
    <s v="COP_24"/>
    <s v="Quarter4"/>
    <s v="Quarter1"/>
    <s v="Qtr_1"/>
    <x v="1"/>
    <d v="2024-11-01T00:00:00"/>
    <d v="2024-11-30T00:00:00"/>
    <x v="2"/>
    <x v="49"/>
    <n v="1"/>
    <n v="9"/>
    <n v="0"/>
    <n v="0"/>
    <n v="1"/>
    <n v="10"/>
    <n v="1"/>
    <n v="0"/>
    <n v="0"/>
    <n v="0"/>
    <n v="0"/>
    <n v="1"/>
    <n v="1"/>
    <n v="0"/>
    <n v="0"/>
    <n v="0"/>
    <n v="0"/>
    <n v="0"/>
    <n v="0"/>
    <n v="1"/>
    <n v="0"/>
  </r>
  <r>
    <n v="1166"/>
    <d v="2024-12-20T08:28:47"/>
    <d v="2024-12-20T08:31:01"/>
    <s v="tnyauti@lighthouse.org.mw"/>
    <s v="Tamala nyauti"/>
    <x v="2"/>
    <s v="Prototype"/>
    <x v="1"/>
    <s v="COP_24"/>
    <s v="COP_24"/>
    <s v="Quarter4"/>
    <s v="Quarter1"/>
    <s v="Qtr_1"/>
    <x v="1"/>
    <d v="2024-11-01T00:00:00"/>
    <d v="2024-11-30T00:00:00"/>
    <x v="3"/>
    <x v="30"/>
    <n v="1"/>
    <n v="2"/>
    <n v="0"/>
    <n v="0"/>
    <n v="1"/>
    <n v="3"/>
    <n v="1"/>
    <n v="0"/>
    <n v="0"/>
    <n v="0"/>
    <n v="0"/>
    <n v="1"/>
    <n v="1"/>
    <n v="0"/>
    <n v="0"/>
    <n v="0"/>
    <n v="0"/>
    <n v="0"/>
    <n v="0"/>
    <n v="1"/>
    <n v="0"/>
  </r>
  <r>
    <n v="1167"/>
    <d v="2024-12-20T08:31:12"/>
    <d v="2024-12-20T08:32:13"/>
    <s v="tnyauti@lighthouse.org.mw"/>
    <s v="Tamala nyauti"/>
    <x v="2"/>
    <s v="Prototype"/>
    <x v="1"/>
    <s v="COP_24"/>
    <s v="COP_24"/>
    <s v="Quarter4"/>
    <s v="Quarter1"/>
    <s v="Qtr_1"/>
    <x v="1"/>
    <d v="2024-11-01T00:00:00"/>
    <d v="2024-11-30T00:00:00"/>
    <x v="5"/>
    <x v="21"/>
    <n v="0"/>
    <n v="0"/>
    <n v="0"/>
    <n v="0"/>
    <n v="0"/>
    <n v="0"/>
    <n v="0"/>
    <n v="0"/>
    <n v="0"/>
    <n v="0"/>
    <n v="0"/>
    <n v="0"/>
    <n v="0"/>
    <n v="0"/>
    <n v="0"/>
    <n v="0"/>
    <n v="0"/>
    <n v="0"/>
    <n v="0"/>
    <n v="0"/>
    <n v="0"/>
  </r>
  <r>
    <n v="1168"/>
    <d v="2024-12-20T08:32:26"/>
    <d v="2024-12-20T08:33:35"/>
    <s v="tnyauti@lighthouse.org.mw"/>
    <s v="Tamala nyauti"/>
    <x v="2"/>
    <s v="Prototype"/>
    <x v="1"/>
    <s v="COP_24"/>
    <s v="COP_24"/>
    <s v="Quarter4"/>
    <s v="Quarter1"/>
    <s v="Qtr_1"/>
    <x v="1"/>
    <d v="2024-11-01T00:00:00"/>
    <d v="2024-11-30T00:00:00"/>
    <x v="4"/>
    <x v="21"/>
    <n v="0"/>
    <n v="0"/>
    <n v="0"/>
    <n v="0"/>
    <n v="0"/>
    <n v="0"/>
    <n v="0"/>
    <n v="0"/>
    <n v="0"/>
    <n v="0"/>
    <n v="0"/>
    <n v="0"/>
    <n v="0"/>
    <n v="0"/>
    <n v="0"/>
    <n v="0"/>
    <n v="0"/>
    <n v="0"/>
    <n v="0"/>
    <n v="0"/>
    <n v="0"/>
  </r>
  <r>
    <n v="1270"/>
    <d v="2025-01-14T14:53:19"/>
    <d v="2025-01-14T15:08:49"/>
    <s v="tnyauti@lighthouse.org.mw"/>
    <s v="Tamala nyauti"/>
    <x v="2"/>
    <s v="Prototype"/>
    <x v="1"/>
    <s v="COP_24"/>
    <s v="COP_24"/>
    <s v="Quarter4"/>
    <s v="Quarter1"/>
    <s v="Qtr_1"/>
    <x v="11"/>
    <d v="2024-12-01T00:00:00"/>
    <d v="2024-12-31T00:00:00"/>
    <x v="0"/>
    <x v="28"/>
    <n v="0"/>
    <n v="29"/>
    <n v="1"/>
    <n v="0"/>
    <n v="1"/>
    <n v="30"/>
    <n v="7"/>
    <n v="4"/>
    <n v="0"/>
    <n v="0"/>
    <n v="0"/>
    <n v="7"/>
    <n v="1"/>
    <n v="0"/>
    <n v="0"/>
    <n v="0"/>
    <n v="0"/>
    <n v="0"/>
    <n v="0"/>
    <n v="1"/>
    <n v="0"/>
  </r>
  <r>
    <n v="1271"/>
    <d v="2025-01-14T15:08:54"/>
    <d v="2025-01-14T15:13:41"/>
    <s v="tnyauti@lighthouse.org.mw"/>
    <s v="Tamala nyauti"/>
    <x v="2"/>
    <s v="Prototype"/>
    <x v="1"/>
    <s v="COP_24"/>
    <s v="COP_24"/>
    <s v="Quarter4"/>
    <s v="Quarter1"/>
    <s v="Qtr_1"/>
    <x v="11"/>
    <d v="2024-12-01T00:00:00"/>
    <d v="2024-12-31T00:00:00"/>
    <x v="1"/>
    <x v="61"/>
    <n v="0"/>
    <n v="17"/>
    <n v="1"/>
    <n v="0"/>
    <n v="1"/>
    <n v="19"/>
    <n v="5"/>
    <n v="3"/>
    <n v="0"/>
    <n v="0"/>
    <n v="0"/>
    <n v="5"/>
    <n v="1"/>
    <n v="0"/>
    <n v="0"/>
    <n v="0"/>
    <n v="0"/>
    <n v="0"/>
    <n v="0"/>
    <n v="1"/>
    <n v="0"/>
  </r>
  <r>
    <n v="1272"/>
    <d v="2025-01-14T15:13:46"/>
    <d v="2025-01-14T15:16:54"/>
    <s v="tnyauti@lighthouse.org.mw"/>
    <s v="Tamala nyauti"/>
    <x v="2"/>
    <s v="Prototype"/>
    <x v="1"/>
    <s v="COP_24"/>
    <s v="COP_24"/>
    <s v="Quarter4"/>
    <s v="Quarter1"/>
    <s v="Qtr_1"/>
    <x v="11"/>
    <d v="2024-12-01T00:00:00"/>
    <d v="2024-12-31T00:00:00"/>
    <x v="2"/>
    <x v="29"/>
    <n v="0"/>
    <n v="12"/>
    <n v="0"/>
    <n v="0"/>
    <n v="0"/>
    <n v="11"/>
    <n v="2"/>
    <n v="1"/>
    <n v="0"/>
    <n v="0"/>
    <n v="0"/>
    <n v="2"/>
    <n v="0"/>
    <n v="0"/>
    <n v="0"/>
    <n v="0"/>
    <n v="0"/>
    <n v="0"/>
    <n v="0"/>
    <n v="0"/>
    <n v="0"/>
  </r>
  <r>
    <n v="1273"/>
    <d v="2025-01-14T15:17:04"/>
    <d v="2025-01-14T15:19:37"/>
    <s v="tnyauti@lighthouse.org.mw"/>
    <s v="Tamala nyauti"/>
    <x v="2"/>
    <s v="Prototype"/>
    <x v="1"/>
    <s v="COP_24"/>
    <s v="COP_24"/>
    <s v="Quarter4"/>
    <s v="Quarter1"/>
    <s v="Qtr_1"/>
    <x v="11"/>
    <d v="2024-12-01T00:00:00"/>
    <d v="2024-12-31T00:00:00"/>
    <x v="5"/>
    <x v="18"/>
    <n v="0"/>
    <n v="1"/>
    <n v="0"/>
    <n v="0"/>
    <n v="0"/>
    <n v="1"/>
    <n v="0"/>
    <n v="0"/>
    <n v="0"/>
    <n v="0"/>
    <n v="0"/>
    <n v="0"/>
    <n v="0"/>
    <n v="0"/>
    <n v="0"/>
    <n v="0"/>
    <n v="0"/>
    <n v="0"/>
    <n v="0"/>
    <n v="0"/>
    <n v="0"/>
  </r>
  <r>
    <n v="1274"/>
    <d v="2025-01-14T15:19:44"/>
    <d v="2025-01-14T15:23:12"/>
    <s v="tnyauti@lighthouse.org.mw"/>
    <s v="Tamala nyauti"/>
    <x v="2"/>
    <s v="Prototype"/>
    <x v="1"/>
    <s v="COP_24"/>
    <s v="COP_24"/>
    <s v="Quarter4"/>
    <s v="Quarter1"/>
    <s v="Qtr_1"/>
    <x v="11"/>
    <d v="2024-12-01T00:00:00"/>
    <d v="2024-12-31T00:00:00"/>
    <x v="3"/>
    <x v="21"/>
    <n v="0"/>
    <n v="0"/>
    <n v="0"/>
    <n v="0"/>
    <n v="0"/>
    <n v="0"/>
    <n v="0"/>
    <n v="0"/>
    <n v="0"/>
    <n v="0"/>
    <n v="0"/>
    <n v="0"/>
    <n v="0"/>
    <n v="0"/>
    <n v="0"/>
    <n v="0"/>
    <n v="0"/>
    <n v="0"/>
    <n v="0"/>
    <n v="0"/>
    <n v="0"/>
  </r>
  <r>
    <n v="1275"/>
    <d v="2025-01-14T15:23:31"/>
    <d v="2025-01-14T15:27:07"/>
    <s v="tnyauti@lighthouse.org.mw"/>
    <s v="Tamala nyauti"/>
    <x v="2"/>
    <s v="Prototype"/>
    <x v="1"/>
    <s v="COP_22"/>
    <s v="COP_24"/>
    <s v="Quarter4"/>
    <s v="Quarter1"/>
    <s v="Qtr_1"/>
    <x v="11"/>
    <d v="2024-12-01T00:00:00"/>
    <d v="2024-12-31T00:00:00"/>
    <x v="4"/>
    <x v="21"/>
    <n v="0"/>
    <n v="0"/>
    <n v="0"/>
    <n v="0"/>
    <n v="0"/>
    <n v="0"/>
    <n v="0"/>
    <n v="0"/>
    <n v="0"/>
    <n v="0"/>
    <n v="0"/>
    <n v="0"/>
    <n v="0"/>
    <n v="0"/>
    <n v="0"/>
    <n v="0"/>
    <n v="0"/>
    <n v="0"/>
    <n v="0"/>
    <n v="0"/>
    <n v="0"/>
  </r>
  <r>
    <n v="1321"/>
    <d v="2025-02-25T14:03:47"/>
    <d v="2025-02-25T14:11:13"/>
    <s v="tnyauti@lighthouse.org.mw"/>
    <s v="Tamala nyauti"/>
    <x v="2"/>
    <s v="Prototype"/>
    <x v="2"/>
    <s v="COP_23"/>
    <s v="COP_24"/>
    <s v="Quarter1"/>
    <s v="Quarter2"/>
    <s v="Qtr_2"/>
    <x v="4"/>
    <d v="2025-01-01T00:00:00"/>
    <d v="2025-01-31T00:00:00"/>
    <x v="0"/>
    <x v="34"/>
    <n v="0"/>
    <n v="28"/>
    <n v="1"/>
    <n v="0"/>
    <n v="0"/>
    <n v="27"/>
    <n v="4"/>
    <n v="0"/>
    <n v="0"/>
    <n v="1"/>
    <n v="0"/>
    <n v="5"/>
    <n v="1"/>
    <n v="0"/>
    <n v="0"/>
    <n v="0"/>
    <n v="0"/>
    <n v="0"/>
    <n v="0"/>
    <n v="1"/>
    <n v="0"/>
  </r>
  <r>
    <n v="1322"/>
    <d v="2025-02-25T14:11:19"/>
    <d v="2025-02-25T14:14:30"/>
    <s v="tnyauti@lighthouse.org.mw"/>
    <s v="Tamala nyauti"/>
    <x v="2"/>
    <s v="Prototype"/>
    <x v="2"/>
    <s v="COP_23"/>
    <s v="COP_24"/>
    <s v="Quarter1"/>
    <s v="Quarter2"/>
    <s v="Qtr_2"/>
    <x v="4"/>
    <d v="2025-01-01T00:00:00"/>
    <d v="2025-01-31T00:00:00"/>
    <x v="1"/>
    <x v="44"/>
    <n v="0"/>
    <n v="16"/>
    <n v="0"/>
    <n v="0"/>
    <n v="0"/>
    <n v="16"/>
    <n v="2"/>
    <n v="0"/>
    <n v="0"/>
    <n v="1"/>
    <n v="0"/>
    <n v="3"/>
    <n v="0"/>
    <n v="0"/>
    <n v="0"/>
    <n v="0"/>
    <n v="0"/>
    <n v="0"/>
    <n v="0"/>
    <n v="0"/>
    <n v="0"/>
  </r>
  <r>
    <n v="1323"/>
    <d v="2025-02-25T14:14:34"/>
    <d v="2025-02-25T14:16:46"/>
    <s v="tnyauti@lighthouse.org.mw"/>
    <s v="Tamala nyauti"/>
    <x v="2"/>
    <s v="Prototype"/>
    <x v="2"/>
    <s v="COP_23"/>
    <s v="COP_24"/>
    <s v="Quarter1"/>
    <s v="Quarter2"/>
    <s v="Qtr_2"/>
    <x v="4"/>
    <d v="2025-01-01T00:00:00"/>
    <d v="2025-01-31T00:00:00"/>
    <x v="2"/>
    <x v="23"/>
    <n v="0"/>
    <n v="12"/>
    <n v="1"/>
    <n v="0"/>
    <n v="0"/>
    <n v="11"/>
    <n v="2"/>
    <n v="0"/>
    <n v="0"/>
    <n v="0"/>
    <n v="0"/>
    <n v="2"/>
    <n v="1"/>
    <n v="0"/>
    <n v="0"/>
    <n v="0"/>
    <n v="0"/>
    <n v="0"/>
    <n v="0"/>
    <n v="1"/>
    <n v="0"/>
  </r>
  <r>
    <n v="1324"/>
    <d v="2025-02-25T14:16:49"/>
    <d v="2025-02-25T14:17:55"/>
    <s v="tnyauti@lighthouse.org.mw"/>
    <s v="Tamala nyauti"/>
    <x v="2"/>
    <s v="Prototype"/>
    <x v="2"/>
    <s v="COP_23"/>
    <s v="COP_24"/>
    <s v="Quarter1"/>
    <s v="Quarter2"/>
    <s v="Qtr_2"/>
    <x v="4"/>
    <d v="2025-01-01T00:00:00"/>
    <d v="2025-01-31T00:00:00"/>
    <x v="4"/>
    <x v="21"/>
    <n v="0"/>
    <n v="0"/>
    <n v="0"/>
    <n v="0"/>
    <n v="0"/>
    <n v="0"/>
    <n v="0"/>
    <n v="0"/>
    <n v="0"/>
    <n v="0"/>
    <n v="0"/>
    <n v="0"/>
    <n v="0"/>
    <n v="0"/>
    <n v="0"/>
    <n v="0"/>
    <n v="0"/>
    <n v="0"/>
    <n v="0"/>
    <n v="0"/>
    <n v="0"/>
  </r>
  <r>
    <n v="1325"/>
    <d v="2025-02-25T14:17:58"/>
    <d v="2025-02-25T14:19:32"/>
    <s v="tnyauti@lighthouse.org.mw"/>
    <s v="Tamala nyauti"/>
    <x v="2"/>
    <s v="Prototype"/>
    <x v="2"/>
    <s v="COP_23"/>
    <s v="COP_24"/>
    <s v="Quarter1"/>
    <s v="Quarter2"/>
    <s v="Qtr_2"/>
    <x v="4"/>
    <d v="2025-01-01T00:00:00"/>
    <d v="2025-01-31T00:00:00"/>
    <x v="3"/>
    <x v="21"/>
    <n v="0"/>
    <n v="0"/>
    <n v="0"/>
    <n v="0"/>
    <n v="0"/>
    <n v="0"/>
    <n v="0"/>
    <n v="0"/>
    <n v="0"/>
    <n v="0"/>
    <n v="0"/>
    <n v="0"/>
    <n v="0"/>
    <n v="0"/>
    <n v="0"/>
    <n v="0"/>
    <n v="0"/>
    <n v="0"/>
    <n v="0"/>
    <n v="0"/>
    <n v="0"/>
  </r>
  <r>
    <n v="1326"/>
    <d v="2025-02-25T14:19:39"/>
    <d v="2025-02-25T14:21:10"/>
    <s v="tnyauti@lighthouse.org.mw"/>
    <s v="Tamala nyauti"/>
    <x v="2"/>
    <s v="Prototype"/>
    <x v="2"/>
    <s v="COP_23"/>
    <s v="COP_24"/>
    <s v="Quarter1"/>
    <s v="Quarter2"/>
    <s v="Qtr_2"/>
    <x v="4"/>
    <d v="2025-01-01T00:00:00"/>
    <d v="2025-01-31T00:00:00"/>
    <x v="5"/>
    <x v="21"/>
    <n v="0"/>
    <n v="0"/>
    <n v="0"/>
    <n v="0"/>
    <n v="0"/>
    <n v="0"/>
    <n v="0"/>
    <n v="0"/>
    <n v="0"/>
    <n v="0"/>
    <n v="0"/>
    <n v="0"/>
    <n v="0"/>
    <n v="0"/>
    <n v="0"/>
    <n v="0"/>
    <n v="0"/>
    <n v="0"/>
    <n v="0"/>
    <n v="0"/>
    <n v="0"/>
  </r>
  <r>
    <n v="1406"/>
    <d v="2025-03-11T13:00:57"/>
    <d v="2025-03-11T13:03:53"/>
    <s v="tnyauti@lighthouse.org.mw"/>
    <s v="Tamala nyauti"/>
    <x v="2"/>
    <s v="Prototype"/>
    <x v="2"/>
    <s v="COP_23"/>
    <s v="COP_24"/>
    <s v="Quarter1"/>
    <s v="Quarter2"/>
    <s v="Qtr_2"/>
    <x v="5"/>
    <d v="2025-02-01T00:00:00"/>
    <d v="2025-02-28T00:00:00"/>
    <x v="0"/>
    <x v="29"/>
    <n v="0"/>
    <n v="12"/>
    <n v="0"/>
    <n v="0"/>
    <n v="0"/>
    <n v="12"/>
    <n v="0"/>
    <n v="0"/>
    <n v="0"/>
    <n v="0"/>
    <n v="0"/>
    <n v="0"/>
    <n v="0"/>
    <n v="0"/>
    <n v="0"/>
    <n v="0"/>
    <n v="0"/>
    <n v="0"/>
    <n v="0"/>
    <n v="0"/>
    <n v="0"/>
  </r>
  <r>
    <n v="1407"/>
    <d v="2025-03-11T13:04:12"/>
    <d v="2025-03-11T13:06:32"/>
    <s v="tnyauti@lighthouse.org.mw"/>
    <s v="Tamala nyauti"/>
    <x v="2"/>
    <s v="Prototype"/>
    <x v="2"/>
    <s v="COP_23"/>
    <s v="COP_24"/>
    <s v="Quarter1"/>
    <s v="Quarter2"/>
    <s v="Qtr_2"/>
    <x v="5"/>
    <d v="2025-02-01T00:00:00"/>
    <d v="2025-02-28T00:00:00"/>
    <x v="2"/>
    <x v="20"/>
    <n v="0"/>
    <n v="2"/>
    <n v="0"/>
    <n v="0"/>
    <n v="0"/>
    <n v="2"/>
    <n v="0"/>
    <n v="0"/>
    <n v="0"/>
    <n v="0"/>
    <n v="0"/>
    <n v="0"/>
    <n v="0"/>
    <n v="0"/>
    <n v="0"/>
    <n v="0"/>
    <n v="0"/>
    <n v="0"/>
    <n v="0"/>
    <n v="0"/>
    <n v="0"/>
  </r>
  <r>
    <n v="1408"/>
    <d v="2025-03-11T13:06:36"/>
    <d v="2025-03-11T13:08:16"/>
    <s v="tnyauti@lighthouse.org.mw"/>
    <s v="Tamala nyauti"/>
    <x v="2"/>
    <s v="Prototype"/>
    <x v="2"/>
    <s v="COP_23"/>
    <s v="COP_24"/>
    <s v="Quarter1"/>
    <s v="Quarter2"/>
    <s v="Qtr_2"/>
    <x v="5"/>
    <d v="2025-02-01T00:00:00"/>
    <d v="2025-02-28T00:00:00"/>
    <x v="1"/>
    <x v="49"/>
    <n v="0"/>
    <n v="10"/>
    <n v="0"/>
    <n v="0"/>
    <n v="0"/>
    <n v="10"/>
    <n v="0"/>
    <n v="0"/>
    <n v="0"/>
    <n v="0"/>
    <n v="0"/>
    <n v="0"/>
    <n v="0"/>
    <n v="0"/>
    <n v="0"/>
    <n v="0"/>
    <n v="0"/>
    <n v="0"/>
    <n v="0"/>
    <n v="0"/>
    <n v="0"/>
  </r>
  <r>
    <n v="1409"/>
    <d v="2025-03-11T13:08:18"/>
    <d v="2025-03-11T13:09:46"/>
    <s v="tnyauti@lighthouse.org.mw"/>
    <s v="Tamala nyauti"/>
    <x v="2"/>
    <s v="Prototype"/>
    <x v="2"/>
    <s v="COP_23"/>
    <s v="COP_24"/>
    <s v="Quarter1"/>
    <s v="Quarter2"/>
    <s v="Qtr_2"/>
    <x v="5"/>
    <d v="2025-02-01T00:00:00"/>
    <d v="2025-02-28T00:00:00"/>
    <x v="4"/>
    <x v="21"/>
    <n v="0"/>
    <n v="0"/>
    <n v="0"/>
    <n v="0"/>
    <n v="0"/>
    <n v="0"/>
    <n v="0"/>
    <n v="0"/>
    <n v="0"/>
    <n v="0"/>
    <n v="0"/>
    <n v="0"/>
    <n v="0"/>
    <n v="0"/>
    <n v="0"/>
    <n v="0"/>
    <n v="0"/>
    <n v="0"/>
    <n v="0"/>
    <n v="0"/>
    <n v="0"/>
  </r>
  <r>
    <n v="1410"/>
    <d v="2025-03-11T13:09:49"/>
    <d v="2025-03-11T13:11:22"/>
    <s v="tnyauti@lighthouse.org.mw"/>
    <s v="Tamala nyauti"/>
    <x v="2"/>
    <s v="Prototype"/>
    <x v="2"/>
    <s v="COP_23"/>
    <s v="COP_24"/>
    <s v="Quarter1"/>
    <s v="Quarter2"/>
    <s v="Qtr_2"/>
    <x v="5"/>
    <d v="2025-02-01T00:00:00"/>
    <d v="2025-02-28T00:00:00"/>
    <x v="3"/>
    <x v="21"/>
    <n v="0"/>
    <n v="0"/>
    <n v="0"/>
    <n v="0"/>
    <n v="0"/>
    <n v="0"/>
    <n v="0"/>
    <n v="0"/>
    <n v="0"/>
    <n v="0"/>
    <n v="0"/>
    <n v="0"/>
    <n v="0"/>
    <n v="0"/>
    <n v="0"/>
    <n v="0"/>
    <n v="0"/>
    <n v="0"/>
    <n v="0"/>
    <n v="0"/>
    <n v="0"/>
  </r>
  <r>
    <n v="1411"/>
    <d v="2025-03-11T13:11:25"/>
    <d v="2025-03-11T13:12:54"/>
    <s v="tnyauti@lighthouse.org.mw"/>
    <s v="Tamala nyauti"/>
    <x v="2"/>
    <s v="Prototype"/>
    <x v="2"/>
    <s v="COP_23"/>
    <s v="COP_24"/>
    <s v="Quarter1"/>
    <s v="Quarter2"/>
    <s v="Qtr_2"/>
    <x v="5"/>
    <d v="2025-02-01T00:00:00"/>
    <d v="2025-02-28T00:00:00"/>
    <x v="5"/>
    <x v="21"/>
    <n v="0"/>
    <n v="0"/>
    <n v="0"/>
    <n v="0"/>
    <n v="0"/>
    <n v="0"/>
    <n v="0"/>
    <n v="0"/>
    <n v="0"/>
    <n v="0"/>
    <n v="0"/>
    <n v="0"/>
    <n v="0"/>
    <n v="0"/>
    <n v="0"/>
    <n v="0"/>
    <n v="0"/>
    <n v="0"/>
    <n v="0"/>
    <n v="0"/>
    <n v="0"/>
  </r>
  <r>
    <n v="1497"/>
    <d v="2025-04-03T14:01:03"/>
    <d v="2025-04-03T14:15:55"/>
    <s v="tnyauti@lighthouse.org.mw"/>
    <s v="Tamala nyauti"/>
    <x v="2"/>
    <s v="Prototype"/>
    <x v="2"/>
    <s v="COP_23"/>
    <s v="COP_24"/>
    <s v="Quarter1"/>
    <s v="Quarter2"/>
    <s v="Qtr_2"/>
    <x v="3"/>
    <d v="2025-03-01T00:00:00"/>
    <d v="2025-03-31T00:00:00"/>
    <x v="0"/>
    <x v="2"/>
    <n v="4"/>
    <n v="24"/>
    <n v="2"/>
    <n v="3"/>
    <n v="1"/>
    <n v="30"/>
    <n v="10"/>
    <n v="10"/>
    <n v="0"/>
    <n v="0"/>
    <n v="0"/>
    <n v="10"/>
    <n v="5"/>
    <n v="0"/>
    <n v="0"/>
    <n v="0"/>
    <n v="0"/>
    <n v="0"/>
    <n v="0"/>
    <n v="5"/>
    <n v="0"/>
  </r>
  <r>
    <n v="1498"/>
    <d v="2025-04-03T14:16:02"/>
    <d v="2025-04-03T14:19:00"/>
    <s v="tnyauti@lighthouse.org.mw"/>
    <s v="Tamala nyauti"/>
    <x v="2"/>
    <s v="Prototype"/>
    <x v="2"/>
    <s v="COP_23"/>
    <s v="COP_24"/>
    <s v="Quarter1"/>
    <s v="Quarter2"/>
    <s v="Qtr_2"/>
    <x v="3"/>
    <d v="2025-03-01T00:00:00"/>
    <d v="2025-03-31T00:00:00"/>
    <x v="1"/>
    <x v="29"/>
    <n v="1"/>
    <n v="10"/>
    <n v="0"/>
    <n v="2"/>
    <n v="0"/>
    <n v="12"/>
    <n v="3"/>
    <n v="3"/>
    <n v="0"/>
    <n v="0"/>
    <n v="0"/>
    <n v="3"/>
    <n v="2"/>
    <n v="0"/>
    <n v="0"/>
    <n v="0"/>
    <n v="0"/>
    <n v="0"/>
    <n v="0"/>
    <n v="2"/>
    <n v="0"/>
  </r>
  <r>
    <n v="1499"/>
    <d v="2025-04-03T14:19:04"/>
    <d v="2025-04-03T14:24:08"/>
    <s v="tnyauti@lighthouse.org.mw"/>
    <s v="Tamala nyauti"/>
    <x v="2"/>
    <s v="Prototype"/>
    <x v="2"/>
    <s v="COP_23"/>
    <s v="COP_24"/>
    <s v="Quarter1"/>
    <s v="Quarter2"/>
    <s v="Qtr_2"/>
    <x v="3"/>
    <d v="2025-03-01T00:00:00"/>
    <d v="2025-03-31T00:00:00"/>
    <x v="2"/>
    <x v="60"/>
    <n v="3"/>
    <n v="14"/>
    <n v="2"/>
    <n v="1"/>
    <n v="1"/>
    <n v="18"/>
    <n v="7"/>
    <n v="7"/>
    <n v="0"/>
    <n v="0"/>
    <n v="0"/>
    <n v="7"/>
    <n v="4"/>
    <n v="0"/>
    <n v="0"/>
    <n v="0"/>
    <n v="0"/>
    <n v="0"/>
    <n v="0"/>
    <n v="3"/>
    <n v="0"/>
  </r>
  <r>
    <n v="1500"/>
    <d v="2025-04-03T14:24:12"/>
    <d v="2025-04-03T14:26:47"/>
    <s v="tnyauti@lighthouse.org.mw"/>
    <s v="Tamala nyauti"/>
    <x v="2"/>
    <s v="Prototype"/>
    <x v="2"/>
    <s v="COP_23"/>
    <s v="COP_24"/>
    <s v="Quarter1"/>
    <s v="Quarter2"/>
    <s v="Qtr_2"/>
    <x v="3"/>
    <d v="2025-03-01T00:00:00"/>
    <d v="2025-03-31T00:00:00"/>
    <x v="4"/>
    <x v="21"/>
    <n v="0"/>
    <n v="0"/>
    <n v="0"/>
    <n v="0"/>
    <n v="0"/>
    <n v="0"/>
    <n v="0"/>
    <n v="0"/>
    <n v="0"/>
    <n v="0"/>
    <n v="0"/>
    <n v="0"/>
    <n v="0"/>
    <n v="0"/>
    <n v="0"/>
    <n v="0"/>
    <n v="0"/>
    <n v="0"/>
    <n v="0"/>
    <n v="0"/>
    <n v="0"/>
  </r>
  <r>
    <n v="1501"/>
    <d v="2025-04-03T14:27:18"/>
    <d v="2025-04-03T14:28:45"/>
    <s v="tnyauti@lighthouse.org.mw"/>
    <s v="Tamala nyauti"/>
    <x v="2"/>
    <s v="Prototype"/>
    <x v="2"/>
    <s v="COP_23"/>
    <s v="COP_24"/>
    <s v="Quarter1"/>
    <s v="Quarter2"/>
    <s v="Qtr_2"/>
    <x v="3"/>
    <d v="2025-03-01T00:00:00"/>
    <d v="2025-03-31T00:00:00"/>
    <x v="5"/>
    <x v="21"/>
    <n v="0"/>
    <n v="0"/>
    <n v="0"/>
    <n v="0"/>
    <n v="0"/>
    <n v="0"/>
    <n v="0"/>
    <n v="0"/>
    <n v="0"/>
    <n v="0"/>
    <n v="0"/>
    <n v="0"/>
    <n v="0"/>
    <n v="0"/>
    <n v="0"/>
    <n v="0"/>
    <n v="0"/>
    <n v="0"/>
    <n v="0"/>
    <n v="0"/>
    <n v="0"/>
  </r>
  <r>
    <n v="1502"/>
    <d v="2025-04-03T14:28:49"/>
    <d v="2025-04-03T14:32:10"/>
    <s v="tnyauti@lighthouse.org.mw"/>
    <s v="Tamala nyauti"/>
    <x v="2"/>
    <s v="Prototype"/>
    <x v="2"/>
    <s v="COP_24"/>
    <s v="COP_24"/>
    <s v="Quarter1"/>
    <s v="Quarter2"/>
    <s v="Qtr_2"/>
    <x v="3"/>
    <d v="2025-03-01T00:00:00"/>
    <d v="2025-03-31T00:00:00"/>
    <x v="3"/>
    <x v="21"/>
    <n v="0"/>
    <n v="0"/>
    <n v="0"/>
    <n v="0"/>
    <n v="0"/>
    <n v="0"/>
    <n v="0"/>
    <n v="0"/>
    <n v="0"/>
    <n v="0"/>
    <n v="0"/>
    <n v="0"/>
    <n v="0"/>
    <n v="0"/>
    <n v="0"/>
    <n v="0"/>
    <n v="0"/>
    <n v="0"/>
    <n v="0"/>
    <n v="0"/>
    <n v="0"/>
  </r>
  <r>
    <n v="1705"/>
    <d v="2025-07-01T08:45:34"/>
    <d v="2025-07-01T09:05:12"/>
    <s v="tnyauti@lighthouse.org.mw"/>
    <s v="Tamala nyauti"/>
    <x v="2"/>
    <s v="Prototype"/>
    <x v="2"/>
    <s v="COP_23"/>
    <m/>
    <s v="Quarter2"/>
    <s v="Quarter3"/>
    <m/>
    <x v="7"/>
    <d v="2025-04-01T00:00:00"/>
    <d v="2025-04-30T00:00:00"/>
    <x v="0"/>
    <x v="40"/>
    <n v="3"/>
    <n v="34"/>
    <n v="0"/>
    <n v="1"/>
    <n v="2"/>
    <n v="34"/>
    <n v="11"/>
    <n v="11"/>
    <n v="0"/>
    <n v="0"/>
    <n v="0"/>
    <n v="11"/>
    <n v="5"/>
    <n v="0"/>
    <n v="0"/>
    <n v="0"/>
    <n v="0"/>
    <n v="0"/>
    <n v="0"/>
    <n v="5"/>
    <n v="0"/>
  </r>
  <r>
    <n v="1708"/>
    <d v="2025-07-01T10:32:56"/>
    <d v="2025-07-01T10:33:35"/>
    <s v="tnyauti@lighthouse.org.mw"/>
    <s v="Tamala nyauti"/>
    <x v="2"/>
    <s v="Prototype"/>
    <x v="2"/>
    <s v="COP_23"/>
    <m/>
    <s v="Quarter2"/>
    <s v="Quarter3"/>
    <m/>
    <x v="7"/>
    <d v="2025-04-01T00:00:00"/>
    <d v="2025-04-30T00:00:00"/>
    <x v="1"/>
    <x v="42"/>
    <n v="1"/>
    <n v="13"/>
    <n v="0"/>
    <n v="0"/>
    <n v="1"/>
    <n v="14"/>
    <n v="5"/>
    <n v="5"/>
    <n v="0"/>
    <n v="0"/>
    <n v="0"/>
    <n v="5"/>
    <n v="1"/>
    <n v="0"/>
    <n v="0"/>
    <n v="0"/>
    <n v="0"/>
    <n v="0"/>
    <n v="0"/>
    <n v="1"/>
    <n v="0"/>
  </r>
  <r>
    <n v="1709"/>
    <d v="2025-07-01T10:33:40"/>
    <d v="2025-07-01T10:37:00"/>
    <s v="tnyauti@lighthouse.org.mw"/>
    <s v="Tamala nyauti"/>
    <x v="2"/>
    <s v="Prototype"/>
    <x v="2"/>
    <s v="COP_23"/>
    <m/>
    <s v="Quarter2"/>
    <s v="Quarter3"/>
    <m/>
    <x v="7"/>
    <d v="2025-04-01T00:00:00"/>
    <d v="2025-04-30T00:00:00"/>
    <x v="3"/>
    <x v="18"/>
    <n v="0"/>
    <n v="0"/>
    <n v="0"/>
    <n v="0"/>
    <n v="1"/>
    <n v="1"/>
    <n v="1"/>
    <n v="1"/>
    <n v="0"/>
    <n v="0"/>
    <n v="0"/>
    <n v="1"/>
    <n v="1"/>
    <n v="0"/>
    <n v="0"/>
    <n v="0"/>
    <n v="0"/>
    <n v="0"/>
    <n v="0"/>
    <n v="1"/>
    <n v="0"/>
  </r>
  <r>
    <n v="1710"/>
    <d v="2025-07-01T10:37:03"/>
    <d v="2025-07-01T10:39:03"/>
    <s v="tnyauti@lighthouse.org.mw"/>
    <s v="Tamala nyauti"/>
    <x v="2"/>
    <s v="Prototype"/>
    <x v="2"/>
    <s v="COP_23"/>
    <m/>
    <s v="Quarter2"/>
    <s v="Quarter3"/>
    <m/>
    <x v="7"/>
    <d v="2025-04-01T00:00:00"/>
    <d v="2025-04-30T00:00:00"/>
    <x v="4"/>
    <x v="21"/>
    <n v="0"/>
    <n v="0"/>
    <n v="0"/>
    <n v="0"/>
    <n v="0"/>
    <n v="0"/>
    <n v="0"/>
    <n v="0"/>
    <n v="0"/>
    <n v="0"/>
    <n v="0"/>
    <n v="0"/>
    <n v="0"/>
    <n v="0"/>
    <n v="0"/>
    <n v="0"/>
    <n v="0"/>
    <n v="0"/>
    <n v="0"/>
    <n v="0"/>
    <n v="0"/>
  </r>
  <r>
    <n v="1711"/>
    <d v="2025-07-01T10:39:13"/>
    <d v="2025-07-01T10:42:18"/>
    <s v="tnyauti@lighthouse.org.mw"/>
    <s v="Tamala nyauti"/>
    <x v="2"/>
    <s v="Prototype"/>
    <x v="2"/>
    <s v="COP_23"/>
    <m/>
    <s v="Quarter2"/>
    <s v="Quarter3"/>
    <m/>
    <x v="7"/>
    <d v="2025-04-01T00:00:00"/>
    <d v="2025-04-30T00:00:00"/>
    <x v="5"/>
    <x v="20"/>
    <n v="1"/>
    <n v="2"/>
    <n v="0"/>
    <n v="0"/>
    <n v="0"/>
    <n v="2"/>
    <n v="2"/>
    <n v="2"/>
    <n v="0"/>
    <n v="0"/>
    <n v="0"/>
    <n v="2"/>
    <n v="2"/>
    <n v="0"/>
    <n v="0"/>
    <n v="0"/>
    <n v="0"/>
    <n v="0"/>
    <n v="0"/>
    <n v="2"/>
    <n v="0"/>
  </r>
  <r>
    <n v="1712"/>
    <d v="2025-07-01T10:42:24"/>
    <d v="2025-07-01T10:52:27"/>
    <s v="tnyauti@lighthouse.org.mw"/>
    <s v="Tamala nyauti"/>
    <x v="2"/>
    <s v="Prototype"/>
    <x v="2"/>
    <s v="COP_23"/>
    <m/>
    <s v="Quarter2"/>
    <s v="Quarter3"/>
    <m/>
    <x v="7"/>
    <d v="2025-04-01T00:00:00"/>
    <d v="2025-04-30T00:00:00"/>
    <x v="2"/>
    <x v="17"/>
    <n v="2"/>
    <n v="22"/>
    <n v="0"/>
    <n v="0"/>
    <n v="1"/>
    <n v="23"/>
    <n v="6"/>
    <n v="6"/>
    <n v="0"/>
    <n v="0"/>
    <n v="0"/>
    <n v="6"/>
    <n v="4"/>
    <n v="0"/>
    <n v="0"/>
    <n v="0"/>
    <n v="0"/>
    <n v="0"/>
    <n v="0"/>
    <n v="4"/>
    <n v="0"/>
  </r>
  <r>
    <n v="1713"/>
    <d v="2025-07-01T15:53:51"/>
    <d v="2025-07-01T15:54:42"/>
    <s v="tnyauti@lighthouse.org.mw"/>
    <s v="Tamala nyauti"/>
    <x v="2"/>
    <s v="Prototype"/>
    <x v="2"/>
    <s v="COP_23"/>
    <m/>
    <s v="Quarter2"/>
    <s v="Quarter3"/>
    <m/>
    <x v="7"/>
    <d v="2025-04-01T00:00:00"/>
    <d v="2025-04-30T00:00:00"/>
    <x v="2"/>
    <x v="51"/>
    <n v="2"/>
    <n v="14"/>
    <n v="1"/>
    <n v="2"/>
    <n v="0"/>
    <n v="17"/>
    <n v="4"/>
    <n v="4"/>
    <n v="0"/>
    <n v="0"/>
    <n v="0"/>
    <n v="4"/>
    <n v="3"/>
    <n v="0"/>
    <n v="0"/>
    <n v="0"/>
    <n v="0"/>
    <n v="0"/>
    <n v="0"/>
    <n v="3"/>
    <n v="0"/>
  </r>
  <r>
    <n v="1714"/>
    <d v="2025-07-01T15:54:49"/>
    <d v="2025-07-01T16:05:15"/>
    <s v="tnyauti@lighthouse.org.mw"/>
    <s v="Tamala nyauti"/>
    <x v="2"/>
    <s v="Prototype"/>
    <x v="2"/>
    <s v="COP_23"/>
    <m/>
    <s v="Quarter2"/>
    <s v="Quarter3"/>
    <m/>
    <x v="7"/>
    <d v="2025-04-01T00:00:00"/>
    <d v="2025-04-30T00:00:00"/>
    <x v="4"/>
    <x v="20"/>
    <n v="0"/>
    <n v="1"/>
    <n v="0"/>
    <n v="1"/>
    <n v="0"/>
    <n v="2"/>
    <n v="1"/>
    <n v="1"/>
    <n v="0"/>
    <n v="0"/>
    <n v="0"/>
    <n v="1"/>
    <n v="1"/>
    <n v="0"/>
    <n v="0"/>
    <n v="0"/>
    <n v="0"/>
    <n v="0"/>
    <n v="0"/>
    <n v="1"/>
    <n v="0"/>
  </r>
  <r>
    <n v="1715"/>
    <d v="2025-07-01T16:05:36"/>
    <d v="2025-07-01T16:08:56"/>
    <s v="tnyauti@lighthouse.org.mw"/>
    <s v="Tamala nyauti"/>
    <x v="2"/>
    <s v="Prototype"/>
    <x v="2"/>
    <s v="COP_23"/>
    <m/>
    <s v="Quarter2"/>
    <s v="Quarter3"/>
    <m/>
    <x v="7"/>
    <d v="2025-04-01T00:00:00"/>
    <d v="2025-04-30T00:00:00"/>
    <x v="3"/>
    <x v="20"/>
    <n v="0"/>
    <n v="2"/>
    <n v="0"/>
    <n v="0"/>
    <n v="0"/>
    <n v="2"/>
    <n v="1"/>
    <n v="1"/>
    <n v="0"/>
    <n v="0"/>
    <n v="0"/>
    <n v="1"/>
    <n v="1"/>
    <n v="0"/>
    <n v="0"/>
    <n v="0"/>
    <n v="0"/>
    <n v="0"/>
    <n v="0"/>
    <n v="1"/>
    <n v="0"/>
  </r>
  <r>
    <n v="1716"/>
    <d v="2025-07-01T16:09:08"/>
    <d v="2025-07-01T16:16:39"/>
    <s v="tnyauti@lighthouse.org.mw"/>
    <s v="Tamala nyauti"/>
    <x v="2"/>
    <s v="Prototype"/>
    <x v="2"/>
    <s v="COP_23"/>
    <m/>
    <s v="Quarter2"/>
    <s v="Quarter3"/>
    <m/>
    <x v="7"/>
    <d v="2025-04-01T00:00:00"/>
    <d v="2025-04-30T00:00:00"/>
    <x v="0"/>
    <x v="41"/>
    <n v="2"/>
    <n v="31"/>
    <n v="1"/>
    <n v="2"/>
    <n v="0"/>
    <n v="34"/>
    <n v="6"/>
    <n v="6"/>
    <n v="0"/>
    <n v="0"/>
    <n v="0"/>
    <n v="5"/>
    <n v="5"/>
    <n v="0"/>
    <n v="0"/>
    <n v="0"/>
    <n v="0"/>
    <n v="0"/>
    <n v="0"/>
    <n v="5"/>
    <n v="0"/>
  </r>
  <r>
    <n v="1717"/>
    <d v="2025-07-01T16:16:45"/>
    <d v="2025-07-01T16:21:58"/>
    <s v="tnyauti@lighthouse.org.mw"/>
    <s v="Tamala nyauti"/>
    <x v="2"/>
    <s v="Prototype"/>
    <x v="2"/>
    <s v="COP_23"/>
    <m/>
    <s v="Quarter2"/>
    <s v="Quarter3"/>
    <m/>
    <x v="7"/>
    <d v="2025-04-01T00:00:00"/>
    <d v="2025-04-30T00:00:00"/>
    <x v="1"/>
    <x v="51"/>
    <n v="0"/>
    <n v="17"/>
    <n v="0"/>
    <n v="0"/>
    <n v="0"/>
    <n v="17"/>
    <n v="2"/>
    <n v="2"/>
    <n v="0"/>
    <n v="0"/>
    <n v="0"/>
    <n v="2"/>
    <n v="2"/>
    <n v="0"/>
    <n v="0"/>
    <n v="0"/>
    <n v="0"/>
    <n v="0"/>
    <n v="0"/>
    <n v="2"/>
    <n v="0"/>
  </r>
  <r>
    <n v="1718"/>
    <d v="2025-07-01T16:22:07"/>
    <d v="2025-07-01T16:24:55"/>
    <s v="tnyauti@lighthouse.org.mw"/>
    <s v="Tamala nyauti"/>
    <x v="2"/>
    <s v="Prototype"/>
    <x v="2"/>
    <s v="COP_23"/>
    <m/>
    <s v="Quarter2"/>
    <s v="Quarter3"/>
    <m/>
    <x v="7"/>
    <d v="2025-04-01T00:00:00"/>
    <d v="2025-04-30T00:00:00"/>
    <x v="5"/>
    <x v="21"/>
    <n v="0"/>
    <n v="0"/>
    <n v="0"/>
    <n v="0"/>
    <n v="0"/>
    <n v="0"/>
    <n v="0"/>
    <n v="0"/>
    <n v="0"/>
    <n v="0"/>
    <n v="0"/>
    <n v="0"/>
    <n v="0"/>
    <n v="0"/>
    <n v="0"/>
    <n v="0"/>
    <n v="0"/>
    <n v="0"/>
    <n v="0"/>
    <n v="0"/>
    <n v="0"/>
  </r>
  <r>
    <n v="1778"/>
    <d v="2025-07-09T16:33:01"/>
    <d v="2025-07-09T16:37:31"/>
    <s v="tnyauti@lighthouse.org.mw"/>
    <s v="Tamala nyauti"/>
    <x v="2"/>
    <s v="Prototype"/>
    <x v="2"/>
    <s v="COP_23"/>
    <m/>
    <s v="Quarter2"/>
    <s v="Quarter3"/>
    <m/>
    <x v="8"/>
    <d v="2025-06-01T00:00:00"/>
    <d v="2025-06-30T00:00:00"/>
    <x v="2"/>
    <x v="23"/>
    <n v="0"/>
    <n v="11"/>
    <n v="1"/>
    <n v="1"/>
    <n v="0"/>
    <n v="13"/>
    <n v="3"/>
    <n v="3"/>
    <n v="0"/>
    <n v="0"/>
    <n v="0"/>
    <n v="3"/>
    <n v="1"/>
    <n v="0"/>
    <n v="0"/>
    <n v="0"/>
    <n v="0"/>
    <n v="0"/>
    <n v="0"/>
    <n v="1"/>
    <n v="0"/>
  </r>
  <r>
    <n v="1779"/>
    <d v="2025-07-09T16:37:36"/>
    <d v="2025-07-09T16:40:25"/>
    <s v="tnyauti@lighthouse.org.mw"/>
    <s v="Tamala nyauti"/>
    <x v="2"/>
    <s v="Prototype"/>
    <x v="2"/>
    <s v="COP_23"/>
    <m/>
    <s v="Quarter2"/>
    <s v="Quarter3"/>
    <m/>
    <x v="8"/>
    <d v="2025-06-01T00:00:00"/>
    <d v="2025-06-30T00:00:00"/>
    <x v="5"/>
    <x v="18"/>
    <n v="0"/>
    <n v="1"/>
    <n v="0"/>
    <n v="0"/>
    <n v="0"/>
    <n v="1"/>
    <n v="0"/>
    <n v="0"/>
    <n v="0"/>
    <n v="0"/>
    <n v="0"/>
    <n v="0"/>
    <n v="0"/>
    <n v="0"/>
    <n v="0"/>
    <n v="0"/>
    <n v="0"/>
    <n v="0"/>
    <n v="0"/>
    <n v="0"/>
    <n v="0"/>
  </r>
  <r>
    <n v="1780"/>
    <d v="2025-07-09T16:40:31"/>
    <d v="2025-07-09T16:48:07"/>
    <s v="tnyauti@lighthouse.org.mw"/>
    <s v="Tamala nyauti"/>
    <x v="2"/>
    <s v="Prototype"/>
    <x v="2"/>
    <s v="COP_23"/>
    <m/>
    <s v="Quarter2"/>
    <s v="Quarter3"/>
    <m/>
    <x v="8"/>
    <d v="2025-06-01T00:00:00"/>
    <d v="2025-06-30T00:00:00"/>
    <x v="3"/>
    <x v="21"/>
    <n v="0"/>
    <n v="0"/>
    <n v="0"/>
    <n v="0"/>
    <n v="0"/>
    <n v="0"/>
    <n v="0"/>
    <n v="0"/>
    <n v="0"/>
    <n v="0"/>
    <n v="0"/>
    <n v="0"/>
    <n v="0"/>
    <n v="0"/>
    <n v="0"/>
    <n v="0"/>
    <n v="0"/>
    <n v="0"/>
    <n v="0"/>
    <n v="0"/>
    <n v="0"/>
  </r>
  <r>
    <n v="1781"/>
    <d v="2025-07-09T16:48:17"/>
    <d v="2025-07-09T16:50:49"/>
    <s v="tnyauti@lighthouse.org.mw"/>
    <s v="Tamala nyauti"/>
    <x v="2"/>
    <s v="Prototype"/>
    <x v="2"/>
    <s v="COP_23"/>
    <m/>
    <s v="Quarter2"/>
    <s v="Quarter3"/>
    <m/>
    <x v="8"/>
    <d v="2025-06-01T00:00:00"/>
    <d v="2025-06-30T00:00:00"/>
    <x v="4"/>
    <x v="20"/>
    <n v="0"/>
    <n v="2"/>
    <n v="0"/>
    <n v="0"/>
    <n v="0"/>
    <n v="0"/>
    <n v="2"/>
    <n v="1"/>
    <n v="1"/>
    <n v="0"/>
    <n v="0"/>
    <n v="1"/>
    <n v="1"/>
    <n v="0"/>
    <n v="0"/>
    <n v="0"/>
    <n v="0"/>
    <n v="0"/>
    <n v="0"/>
    <n v="1"/>
    <n v="0"/>
  </r>
  <r>
    <n v="1797"/>
    <d v="2025-07-10T15:41:18"/>
    <d v="2025-07-10T15:47:10"/>
    <s v="tnyauti@lighthouse.org.mw"/>
    <s v="Tamala nyauti"/>
    <x v="2"/>
    <s v="Prototype"/>
    <x v="2"/>
    <s v="COP_23"/>
    <m/>
    <s v="Quarter2"/>
    <s v="Quarter3"/>
    <m/>
    <x v="8"/>
    <d v="2025-06-01T00:00:00"/>
    <d v="2025-07-31T00:00:00"/>
    <x v="0"/>
    <x v="62"/>
    <n v="0"/>
    <n v="22"/>
    <n v="1"/>
    <n v="4"/>
    <n v="0"/>
    <n v="27"/>
    <n v="9"/>
    <n v="7"/>
    <n v="0"/>
    <n v="0"/>
    <n v="0"/>
    <n v="9"/>
    <n v="5"/>
    <n v="0"/>
    <n v="0"/>
    <n v="0"/>
    <n v="0"/>
    <n v="0"/>
    <n v="0"/>
    <n v="5"/>
    <n v="0"/>
  </r>
  <r>
    <n v="1798"/>
    <d v="2025-07-10T15:47:15"/>
    <d v="2025-07-10T15:49:41"/>
    <s v="tnyauti@lighthouse.org.mw"/>
    <s v="Tamala nyauti"/>
    <x v="2"/>
    <s v="Prototype"/>
    <x v="2"/>
    <s v="COP_23"/>
    <m/>
    <s v="Quarter2"/>
    <s v="Quarter3"/>
    <m/>
    <x v="8"/>
    <d v="2025-06-01T00:00:00"/>
    <d v="2025-07-31T00:00:00"/>
    <x v="1"/>
    <x v="42"/>
    <n v="0"/>
    <n v="11"/>
    <n v="0"/>
    <n v="3"/>
    <n v="0"/>
    <n v="14"/>
    <n v="6"/>
    <n v="4"/>
    <n v="0"/>
    <n v="0"/>
    <n v="0"/>
    <n v="6"/>
    <n v="2"/>
    <n v="0"/>
    <n v="0"/>
    <n v="0"/>
    <n v="0"/>
    <n v="0"/>
    <n v="0"/>
    <n v="4"/>
    <n v="0"/>
  </r>
  <r>
    <n v="39"/>
    <d v="2023-12-20T10:08:20"/>
    <d v="2023-12-20T10:29:06"/>
    <s v="lkaonga@lighthouse.org.mw"/>
    <s v="Lameck Kaonga"/>
    <x v="3"/>
    <s v="Prototype"/>
    <x v="0"/>
    <s v="COP_23"/>
    <s v="COP_22"/>
    <s v="Quarter3"/>
    <s v="Quarter3"/>
    <s v="Qtr_3"/>
    <x v="10"/>
    <d v="2023-08-01T00:00:00"/>
    <d v="2023-08-31T00:00:00"/>
    <x v="0"/>
    <x v="5"/>
    <n v="0"/>
    <n v="28"/>
    <n v="1"/>
    <n v="15"/>
    <n v="0"/>
    <n v="43"/>
    <n v="9"/>
    <n v="11"/>
    <n v="0"/>
    <n v="0"/>
    <n v="0"/>
    <n v="13"/>
    <n v="0"/>
    <n v="8"/>
    <n v="1"/>
    <n v="5"/>
    <n v="1"/>
    <n v="5"/>
    <n v="0"/>
    <n v="1"/>
    <n v="0"/>
  </r>
  <r>
    <n v="82"/>
    <d v="2024-01-12T08:13:54"/>
    <d v="2024-01-12T08:21:15"/>
    <s v="lkaonga@lighthouse.org.mw"/>
    <s v="Lameck Kaonga"/>
    <x v="3"/>
    <s v="Prototype"/>
    <x v="0"/>
    <s v="COP_23"/>
    <s v="COP_23"/>
    <s v="Quarter4"/>
    <s v="Quarter1"/>
    <s v="Qtr_1"/>
    <x v="11"/>
    <d v="2023-12-01T00:00:00"/>
    <d v="2023-12-30T00:00:00"/>
    <x v="0"/>
    <x v="38"/>
    <n v="11"/>
    <n v="29"/>
    <n v="0"/>
    <n v="4"/>
    <n v="3"/>
    <n v="35"/>
    <n v="11"/>
    <n v="11"/>
    <n v="0"/>
    <n v="13"/>
    <n v="2"/>
    <n v="13"/>
    <n v="2"/>
    <n v="3"/>
    <n v="3"/>
    <n v="1"/>
    <n v="0"/>
    <n v="0"/>
    <n v="0"/>
    <n v="2"/>
    <n v="0"/>
  </r>
  <r>
    <n v="40"/>
    <d v="2023-12-20T11:16:51"/>
    <d v="2023-12-20T11:17:37"/>
    <s v="lkaonga@lighthouse.org.mw"/>
    <s v="Lameck Kaonga"/>
    <x v="3"/>
    <s v="Prototype"/>
    <x v="0"/>
    <s v="COP_23"/>
    <s v="COP_22"/>
    <s v="Quarter3"/>
    <s v="Quarter4"/>
    <s v="Qtr_4"/>
    <x v="2"/>
    <d v="2023-09-01T00:00:00"/>
    <d v="2023-09-30T00:00:00"/>
    <x v="1"/>
    <x v="56"/>
    <n v="1"/>
    <n v="24"/>
    <n v="0"/>
    <n v="2"/>
    <n v="2"/>
    <n v="25"/>
    <n v="7"/>
    <n v="9"/>
    <n v="0"/>
    <n v="0"/>
    <n v="0"/>
    <n v="10"/>
    <n v="2"/>
    <n v="1"/>
    <n v="1"/>
    <n v="1"/>
    <n v="1"/>
    <n v="0"/>
    <n v="0"/>
    <n v="0"/>
    <n v="0"/>
  </r>
  <r>
    <n v="42"/>
    <d v="2023-12-20T11:18:28"/>
    <d v="2023-12-20T11:25:37"/>
    <s v="lkaonga@lighthouse.org.mw"/>
    <s v="Lameck Kaonga"/>
    <x v="3"/>
    <s v="Prototype"/>
    <x v="0"/>
    <s v="COP_23"/>
    <s v="COP_23"/>
    <s v="Quarter4"/>
    <s v="Quarter1"/>
    <s v="Qtr_1"/>
    <x v="0"/>
    <d v="2023-10-01T00:00:00"/>
    <d v="2023-10-31T00:00:00"/>
    <x v="1"/>
    <x v="0"/>
    <n v="0"/>
    <n v="28"/>
    <n v="1"/>
    <n v="6"/>
    <n v="0"/>
    <n v="33"/>
    <n v="8"/>
    <n v="12"/>
    <n v="0"/>
    <n v="1"/>
    <n v="1"/>
    <n v="8"/>
    <n v="0"/>
    <n v="2"/>
    <n v="1"/>
    <n v="1"/>
    <n v="0"/>
    <n v="1"/>
    <n v="0"/>
    <n v="0"/>
    <n v="0"/>
  </r>
  <r>
    <n v="51"/>
    <d v="2023-12-20T11:42:30"/>
    <d v="2023-12-20T11:58:11"/>
    <s v="lkaonga@lighthouse.org.mw"/>
    <s v="Lameck Kaonga"/>
    <x v="3"/>
    <s v="Prototype"/>
    <x v="0"/>
    <s v="COP_24"/>
    <s v="COP_23"/>
    <s v="Quarter4"/>
    <s v="Quarter1"/>
    <s v="Qtr_1"/>
    <x v="1"/>
    <d v="2023-11-01T00:00:00"/>
    <d v="2023-11-30T00:00:00"/>
    <x v="1"/>
    <x v="63"/>
    <n v="1"/>
    <n v="39"/>
    <n v="1"/>
    <n v="4"/>
    <n v="3"/>
    <n v="47"/>
    <n v="14"/>
    <n v="14"/>
    <n v="0"/>
    <n v="0"/>
    <n v="0"/>
    <n v="17"/>
    <n v="2"/>
    <n v="6"/>
    <n v="2"/>
    <n v="3"/>
    <n v="0"/>
    <n v="3"/>
    <n v="0"/>
    <n v="1"/>
    <n v="0"/>
  </r>
  <r>
    <n v="152"/>
    <d v="2024-02-09T09:04:19"/>
    <d v="2024-02-09T09:08:20"/>
    <s v="eadisoni@lighthouse.org.mw"/>
    <s v="Eliza adisoni"/>
    <x v="3"/>
    <s v="Prototype"/>
    <x v="1"/>
    <s v="COP_23"/>
    <s v="COP_23"/>
    <s v="Quarter1"/>
    <s v="Quarter2"/>
    <s v="Qtr_2"/>
    <x v="4"/>
    <d v="2024-02-08T00:00:00"/>
    <d v="2024-02-08T00:00:00"/>
    <x v="1"/>
    <x v="64"/>
    <n v="1"/>
    <n v="37"/>
    <n v="0"/>
    <n v="0"/>
    <n v="0"/>
    <n v="28"/>
    <n v="11"/>
    <n v="0"/>
    <n v="7"/>
    <n v="0"/>
    <n v="0"/>
    <n v="8"/>
    <n v="1"/>
    <n v="1"/>
    <n v="0"/>
    <n v="0"/>
    <n v="0"/>
    <n v="0"/>
    <n v="0"/>
    <n v="3"/>
    <n v="3"/>
  </r>
  <r>
    <n v="186"/>
    <d v="2024-04-03T13:20:07"/>
    <d v="2024-04-03T13:39:28"/>
    <s v="lkaonga@lighthouse.org.mw"/>
    <s v="Lameck Kaonga"/>
    <x v="3"/>
    <s v="Prototype"/>
    <x v="1"/>
    <s v="COP_23"/>
    <s v="COP_23"/>
    <s v="Quarter1"/>
    <s v="Quarter2"/>
    <s v="Qtr_2"/>
    <x v="3"/>
    <d v="2024-03-01T00:00:00"/>
    <d v="2024-03-31T00:00:00"/>
    <x v="1"/>
    <x v="28"/>
    <n v="1"/>
    <n v="33"/>
    <n v="4"/>
    <n v="0"/>
    <n v="3"/>
    <n v="38"/>
    <n v="10"/>
    <n v="10"/>
    <n v="0"/>
    <n v="0"/>
    <n v="0"/>
    <n v="14"/>
    <n v="3"/>
    <n v="6"/>
    <n v="0"/>
    <n v="1"/>
    <n v="1"/>
    <n v="1"/>
    <n v="0"/>
    <n v="3"/>
    <n v="0"/>
  </r>
  <r>
    <n v="373"/>
    <d v="2024-05-09T11:18:16"/>
    <d v="2024-05-09T11:26:18"/>
    <s v="lkaonga@lighthouse.org.mw"/>
    <s v="Lameck Kaonga"/>
    <x v="3"/>
    <s v="Prototype"/>
    <x v="1"/>
    <s v="COP_23"/>
    <s v="COP_23"/>
    <s v="Quarter2"/>
    <s v="Quarter3"/>
    <s v="Qtr_3"/>
    <x v="7"/>
    <d v="2024-04-01T00:00:00"/>
    <d v="2024-05-31T00:00:00"/>
    <x v="1"/>
    <x v="2"/>
    <n v="1"/>
    <n v="1"/>
    <n v="0"/>
    <n v="2"/>
    <n v="1"/>
    <n v="29"/>
    <n v="6"/>
    <n v="6"/>
    <n v="0"/>
    <n v="7"/>
    <n v="0"/>
    <n v="2"/>
    <n v="0"/>
    <n v="0"/>
    <n v="0"/>
    <n v="0"/>
    <n v="0"/>
    <n v="0"/>
    <n v="0"/>
    <n v="0"/>
    <n v="0"/>
  </r>
  <r>
    <n v="590"/>
    <d v="2024-07-10T10:43:26"/>
    <d v="2024-07-10T10:53:18"/>
    <s v="lkaonga@lighthouse.org.mw"/>
    <s v="Lameck Kaonga"/>
    <x v="3"/>
    <s v="Prototype"/>
    <x v="1"/>
    <s v="COP_23"/>
    <s v="COP_23"/>
    <s v="Quarter2"/>
    <s v="Quarter3"/>
    <s v="Qtr_3"/>
    <x v="8"/>
    <d v="2024-06-01T00:00:00"/>
    <d v="2024-06-30T00:00:00"/>
    <x v="1"/>
    <x v="29"/>
    <n v="0"/>
    <n v="7"/>
    <n v="4"/>
    <n v="1"/>
    <n v="0"/>
    <n v="11"/>
    <n v="4"/>
    <n v="0"/>
    <n v="0"/>
    <n v="0"/>
    <n v="0"/>
    <n v="0"/>
    <n v="0"/>
    <n v="0"/>
    <n v="0"/>
    <n v="0"/>
    <n v="0"/>
    <n v="0"/>
    <n v="0"/>
    <n v="0"/>
    <n v="0"/>
  </r>
  <r>
    <n v="738"/>
    <d v="2024-08-09T09:32:56"/>
    <d v="2024-08-09T09:35:49"/>
    <s v="eadisoni@lighthouse.org.mw"/>
    <s v="Eliza adisoni"/>
    <x v="3"/>
    <s v="Prototype"/>
    <x v="1"/>
    <s v="COP_23"/>
    <s v="COP_23"/>
    <s v="Quarter3"/>
    <s v="Quarter4"/>
    <s v="Qtr_4"/>
    <x v="9"/>
    <d v="2024-08-08T00:00:00"/>
    <d v="2024-08-08T00:00:00"/>
    <x v="1"/>
    <x v="41"/>
    <n v="9"/>
    <n v="31"/>
    <n v="1"/>
    <n v="1"/>
    <n v="1"/>
    <n v="0"/>
    <n v="0"/>
    <n v="6"/>
    <n v="0"/>
    <n v="0"/>
    <n v="0"/>
    <n v="1"/>
    <n v="1"/>
    <n v="0"/>
    <n v="0"/>
    <n v="0"/>
    <n v="0"/>
    <n v="0"/>
    <n v="0"/>
    <n v="1"/>
    <n v="0"/>
  </r>
  <r>
    <n v="762"/>
    <d v="2024-08-16T17:42:25"/>
    <d v="2024-08-16T17:48:59"/>
    <s v="lkaonga@lighthouse.org.mw"/>
    <s v="Lameck Kaonga"/>
    <x v="3"/>
    <s v="Prototype"/>
    <x v="1"/>
    <s v="COP_23"/>
    <s v="COP_23"/>
    <s v="Quarter1"/>
    <s v="Quarter2"/>
    <s v="Qtr_2"/>
    <x v="5"/>
    <d v="2024-02-01T00:00:00"/>
    <d v="2024-02-29T00:00:00"/>
    <x v="1"/>
    <x v="32"/>
    <n v="1"/>
    <n v="39"/>
    <n v="0"/>
    <n v="1"/>
    <n v="2"/>
    <n v="42"/>
    <n v="11"/>
    <n v="8"/>
    <n v="0"/>
    <n v="1"/>
    <n v="0"/>
    <n v="16"/>
    <n v="10"/>
    <n v="5"/>
    <n v="2"/>
    <n v="0"/>
    <n v="0"/>
    <n v="0"/>
    <n v="0"/>
    <n v="10"/>
    <n v="0"/>
  </r>
  <r>
    <n v="763"/>
    <d v="2024-08-16T17:52:57"/>
    <d v="2024-08-16T17:59:00"/>
    <s v="lkaonga@lighthouse.org.mw"/>
    <s v="Lameck Kaonga"/>
    <x v="3"/>
    <s v="Prototype"/>
    <x v="1"/>
    <s v="COP_23"/>
    <s v="COP_23"/>
    <s v="Quarter2"/>
    <s v="Quarter3"/>
    <s v="Qtr_3"/>
    <x v="6"/>
    <d v="2024-05-01T00:00:00"/>
    <d v="2024-05-31T00:00:00"/>
    <x v="1"/>
    <x v="55"/>
    <n v="0"/>
    <n v="37"/>
    <n v="4"/>
    <n v="1"/>
    <n v="0"/>
    <n v="40"/>
    <n v="10"/>
    <n v="0"/>
    <n v="0"/>
    <n v="0"/>
    <n v="0"/>
    <n v="0"/>
    <n v="0"/>
    <n v="0"/>
    <n v="0"/>
    <n v="0"/>
    <n v="0"/>
    <n v="0"/>
    <n v="0"/>
    <n v="0"/>
    <n v="0"/>
  </r>
  <r>
    <n v="829"/>
    <d v="2024-09-24T13:55:00"/>
    <d v="2024-09-24T13:57:53"/>
    <s v="eadisoni@lighthouse.org.mw"/>
    <s v="Eliza adisoni"/>
    <x v="3"/>
    <s v="Prototype"/>
    <x v="1"/>
    <s v="COP_23"/>
    <s v="COP_23"/>
    <s v="Quarter3"/>
    <s v="Quarter4"/>
    <s v="Qtr_4"/>
    <x v="10"/>
    <d v="2024-08-01T00:00:00"/>
    <d v="2024-08-30T00:00:00"/>
    <x v="1"/>
    <x v="43"/>
    <n v="0"/>
    <n v="32"/>
    <n v="0"/>
    <n v="0"/>
    <n v="0"/>
    <n v="0"/>
    <n v="12"/>
    <n v="5"/>
    <n v="0"/>
    <n v="0"/>
    <n v="0"/>
    <n v="1"/>
    <n v="0"/>
    <n v="0"/>
    <n v="0"/>
    <n v="0"/>
    <n v="0"/>
    <n v="0"/>
    <n v="0"/>
    <n v="0"/>
    <n v="0"/>
  </r>
  <r>
    <n v="976"/>
    <d v="2024-10-22T07:47:39"/>
    <d v="2024-10-22T07:58:03"/>
    <s v="lkaonga@lighthouse.org.mw"/>
    <s v="Lameck Kaonga"/>
    <x v="3"/>
    <s v="Prototype"/>
    <x v="1"/>
    <s v="COP_23"/>
    <s v="COP_23"/>
    <s v="Quarter3"/>
    <s v="Quarter4"/>
    <s v="Qtr_4"/>
    <x v="2"/>
    <d v="2024-09-01T00:00:00"/>
    <d v="2024-09-30T00:00:00"/>
    <x v="1"/>
    <x v="58"/>
    <n v="0"/>
    <n v="30"/>
    <n v="4"/>
    <n v="3"/>
    <n v="1"/>
    <n v="21"/>
    <n v="10"/>
    <n v="10"/>
    <n v="0"/>
    <n v="0"/>
    <n v="0"/>
    <n v="11"/>
    <n v="1"/>
    <n v="0"/>
    <n v="1"/>
    <n v="0"/>
    <n v="0"/>
    <n v="0"/>
    <n v="0"/>
    <n v="0"/>
    <n v="0"/>
  </r>
  <r>
    <n v="1028"/>
    <d v="2024-11-06T08:12:45"/>
    <d v="2024-11-06T08:15:25"/>
    <s v="eadisoni@lighthouse.org.mw"/>
    <s v="Eliza adisoni"/>
    <x v="3"/>
    <s v="Prototype"/>
    <x v="1"/>
    <s v="COP_23"/>
    <s v="COP_24"/>
    <s v="Quarter4"/>
    <s v="Quarter1"/>
    <s v="Qtr_1"/>
    <x v="0"/>
    <d v="2024-10-01T00:00:00"/>
    <d v="2024-10-31T00:00:00"/>
    <x v="1"/>
    <x v="38"/>
    <n v="0"/>
    <n v="30"/>
    <n v="2"/>
    <n v="3"/>
    <n v="1"/>
    <n v="31"/>
    <n v="14"/>
    <n v="0"/>
    <n v="0"/>
    <n v="0"/>
    <n v="0"/>
    <n v="3"/>
    <n v="0"/>
    <n v="0"/>
    <n v="0"/>
    <n v="0"/>
    <n v="0"/>
    <n v="0"/>
    <n v="0"/>
    <n v="0"/>
    <n v="0"/>
  </r>
  <r>
    <n v="311"/>
    <d v="2024-04-26T14:13:06"/>
    <d v="2024-04-26T14:29:07"/>
    <s v="lkaonga@lighthouse.org.mw"/>
    <s v="Lameck Kaonga"/>
    <x v="3"/>
    <s v="Prototype"/>
    <x v="1"/>
    <s v="COP_23"/>
    <s v="COP_23"/>
    <s v="Quarter1"/>
    <s v="Quarter2"/>
    <s v="Qtr_2"/>
    <x v="3"/>
    <d v="2024-03-01T00:00:00"/>
    <d v="2024-03-31T00:00:00"/>
    <x v="3"/>
    <x v="21"/>
    <n v="0"/>
    <n v="0"/>
    <n v="0"/>
    <n v="0"/>
    <n v="0"/>
    <n v="0"/>
    <n v="0"/>
    <n v="0"/>
    <n v="0"/>
    <n v="0"/>
    <n v="0"/>
    <n v="0"/>
    <n v="0"/>
    <n v="0"/>
    <n v="0"/>
    <n v="0"/>
    <n v="0"/>
    <n v="0"/>
    <n v="0"/>
    <n v="0"/>
    <n v="0"/>
  </r>
  <r>
    <n v="312"/>
    <d v="2024-04-26T14:41:46"/>
    <d v="2024-04-26T14:47:57"/>
    <s v="lkaonga@lighthouse.org.mw"/>
    <s v="Lameck Kaonga"/>
    <x v="3"/>
    <s v="Prototype"/>
    <x v="1"/>
    <s v="COP_23"/>
    <s v="COP_23"/>
    <s v="Quarter1"/>
    <s v="Quarter2"/>
    <s v="Qtr_2"/>
    <x v="3"/>
    <d v="2024-03-01T00:00:00"/>
    <d v="2024-03-31T00:00:00"/>
    <x v="4"/>
    <x v="21"/>
    <n v="0"/>
    <n v="0"/>
    <n v="0"/>
    <n v="0"/>
    <n v="0"/>
    <n v="0"/>
    <n v="0"/>
    <n v="0"/>
    <n v="0"/>
    <n v="0"/>
    <n v="0"/>
    <n v="0"/>
    <n v="0"/>
    <n v="0"/>
    <n v="0"/>
    <n v="0"/>
    <n v="0"/>
    <n v="0"/>
    <n v="0"/>
    <n v="0"/>
    <n v="0"/>
  </r>
  <r>
    <n v="313"/>
    <d v="2024-04-26T14:48:41"/>
    <d v="2024-04-26T14:49:42"/>
    <s v="lkaonga@lighthouse.org.mw"/>
    <s v="Lameck Kaonga"/>
    <x v="3"/>
    <s v="Prototype"/>
    <x v="1"/>
    <s v="COP_23"/>
    <s v="COP_23"/>
    <s v="Quarter1"/>
    <s v="Quarter2"/>
    <s v="Qtr_2"/>
    <x v="3"/>
    <d v="2024-03-01T00:00:00"/>
    <d v="2024-03-31T00:00:00"/>
    <x v="5"/>
    <x v="21"/>
    <n v="0"/>
    <n v="0"/>
    <n v="0"/>
    <n v="0"/>
    <n v="0"/>
    <n v="0"/>
    <n v="0"/>
    <n v="0"/>
    <n v="0"/>
    <n v="0"/>
    <n v="0"/>
    <n v="0"/>
    <n v="0"/>
    <n v="0"/>
    <n v="0"/>
    <n v="0"/>
    <n v="0"/>
    <n v="0"/>
    <n v="0"/>
    <n v="0"/>
    <n v="0"/>
  </r>
  <r>
    <n v="315"/>
    <d v="2024-04-26T14:52:51"/>
    <d v="2024-04-26T14:53:58"/>
    <s v="lkaonga@lighthouse.org.mw"/>
    <s v="Lameck Kaonga"/>
    <x v="3"/>
    <s v="Prototype"/>
    <x v="1"/>
    <s v="COP_23"/>
    <s v="COP_23"/>
    <s v="Quarter1"/>
    <s v="Quarter2"/>
    <s v="Qtr_2"/>
    <x v="3"/>
    <d v="2024-03-01T00:00:00"/>
    <d v="2024-03-31T00:00:00"/>
    <x v="6"/>
    <x v="21"/>
    <n v="0"/>
    <n v="0"/>
    <n v="0"/>
    <n v="0"/>
    <n v="0"/>
    <n v="0"/>
    <n v="0"/>
    <n v="0"/>
    <n v="0"/>
    <n v="0"/>
    <n v="0"/>
    <n v="0"/>
    <n v="0"/>
    <n v="0"/>
    <n v="0"/>
    <n v="0"/>
    <n v="0"/>
    <n v="0"/>
    <n v="0"/>
    <n v="0"/>
    <n v="0"/>
  </r>
  <r>
    <n v="314"/>
    <d v="2024-04-26T14:51:13"/>
    <d v="2024-04-26T14:52:43"/>
    <s v="lkaonga@lighthouse.org.mw"/>
    <s v="Lameck Kaonga"/>
    <x v="3"/>
    <s v="Prototype"/>
    <x v="1"/>
    <s v="COP_23"/>
    <s v="COP_23"/>
    <s v="Quarter1"/>
    <s v="Quarter2"/>
    <s v="Qtr_2"/>
    <x v="3"/>
    <d v="2024-03-01T00:00:00"/>
    <d v="2024-05-31T00:00:00"/>
    <x v="2"/>
    <x v="21"/>
    <n v="0"/>
    <n v="0"/>
    <n v="0"/>
    <n v="0"/>
    <n v="0"/>
    <n v="0"/>
    <n v="0"/>
    <n v="0"/>
    <n v="0"/>
    <n v="0"/>
    <n v="0"/>
    <n v="0"/>
    <n v="0"/>
    <n v="0"/>
    <n v="0"/>
    <n v="0"/>
    <n v="0"/>
    <n v="0"/>
    <n v="0"/>
    <n v="0"/>
    <n v="0"/>
  </r>
  <r>
    <n v="384"/>
    <d v="2024-05-09T14:01:19"/>
    <d v="2024-05-09T14:02:36"/>
    <s v="eadisoni@lighthouse.org.mw"/>
    <s v="Eliza adisoni"/>
    <x v="3"/>
    <s v="Prototype"/>
    <x v="1"/>
    <s v="COP_23"/>
    <s v="COP_23"/>
    <s v="Quarter2"/>
    <s v="Quarter3"/>
    <s v="Qtr_3"/>
    <x v="7"/>
    <d v="2024-05-08T00:00:00"/>
    <d v="2024-05-08T00:00:00"/>
    <x v="2"/>
    <x v="21"/>
    <n v="0"/>
    <n v="0"/>
    <n v="0"/>
    <n v="0"/>
    <n v="0"/>
    <n v="0"/>
    <n v="0"/>
    <n v="0"/>
    <n v="0"/>
    <n v="0"/>
    <n v="0"/>
    <n v="0"/>
    <n v="0"/>
    <n v="0"/>
    <n v="0"/>
    <n v="0"/>
    <n v="0"/>
    <n v="0"/>
    <n v="0"/>
    <n v="0"/>
    <n v="0"/>
  </r>
  <r>
    <n v="388"/>
    <d v="2024-05-09T14:09:04"/>
    <d v="2024-05-09T14:10:54"/>
    <s v="eadisoni@lighthouse.org.mw"/>
    <s v="Eliza adisoni"/>
    <x v="3"/>
    <s v="Prototype"/>
    <x v="1"/>
    <s v="COP_23"/>
    <s v="COP_23"/>
    <s v="Quarter1"/>
    <s v="Quarter2"/>
    <s v="Qtr_2"/>
    <x v="4"/>
    <d v="2024-02-05T00:00:00"/>
    <d v="2024-02-05T00:00:00"/>
    <x v="2"/>
    <x v="21"/>
    <n v="0"/>
    <n v="0"/>
    <n v="0"/>
    <n v="0"/>
    <n v="0"/>
    <n v="0"/>
    <n v="0"/>
    <n v="0"/>
    <n v="0"/>
    <n v="0"/>
    <n v="0"/>
    <n v="0"/>
    <n v="0"/>
    <n v="0"/>
    <n v="0"/>
    <n v="0"/>
    <n v="0"/>
    <n v="0"/>
    <n v="0"/>
    <n v="0"/>
    <n v="0"/>
  </r>
  <r>
    <n v="391"/>
    <d v="2024-05-09T14:15:00"/>
    <d v="2024-05-09T14:16:25"/>
    <s v="eadisoni@lighthouse.org.mw"/>
    <s v="Eliza adisoni"/>
    <x v="3"/>
    <s v="Prototype"/>
    <x v="1"/>
    <s v="COP_23"/>
    <s v="COP_23"/>
    <s v="Quarter1"/>
    <s v="Quarter2"/>
    <s v="Qtr_2"/>
    <x v="5"/>
    <d v="2024-03-05T00:00:00"/>
    <d v="2024-03-05T00:00:00"/>
    <x v="2"/>
    <x v="21"/>
    <n v="0"/>
    <n v="0"/>
    <n v="0"/>
    <n v="0"/>
    <n v="0"/>
    <n v="0"/>
    <n v="0"/>
    <n v="0"/>
    <n v="0"/>
    <n v="0"/>
    <n v="0"/>
    <n v="0"/>
    <n v="0"/>
    <n v="0"/>
    <n v="0"/>
    <n v="0"/>
    <n v="0"/>
    <n v="0"/>
    <n v="0"/>
    <n v="0"/>
    <n v="0"/>
  </r>
  <r>
    <n v="372"/>
    <d v="2024-05-09T11:13:46"/>
    <d v="2024-05-09T11:16:10"/>
    <s v="lkaonga@lighthouse.org.mw"/>
    <s v="Lameck Kaonga"/>
    <x v="3"/>
    <s v="Prototype"/>
    <x v="1"/>
    <s v="COP_23"/>
    <s v="COP_23"/>
    <s v="Quarter2"/>
    <s v="Quarter3"/>
    <s v="Qtr_3"/>
    <x v="7"/>
    <d v="2024-04-01T00:00:00"/>
    <d v="2024-04-30T00:00:00"/>
    <x v="0"/>
    <x v="65"/>
    <n v="1"/>
    <n v="35"/>
    <n v="0"/>
    <n v="4"/>
    <n v="1"/>
    <n v="39"/>
    <n v="8"/>
    <n v="10"/>
    <n v="0"/>
    <n v="0"/>
    <n v="0"/>
    <n v="12"/>
    <n v="0"/>
    <n v="1"/>
    <n v="0"/>
    <n v="0"/>
    <n v="0"/>
    <n v="1"/>
    <n v="0"/>
    <n v="0"/>
    <n v="0"/>
  </r>
  <r>
    <n v="396"/>
    <d v="2024-05-09T14:21:57"/>
    <d v="2024-05-09T14:23:29"/>
    <s v="eadisoni@lighthouse.org.mw"/>
    <s v="Eliza adisoni"/>
    <x v="3"/>
    <s v="Prototype"/>
    <x v="1"/>
    <s v="COP_23"/>
    <s v="COP_23"/>
    <s v="Quarter1"/>
    <s v="Quarter2"/>
    <s v="Qtr_2"/>
    <x v="3"/>
    <d v="2024-04-03T00:00:00"/>
    <d v="2024-04-03T00:00:00"/>
    <x v="2"/>
    <x v="21"/>
    <n v="0"/>
    <n v="0"/>
    <n v="0"/>
    <n v="0"/>
    <n v="0"/>
    <n v="0"/>
    <n v="0"/>
    <n v="0"/>
    <n v="0"/>
    <n v="0"/>
    <n v="0"/>
    <n v="0"/>
    <n v="0"/>
    <n v="0"/>
    <n v="0"/>
    <n v="0"/>
    <n v="0"/>
    <n v="0"/>
    <n v="0"/>
    <n v="0"/>
    <n v="0"/>
  </r>
  <r>
    <n v="734"/>
    <d v="2024-08-09T08:04:25"/>
    <d v="2024-08-09T08:18:29"/>
    <s v="eadisoni@lighthouse.org.mw"/>
    <s v="Eliza adisoni"/>
    <x v="3"/>
    <s v="Prototype"/>
    <x v="1"/>
    <s v="COP_23"/>
    <s v="COP_23"/>
    <s v="Quarter2"/>
    <s v="Quarter3"/>
    <s v="Qtr_3"/>
    <x v="8"/>
    <d v="2024-06-07T00:00:00"/>
    <d v="2024-06-07T00:00:00"/>
    <x v="2"/>
    <x v="51"/>
    <n v="0"/>
    <n v="17"/>
    <n v="0"/>
    <n v="0"/>
    <n v="0"/>
    <n v="0"/>
    <n v="4"/>
    <n v="0"/>
    <n v="0"/>
    <n v="0"/>
    <n v="0"/>
    <n v="0"/>
    <n v="0"/>
    <n v="0"/>
    <n v="0"/>
    <n v="0"/>
    <n v="0"/>
    <n v="0"/>
    <n v="0"/>
    <n v="0"/>
    <n v="0"/>
  </r>
  <r>
    <n v="740"/>
    <d v="2024-08-09T09:40:15"/>
    <d v="2024-08-09T09:43:37"/>
    <s v="eadisoni@lighthouse.org.mw"/>
    <s v="Eliza adisoni"/>
    <x v="3"/>
    <s v="Prototype"/>
    <x v="1"/>
    <s v="COP_23"/>
    <s v="COP_23"/>
    <s v="Quarter3"/>
    <s v="Quarter4"/>
    <s v="Qtr_4"/>
    <x v="9"/>
    <d v="2024-08-08T00:00:00"/>
    <d v="2024-08-08T00:00:00"/>
    <x v="2"/>
    <x v="56"/>
    <n v="0"/>
    <n v="26"/>
    <n v="1"/>
    <n v="1"/>
    <n v="0"/>
    <n v="27"/>
    <n v="6"/>
    <n v="4"/>
    <n v="0"/>
    <n v="0"/>
    <n v="0"/>
    <n v="0"/>
    <n v="0"/>
    <n v="0"/>
    <n v="0"/>
    <n v="0"/>
    <n v="0"/>
    <n v="0"/>
    <n v="0"/>
    <n v="0"/>
    <n v="0"/>
  </r>
  <r>
    <n v="381"/>
    <d v="2024-05-09T13:52:07"/>
    <d v="2024-05-09T13:56:09"/>
    <s v="eadisoni@lighthouse.org.mw"/>
    <s v="Eliza adisoni"/>
    <x v="3"/>
    <s v="Prototype"/>
    <x v="1"/>
    <s v="COP_23"/>
    <s v="COP_23"/>
    <s v="Quarter2"/>
    <s v="Quarter3"/>
    <s v="Qtr_3"/>
    <x v="7"/>
    <d v="2024-05-08T00:00:00"/>
    <d v="2024-05-08T00:00:00"/>
    <x v="4"/>
    <x v="20"/>
    <n v="0"/>
    <n v="1"/>
    <n v="0"/>
    <n v="1"/>
    <n v="0"/>
    <n v="0"/>
    <n v="2"/>
    <n v="1"/>
    <n v="0"/>
    <n v="0"/>
    <n v="0"/>
    <n v="1"/>
    <n v="0"/>
    <n v="0"/>
    <n v="0"/>
    <n v="0"/>
    <n v="0"/>
    <n v="0"/>
    <n v="0"/>
    <n v="0"/>
    <n v="0"/>
  </r>
  <r>
    <n v="382"/>
    <d v="2024-05-09T13:56:19"/>
    <d v="2024-05-09T13:58:09"/>
    <s v="eadisoni@lighthouse.org.mw"/>
    <s v="Eliza adisoni"/>
    <x v="3"/>
    <s v="Prototype"/>
    <x v="1"/>
    <s v="COP_23"/>
    <s v="COP_23"/>
    <s v="Quarter2"/>
    <s v="Quarter3"/>
    <s v="Qtr_3"/>
    <x v="7"/>
    <d v="2024-05-08T00:00:00"/>
    <d v="2024-05-08T00:00:00"/>
    <x v="3"/>
    <x v="18"/>
    <n v="0"/>
    <n v="1"/>
    <n v="0"/>
    <n v="0"/>
    <n v="0"/>
    <n v="1"/>
    <n v="0"/>
    <n v="0"/>
    <n v="0"/>
    <n v="0"/>
    <n v="0"/>
    <n v="0"/>
    <n v="0"/>
    <n v="0"/>
    <n v="0"/>
    <n v="0"/>
    <n v="0"/>
    <n v="0"/>
    <n v="0"/>
    <n v="0"/>
    <n v="0"/>
  </r>
  <r>
    <n v="383"/>
    <d v="2024-05-09T13:58:21"/>
    <d v="2024-05-09T14:01:09"/>
    <s v="eadisoni@lighthouse.org.mw"/>
    <s v="Eliza adisoni"/>
    <x v="3"/>
    <s v="Prototype"/>
    <x v="1"/>
    <s v="COP_23"/>
    <s v="COP_23"/>
    <s v="Quarter2"/>
    <s v="Quarter3"/>
    <s v="Qtr_3"/>
    <x v="7"/>
    <d v="2024-05-08T00:00:00"/>
    <d v="2024-05-08T00:00:00"/>
    <x v="5"/>
    <x v="54"/>
    <n v="0"/>
    <n v="5"/>
    <n v="0"/>
    <n v="0"/>
    <n v="0"/>
    <n v="5"/>
    <n v="0"/>
    <n v="1"/>
    <n v="0"/>
    <n v="0"/>
    <n v="0"/>
    <n v="1"/>
    <n v="0"/>
    <n v="0"/>
    <n v="0"/>
    <n v="0"/>
    <n v="0"/>
    <n v="0"/>
    <n v="0"/>
    <n v="0"/>
    <n v="0"/>
  </r>
  <r>
    <n v="833"/>
    <d v="2024-09-24T14:04:26"/>
    <d v="2024-09-24T14:06:49"/>
    <s v="eadisoni@lighthouse.org.mw"/>
    <s v="Eliza adisoni"/>
    <x v="3"/>
    <s v="Prototype"/>
    <x v="1"/>
    <s v="COP_23"/>
    <s v="COP_23"/>
    <s v="Quarter3"/>
    <s v="Quarter4"/>
    <s v="Qtr_4"/>
    <x v="10"/>
    <d v="2024-08-01T00:00:00"/>
    <d v="2024-08-30T00:00:00"/>
    <x v="2"/>
    <x v="31"/>
    <n v="0"/>
    <n v="7"/>
    <n v="0"/>
    <n v="0"/>
    <n v="0"/>
    <n v="4"/>
    <n v="3"/>
    <n v="0"/>
    <n v="0"/>
    <n v="0"/>
    <n v="0"/>
    <n v="0"/>
    <n v="0"/>
    <n v="0"/>
    <n v="0"/>
    <n v="0"/>
    <n v="0"/>
    <n v="0"/>
    <n v="0"/>
    <n v="0"/>
    <n v="0"/>
  </r>
  <r>
    <n v="385"/>
    <d v="2024-05-09T14:04:05"/>
    <d v="2024-05-09T14:06:04"/>
    <s v="eadisoni@lighthouse.org.mw"/>
    <s v="Eliza adisoni"/>
    <x v="3"/>
    <s v="Prototype"/>
    <x v="1"/>
    <s v="COP_23"/>
    <s v="COP_23"/>
    <s v="Quarter1"/>
    <s v="Quarter2"/>
    <s v="Qtr_2"/>
    <x v="4"/>
    <d v="2024-02-05T00:00:00"/>
    <d v="2024-02-05T00:00:00"/>
    <x v="3"/>
    <x v="21"/>
    <n v="0"/>
    <n v="0"/>
    <n v="0"/>
    <n v="0"/>
    <n v="0"/>
    <n v="0"/>
    <n v="0"/>
    <n v="0"/>
    <n v="0"/>
    <n v="0"/>
    <n v="0"/>
    <n v="0"/>
    <n v="0"/>
    <n v="0"/>
    <n v="0"/>
    <n v="0"/>
    <n v="0"/>
    <n v="0"/>
    <n v="0"/>
    <n v="0"/>
    <n v="0"/>
  </r>
  <r>
    <n v="386"/>
    <d v="2024-05-09T14:06:10"/>
    <d v="2024-05-09T14:07:43"/>
    <s v="eadisoni@lighthouse.org.mw"/>
    <s v="Eliza adisoni"/>
    <x v="3"/>
    <s v="Prototype"/>
    <x v="1"/>
    <s v="COP_24"/>
    <s v="COP_23"/>
    <s v="Quarter1"/>
    <s v="Quarter2"/>
    <s v="Qtr_2"/>
    <x v="4"/>
    <d v="2024-02-05T00:00:00"/>
    <d v="2024-02-05T00:00:00"/>
    <x v="4"/>
    <x v="21"/>
    <n v="0"/>
    <n v="0"/>
    <n v="0"/>
    <n v="0"/>
    <n v="0"/>
    <n v="0"/>
    <n v="0"/>
    <n v="0"/>
    <n v="0"/>
    <n v="0"/>
    <n v="0"/>
    <n v="0"/>
    <n v="0"/>
    <n v="0"/>
    <n v="0"/>
    <n v="0"/>
    <n v="0"/>
    <n v="0"/>
    <n v="0"/>
    <n v="0"/>
    <n v="0"/>
  </r>
  <r>
    <n v="387"/>
    <d v="2024-05-09T14:07:46"/>
    <d v="2024-05-09T14:08:53"/>
    <s v="eadisoni@lighthouse.org.mw"/>
    <s v="Eliza adisoni"/>
    <x v="3"/>
    <s v="Prototype"/>
    <x v="1"/>
    <s v="COP_24"/>
    <s v="COP_23"/>
    <s v="Quarter1"/>
    <s v="Quarter2"/>
    <s v="Qtr_2"/>
    <x v="4"/>
    <d v="2024-02-05T00:00:00"/>
    <d v="2024-02-05T00:00:00"/>
    <x v="5"/>
    <x v="21"/>
    <n v="0"/>
    <n v="0"/>
    <n v="0"/>
    <n v="0"/>
    <n v="0"/>
    <n v="0"/>
    <n v="0"/>
    <n v="0"/>
    <n v="0"/>
    <n v="0"/>
    <n v="0"/>
    <n v="0"/>
    <n v="0"/>
    <n v="0"/>
    <n v="0"/>
    <n v="0"/>
    <n v="0"/>
    <n v="0"/>
    <n v="0"/>
    <n v="0"/>
    <n v="0"/>
  </r>
  <r>
    <n v="978"/>
    <d v="2024-10-22T08:04:42"/>
    <d v="2024-10-22T08:31:26"/>
    <s v="lkaonga@lighthouse.org.mw"/>
    <s v="Lameck Kaonga"/>
    <x v="3"/>
    <s v="Prototype"/>
    <x v="1"/>
    <s v="COP_22"/>
    <s v="COP_23"/>
    <s v="Quarter3"/>
    <s v="Quarter4"/>
    <s v="Qtr_4"/>
    <x v="2"/>
    <d v="2024-09-01T00:00:00"/>
    <d v="2024-09-30T00:00:00"/>
    <x v="2"/>
    <x v="36"/>
    <n v="11"/>
    <n v="9"/>
    <n v="1"/>
    <n v="1"/>
    <n v="0"/>
    <n v="11"/>
    <n v="4"/>
    <n v="3"/>
    <n v="0"/>
    <n v="1"/>
    <n v="0"/>
    <n v="0"/>
    <n v="0"/>
    <n v="0"/>
    <n v="0"/>
    <n v="0"/>
    <n v="0"/>
    <n v="0"/>
    <n v="0"/>
    <n v="0"/>
    <n v="0"/>
  </r>
  <r>
    <n v="389"/>
    <d v="2024-05-09T14:11:38"/>
    <d v="2024-05-09T14:13:24"/>
    <s v="eadisoni@lighthouse.org.mw"/>
    <s v="Eliza adisoni"/>
    <x v="3"/>
    <s v="Prototype"/>
    <x v="1"/>
    <s v="COP_24"/>
    <s v="COP_23"/>
    <s v="Quarter1"/>
    <s v="Quarter2"/>
    <s v="Qtr_2"/>
    <x v="5"/>
    <d v="2024-03-05T00:00:00"/>
    <d v="2024-03-05T00:00:00"/>
    <x v="3"/>
    <x v="21"/>
    <n v="0"/>
    <n v="0"/>
    <n v="0"/>
    <n v="0"/>
    <n v="0"/>
    <n v="0"/>
    <n v="0"/>
    <n v="0"/>
    <n v="0"/>
    <n v="0"/>
    <n v="0"/>
    <n v="0"/>
    <n v="0"/>
    <n v="0"/>
    <n v="0"/>
    <n v="0"/>
    <n v="0"/>
    <n v="0"/>
    <n v="0"/>
    <n v="0"/>
    <n v="0"/>
  </r>
  <r>
    <n v="390"/>
    <d v="2024-05-09T14:13:28"/>
    <d v="2024-05-09T14:14:57"/>
    <s v="eadisoni@lighthouse.org.mw"/>
    <s v="Eliza adisoni"/>
    <x v="3"/>
    <s v="Prototype"/>
    <x v="1"/>
    <s v="COP_24"/>
    <s v="COP_23"/>
    <s v="Quarter1"/>
    <s v="Quarter2"/>
    <s v="Qtr_2"/>
    <x v="5"/>
    <d v="2024-03-05T00:00:00"/>
    <d v="2024-03-05T00:00:00"/>
    <x v="5"/>
    <x v="21"/>
    <n v="0"/>
    <n v="0"/>
    <n v="0"/>
    <n v="0"/>
    <n v="0"/>
    <n v="0"/>
    <n v="0"/>
    <n v="0"/>
    <n v="0"/>
    <n v="0"/>
    <n v="0"/>
    <n v="0"/>
    <n v="0"/>
    <n v="0"/>
    <n v="0"/>
    <n v="0"/>
    <n v="0"/>
    <n v="0"/>
    <n v="0"/>
    <n v="0"/>
    <n v="0"/>
  </r>
  <r>
    <n v="1029"/>
    <d v="2024-11-06T08:15:28"/>
    <d v="2024-11-06T08:17:35"/>
    <s v="eadisoni@lighthouse.org.mw"/>
    <s v="Eliza adisoni"/>
    <x v="3"/>
    <s v="Prototype"/>
    <x v="1"/>
    <s v="COP_24"/>
    <s v="COP_24"/>
    <s v="Quarter4"/>
    <s v="Quarter1"/>
    <s v="Qtr_1"/>
    <x v="0"/>
    <d v="2024-10-01T00:00:00"/>
    <d v="2024-10-31T00:00:00"/>
    <x v="2"/>
    <x v="56"/>
    <n v="0"/>
    <n v="28"/>
    <n v="0"/>
    <n v="0"/>
    <n v="0"/>
    <n v="28"/>
    <n v="1"/>
    <n v="0"/>
    <n v="0"/>
    <n v="0"/>
    <n v="0"/>
    <n v="0"/>
    <n v="0"/>
    <n v="0"/>
    <n v="0"/>
    <n v="0"/>
    <n v="0"/>
    <n v="0"/>
    <n v="0"/>
    <n v="0"/>
    <n v="0"/>
  </r>
  <r>
    <n v="392"/>
    <d v="2024-05-09T14:16:37"/>
    <d v="2024-05-09T14:17:42"/>
    <s v="eadisoni@lighthouse.org.mw"/>
    <s v="Eliza adisoni"/>
    <x v="3"/>
    <s v="Prototype"/>
    <x v="1"/>
    <s v="COP_24"/>
    <s v="COP_23"/>
    <s v="Quarter1"/>
    <s v="Quarter2"/>
    <s v="Qtr_2"/>
    <x v="3"/>
    <d v="2024-04-03T00:00:00"/>
    <d v="2024-04-03T00:00:00"/>
    <x v="3"/>
    <x v="21"/>
    <n v="0"/>
    <n v="0"/>
    <n v="0"/>
    <n v="0"/>
    <n v="0"/>
    <n v="0"/>
    <n v="0"/>
    <n v="0"/>
    <n v="0"/>
    <n v="0"/>
    <n v="0"/>
    <n v="0"/>
    <n v="0"/>
    <n v="0"/>
    <n v="0"/>
    <n v="0"/>
    <n v="0"/>
    <n v="0"/>
    <n v="0"/>
    <n v="0"/>
    <n v="0"/>
  </r>
  <r>
    <n v="393"/>
    <d v="2024-05-09T14:17:49"/>
    <d v="2024-05-09T14:19:11"/>
    <s v="eadisoni@lighthouse.org.mw"/>
    <s v="Eliza adisoni"/>
    <x v="3"/>
    <s v="Prototype"/>
    <x v="1"/>
    <s v="COP_24"/>
    <s v="COP_23"/>
    <s v="Quarter1"/>
    <s v="Quarter2"/>
    <s v="Qtr_2"/>
    <x v="3"/>
    <d v="2024-04-03T00:00:00"/>
    <d v="2024-04-03T00:00:00"/>
    <x v="4"/>
    <x v="21"/>
    <n v="0"/>
    <n v="0"/>
    <n v="0"/>
    <n v="0"/>
    <n v="0"/>
    <n v="0"/>
    <n v="0"/>
    <n v="0"/>
    <n v="0"/>
    <n v="0"/>
    <n v="0"/>
    <n v="0"/>
    <n v="0"/>
    <n v="0"/>
    <n v="0"/>
    <n v="0"/>
    <n v="0"/>
    <n v="0"/>
    <n v="0"/>
    <n v="0"/>
    <n v="0"/>
  </r>
  <r>
    <n v="395"/>
    <d v="2024-05-09T14:20:40"/>
    <d v="2024-05-09T14:21:53"/>
    <s v="eadisoni@lighthouse.org.mw"/>
    <s v="Eliza adisoni"/>
    <x v="3"/>
    <s v="Prototype"/>
    <x v="1"/>
    <s v="COP_24"/>
    <s v="COP_23"/>
    <s v="Quarter1"/>
    <s v="Quarter2"/>
    <s v="Qtr_2"/>
    <x v="3"/>
    <d v="2024-04-03T00:00:00"/>
    <d v="2024-04-03T00:00:00"/>
    <x v="5"/>
    <x v="21"/>
    <n v="0"/>
    <n v="0"/>
    <n v="0"/>
    <n v="0"/>
    <n v="0"/>
    <n v="0"/>
    <n v="0"/>
    <n v="0"/>
    <n v="0"/>
    <n v="0"/>
    <n v="0"/>
    <n v="0"/>
    <n v="0"/>
    <n v="0"/>
    <n v="0"/>
    <n v="0"/>
    <n v="0"/>
    <n v="0"/>
    <n v="0"/>
    <n v="0"/>
    <n v="0"/>
  </r>
  <r>
    <n v="589"/>
    <d v="2024-07-10T10:30:32"/>
    <d v="2024-07-10T10:41:26"/>
    <s v="lkaonga@lighthouse.org.mw"/>
    <s v="Lameck Kaonga"/>
    <x v="3"/>
    <s v="Prototype"/>
    <x v="1"/>
    <s v="COP_24"/>
    <s v="COP_23"/>
    <s v="Quarter2"/>
    <s v="Quarter3"/>
    <s v="Qtr_3"/>
    <x v="8"/>
    <d v="2024-06-01T00:00:00"/>
    <d v="2024-06-30T00:00:00"/>
    <x v="3"/>
    <x v="20"/>
    <n v="0"/>
    <n v="1"/>
    <n v="0"/>
    <n v="1"/>
    <n v="0"/>
    <n v="1"/>
    <n v="0"/>
    <n v="0"/>
    <n v="0"/>
    <n v="0"/>
    <n v="0"/>
    <n v="0"/>
    <n v="0"/>
    <n v="0"/>
    <n v="0"/>
    <n v="0"/>
    <n v="0"/>
    <n v="0"/>
    <n v="0"/>
    <n v="0"/>
    <n v="0"/>
  </r>
  <r>
    <n v="588"/>
    <d v="2024-07-10T10:07:41"/>
    <d v="2024-07-10T10:22:47"/>
    <s v="lkaonga@lighthouse.org.mw"/>
    <s v="Lameck Kaonga"/>
    <x v="3"/>
    <s v="Prototype"/>
    <x v="1"/>
    <s v="COP_24"/>
    <s v="COP_23"/>
    <s v="Quarter2"/>
    <s v="Quarter3"/>
    <s v="Qtr_3"/>
    <x v="8"/>
    <d v="2024-06-01T00:00:00"/>
    <d v="2024-06-30T00:00:00"/>
    <x v="0"/>
    <x v="19"/>
    <n v="0"/>
    <n v="38"/>
    <n v="4"/>
    <n v="1"/>
    <n v="0"/>
    <n v="42"/>
    <n v="10"/>
    <n v="0"/>
    <n v="0"/>
    <n v="0"/>
    <n v="0"/>
    <n v="0"/>
    <n v="0"/>
    <n v="0"/>
    <n v="0"/>
    <n v="0"/>
    <n v="0"/>
    <n v="0"/>
    <n v="0"/>
    <n v="0"/>
    <n v="0"/>
  </r>
  <r>
    <n v="591"/>
    <d v="2024-07-10T10:26:16"/>
    <d v="2024-07-10T11:05:15"/>
    <s v="lkaonga@lighthouse.org.mw"/>
    <s v="Lameck Kaonga"/>
    <x v="3"/>
    <s v="Prototype"/>
    <x v="1"/>
    <s v="COP_24"/>
    <s v="COP_23"/>
    <s v="Quarter2"/>
    <s v="Quarter3"/>
    <s v="Qtr_3"/>
    <x v="8"/>
    <d v="2024-06-01T00:00:00"/>
    <d v="2024-06-30T00:00:00"/>
    <x v="5"/>
    <x v="25"/>
    <n v="0"/>
    <n v="9"/>
    <n v="0"/>
    <n v="0"/>
    <n v="0"/>
    <n v="9"/>
    <n v="4"/>
    <n v="0"/>
    <n v="0"/>
    <n v="0"/>
    <n v="0"/>
    <n v="0"/>
    <n v="0"/>
    <n v="0"/>
    <n v="0"/>
    <n v="0"/>
    <n v="0"/>
    <n v="0"/>
    <n v="0"/>
    <n v="0"/>
    <n v="0"/>
  </r>
  <r>
    <n v="592"/>
    <d v="2024-07-10T11:16:21"/>
    <d v="2024-07-10T11:16:31"/>
    <s v="lkaonga@lighthouse.org.mw"/>
    <s v="Lameck Kaonga"/>
    <x v="3"/>
    <s v="Prototype"/>
    <x v="1"/>
    <s v="COP_24"/>
    <s v="COP_23"/>
    <s v="Quarter2"/>
    <s v="Quarter3"/>
    <s v="Qtr_3"/>
    <x v="8"/>
    <d v="2024-06-01T00:00:00"/>
    <d v="2024-06-30T00:00:00"/>
    <x v="4"/>
    <x v="30"/>
    <n v="0"/>
    <n v="3"/>
    <n v="0"/>
    <n v="0"/>
    <n v="0"/>
    <n v="1"/>
    <n v="0"/>
    <n v="0"/>
    <n v="0"/>
    <n v="0"/>
    <n v="0"/>
    <n v="0"/>
    <n v="0"/>
    <n v="0"/>
    <n v="0"/>
    <n v="0"/>
    <n v="0"/>
    <n v="0"/>
    <n v="0"/>
    <n v="0"/>
    <n v="0"/>
  </r>
  <r>
    <n v="735"/>
    <d v="2024-08-09T08:19:15"/>
    <d v="2024-08-09T08:38:08"/>
    <s v="eadisoni@lighthouse.org.mw"/>
    <s v="Eliza adisoni"/>
    <x v="3"/>
    <s v="Prototype"/>
    <x v="1"/>
    <s v="COP_22"/>
    <s v="COP_23"/>
    <s v="Quarter3"/>
    <s v="Quarter4"/>
    <s v="Qtr_4"/>
    <x v="9"/>
    <d v="2024-08-09T00:00:00"/>
    <d v="2024-08-09T00:00:00"/>
    <x v="0"/>
    <x v="45"/>
    <n v="0"/>
    <n v="83"/>
    <n v="1"/>
    <n v="3"/>
    <n v="1"/>
    <n v="81"/>
    <n v="21"/>
    <n v="14"/>
    <n v="0"/>
    <n v="0"/>
    <n v="0"/>
    <n v="1"/>
    <n v="1"/>
    <n v="4"/>
    <n v="0"/>
    <n v="0"/>
    <n v="0"/>
    <n v="1"/>
    <n v="0"/>
    <n v="1"/>
    <n v="0"/>
  </r>
  <r>
    <n v="736"/>
    <d v="2024-08-09T08:38:17"/>
    <d v="2024-08-09T08:41:12"/>
    <s v="eadisoni@lighthouse.org.mw"/>
    <s v="Eliza adisoni"/>
    <x v="3"/>
    <s v="Prototype"/>
    <x v="1"/>
    <s v="COP_22"/>
    <s v="COP_23"/>
    <s v="Quarter3"/>
    <s v="Quarter4"/>
    <s v="Qtr_4"/>
    <x v="9"/>
    <d v="2024-08-08T00:00:00"/>
    <d v="2024-08-08T00:00:00"/>
    <x v="3"/>
    <x v="20"/>
    <n v="0"/>
    <n v="1"/>
    <n v="0"/>
    <n v="1"/>
    <n v="0"/>
    <n v="0"/>
    <n v="0"/>
    <n v="2"/>
    <n v="0"/>
    <n v="0"/>
    <n v="0"/>
    <n v="0"/>
    <n v="0"/>
    <n v="0"/>
    <n v="0"/>
    <n v="0"/>
    <n v="0"/>
    <n v="0"/>
    <n v="0"/>
    <n v="0"/>
    <n v="0"/>
  </r>
  <r>
    <n v="737"/>
    <d v="2024-08-09T08:41:22"/>
    <d v="2024-08-09T09:32:52"/>
    <s v="eadisoni@lighthouse.org.mw"/>
    <s v="Eliza adisoni"/>
    <x v="3"/>
    <s v="Prototype"/>
    <x v="1"/>
    <s v="COP_22"/>
    <s v="COP_23"/>
    <s v="Quarter3"/>
    <s v="Quarter4"/>
    <s v="Qtr_4"/>
    <x v="9"/>
    <d v="2024-08-08T00:00:00"/>
    <d v="2024-08-08T00:00:00"/>
    <x v="4"/>
    <x v="31"/>
    <n v="0"/>
    <n v="7"/>
    <n v="0"/>
    <n v="0"/>
    <n v="0"/>
    <n v="0"/>
    <n v="0"/>
    <n v="1"/>
    <n v="0"/>
    <n v="0"/>
    <n v="0"/>
    <n v="0"/>
    <n v="0"/>
    <n v="0"/>
    <n v="0"/>
    <n v="0"/>
    <n v="0"/>
    <n v="0"/>
    <n v="0"/>
    <n v="0"/>
    <n v="0"/>
  </r>
  <r>
    <n v="739"/>
    <d v="2024-08-09T09:35:58"/>
    <d v="2024-08-09T09:40:12"/>
    <s v="eadisoni@lighthouse.org.mw"/>
    <s v="Eliza adisoni"/>
    <x v="3"/>
    <s v="Prototype"/>
    <x v="1"/>
    <s v="COP_22"/>
    <s v="COP_23"/>
    <s v="Quarter3"/>
    <s v="Quarter4"/>
    <s v="Qtr_4"/>
    <x v="9"/>
    <d v="2024-08-08T00:00:00"/>
    <d v="2024-08-08T00:00:00"/>
    <x v="5"/>
    <x v="44"/>
    <n v="4"/>
    <n v="16"/>
    <n v="0"/>
    <n v="0"/>
    <n v="0"/>
    <n v="5"/>
    <n v="0"/>
    <n v="4"/>
    <n v="0"/>
    <n v="0"/>
    <n v="0"/>
    <n v="0"/>
    <n v="0"/>
    <n v="0"/>
    <n v="0"/>
    <n v="0"/>
    <n v="0"/>
    <n v="0"/>
    <n v="0"/>
    <n v="0"/>
    <n v="0"/>
  </r>
  <r>
    <n v="828"/>
    <d v="2024-09-24T13:48:38"/>
    <d v="2024-09-24T13:54:54"/>
    <s v="eadisoni@lighthouse.org.mw"/>
    <s v="Eliza adisoni"/>
    <x v="3"/>
    <s v="Prototype"/>
    <x v="1"/>
    <s v="COP_22"/>
    <s v="COP_23"/>
    <s v="Quarter3"/>
    <s v="Quarter4"/>
    <s v="Qtr_4"/>
    <x v="10"/>
    <d v="2024-08-01T00:00:00"/>
    <d v="2024-08-30T00:00:00"/>
    <x v="0"/>
    <x v="4"/>
    <n v="0"/>
    <n v="43"/>
    <n v="3"/>
    <n v="2"/>
    <n v="0"/>
    <n v="23"/>
    <n v="9"/>
    <n v="0"/>
    <n v="0"/>
    <n v="0"/>
    <n v="0"/>
    <n v="2"/>
    <n v="0"/>
    <n v="1"/>
    <n v="1"/>
    <n v="0"/>
    <n v="0"/>
    <n v="0"/>
    <n v="0"/>
    <n v="0"/>
    <n v="0"/>
  </r>
  <r>
    <n v="830"/>
    <d v="2024-09-24T13:57:58"/>
    <d v="2024-09-24T14:00:06"/>
    <s v="eadisoni@lighthouse.org.mw"/>
    <s v="Eliza adisoni"/>
    <x v="3"/>
    <s v="Prototype"/>
    <x v="1"/>
    <s v="COP_22"/>
    <s v="COP_22"/>
    <s v="Quarter3"/>
    <s v="Quarter4"/>
    <s v="Qtr_4"/>
    <x v="10"/>
    <d v="2024-08-01T00:00:00"/>
    <d v="2024-08-30T00:00:00"/>
    <x v="4"/>
    <x v="20"/>
    <n v="0"/>
    <n v="2"/>
    <n v="0"/>
    <n v="0"/>
    <n v="0"/>
    <n v="1"/>
    <n v="0"/>
    <n v="0"/>
    <n v="0"/>
    <n v="0"/>
    <n v="0"/>
    <n v="0"/>
    <n v="0"/>
    <n v="0"/>
    <n v="0"/>
    <n v="0"/>
    <n v="0"/>
    <n v="0"/>
    <n v="0"/>
    <n v="0"/>
    <n v="0"/>
  </r>
  <r>
    <n v="831"/>
    <d v="2024-09-24T14:00:12"/>
    <d v="2024-09-24T14:02:05"/>
    <s v="eadisoni@lighthouse.org.mw"/>
    <s v="Eliza adisoni"/>
    <x v="3"/>
    <s v="Prototype"/>
    <x v="1"/>
    <s v="COP_23"/>
    <s v="COP_23"/>
    <s v="Quarter3"/>
    <s v="Quarter4"/>
    <s v="Qtr_4"/>
    <x v="10"/>
    <d v="2024-08-01T00:00:00"/>
    <d v="2024-08-30T00:00:00"/>
    <x v="5"/>
    <x v="30"/>
    <n v="0"/>
    <n v="3"/>
    <n v="0"/>
    <n v="0"/>
    <n v="0"/>
    <n v="0"/>
    <n v="0"/>
    <n v="0"/>
    <n v="0"/>
    <n v="0"/>
    <n v="0"/>
    <n v="0"/>
    <n v="0"/>
    <n v="0"/>
    <n v="0"/>
    <n v="0"/>
    <n v="0"/>
    <n v="0"/>
    <n v="0"/>
    <n v="0"/>
    <n v="0"/>
  </r>
  <r>
    <n v="832"/>
    <d v="2024-09-24T14:02:14"/>
    <d v="2024-09-24T14:04:18"/>
    <s v="eadisoni@lighthouse.org.mw"/>
    <s v="Eliza adisoni"/>
    <x v="3"/>
    <s v="Prototype"/>
    <x v="1"/>
    <s v="COP_23"/>
    <s v="COP_23"/>
    <s v="Quarter3"/>
    <s v="Quarter4"/>
    <s v="Qtr_4"/>
    <x v="10"/>
    <d v="2024-08-01T00:00:00"/>
    <d v="2024-08-30T00:00:00"/>
    <x v="3"/>
    <x v="18"/>
    <n v="0"/>
    <n v="0"/>
    <n v="1"/>
    <n v="0"/>
    <n v="0"/>
    <n v="0"/>
    <n v="0"/>
    <n v="0"/>
    <n v="0"/>
    <n v="0"/>
    <n v="0"/>
    <n v="0"/>
    <n v="0"/>
    <n v="1"/>
    <n v="0"/>
    <n v="0"/>
    <n v="0"/>
    <n v="0"/>
    <n v="0"/>
    <n v="0"/>
    <n v="0"/>
  </r>
  <r>
    <n v="975"/>
    <d v="2024-10-22T07:41:45"/>
    <d v="2024-10-22T07:47:29"/>
    <s v="lkaonga@lighthouse.org.mw"/>
    <s v="Lameck Kaonga"/>
    <x v="3"/>
    <s v="Prototype"/>
    <x v="1"/>
    <s v="COP_23"/>
    <s v="COP_23"/>
    <s v="Quarter3"/>
    <s v="Quarter4"/>
    <s v="Qtr_4"/>
    <x v="2"/>
    <d v="2024-09-01T00:00:00"/>
    <d v="2024-09-30T00:00:00"/>
    <x v="0"/>
    <x v="7"/>
    <n v="0"/>
    <n v="48"/>
    <n v="3"/>
    <n v="4"/>
    <n v="1"/>
    <n v="52"/>
    <n v="16"/>
    <n v="16"/>
    <n v="0"/>
    <n v="0"/>
    <n v="0"/>
    <n v="17"/>
    <n v="1"/>
    <n v="1"/>
    <n v="0"/>
    <n v="0"/>
    <n v="0"/>
    <n v="0"/>
    <n v="0"/>
    <n v="0"/>
    <n v="0"/>
  </r>
  <r>
    <n v="977"/>
    <d v="2024-10-22T07:58:57"/>
    <d v="2024-10-22T08:02:56"/>
    <s v="lkaonga@lighthouse.org.mw"/>
    <s v="Lameck Kaonga"/>
    <x v="3"/>
    <s v="Prototype"/>
    <x v="1"/>
    <s v="COP_23"/>
    <s v="COP_23"/>
    <s v="Quarter3"/>
    <s v="Quarter4"/>
    <s v="Qtr_4"/>
    <x v="2"/>
    <d v="2024-09-01T00:00:00"/>
    <d v="2024-09-30T00:00:00"/>
    <x v="5"/>
    <x v="37"/>
    <n v="0"/>
    <n v="6"/>
    <n v="0"/>
    <n v="0"/>
    <n v="0"/>
    <n v="4"/>
    <n v="2"/>
    <n v="5"/>
    <n v="0"/>
    <n v="6"/>
    <n v="0"/>
    <n v="6"/>
    <n v="0"/>
    <n v="6"/>
    <n v="0"/>
    <n v="0"/>
    <n v="0"/>
    <n v="0"/>
    <n v="0"/>
    <n v="0"/>
    <n v="0"/>
  </r>
  <r>
    <n v="979"/>
    <d v="2024-10-22T08:31:41"/>
    <d v="2024-10-22T08:36:36"/>
    <s v="lkaonga@lighthouse.org.mw"/>
    <s v="Lameck Kaonga"/>
    <x v="3"/>
    <s v="Prototype"/>
    <x v="1"/>
    <s v="COP_23"/>
    <s v="COP_23"/>
    <s v="Quarter3"/>
    <s v="Quarter4"/>
    <s v="Qtr_4"/>
    <x v="2"/>
    <d v="2024-09-01T00:00:00"/>
    <d v="2024-09-30T00:00:00"/>
    <x v="3"/>
    <x v="21"/>
    <n v="0"/>
    <n v="0"/>
    <n v="0"/>
    <n v="0"/>
    <n v="0"/>
    <n v="0"/>
    <n v="0"/>
    <n v="0"/>
    <n v="0"/>
    <n v="0"/>
    <n v="0"/>
    <n v="0"/>
    <n v="0"/>
    <n v="0"/>
    <n v="0"/>
    <n v="0"/>
    <n v="0"/>
    <n v="0"/>
    <n v="0"/>
    <n v="0"/>
    <n v="0"/>
  </r>
  <r>
    <n v="980"/>
    <d v="2024-10-22T08:42:08"/>
    <d v="2024-10-22T08:50:00"/>
    <s v="lkaonga@lighthouse.org.mw"/>
    <s v="Lameck Kaonga"/>
    <x v="3"/>
    <s v="Prototype"/>
    <x v="1"/>
    <s v="COP_23"/>
    <s v="COP_23"/>
    <s v="Quarter3"/>
    <s v="Quarter4"/>
    <s v="Qtr_4"/>
    <x v="2"/>
    <d v="2024-09-01T00:00:00"/>
    <d v="2024-09-30T00:00:00"/>
    <x v="6"/>
    <x v="21"/>
    <n v="0"/>
    <n v="0"/>
    <n v="0"/>
    <n v="0"/>
    <n v="0"/>
    <n v="0"/>
    <n v="0"/>
    <n v="0"/>
    <n v="0"/>
    <n v="0"/>
    <n v="0"/>
    <n v="0"/>
    <n v="0"/>
    <n v="0"/>
    <n v="0"/>
    <n v="0"/>
    <n v="0"/>
    <n v="0"/>
    <n v="0"/>
    <n v="0"/>
    <n v="0"/>
  </r>
  <r>
    <n v="1030"/>
    <d v="2024-11-06T08:17:43"/>
    <d v="2024-11-06T08:19:48"/>
    <s v="eadisoni@lighthouse.org.mw"/>
    <s v="Eliza adisoni"/>
    <x v="3"/>
    <s v="Prototype"/>
    <x v="1"/>
    <s v="COP_23"/>
    <s v="COP_24"/>
    <s v="Quarter4"/>
    <s v="Quarter1"/>
    <s v="Qtr_1"/>
    <x v="0"/>
    <d v="2024-10-01T00:00:00"/>
    <d v="2024-10-31T00:00:00"/>
    <x v="5"/>
    <x v="25"/>
    <n v="0"/>
    <n v="9"/>
    <n v="0"/>
    <n v="0"/>
    <n v="0"/>
    <n v="0"/>
    <n v="1"/>
    <n v="1"/>
    <n v="0"/>
    <n v="0"/>
    <n v="0"/>
    <n v="0"/>
    <n v="0"/>
    <n v="0"/>
    <n v="0"/>
    <n v="0"/>
    <n v="0"/>
    <n v="0"/>
    <n v="0"/>
    <n v="0"/>
    <n v="0"/>
  </r>
  <r>
    <n v="1031"/>
    <d v="2024-11-06T08:20:44"/>
    <d v="2024-11-06T08:22:46"/>
    <s v="eadisoni@lighthouse.org.mw"/>
    <s v="Eliza adisoni"/>
    <x v="3"/>
    <s v="Prototype"/>
    <x v="1"/>
    <s v="COP_23"/>
    <s v="COP_24"/>
    <s v="Quarter4"/>
    <s v="Quarter1"/>
    <s v="Qtr_1"/>
    <x v="0"/>
    <d v="2024-10-01T00:00:00"/>
    <d v="2024-10-30T00:00:00"/>
    <x v="3"/>
    <x v="33"/>
    <n v="0"/>
    <n v="3"/>
    <n v="0"/>
    <n v="0"/>
    <n v="1"/>
    <n v="0"/>
    <n v="0"/>
    <n v="0"/>
    <n v="0"/>
    <n v="0"/>
    <n v="0"/>
    <n v="2"/>
    <n v="0"/>
    <n v="0"/>
    <n v="0"/>
    <n v="0"/>
    <n v="0"/>
    <n v="0"/>
    <n v="0"/>
    <n v="0"/>
    <n v="0"/>
  </r>
  <r>
    <n v="1032"/>
    <d v="2024-11-06T08:24:25"/>
    <d v="2024-11-06T08:28:47"/>
    <s v="eadisoni@lighthouse.org.mw"/>
    <s v="Eliza adisoni"/>
    <x v="3"/>
    <s v="Prototype"/>
    <x v="1"/>
    <s v="COP_23"/>
    <s v="COP_24"/>
    <s v="Quarter4"/>
    <s v="Quarter1"/>
    <s v="Qtr_1"/>
    <x v="0"/>
    <d v="2024-10-01T00:00:00"/>
    <d v="2024-10-31T00:00:00"/>
    <x v="4"/>
    <x v="20"/>
    <n v="0"/>
    <n v="2"/>
    <n v="0"/>
    <n v="0"/>
    <n v="0"/>
    <n v="1"/>
    <n v="0"/>
    <n v="0"/>
    <n v="0"/>
    <n v="0"/>
    <n v="0"/>
    <n v="0"/>
    <n v="0"/>
    <n v="0"/>
    <n v="0"/>
    <n v="0"/>
    <n v="0"/>
    <n v="0"/>
    <n v="0"/>
    <n v="0"/>
    <n v="0"/>
  </r>
  <r>
    <n v="1095"/>
    <d v="2024-11-26T15:29:31"/>
    <d v="2024-11-26T15:33:28"/>
    <s v="eadisoni@lighthouse.org.mw"/>
    <s v="Eliza adisoni"/>
    <x v="3"/>
    <s v="Prototype"/>
    <x v="1"/>
    <s v="COP_23"/>
    <s v="COP_24"/>
    <s v="Quarter4"/>
    <s v="Quarter1"/>
    <s v="Qtr_1"/>
    <x v="0"/>
    <d v="2024-10-01T00:00:00"/>
    <d v="2024-10-31T00:00:00"/>
    <x v="0"/>
    <x v="66"/>
    <n v="0"/>
    <n v="75"/>
    <n v="3"/>
    <n v="3"/>
    <n v="1"/>
    <n v="77"/>
    <n v="14"/>
    <n v="17"/>
    <n v="0"/>
    <n v="0"/>
    <n v="0"/>
    <n v="8"/>
    <n v="0"/>
    <n v="0"/>
    <n v="0"/>
    <n v="0"/>
    <n v="0"/>
    <n v="0"/>
    <n v="0"/>
    <n v="0"/>
    <n v="0"/>
  </r>
  <r>
    <n v="1118"/>
    <d v="2024-12-10T07:17:35"/>
    <d v="2024-12-10T07:23:52"/>
    <s v="lkaonga@lighthouse.org.mw"/>
    <s v="Lameck Kaonga"/>
    <x v="3"/>
    <s v="Prototype"/>
    <x v="1"/>
    <s v="COP_23"/>
    <s v="COP_24"/>
    <s v="Quarter4"/>
    <s v="Quarter1"/>
    <s v="Qtr_1"/>
    <x v="1"/>
    <d v="2024-11-01T00:00:00"/>
    <d v="2024-11-30T00:00:00"/>
    <x v="0"/>
    <x v="67"/>
    <n v="0"/>
    <n v="56"/>
    <n v="1"/>
    <n v="3"/>
    <n v="0"/>
    <n v="28"/>
    <n v="7"/>
    <n v="5"/>
    <n v="0"/>
    <n v="0"/>
    <n v="0"/>
    <n v="5"/>
    <n v="0"/>
    <n v="0"/>
    <n v="0"/>
    <n v="0"/>
    <n v="0"/>
    <n v="0"/>
    <n v="0"/>
    <n v="0"/>
    <n v="0"/>
  </r>
  <r>
    <n v="1119"/>
    <d v="2024-12-10T07:24:04"/>
    <d v="2024-12-10T07:27:09"/>
    <s v="lkaonga@lighthouse.org.mw"/>
    <s v="Lameck Kaonga"/>
    <x v="3"/>
    <s v="Prototype"/>
    <x v="1"/>
    <s v="COP_23"/>
    <s v="COP_24"/>
    <s v="Quarter4"/>
    <s v="Quarter1"/>
    <s v="Qtr_1"/>
    <x v="1"/>
    <d v="2024-11-01T00:00:00"/>
    <d v="2024-11-30T00:00:00"/>
    <x v="2"/>
    <x v="25"/>
    <n v="0"/>
    <n v="18"/>
    <n v="1"/>
    <n v="0"/>
    <n v="0"/>
    <n v="6"/>
    <n v="1"/>
    <n v="1"/>
    <n v="0"/>
    <n v="0"/>
    <n v="0"/>
    <n v="0"/>
    <n v="0"/>
    <n v="0"/>
    <n v="0"/>
    <n v="0"/>
    <n v="0"/>
    <n v="0"/>
    <n v="0"/>
    <n v="0"/>
    <n v="0"/>
  </r>
  <r>
    <n v="1120"/>
    <d v="2024-12-10T07:27:51"/>
    <d v="2024-12-10T07:30:13"/>
    <s v="lkaonga@lighthouse.org.mw"/>
    <s v="Lameck Kaonga"/>
    <x v="3"/>
    <s v="Prototype"/>
    <x v="1"/>
    <s v="COP_23"/>
    <s v="COP_24"/>
    <s v="Quarter4"/>
    <s v="Quarter1"/>
    <s v="Qtr_1"/>
    <x v="1"/>
    <d v="2024-11-01T00:00:00"/>
    <d v="2024-11-30T00:00:00"/>
    <x v="1"/>
    <x v="41"/>
    <n v="0"/>
    <n v="31"/>
    <n v="0"/>
    <n v="3"/>
    <n v="0"/>
    <n v="15"/>
    <n v="6"/>
    <n v="3"/>
    <n v="0"/>
    <n v="0"/>
    <n v="0"/>
    <n v="0"/>
    <n v="0"/>
    <n v="0"/>
    <n v="0"/>
    <n v="0"/>
    <n v="0"/>
    <n v="0"/>
    <n v="0"/>
    <n v="0"/>
    <n v="0"/>
  </r>
  <r>
    <n v="1121"/>
    <d v="2024-12-10T07:44:10"/>
    <d v="2024-12-10T07:45:52"/>
    <s v="lkaonga@lighthouse.org.mw"/>
    <s v="Lameck Kaonga"/>
    <x v="3"/>
    <s v="Prototype"/>
    <x v="1"/>
    <s v="COP_23"/>
    <s v="COP_24"/>
    <s v="Quarter4"/>
    <s v="Quarter1"/>
    <s v="Qtr_1"/>
    <x v="1"/>
    <d v="2024-11-01T00:00:00"/>
    <d v="2024-11-30T00:00:00"/>
    <x v="4"/>
    <x v="21"/>
    <n v="0"/>
    <n v="0"/>
    <n v="0"/>
    <n v="0"/>
    <n v="0"/>
    <n v="0"/>
    <n v="0"/>
    <n v="0"/>
    <n v="0"/>
    <n v="0"/>
    <n v="0"/>
    <n v="0"/>
    <n v="0"/>
    <n v="0"/>
    <n v="0"/>
    <n v="0"/>
    <n v="0"/>
    <n v="0"/>
    <n v="0"/>
    <n v="0"/>
    <n v="0"/>
  </r>
  <r>
    <n v="1122"/>
    <d v="2024-12-10T07:46:10"/>
    <d v="2024-12-10T07:47:11"/>
    <s v="lkaonga@lighthouse.org.mw"/>
    <s v="Lameck Kaonga"/>
    <x v="3"/>
    <s v="Prototype"/>
    <x v="1"/>
    <s v="COP_23"/>
    <s v="COP_24"/>
    <s v="Quarter4"/>
    <s v="Quarter1"/>
    <s v="Qtr_1"/>
    <x v="1"/>
    <d v="2024-11-01T00:00:00"/>
    <d v="2024-11-30T00:00:00"/>
    <x v="3"/>
    <x v="21"/>
    <n v="0"/>
    <n v="0"/>
    <n v="0"/>
    <n v="0"/>
    <n v="0"/>
    <n v="0"/>
    <n v="0"/>
    <n v="0"/>
    <n v="0"/>
    <n v="0"/>
    <n v="0"/>
    <n v="0"/>
    <n v="0"/>
    <n v="0"/>
    <n v="0"/>
    <n v="0"/>
    <n v="0"/>
    <n v="0"/>
    <n v="0"/>
    <n v="0"/>
    <n v="0"/>
  </r>
  <r>
    <n v="1123"/>
    <d v="2024-12-10T07:47:21"/>
    <d v="2024-12-10T07:49:03"/>
    <s v="lkaonga@lighthouse.org.mw"/>
    <s v="Lameck Kaonga"/>
    <x v="3"/>
    <s v="Prototype"/>
    <x v="1"/>
    <s v="COP_23"/>
    <s v="COP_24"/>
    <s v="Quarter4"/>
    <s v="Quarter1"/>
    <s v="Qtr_1"/>
    <x v="1"/>
    <d v="2024-11-01T00:00:00"/>
    <d v="2024-11-30T00:00:00"/>
    <x v="6"/>
    <x v="21"/>
    <n v="0"/>
    <n v="0"/>
    <n v="0"/>
    <n v="0"/>
    <n v="0"/>
    <n v="0"/>
    <n v="0"/>
    <n v="0"/>
    <n v="0"/>
    <n v="0"/>
    <n v="0"/>
    <n v="0"/>
    <n v="0"/>
    <n v="0"/>
    <n v="0"/>
    <n v="0"/>
    <n v="0"/>
    <n v="0"/>
    <n v="0"/>
    <n v="0"/>
    <n v="0"/>
  </r>
  <r>
    <n v="1277"/>
    <d v="2025-01-14T16:24:06"/>
    <d v="2025-01-14T16:28:14"/>
    <s v="lkaonga@lighthouse.org.mw"/>
    <s v="Lameck Kaonga"/>
    <x v="3"/>
    <s v="Prototype"/>
    <x v="1"/>
    <s v="COP_23"/>
    <s v="COP_24"/>
    <s v="Quarter4"/>
    <s v="Quarter1"/>
    <s v="Qtr_1"/>
    <x v="11"/>
    <d v="2024-12-01T00:00:00"/>
    <d v="2024-12-31T00:00:00"/>
    <x v="1"/>
    <x v="43"/>
    <n v="0"/>
    <n v="29"/>
    <n v="0"/>
    <n v="3"/>
    <n v="0"/>
    <n v="7"/>
    <n v="3"/>
    <n v="3"/>
    <n v="0"/>
    <n v="0"/>
    <n v="0"/>
    <n v="7"/>
    <n v="0"/>
    <n v="0"/>
    <n v="0"/>
    <n v="0"/>
    <n v="0"/>
    <n v="0"/>
    <n v="0"/>
    <n v="0"/>
    <n v="0"/>
  </r>
  <r>
    <n v="1278"/>
    <d v="2025-01-14T16:28:23"/>
    <d v="2025-01-14T16:34:53"/>
    <s v="lkaonga@lighthouse.org.mw"/>
    <s v="Lameck Kaonga"/>
    <x v="3"/>
    <s v="Prototype"/>
    <x v="1"/>
    <s v="COP_23"/>
    <s v="COP_24"/>
    <s v="Quarter4"/>
    <s v="Quarter1"/>
    <s v="Qtr_1"/>
    <x v="11"/>
    <d v="2024-12-01T00:00:00"/>
    <d v="2024-12-31T00:00:00"/>
    <x v="5"/>
    <x v="16"/>
    <n v="0"/>
    <n v="20"/>
    <n v="1"/>
    <n v="0"/>
    <n v="0"/>
    <n v="1"/>
    <n v="0"/>
    <n v="1"/>
    <n v="0"/>
    <n v="0"/>
    <n v="0"/>
    <n v="6"/>
    <n v="0"/>
    <n v="0"/>
    <n v="0"/>
    <n v="0"/>
    <n v="0"/>
    <n v="0"/>
    <n v="0"/>
    <n v="0"/>
    <n v="0"/>
  </r>
  <r>
    <n v="1279"/>
    <d v="2025-01-14T16:35:24"/>
    <d v="2025-01-14T16:49:10"/>
    <s v="lkaonga@lighthouse.org.mw"/>
    <s v="Lameck Kaonga"/>
    <x v="3"/>
    <s v="Prototype"/>
    <x v="1"/>
    <s v="COP_23"/>
    <s v="COP_24"/>
    <s v="Quarter4"/>
    <s v="Quarter1"/>
    <s v="Qtr_1"/>
    <x v="11"/>
    <d v="2024-12-01T00:00:00"/>
    <d v="2024-12-31T00:00:00"/>
    <x v="5"/>
    <x v="54"/>
    <n v="0"/>
    <n v="5"/>
    <n v="0"/>
    <n v="0"/>
    <n v="0"/>
    <n v="0"/>
    <n v="0"/>
    <n v="0"/>
    <n v="0"/>
    <n v="0"/>
    <n v="0"/>
    <n v="2"/>
    <n v="0"/>
    <n v="0"/>
    <n v="0"/>
    <n v="0"/>
    <n v="0"/>
    <n v="0"/>
    <n v="0"/>
    <n v="0"/>
    <n v="0"/>
  </r>
  <r>
    <n v="1280"/>
    <d v="2025-01-14T16:50:10"/>
    <d v="2025-01-14T16:52:33"/>
    <s v="lkaonga@lighthouse.org.mw"/>
    <s v="Lameck Kaonga"/>
    <x v="3"/>
    <s v="Prototype"/>
    <x v="1"/>
    <s v="COP_23"/>
    <s v="COP_24"/>
    <s v="Quarter4"/>
    <s v="Quarter1"/>
    <s v="Qtr_1"/>
    <x v="11"/>
    <d v="2024-12-01T00:00:00"/>
    <d v="2024-12-31T00:00:00"/>
    <x v="3"/>
    <x v="20"/>
    <n v="0"/>
    <n v="2"/>
    <n v="0"/>
    <n v="0"/>
    <n v="0"/>
    <n v="0"/>
    <n v="0"/>
    <n v="0"/>
    <n v="0"/>
    <n v="0"/>
    <n v="0"/>
    <n v="0"/>
    <n v="0"/>
    <n v="0"/>
    <n v="0"/>
    <n v="0"/>
    <n v="0"/>
    <n v="0"/>
    <n v="0"/>
    <n v="0"/>
    <n v="0"/>
  </r>
  <r>
    <n v="1281"/>
    <d v="2025-01-14T16:53:37"/>
    <d v="2025-01-14T16:58:03"/>
    <s v="lkaonga@lighthouse.org.mw"/>
    <s v="Lameck Kaonga"/>
    <x v="3"/>
    <s v="Prototype"/>
    <x v="1"/>
    <s v="COP_23"/>
    <s v="COP_24"/>
    <s v="Quarter4"/>
    <s v="Quarter1"/>
    <s v="Qtr_1"/>
    <x v="11"/>
    <d v="2024-12-01T00:00:00"/>
    <d v="2024-12-31T00:00:00"/>
    <x v="4"/>
    <x v="18"/>
    <n v="0"/>
    <n v="1"/>
    <n v="0"/>
    <n v="0"/>
    <n v="0"/>
    <n v="0"/>
    <n v="0"/>
    <n v="0"/>
    <n v="0"/>
    <n v="0"/>
    <n v="0"/>
    <n v="1"/>
    <n v="0"/>
    <n v="0"/>
    <n v="0"/>
    <n v="0"/>
    <n v="0"/>
    <n v="0"/>
    <n v="0"/>
    <n v="0"/>
    <n v="0"/>
  </r>
  <r>
    <n v="1282"/>
    <d v="2025-01-14T16:58:25"/>
    <d v="2025-01-14T17:00:26"/>
    <s v="lkaonga@lighthouse.org.mw"/>
    <s v="Lameck Kaonga"/>
    <x v="3"/>
    <s v="Prototype"/>
    <x v="1"/>
    <s v="COP_23"/>
    <s v="COP_24"/>
    <s v="Quarter4"/>
    <s v="Quarter1"/>
    <s v="Qtr_1"/>
    <x v="11"/>
    <d v="2024-12-01T00:00:00"/>
    <d v="2024-12-31T00:00:00"/>
    <x v="6"/>
    <x v="21"/>
    <n v="0"/>
    <n v="0"/>
    <n v="0"/>
    <n v="0"/>
    <n v="0"/>
    <n v="0"/>
    <n v="0"/>
    <n v="0"/>
    <n v="0"/>
    <n v="0"/>
    <n v="0"/>
    <n v="0"/>
    <n v="0"/>
    <n v="0"/>
    <n v="0"/>
    <n v="0"/>
    <n v="0"/>
    <n v="0"/>
    <n v="0"/>
    <n v="0"/>
    <n v="0"/>
  </r>
  <r>
    <n v="1283"/>
    <d v="2025-01-14T17:00:42"/>
    <d v="2025-01-14T17:03:39"/>
    <s v="lkaonga@lighthouse.org.mw"/>
    <s v="Lameck Kaonga"/>
    <x v="3"/>
    <s v="Prototype"/>
    <x v="1"/>
    <s v="COP_22"/>
    <s v="COP_24"/>
    <s v="Quarter4"/>
    <s v="Quarter1"/>
    <s v="Qtr_1"/>
    <x v="11"/>
    <d v="2024-12-01T00:00:00"/>
    <d v="2024-12-31T00:00:00"/>
    <x v="0"/>
    <x v="68"/>
    <n v="0"/>
    <n v="55"/>
    <n v="2"/>
    <n v="3"/>
    <n v="1"/>
    <n v="13"/>
    <n v="3"/>
    <n v="8"/>
    <n v="0"/>
    <n v="0"/>
    <n v="0"/>
    <n v="16"/>
    <n v="0"/>
    <n v="0"/>
    <n v="0"/>
    <n v="0"/>
    <n v="0"/>
    <n v="0"/>
    <n v="0"/>
    <n v="0"/>
    <n v="0"/>
  </r>
  <r>
    <n v="1315"/>
    <d v="2025-02-24T14:05:02"/>
    <d v="2025-02-24T14:08:07"/>
    <s v="eadisoni@lighthouse.org.mw"/>
    <s v="Eliza adisoni"/>
    <x v="3"/>
    <s v="Prototype"/>
    <x v="2"/>
    <s v="COP_23"/>
    <s v="COP_24"/>
    <s v="Quarter1"/>
    <s v="Quarter2"/>
    <s v="Qtr_2"/>
    <x v="4"/>
    <d v="2025-01-01T00:00:00"/>
    <d v="2025-01-31T00:00:00"/>
    <x v="0"/>
    <x v="19"/>
    <n v="0"/>
    <n v="38"/>
    <n v="3"/>
    <n v="1"/>
    <n v="1"/>
    <n v="2"/>
    <n v="1"/>
    <n v="0"/>
    <n v="0"/>
    <n v="0"/>
    <n v="0"/>
    <n v="18"/>
    <n v="0"/>
    <n v="0"/>
    <n v="0"/>
    <n v="0"/>
    <n v="0"/>
    <n v="0"/>
    <n v="0"/>
    <n v="0"/>
    <n v="0"/>
  </r>
  <r>
    <n v="1316"/>
    <d v="2025-02-24T14:08:21"/>
    <d v="2025-02-24T14:11:23"/>
    <s v="eadisoni@lighthouse.org.mw"/>
    <s v="Eliza adisoni"/>
    <x v="3"/>
    <s v="Prototype"/>
    <x v="2"/>
    <s v="COP_23"/>
    <s v="COP_24"/>
    <s v="Quarter1"/>
    <s v="Quarter2"/>
    <s v="Qtr_2"/>
    <x v="4"/>
    <d v="2025-01-01T00:00:00"/>
    <d v="2025-01-31T00:00:00"/>
    <x v="3"/>
    <x v="18"/>
    <n v="0"/>
    <n v="0"/>
    <n v="0"/>
    <n v="0"/>
    <n v="1"/>
    <n v="0"/>
    <n v="0"/>
    <n v="1"/>
    <n v="0"/>
    <n v="0"/>
    <n v="0"/>
    <n v="1"/>
    <n v="0"/>
    <n v="0"/>
    <n v="0"/>
    <n v="0"/>
    <n v="0"/>
    <n v="0"/>
    <n v="0"/>
    <n v="0"/>
    <n v="0"/>
  </r>
  <r>
    <n v="1317"/>
    <d v="2025-02-24T14:11:34"/>
    <d v="2025-02-24T14:13:32"/>
    <s v="eadisoni@lighthouse.org.mw"/>
    <s v="Eliza adisoni"/>
    <x v="3"/>
    <s v="Prototype"/>
    <x v="2"/>
    <s v="COP_23"/>
    <s v="COP_24"/>
    <s v="Quarter1"/>
    <s v="Quarter2"/>
    <s v="Qtr_2"/>
    <x v="4"/>
    <d v="2025-01-01T00:00:00"/>
    <d v="2025-01-31T00:00:00"/>
    <x v="4"/>
    <x v="18"/>
    <n v="0"/>
    <n v="1"/>
    <n v="0"/>
    <n v="0"/>
    <n v="0"/>
    <n v="0"/>
    <n v="0"/>
    <n v="0"/>
    <n v="0"/>
    <n v="0"/>
    <n v="0"/>
    <n v="1"/>
    <n v="0"/>
    <n v="0"/>
    <n v="0"/>
    <n v="0"/>
    <n v="0"/>
    <n v="0"/>
    <n v="0"/>
    <n v="0"/>
    <n v="0"/>
  </r>
  <r>
    <n v="1318"/>
    <d v="2025-02-24T14:13:42"/>
    <d v="2025-02-24T14:16:36"/>
    <s v="eadisoni@lighthouse.org.mw"/>
    <s v="Eliza adisoni"/>
    <x v="3"/>
    <s v="Prototype"/>
    <x v="2"/>
    <s v="COP_23"/>
    <s v="COP_24"/>
    <s v="Quarter1"/>
    <s v="Quarter2"/>
    <s v="Qtr_2"/>
    <x v="4"/>
    <d v="2025-01-01T00:00:00"/>
    <d v="2025-01-31T00:00:00"/>
    <x v="1"/>
    <x v="17"/>
    <n v="0"/>
    <n v="19"/>
    <n v="2"/>
    <n v="1"/>
    <n v="1"/>
    <n v="0"/>
    <n v="0"/>
    <n v="2"/>
    <n v="0"/>
    <n v="0"/>
    <n v="0"/>
    <n v="4"/>
    <n v="0"/>
    <n v="0"/>
    <n v="0"/>
    <n v="0"/>
    <n v="0"/>
    <n v="0"/>
    <n v="0"/>
    <n v="0"/>
    <n v="0"/>
  </r>
  <r>
    <n v="1319"/>
    <d v="2025-02-24T14:16:48"/>
    <d v="2025-02-24T14:19:17"/>
    <s v="eadisoni@lighthouse.org.mw"/>
    <s v="Eliza adisoni"/>
    <x v="3"/>
    <s v="Prototype"/>
    <x v="2"/>
    <s v="COP_23"/>
    <s v="COP_24"/>
    <s v="Quarter1"/>
    <s v="Quarter2"/>
    <s v="Qtr_2"/>
    <x v="4"/>
    <d v="2025-01-01T00:00:00"/>
    <d v="2025-01-31T00:00:00"/>
    <x v="2"/>
    <x v="29"/>
    <n v="0"/>
    <n v="12"/>
    <n v="0"/>
    <n v="0"/>
    <n v="0"/>
    <n v="0"/>
    <n v="0"/>
    <n v="7"/>
    <n v="0"/>
    <n v="0"/>
    <n v="0"/>
    <n v="10"/>
    <n v="0"/>
    <n v="1"/>
    <n v="0"/>
    <n v="0"/>
    <n v="0"/>
    <n v="0"/>
    <n v="0"/>
    <n v="0"/>
    <n v="0"/>
  </r>
  <r>
    <n v="1320"/>
    <d v="2025-02-24T14:19:30"/>
    <d v="2025-02-24T14:22:09"/>
    <s v="eadisoni@lighthouse.org.mw"/>
    <s v="Eliza adisoni"/>
    <x v="3"/>
    <s v="Prototype"/>
    <x v="2"/>
    <s v="COP_23"/>
    <s v="COP_24"/>
    <s v="Quarter1"/>
    <s v="Quarter2"/>
    <s v="Qtr_2"/>
    <x v="4"/>
    <d v="2025-01-01T00:00:00"/>
    <d v="2025-01-31T00:00:00"/>
    <x v="5"/>
    <x v="37"/>
    <n v="0"/>
    <n v="6"/>
    <n v="0"/>
    <n v="0"/>
    <n v="0"/>
    <n v="1"/>
    <n v="0"/>
    <n v="5"/>
    <n v="0"/>
    <n v="0"/>
    <n v="0"/>
    <n v="5"/>
    <n v="0"/>
    <n v="0"/>
    <n v="0"/>
    <n v="0"/>
    <n v="0"/>
    <n v="0"/>
    <n v="0"/>
    <n v="0"/>
    <n v="0"/>
  </r>
  <r>
    <n v="1364"/>
    <d v="2025-03-06T10:30:01"/>
    <d v="2025-03-06T10:33:12"/>
    <s v="eadisoni@lighthouse.org.mw"/>
    <s v="Eliza adisoni"/>
    <x v="3"/>
    <s v="Prototype"/>
    <x v="2"/>
    <s v="COP_23"/>
    <s v="COP_24"/>
    <s v="Quarter1"/>
    <s v="Quarter2"/>
    <s v="Qtr_2"/>
    <x v="5"/>
    <d v="2025-02-03T00:00:00"/>
    <d v="2025-02-28T00:00:00"/>
    <x v="0"/>
    <x v="44"/>
    <n v="0"/>
    <n v="14"/>
    <n v="1"/>
    <n v="1"/>
    <n v="0"/>
    <n v="2"/>
    <n v="0"/>
    <n v="0"/>
    <n v="0"/>
    <n v="0"/>
    <n v="0"/>
    <n v="0"/>
    <n v="0"/>
    <n v="0"/>
    <n v="0"/>
    <n v="0"/>
    <n v="0"/>
    <n v="0"/>
    <n v="0"/>
    <n v="0"/>
    <n v="0"/>
  </r>
  <r>
    <n v="1365"/>
    <d v="2025-03-06T10:33:33"/>
    <d v="2025-03-06T10:35:27"/>
    <s v="eadisoni@lighthouse.org.mw"/>
    <s v="Eliza adisoni"/>
    <x v="3"/>
    <s v="Prototype"/>
    <x v="2"/>
    <s v="COP_23"/>
    <s v="COP_24"/>
    <s v="Quarter1"/>
    <s v="Quarter2"/>
    <s v="Qtr_2"/>
    <x v="5"/>
    <d v="2025-02-03T00:00:00"/>
    <d v="2025-02-28T00:00:00"/>
    <x v="1"/>
    <x v="23"/>
    <n v="0"/>
    <n v="11"/>
    <n v="1"/>
    <n v="1"/>
    <n v="0"/>
    <n v="2"/>
    <n v="0"/>
    <n v="0"/>
    <n v="0"/>
    <n v="0"/>
    <n v="0"/>
    <n v="1"/>
    <n v="0"/>
    <n v="0"/>
    <n v="0"/>
    <n v="0"/>
    <n v="0"/>
    <n v="0"/>
    <n v="0"/>
    <n v="0"/>
    <n v="0"/>
  </r>
  <r>
    <n v="1366"/>
    <d v="2025-03-06T10:35:33"/>
    <d v="2025-03-06T10:37:23"/>
    <s v="eadisoni@lighthouse.org.mw"/>
    <s v="Eliza adisoni"/>
    <x v="3"/>
    <s v="Prototype"/>
    <x v="2"/>
    <s v="COP_23"/>
    <s v="COP_24"/>
    <s v="Quarter1"/>
    <s v="Quarter2"/>
    <s v="Qtr_2"/>
    <x v="5"/>
    <d v="2025-02-03T00:00:00"/>
    <d v="2025-02-28T00:00:00"/>
    <x v="3"/>
    <x v="18"/>
    <n v="1"/>
    <n v="0"/>
    <n v="0"/>
    <n v="1"/>
    <n v="0"/>
    <n v="0"/>
    <n v="0"/>
    <n v="1"/>
    <n v="0"/>
    <n v="0"/>
    <n v="0"/>
    <n v="1"/>
    <n v="0"/>
    <n v="0"/>
    <n v="0"/>
    <n v="0"/>
    <n v="0"/>
    <n v="0"/>
    <n v="0"/>
    <n v="0"/>
    <n v="0"/>
  </r>
  <r>
    <n v="1368"/>
    <d v="2025-03-06T10:37:32"/>
    <d v="2025-03-06T10:39:58"/>
    <s v="eadisoni@lighthouse.org.mw"/>
    <s v="Eliza adisoni"/>
    <x v="3"/>
    <s v="Prototype"/>
    <x v="2"/>
    <s v="COP_23"/>
    <s v="COP_24"/>
    <s v="Quarter1"/>
    <s v="Quarter2"/>
    <s v="Qtr_2"/>
    <x v="5"/>
    <d v="2025-02-03T00:00:00"/>
    <d v="2025-02-28T00:00:00"/>
    <x v="2"/>
    <x v="30"/>
    <n v="0"/>
    <n v="3"/>
    <n v="0"/>
    <n v="0"/>
    <n v="0"/>
    <n v="0"/>
    <n v="0"/>
    <n v="3"/>
    <n v="0"/>
    <n v="0"/>
    <n v="0"/>
    <n v="3"/>
    <n v="0"/>
    <n v="0"/>
    <n v="0"/>
    <n v="0"/>
    <n v="0"/>
    <n v="0"/>
    <n v="0"/>
    <n v="0"/>
    <n v="0"/>
  </r>
  <r>
    <n v="1369"/>
    <d v="2025-03-06T10:40:08"/>
    <d v="2025-03-06T10:42:41"/>
    <s v="eadisoni@lighthouse.org.mw"/>
    <s v="Eliza adisoni"/>
    <x v="3"/>
    <s v="Prototype"/>
    <x v="2"/>
    <s v="COP_23"/>
    <s v="COP_24"/>
    <s v="Quarter1"/>
    <s v="Quarter2"/>
    <s v="Qtr_2"/>
    <x v="5"/>
    <d v="2025-02-03T00:00:00"/>
    <d v="2025-02-28T00:00:00"/>
    <x v="4"/>
    <x v="21"/>
    <n v="0"/>
    <n v="0"/>
    <n v="0"/>
    <n v="0"/>
    <n v="0"/>
    <n v="0"/>
    <n v="0"/>
    <n v="0"/>
    <n v="0"/>
    <n v="0"/>
    <n v="0"/>
    <n v="0"/>
    <n v="0"/>
    <n v="0"/>
    <n v="0"/>
    <n v="0"/>
    <n v="0"/>
    <n v="0"/>
    <n v="0"/>
    <n v="0"/>
    <n v="0"/>
  </r>
  <r>
    <n v="1370"/>
    <d v="2025-03-06T10:43:04"/>
    <d v="2025-03-06T10:46:48"/>
    <s v="eadisoni@lighthouse.org.mw"/>
    <s v="Eliza adisoni"/>
    <x v="3"/>
    <s v="Prototype"/>
    <x v="2"/>
    <s v="COP_23"/>
    <s v="COP_24"/>
    <s v="Quarter1"/>
    <s v="Quarter2"/>
    <s v="Qtr_2"/>
    <x v="5"/>
    <d v="2025-02-03T00:00:00"/>
    <d v="2025-02-28T00:00:00"/>
    <x v="5"/>
    <x v="21"/>
    <n v="0"/>
    <n v="0"/>
    <n v="0"/>
    <n v="0"/>
    <n v="0"/>
    <n v="0"/>
    <n v="0"/>
    <n v="0"/>
    <n v="0"/>
    <n v="0"/>
    <n v="0"/>
    <n v="0"/>
    <n v="0"/>
    <n v="0"/>
    <n v="0"/>
    <n v="0"/>
    <n v="0"/>
    <n v="0"/>
    <n v="0"/>
    <n v="0"/>
    <n v="0"/>
  </r>
  <r>
    <n v="1482"/>
    <d v="2025-04-03T07:59:12"/>
    <d v="2025-04-03T08:06:34"/>
    <s v="eadisoni@lighthouse.org.mw"/>
    <s v="Eliza adisoni"/>
    <x v="3"/>
    <s v="Prototype"/>
    <x v="2"/>
    <s v="COP_23"/>
    <s v="COP_24"/>
    <s v="Quarter1"/>
    <s v="Quarter2"/>
    <s v="Qtr_2"/>
    <x v="3"/>
    <d v="2025-03-01T00:00:00"/>
    <d v="2025-03-31T00:00:00"/>
    <x v="0"/>
    <x v="69"/>
    <n v="0"/>
    <n v="66"/>
    <n v="7"/>
    <n v="2"/>
    <n v="2"/>
    <n v="28"/>
    <n v="9"/>
    <n v="48"/>
    <n v="0"/>
    <n v="0"/>
    <n v="0"/>
    <n v="50"/>
    <n v="5"/>
    <n v="3"/>
    <n v="0"/>
    <n v="0"/>
    <n v="0"/>
    <n v="0"/>
    <n v="0"/>
    <n v="5"/>
    <n v="5"/>
  </r>
  <r>
    <n v="1483"/>
    <d v="2025-04-03T08:06:39"/>
    <d v="2025-04-03T08:08:29"/>
    <s v="eadisoni@lighthouse.org.mw"/>
    <s v="Eliza adisoni"/>
    <x v="3"/>
    <s v="Prototype"/>
    <x v="2"/>
    <s v="COP_23"/>
    <s v="COP_24"/>
    <s v="Quarter1"/>
    <s v="Quarter2"/>
    <s v="Qtr_2"/>
    <x v="3"/>
    <d v="2025-03-01T00:00:00"/>
    <d v="2025-03-31T00:00:00"/>
    <x v="1"/>
    <x v="65"/>
    <n v="0"/>
    <n v="34"/>
    <n v="3"/>
    <n v="2"/>
    <n v="1"/>
    <n v="27"/>
    <n v="10"/>
    <n v="11"/>
    <n v="0"/>
    <n v="0"/>
    <n v="0"/>
    <n v="14"/>
    <n v="0"/>
    <n v="2"/>
    <n v="0"/>
    <n v="0"/>
    <n v="0"/>
    <n v="0"/>
    <n v="0"/>
    <n v="0"/>
    <n v="0"/>
  </r>
  <r>
    <n v="1484"/>
    <d v="2025-04-03T08:08:38"/>
    <d v="2025-04-03T08:09:41"/>
    <s v="eadisoni@lighthouse.org.mw"/>
    <s v="Eliza adisoni"/>
    <x v="3"/>
    <s v="Prototype"/>
    <x v="2"/>
    <s v="COP_23"/>
    <s v="COP_24"/>
    <s v="Quarter1"/>
    <s v="Quarter2"/>
    <s v="Qtr_2"/>
    <x v="3"/>
    <d v="2025-03-01T00:00:00"/>
    <d v="2025-03-31T00:00:00"/>
    <x v="3"/>
    <x v="21"/>
    <n v="0"/>
    <n v="0"/>
    <n v="0"/>
    <n v="0"/>
    <n v="0"/>
    <n v="0"/>
    <n v="0"/>
    <n v="0"/>
    <n v="0"/>
    <n v="0"/>
    <n v="0"/>
    <n v="0"/>
    <n v="0"/>
    <n v="0"/>
    <n v="0"/>
    <n v="0"/>
    <n v="0"/>
    <n v="0"/>
    <n v="0"/>
    <n v="0"/>
    <n v="0"/>
  </r>
  <r>
    <n v="1485"/>
    <d v="2025-04-03T08:10:27"/>
    <d v="2025-04-03T08:12:34"/>
    <s v="eadisoni@lighthouse.org.mw"/>
    <s v="Eliza adisoni"/>
    <x v="3"/>
    <s v="Prototype"/>
    <x v="2"/>
    <s v="COP_23"/>
    <s v="COP_24"/>
    <s v="Quarter1"/>
    <s v="Quarter2"/>
    <s v="Qtr_2"/>
    <x v="3"/>
    <d v="2025-03-01T00:00:00"/>
    <d v="2025-03-31T00:00:00"/>
    <x v="5"/>
    <x v="39"/>
    <n v="0"/>
    <n v="8"/>
    <n v="0"/>
    <n v="0"/>
    <n v="0"/>
    <n v="0"/>
    <n v="0"/>
    <n v="8"/>
    <n v="0"/>
    <n v="0"/>
    <n v="0"/>
    <n v="8"/>
    <n v="1"/>
    <n v="0"/>
    <n v="0"/>
    <n v="0"/>
    <n v="0"/>
    <n v="0"/>
    <n v="0"/>
    <n v="0"/>
    <n v="0"/>
  </r>
  <r>
    <n v="1486"/>
    <d v="2025-04-03T08:12:38"/>
    <d v="2025-04-03T08:14:19"/>
    <s v="eadisoni@lighthouse.org.mw"/>
    <s v="Eliza adisoni"/>
    <x v="3"/>
    <s v="Prototype"/>
    <x v="2"/>
    <s v="COP_23"/>
    <s v="COP_24"/>
    <s v="Quarter1"/>
    <s v="Quarter2"/>
    <s v="Qtr_2"/>
    <x v="3"/>
    <d v="2025-03-01T00:00:00"/>
    <d v="2025-03-31T00:00:00"/>
    <x v="4"/>
    <x v="33"/>
    <n v="0"/>
    <n v="4"/>
    <n v="0"/>
    <n v="0"/>
    <n v="0"/>
    <n v="2"/>
    <n v="0"/>
    <n v="0"/>
    <n v="0"/>
    <n v="0"/>
    <n v="0"/>
    <n v="1"/>
    <n v="1"/>
    <n v="0"/>
    <n v="0"/>
    <n v="0"/>
    <n v="0"/>
    <n v="0"/>
    <n v="0"/>
    <n v="1"/>
    <n v="0"/>
  </r>
  <r>
    <n v="1487"/>
    <d v="2025-04-03T08:14:36"/>
    <d v="2025-04-03T08:16:59"/>
    <s v="eadisoni@lighthouse.org.mw"/>
    <s v="Eliza adisoni"/>
    <x v="3"/>
    <s v="Prototype"/>
    <x v="2"/>
    <s v="COP_23"/>
    <s v="COP_24"/>
    <s v="Quarter1"/>
    <s v="Quarter2"/>
    <s v="Qtr_2"/>
    <x v="3"/>
    <d v="2025-03-01T00:00:00"/>
    <d v="2025-03-31T00:00:00"/>
    <x v="2"/>
    <x v="0"/>
    <n v="0"/>
    <n v="32"/>
    <n v="2"/>
    <n v="0"/>
    <n v="1"/>
    <n v="1"/>
    <n v="1"/>
    <n v="34"/>
    <n v="0"/>
    <n v="0"/>
    <n v="0"/>
    <n v="34"/>
    <n v="4"/>
    <n v="1"/>
    <n v="0"/>
    <n v="0"/>
    <n v="0"/>
    <n v="0"/>
    <n v="0"/>
    <n v="5"/>
    <n v="0"/>
  </r>
  <r>
    <n v="1614"/>
    <d v="2025-06-03T10:07:00"/>
    <d v="2025-06-03T10:09:21"/>
    <s v="eadisoni@lighthouse.org.mw"/>
    <s v="Eliza adisoni"/>
    <x v="3"/>
    <s v="Prototype"/>
    <x v="2"/>
    <s v="COP_24"/>
    <m/>
    <s v="Quarter3"/>
    <s v="Quarter3"/>
    <m/>
    <x v="7"/>
    <d v="2025-04-01T00:00:00"/>
    <d v="2025-04-30T00:00:00"/>
    <x v="0"/>
    <x v="13"/>
    <n v="0"/>
    <n v="44"/>
    <n v="4"/>
    <n v="2"/>
    <n v="2"/>
    <n v="28"/>
    <n v="11"/>
    <n v="0"/>
    <n v="0"/>
    <n v="0"/>
    <n v="0"/>
    <n v="28"/>
    <n v="2"/>
    <n v="0"/>
    <n v="0"/>
    <n v="0"/>
    <n v="0"/>
    <n v="0"/>
    <n v="0"/>
    <n v="2"/>
    <n v="0"/>
  </r>
  <r>
    <n v="1615"/>
    <d v="2025-06-03T10:09:37"/>
    <d v="2025-06-03T10:11:55"/>
    <s v="eadisoni@lighthouse.org.mw"/>
    <s v="Eliza adisoni"/>
    <x v="3"/>
    <s v="Prototype"/>
    <x v="2"/>
    <s v="COP_23"/>
    <m/>
    <s v="Quarter3"/>
    <s v="Quarter3"/>
    <m/>
    <x v="7"/>
    <d v="2025-04-01T00:00:00"/>
    <d v="2025-04-30T00:00:00"/>
    <x v="1"/>
    <x v="28"/>
    <n v="0"/>
    <n v="25"/>
    <n v="4"/>
    <n v="2"/>
    <n v="0"/>
    <n v="24"/>
    <n v="9"/>
    <n v="8"/>
    <n v="0"/>
    <n v="8"/>
    <n v="0"/>
    <n v="0"/>
    <n v="0"/>
    <n v="0"/>
    <n v="0"/>
    <n v="0"/>
    <n v="0"/>
    <n v="0"/>
    <n v="0"/>
    <n v="0"/>
    <n v="0"/>
  </r>
  <r>
    <n v="1616"/>
    <d v="2025-06-03T10:12:02"/>
    <d v="2025-06-03T10:13:50"/>
    <s v="eadisoni@lighthouse.org.mw"/>
    <s v="Eliza adisoni"/>
    <x v="3"/>
    <s v="Prototype"/>
    <x v="2"/>
    <s v="COP_23"/>
    <m/>
    <s v="Quarter3"/>
    <s v="Quarter3"/>
    <m/>
    <x v="7"/>
    <d v="2025-04-01T00:00:00"/>
    <d v="2025-04-30T00:00:00"/>
    <x v="3"/>
    <x v="18"/>
    <n v="0"/>
    <n v="1"/>
    <n v="0"/>
    <n v="0"/>
    <n v="0"/>
    <n v="0"/>
    <n v="0"/>
    <n v="0"/>
    <n v="0"/>
    <n v="0"/>
    <n v="0"/>
    <n v="0"/>
    <n v="0"/>
    <n v="0"/>
    <n v="0"/>
    <n v="0"/>
    <n v="0"/>
    <n v="0"/>
    <n v="0"/>
    <n v="0"/>
    <n v="0"/>
  </r>
  <r>
    <n v="1617"/>
    <d v="2025-06-03T10:13:58"/>
    <d v="2025-06-03T10:15:13"/>
    <s v="eadisoni@lighthouse.org.mw"/>
    <s v="Eliza adisoni"/>
    <x v="3"/>
    <s v="Prototype"/>
    <x v="2"/>
    <s v="COP_23"/>
    <m/>
    <s v="Quarter3"/>
    <s v="Quarter3"/>
    <m/>
    <x v="7"/>
    <d v="2025-04-01T00:00:00"/>
    <d v="2025-04-30T00:00:00"/>
    <x v="4"/>
    <x v="21"/>
    <n v="0"/>
    <n v="0"/>
    <n v="0"/>
    <n v="0"/>
    <n v="0"/>
    <n v="0"/>
    <n v="0"/>
    <n v="0"/>
    <n v="0"/>
    <n v="0"/>
    <n v="0"/>
    <n v="0"/>
    <n v="0"/>
    <n v="0"/>
    <n v="0"/>
    <n v="0"/>
    <n v="0"/>
    <n v="0"/>
    <n v="0"/>
    <n v="0"/>
    <n v="0"/>
  </r>
  <r>
    <n v="1647"/>
    <d v="2025-06-05T11:42:45"/>
    <d v="2025-06-05T11:44:58"/>
    <s v="eadisoni@lighthouse.org.mw"/>
    <s v="Eliza adisoni"/>
    <x v="3"/>
    <s v="Prototype"/>
    <x v="2"/>
    <s v="COP_23"/>
    <m/>
    <s v="Quarter3"/>
    <s v="Quarter3"/>
    <m/>
    <x v="6"/>
    <d v="2025-05-01T00:00:00"/>
    <d v="2025-05-31T00:00:00"/>
    <x v="0"/>
    <x v="48"/>
    <n v="0"/>
    <n v="45"/>
    <n v="2"/>
    <n v="7"/>
    <n v="0"/>
    <n v="13"/>
    <n v="3"/>
    <n v="12"/>
    <n v="0"/>
    <n v="0"/>
    <n v="0"/>
    <n v="35"/>
    <n v="0"/>
    <n v="5"/>
    <n v="0"/>
    <n v="0"/>
    <n v="0"/>
    <n v="0"/>
    <n v="0"/>
    <n v="0"/>
    <n v="0"/>
  </r>
  <r>
    <n v="1648"/>
    <d v="2025-06-05T11:45:09"/>
    <d v="2025-06-05T11:47:42"/>
    <s v="eadisoni@lighthouse.org.mw"/>
    <s v="Eliza adisoni"/>
    <x v="3"/>
    <s v="Prototype"/>
    <x v="2"/>
    <s v="COP_23"/>
    <m/>
    <s v="Quarter3"/>
    <s v="Quarter3"/>
    <m/>
    <x v="6"/>
    <d v="2025-05-01T00:00:00"/>
    <d v="2025-05-31T00:00:00"/>
    <x v="1"/>
    <x v="56"/>
    <n v="0"/>
    <n v="20"/>
    <n v="1"/>
    <n v="7"/>
    <n v="0"/>
    <n v="13"/>
    <n v="3"/>
    <n v="1"/>
    <n v="0"/>
    <n v="0"/>
    <n v="0"/>
    <n v="12"/>
    <n v="0"/>
    <n v="0"/>
    <n v="0"/>
    <n v="0"/>
    <n v="0"/>
    <n v="0"/>
    <n v="0"/>
    <n v="0"/>
    <n v="0"/>
  </r>
  <r>
    <n v="1649"/>
    <d v="2025-06-05T11:47:47"/>
    <d v="2025-06-05T11:49:01"/>
    <s v="eadisoni@lighthouse.org.mw"/>
    <s v="Eliza adisoni"/>
    <x v="3"/>
    <s v="Prototype"/>
    <x v="2"/>
    <s v="COP_23"/>
    <m/>
    <s v="Quarter3"/>
    <s v="Quarter3"/>
    <m/>
    <x v="6"/>
    <d v="2025-05-01T00:00:00"/>
    <d v="2025-05-31T00:00:00"/>
    <x v="3"/>
    <x v="21"/>
    <n v="0"/>
    <n v="0"/>
    <n v="0"/>
    <n v="0"/>
    <n v="0"/>
    <n v="0"/>
    <n v="0"/>
    <n v="0"/>
    <n v="0"/>
    <n v="0"/>
    <n v="0"/>
    <n v="0"/>
    <n v="0"/>
    <n v="0"/>
    <n v="0"/>
    <n v="0"/>
    <n v="0"/>
    <n v="0"/>
    <n v="0"/>
    <n v="0"/>
    <n v="0"/>
  </r>
  <r>
    <n v="1650"/>
    <d v="2025-06-05T11:49:11"/>
    <d v="2025-06-05T11:50:45"/>
    <s v="eadisoni@lighthouse.org.mw"/>
    <s v="Eliza adisoni"/>
    <x v="3"/>
    <s v="Prototype"/>
    <x v="2"/>
    <s v="COP_23"/>
    <m/>
    <s v="Quarter3"/>
    <s v="Quarter3"/>
    <m/>
    <x v="6"/>
    <d v="2025-05-01T00:00:00"/>
    <d v="2025-05-31T00:00:00"/>
    <x v="4"/>
    <x v="18"/>
    <n v="0"/>
    <n v="0"/>
    <n v="0"/>
    <n v="1"/>
    <n v="0"/>
    <n v="0"/>
    <n v="0"/>
    <n v="0"/>
    <n v="0"/>
    <n v="0"/>
    <n v="0"/>
    <n v="0"/>
    <n v="0"/>
    <n v="0"/>
    <n v="0"/>
    <n v="0"/>
    <n v="0"/>
    <n v="0"/>
    <n v="0"/>
    <n v="0"/>
    <n v="0"/>
  </r>
  <r>
    <n v="1651"/>
    <d v="2025-06-05T11:51:25"/>
    <d v="2025-06-05T11:53:22"/>
    <s v="eadisoni@lighthouse.org.mw"/>
    <s v="Eliza adisoni"/>
    <x v="3"/>
    <s v="Prototype"/>
    <x v="2"/>
    <s v="COP_23"/>
    <m/>
    <s v="Quarter3"/>
    <s v="Quarter3"/>
    <m/>
    <x v="6"/>
    <d v="2025-05-01T00:00:00"/>
    <d v="2025-05-31T00:00:00"/>
    <x v="5"/>
    <x v="39"/>
    <n v="0"/>
    <n v="8"/>
    <n v="0"/>
    <n v="0"/>
    <n v="0"/>
    <n v="0"/>
    <n v="0"/>
    <n v="0"/>
    <n v="0"/>
    <n v="0"/>
    <n v="0"/>
    <n v="7"/>
    <n v="0"/>
    <n v="0"/>
    <n v="0"/>
    <n v="0"/>
    <n v="0"/>
    <n v="0"/>
    <n v="0"/>
    <n v="0"/>
    <n v="0"/>
  </r>
  <r>
    <n v="1652"/>
    <d v="2025-06-05T11:53:32"/>
    <d v="2025-06-05T11:55:34"/>
    <s v="eadisoni@lighthouse.org.mw"/>
    <s v="Eliza adisoni"/>
    <x v="3"/>
    <s v="Prototype"/>
    <x v="2"/>
    <s v="COP_23"/>
    <m/>
    <s v="Quarter3"/>
    <s v="Quarter3"/>
    <m/>
    <x v="6"/>
    <d v="2025-05-01T00:00:00"/>
    <d v="2025-05-31T00:00:00"/>
    <x v="2"/>
    <x v="61"/>
    <n v="0"/>
    <n v="19"/>
    <n v="0"/>
    <n v="0"/>
    <n v="0"/>
    <n v="0"/>
    <n v="0"/>
    <n v="6"/>
    <n v="0"/>
    <n v="0"/>
    <n v="0"/>
    <n v="19"/>
    <n v="0"/>
    <n v="1"/>
    <n v="0"/>
    <n v="0"/>
    <n v="0"/>
    <n v="0"/>
    <n v="0"/>
    <n v="0"/>
    <n v="0"/>
  </r>
  <r>
    <n v="1707"/>
    <d v="2025-07-01T10:18:40"/>
    <d v="2025-07-01T10:25:08"/>
    <s v="eadisoni@lighthouse.org.mw"/>
    <s v="Eliza adisoni"/>
    <x v="3"/>
    <s v="Prototype"/>
    <x v="2"/>
    <s v="COP_23"/>
    <m/>
    <s v="Quarter3"/>
    <s v="Quarter3"/>
    <m/>
    <x v="7"/>
    <d v="2025-04-01T00:00:00"/>
    <d v="2025-04-30T00:00:00"/>
    <x v="2"/>
    <x v="16"/>
    <n v="2"/>
    <n v="17"/>
    <n v="0"/>
    <n v="0"/>
    <n v="4"/>
    <n v="4"/>
    <n v="2"/>
    <n v="19"/>
    <n v="0"/>
    <n v="0"/>
    <n v="0"/>
    <n v="19"/>
    <n v="2"/>
    <n v="0"/>
    <n v="0"/>
    <n v="0"/>
    <n v="0"/>
    <n v="0"/>
    <n v="0"/>
    <n v="2"/>
    <n v="0"/>
  </r>
  <r>
    <n v="1725"/>
    <d v="2025-07-08T07:32:43"/>
    <d v="2025-07-08T07:36:14"/>
    <s v="eadisoni@lighthouse.org.mw"/>
    <s v="Eliza adisoni"/>
    <x v="3"/>
    <s v="Prototype"/>
    <x v="2"/>
    <s v="COP_23"/>
    <m/>
    <s v="Quarter2"/>
    <s v="Quarter3"/>
    <m/>
    <x v="8"/>
    <d v="2025-06-01T00:00:00"/>
    <d v="2025-06-30T00:00:00"/>
    <x v="0"/>
    <x v="70"/>
    <n v="0"/>
    <n v="75"/>
    <n v="2"/>
    <n v="4"/>
    <n v="0"/>
    <n v="22"/>
    <n v="6"/>
    <n v="59"/>
    <n v="0"/>
    <n v="1"/>
    <n v="0"/>
    <n v="59"/>
    <n v="1"/>
    <n v="1"/>
    <n v="0"/>
    <n v="0"/>
    <n v="0"/>
    <n v="0"/>
    <n v="0"/>
    <n v="0"/>
    <n v="0"/>
  </r>
  <r>
    <n v="1726"/>
    <d v="2025-07-08T07:36:19"/>
    <d v="2025-07-08T07:38:30"/>
    <s v="eadisoni@lighthouse.org.mw"/>
    <s v="Eliza adisoni"/>
    <x v="3"/>
    <s v="Prototype"/>
    <x v="2"/>
    <s v="COP_23"/>
    <m/>
    <s v="Quarter2"/>
    <s v="Quarter3"/>
    <m/>
    <x v="8"/>
    <d v="2025-06-01T00:00:00"/>
    <d v="2025-06-30T00:00:00"/>
    <x v="1"/>
    <x v="56"/>
    <n v="0"/>
    <n v="23"/>
    <n v="1"/>
    <n v="4"/>
    <n v="0"/>
    <n v="21"/>
    <n v="5"/>
    <n v="3"/>
    <n v="0"/>
    <n v="0"/>
    <n v="0"/>
    <n v="3"/>
    <n v="0"/>
    <n v="0"/>
    <n v="0"/>
    <n v="0"/>
    <n v="0"/>
    <n v="0"/>
    <n v="0"/>
    <n v="0"/>
    <n v="0"/>
  </r>
  <r>
    <n v="1727"/>
    <d v="2025-07-08T07:38:35"/>
    <d v="2025-07-08T07:40:15"/>
    <s v="eadisoni@lighthouse.org.mw"/>
    <s v="Eliza adisoni"/>
    <x v="3"/>
    <s v="Prototype"/>
    <x v="2"/>
    <s v="COP_23"/>
    <m/>
    <s v="Quarter2"/>
    <s v="Quarter3"/>
    <m/>
    <x v="8"/>
    <d v="2025-06-01T00:00:00"/>
    <d v="2025-06-30T00:00:00"/>
    <x v="3"/>
    <x v="20"/>
    <n v="0"/>
    <n v="1"/>
    <n v="0"/>
    <n v="0"/>
    <n v="1"/>
    <n v="0"/>
    <n v="0"/>
    <n v="0"/>
    <n v="0"/>
    <n v="0"/>
    <n v="0"/>
    <n v="0"/>
    <n v="0"/>
    <n v="0"/>
    <n v="0"/>
    <n v="0"/>
    <n v="0"/>
    <n v="0"/>
    <n v="0"/>
    <n v="0"/>
    <n v="0"/>
  </r>
  <r>
    <n v="1728"/>
    <d v="2025-07-08T07:40:20"/>
    <d v="2025-07-08T07:42:00"/>
    <s v="eadisoni@lighthouse.org.mw"/>
    <s v="Eliza adisoni"/>
    <x v="3"/>
    <s v="Prototype"/>
    <x v="2"/>
    <s v="COP_23"/>
    <m/>
    <s v="Quarter2"/>
    <s v="Quarter3"/>
    <m/>
    <x v="8"/>
    <d v="2025-06-01T00:00:00"/>
    <d v="2025-06-30T00:00:00"/>
    <x v="4"/>
    <x v="54"/>
    <n v="0"/>
    <n v="5"/>
    <n v="0"/>
    <n v="0"/>
    <n v="0"/>
    <n v="0"/>
    <n v="0"/>
    <n v="4"/>
    <n v="0"/>
    <n v="1"/>
    <n v="0"/>
    <n v="4"/>
    <n v="0"/>
    <n v="0"/>
    <n v="0"/>
    <n v="0"/>
    <n v="0"/>
    <n v="0"/>
    <n v="0"/>
    <n v="0"/>
    <n v="0"/>
  </r>
  <r>
    <n v="1729"/>
    <d v="2025-07-08T07:42:07"/>
    <d v="2025-07-08T07:43:47"/>
    <s v="eadisoni@lighthouse.org.mw"/>
    <s v="Eliza adisoni"/>
    <x v="3"/>
    <s v="Prototype"/>
    <x v="2"/>
    <s v="COP_24"/>
    <m/>
    <s v="Quarter2"/>
    <s v="Quarter3"/>
    <m/>
    <x v="8"/>
    <d v="2025-06-01T00:00:00"/>
    <d v="2025-06-30T00:00:00"/>
    <x v="5"/>
    <x v="23"/>
    <n v="0"/>
    <n v="13"/>
    <n v="0"/>
    <n v="0"/>
    <n v="0"/>
    <n v="0"/>
    <n v="0"/>
    <n v="8"/>
    <n v="0"/>
    <n v="3"/>
    <n v="0"/>
    <n v="9"/>
    <n v="0"/>
    <n v="0"/>
    <n v="0"/>
    <n v="0"/>
    <n v="0"/>
    <n v="0"/>
    <n v="0"/>
    <n v="0"/>
    <n v="0"/>
  </r>
  <r>
    <n v="1803"/>
    <d v="2025-07-12T12:54:00"/>
    <d v="2025-07-12T12:56:40"/>
    <s v="eadisoni@lighthouse.org.mw"/>
    <s v="Eliza adisoni"/>
    <x v="3"/>
    <s v="Prototype"/>
    <x v="2"/>
    <s v="COP_23"/>
    <m/>
    <s v="Quarter2"/>
    <s v="Quarter3"/>
    <m/>
    <x v="8"/>
    <d v="2025-06-01T00:00:00"/>
    <d v="2025-06-30T00:00:00"/>
    <x v="2"/>
    <x v="10"/>
    <n v="0"/>
    <n v="51"/>
    <n v="0"/>
    <n v="0"/>
    <n v="0"/>
    <n v="0"/>
    <n v="0"/>
    <n v="3"/>
    <n v="0"/>
    <n v="1"/>
    <n v="0"/>
    <n v="49"/>
    <n v="1"/>
    <n v="0"/>
    <n v="0"/>
    <n v="0"/>
    <n v="0"/>
    <n v="0"/>
    <n v="0"/>
    <n v="0"/>
    <n v="0"/>
  </r>
  <r>
    <n v="1804"/>
    <d v="2025-07-12T12:57:17"/>
    <d v="2025-07-12T12:59:42"/>
    <s v="eadisoni@lighthouse.org.mw"/>
    <s v="Eliza adisoni"/>
    <x v="3"/>
    <s v="Prototype"/>
    <x v="2"/>
    <s v="COP_23"/>
    <m/>
    <s v="Quarter3"/>
    <s v="Quarter2"/>
    <m/>
    <x v="7"/>
    <d v="2025-04-01T00:00:00"/>
    <d v="2025-04-30T00:00:00"/>
    <x v="5"/>
    <x v="30"/>
    <n v="0"/>
    <n v="3"/>
    <n v="0"/>
    <n v="0"/>
    <n v="0"/>
    <n v="3"/>
    <n v="0"/>
    <n v="3"/>
    <n v="0"/>
    <n v="0"/>
    <n v="0"/>
    <n v="3"/>
    <n v="0"/>
    <n v="0"/>
    <n v="0"/>
    <n v="0"/>
    <n v="0"/>
    <n v="0"/>
    <n v="0"/>
    <n v="0"/>
    <n v="0"/>
  </r>
  <r>
    <n v="3"/>
    <d v="2023-12-15T12:11:52"/>
    <d v="2023-12-15T12:16:35"/>
    <s v="jkathyoka@lighthouse.org.mw"/>
    <s v="Judith Kathyoka"/>
    <x v="4"/>
    <s v="Prototype"/>
    <x v="0"/>
    <s v="COP_23"/>
    <s v="COP_22"/>
    <s v="Quarter3"/>
    <s v="Quarter4"/>
    <s v="Qtr_4"/>
    <x v="2"/>
    <d v="2023-09-01T00:00:00"/>
    <d v="2023-11-30T00:00:00"/>
    <x v="0"/>
    <x v="30"/>
    <n v="0"/>
    <n v="2"/>
    <n v="0"/>
    <n v="1"/>
    <n v="0"/>
    <n v="3"/>
    <n v="1"/>
    <n v="2"/>
    <n v="0"/>
    <n v="3"/>
    <n v="0"/>
    <n v="3"/>
    <n v="0"/>
    <n v="1"/>
    <n v="0"/>
    <n v="1"/>
    <n v="1"/>
    <n v="0"/>
    <n v="0"/>
    <n v="1"/>
    <n v="0"/>
  </r>
  <r>
    <n v="4"/>
    <d v="2023-12-15T12:16:47"/>
    <d v="2023-12-15T12:21:31"/>
    <s v="jkathyoka@lighthouse.org.mw"/>
    <s v="Judith Kathyoka"/>
    <x v="4"/>
    <s v="Prototype"/>
    <x v="0"/>
    <s v="COP_23"/>
    <s v="COP_23"/>
    <s v="Quarter4"/>
    <s v="Quarter1"/>
    <s v="Qtr_1"/>
    <x v="0"/>
    <d v="2023-10-01T00:00:00"/>
    <d v="2023-10-31T00:00:00"/>
    <x v="0"/>
    <x v="33"/>
    <n v="0"/>
    <n v="0"/>
    <n v="0"/>
    <n v="1"/>
    <n v="3"/>
    <n v="4"/>
    <n v="4"/>
    <n v="4"/>
    <n v="0"/>
    <n v="1"/>
    <n v="0"/>
    <n v="4"/>
    <n v="2"/>
    <n v="0"/>
    <n v="0"/>
    <n v="0"/>
    <n v="0"/>
    <n v="0"/>
    <n v="0"/>
    <n v="2"/>
    <n v="0"/>
  </r>
  <r>
    <n v="6"/>
    <d v="2023-12-15T12:25:40"/>
    <d v="2023-12-15T12:31:57"/>
    <s v="jkathyoka@lighthouse.org.mw"/>
    <s v="Judith Kathyoka"/>
    <x v="4"/>
    <s v="Prototype"/>
    <x v="0"/>
    <s v="COP_23"/>
    <s v="COP_23"/>
    <s v="Quarter4"/>
    <s v="Quarter1"/>
    <s v="Qtr_1"/>
    <x v="1"/>
    <d v="2023-11-01T00:00:00"/>
    <d v="2023-11-30T00:00:00"/>
    <x v="0"/>
    <x v="54"/>
    <n v="0"/>
    <n v="2"/>
    <n v="0"/>
    <n v="3"/>
    <n v="0"/>
    <n v="5"/>
    <n v="3"/>
    <n v="1"/>
    <n v="0"/>
    <n v="1"/>
    <n v="0"/>
    <n v="3"/>
    <n v="1"/>
    <n v="0"/>
    <n v="0"/>
    <n v="1"/>
    <n v="1"/>
    <n v="2"/>
    <n v="0"/>
    <n v="0"/>
    <n v="0"/>
  </r>
  <r>
    <n v="62"/>
    <d v="2024-01-08T14:56:59"/>
    <d v="2024-01-08T15:05:59"/>
    <s v="jkathyoka@lighthouse.org.mw"/>
    <s v="Judith Kathyoka"/>
    <x v="4"/>
    <s v="Prototype"/>
    <x v="0"/>
    <s v="COP_23"/>
    <s v="COP_23"/>
    <s v="Quarter4"/>
    <s v="Quarter1"/>
    <s v="Qtr_1"/>
    <x v="11"/>
    <d v="2023-12-01T00:00:00"/>
    <d v="2023-12-31T00:00:00"/>
    <x v="0"/>
    <x v="31"/>
    <n v="0"/>
    <n v="4"/>
    <n v="0"/>
    <n v="2"/>
    <n v="1"/>
    <n v="7"/>
    <n v="1"/>
    <n v="3"/>
    <n v="0"/>
    <n v="7"/>
    <n v="0"/>
    <n v="3"/>
    <n v="1"/>
    <n v="1"/>
    <n v="1"/>
    <n v="0"/>
    <n v="0"/>
    <n v="1"/>
    <n v="1"/>
    <n v="0"/>
    <n v="0"/>
  </r>
  <r>
    <n v="145"/>
    <d v="2024-02-06T15:20:19"/>
    <d v="2024-02-06T15:25:34"/>
    <s v="jkathyoka@lighthouse.org.mw"/>
    <s v="Judith Kathyoka"/>
    <x v="4"/>
    <s v="Prototype"/>
    <x v="1"/>
    <s v="COP_23"/>
    <s v="COP_23"/>
    <s v="Quarter1"/>
    <s v="Quarter2"/>
    <s v="Qtr_2"/>
    <x v="4"/>
    <d v="2024-01-01T00:00:00"/>
    <d v="2024-01-31T00:00:00"/>
    <x v="0"/>
    <x v="33"/>
    <n v="1"/>
    <n v="0"/>
    <n v="0"/>
    <n v="4"/>
    <n v="0"/>
    <n v="4"/>
    <n v="1"/>
    <n v="4"/>
    <n v="0"/>
    <n v="4"/>
    <n v="0"/>
    <n v="4"/>
    <n v="0"/>
    <n v="0"/>
    <n v="0"/>
    <n v="0"/>
    <n v="0"/>
    <n v="4"/>
    <n v="1"/>
    <n v="1"/>
    <n v="0"/>
  </r>
  <r>
    <n v="161"/>
    <d v="2024-03-01T15:54:01"/>
    <d v="2024-03-01T15:58:51"/>
    <s v="jkathyoka@lighthouse.org.mw"/>
    <s v="Judith Kathyoka"/>
    <x v="4"/>
    <s v="Prototype"/>
    <x v="1"/>
    <s v="COP_23"/>
    <s v="COP_23"/>
    <s v="Quarter1"/>
    <s v="Quarter2"/>
    <s v="Qtr_2"/>
    <x v="5"/>
    <d v="2024-02-01T00:00:00"/>
    <d v="2024-02-29T00:00:00"/>
    <x v="0"/>
    <x v="31"/>
    <n v="0"/>
    <n v="5"/>
    <n v="0"/>
    <n v="2"/>
    <n v="0"/>
    <n v="7"/>
    <n v="3"/>
    <n v="5"/>
    <n v="0"/>
    <n v="0"/>
    <n v="0"/>
    <n v="5"/>
    <n v="0"/>
    <n v="0"/>
    <n v="0"/>
    <n v="0"/>
    <n v="0"/>
    <n v="0"/>
    <n v="0"/>
    <n v="0"/>
    <n v="0"/>
  </r>
  <r>
    <n v="187"/>
    <d v="2024-04-03T15:29:14"/>
    <d v="2024-04-03T15:36:35"/>
    <s v="jkathyoka@lighthouse.org.mw"/>
    <s v="Judith Kathyoka"/>
    <x v="4"/>
    <s v="Prototype"/>
    <x v="1"/>
    <s v="COP_23"/>
    <s v="COP_23"/>
    <s v="Quarter1"/>
    <s v="Quarter2"/>
    <s v="Qtr_2"/>
    <x v="3"/>
    <d v="2024-03-01T00:00:00"/>
    <d v="2024-03-31T00:00:00"/>
    <x v="0"/>
    <x v="54"/>
    <n v="1"/>
    <n v="2"/>
    <n v="0"/>
    <n v="3"/>
    <n v="1"/>
    <n v="4"/>
    <n v="3"/>
    <n v="0"/>
    <n v="0"/>
    <n v="0"/>
    <n v="0"/>
    <n v="3"/>
    <n v="1"/>
    <n v="0"/>
    <n v="0"/>
    <n v="0"/>
    <n v="0"/>
    <n v="3"/>
    <n v="0"/>
    <n v="1"/>
    <n v="0"/>
  </r>
  <r>
    <n v="110"/>
    <d v="2024-01-23T15:26:36"/>
    <d v="2024-01-23T15:37:39"/>
    <s v="jkathyoka@lighthouse.org.mw"/>
    <s v="Judith Kathyoka"/>
    <x v="4"/>
    <s v="Prototype"/>
    <x v="0"/>
    <s v="COP_23"/>
    <s v="COP_23"/>
    <s v="Quarter4"/>
    <s v="Quarter1"/>
    <s v="Qtr_1"/>
    <x v="0"/>
    <d v="2023-10-01T00:00:00"/>
    <d v="2023-10-31T00:00:00"/>
    <x v="1"/>
    <x v="33"/>
    <n v="0"/>
    <n v="0"/>
    <n v="0"/>
    <n v="1"/>
    <n v="3"/>
    <n v="4"/>
    <n v="4"/>
    <n v="4"/>
    <n v="0"/>
    <n v="4"/>
    <n v="0"/>
    <n v="4"/>
    <n v="2"/>
    <n v="0"/>
    <n v="0"/>
    <n v="0"/>
    <n v="0"/>
    <n v="0"/>
    <n v="0"/>
    <n v="2"/>
    <n v="0"/>
  </r>
  <r>
    <n v="111"/>
    <d v="2024-01-23T15:38:03"/>
    <d v="2024-01-23T15:42:33"/>
    <s v="jkathyoka@lighthouse.org.mw"/>
    <s v="Judith Kathyoka"/>
    <x v="4"/>
    <s v="Prototype"/>
    <x v="0"/>
    <s v="COP_23"/>
    <s v="COP_23"/>
    <s v="Quarter4"/>
    <s v="Quarter1"/>
    <s v="Qtr_1"/>
    <x v="1"/>
    <d v="2023-11-01T00:00:00"/>
    <d v="2023-11-30T00:00:00"/>
    <x v="1"/>
    <x v="30"/>
    <n v="0"/>
    <n v="1"/>
    <n v="0"/>
    <n v="2"/>
    <n v="0"/>
    <n v="3"/>
    <n v="2"/>
    <n v="3"/>
    <n v="0"/>
    <n v="1"/>
    <n v="0"/>
    <n v="3"/>
    <n v="1"/>
    <n v="0"/>
    <n v="0"/>
    <n v="1"/>
    <n v="1"/>
    <n v="3"/>
    <n v="1"/>
    <n v="0"/>
    <n v="0"/>
  </r>
  <r>
    <n v="112"/>
    <d v="2024-01-23T15:42:55"/>
    <d v="2024-01-23T15:48:57"/>
    <s v="jkathyoka@lighthouse.org.mw"/>
    <s v="Judith Kathyoka"/>
    <x v="4"/>
    <s v="Prototype"/>
    <x v="0"/>
    <s v="COP_23"/>
    <s v="COP_23"/>
    <s v="Quarter4"/>
    <s v="Quarter1"/>
    <s v="Qtr_1"/>
    <x v="11"/>
    <d v="2023-12-01T00:00:00"/>
    <d v="2023-12-31T00:00:00"/>
    <x v="1"/>
    <x v="37"/>
    <n v="0"/>
    <n v="3"/>
    <n v="1"/>
    <n v="1"/>
    <n v="1"/>
    <n v="6"/>
    <n v="2"/>
    <n v="6"/>
    <n v="0"/>
    <n v="0"/>
    <n v="0"/>
    <n v="6"/>
    <n v="1"/>
    <n v="0"/>
    <n v="0"/>
    <n v="0"/>
    <n v="0"/>
    <n v="0"/>
    <n v="0"/>
    <n v="0"/>
    <n v="0"/>
  </r>
  <r>
    <n v="146"/>
    <d v="2024-02-06T15:36:09"/>
    <d v="2024-02-06T15:41:17"/>
    <s v="jkathyoka@lighthouse.org.mw"/>
    <s v="Judith Kathyoka"/>
    <x v="4"/>
    <s v="Prototype"/>
    <x v="1"/>
    <s v="COP_23"/>
    <s v="COP_23"/>
    <s v="Quarter1"/>
    <s v="Quarter2"/>
    <s v="Qtr_2"/>
    <x v="4"/>
    <d v="2024-01-01T00:00:00"/>
    <d v="2024-01-31T00:00:00"/>
    <x v="1"/>
    <x v="20"/>
    <n v="0"/>
    <n v="0"/>
    <n v="0"/>
    <n v="2"/>
    <n v="0"/>
    <n v="2"/>
    <n v="0"/>
    <n v="2"/>
    <n v="0"/>
    <n v="2"/>
    <n v="0"/>
    <n v="2"/>
    <n v="0"/>
    <n v="2"/>
    <n v="0"/>
    <n v="0"/>
    <n v="0"/>
    <n v="2"/>
    <n v="0"/>
    <n v="0"/>
    <n v="0"/>
  </r>
  <r>
    <n v="420"/>
    <d v="2024-05-15T16:03:40"/>
    <d v="2024-05-15T16:15:00"/>
    <s v="jkathyoka@lighthouse.org.mw"/>
    <s v="Judith Kathyoka"/>
    <x v="4"/>
    <s v="Prototype"/>
    <x v="1"/>
    <s v="COP_23"/>
    <s v="COP_23"/>
    <s v="Quarter1"/>
    <s v="Quarter2"/>
    <s v="Qtr_2"/>
    <x v="5"/>
    <d v="2024-02-01T00:00:00"/>
    <d v="2024-02-29T00:00:00"/>
    <x v="1"/>
    <x v="37"/>
    <n v="0"/>
    <n v="5"/>
    <n v="0"/>
    <n v="1"/>
    <n v="0"/>
    <n v="6"/>
    <n v="3"/>
    <n v="6"/>
    <n v="0"/>
    <n v="6"/>
    <n v="0"/>
    <n v="5"/>
    <n v="0"/>
    <n v="7"/>
    <n v="0"/>
    <n v="0"/>
    <n v="0"/>
    <n v="0"/>
    <n v="0"/>
    <n v="0"/>
    <n v="0"/>
  </r>
  <r>
    <n v="477"/>
    <d v="2024-06-05T11:06:54"/>
    <d v="2024-06-05T11:11:23"/>
    <s v="jkathyoka@lighthouse.org.mw"/>
    <s v="Judith Kathyoka"/>
    <x v="4"/>
    <s v="Prototype"/>
    <x v="1"/>
    <s v="COP_23"/>
    <s v="COP_23"/>
    <s v="Quarter2"/>
    <s v="Quarter3"/>
    <s v="Qtr_3"/>
    <x v="6"/>
    <d v="2024-05-01T00:00:00"/>
    <d v="2024-05-31T00:00:00"/>
    <x v="1"/>
    <x v="37"/>
    <n v="5"/>
    <n v="3"/>
    <n v="1"/>
    <n v="1"/>
    <n v="1"/>
    <n v="6"/>
    <n v="5"/>
    <n v="6"/>
    <n v="1"/>
    <n v="6"/>
    <n v="1"/>
    <n v="2"/>
    <n v="0"/>
    <n v="0"/>
    <n v="0"/>
    <n v="0"/>
    <n v="0"/>
    <n v="4"/>
    <n v="1"/>
    <n v="0"/>
    <n v="1"/>
  </r>
  <r>
    <n v="561"/>
    <d v="2024-07-03T09:50:50"/>
    <d v="2024-07-03T09:55:14"/>
    <s v="jkathyoka@lighthouse.org.mw"/>
    <s v="Judith Kathyoka"/>
    <x v="4"/>
    <s v="Prototype"/>
    <x v="1"/>
    <s v="COP_23"/>
    <s v="COP_23"/>
    <s v="Quarter2"/>
    <s v="Quarter3"/>
    <s v="Qtr_3"/>
    <x v="8"/>
    <d v="2024-06-01T00:00:00"/>
    <d v="2024-06-30T00:00:00"/>
    <x v="1"/>
    <x v="33"/>
    <n v="0"/>
    <n v="3"/>
    <n v="1"/>
    <n v="0"/>
    <n v="0"/>
    <n v="4"/>
    <n v="0"/>
    <n v="0"/>
    <n v="0"/>
    <n v="0"/>
    <n v="0"/>
    <n v="0"/>
    <n v="0"/>
    <n v="0"/>
    <n v="0"/>
    <n v="0"/>
    <n v="0"/>
    <n v="0"/>
    <n v="0"/>
    <n v="0"/>
    <n v="0"/>
  </r>
  <r>
    <n v="714"/>
    <d v="2024-08-05T15:40:52"/>
    <d v="2024-08-05T15:45:04"/>
    <s v="jkathyoka@lighthouse.org.mw"/>
    <s v="Judith Kathyoka"/>
    <x v="4"/>
    <s v="Prototype"/>
    <x v="1"/>
    <s v="COP_23"/>
    <s v="COP_23"/>
    <s v="Quarter3"/>
    <s v="Quarter4"/>
    <s v="Qtr_4"/>
    <x v="9"/>
    <d v="2024-07-01T00:00:00"/>
    <d v="2024-07-31T00:00:00"/>
    <x v="1"/>
    <x v="36"/>
    <n v="2"/>
    <n v="14"/>
    <n v="0"/>
    <n v="2"/>
    <n v="0"/>
    <n v="13"/>
    <n v="3"/>
    <n v="6"/>
    <n v="0"/>
    <n v="1"/>
    <n v="0"/>
    <n v="0"/>
    <n v="0"/>
    <n v="0"/>
    <n v="0"/>
    <n v="0"/>
    <n v="0"/>
    <n v="0"/>
    <n v="0"/>
    <n v="0"/>
    <n v="0"/>
  </r>
  <r>
    <n v="775"/>
    <d v="2024-08-19T11:40:53"/>
    <d v="2024-08-19T11:44:26"/>
    <s v="jkathyoka@lighthouse.org.mw"/>
    <s v="Judith Kathyoka"/>
    <x v="4"/>
    <s v="Prototype"/>
    <x v="1"/>
    <s v="COP_23"/>
    <s v="COP_23"/>
    <s v="Quarter2"/>
    <s v="Quarter3"/>
    <s v="Qtr_3"/>
    <x v="7"/>
    <d v="2024-04-01T00:00:00"/>
    <d v="2024-04-30T00:00:00"/>
    <x v="1"/>
    <x v="39"/>
    <n v="2"/>
    <n v="4"/>
    <n v="1"/>
    <n v="2"/>
    <n v="1"/>
    <n v="7"/>
    <n v="6"/>
    <n v="6"/>
    <n v="0"/>
    <n v="1"/>
    <n v="1"/>
    <n v="6"/>
    <n v="1"/>
    <n v="0"/>
    <n v="0"/>
    <n v="1"/>
    <n v="1"/>
    <n v="2"/>
    <n v="0"/>
    <n v="2"/>
    <n v="0"/>
  </r>
  <r>
    <n v="821"/>
    <d v="2024-09-19T08:23:59"/>
    <d v="2024-09-19T08:32:22"/>
    <s v="jkathyoka@lighthouse.org.mw"/>
    <s v="Judith Kathyoka"/>
    <x v="4"/>
    <s v="Prototype"/>
    <x v="1"/>
    <s v="COP_23"/>
    <s v="COP_23"/>
    <s v="Quarter3"/>
    <s v="Quarter4"/>
    <s v="Qtr_4"/>
    <x v="10"/>
    <d v="2024-08-01T00:00:00"/>
    <d v="2024-08-31T00:00:00"/>
    <x v="1"/>
    <x v="33"/>
    <n v="0"/>
    <n v="4"/>
    <n v="0"/>
    <n v="0"/>
    <n v="0"/>
    <n v="4"/>
    <n v="0"/>
    <n v="0"/>
    <n v="0"/>
    <n v="0"/>
    <n v="0"/>
    <n v="0"/>
    <n v="0"/>
    <n v="0"/>
    <n v="0"/>
    <n v="0"/>
    <n v="0"/>
    <n v="0"/>
    <n v="0"/>
    <n v="0"/>
    <n v="0"/>
  </r>
  <r>
    <n v="877"/>
    <d v="2024-10-03T15:32:37"/>
    <d v="2024-10-03T15:44:38"/>
    <s v="jkathyoka@lighthouse.org.mw"/>
    <s v="Judith Kathyoka"/>
    <x v="4"/>
    <s v="Prototype"/>
    <x v="1"/>
    <s v="COP_23"/>
    <s v="COP_23"/>
    <s v="Quarter3"/>
    <s v="Quarter4"/>
    <s v="Qtr_4"/>
    <x v="2"/>
    <d v="2024-09-01T00:00:00"/>
    <d v="2024-10-31T00:00:00"/>
    <x v="1"/>
    <x v="25"/>
    <n v="1"/>
    <n v="8"/>
    <n v="0"/>
    <n v="1"/>
    <n v="0"/>
    <n v="9"/>
    <n v="4"/>
    <n v="4"/>
    <n v="0"/>
    <n v="4"/>
    <n v="0"/>
    <n v="4"/>
    <n v="0"/>
    <n v="0"/>
    <n v="0"/>
    <n v="0"/>
    <n v="0"/>
    <n v="2"/>
    <n v="0"/>
    <n v="0"/>
    <n v="0"/>
  </r>
  <r>
    <n v="1053"/>
    <d v="2024-11-11T14:02:50"/>
    <d v="2024-11-11T14:10:53"/>
    <s v="jkathyoka@lighthouse.org.mw"/>
    <s v="Judith Kathyoka"/>
    <x v="4"/>
    <s v="Prototype"/>
    <x v="1"/>
    <s v="COP_24"/>
    <s v="COP_24"/>
    <s v="Quarter4"/>
    <s v="Quarter1"/>
    <s v="Qtr_1"/>
    <x v="0"/>
    <d v="2024-10-01T00:00:00"/>
    <d v="2024-10-31T00:00:00"/>
    <x v="1"/>
    <x v="37"/>
    <n v="0"/>
    <n v="5"/>
    <n v="0"/>
    <n v="0"/>
    <n v="1"/>
    <n v="6"/>
    <n v="0"/>
    <n v="0"/>
    <n v="0"/>
    <n v="0"/>
    <n v="0"/>
    <n v="0"/>
    <n v="0"/>
    <n v="0"/>
    <n v="0"/>
    <n v="0"/>
    <n v="0"/>
    <n v="0"/>
    <n v="0"/>
    <n v="0"/>
    <n v="0"/>
  </r>
  <r>
    <n v="368"/>
    <d v="2024-05-07T15:51:37"/>
    <d v="2024-05-07T15:56:47"/>
    <s v="jkathyoka@lighthouse.org.mw"/>
    <s v="Judith Kathyoka"/>
    <x v="4"/>
    <s v="Prototype"/>
    <x v="1"/>
    <s v="COP_24"/>
    <s v="COP_23"/>
    <s v="Quarter2"/>
    <s v="Quarter3"/>
    <s v="Qtr_3"/>
    <x v="7"/>
    <d v="2024-04-01T00:00:00"/>
    <d v="2024-04-30T00:00:00"/>
    <x v="0"/>
    <x v="23"/>
    <n v="3"/>
    <n v="6"/>
    <n v="2"/>
    <n v="4"/>
    <n v="1"/>
    <n v="13"/>
    <n v="5"/>
    <n v="18"/>
    <n v="1"/>
    <n v="2"/>
    <n v="2"/>
    <n v="8"/>
    <n v="1"/>
    <n v="0"/>
    <n v="0"/>
    <n v="1"/>
    <n v="1"/>
    <n v="4"/>
    <n v="0"/>
    <n v="2"/>
    <n v="0"/>
  </r>
  <r>
    <n v="414"/>
    <d v="2024-05-15T15:55:50"/>
    <d v="2024-05-15T15:57:01"/>
    <s v="jkathyoka@lighthouse.org.mw"/>
    <s v="Judith Kathyoka"/>
    <x v="4"/>
    <s v="Prototype"/>
    <x v="1"/>
    <s v="COP_24"/>
    <s v="COP_23"/>
    <s v="Quarter1"/>
    <s v="Quarter2"/>
    <s v="Qtr_2"/>
    <x v="5"/>
    <d v="2024-02-01T00:00:00"/>
    <d v="2024-02-29T00:00:00"/>
    <x v="2"/>
    <x v="21"/>
    <n v="0"/>
    <n v="0"/>
    <n v="0"/>
    <n v="0"/>
    <n v="0"/>
    <n v="0"/>
    <n v="0"/>
    <n v="0"/>
    <n v="0"/>
    <n v="0"/>
    <n v="0"/>
    <n v="0"/>
    <n v="0"/>
    <n v="0"/>
    <n v="0"/>
    <n v="0"/>
    <n v="0"/>
    <n v="0"/>
    <n v="0"/>
    <n v="0"/>
    <n v="0"/>
  </r>
  <r>
    <n v="419"/>
    <d v="2024-05-15T16:02:12"/>
    <d v="2024-05-15T16:03:20"/>
    <s v="jkathyoka@lighthouse.org.mw"/>
    <s v="Judith Kathyoka"/>
    <x v="4"/>
    <s v="Prototype"/>
    <x v="1"/>
    <s v="COP_24"/>
    <s v="COP_23"/>
    <s v="Quarter1"/>
    <s v="Quarter2"/>
    <s v="Qtr_2"/>
    <x v="3"/>
    <d v="2024-03-01T00:00:00"/>
    <d v="2024-03-31T00:00:00"/>
    <x v="2"/>
    <x v="21"/>
    <n v="0"/>
    <n v="0"/>
    <n v="0"/>
    <n v="0"/>
    <n v="0"/>
    <n v="0"/>
    <n v="0"/>
    <n v="0"/>
    <n v="0"/>
    <n v="0"/>
    <n v="0"/>
    <n v="0"/>
    <n v="0"/>
    <n v="0"/>
    <n v="0"/>
    <n v="0"/>
    <n v="0"/>
    <n v="0"/>
    <n v="0"/>
    <n v="0"/>
    <n v="0"/>
  </r>
  <r>
    <n v="406"/>
    <d v="2024-05-15T15:37:58"/>
    <d v="2024-05-15T15:41:14"/>
    <s v="jkathyoka@lighthouse.org.mw"/>
    <s v="Judith Kathyoka"/>
    <x v="4"/>
    <s v="Prototype"/>
    <x v="1"/>
    <s v="COP_23"/>
    <s v="COP_23"/>
    <s v="Quarter1"/>
    <s v="Quarter2"/>
    <s v="Qtr_2"/>
    <x v="4"/>
    <d v="2024-01-02T00:00:00"/>
    <d v="2024-01-31T00:00:00"/>
    <x v="3"/>
    <x v="21"/>
    <n v="0"/>
    <n v="0"/>
    <n v="0"/>
    <n v="0"/>
    <n v="0"/>
    <n v="0"/>
    <n v="0"/>
    <n v="0"/>
    <n v="0"/>
    <n v="0"/>
    <n v="0"/>
    <n v="0"/>
    <n v="0"/>
    <n v="0"/>
    <n v="0"/>
    <n v="0"/>
    <n v="0"/>
    <n v="0"/>
    <n v="0"/>
    <n v="0"/>
    <n v="0"/>
  </r>
  <r>
    <n v="407"/>
    <d v="2024-05-15T15:43:05"/>
    <d v="2024-05-15T15:45:17"/>
    <s v="jkathyoka@lighthouse.org.mw"/>
    <s v="Judith Kathyoka"/>
    <x v="4"/>
    <s v="Prototype"/>
    <x v="1"/>
    <s v="COP_23"/>
    <s v="COP_23"/>
    <s v="Quarter1"/>
    <s v="Quarter2"/>
    <s v="Qtr_2"/>
    <x v="5"/>
    <d v="2024-02-01T00:00:00"/>
    <d v="2024-02-29T00:00:00"/>
    <x v="4"/>
    <x v="21"/>
    <n v="0"/>
    <n v="0"/>
    <n v="0"/>
    <n v="0"/>
    <n v="0"/>
    <n v="0"/>
    <n v="0"/>
    <n v="0"/>
    <n v="0"/>
    <n v="0"/>
    <n v="0"/>
    <n v="0"/>
    <n v="0"/>
    <n v="0"/>
    <n v="0"/>
    <n v="0"/>
    <n v="0"/>
    <n v="0"/>
    <n v="0"/>
    <n v="0"/>
    <n v="0"/>
  </r>
  <r>
    <n v="408"/>
    <d v="2024-05-15T15:45:43"/>
    <d v="2024-05-15T15:47:23"/>
    <s v="jkathyoka@lighthouse.org.mw"/>
    <s v="Judith Kathyoka"/>
    <x v="4"/>
    <s v="Prototype"/>
    <x v="1"/>
    <s v="COP_23"/>
    <s v="COP_23"/>
    <s v="Quarter1"/>
    <s v="Quarter2"/>
    <s v="Qtr_2"/>
    <x v="4"/>
    <d v="2024-01-02T00:00:00"/>
    <d v="2024-01-31T00:00:00"/>
    <x v="4"/>
    <x v="21"/>
    <n v="0"/>
    <n v="0"/>
    <n v="0"/>
    <n v="0"/>
    <n v="0"/>
    <n v="0"/>
    <n v="0"/>
    <n v="0"/>
    <n v="0"/>
    <n v="0"/>
    <n v="0"/>
    <n v="0"/>
    <n v="0"/>
    <n v="0"/>
    <n v="0"/>
    <n v="0"/>
    <n v="0"/>
    <n v="0"/>
    <n v="0"/>
    <n v="0"/>
    <n v="0"/>
  </r>
  <r>
    <n v="409"/>
    <d v="2024-05-15T15:47:34"/>
    <d v="2024-05-15T15:48:49"/>
    <s v="jkathyoka@lighthouse.org.mw"/>
    <s v="Judith Kathyoka"/>
    <x v="4"/>
    <s v="Prototype"/>
    <x v="1"/>
    <s v="COP_24"/>
    <s v="COP_23"/>
    <s v="Quarter1"/>
    <s v="Quarter2"/>
    <s v="Qtr_2"/>
    <x v="4"/>
    <d v="2024-01-02T00:00:00"/>
    <d v="2024-01-31T00:00:00"/>
    <x v="5"/>
    <x v="21"/>
    <n v="0"/>
    <n v="0"/>
    <n v="0"/>
    <n v="0"/>
    <n v="0"/>
    <n v="0"/>
    <n v="0"/>
    <n v="0"/>
    <n v="0"/>
    <n v="0"/>
    <n v="0"/>
    <n v="0"/>
    <n v="0"/>
    <n v="0"/>
    <n v="0"/>
    <n v="0"/>
    <n v="0"/>
    <n v="0"/>
    <n v="0"/>
    <n v="0"/>
    <n v="0"/>
  </r>
  <r>
    <n v="410"/>
    <d v="2024-05-15T15:48:55"/>
    <d v="2024-05-15T15:50:10"/>
    <s v="jkathyoka@lighthouse.org.mw"/>
    <s v="Judith Kathyoka"/>
    <x v="4"/>
    <s v="Prototype"/>
    <x v="1"/>
    <s v="COP_24"/>
    <s v="COP_23"/>
    <s v="Quarter1"/>
    <s v="Quarter2"/>
    <s v="Qtr_2"/>
    <x v="4"/>
    <d v="2024-01-02T00:00:00"/>
    <d v="2024-01-31T00:00:00"/>
    <x v="6"/>
    <x v="21"/>
    <n v="0"/>
    <n v="0"/>
    <n v="0"/>
    <n v="0"/>
    <n v="0"/>
    <n v="0"/>
    <n v="0"/>
    <n v="0"/>
    <n v="0"/>
    <n v="0"/>
    <n v="0"/>
    <n v="0"/>
    <n v="0"/>
    <n v="0"/>
    <n v="0"/>
    <n v="0"/>
    <n v="0"/>
    <n v="0"/>
    <n v="0"/>
    <n v="0"/>
    <n v="0"/>
  </r>
  <r>
    <n v="411"/>
    <d v="2024-05-15T15:50:23"/>
    <d v="2024-05-15T15:52:07"/>
    <s v="jkathyoka@lighthouse.org.mw"/>
    <s v="Judith Kathyoka"/>
    <x v="4"/>
    <s v="Prototype"/>
    <x v="1"/>
    <s v="COP_24"/>
    <s v="COP_23"/>
    <s v="Quarter1"/>
    <s v="Quarter2"/>
    <s v="Qtr_2"/>
    <x v="5"/>
    <d v="2024-02-01T00:00:00"/>
    <d v="2024-02-29T00:00:00"/>
    <x v="3"/>
    <x v="21"/>
    <n v="0"/>
    <n v="0"/>
    <n v="0"/>
    <n v="0"/>
    <n v="0"/>
    <n v="0"/>
    <n v="0"/>
    <n v="0"/>
    <n v="0"/>
    <n v="0"/>
    <n v="0"/>
    <n v="0"/>
    <n v="0"/>
    <n v="0"/>
    <n v="0"/>
    <n v="0"/>
    <n v="0"/>
    <n v="0"/>
    <n v="0"/>
    <n v="0"/>
    <n v="0"/>
  </r>
  <r>
    <n v="412"/>
    <d v="2024-05-15T15:52:12"/>
    <d v="2024-05-15T15:53:20"/>
    <s v="jkathyoka@lighthouse.org.mw"/>
    <s v="Judith Kathyoka"/>
    <x v="4"/>
    <s v="Prototype"/>
    <x v="1"/>
    <s v="COP_24"/>
    <s v="COP_23"/>
    <s v="Quarter1"/>
    <s v="Quarter2"/>
    <s v="Qtr_2"/>
    <x v="5"/>
    <d v="2024-02-01T00:00:00"/>
    <d v="2024-02-29T00:00:00"/>
    <x v="4"/>
    <x v="21"/>
    <n v="0"/>
    <n v="0"/>
    <n v="0"/>
    <n v="0"/>
    <n v="0"/>
    <n v="0"/>
    <n v="0"/>
    <n v="0"/>
    <n v="0"/>
    <n v="0"/>
    <n v="0"/>
    <n v="0"/>
    <n v="0"/>
    <n v="0"/>
    <n v="0"/>
    <n v="0"/>
    <n v="0"/>
    <n v="0"/>
    <n v="0"/>
    <n v="0"/>
    <n v="0"/>
  </r>
  <r>
    <n v="413"/>
    <d v="2024-05-15T15:54:38"/>
    <d v="2024-05-15T15:55:41"/>
    <s v="jkathyoka@lighthouse.org.mw"/>
    <s v="Judith Kathyoka"/>
    <x v="4"/>
    <s v="Prototype"/>
    <x v="1"/>
    <s v="COP_24"/>
    <s v="COP_23"/>
    <s v="Quarter1"/>
    <s v="Quarter2"/>
    <s v="Qtr_2"/>
    <x v="5"/>
    <d v="2024-05-01T00:00:00"/>
    <d v="2024-02-29T00:00:00"/>
    <x v="5"/>
    <x v="21"/>
    <n v="0"/>
    <n v="0"/>
    <n v="0"/>
    <n v="0"/>
    <n v="0"/>
    <n v="0"/>
    <n v="0"/>
    <n v="0"/>
    <n v="0"/>
    <n v="0"/>
    <n v="0"/>
    <n v="0"/>
    <n v="0"/>
    <n v="0"/>
    <n v="0"/>
    <n v="0"/>
    <n v="0"/>
    <n v="0"/>
    <n v="0"/>
    <n v="0"/>
    <n v="0"/>
  </r>
  <r>
    <n v="749"/>
    <d v="2024-08-12T15:09:31"/>
    <d v="2024-08-12T15:12:43"/>
    <s v="jkathyoka@lighthouse.org.mw"/>
    <s v="Judith Kathyoka"/>
    <x v="4"/>
    <s v="Prototype"/>
    <x v="1"/>
    <s v="COP_22"/>
    <s v="COP_23"/>
    <s v="Quarter3"/>
    <s v="Quarter4"/>
    <s v="Qtr_4"/>
    <x v="9"/>
    <d v="2024-07-01T00:00:00"/>
    <d v="2024-07-31T00:00:00"/>
    <x v="2"/>
    <x v="37"/>
    <n v="1"/>
    <n v="3"/>
    <n v="0"/>
    <n v="1"/>
    <n v="0"/>
    <n v="4"/>
    <n v="0"/>
    <n v="1"/>
    <n v="0"/>
    <n v="1"/>
    <n v="0"/>
    <n v="0"/>
    <n v="0"/>
    <n v="0"/>
    <n v="0"/>
    <n v="0"/>
    <n v="0"/>
    <n v="0"/>
    <n v="0"/>
    <n v="0"/>
    <n v="0"/>
  </r>
  <r>
    <n v="415"/>
    <d v="2024-05-15T15:57:20"/>
    <d v="2024-05-15T15:58:18"/>
    <s v="jkathyoka@lighthouse.org.mw"/>
    <s v="Judith Kathyoka"/>
    <x v="4"/>
    <s v="Prototype"/>
    <x v="1"/>
    <s v="COP_24"/>
    <s v="COP_23"/>
    <s v="Quarter1"/>
    <s v="Quarter2"/>
    <s v="Qtr_2"/>
    <x v="5"/>
    <d v="2024-02-01T00:00:00"/>
    <d v="2024-02-29T00:00:00"/>
    <x v="6"/>
    <x v="21"/>
    <n v="0"/>
    <n v="0"/>
    <n v="0"/>
    <n v="0"/>
    <n v="0"/>
    <n v="0"/>
    <n v="0"/>
    <n v="0"/>
    <n v="0"/>
    <n v="0"/>
    <n v="0"/>
    <n v="0"/>
    <n v="0"/>
    <n v="0"/>
    <n v="0"/>
    <n v="0"/>
    <n v="0"/>
    <n v="0"/>
    <n v="0"/>
    <n v="0"/>
    <n v="0"/>
  </r>
  <r>
    <n v="416"/>
    <d v="2024-05-15T15:58:21"/>
    <d v="2024-05-15T15:59:40"/>
    <s v="jkathyoka@lighthouse.org.mw"/>
    <s v="Judith Kathyoka"/>
    <x v="4"/>
    <s v="Prototype"/>
    <x v="1"/>
    <s v="COP_24"/>
    <s v="COP_23"/>
    <s v="Quarter1"/>
    <s v="Quarter2"/>
    <s v="Qtr_2"/>
    <x v="3"/>
    <d v="2024-03-01T00:00:00"/>
    <d v="2024-03-30T00:00:00"/>
    <x v="3"/>
    <x v="21"/>
    <n v="0"/>
    <n v="0"/>
    <n v="0"/>
    <n v="0"/>
    <n v="0"/>
    <n v="0"/>
    <n v="0"/>
    <n v="0"/>
    <n v="0"/>
    <n v="0"/>
    <n v="0"/>
    <n v="0"/>
    <n v="0"/>
    <n v="0"/>
    <n v="0"/>
    <n v="0"/>
    <n v="0"/>
    <n v="0"/>
    <n v="0"/>
    <n v="0"/>
    <n v="0"/>
  </r>
  <r>
    <n v="417"/>
    <d v="2024-05-15T15:59:44"/>
    <d v="2024-05-15T16:00:40"/>
    <s v="jkathyoka@lighthouse.org.mw"/>
    <s v="Judith Kathyoka"/>
    <x v="4"/>
    <s v="Prototype"/>
    <x v="1"/>
    <s v="COP_24"/>
    <s v="COP_23"/>
    <s v="Quarter1"/>
    <s v="Quarter2"/>
    <s v="Qtr_2"/>
    <x v="3"/>
    <d v="2024-03-01T00:00:00"/>
    <d v="2024-03-31T00:00:00"/>
    <x v="4"/>
    <x v="21"/>
    <n v="0"/>
    <n v="0"/>
    <n v="0"/>
    <n v="0"/>
    <n v="0"/>
    <n v="0"/>
    <n v="0"/>
    <n v="0"/>
    <n v="0"/>
    <n v="0"/>
    <n v="0"/>
    <n v="0"/>
    <n v="0"/>
    <n v="0"/>
    <n v="0"/>
    <n v="0"/>
    <n v="0"/>
    <n v="0"/>
    <n v="0"/>
    <n v="0"/>
    <n v="0"/>
  </r>
  <r>
    <n v="418"/>
    <d v="2024-05-15T16:01:03"/>
    <d v="2024-05-15T16:02:07"/>
    <s v="jkathyoka@lighthouse.org.mw"/>
    <s v="Judith Kathyoka"/>
    <x v="4"/>
    <s v="Prototype"/>
    <x v="1"/>
    <s v="COP_24"/>
    <s v="COP_23"/>
    <s v="Quarter1"/>
    <s v="Quarter2"/>
    <s v="Qtr_2"/>
    <x v="3"/>
    <d v="2024-03-01T00:00:00"/>
    <d v="2024-03-31T00:00:00"/>
    <x v="5"/>
    <x v="21"/>
    <n v="0"/>
    <n v="0"/>
    <n v="0"/>
    <n v="0"/>
    <n v="0"/>
    <n v="0"/>
    <n v="0"/>
    <n v="0"/>
    <n v="0"/>
    <n v="0"/>
    <n v="0"/>
    <n v="0"/>
    <n v="0"/>
    <n v="0"/>
    <n v="0"/>
    <n v="0"/>
    <n v="0"/>
    <n v="0"/>
    <n v="0"/>
    <n v="0"/>
    <n v="0"/>
  </r>
  <r>
    <n v="750"/>
    <d v="2024-08-12T15:12:55"/>
    <d v="2024-08-12T15:16:37"/>
    <s v="jkathyoka@lighthouse.org.mw"/>
    <s v="Judith Kathyoka"/>
    <x v="4"/>
    <s v="Prototype"/>
    <x v="1"/>
    <s v="COP_24"/>
    <s v="COP_23"/>
    <s v="Quarter2"/>
    <s v="Quarter3"/>
    <s v="Qtr_3"/>
    <x v="6"/>
    <d v="2024-05-01T00:00:00"/>
    <d v="2024-05-31T00:00:00"/>
    <x v="2"/>
    <x v="18"/>
    <n v="1"/>
    <n v="0"/>
    <n v="0"/>
    <n v="1"/>
    <n v="0"/>
    <n v="1"/>
    <n v="1"/>
    <n v="0"/>
    <n v="0"/>
    <n v="0"/>
    <n v="0"/>
    <n v="0"/>
    <n v="0"/>
    <n v="0"/>
    <n v="0"/>
    <n v="0"/>
    <n v="0"/>
    <n v="0"/>
    <n v="0"/>
    <n v="0"/>
    <n v="0"/>
  </r>
  <r>
    <n v="774"/>
    <d v="2024-08-19T11:37:08"/>
    <d v="2024-08-19T11:40:39"/>
    <s v="jkathyoka@lighthouse.org.mw"/>
    <s v="Judith Kathyoka"/>
    <x v="4"/>
    <s v="Prototype"/>
    <x v="1"/>
    <s v="COP_24"/>
    <s v="COP_23"/>
    <s v="Quarter2"/>
    <s v="Quarter3"/>
    <s v="Qtr_3"/>
    <x v="7"/>
    <d v="2024-04-01T00:00:00"/>
    <d v="2024-04-30T00:00:00"/>
    <x v="2"/>
    <x v="31"/>
    <n v="1"/>
    <n v="2"/>
    <n v="1"/>
    <n v="2"/>
    <n v="0"/>
    <n v="5"/>
    <n v="1"/>
    <n v="2"/>
    <n v="1"/>
    <n v="1"/>
    <n v="1"/>
    <n v="2"/>
    <n v="0"/>
    <n v="0"/>
    <n v="0"/>
    <n v="0"/>
    <n v="0"/>
    <n v="0"/>
    <n v="2"/>
    <n v="0"/>
    <n v="1"/>
  </r>
  <r>
    <n v="776"/>
    <d v="2024-08-19T11:44:35"/>
    <d v="2024-08-19T11:48:26"/>
    <s v="jkathyoka@lighthouse.org.mw"/>
    <s v="Judith Kathyoka"/>
    <x v="4"/>
    <s v="Prototype"/>
    <x v="1"/>
    <s v="COP_24"/>
    <s v="COP_23"/>
    <s v="Quarter2"/>
    <s v="Quarter3"/>
    <s v="Qtr_3"/>
    <x v="8"/>
    <d v="2024-06-01T00:00:00"/>
    <d v="2024-06-30T00:00:00"/>
    <x v="2"/>
    <x v="31"/>
    <n v="1"/>
    <n v="0"/>
    <n v="0"/>
    <n v="1"/>
    <n v="0"/>
    <n v="1"/>
    <n v="1"/>
    <n v="1"/>
    <n v="0"/>
    <n v="0"/>
    <n v="0"/>
    <n v="1"/>
    <n v="0"/>
    <n v="0"/>
    <n v="0"/>
    <n v="0"/>
    <n v="0"/>
    <n v="1"/>
    <n v="0"/>
    <n v="0"/>
    <n v="0"/>
  </r>
  <r>
    <n v="822"/>
    <d v="2024-09-19T08:33:27"/>
    <d v="2024-09-19T08:35:10"/>
    <s v="jkathyoka@lighthouse.org.mw"/>
    <s v="Judith Kathyoka"/>
    <x v="4"/>
    <s v="Prototype"/>
    <x v="1"/>
    <s v="COP_22"/>
    <s v="COP_23"/>
    <s v="Quarter3"/>
    <s v="Quarter4"/>
    <s v="Qtr_4"/>
    <x v="10"/>
    <d v="2024-08-01T00:00:00"/>
    <d v="2024-08-31T00:00:00"/>
    <x v="2"/>
    <x v="30"/>
    <n v="0"/>
    <n v="3"/>
    <n v="0"/>
    <n v="0"/>
    <n v="0"/>
    <n v="3"/>
    <n v="0"/>
    <n v="0"/>
    <n v="0"/>
    <n v="0"/>
    <n v="0"/>
    <n v="0"/>
    <n v="0"/>
    <n v="0"/>
    <n v="0"/>
    <n v="0"/>
    <n v="0"/>
    <n v="0"/>
    <n v="0"/>
    <n v="0"/>
    <n v="0"/>
  </r>
  <r>
    <n v="878"/>
    <d v="2024-10-03T15:44:43"/>
    <d v="2024-10-03T15:47:41"/>
    <s v="jkathyoka@lighthouse.org.mw"/>
    <s v="Judith Kathyoka"/>
    <x v="4"/>
    <s v="Prototype"/>
    <x v="1"/>
    <s v="COP_22"/>
    <s v="COP_23"/>
    <s v="Quarter3"/>
    <s v="Quarter4"/>
    <s v="Qtr_4"/>
    <x v="2"/>
    <d v="2024-09-01T00:00:00"/>
    <d v="2024-09-30T00:00:00"/>
    <x v="2"/>
    <x v="33"/>
    <n v="0"/>
    <n v="3"/>
    <n v="0"/>
    <n v="1"/>
    <n v="0"/>
    <n v="4"/>
    <n v="2"/>
    <n v="2"/>
    <n v="0"/>
    <n v="0"/>
    <n v="0"/>
    <n v="2"/>
    <n v="0"/>
    <n v="0"/>
    <n v="0"/>
    <n v="0"/>
    <n v="0"/>
    <n v="2"/>
    <n v="0"/>
    <n v="0"/>
    <n v="0"/>
  </r>
  <r>
    <n v="912"/>
    <d v="2024-10-08T15:39:02"/>
    <d v="2024-10-08T15:40:31"/>
    <s v="jkathyoka@lighthouse.org.mw"/>
    <s v="Judith Kathyoka"/>
    <x v="4"/>
    <s v="Prototype"/>
    <x v="1"/>
    <s v="COP_23"/>
    <s v="COP_23"/>
    <s v="Quarter3"/>
    <s v="Quarter4"/>
    <s v="Qtr_4"/>
    <x v="2"/>
    <d v="2024-09-01T00:00:00"/>
    <d v="2024-09-30T00:00:00"/>
    <x v="2"/>
    <x v="21"/>
    <n v="0"/>
    <n v="0"/>
    <n v="0"/>
    <n v="0"/>
    <n v="0"/>
    <n v="0"/>
    <n v="0"/>
    <n v="0"/>
    <n v="0"/>
    <n v="0"/>
    <n v="0"/>
    <n v="0"/>
    <n v="0"/>
    <n v="0"/>
    <n v="0"/>
    <n v="0"/>
    <n v="0"/>
    <n v="0"/>
    <n v="0"/>
    <n v="0"/>
    <n v="0"/>
  </r>
  <r>
    <n v="1057"/>
    <d v="2024-11-11T14:16:57"/>
    <d v="2024-11-11T14:20:05"/>
    <s v="jkathyoka@lighthouse.org.mw"/>
    <s v="Judith Kathyoka"/>
    <x v="4"/>
    <s v="Prototype"/>
    <x v="1"/>
    <s v="COP_23"/>
    <s v="COP_24"/>
    <s v="Quarter4"/>
    <s v="Quarter1"/>
    <s v="Qtr_1"/>
    <x v="0"/>
    <d v="2024-10-01T00:00:00"/>
    <d v="2024-10-31T00:00:00"/>
    <x v="2"/>
    <x v="20"/>
    <n v="0"/>
    <n v="2"/>
    <n v="0"/>
    <n v="0"/>
    <n v="0"/>
    <n v="2"/>
    <n v="1"/>
    <n v="1"/>
    <n v="0"/>
    <n v="0"/>
    <n v="0"/>
    <n v="1"/>
    <n v="0"/>
    <n v="0"/>
    <n v="0"/>
    <n v="0"/>
    <n v="0"/>
    <n v="1"/>
    <n v="0"/>
    <n v="0"/>
    <n v="0"/>
  </r>
  <r>
    <n v="475"/>
    <d v="2024-06-05T10:56:23"/>
    <d v="2024-06-05T11:01:37"/>
    <s v="jkathyoka@lighthouse.org.mw"/>
    <s v="Judith Kathyoka"/>
    <x v="4"/>
    <s v="Prototype"/>
    <x v="1"/>
    <s v="COP_23"/>
    <s v="COP_23"/>
    <s v="Quarter2"/>
    <s v="Quarter3"/>
    <s v="Qtr_3"/>
    <x v="6"/>
    <d v="2024-05-01T00:00:00"/>
    <d v="2024-05-31T00:00:00"/>
    <x v="0"/>
    <x v="31"/>
    <n v="5"/>
    <n v="3"/>
    <n v="1"/>
    <n v="2"/>
    <n v="1"/>
    <n v="7"/>
    <n v="6"/>
    <n v="6"/>
    <n v="1"/>
    <n v="2"/>
    <n v="1"/>
    <n v="3"/>
    <n v="0"/>
    <n v="0"/>
    <n v="0"/>
    <n v="0"/>
    <n v="0"/>
    <n v="5"/>
    <n v="1"/>
    <n v="0"/>
    <n v="1"/>
  </r>
  <r>
    <n v="478"/>
    <d v="2024-06-05T11:11:52"/>
    <d v="2024-06-05T11:14:11"/>
    <s v="jkathyoka@lighthouse.org.mw"/>
    <s v="Judith Kathyoka"/>
    <x v="4"/>
    <s v="Prototype"/>
    <x v="1"/>
    <s v="COP_23"/>
    <s v="COP_23"/>
    <s v="Quarter2"/>
    <s v="Quarter3"/>
    <s v="Qtr_3"/>
    <x v="6"/>
    <d v="2024-05-01T00:00:00"/>
    <d v="2024-05-31T00:00:00"/>
    <x v="3"/>
    <x v="21"/>
    <n v="0"/>
    <n v="0"/>
    <n v="0"/>
    <n v="0"/>
    <n v="0"/>
    <n v="0"/>
    <n v="0"/>
    <n v="0"/>
    <n v="0"/>
    <n v="0"/>
    <n v="0"/>
    <n v="0"/>
    <n v="0"/>
    <n v="0"/>
    <n v="0"/>
    <n v="0"/>
    <n v="0"/>
    <n v="0"/>
    <n v="0"/>
    <n v="0"/>
    <n v="0"/>
  </r>
  <r>
    <n v="479"/>
    <d v="2024-06-05T11:14:22"/>
    <d v="2024-06-05T11:16:41"/>
    <s v="jkathyoka@lighthouse.org.mw"/>
    <s v="Judith Kathyoka"/>
    <x v="4"/>
    <s v="Prototype"/>
    <x v="1"/>
    <s v="COP_23"/>
    <s v="COP_23"/>
    <s v="Quarter2"/>
    <s v="Quarter3"/>
    <s v="Qtr_3"/>
    <x v="6"/>
    <d v="2024-05-01T00:00:00"/>
    <d v="2024-05-31T00:00:00"/>
    <x v="4"/>
    <x v="21"/>
    <n v="0"/>
    <n v="0"/>
    <n v="0"/>
    <n v="0"/>
    <n v="0"/>
    <n v="0"/>
    <n v="0"/>
    <n v="0"/>
    <n v="0"/>
    <n v="0"/>
    <n v="0"/>
    <n v="0"/>
    <n v="0"/>
    <n v="0"/>
    <n v="0"/>
    <n v="0"/>
    <n v="0"/>
    <n v="0"/>
    <n v="0"/>
    <n v="0"/>
    <n v="0"/>
  </r>
  <r>
    <n v="481"/>
    <d v="2024-06-05T11:18:58"/>
    <d v="2024-06-05T11:21:07"/>
    <s v="jkathyoka@lighthouse.org.mw"/>
    <s v="Judith Kathyoka"/>
    <x v="4"/>
    <s v="Prototype"/>
    <x v="1"/>
    <s v="COP_23"/>
    <s v="COP_23"/>
    <s v="Quarter2"/>
    <s v="Quarter3"/>
    <s v="Qtr_3"/>
    <x v="6"/>
    <d v="2024-05-01T00:00:00"/>
    <d v="2024-05-31T00:00:00"/>
    <x v="6"/>
    <x v="21"/>
    <n v="0"/>
    <n v="0"/>
    <n v="0"/>
    <n v="0"/>
    <n v="0"/>
    <n v="0"/>
    <n v="0"/>
    <n v="0"/>
    <n v="0"/>
    <n v="0"/>
    <n v="0"/>
    <n v="0"/>
    <n v="0"/>
    <n v="0"/>
    <n v="0"/>
    <n v="0"/>
    <n v="0"/>
    <n v="0"/>
    <n v="0"/>
    <n v="0"/>
    <n v="0"/>
  </r>
  <r>
    <n v="562"/>
    <d v="2024-07-03T09:55:20"/>
    <d v="2024-07-03T09:57:07"/>
    <s v="jkathyoka@lighthouse.org.mw"/>
    <s v="Judith Kathyoka"/>
    <x v="4"/>
    <s v="Prototype"/>
    <x v="1"/>
    <s v="COP_23"/>
    <s v="COP_23"/>
    <s v="Quarter2"/>
    <s v="Quarter3"/>
    <s v="Qtr_3"/>
    <x v="8"/>
    <d v="2024-06-01T00:00:00"/>
    <d v="2024-06-30T00:00:00"/>
    <x v="3"/>
    <x v="21"/>
    <n v="0"/>
    <n v="0"/>
    <n v="0"/>
    <n v="0"/>
    <n v="0"/>
    <n v="0"/>
    <n v="0"/>
    <n v="0"/>
    <n v="0"/>
    <n v="0"/>
    <n v="0"/>
    <n v="0"/>
    <n v="0"/>
    <n v="0"/>
    <n v="0"/>
    <n v="0"/>
    <n v="0"/>
    <n v="0"/>
    <n v="0"/>
    <n v="0"/>
    <n v="0"/>
  </r>
  <r>
    <n v="563"/>
    <d v="2024-07-03T09:57:12"/>
    <d v="2024-07-03T09:58:58"/>
    <s v="jkathyoka@lighthouse.org.mw"/>
    <s v="Judith Kathyoka"/>
    <x v="4"/>
    <s v="Prototype"/>
    <x v="1"/>
    <s v="COP_23"/>
    <s v="COP_23"/>
    <s v="Quarter2"/>
    <s v="Quarter3"/>
    <s v="Qtr_3"/>
    <x v="8"/>
    <d v="2024-06-01T00:00:00"/>
    <d v="2024-06-30T00:00:00"/>
    <x v="4"/>
    <x v="21"/>
    <n v="0"/>
    <n v="0"/>
    <n v="0"/>
    <n v="0"/>
    <n v="0"/>
    <n v="0"/>
    <n v="0"/>
    <n v="0"/>
    <n v="0"/>
    <n v="0"/>
    <n v="0"/>
    <n v="0"/>
    <n v="0"/>
    <n v="0"/>
    <n v="0"/>
    <n v="0"/>
    <n v="0"/>
    <n v="0"/>
    <n v="0"/>
    <n v="0"/>
    <n v="0"/>
  </r>
  <r>
    <n v="564"/>
    <d v="2024-07-03T09:59:02"/>
    <d v="2024-07-03T10:00:53"/>
    <s v="jkathyoka@lighthouse.org.mw"/>
    <s v="Judith Kathyoka"/>
    <x v="4"/>
    <s v="Prototype"/>
    <x v="1"/>
    <s v="COP_23"/>
    <s v="COP_23"/>
    <s v="Quarter2"/>
    <s v="Quarter3"/>
    <s v="Qtr_3"/>
    <x v="8"/>
    <d v="2024-06-01T00:00:00"/>
    <d v="2024-06-30T00:00:00"/>
    <x v="5"/>
    <x v="21"/>
    <n v="0"/>
    <n v="0"/>
    <n v="0"/>
    <n v="0"/>
    <n v="0"/>
    <n v="0"/>
    <n v="0"/>
    <n v="0"/>
    <n v="0"/>
    <n v="0"/>
    <n v="0"/>
    <n v="0"/>
    <n v="0"/>
    <n v="0"/>
    <n v="0"/>
    <n v="0"/>
    <n v="0"/>
    <n v="0"/>
    <n v="0"/>
    <n v="0"/>
    <n v="0"/>
  </r>
  <r>
    <n v="567"/>
    <d v="2024-07-03T10:06:23"/>
    <d v="2024-07-03T10:08:44"/>
    <s v="jkathyoka@lighthouse.org.mw"/>
    <s v="Judith Kathyoka"/>
    <x v="4"/>
    <s v="Prototype"/>
    <x v="1"/>
    <s v="COP_23"/>
    <s v="COP_23"/>
    <s v="Quarter2"/>
    <s v="Quarter3"/>
    <s v="Qtr_3"/>
    <x v="8"/>
    <d v="2024-06-01T00:00:00"/>
    <d v="2024-06-30T00:00:00"/>
    <x v="0"/>
    <x v="54"/>
    <n v="0"/>
    <n v="4"/>
    <n v="1"/>
    <n v="0"/>
    <n v="0"/>
    <n v="5"/>
    <n v="0"/>
    <n v="0"/>
    <n v="0"/>
    <n v="0"/>
    <n v="0"/>
    <n v="0"/>
    <n v="0"/>
    <n v="0"/>
    <n v="0"/>
    <n v="0"/>
    <n v="0"/>
    <n v="0"/>
    <n v="0"/>
    <n v="0"/>
    <n v="0"/>
  </r>
  <r>
    <n v="715"/>
    <d v="2024-08-05T15:45:12"/>
    <d v="2024-08-05T15:47:02"/>
    <s v="jkathyoka@lighthouse.org.mw"/>
    <s v="Judith Kathyoka"/>
    <x v="4"/>
    <s v="Prototype"/>
    <x v="1"/>
    <s v="COP_23"/>
    <s v="COP_23"/>
    <s v="Quarter3"/>
    <s v="Quarter4"/>
    <s v="Qtr_4"/>
    <x v="9"/>
    <d v="2024-07-01T00:00:00"/>
    <d v="2024-07-31T00:00:00"/>
    <x v="3"/>
    <x v="21"/>
    <n v="0"/>
    <n v="0"/>
    <n v="0"/>
    <n v="0"/>
    <n v="0"/>
    <n v="0"/>
    <n v="0"/>
    <n v="0"/>
    <n v="0"/>
    <n v="0"/>
    <n v="0"/>
    <n v="0"/>
    <n v="0"/>
    <n v="0"/>
    <n v="0"/>
    <n v="0"/>
    <n v="0"/>
    <n v="0"/>
    <n v="0"/>
    <n v="0"/>
    <n v="0"/>
  </r>
  <r>
    <n v="716"/>
    <d v="2024-08-05T15:47:08"/>
    <d v="2024-08-05T15:54:13"/>
    <s v="jkathyoka@lighthouse.org.mw"/>
    <s v="Judith Kathyoka"/>
    <x v="4"/>
    <s v="Prototype"/>
    <x v="1"/>
    <s v="COP_23"/>
    <s v="COP_23"/>
    <s v="Quarter3"/>
    <s v="Quarter4"/>
    <s v="Qtr_4"/>
    <x v="9"/>
    <d v="2024-07-01T00:00:00"/>
    <d v="2024-07-31T00:00:00"/>
    <x v="4"/>
    <x v="21"/>
    <n v="0"/>
    <n v="0"/>
    <n v="0"/>
    <n v="0"/>
    <n v="0"/>
    <n v="0"/>
    <n v="0"/>
    <n v="0"/>
    <n v="0"/>
    <n v="0"/>
    <n v="0"/>
    <n v="0"/>
    <n v="0"/>
    <n v="0"/>
    <n v="0"/>
    <n v="0"/>
    <n v="0"/>
    <n v="0"/>
    <n v="0"/>
    <n v="0"/>
    <n v="0"/>
  </r>
  <r>
    <n v="717"/>
    <d v="2024-08-05T15:54:39"/>
    <d v="2024-08-05T15:57:27"/>
    <s v="jkathyoka@lighthouse.org.mw"/>
    <s v="Judith Kathyoka"/>
    <x v="4"/>
    <s v="Prototype"/>
    <x v="1"/>
    <s v="COP_22"/>
    <s v="COP_22"/>
    <s v="Quarter3"/>
    <s v="Quarter4"/>
    <s v="Qtr_4"/>
    <x v="9"/>
    <d v="2024-07-01T00:00:00"/>
    <d v="2024-07-31T00:00:00"/>
    <x v="5"/>
    <x v="21"/>
    <n v="0"/>
    <n v="0"/>
    <n v="0"/>
    <n v="0"/>
    <n v="0"/>
    <n v="0"/>
    <n v="0"/>
    <n v="0"/>
    <n v="0"/>
    <n v="0"/>
    <n v="0"/>
    <n v="0"/>
    <n v="0"/>
    <n v="0"/>
    <n v="0"/>
    <n v="0"/>
    <n v="0"/>
    <n v="0"/>
    <n v="0"/>
    <n v="0"/>
    <n v="0"/>
  </r>
  <r>
    <n v="725"/>
    <d v="2024-08-06T17:52:57"/>
    <d v="2024-08-06T17:57:32"/>
    <s v="jkathyoka@lighthouse.org.mw"/>
    <s v="Judith Kathyoka"/>
    <x v="4"/>
    <s v="Prototype"/>
    <x v="1"/>
    <s v="COP_23"/>
    <s v="COP_23"/>
    <s v="Quarter2"/>
    <s v="Quarter3"/>
    <s v="Qtr_3"/>
    <x v="6"/>
    <d v="2024-05-01T00:00:00"/>
    <d v="2024-05-31T00:00:00"/>
    <x v="5"/>
    <x v="21"/>
    <n v="0"/>
    <n v="0"/>
    <n v="0"/>
    <n v="0"/>
    <n v="0"/>
    <n v="0"/>
    <n v="0"/>
    <n v="0"/>
    <n v="0"/>
    <n v="0"/>
    <n v="0"/>
    <n v="0"/>
    <n v="0"/>
    <n v="0"/>
    <n v="0"/>
    <n v="0"/>
    <n v="0"/>
    <n v="0"/>
    <n v="0"/>
    <n v="0"/>
    <n v="0"/>
  </r>
  <r>
    <n v="726"/>
    <d v="2024-08-06T17:57:49"/>
    <d v="2024-08-06T17:59:43"/>
    <s v="jkathyoka@lighthouse.org.mw"/>
    <s v="Judith Kathyoka"/>
    <x v="4"/>
    <s v="Prototype"/>
    <x v="1"/>
    <s v="COP_23"/>
    <s v="COP_23"/>
    <s v="Quarter3"/>
    <s v="Quarter4"/>
    <s v="Qtr_4"/>
    <x v="9"/>
    <d v="2024-07-01T00:00:00"/>
    <d v="2024-07-31T00:00:00"/>
    <x v="6"/>
    <x v="21"/>
    <n v="0"/>
    <n v="0"/>
    <n v="0"/>
    <n v="0"/>
    <n v="0"/>
    <n v="0"/>
    <n v="0"/>
    <n v="0"/>
    <n v="0"/>
    <n v="0"/>
    <n v="0"/>
    <n v="0"/>
    <n v="0"/>
    <n v="0"/>
    <n v="0"/>
    <n v="0"/>
    <n v="0"/>
    <n v="0"/>
    <n v="0"/>
    <n v="0"/>
    <n v="0"/>
  </r>
  <r>
    <n v="727"/>
    <d v="2024-08-06T17:59:59"/>
    <d v="2024-08-06T18:03:29"/>
    <s v="jkathyoka@lighthouse.org.mw"/>
    <s v="Judith Kathyoka"/>
    <x v="4"/>
    <s v="Prototype"/>
    <x v="1"/>
    <s v="COP_23"/>
    <s v="COP_23"/>
    <s v="Quarter3"/>
    <s v="Quarter4"/>
    <s v="Qtr_4"/>
    <x v="9"/>
    <d v="2024-07-01T00:00:00"/>
    <d v="2024-07-31T00:00:00"/>
    <x v="0"/>
    <x v="44"/>
    <n v="2"/>
    <n v="14"/>
    <n v="0"/>
    <n v="2"/>
    <n v="0"/>
    <n v="16"/>
    <n v="3"/>
    <n v="6"/>
    <n v="0"/>
    <n v="1"/>
    <n v="0"/>
    <n v="0"/>
    <n v="0"/>
    <n v="0"/>
    <n v="0"/>
    <n v="0"/>
    <n v="0"/>
    <n v="0"/>
    <n v="0"/>
    <n v="0"/>
    <n v="0"/>
  </r>
  <r>
    <n v="771"/>
    <d v="2024-08-19T11:32:31"/>
    <d v="2024-08-19T11:34:05"/>
    <s v="jkathyoka@lighthouse.org.mw"/>
    <s v="Judith Kathyoka"/>
    <x v="4"/>
    <s v="Prototype"/>
    <x v="1"/>
    <s v="COP_23"/>
    <s v="COP_23"/>
    <s v="Quarter2"/>
    <s v="Quarter3"/>
    <s v="Qtr_3"/>
    <x v="7"/>
    <d v="2024-04-01T00:00:00"/>
    <d v="2024-04-30T00:00:00"/>
    <x v="5"/>
    <x v="21"/>
    <n v="0"/>
    <n v="0"/>
    <n v="0"/>
    <n v="0"/>
    <n v="0"/>
    <n v="0"/>
    <n v="0"/>
    <n v="0"/>
    <n v="0"/>
    <n v="0"/>
    <n v="0"/>
    <n v="0"/>
    <n v="0"/>
    <n v="0"/>
    <n v="0"/>
    <n v="0"/>
    <n v="0"/>
    <n v="0"/>
    <n v="0"/>
    <n v="0"/>
    <n v="0"/>
  </r>
  <r>
    <n v="772"/>
    <d v="2024-08-19T11:34:29"/>
    <d v="2024-08-19T11:35:37"/>
    <s v="jkathyoka@lighthouse.org.mw"/>
    <s v="Judith Kathyoka"/>
    <x v="4"/>
    <s v="Prototype"/>
    <x v="1"/>
    <s v="COP_23"/>
    <s v="COP_23"/>
    <s v="Quarter2"/>
    <s v="Quarter3"/>
    <s v="Qtr_3"/>
    <x v="7"/>
    <d v="2024-04-01T00:00:00"/>
    <d v="2024-04-30T00:00:00"/>
    <x v="3"/>
    <x v="21"/>
    <n v="0"/>
    <n v="0"/>
    <n v="0"/>
    <n v="0"/>
    <n v="0"/>
    <n v="0"/>
    <n v="0"/>
    <n v="0"/>
    <n v="0"/>
    <n v="0"/>
    <n v="0"/>
    <n v="0"/>
    <n v="0"/>
    <n v="0"/>
    <n v="0"/>
    <n v="0"/>
    <n v="0"/>
    <n v="0"/>
    <n v="0"/>
    <n v="0"/>
    <n v="0"/>
  </r>
  <r>
    <n v="773"/>
    <d v="2024-08-19T11:35:47"/>
    <d v="2024-08-19T11:36:53"/>
    <s v="jkathyoka@lighthouse.org.mw"/>
    <s v="Judith Kathyoka"/>
    <x v="4"/>
    <s v="Prototype"/>
    <x v="1"/>
    <s v="COP_23"/>
    <s v="COP_23"/>
    <s v="Quarter2"/>
    <s v="Quarter3"/>
    <s v="Qtr_3"/>
    <x v="7"/>
    <d v="2024-04-01T00:00:00"/>
    <d v="2024-04-30T00:00:00"/>
    <x v="4"/>
    <x v="21"/>
    <n v="0"/>
    <n v="0"/>
    <n v="0"/>
    <n v="0"/>
    <n v="0"/>
    <n v="0"/>
    <n v="0"/>
    <n v="0"/>
    <n v="0"/>
    <n v="0"/>
    <n v="0"/>
    <n v="0"/>
    <n v="0"/>
    <n v="0"/>
    <n v="0"/>
    <n v="0"/>
    <n v="0"/>
    <n v="0"/>
    <n v="0"/>
    <n v="0"/>
    <n v="0"/>
  </r>
  <r>
    <n v="820"/>
    <d v="2024-09-19T08:19:02"/>
    <d v="2024-09-19T08:23:27"/>
    <s v="jkathyoka@lighthouse.org.mw"/>
    <s v="Judith Kathyoka"/>
    <x v="4"/>
    <s v="Prototype"/>
    <x v="1"/>
    <s v="COP_23"/>
    <s v="COP_23"/>
    <s v="Quarter3"/>
    <s v="Quarter4"/>
    <s v="Qtr_4"/>
    <x v="10"/>
    <d v="2024-08-01T00:00:00"/>
    <d v="2024-08-31T00:00:00"/>
    <x v="0"/>
    <x v="31"/>
    <n v="0"/>
    <n v="7"/>
    <n v="0"/>
    <n v="0"/>
    <n v="0"/>
    <n v="7"/>
    <n v="0"/>
    <n v="0"/>
    <n v="0"/>
    <n v="0"/>
    <n v="0"/>
    <n v="0"/>
    <n v="0"/>
    <n v="0"/>
    <n v="0"/>
    <n v="0"/>
    <n v="0"/>
    <n v="0"/>
    <n v="0"/>
    <n v="0"/>
    <n v="0"/>
  </r>
  <r>
    <n v="823"/>
    <d v="2024-09-19T08:35:18"/>
    <d v="2024-09-19T08:36:28"/>
    <s v="jkathyoka@lighthouse.org.mw"/>
    <s v="Judith Kathyoka"/>
    <x v="4"/>
    <s v="Prototype"/>
    <x v="1"/>
    <s v="COP_23"/>
    <s v="COP_23"/>
    <s v="Quarter3"/>
    <s v="Quarter4"/>
    <s v="Qtr_4"/>
    <x v="10"/>
    <d v="2024-08-01T00:00:00"/>
    <d v="2024-08-31T00:00:00"/>
    <x v="3"/>
    <x v="21"/>
    <n v="0"/>
    <n v="0"/>
    <n v="0"/>
    <n v="0"/>
    <n v="0"/>
    <n v="0"/>
    <n v="0"/>
    <n v="0"/>
    <n v="0"/>
    <n v="0"/>
    <n v="0"/>
    <n v="0"/>
    <n v="0"/>
    <n v="0"/>
    <n v="0"/>
    <n v="0"/>
    <n v="0"/>
    <n v="0"/>
    <n v="0"/>
    <n v="0"/>
    <n v="0"/>
  </r>
  <r>
    <n v="824"/>
    <d v="2024-09-19T08:36:31"/>
    <d v="2024-09-19T08:37:24"/>
    <s v="jkathyoka@lighthouse.org.mw"/>
    <s v="Judith Kathyoka"/>
    <x v="4"/>
    <s v="Prototype"/>
    <x v="1"/>
    <s v="COP_23"/>
    <s v="COP_23"/>
    <s v="Quarter3"/>
    <s v="Quarter4"/>
    <s v="Qtr_4"/>
    <x v="10"/>
    <d v="2024-08-01T00:00:00"/>
    <d v="2024-08-31T00:00:00"/>
    <x v="4"/>
    <x v="21"/>
    <n v="0"/>
    <n v="0"/>
    <n v="0"/>
    <n v="0"/>
    <n v="0"/>
    <n v="0"/>
    <n v="0"/>
    <n v="0"/>
    <n v="0"/>
    <n v="0"/>
    <n v="0"/>
    <n v="0"/>
    <n v="0"/>
    <n v="0"/>
    <n v="0"/>
    <n v="0"/>
    <n v="0"/>
    <n v="0"/>
    <n v="0"/>
    <n v="0"/>
    <n v="0"/>
  </r>
  <r>
    <n v="825"/>
    <d v="2024-09-19T08:37:26"/>
    <d v="2024-09-19T08:38:30"/>
    <s v="jkathyoka@lighthouse.org.mw"/>
    <s v="Judith Kathyoka"/>
    <x v="4"/>
    <s v="Prototype"/>
    <x v="1"/>
    <s v="COP_23"/>
    <s v="COP_23"/>
    <s v="Quarter3"/>
    <s v="Quarter4"/>
    <s v="Qtr_4"/>
    <x v="10"/>
    <d v="2024-08-01T00:00:00"/>
    <d v="2024-08-31T00:00:00"/>
    <x v="5"/>
    <x v="21"/>
    <n v="0"/>
    <n v="0"/>
    <n v="0"/>
    <n v="0"/>
    <n v="0"/>
    <n v="0"/>
    <n v="0"/>
    <n v="0"/>
    <n v="0"/>
    <n v="0"/>
    <n v="0"/>
    <n v="0"/>
    <n v="0"/>
    <n v="0"/>
    <n v="0"/>
    <n v="0"/>
    <n v="0"/>
    <n v="0"/>
    <n v="0"/>
    <n v="0"/>
    <n v="0"/>
  </r>
  <r>
    <n v="826"/>
    <d v="2024-09-19T08:38:32"/>
    <d v="2024-09-19T08:39:43"/>
    <s v="jkathyoka@lighthouse.org.mw"/>
    <s v="Judith Kathyoka"/>
    <x v="4"/>
    <s v="Prototype"/>
    <x v="1"/>
    <s v="COP_23"/>
    <s v="COP_23"/>
    <s v="Quarter3"/>
    <s v="Quarter4"/>
    <s v="Qtr_4"/>
    <x v="10"/>
    <d v="2024-08-01T00:00:00"/>
    <d v="2024-08-31T00:00:00"/>
    <x v="6"/>
    <x v="21"/>
    <n v="0"/>
    <n v="0"/>
    <n v="0"/>
    <n v="0"/>
    <n v="0"/>
    <n v="0"/>
    <n v="0"/>
    <n v="0"/>
    <n v="0"/>
    <n v="0"/>
    <n v="0"/>
    <n v="0"/>
    <n v="0"/>
    <n v="0"/>
    <n v="0"/>
    <n v="0"/>
    <n v="0"/>
    <n v="0"/>
    <n v="0"/>
    <n v="0"/>
    <n v="0"/>
  </r>
  <r>
    <n v="879"/>
    <d v="2024-10-03T15:47:46"/>
    <d v="2024-10-03T15:50:56"/>
    <s v="jkathyoka@lighthouse.org.mw"/>
    <s v="Judith Kathyoka"/>
    <x v="4"/>
    <s v="Prototype"/>
    <x v="1"/>
    <s v="COP_23"/>
    <s v="COP_23"/>
    <s v="Quarter3"/>
    <s v="Quarter4"/>
    <s v="Qtr_4"/>
    <x v="2"/>
    <d v="2024-09-01T00:00:00"/>
    <d v="2024-09-30T00:00:00"/>
    <x v="0"/>
    <x v="23"/>
    <n v="2"/>
    <n v="11"/>
    <n v="0"/>
    <n v="2"/>
    <n v="0"/>
    <n v="13"/>
    <n v="6"/>
    <n v="6"/>
    <n v="0"/>
    <n v="0"/>
    <n v="0"/>
    <n v="6"/>
    <n v="0"/>
    <n v="0"/>
    <n v="0"/>
    <n v="0"/>
    <n v="0"/>
    <n v="4"/>
    <n v="0"/>
    <n v="0"/>
    <n v="0"/>
  </r>
  <r>
    <n v="880"/>
    <d v="2024-10-03T15:51:17"/>
    <d v="2024-10-03T15:52:18"/>
    <s v="jkathyoka@lighthouse.org.mw"/>
    <s v="Judith Kathyoka"/>
    <x v="4"/>
    <s v="Prototype"/>
    <x v="1"/>
    <s v="COP_23"/>
    <s v="COP_23"/>
    <s v="Quarter3"/>
    <s v="Quarter4"/>
    <s v="Qtr_4"/>
    <x v="2"/>
    <d v="2024-09-01T00:00:00"/>
    <d v="2024-09-30T00:00:00"/>
    <x v="3"/>
    <x v="21"/>
    <n v="0"/>
    <n v="0"/>
    <n v="0"/>
    <n v="0"/>
    <n v="0"/>
    <n v="0"/>
    <n v="0"/>
    <n v="0"/>
    <n v="0"/>
    <n v="0"/>
    <n v="0"/>
    <n v="0"/>
    <n v="0"/>
    <n v="0"/>
    <n v="0"/>
    <n v="0"/>
    <n v="0"/>
    <n v="0"/>
    <n v="0"/>
    <n v="0"/>
    <n v="0"/>
  </r>
  <r>
    <n v="881"/>
    <d v="2024-10-03T15:54:24"/>
    <d v="2024-10-03T15:55:26"/>
    <s v="jkathyoka@lighthouse.org.mw"/>
    <s v="Judith Kathyoka"/>
    <x v="4"/>
    <s v="Prototype"/>
    <x v="1"/>
    <s v="COP_23"/>
    <s v="COP_23"/>
    <s v="Quarter3"/>
    <s v="Quarter4"/>
    <s v="Qtr_4"/>
    <x v="2"/>
    <d v="2024-09-01T00:00:00"/>
    <d v="2024-09-30T00:00:00"/>
    <x v="4"/>
    <x v="21"/>
    <n v="0"/>
    <n v="0"/>
    <n v="0"/>
    <n v="0"/>
    <n v="0"/>
    <n v="0"/>
    <n v="0"/>
    <n v="0"/>
    <n v="0"/>
    <n v="0"/>
    <n v="0"/>
    <n v="0"/>
    <n v="0"/>
    <n v="0"/>
    <n v="0"/>
    <n v="0"/>
    <n v="0"/>
    <n v="0"/>
    <n v="0"/>
    <n v="0"/>
    <n v="0"/>
  </r>
  <r>
    <n v="910"/>
    <d v="2024-10-08T15:35:24"/>
    <d v="2024-10-08T15:38:35"/>
    <s v="jkathyoka@lighthouse.org.mw"/>
    <s v="Judith Kathyoka"/>
    <x v="4"/>
    <s v="Prototype"/>
    <x v="1"/>
    <s v="COP_23"/>
    <s v="COP_23"/>
    <s v="Quarter3"/>
    <s v="Quarter4"/>
    <s v="Qtr_4"/>
    <x v="2"/>
    <d v="2024-09-01T00:00:00"/>
    <d v="2024-09-30T00:00:00"/>
    <x v="5"/>
    <x v="21"/>
    <n v="0"/>
    <n v="0"/>
    <n v="0"/>
    <n v="0"/>
    <n v="0"/>
    <n v="0"/>
    <n v="0"/>
    <n v="0"/>
    <n v="0"/>
    <n v="0"/>
    <n v="0"/>
    <n v="0"/>
    <n v="0"/>
    <n v="0"/>
    <n v="0"/>
    <n v="0"/>
    <n v="0"/>
    <n v="0"/>
    <n v="0"/>
    <n v="0"/>
    <n v="0"/>
  </r>
  <r>
    <n v="913"/>
    <d v="2024-10-08T15:40:36"/>
    <d v="2024-10-08T15:41:40"/>
    <s v="jkathyoka@lighthouse.org.mw"/>
    <s v="Judith Kathyoka"/>
    <x v="4"/>
    <s v="Prototype"/>
    <x v="1"/>
    <s v="COP_23"/>
    <s v="COP_23"/>
    <s v="Quarter3"/>
    <s v="Quarter4"/>
    <s v="Qtr_4"/>
    <x v="2"/>
    <d v="2024-09-01T00:00:00"/>
    <d v="2024-09-30T00:00:00"/>
    <x v="6"/>
    <x v="21"/>
    <n v="0"/>
    <n v="0"/>
    <n v="0"/>
    <n v="0"/>
    <n v="0"/>
    <n v="0"/>
    <n v="0"/>
    <n v="0"/>
    <n v="0"/>
    <n v="0"/>
    <n v="0"/>
    <n v="0"/>
    <n v="0"/>
    <n v="0"/>
    <n v="0"/>
    <n v="0"/>
    <n v="0"/>
    <n v="0"/>
    <n v="0"/>
    <n v="0"/>
    <n v="0"/>
  </r>
  <r>
    <n v="1054"/>
    <d v="2024-11-11T14:10:59"/>
    <d v="2024-11-11T14:12:44"/>
    <s v="jkathyoka@lighthouse.org.mw"/>
    <s v="Judith Kathyoka"/>
    <x v="4"/>
    <s v="Prototype"/>
    <x v="1"/>
    <s v="COP_23"/>
    <s v="COP_24"/>
    <s v="Quarter4"/>
    <s v="Quarter1"/>
    <s v="Qtr_1"/>
    <x v="0"/>
    <d v="2024-10-01T00:00:00"/>
    <d v="2024-10-31T00:00:00"/>
    <x v="3"/>
    <x v="21"/>
    <n v="0"/>
    <n v="0"/>
    <n v="0"/>
    <n v="0"/>
    <n v="0"/>
    <n v="0"/>
    <n v="0"/>
    <n v="0"/>
    <n v="0"/>
    <n v="0"/>
    <n v="0"/>
    <n v="0"/>
    <n v="0"/>
    <n v="0"/>
    <n v="0"/>
    <n v="0"/>
    <n v="0"/>
    <n v="0"/>
    <n v="0"/>
    <n v="0"/>
    <n v="0"/>
  </r>
  <r>
    <n v="1055"/>
    <d v="2024-11-11T14:12:50"/>
    <d v="2024-11-11T14:14:46"/>
    <s v="jkathyoka@lighthouse.org.mw"/>
    <s v="Judith Kathyoka"/>
    <x v="4"/>
    <s v="Prototype"/>
    <x v="1"/>
    <s v="COP_23"/>
    <s v="COP_24"/>
    <s v="Quarter4"/>
    <s v="Quarter1"/>
    <s v="Qtr_1"/>
    <x v="0"/>
    <d v="2024-10-01T00:00:00"/>
    <d v="2024-10-31T00:00:00"/>
    <x v="4"/>
    <x v="21"/>
    <n v="0"/>
    <n v="0"/>
    <n v="0"/>
    <n v="0"/>
    <n v="0"/>
    <n v="0"/>
    <n v="0"/>
    <n v="0"/>
    <n v="0"/>
    <n v="0"/>
    <n v="0"/>
    <n v="0"/>
    <n v="0"/>
    <n v="0"/>
    <n v="0"/>
    <n v="0"/>
    <n v="0"/>
    <n v="0"/>
    <n v="0"/>
    <n v="0"/>
    <n v="0"/>
  </r>
  <r>
    <n v="1056"/>
    <d v="2024-11-11T14:14:50"/>
    <d v="2024-11-11T14:16:32"/>
    <s v="jkathyoka@lighthouse.org.mw"/>
    <s v="Judith Kathyoka"/>
    <x v="4"/>
    <s v="Prototype"/>
    <x v="1"/>
    <s v="COP_23"/>
    <s v="COP_24"/>
    <s v="Quarter4"/>
    <s v="Quarter1"/>
    <s v="Qtr_1"/>
    <x v="0"/>
    <d v="2024-10-01T00:00:00"/>
    <d v="2024-10-31T00:00:00"/>
    <x v="5"/>
    <x v="21"/>
    <n v="0"/>
    <n v="0"/>
    <n v="0"/>
    <n v="0"/>
    <n v="0"/>
    <n v="0"/>
    <n v="0"/>
    <n v="0"/>
    <n v="0"/>
    <n v="0"/>
    <n v="0"/>
    <n v="0"/>
    <n v="0"/>
    <n v="0"/>
    <n v="0"/>
    <n v="0"/>
    <n v="0"/>
    <n v="0"/>
    <n v="0"/>
    <n v="0"/>
    <n v="0"/>
  </r>
  <r>
    <n v="1058"/>
    <d v="2024-11-11T14:20:10"/>
    <d v="2024-11-11T14:21:47"/>
    <s v="jkathyoka@lighthouse.org.mw"/>
    <s v="Judith Kathyoka"/>
    <x v="4"/>
    <s v="Prototype"/>
    <x v="1"/>
    <s v="COP_23"/>
    <s v="COP_24"/>
    <s v="Quarter4"/>
    <s v="Quarter1"/>
    <s v="Qtr_1"/>
    <x v="0"/>
    <d v="2024-10-01T00:00:00"/>
    <d v="2024-10-31T00:00:00"/>
    <x v="6"/>
    <x v="21"/>
    <n v="0"/>
    <n v="0"/>
    <n v="0"/>
    <n v="0"/>
    <n v="0"/>
    <n v="0"/>
    <n v="0"/>
    <n v="0"/>
    <n v="0"/>
    <n v="0"/>
    <n v="0"/>
    <n v="0"/>
    <n v="0"/>
    <n v="0"/>
    <n v="0"/>
    <n v="0"/>
    <n v="0"/>
    <n v="0"/>
    <n v="0"/>
    <n v="0"/>
    <n v="0"/>
  </r>
  <r>
    <n v="1059"/>
    <d v="2024-11-11T14:21:55"/>
    <d v="2024-11-11T14:25:01"/>
    <s v="jkathyoka@lighthouse.org.mw"/>
    <s v="Judith Kathyoka"/>
    <x v="4"/>
    <s v="Prototype"/>
    <x v="1"/>
    <s v="COP_23"/>
    <s v="COP_24"/>
    <s v="Quarter4"/>
    <s v="Quarter1"/>
    <s v="Qtr_1"/>
    <x v="0"/>
    <d v="2024-10-01T00:00:00"/>
    <d v="2024-10-31T00:00:00"/>
    <x v="0"/>
    <x v="39"/>
    <n v="0"/>
    <n v="7"/>
    <n v="0"/>
    <n v="0"/>
    <n v="1"/>
    <n v="8"/>
    <n v="1"/>
    <n v="1"/>
    <n v="0"/>
    <n v="0"/>
    <n v="0"/>
    <n v="0"/>
    <n v="0"/>
    <n v="0"/>
    <n v="0"/>
    <n v="0"/>
    <n v="0"/>
    <n v="1"/>
    <n v="0"/>
    <n v="0"/>
    <n v="0"/>
  </r>
  <r>
    <n v="1103"/>
    <d v="2024-12-05T14:15:02"/>
    <d v="2024-12-05T14:18:57"/>
    <s v="jkathyoka@lighthouse.org.mw"/>
    <s v="Judith Kathyoka"/>
    <x v="4"/>
    <s v="Prototype"/>
    <x v="1"/>
    <s v="COP_23"/>
    <s v="COP_24"/>
    <s v="Quarter4"/>
    <s v="Quarter1"/>
    <s v="Qtr_1"/>
    <x v="1"/>
    <d v="2024-11-01T00:00:00"/>
    <d v="2024-11-30T00:00:00"/>
    <x v="1"/>
    <x v="36"/>
    <n v="2"/>
    <n v="7"/>
    <n v="1"/>
    <n v="1"/>
    <n v="2"/>
    <n v="11"/>
    <n v="6"/>
    <n v="6"/>
    <n v="1"/>
    <n v="2"/>
    <n v="1"/>
    <n v="6"/>
    <n v="1"/>
    <n v="0"/>
    <n v="0"/>
    <n v="0"/>
    <n v="0"/>
    <n v="4"/>
    <n v="0"/>
    <n v="1"/>
    <n v="1"/>
  </r>
  <r>
    <n v="1104"/>
    <d v="2024-12-05T14:19:18"/>
    <d v="2024-12-05T14:21:04"/>
    <s v="jkathyoka@lighthouse.org.mw"/>
    <s v="Judith Kathyoka"/>
    <x v="4"/>
    <s v="Prototype"/>
    <x v="1"/>
    <s v="COP_24"/>
    <s v="COP_24"/>
    <s v="Quarter4"/>
    <s v="Quarter1"/>
    <s v="Qtr_1"/>
    <x v="1"/>
    <d v="2024-11-01T00:00:00"/>
    <d v="2024-11-30T00:00:00"/>
    <x v="3"/>
    <x v="21"/>
    <n v="0"/>
    <n v="0"/>
    <n v="0"/>
    <n v="0"/>
    <n v="0"/>
    <n v="0"/>
    <n v="0"/>
    <n v="0"/>
    <n v="0"/>
    <n v="0"/>
    <n v="0"/>
    <n v="0"/>
    <n v="0"/>
    <n v="0"/>
    <n v="0"/>
    <n v="0"/>
    <n v="0"/>
    <n v="0"/>
    <n v="0"/>
    <n v="0"/>
    <n v="0"/>
  </r>
  <r>
    <n v="1105"/>
    <d v="2024-12-05T14:21:07"/>
    <d v="2024-12-05T14:22:35"/>
    <s v="jkathyoka@lighthouse.org.mw"/>
    <s v="Judith Kathyoka"/>
    <x v="4"/>
    <s v="Prototype"/>
    <x v="1"/>
    <s v="COP_23"/>
    <s v="COP_24"/>
    <s v="Quarter4"/>
    <s v="Quarter1"/>
    <s v="Qtr_1"/>
    <x v="1"/>
    <d v="2024-11-01T00:00:00"/>
    <d v="2024-11-30T00:00:00"/>
    <x v="4"/>
    <x v="21"/>
    <n v="0"/>
    <n v="0"/>
    <n v="0"/>
    <n v="0"/>
    <n v="0"/>
    <n v="0"/>
    <n v="0"/>
    <n v="0"/>
    <n v="0"/>
    <n v="0"/>
    <n v="0"/>
    <n v="0"/>
    <n v="0"/>
    <n v="0"/>
    <n v="0"/>
    <n v="0"/>
    <n v="0"/>
    <n v="0"/>
    <n v="0"/>
    <n v="0"/>
    <n v="0"/>
  </r>
  <r>
    <n v="1106"/>
    <d v="2024-12-05T14:22:37"/>
    <d v="2024-12-05T14:24:09"/>
    <s v="jkathyoka@lighthouse.org.mw"/>
    <s v="Judith Kathyoka"/>
    <x v="4"/>
    <s v="Prototype"/>
    <x v="1"/>
    <s v="COP_23"/>
    <s v="COP_24"/>
    <s v="Quarter4"/>
    <s v="Quarter1"/>
    <s v="Qtr_1"/>
    <x v="1"/>
    <d v="2024-11-01T00:00:00"/>
    <d v="2024-11-30T00:00:00"/>
    <x v="5"/>
    <x v="21"/>
    <n v="0"/>
    <n v="0"/>
    <n v="0"/>
    <n v="0"/>
    <n v="0"/>
    <n v="0"/>
    <n v="0"/>
    <n v="0"/>
    <n v="0"/>
    <n v="0"/>
    <n v="0"/>
    <n v="0"/>
    <n v="0"/>
    <n v="0"/>
    <n v="0"/>
    <n v="0"/>
    <n v="0"/>
    <n v="0"/>
    <n v="0"/>
    <n v="0"/>
    <n v="0"/>
  </r>
  <r>
    <n v="1107"/>
    <d v="2024-12-05T14:24:12"/>
    <d v="2024-12-05T14:26:23"/>
    <s v="jkathyoka@lighthouse.org.mw"/>
    <s v="Judith Kathyoka"/>
    <x v="4"/>
    <s v="Prototype"/>
    <x v="1"/>
    <s v="COP_23"/>
    <s v="COP_24"/>
    <s v="Quarter4"/>
    <s v="Quarter1"/>
    <s v="Qtr_1"/>
    <x v="1"/>
    <d v="2024-11-01T00:00:00"/>
    <d v="2024-11-30T00:00:00"/>
    <x v="2"/>
    <x v="33"/>
    <n v="1"/>
    <n v="2"/>
    <n v="0"/>
    <n v="1"/>
    <n v="1"/>
    <n v="4"/>
    <n v="0"/>
    <n v="0"/>
    <n v="0"/>
    <n v="0"/>
    <n v="0"/>
    <n v="0"/>
    <n v="0"/>
    <n v="0"/>
    <n v="0"/>
    <n v="1"/>
    <n v="1"/>
    <n v="0"/>
    <n v="0"/>
    <n v="0"/>
    <n v="0"/>
  </r>
  <r>
    <n v="1109"/>
    <d v="2024-12-05T14:27:58"/>
    <d v="2024-12-05T14:30:27"/>
    <s v="jkathyoka@lighthouse.org.mw"/>
    <s v="Judith Kathyoka"/>
    <x v="4"/>
    <s v="Prototype"/>
    <x v="1"/>
    <s v="COP_23"/>
    <s v="COP_24"/>
    <s v="Quarter4"/>
    <s v="Quarter1"/>
    <s v="Qtr_1"/>
    <x v="1"/>
    <d v="2024-11-01T00:00:00"/>
    <d v="2024-11-30T00:00:00"/>
    <x v="0"/>
    <x v="57"/>
    <n v="3"/>
    <n v="9"/>
    <n v="1"/>
    <n v="2"/>
    <n v="3"/>
    <n v="15"/>
    <n v="6"/>
    <n v="1"/>
    <n v="1"/>
    <n v="1"/>
    <n v="1"/>
    <n v="6"/>
    <n v="1"/>
    <n v="0"/>
    <n v="0"/>
    <n v="1"/>
    <n v="1"/>
    <n v="4"/>
    <n v="0"/>
    <n v="1"/>
    <n v="1"/>
  </r>
  <r>
    <n v="1200"/>
    <d v="2025-01-06T14:43:30"/>
    <d v="2025-01-06T14:51:01"/>
    <s v="jkathyoka@lighthouse.org.mw"/>
    <s v="Judith Kathyoka"/>
    <x v="4"/>
    <s v="Prototype"/>
    <x v="1"/>
    <s v="COP_23"/>
    <s v="COP_24"/>
    <s v="Quarter4"/>
    <s v="Quarter1"/>
    <s v="Qtr_1"/>
    <x v="11"/>
    <d v="2024-12-01T00:00:00"/>
    <d v="2024-12-31T00:00:00"/>
    <x v="1"/>
    <x v="39"/>
    <n v="0"/>
    <n v="7"/>
    <n v="0"/>
    <n v="0"/>
    <n v="1"/>
    <n v="8"/>
    <n v="3"/>
    <n v="2"/>
    <n v="0"/>
    <n v="0"/>
    <n v="0"/>
    <n v="3"/>
    <n v="0"/>
    <n v="0"/>
    <n v="0"/>
    <n v="0"/>
    <n v="0"/>
    <n v="1"/>
    <n v="0"/>
    <n v="0"/>
    <n v="0"/>
  </r>
  <r>
    <n v="1202"/>
    <d v="2025-01-06T14:51:07"/>
    <d v="2025-01-06T14:53:49"/>
    <s v="jkathyoka@lighthouse.org.mw"/>
    <s v="Judith Kathyoka"/>
    <x v="4"/>
    <s v="Prototype"/>
    <x v="1"/>
    <s v="COP_23"/>
    <s v="COP_24"/>
    <s v="Quarter4"/>
    <s v="Quarter1"/>
    <s v="Qtr_1"/>
    <x v="11"/>
    <d v="2024-12-01T00:00:00"/>
    <d v="2024-12-31T00:00:00"/>
    <x v="3"/>
    <x v="21"/>
    <n v="0"/>
    <n v="0"/>
    <n v="0"/>
    <n v="0"/>
    <n v="0"/>
    <n v="0"/>
    <n v="0"/>
    <n v="0"/>
    <n v="0"/>
    <n v="0"/>
    <n v="0"/>
    <n v="0"/>
    <n v="0"/>
    <n v="0"/>
    <n v="0"/>
    <n v="0"/>
    <n v="0"/>
    <n v="0"/>
    <n v="0"/>
    <n v="0"/>
    <n v="0"/>
  </r>
  <r>
    <n v="1203"/>
    <d v="2025-01-06T14:53:53"/>
    <d v="2025-01-06T14:55:07"/>
    <s v="jkathyoka@lighthouse.org.mw"/>
    <s v="Judith Kathyoka"/>
    <x v="4"/>
    <s v="Prototype"/>
    <x v="1"/>
    <s v="COP_23"/>
    <s v="COP_24"/>
    <s v="Quarter4"/>
    <s v="Quarter1"/>
    <s v="Qtr_1"/>
    <x v="11"/>
    <d v="2024-12-01T00:00:00"/>
    <d v="2024-12-31T00:00:00"/>
    <x v="4"/>
    <x v="21"/>
    <n v="0"/>
    <n v="0"/>
    <n v="0"/>
    <n v="0"/>
    <n v="0"/>
    <n v="0"/>
    <n v="0"/>
    <n v="0"/>
    <n v="0"/>
    <n v="0"/>
    <n v="0"/>
    <n v="0"/>
    <n v="0"/>
    <n v="0"/>
    <n v="0"/>
    <n v="0"/>
    <n v="0"/>
    <n v="0"/>
    <n v="0"/>
    <n v="0"/>
    <n v="0"/>
  </r>
  <r>
    <n v="1204"/>
    <d v="2025-01-06T14:55:12"/>
    <d v="2025-01-06T14:57:21"/>
    <s v="jkathyoka@lighthouse.org.mw"/>
    <s v="Judith Kathyoka"/>
    <x v="4"/>
    <s v="Prototype"/>
    <x v="1"/>
    <s v="COP_23"/>
    <s v="COP_24"/>
    <s v="Quarter4"/>
    <s v="Quarter1"/>
    <s v="Qtr_1"/>
    <x v="11"/>
    <d v="2024-12-01T00:00:00"/>
    <d v="2024-12-31T00:00:00"/>
    <x v="5"/>
    <x v="33"/>
    <n v="0"/>
    <n v="4"/>
    <n v="0"/>
    <n v="0"/>
    <n v="0"/>
    <n v="0"/>
    <n v="0"/>
    <n v="4"/>
    <n v="0"/>
    <n v="0"/>
    <n v="0"/>
    <n v="0"/>
    <n v="0"/>
    <n v="0"/>
    <n v="0"/>
    <n v="0"/>
    <n v="0"/>
    <n v="0"/>
    <n v="0"/>
    <n v="0"/>
    <n v="0"/>
  </r>
  <r>
    <n v="1206"/>
    <d v="2025-01-06T14:57:27"/>
    <d v="2025-01-06T14:59:27"/>
    <s v="jkathyoka@lighthouse.org.mw"/>
    <s v="Judith Kathyoka"/>
    <x v="4"/>
    <s v="Prototype"/>
    <x v="1"/>
    <s v="COP_23"/>
    <s v="COP_24"/>
    <s v="Quarter4"/>
    <s v="Quarter1"/>
    <s v="Qtr_1"/>
    <x v="11"/>
    <d v="2024-12-01T00:00:00"/>
    <d v="2024-12-31T00:00:00"/>
    <x v="2"/>
    <x v="33"/>
    <n v="0"/>
    <n v="4"/>
    <n v="0"/>
    <n v="0"/>
    <n v="0"/>
    <n v="0"/>
    <n v="0"/>
    <n v="0"/>
    <n v="0"/>
    <n v="0"/>
    <n v="0"/>
    <n v="0"/>
    <n v="0"/>
    <n v="0"/>
    <n v="0"/>
    <n v="0"/>
    <n v="0"/>
    <n v="0"/>
    <n v="0"/>
    <n v="0"/>
    <n v="0"/>
  </r>
  <r>
    <n v="1207"/>
    <d v="2025-01-06T14:59:36"/>
    <d v="2025-01-06T15:01:06"/>
    <s v="jkathyoka@lighthouse.org.mw"/>
    <s v="Judith Kathyoka"/>
    <x v="4"/>
    <s v="Prototype"/>
    <x v="1"/>
    <s v="COP_23"/>
    <s v="COP_24"/>
    <s v="Quarter4"/>
    <s v="Quarter1"/>
    <s v="Qtr_1"/>
    <x v="11"/>
    <d v="2024-12-01T00:00:00"/>
    <d v="2024-12-31T00:00:00"/>
    <x v="6"/>
    <x v="21"/>
    <n v="0"/>
    <n v="0"/>
    <n v="0"/>
    <n v="0"/>
    <n v="0"/>
    <n v="0"/>
    <n v="0"/>
    <n v="0"/>
    <n v="0"/>
    <n v="0"/>
    <n v="0"/>
    <n v="0"/>
    <n v="0"/>
    <n v="0"/>
    <n v="0"/>
    <n v="0"/>
    <n v="0"/>
    <n v="0"/>
    <n v="0"/>
    <n v="0"/>
    <n v="0"/>
  </r>
  <r>
    <n v="1208"/>
    <d v="2025-01-06T15:01:13"/>
    <d v="2025-01-06T15:06:04"/>
    <s v="jkathyoka@lighthouse.org.mw"/>
    <s v="Judith Kathyoka"/>
    <x v="4"/>
    <s v="Prototype"/>
    <x v="1"/>
    <s v="COP_23"/>
    <s v="COP_24"/>
    <s v="Quarter4"/>
    <s v="Quarter1"/>
    <s v="Qtr_1"/>
    <x v="11"/>
    <d v="2024-12-01T00:00:00"/>
    <d v="2024-12-31T00:00:00"/>
    <x v="0"/>
    <x v="29"/>
    <n v="0"/>
    <n v="11"/>
    <n v="0"/>
    <n v="0"/>
    <n v="1"/>
    <n v="12"/>
    <n v="3"/>
    <n v="0"/>
    <n v="0"/>
    <n v="0"/>
    <n v="0"/>
    <n v="3"/>
    <n v="0"/>
    <n v="0"/>
    <n v="0"/>
    <n v="1"/>
    <n v="0"/>
    <n v="1"/>
    <n v="0"/>
    <n v="0"/>
    <n v="0"/>
  </r>
  <r>
    <n v="1333"/>
    <d v="2025-02-26T14:16:09"/>
    <d v="2025-02-26T14:33:53"/>
    <s v="jkathyoka@lighthouse.org.mw"/>
    <s v="Judith Kathyoka"/>
    <x v="4"/>
    <s v="Prototype"/>
    <x v="2"/>
    <s v="COP_23"/>
    <s v="COP_24"/>
    <s v="Quarter1"/>
    <s v="Quarter2"/>
    <s v="Qtr_2"/>
    <x v="4"/>
    <d v="2025-01-01T00:00:00"/>
    <d v="2025-01-31T00:00:00"/>
    <x v="1"/>
    <x v="39"/>
    <n v="0"/>
    <n v="8"/>
    <n v="0"/>
    <n v="0"/>
    <n v="0"/>
    <n v="8"/>
    <n v="1"/>
    <n v="1"/>
    <n v="0"/>
    <n v="0"/>
    <n v="0"/>
    <n v="1"/>
    <n v="0"/>
    <n v="0"/>
    <n v="0"/>
    <n v="0"/>
    <n v="0"/>
    <n v="0"/>
    <n v="0"/>
    <n v="0"/>
    <n v="0"/>
  </r>
  <r>
    <n v="1334"/>
    <d v="2025-02-26T14:36:41"/>
    <d v="2025-02-26T14:49:07"/>
    <s v="jkathyoka@lighthouse.org.mw"/>
    <s v="Judith Kathyoka"/>
    <x v="4"/>
    <s v="Prototype"/>
    <x v="2"/>
    <s v="COP_23"/>
    <s v="COP_24"/>
    <s v="Quarter1"/>
    <s v="Quarter2"/>
    <s v="Qtr_2"/>
    <x v="4"/>
    <d v="2025-01-01T00:00:00"/>
    <d v="2025-01-31T00:00:00"/>
    <x v="3"/>
    <x v="21"/>
    <n v="0"/>
    <n v="0"/>
    <n v="0"/>
    <n v="0"/>
    <n v="0"/>
    <n v="0"/>
    <n v="0"/>
    <n v="0"/>
    <n v="0"/>
    <n v="0"/>
    <n v="0"/>
    <n v="0"/>
    <n v="0"/>
    <n v="0"/>
    <n v="0"/>
    <n v="0"/>
    <n v="0"/>
    <n v="0"/>
    <n v="0"/>
    <n v="0"/>
    <n v="0"/>
  </r>
  <r>
    <n v="1335"/>
    <d v="2025-02-26T14:49:10"/>
    <d v="2025-02-26T14:51:02"/>
    <s v="jkathyoka@lighthouse.org.mw"/>
    <s v="Judith Kathyoka"/>
    <x v="4"/>
    <s v="Prototype"/>
    <x v="2"/>
    <s v="COP_23"/>
    <s v="COP_24"/>
    <s v="Quarter1"/>
    <s v="Quarter2"/>
    <s v="Qtr_2"/>
    <x v="4"/>
    <d v="2025-01-01T00:00:00"/>
    <d v="2025-01-31T00:00:00"/>
    <x v="4"/>
    <x v="21"/>
    <n v="0"/>
    <n v="0"/>
    <n v="0"/>
    <n v="0"/>
    <n v="0"/>
    <n v="0"/>
    <n v="0"/>
    <n v="0"/>
    <n v="0"/>
    <n v="0"/>
    <n v="0"/>
    <n v="0"/>
    <n v="0"/>
    <n v="0"/>
    <n v="0"/>
    <n v="0"/>
    <n v="0"/>
    <n v="0"/>
    <n v="0"/>
    <n v="0"/>
    <n v="0"/>
  </r>
  <r>
    <n v="1336"/>
    <d v="2025-02-26T15:37:58"/>
    <d v="2025-02-26T15:39:52"/>
    <s v="jkathyoka@lighthouse.org.mw"/>
    <s v="Judith Kathyoka"/>
    <x v="4"/>
    <s v="Prototype"/>
    <x v="2"/>
    <s v="COP_24"/>
    <s v="COP_24"/>
    <s v="Quarter1"/>
    <s v="Quarter2"/>
    <s v="Qtr_2"/>
    <x v="4"/>
    <d v="2025-01-01T00:00:00"/>
    <d v="2025-01-31T00:00:00"/>
    <x v="5"/>
    <x v="21"/>
    <n v="0"/>
    <n v="0"/>
    <n v="0"/>
    <n v="0"/>
    <n v="0"/>
    <n v="0"/>
    <n v="0"/>
    <n v="0"/>
    <n v="0"/>
    <n v="0"/>
    <n v="0"/>
    <n v="0"/>
    <n v="0"/>
    <n v="0"/>
    <n v="0"/>
    <n v="0"/>
    <n v="0"/>
    <n v="0"/>
    <n v="0"/>
    <n v="0"/>
    <n v="0"/>
  </r>
  <r>
    <n v="1337"/>
    <d v="2025-02-26T15:39:55"/>
    <d v="2025-02-26T15:52:09"/>
    <s v="jkathyoka@lighthouse.org.mw"/>
    <s v="Judith Kathyoka"/>
    <x v="4"/>
    <s v="Prototype"/>
    <x v="2"/>
    <s v="COP_23"/>
    <s v="COP_24"/>
    <s v="Quarter1"/>
    <s v="Quarter2"/>
    <s v="Qtr_2"/>
    <x v="4"/>
    <d v="2025-01-01T00:00:00"/>
    <d v="2025-01-31T00:00:00"/>
    <x v="2"/>
    <x v="33"/>
    <n v="0"/>
    <n v="4"/>
    <n v="0"/>
    <n v="0"/>
    <n v="0"/>
    <n v="4"/>
    <n v="0"/>
    <n v="1"/>
    <n v="0"/>
    <n v="0"/>
    <n v="0"/>
    <n v="1"/>
    <n v="0"/>
    <n v="0"/>
    <n v="0"/>
    <n v="0"/>
    <n v="0"/>
    <n v="0"/>
    <n v="0"/>
    <n v="0"/>
    <n v="0"/>
  </r>
  <r>
    <n v="1338"/>
    <d v="2025-02-26T15:53:46"/>
    <d v="2025-02-26T15:55:10"/>
    <s v="jkathyoka@lighthouse.org.mw"/>
    <s v="Judith Kathyoka"/>
    <x v="4"/>
    <s v="Prototype"/>
    <x v="2"/>
    <s v="COP_23"/>
    <s v="COP_24"/>
    <s v="Quarter1"/>
    <s v="Quarter2"/>
    <s v="Qtr_2"/>
    <x v="4"/>
    <d v="2025-01-01T00:00:00"/>
    <d v="2025-01-31T00:00:00"/>
    <x v="6"/>
    <x v="21"/>
    <n v="0"/>
    <n v="0"/>
    <n v="0"/>
    <n v="0"/>
    <n v="0"/>
    <n v="0"/>
    <n v="0"/>
    <n v="0"/>
    <n v="0"/>
    <n v="0"/>
    <n v="0"/>
    <n v="0"/>
    <n v="0"/>
    <n v="0"/>
    <n v="0"/>
    <n v="0"/>
    <n v="0"/>
    <n v="0"/>
    <n v="0"/>
    <n v="0"/>
    <n v="0"/>
  </r>
  <r>
    <n v="1339"/>
    <d v="2025-02-26T15:55:14"/>
    <d v="2025-02-26T16:00:37"/>
    <s v="jkathyoka@lighthouse.org.mw"/>
    <s v="Judith Kathyoka"/>
    <x v="4"/>
    <s v="Prototype"/>
    <x v="2"/>
    <s v="COP_23"/>
    <s v="COP_24"/>
    <s v="Quarter1"/>
    <s v="Quarter2"/>
    <s v="Qtr_2"/>
    <x v="4"/>
    <d v="2025-01-01T00:00:00"/>
    <d v="2025-01-31T00:00:00"/>
    <x v="0"/>
    <x v="29"/>
    <n v="0"/>
    <n v="12"/>
    <n v="0"/>
    <n v="0"/>
    <n v="0"/>
    <n v="12"/>
    <n v="1"/>
    <n v="2"/>
    <n v="0"/>
    <n v="0"/>
    <n v="0"/>
    <n v="2"/>
    <n v="0"/>
    <n v="0"/>
    <n v="0"/>
    <n v="0"/>
    <n v="0"/>
    <n v="0"/>
    <n v="0"/>
    <n v="0"/>
    <n v="0"/>
  </r>
  <r>
    <n v="1340"/>
    <m/>
    <d v="2025-03-06T08:16:03"/>
    <s v="jkathyoka@lighthouse.org.mw"/>
    <s v="Judith Kathyoka"/>
    <x v="4"/>
    <s v="Prototype"/>
    <x v="2"/>
    <s v="COP_23"/>
    <s v="COP_24"/>
    <s v="Quarter1"/>
    <s v="Quarter2"/>
    <s v="Qtr_2"/>
    <x v="5"/>
    <d v="2025-01-01T00:00:00"/>
    <d v="2025-01-31T00:00:00"/>
    <x v="1"/>
    <x v="33"/>
    <n v="0"/>
    <n v="4"/>
    <n v="0"/>
    <n v="0"/>
    <n v="0"/>
    <n v="4"/>
    <n v="1"/>
    <n v="1"/>
    <n v="0"/>
    <n v="0"/>
    <n v="0"/>
    <n v="1"/>
    <n v="0"/>
    <n v="0"/>
    <n v="0"/>
    <n v="0"/>
    <n v="0"/>
    <n v="1"/>
    <n v="0"/>
    <n v="0"/>
    <n v="0"/>
  </r>
  <r>
    <n v="1341"/>
    <d v="2025-03-06T08:16:14"/>
    <d v="2025-03-06T08:17:57"/>
    <s v="jkathyoka@lighthouse.org.mw"/>
    <s v="Judith Kathyoka"/>
    <x v="4"/>
    <s v="Prototype"/>
    <x v="2"/>
    <s v="COP_23"/>
    <s v="COP_24"/>
    <s v="Quarter1"/>
    <s v="Quarter2"/>
    <s v="Qtr_2"/>
    <x v="5"/>
    <d v="2025-02-01T00:00:00"/>
    <d v="2025-02-28T00:00:00"/>
    <x v="3"/>
    <x v="21"/>
    <n v="0"/>
    <n v="0"/>
    <n v="0"/>
    <n v="0"/>
    <n v="0"/>
    <n v="0"/>
    <n v="0"/>
    <n v="0"/>
    <n v="0"/>
    <n v="0"/>
    <n v="0"/>
    <n v="0"/>
    <n v="0"/>
    <n v="0"/>
    <n v="0"/>
    <n v="0"/>
    <n v="0"/>
    <n v="0"/>
    <n v="0"/>
    <n v="0"/>
    <n v="0"/>
  </r>
  <r>
    <n v="1342"/>
    <d v="2025-03-06T08:18:00"/>
    <d v="2025-03-06T08:19:45"/>
    <s v="jkathyoka@lighthouse.org.mw"/>
    <s v="Judith Kathyoka"/>
    <x v="4"/>
    <s v="Prototype"/>
    <x v="2"/>
    <s v="COP_23"/>
    <s v="COP_24"/>
    <s v="Quarter1"/>
    <s v="Quarter2"/>
    <s v="Qtr_2"/>
    <x v="5"/>
    <d v="2025-02-01T00:00:00"/>
    <d v="2025-02-28T00:00:00"/>
    <x v="4"/>
    <x v="21"/>
    <n v="0"/>
    <n v="0"/>
    <n v="0"/>
    <n v="0"/>
    <n v="0"/>
    <n v="0"/>
    <n v="0"/>
    <n v="0"/>
    <n v="0"/>
    <n v="0"/>
    <n v="0"/>
    <n v="0"/>
    <n v="0"/>
    <n v="0"/>
    <n v="0"/>
    <n v="0"/>
    <n v="0"/>
    <n v="0"/>
    <n v="0"/>
    <n v="0"/>
    <n v="0"/>
  </r>
  <r>
    <n v="1343"/>
    <d v="2025-03-06T08:19:52"/>
    <d v="2025-03-06T08:21:25"/>
    <s v="jkathyoka@lighthouse.org.mw"/>
    <s v="Judith Kathyoka"/>
    <x v="4"/>
    <s v="Prototype"/>
    <x v="2"/>
    <s v="COP_23"/>
    <s v="COP_24"/>
    <s v="Quarter1"/>
    <s v="Quarter2"/>
    <s v="Qtr_2"/>
    <x v="5"/>
    <d v="2025-02-01T00:00:00"/>
    <d v="2025-02-28T00:00:00"/>
    <x v="5"/>
    <x v="21"/>
    <n v="0"/>
    <n v="0"/>
    <n v="0"/>
    <n v="0"/>
    <n v="0"/>
    <n v="0"/>
    <n v="0"/>
    <n v="0"/>
    <n v="0"/>
    <n v="0"/>
    <n v="0"/>
    <n v="0"/>
    <n v="0"/>
    <n v="0"/>
    <n v="0"/>
    <n v="0"/>
    <n v="0"/>
    <n v="0"/>
    <n v="0"/>
    <n v="0"/>
    <n v="0"/>
  </r>
  <r>
    <n v="1344"/>
    <d v="2025-03-06T08:21:44"/>
    <d v="2025-03-06T08:23:27"/>
    <s v="jkathyoka@lighthouse.org.mw"/>
    <s v="Judith Kathyoka"/>
    <x v="4"/>
    <s v="Prototype"/>
    <x v="2"/>
    <s v="COP_23"/>
    <s v="COP_24"/>
    <s v="Quarter1"/>
    <s v="Quarter2"/>
    <s v="Qtr_2"/>
    <x v="5"/>
    <d v="2025-02-01T00:00:00"/>
    <d v="2025-02-28T00:00:00"/>
    <x v="2"/>
    <x v="21"/>
    <n v="0"/>
    <n v="0"/>
    <n v="0"/>
    <n v="0"/>
    <n v="0"/>
    <n v="0"/>
    <n v="0"/>
    <n v="0"/>
    <n v="0"/>
    <n v="0"/>
    <n v="0"/>
    <n v="0"/>
    <n v="0"/>
    <n v="0"/>
    <n v="0"/>
    <n v="0"/>
    <n v="0"/>
    <n v="0"/>
    <n v="0"/>
    <n v="0"/>
    <n v="0"/>
  </r>
  <r>
    <n v="1345"/>
    <d v="2025-03-06T08:23:33"/>
    <d v="2025-03-06T08:25:04"/>
    <s v="jkathyoka@lighthouse.org.mw"/>
    <s v="Judith Kathyoka"/>
    <x v="4"/>
    <s v="Prototype"/>
    <x v="2"/>
    <s v="COP_23"/>
    <s v="COP_24"/>
    <s v="Quarter1"/>
    <s v="Quarter2"/>
    <s v="Qtr_2"/>
    <x v="5"/>
    <d v="2025-02-01T00:00:00"/>
    <d v="2025-02-28T00:00:00"/>
    <x v="6"/>
    <x v="21"/>
    <n v="0"/>
    <n v="0"/>
    <n v="0"/>
    <n v="0"/>
    <n v="0"/>
    <n v="0"/>
    <n v="0"/>
    <n v="0"/>
    <n v="0"/>
    <n v="0"/>
    <n v="0"/>
    <n v="0"/>
    <n v="0"/>
    <n v="0"/>
    <n v="0"/>
    <n v="0"/>
    <n v="0"/>
    <n v="0"/>
    <n v="0"/>
    <n v="0"/>
    <n v="0"/>
  </r>
  <r>
    <n v="1346"/>
    <d v="2025-03-06T08:25:14"/>
    <d v="2025-03-06T08:27:22"/>
    <s v="jkathyoka@lighthouse.org.mw"/>
    <s v="Judith Kathyoka"/>
    <x v="4"/>
    <s v="Prototype"/>
    <x v="2"/>
    <s v="COP_23"/>
    <s v="COP_24"/>
    <s v="Quarter1"/>
    <s v="Quarter2"/>
    <s v="Qtr_2"/>
    <x v="5"/>
    <d v="2025-02-01T00:00:00"/>
    <d v="2025-02-28T00:00:00"/>
    <x v="0"/>
    <x v="33"/>
    <n v="0"/>
    <n v="4"/>
    <n v="0"/>
    <n v="0"/>
    <n v="0"/>
    <n v="4"/>
    <n v="1"/>
    <n v="1"/>
    <n v="0"/>
    <n v="0"/>
    <n v="0"/>
    <n v="1"/>
    <n v="0"/>
    <n v="0"/>
    <n v="0"/>
    <n v="0"/>
    <n v="0"/>
    <n v="0"/>
    <n v="0"/>
    <n v="0"/>
    <n v="0"/>
  </r>
  <r>
    <n v="1480"/>
    <d v="2025-04-02T15:57:09"/>
    <d v="2025-04-02T16:01:13"/>
    <s v="jkathyoka@lighthouse.org.mw"/>
    <s v="Judith Kathyoka"/>
    <x v="4"/>
    <s v="Prototype"/>
    <x v="2"/>
    <s v="COP_23"/>
    <s v="COP_24"/>
    <s v="Quarter1"/>
    <s v="Quarter2"/>
    <s v="Qtr_2"/>
    <x v="3"/>
    <d v="2025-03-01T00:00:00"/>
    <d v="2025-03-31T00:00:00"/>
    <x v="1"/>
    <x v="25"/>
    <n v="0"/>
    <n v="6"/>
    <n v="1"/>
    <n v="2"/>
    <n v="0"/>
    <n v="9"/>
    <n v="4"/>
    <n v="4"/>
    <n v="0"/>
    <n v="0"/>
    <n v="0"/>
    <n v="3"/>
    <n v="0"/>
    <n v="0"/>
    <n v="0"/>
    <n v="0"/>
    <n v="0"/>
    <n v="1"/>
    <n v="0"/>
    <n v="0"/>
    <n v="0"/>
  </r>
  <r>
    <n v="1481"/>
    <d v="2025-04-02T16:02:14"/>
    <d v="2025-04-02T16:05:28"/>
    <s v="jkathyoka@lighthouse.org.mw"/>
    <s v="Judith Kathyoka"/>
    <x v="4"/>
    <s v="Prototype"/>
    <x v="2"/>
    <s v="COP_23"/>
    <s v="COP_24"/>
    <s v="Quarter1"/>
    <s v="Quarter2"/>
    <s v="Qtr_2"/>
    <x v="3"/>
    <d v="2025-03-01T00:00:00"/>
    <d v="2025-03-31T00:00:00"/>
    <x v="3"/>
    <x v="21"/>
    <n v="0"/>
    <n v="0"/>
    <n v="0"/>
    <n v="0"/>
    <n v="0"/>
    <n v="0"/>
    <n v="0"/>
    <n v="0"/>
    <n v="0"/>
    <n v="0"/>
    <n v="0"/>
    <n v="0"/>
    <n v="0"/>
    <n v="0"/>
    <n v="0"/>
    <n v="0"/>
    <n v="0"/>
    <n v="0"/>
    <n v="0"/>
    <n v="0"/>
    <n v="0"/>
  </r>
  <r>
    <n v="1493"/>
    <d v="2025-04-03T10:43:46"/>
    <d v="2025-04-03T11:38:47"/>
    <s v="jkathyoka@lighthouse.org.mw"/>
    <s v="Judith Kathyoka"/>
    <x v="4"/>
    <s v="Prototype"/>
    <x v="2"/>
    <s v="COP_23"/>
    <s v="COP_24"/>
    <s v="Quarter1"/>
    <s v="Quarter2"/>
    <s v="Qtr_2"/>
    <x v="3"/>
    <d v="2025-03-01T00:00:00"/>
    <d v="2025-03-31T00:00:00"/>
    <x v="4"/>
    <x v="21"/>
    <n v="0"/>
    <n v="0"/>
    <n v="0"/>
    <n v="0"/>
    <n v="0"/>
    <n v="0"/>
    <n v="0"/>
    <n v="0"/>
    <n v="0"/>
    <n v="0"/>
    <n v="0"/>
    <n v="0"/>
    <n v="0"/>
    <n v="0"/>
    <n v="0"/>
    <n v="0"/>
    <n v="0"/>
    <n v="0"/>
    <n v="0"/>
    <n v="0"/>
    <n v="0"/>
  </r>
  <r>
    <n v="1494"/>
    <d v="2025-04-03T11:38:51"/>
    <d v="2025-04-03T11:42:17"/>
    <s v="jkathyoka@lighthouse.org.mw"/>
    <s v="Judith Kathyoka"/>
    <x v="4"/>
    <s v="Prototype"/>
    <x v="2"/>
    <s v="COP_23"/>
    <s v="COP_24"/>
    <s v="Quarter1"/>
    <s v="Quarter2"/>
    <s v="Qtr_2"/>
    <x v="3"/>
    <d v="2025-03-01T00:00:00"/>
    <d v="2025-03-31T00:00:00"/>
    <x v="5"/>
    <x v="31"/>
    <n v="0"/>
    <n v="7"/>
    <n v="0"/>
    <n v="0"/>
    <n v="0"/>
    <n v="7"/>
    <n v="0"/>
    <n v="3"/>
    <n v="0"/>
    <n v="7"/>
    <n v="0"/>
    <n v="1"/>
    <n v="1"/>
    <n v="0"/>
    <n v="0"/>
    <n v="0"/>
    <n v="0"/>
    <n v="0"/>
    <n v="0"/>
    <n v="0"/>
    <n v="0"/>
  </r>
  <r>
    <n v="1495"/>
    <d v="2025-04-03T11:42:32"/>
    <d v="2025-04-03T11:44:09"/>
    <s v="jkathyoka@lighthouse.org.mw"/>
    <s v="Judith Kathyoka"/>
    <x v="4"/>
    <s v="Prototype"/>
    <x v="2"/>
    <s v="COP_23"/>
    <s v="COP_24"/>
    <s v="Quarter1"/>
    <s v="Quarter2"/>
    <s v="Qtr_2"/>
    <x v="3"/>
    <d v="2025-03-01T00:00:00"/>
    <d v="2025-03-31T00:00:00"/>
    <x v="6"/>
    <x v="21"/>
    <n v="0"/>
    <n v="0"/>
    <n v="0"/>
    <n v="0"/>
    <n v="0"/>
    <n v="0"/>
    <n v="0"/>
    <n v="0"/>
    <n v="0"/>
    <n v="0"/>
    <n v="0"/>
    <n v="0"/>
    <n v="0"/>
    <n v="0"/>
    <n v="0"/>
    <n v="0"/>
    <n v="0"/>
    <n v="0"/>
    <n v="0"/>
    <n v="0"/>
    <n v="0"/>
  </r>
  <r>
    <n v="1496"/>
    <d v="2025-04-03T11:48:45"/>
    <d v="2025-04-03T11:52:48"/>
    <s v="jkathyoka@lighthouse.org.mw"/>
    <s v="Judith Kathyoka"/>
    <x v="4"/>
    <s v="Prototype"/>
    <x v="2"/>
    <s v="COP_24"/>
    <s v="COP_24"/>
    <s v="Quarter1"/>
    <s v="Quarter2"/>
    <s v="Qtr_2"/>
    <x v="3"/>
    <d v="2025-03-01T00:00:00"/>
    <d v="2025-03-31T00:00:00"/>
    <x v="0"/>
    <x v="44"/>
    <n v="0"/>
    <n v="13"/>
    <n v="1"/>
    <n v="2"/>
    <n v="0"/>
    <n v="16"/>
    <n v="5"/>
    <n v="5"/>
    <n v="0"/>
    <n v="0"/>
    <n v="0"/>
    <n v="4"/>
    <n v="1"/>
    <n v="0"/>
    <n v="0"/>
    <n v="0"/>
    <n v="0"/>
    <n v="3"/>
    <n v="0"/>
    <n v="0"/>
    <n v="0"/>
  </r>
  <r>
    <n v="34"/>
    <d v="2023-12-19T15:48:43"/>
    <d v="2023-12-19T15:58:41"/>
    <s v="bsamala@lighthouse.org.mw"/>
    <s v="Benadetta Samala"/>
    <x v="5"/>
    <s v="COE"/>
    <x v="0"/>
    <s v="COP_22"/>
    <s v="COP_22"/>
    <s v="Quarter3"/>
    <s v="Quarter4"/>
    <s v="Qtr_4"/>
    <x v="2"/>
    <d v="2023-09-01T00:00:00"/>
    <d v="2023-09-30T00:00:00"/>
    <x v="0"/>
    <x v="71"/>
    <n v="171"/>
    <n v="47"/>
    <n v="7"/>
    <n v="26"/>
    <n v="22"/>
    <n v="163"/>
    <n v="73"/>
    <n v="144"/>
    <n v="7"/>
    <n v="144"/>
    <n v="2"/>
    <n v="174"/>
    <n v="10"/>
    <n v="153"/>
    <n v="0"/>
    <n v="127"/>
    <n v="10"/>
    <n v="84"/>
    <n v="6"/>
    <n v="8"/>
    <n v="0"/>
  </r>
  <r>
    <n v="35"/>
    <d v="2023-12-20T08:59:32"/>
    <d v="2023-12-20T09:05:56"/>
    <s v="bsamala@lighthouse.org.mw"/>
    <s v="Benadetta Samala"/>
    <x v="5"/>
    <s v="COE"/>
    <x v="0"/>
    <s v="COP_24"/>
    <s v="COP_23"/>
    <s v="Quarter4"/>
    <s v="Quarter1"/>
    <s v="Qtr_1"/>
    <x v="0"/>
    <d v="2023-10-01T00:00:00"/>
    <d v="2023-12-30T00:00:00"/>
    <x v="0"/>
    <x v="72"/>
    <n v="102"/>
    <n v="38"/>
    <n v="35"/>
    <n v="154"/>
    <n v="30"/>
    <n v="275"/>
    <n v="127"/>
    <n v="284"/>
    <n v="2"/>
    <n v="164"/>
    <n v="7"/>
    <n v="67"/>
    <n v="14"/>
    <n v="15"/>
    <n v="4"/>
    <n v="60"/>
    <n v="36"/>
    <n v="62"/>
    <n v="10"/>
    <n v="20"/>
    <n v="4"/>
  </r>
  <r>
    <n v="92"/>
    <d v="2024-01-17T12:10:53"/>
    <d v="2024-01-17T12:20:45"/>
    <s v="bsamala@lighthouse.org.mw"/>
    <s v="Benadetta Samala"/>
    <x v="5"/>
    <s v="COE"/>
    <x v="0"/>
    <s v="COP_24"/>
    <s v="COP_23"/>
    <s v="Quarter4"/>
    <s v="Quarter1"/>
    <s v="Qtr_1"/>
    <x v="11"/>
    <d v="2023-12-01T00:00:00"/>
    <d v="2024-01-30T00:00:00"/>
    <x v="0"/>
    <x v="73"/>
    <n v="10"/>
    <n v="16"/>
    <n v="3"/>
    <n v="3"/>
    <n v="6"/>
    <n v="29"/>
    <n v="3"/>
    <n v="99"/>
    <n v="2"/>
    <n v="1"/>
    <n v="0"/>
    <n v="58"/>
    <n v="9"/>
    <n v="1"/>
    <n v="0"/>
    <n v="1"/>
    <n v="0"/>
    <n v="9"/>
    <n v="4"/>
    <n v="4"/>
    <n v="0"/>
  </r>
  <r>
    <n v="93"/>
    <d v="2024-01-17T13:41:45"/>
    <d v="2024-01-17T13:42:06"/>
    <s v="bsamala@lighthouse.org.mw"/>
    <s v="Benadetta Samala"/>
    <x v="5"/>
    <s v="COE"/>
    <x v="0"/>
    <s v="COP_24"/>
    <s v="COP_23"/>
    <s v="Quarter4"/>
    <s v="Quarter1"/>
    <s v="Qtr_1"/>
    <x v="11"/>
    <d v="2023-12-01T00:00:00"/>
    <d v="2024-01-31T00:00:00"/>
    <x v="6"/>
    <x v="74"/>
    <n v="90"/>
    <n v="32"/>
    <n v="9"/>
    <n v="32"/>
    <n v="34"/>
    <n v="107"/>
    <n v="42"/>
    <n v="51"/>
    <n v="4"/>
    <n v="17"/>
    <n v="1"/>
    <n v="43"/>
    <n v="6"/>
    <n v="5"/>
    <n v="0"/>
    <n v="25"/>
    <n v="11"/>
    <n v="41"/>
    <n v="11"/>
    <n v="11"/>
    <n v="5"/>
  </r>
  <r>
    <n v="118"/>
    <d v="2024-01-24T13:37:06"/>
    <d v="2024-01-24T13:41:24"/>
    <s v="eadisoni@lighthouse.org.mw"/>
    <s v="Eliza adisoni"/>
    <x v="5"/>
    <s v="COE"/>
    <x v="0"/>
    <s v="COP_24"/>
    <s v="COP_23"/>
    <s v="Quarter4"/>
    <s v="Quarter1"/>
    <s v="Qtr_1"/>
    <x v="0"/>
    <d v="2024-01-23T00:00:00"/>
    <d v="2024-01-23T00:00:00"/>
    <x v="3"/>
    <x v="20"/>
    <n v="2"/>
    <n v="0"/>
    <n v="0"/>
    <n v="0"/>
    <n v="0"/>
    <n v="0"/>
    <n v="0"/>
    <n v="2"/>
    <n v="0"/>
    <n v="2"/>
    <n v="0"/>
    <n v="2"/>
    <n v="0"/>
    <n v="2"/>
    <n v="0"/>
    <n v="2"/>
    <n v="0"/>
    <n v="1"/>
    <n v="0"/>
    <n v="0"/>
    <n v="0"/>
  </r>
  <r>
    <n v="119"/>
    <d v="2024-01-24T13:43:13"/>
    <d v="2024-01-24T13:51:36"/>
    <s v="eadisoni@lighthouse.org.mw"/>
    <s v="Eliza adisoni"/>
    <x v="5"/>
    <s v="COE"/>
    <x v="0"/>
    <s v="COP_24"/>
    <s v="COP_23"/>
    <s v="Quarter4"/>
    <s v="Quarter1"/>
    <s v="Qtr_1"/>
    <x v="0"/>
    <d v="2024-01-23T00:00:00"/>
    <d v="2024-01-23T00:00:00"/>
    <x v="5"/>
    <x v="62"/>
    <n v="6"/>
    <n v="0"/>
    <n v="2"/>
    <n v="6"/>
    <n v="1"/>
    <n v="27"/>
    <n v="7"/>
    <n v="23"/>
    <n v="0"/>
    <n v="24"/>
    <n v="0"/>
    <n v="23"/>
    <n v="0"/>
    <n v="0"/>
    <n v="0"/>
    <n v="0"/>
    <n v="0"/>
    <n v="0"/>
    <n v="0"/>
    <n v="0"/>
    <n v="0"/>
  </r>
  <r>
    <n v="121"/>
    <d v="2024-01-24T13:52:43"/>
    <d v="2024-01-24T14:06:24"/>
    <s v="eadisoni@lighthouse.org.mw"/>
    <s v="Eliza adisoni"/>
    <x v="5"/>
    <s v="COE"/>
    <x v="0"/>
    <s v="COP_24"/>
    <s v="COP_23"/>
    <s v="Quarter4"/>
    <s v="Quarter1"/>
    <s v="Qtr_1"/>
    <x v="1"/>
    <d v="2024-01-23T00:00:00"/>
    <d v="2024-01-23T00:00:00"/>
    <x v="5"/>
    <x v="41"/>
    <n v="6"/>
    <n v="8"/>
    <n v="0"/>
    <n v="4"/>
    <n v="0"/>
    <n v="33"/>
    <n v="11"/>
    <n v="22"/>
    <n v="1"/>
    <n v="0"/>
    <n v="0"/>
    <n v="22"/>
    <n v="0"/>
    <n v="0"/>
    <n v="0"/>
    <n v="0"/>
    <n v="0"/>
    <n v="0"/>
    <n v="0"/>
    <n v="0"/>
    <n v="0"/>
  </r>
  <r>
    <n v="122"/>
    <d v="2024-01-24T13:52:37"/>
    <d v="2024-01-24T14:09:02"/>
    <s v="eadisoni@lighthouse.org.mw"/>
    <s v="Eliza adisoni"/>
    <x v="5"/>
    <s v="COE"/>
    <x v="0"/>
    <s v="COP_24"/>
    <s v="COP_23"/>
    <s v="Quarter4"/>
    <s v="Quarter1"/>
    <s v="Qtr_1"/>
    <x v="1"/>
    <d v="2024-01-23T00:00:00"/>
    <d v="2024-01-23T00:00:00"/>
    <x v="3"/>
    <x v="20"/>
    <n v="1"/>
    <n v="0"/>
    <n v="0"/>
    <n v="0"/>
    <n v="0"/>
    <n v="2"/>
    <n v="1"/>
    <n v="2"/>
    <n v="0"/>
    <n v="0"/>
    <n v="0"/>
    <n v="2"/>
    <n v="0"/>
    <n v="0"/>
    <n v="0"/>
    <n v="0"/>
    <n v="0"/>
    <n v="0"/>
    <n v="0"/>
    <n v="0"/>
    <n v="0"/>
  </r>
  <r>
    <n v="125"/>
    <d v="2024-01-24T14:16:56"/>
    <d v="2024-01-24T14:26:08"/>
    <s v="eadisoni@lighthouse.org.mw"/>
    <s v="Eliza adisoni"/>
    <x v="5"/>
    <s v="COE"/>
    <x v="0"/>
    <s v="COP_24"/>
    <s v="COP_23"/>
    <s v="Quarter4"/>
    <s v="Quarter1"/>
    <s v="Qtr_1"/>
    <x v="11"/>
    <d v="2024-01-24T00:00:00"/>
    <d v="2024-01-24T00:00:00"/>
    <x v="3"/>
    <x v="21"/>
    <n v="0"/>
    <n v="0"/>
    <n v="0"/>
    <n v="0"/>
    <n v="0"/>
    <n v="0"/>
    <n v="0"/>
    <n v="0"/>
    <n v="0"/>
    <n v="0"/>
    <n v="0"/>
    <n v="0"/>
    <n v="0"/>
    <n v="0"/>
    <n v="0"/>
    <n v="0"/>
    <n v="0"/>
    <n v="0"/>
    <n v="0"/>
    <n v="0"/>
    <n v="0"/>
  </r>
  <r>
    <n v="126"/>
    <d v="2024-01-24T14:16:59"/>
    <d v="2024-01-24T14:29:47"/>
    <s v="eadisoni@lighthouse.org.mw"/>
    <s v="Eliza adisoni"/>
    <x v="5"/>
    <s v="COE"/>
    <x v="0"/>
    <s v="COP_24"/>
    <s v="COP_23"/>
    <s v="Quarter4"/>
    <s v="Quarter1"/>
    <s v="Qtr_1"/>
    <x v="11"/>
    <d v="2024-01-24T00:00:00"/>
    <d v="2024-01-24T00:00:00"/>
    <x v="5"/>
    <x v="59"/>
    <n v="0"/>
    <n v="5"/>
    <n v="0"/>
    <n v="0"/>
    <n v="1"/>
    <n v="25"/>
    <n v="7"/>
    <n v="15"/>
    <n v="0"/>
    <n v="1"/>
    <n v="0"/>
    <n v="7"/>
    <n v="1"/>
    <n v="5"/>
    <n v="0"/>
    <n v="0"/>
    <n v="0"/>
    <n v="1"/>
    <n v="0"/>
    <n v="0"/>
    <n v="0"/>
  </r>
  <r>
    <n v="147"/>
    <d v="2024-02-07T14:56:02"/>
    <d v="2024-02-07T15:06:14"/>
    <s v="eadisoni@lighthouse.org.mw"/>
    <s v="Eliza adisoni"/>
    <x v="5"/>
    <s v="COE"/>
    <x v="1"/>
    <s v="COP_24"/>
    <s v="COP_23"/>
    <s v="Quarter1"/>
    <s v="Quarter2"/>
    <s v="Qtr_2"/>
    <x v="4"/>
    <d v="2024-02-07T00:00:00"/>
    <d v="2024-02-07T00:00:00"/>
    <x v="6"/>
    <x v="27"/>
    <n v="93"/>
    <n v="29"/>
    <n v="9"/>
    <n v="31"/>
    <n v="44"/>
    <n v="113"/>
    <n v="55"/>
    <n v="61"/>
    <n v="6"/>
    <n v="14"/>
    <n v="4"/>
    <n v="58"/>
    <n v="16"/>
    <n v="4"/>
    <n v="0"/>
    <n v="23"/>
    <n v="6"/>
    <n v="39"/>
    <n v="20"/>
    <n v="23"/>
    <n v="6"/>
  </r>
  <r>
    <n v="148"/>
    <d v="2024-02-07T15:07:52"/>
    <d v="2024-02-07T15:11:09"/>
    <s v="eadisoni@lighthouse.org.mw"/>
    <s v="Eliza adisoni"/>
    <x v="5"/>
    <s v="COE"/>
    <x v="1"/>
    <s v="COP_24"/>
    <s v="COP_23"/>
    <s v="Quarter1"/>
    <s v="Quarter2"/>
    <s v="Qtr_2"/>
    <x v="4"/>
    <d v="2024-02-07T00:00:00"/>
    <d v="2024-02-07T00:00:00"/>
    <x v="0"/>
    <x v="75"/>
    <n v="19"/>
    <n v="40"/>
    <n v="32"/>
    <n v="30"/>
    <n v="19"/>
    <n v="183"/>
    <n v="66"/>
    <n v="88"/>
    <n v="1"/>
    <n v="1"/>
    <n v="0"/>
    <n v="54"/>
    <n v="6"/>
    <n v="1"/>
    <n v="0"/>
    <n v="0"/>
    <n v="0"/>
    <n v="7"/>
    <n v="5"/>
    <n v="13"/>
    <n v="0"/>
  </r>
  <r>
    <n v="150"/>
    <d v="2024-02-07T15:19:13"/>
    <d v="2024-02-07T15:21:55"/>
    <s v="eadisoni@lighthouse.org.mw"/>
    <s v="Eliza adisoni"/>
    <x v="5"/>
    <s v="COE"/>
    <x v="1"/>
    <s v="COP_24"/>
    <s v="COP_23"/>
    <s v="Quarter1"/>
    <s v="Quarter2"/>
    <s v="Qtr_2"/>
    <x v="4"/>
    <d v="2024-02-07T00:00:00"/>
    <d v="2024-02-07T00:00:00"/>
    <x v="3"/>
    <x v="18"/>
    <n v="0"/>
    <n v="1"/>
    <n v="0"/>
    <n v="0"/>
    <n v="0"/>
    <n v="0"/>
    <n v="0"/>
    <n v="0"/>
    <n v="0"/>
    <n v="0"/>
    <n v="0"/>
    <n v="0"/>
    <n v="0"/>
    <n v="0"/>
    <n v="0"/>
    <n v="0"/>
    <n v="0"/>
    <n v="0"/>
    <n v="0"/>
    <n v="0"/>
    <n v="0"/>
  </r>
  <r>
    <n v="151"/>
    <d v="2024-02-07T15:22:18"/>
    <d v="2024-02-07T15:24:40"/>
    <s v="eadisoni@lighthouse.org.mw"/>
    <s v="Eliza adisoni"/>
    <x v="5"/>
    <s v="COE"/>
    <x v="1"/>
    <s v="COP_24"/>
    <s v="COP_23"/>
    <s v="Quarter1"/>
    <s v="Quarter2"/>
    <s v="Qtr_2"/>
    <x v="4"/>
    <d v="2024-02-07T00:00:00"/>
    <d v="2024-02-07T00:00:00"/>
    <x v="5"/>
    <x v="41"/>
    <n v="1"/>
    <n v="19"/>
    <n v="6"/>
    <n v="6"/>
    <n v="0"/>
    <n v="34"/>
    <n v="10"/>
    <n v="13"/>
    <n v="0"/>
    <n v="0"/>
    <n v="0"/>
    <n v="14"/>
    <n v="0"/>
    <n v="0"/>
    <n v="0"/>
    <n v="0"/>
    <n v="0"/>
    <n v="0"/>
    <n v="0"/>
    <n v="0"/>
    <n v="0"/>
  </r>
  <r>
    <n v="170"/>
    <d v="2024-03-12T15:30:09"/>
    <d v="2024-03-12T15:35:52"/>
    <s v="eadisoni@lighthouse.org.mw"/>
    <s v="Eliza adisoni"/>
    <x v="5"/>
    <s v="COE"/>
    <x v="1"/>
    <s v="COP_24"/>
    <s v="COP_23"/>
    <s v="Quarter1"/>
    <s v="Quarter2"/>
    <s v="Qtr_2"/>
    <x v="5"/>
    <d v="2024-03-12T00:00:00"/>
    <d v="2024-03-12T00:00:00"/>
    <x v="0"/>
    <x v="76"/>
    <n v="32"/>
    <n v="66"/>
    <n v="33"/>
    <n v="19"/>
    <n v="11"/>
    <n v="148"/>
    <n v="47"/>
    <n v="56"/>
    <n v="1"/>
    <n v="2"/>
    <n v="1"/>
    <n v="74"/>
    <n v="4"/>
    <n v="0"/>
    <n v="0"/>
    <n v="1"/>
    <n v="0"/>
    <n v="13"/>
    <n v="6"/>
    <n v="7"/>
    <n v="0"/>
  </r>
  <r>
    <n v="171"/>
    <d v="2024-03-12T15:36:14"/>
    <d v="2024-03-12T15:37:35"/>
    <s v="eadisoni@lighthouse.org.mw"/>
    <s v="Eliza adisoni"/>
    <x v="5"/>
    <s v="COE"/>
    <x v="1"/>
    <s v="COP_24"/>
    <s v="COP_23"/>
    <s v="Quarter1"/>
    <s v="Quarter2"/>
    <s v="Qtr_2"/>
    <x v="5"/>
    <d v="2024-03-12T00:00:00"/>
    <d v="2024-03-12T00:00:00"/>
    <x v="3"/>
    <x v="21"/>
    <n v="0"/>
    <n v="0"/>
    <n v="0"/>
    <n v="0"/>
    <n v="0"/>
    <n v="0"/>
    <n v="0"/>
    <n v="0"/>
    <n v="0"/>
    <n v="0"/>
    <n v="0"/>
    <n v="0"/>
    <n v="0"/>
    <n v="0"/>
    <n v="0"/>
    <n v="0"/>
    <n v="0"/>
    <n v="0"/>
    <n v="0"/>
    <n v="0"/>
    <n v="0"/>
  </r>
  <r>
    <n v="173"/>
    <d v="2024-03-12T15:41:51"/>
    <d v="2024-03-12T15:44:40"/>
    <s v="eadisoni@lighthouse.org.mw"/>
    <s v="Eliza adisoni"/>
    <x v="5"/>
    <s v="COE"/>
    <x v="1"/>
    <s v="COP_24"/>
    <s v="COP_23"/>
    <s v="Quarter1"/>
    <s v="Quarter2"/>
    <s v="Qtr_2"/>
    <x v="5"/>
    <d v="2024-03-12T00:00:00"/>
    <d v="2024-03-12T00:00:00"/>
    <x v="5"/>
    <x v="51"/>
    <n v="4"/>
    <n v="11"/>
    <n v="4"/>
    <n v="0"/>
    <n v="0"/>
    <n v="17"/>
    <n v="0"/>
    <n v="8"/>
    <n v="0"/>
    <n v="5"/>
    <n v="0"/>
    <n v="8"/>
    <n v="0"/>
    <n v="0"/>
    <n v="0"/>
    <n v="0"/>
    <n v="0"/>
    <n v="0"/>
    <n v="0"/>
    <n v="0"/>
    <n v="0"/>
  </r>
  <r>
    <n v="174"/>
    <d v="2024-03-12T15:45:09"/>
    <d v="2024-03-12T15:49:20"/>
    <s v="eadisoni@lighthouse.org.mw"/>
    <s v="Eliza adisoni"/>
    <x v="5"/>
    <s v="COE"/>
    <x v="1"/>
    <s v="COP_24"/>
    <s v="COP_23"/>
    <s v="Quarter1"/>
    <s v="Quarter2"/>
    <s v="Qtr_2"/>
    <x v="5"/>
    <d v="2024-03-12T00:00:00"/>
    <d v="2024-03-12T00:00:00"/>
    <x v="6"/>
    <x v="77"/>
    <n v="86"/>
    <n v="40"/>
    <n v="2"/>
    <n v="31"/>
    <n v="35"/>
    <n v="122"/>
    <n v="55"/>
    <n v="59"/>
    <n v="3"/>
    <n v="13"/>
    <n v="1"/>
    <n v="57"/>
    <n v="8"/>
    <n v="3"/>
    <n v="1"/>
    <n v="16"/>
    <n v="11"/>
    <n v="41"/>
    <n v="8"/>
    <n v="11"/>
    <n v="3"/>
  </r>
  <r>
    <n v="199"/>
    <d v="2024-04-05T08:28:48"/>
    <d v="2024-04-05T08:38:33"/>
    <s v="eadisoni@lighthouse.org.mw"/>
    <s v="Eliza adisoni"/>
    <x v="5"/>
    <s v="COE"/>
    <x v="1"/>
    <s v="COP_23"/>
    <s v="COP_23"/>
    <s v="Quarter1"/>
    <s v="Quarter2"/>
    <s v="Qtr_2"/>
    <x v="3"/>
    <d v="2024-04-02T00:00:00"/>
    <d v="2024-04-02T00:00:00"/>
    <x v="0"/>
    <x v="73"/>
    <n v="16"/>
    <n v="35"/>
    <n v="11"/>
    <n v="9"/>
    <n v="7"/>
    <n v="137"/>
    <n v="43"/>
    <n v="49"/>
    <n v="4"/>
    <n v="9"/>
    <n v="1"/>
    <n v="49"/>
    <n v="13"/>
    <n v="0"/>
    <n v="0"/>
    <n v="0"/>
    <n v="0"/>
    <n v="6"/>
    <n v="2"/>
    <n v="7"/>
    <n v="0"/>
  </r>
  <r>
    <n v="200"/>
    <d v="2024-04-05T08:38:58"/>
    <d v="2024-04-05T08:53:08"/>
    <s v="eadisoni@lighthouse.org.mw"/>
    <s v="Eliza adisoni"/>
    <x v="5"/>
    <s v="COE"/>
    <x v="1"/>
    <s v="COP_23"/>
    <s v="COP_23"/>
    <s v="Quarter1"/>
    <s v="Quarter2"/>
    <s v="Qtr_2"/>
    <x v="3"/>
    <d v="2024-04-03T00:00:00"/>
    <d v="2024-04-03T00:00:00"/>
    <x v="5"/>
    <x v="9"/>
    <n v="4"/>
    <n v="8"/>
    <n v="2"/>
    <n v="2"/>
    <n v="1"/>
    <n v="25"/>
    <n v="8"/>
    <n v="8"/>
    <n v="2"/>
    <n v="1"/>
    <n v="0"/>
    <n v="11"/>
    <n v="2"/>
    <n v="0"/>
    <n v="0"/>
    <n v="0"/>
    <n v="0"/>
    <n v="2"/>
    <n v="0"/>
    <n v="2"/>
    <n v="0"/>
  </r>
  <r>
    <n v="201"/>
    <d v="2024-04-05T08:53:32"/>
    <d v="2024-04-05T08:58:59"/>
    <s v="eadisoni@lighthouse.org.mw"/>
    <s v="Eliza adisoni"/>
    <x v="5"/>
    <s v="COE"/>
    <x v="1"/>
    <s v="COP_23"/>
    <s v="COP_23"/>
    <s v="Quarter1"/>
    <s v="Quarter2"/>
    <s v="Qtr_2"/>
    <x v="3"/>
    <d v="2024-04-02T00:00:00"/>
    <d v="2024-04-02T00:00:00"/>
    <x v="3"/>
    <x v="18"/>
    <n v="0"/>
    <n v="0"/>
    <n v="0"/>
    <n v="0"/>
    <n v="0"/>
    <n v="0"/>
    <n v="0"/>
    <n v="1"/>
    <n v="0"/>
    <n v="0"/>
    <n v="0"/>
    <n v="1"/>
    <n v="1"/>
    <n v="0"/>
    <n v="0"/>
    <n v="0"/>
    <n v="0"/>
    <n v="0"/>
    <n v="0"/>
    <n v="0"/>
    <n v="0"/>
  </r>
  <r>
    <n v="203"/>
    <d v="2024-04-05T09:02:38"/>
    <d v="2024-04-05T09:08:27"/>
    <s v="eadisoni@lighthouse.org.mw"/>
    <s v="Eliza adisoni"/>
    <x v="5"/>
    <s v="COE"/>
    <x v="1"/>
    <s v="COP_23"/>
    <s v="COP_23"/>
    <s v="Quarter1"/>
    <s v="Quarter2"/>
    <s v="Qtr_2"/>
    <x v="3"/>
    <d v="2024-04-04T00:00:00"/>
    <d v="2024-04-04T00:00:00"/>
    <x v="6"/>
    <x v="77"/>
    <n v="77"/>
    <n v="24"/>
    <n v="10"/>
    <n v="30"/>
    <n v="41"/>
    <n v="118"/>
    <n v="53"/>
    <n v="51"/>
    <n v="5"/>
    <n v="17"/>
    <n v="5"/>
    <n v="46"/>
    <n v="11"/>
    <n v="4"/>
    <n v="1"/>
    <n v="18"/>
    <n v="16"/>
    <n v="30"/>
    <n v="11"/>
    <n v="12"/>
    <n v="7"/>
  </r>
  <r>
    <n v="259"/>
    <d v="2024-04-20T10:45:48"/>
    <d v="2024-04-20T10:53:23"/>
    <s v="eadisoni@lighthouse.org.mw"/>
    <s v="Eliza adisoni"/>
    <x v="5"/>
    <s v="COE"/>
    <x v="0"/>
    <s v="COP_23"/>
    <s v="COP_23"/>
    <s v="Quarter1"/>
    <s v="Quarter1"/>
    <s v="Qtr_1"/>
    <x v="0"/>
    <d v="2023-10-05T00:00:00"/>
    <d v="2023-10-05T00:00:00"/>
    <x v="6"/>
    <x v="22"/>
    <n v="89"/>
    <n v="32"/>
    <n v="24"/>
    <n v="44"/>
    <n v="23"/>
    <n v="123"/>
    <n v="62"/>
    <n v="66"/>
    <n v="1"/>
    <n v="15"/>
    <n v="1"/>
    <n v="63"/>
    <n v="14"/>
    <n v="9"/>
    <n v="2"/>
    <n v="39"/>
    <n v="21"/>
    <n v="43"/>
    <n v="9"/>
    <n v="20"/>
    <n v="4"/>
  </r>
  <r>
    <n v="260"/>
    <d v="2024-04-20T10:55:30"/>
    <d v="2024-04-20T11:00:46"/>
    <s v="eadisoni@lighthouse.org.mw"/>
    <s v="Eliza adisoni"/>
    <x v="5"/>
    <s v="COE"/>
    <x v="0"/>
    <s v="COP_23"/>
    <s v="COP_22"/>
    <s v="Quarter1"/>
    <s v="Quarter4"/>
    <s v="Qtr_4"/>
    <x v="2"/>
    <d v="2023-09-05T00:00:00"/>
    <d v="2023-09-05T00:00:00"/>
    <x v="6"/>
    <x v="78"/>
    <n v="61"/>
    <n v="47"/>
    <n v="3"/>
    <n v="17"/>
    <n v="22"/>
    <n v="89"/>
    <n v="35"/>
    <n v="37"/>
    <n v="4"/>
    <n v="10"/>
    <n v="2"/>
    <n v="47"/>
    <n v="9"/>
    <n v="0"/>
    <n v="0"/>
    <n v="25"/>
    <n v="10"/>
    <n v="36"/>
    <n v="6"/>
    <n v="8"/>
    <n v="1"/>
  </r>
  <r>
    <n v="261"/>
    <d v="2024-04-20T11:01:12"/>
    <d v="2024-04-20T11:07:06"/>
    <s v="eadisoni@lighthouse.org.mw"/>
    <s v="Eliza adisoni"/>
    <x v="5"/>
    <s v="COE"/>
    <x v="0"/>
    <s v="COP_23"/>
    <s v="COP_23"/>
    <s v="Quarter1"/>
    <s v="Quarter1"/>
    <s v="Qtr_1"/>
    <x v="1"/>
    <d v="2023-11-05T00:00:00"/>
    <d v="2023-11-05T00:00:00"/>
    <x v="6"/>
    <x v="79"/>
    <n v="85"/>
    <n v="33"/>
    <n v="10"/>
    <n v="28"/>
    <n v="40"/>
    <n v="111"/>
    <n v="46"/>
    <n v="47"/>
    <n v="1"/>
    <n v="52"/>
    <n v="1"/>
    <n v="55"/>
    <n v="17"/>
    <n v="3"/>
    <n v="1"/>
    <n v="28"/>
    <n v="5"/>
    <n v="30"/>
    <n v="9"/>
    <n v="24"/>
    <n v="1"/>
  </r>
  <r>
    <n v="120"/>
    <d v="2024-01-24T13:52:43"/>
    <d v="2024-01-24T13:56:45"/>
    <s v="eadisoni@lighthouse.org.mw"/>
    <s v="Eliza adisoni"/>
    <x v="5"/>
    <s v="COE"/>
    <x v="0"/>
    <s v="COP_23"/>
    <s v="COP_23"/>
    <s v="Quarter4"/>
    <s v="Quarter1"/>
    <s v="Qtr_1"/>
    <x v="0"/>
    <d v="2024-01-23T00:00:00"/>
    <d v="2024-01-23T00:00:00"/>
    <x v="1"/>
    <x v="32"/>
    <n v="5"/>
    <n v="5"/>
    <n v="8"/>
    <n v="6"/>
    <n v="2"/>
    <n v="42"/>
    <n v="18"/>
    <n v="37"/>
    <n v="0"/>
    <n v="0"/>
    <n v="0"/>
    <n v="41"/>
    <n v="0"/>
    <n v="0"/>
    <n v="0"/>
    <n v="1"/>
    <n v="1"/>
    <n v="4"/>
    <n v="2"/>
    <n v="2"/>
    <n v="0"/>
  </r>
  <r>
    <n v="123"/>
    <d v="2024-01-24T14:17:23"/>
    <d v="2024-01-24T14:20:39"/>
    <s v="eadisoni@lighthouse.org.mw"/>
    <s v="Eliza adisoni"/>
    <x v="5"/>
    <s v="COE"/>
    <x v="0"/>
    <s v="COP_23"/>
    <s v="COP_23"/>
    <s v="Quarter4"/>
    <s v="Quarter1"/>
    <s v="Qtr_1"/>
    <x v="1"/>
    <d v="2024-01-23T00:00:00"/>
    <d v="2024-01-23T00:00:00"/>
    <x v="1"/>
    <x v="62"/>
    <n v="5"/>
    <n v="2"/>
    <n v="3"/>
    <n v="1"/>
    <n v="0"/>
    <n v="27"/>
    <n v="17"/>
    <n v="20"/>
    <n v="0"/>
    <n v="0"/>
    <n v="0"/>
    <n v="17"/>
    <n v="0"/>
    <n v="0"/>
    <n v="0"/>
    <n v="0"/>
    <n v="0"/>
    <n v="0"/>
    <n v="0"/>
    <n v="0"/>
    <n v="0"/>
  </r>
  <r>
    <n v="124"/>
    <d v="2024-01-24T14:17:22"/>
    <d v="2024-01-24T14:24:44"/>
    <s v="eadisoni@lighthouse.org.mw"/>
    <s v="Eliza adisoni"/>
    <x v="5"/>
    <s v="COE"/>
    <x v="0"/>
    <s v="COP_23"/>
    <s v="COP_23"/>
    <s v="Quarter4"/>
    <s v="Quarter1"/>
    <s v="Qtr_1"/>
    <x v="11"/>
    <d v="2024-01-24T00:00:00"/>
    <d v="2024-01-24T00:00:00"/>
    <x v="1"/>
    <x v="56"/>
    <n v="1"/>
    <n v="7"/>
    <n v="0"/>
    <n v="1"/>
    <n v="0"/>
    <n v="28"/>
    <n v="12"/>
    <n v="16"/>
    <n v="1"/>
    <n v="0"/>
    <n v="0"/>
    <n v="11"/>
    <n v="2"/>
    <n v="0"/>
    <n v="0"/>
    <n v="0"/>
    <n v="0"/>
    <n v="3"/>
    <n v="1"/>
    <n v="0"/>
    <n v="0"/>
  </r>
  <r>
    <n v="149"/>
    <d v="2024-02-07T15:11:33"/>
    <d v="2024-02-07T15:18:49"/>
    <s v="eadisoni@lighthouse.org.mw"/>
    <s v="Eliza adisoni"/>
    <x v="5"/>
    <s v="COE"/>
    <x v="1"/>
    <s v="COP_23"/>
    <s v="COP_23"/>
    <s v="Quarter1"/>
    <s v="Quarter2"/>
    <s v="Qtr_2"/>
    <x v="4"/>
    <d v="2024-02-07T00:00:00"/>
    <d v="2024-02-07T00:00:00"/>
    <x v="1"/>
    <x v="32"/>
    <n v="6"/>
    <n v="9"/>
    <n v="5"/>
    <n v="6"/>
    <n v="5"/>
    <n v="41"/>
    <n v="27"/>
    <n v="28"/>
    <n v="1"/>
    <n v="3"/>
    <n v="1"/>
    <n v="29"/>
    <n v="6"/>
    <n v="0"/>
    <n v="0"/>
    <n v="0"/>
    <n v="0"/>
    <n v="1"/>
    <n v="0"/>
    <n v="6"/>
    <n v="0"/>
  </r>
  <r>
    <n v="359"/>
    <d v="2024-05-07T14:34:17"/>
    <d v="2024-05-07T15:18:46"/>
    <s v="eadisoni@lighthouse.org.mw"/>
    <s v="Eliza adisoni"/>
    <x v="5"/>
    <s v="COE"/>
    <x v="1"/>
    <s v="COP_23"/>
    <s v="COP_23"/>
    <s v="Quarter2"/>
    <s v="Quarter3"/>
    <s v="Qtr_3"/>
    <x v="7"/>
    <d v="2024-04-06T00:00:00"/>
    <d v="2024-04-06T00:00:00"/>
    <x v="5"/>
    <x v="36"/>
    <n v="1"/>
    <n v="8"/>
    <n v="2"/>
    <n v="1"/>
    <n v="0"/>
    <n v="11"/>
    <n v="3"/>
    <n v="3"/>
    <n v="0"/>
    <n v="0"/>
    <n v="0"/>
    <n v="4"/>
    <n v="0"/>
    <n v="0"/>
    <n v="0"/>
    <n v="0"/>
    <n v="0"/>
    <n v="0"/>
    <n v="0"/>
    <n v="0"/>
    <n v="0"/>
  </r>
  <r>
    <n v="361"/>
    <d v="2024-05-07T15:19:36"/>
    <d v="2024-05-07T15:21:16"/>
    <s v="eadisoni@lighthouse.org.mw"/>
    <s v="Eliza adisoni"/>
    <x v="5"/>
    <s v="COE"/>
    <x v="1"/>
    <s v="COP_23"/>
    <s v="COP_23"/>
    <s v="Quarter2"/>
    <s v="Quarter3"/>
    <s v="Qtr_3"/>
    <x v="7"/>
    <d v="2024-05-06T00:00:00"/>
    <d v="2024-05-06T00:00:00"/>
    <x v="3"/>
    <x v="21"/>
    <n v="0"/>
    <n v="0"/>
    <n v="0"/>
    <n v="0"/>
    <n v="0"/>
    <n v="0"/>
    <n v="0"/>
    <n v="0"/>
    <n v="0"/>
    <n v="0"/>
    <n v="0"/>
    <n v="0"/>
    <n v="0"/>
    <n v="0"/>
    <n v="0"/>
    <n v="0"/>
    <n v="0"/>
    <n v="0"/>
    <n v="0"/>
    <n v="0"/>
    <n v="0"/>
  </r>
  <r>
    <n v="362"/>
    <d v="2024-05-07T15:22:41"/>
    <d v="2024-05-07T15:25:09"/>
    <s v="eadisoni@lighthouse.org.mw"/>
    <s v="Eliza adisoni"/>
    <x v="5"/>
    <s v="COE"/>
    <x v="1"/>
    <s v="COP_23"/>
    <s v="COP_23"/>
    <s v="Quarter2"/>
    <s v="Quarter3"/>
    <s v="Qtr_3"/>
    <x v="7"/>
    <d v="2024-05-06T00:00:00"/>
    <d v="2024-05-06T00:00:00"/>
    <x v="4"/>
    <x v="54"/>
    <n v="0"/>
    <n v="5"/>
    <n v="0"/>
    <n v="0"/>
    <n v="0"/>
    <n v="0"/>
    <n v="1"/>
    <n v="0"/>
    <n v="0"/>
    <n v="0"/>
    <n v="0"/>
    <n v="0"/>
    <n v="0"/>
    <n v="0"/>
    <n v="0"/>
    <n v="0"/>
    <n v="0"/>
    <n v="0"/>
    <n v="0"/>
    <n v="0"/>
    <n v="0"/>
  </r>
  <r>
    <n v="366"/>
    <d v="2024-05-07T15:31:00"/>
    <d v="2024-05-07T15:35:35"/>
    <s v="eadisoni@lighthouse.org.mw"/>
    <s v="Eliza adisoni"/>
    <x v="5"/>
    <s v="COE"/>
    <x v="1"/>
    <s v="COP_23"/>
    <s v="COP_23"/>
    <s v="Quarter2"/>
    <s v="Quarter3"/>
    <s v="Qtr_3"/>
    <x v="7"/>
    <d v="2024-05-03T00:00:00"/>
    <d v="2024-05-03T00:00:00"/>
    <x v="6"/>
    <x v="22"/>
    <n v="93"/>
    <n v="32"/>
    <n v="8"/>
    <n v="26"/>
    <n v="57"/>
    <n v="123"/>
    <n v="61"/>
    <n v="63"/>
    <n v="5"/>
    <n v="22"/>
    <n v="5"/>
    <n v="39"/>
    <n v="5"/>
    <n v="3"/>
    <n v="1"/>
    <n v="27"/>
    <n v="19"/>
    <n v="48"/>
    <n v="16"/>
    <n v="12"/>
    <n v="3"/>
  </r>
  <r>
    <n v="367"/>
    <d v="2024-05-07T15:44:42"/>
    <d v="2024-05-07T15:49:53"/>
    <s v="eadisoni@lighthouse.org.mw"/>
    <s v="Eliza adisoni"/>
    <x v="5"/>
    <s v="COE"/>
    <x v="1"/>
    <s v="COP_23"/>
    <s v="COP_23"/>
    <s v="Quarter2"/>
    <s v="Quarter3"/>
    <s v="Qtr_3"/>
    <x v="7"/>
    <d v="2024-05-06T00:00:00"/>
    <d v="2024-05-06T00:00:00"/>
    <x v="0"/>
    <x v="80"/>
    <n v="18"/>
    <n v="101"/>
    <n v="31"/>
    <n v="11"/>
    <n v="10"/>
    <n v="146"/>
    <n v="47"/>
    <n v="45"/>
    <n v="1"/>
    <n v="8"/>
    <n v="2"/>
    <n v="45"/>
    <n v="6"/>
    <n v="0"/>
    <n v="0"/>
    <n v="1"/>
    <n v="0"/>
    <n v="9"/>
    <n v="3"/>
    <n v="3"/>
    <n v="0"/>
  </r>
  <r>
    <n v="172"/>
    <d v="2024-03-12T15:37:53"/>
    <d v="2024-03-12T15:41:31"/>
    <s v="eadisoni@lighthouse.org.mw"/>
    <s v="Eliza adisoni"/>
    <x v="5"/>
    <s v="COE"/>
    <x v="1"/>
    <s v="COP_23"/>
    <s v="COP_23"/>
    <s v="Quarter1"/>
    <s v="Quarter2"/>
    <s v="Qtr_2"/>
    <x v="5"/>
    <d v="2024-03-12T00:00:00"/>
    <d v="2024-03-12T00:00:00"/>
    <x v="1"/>
    <x v="81"/>
    <n v="11"/>
    <n v="17"/>
    <n v="3"/>
    <n v="4"/>
    <n v="5"/>
    <n v="33"/>
    <n v="19"/>
    <n v="18"/>
    <n v="0"/>
    <n v="0"/>
    <n v="0"/>
    <n v="25"/>
    <n v="3"/>
    <n v="0"/>
    <n v="0"/>
    <n v="0"/>
    <n v="0"/>
    <n v="6"/>
    <n v="2"/>
    <n v="3"/>
    <n v="0"/>
  </r>
  <r>
    <n v="202"/>
    <d v="2024-04-05T08:59:17"/>
    <d v="2024-04-05T09:02:06"/>
    <s v="eadisoni@lighthouse.org.mw"/>
    <s v="Eliza adisoni"/>
    <x v="5"/>
    <s v="COE"/>
    <x v="1"/>
    <s v="COP_23"/>
    <s v="COP_23"/>
    <s v="Quarter1"/>
    <s v="Quarter2"/>
    <s v="Qtr_2"/>
    <x v="3"/>
    <d v="2024-04-03T00:00:00"/>
    <d v="2024-04-03T00:00:00"/>
    <x v="1"/>
    <x v="52"/>
    <n v="1"/>
    <n v="3"/>
    <n v="4"/>
    <n v="0"/>
    <n v="2"/>
    <n v="22"/>
    <n v="11"/>
    <n v="10"/>
    <n v="0"/>
    <n v="0"/>
    <n v="0"/>
    <n v="11"/>
    <n v="5"/>
    <n v="0"/>
    <n v="0"/>
    <n v="0"/>
    <n v="0"/>
    <n v="0"/>
    <n v="0"/>
    <n v="2"/>
    <n v="0"/>
  </r>
  <r>
    <n v="375"/>
    <d v="2024-05-09T11:59:41"/>
    <d v="2024-05-09T12:03:43"/>
    <s v="eadisoni@lighthouse.org.mw"/>
    <s v="Eliza adisoni"/>
    <x v="5"/>
    <s v="COE"/>
    <x v="1"/>
    <s v="COP_23"/>
    <s v="COP_23"/>
    <s v="Quarter1"/>
    <s v="Quarter2"/>
    <s v="Qtr_2"/>
    <x v="4"/>
    <d v="2024-01-08T00:00:00"/>
    <d v="2024-01-08T00:00:00"/>
    <x v="4"/>
    <x v="18"/>
    <n v="0"/>
    <n v="0"/>
    <n v="0"/>
    <n v="1"/>
    <n v="0"/>
    <n v="1"/>
    <n v="1"/>
    <n v="1"/>
    <n v="0"/>
    <n v="0"/>
    <n v="0"/>
    <n v="1"/>
    <n v="0"/>
    <n v="0"/>
    <n v="0"/>
    <n v="0"/>
    <n v="0"/>
    <n v="0"/>
    <n v="0"/>
    <n v="0"/>
    <n v="0"/>
  </r>
  <r>
    <n v="377"/>
    <d v="2024-05-09T13:24:22"/>
    <d v="2024-05-09T13:29:44"/>
    <s v="eadisoni@lighthouse.org.mw"/>
    <s v="Eliza adisoni"/>
    <x v="5"/>
    <s v="COE"/>
    <x v="1"/>
    <s v="COP_23"/>
    <s v="COP_23"/>
    <s v="Quarter1"/>
    <s v="Quarter2"/>
    <s v="Qtr_2"/>
    <x v="5"/>
    <d v="2024-02-07T00:00:00"/>
    <d v="2024-02-07T00:00:00"/>
    <x v="4"/>
    <x v="30"/>
    <n v="0"/>
    <n v="1"/>
    <n v="0"/>
    <n v="0"/>
    <n v="1"/>
    <n v="3"/>
    <n v="0"/>
    <n v="1"/>
    <n v="0"/>
    <n v="0"/>
    <n v="0"/>
    <n v="1"/>
    <n v="0"/>
    <n v="0"/>
    <n v="0"/>
    <n v="0"/>
    <n v="0"/>
    <n v="0"/>
    <n v="0"/>
    <n v="0"/>
    <n v="0"/>
  </r>
  <r>
    <n v="380"/>
    <d v="2024-05-09T13:38:54"/>
    <d v="2024-05-09T13:42:28"/>
    <s v="eadisoni@lighthouse.org.mw"/>
    <s v="Eliza adisoni"/>
    <x v="5"/>
    <s v="COE"/>
    <x v="1"/>
    <s v="COP_23"/>
    <s v="COP_23"/>
    <s v="Quarter1"/>
    <s v="Quarter2"/>
    <s v="Qtr_2"/>
    <x v="3"/>
    <d v="2024-04-03T00:00:00"/>
    <d v="2024-04-03T00:00:00"/>
    <x v="4"/>
    <x v="18"/>
    <n v="0"/>
    <n v="0"/>
    <n v="0"/>
    <n v="0"/>
    <n v="0"/>
    <n v="0"/>
    <n v="0"/>
    <n v="0"/>
    <n v="0"/>
    <n v="0"/>
    <n v="0"/>
    <n v="0"/>
    <n v="0"/>
    <n v="0"/>
    <n v="0"/>
    <n v="0"/>
    <n v="0"/>
    <n v="0"/>
    <n v="0"/>
    <n v="0"/>
    <n v="0"/>
  </r>
  <r>
    <n v="374"/>
    <d v="2024-05-09T11:44:36"/>
    <d v="2024-05-09T11:53:00"/>
    <s v="eadisoni@lighthouse.org.mw"/>
    <s v="Eliza adisoni"/>
    <x v="5"/>
    <s v="COE"/>
    <x v="1"/>
    <s v="COP_23"/>
    <s v="COP_23"/>
    <s v="Quarter2"/>
    <s v="Quarter3"/>
    <s v="Qtr_3"/>
    <x v="7"/>
    <d v="2024-05-06T00:00:00"/>
    <d v="2024-05-06T00:00:00"/>
    <x v="1"/>
    <x v="38"/>
    <n v="6"/>
    <n v="18"/>
    <n v="12"/>
    <n v="3"/>
    <n v="3"/>
    <n v="35"/>
    <n v="20"/>
    <n v="18"/>
    <n v="1"/>
    <n v="1"/>
    <n v="0"/>
    <n v="16"/>
    <n v="2"/>
    <n v="0"/>
    <n v="0"/>
    <n v="0"/>
    <n v="0"/>
    <n v="0"/>
    <n v="0"/>
    <n v="2"/>
    <n v="0"/>
  </r>
  <r>
    <n v="491"/>
    <d v="2024-06-05T15:38:13"/>
    <d v="2024-06-05T15:43:26"/>
    <s v="eadisoni@lighthouse.org.mw"/>
    <s v="Eliza adisoni"/>
    <x v="5"/>
    <s v="COE"/>
    <x v="1"/>
    <s v="COP_23"/>
    <s v="COP_23"/>
    <s v="Quarter2"/>
    <s v="Quarter3"/>
    <s v="Qtr_3"/>
    <x v="6"/>
    <d v="2024-06-05T00:00:00"/>
    <d v="2024-06-05T00:00:00"/>
    <x v="1"/>
    <x v="62"/>
    <n v="2"/>
    <n v="19"/>
    <n v="5"/>
    <n v="3"/>
    <n v="0"/>
    <n v="27"/>
    <n v="16"/>
    <n v="12"/>
    <n v="0"/>
    <n v="0"/>
    <n v="0"/>
    <n v="0"/>
    <n v="0"/>
    <n v="0"/>
    <n v="0"/>
    <n v="0"/>
    <n v="0"/>
    <n v="1"/>
    <n v="0"/>
    <n v="0"/>
    <n v="0"/>
  </r>
  <r>
    <n v="572"/>
    <d v="2024-07-03T10:46:13"/>
    <d v="2024-07-03T10:49:24"/>
    <s v="eadisoni@lighthouse.org.mw"/>
    <s v="Eliza adisoni"/>
    <x v="5"/>
    <s v="COE"/>
    <x v="1"/>
    <s v="COP_23"/>
    <s v="COP_23"/>
    <s v="Quarter2"/>
    <s v="Quarter3"/>
    <s v="Qtr_3"/>
    <x v="8"/>
    <d v="2024-07-03T00:00:00"/>
    <d v="2024-07-03T00:00:00"/>
    <x v="1"/>
    <x v="34"/>
    <n v="3"/>
    <n v="13"/>
    <n v="5"/>
    <n v="5"/>
    <n v="1"/>
    <n v="28"/>
    <n v="14"/>
    <n v="14"/>
    <n v="1"/>
    <n v="0"/>
    <n v="0"/>
    <n v="0"/>
    <n v="0"/>
    <n v="0"/>
    <n v="0"/>
    <n v="0"/>
    <n v="0"/>
    <n v="0"/>
    <n v="0"/>
    <n v="0"/>
    <n v="0"/>
  </r>
  <r>
    <n v="1048"/>
    <d v="2024-11-08T13:43:22"/>
    <d v="2024-11-08T13:45:53"/>
    <s v="eadisoni@lighthouse.org.mw"/>
    <s v="Eliza adisoni"/>
    <x v="5"/>
    <s v="COE"/>
    <x v="1"/>
    <s v="COP_23"/>
    <s v="COP_24"/>
    <s v="Quarter4"/>
    <s v="Quarter1"/>
    <s v="Qtr_1"/>
    <x v="0"/>
    <d v="2024-10-01T00:00:00"/>
    <d v="2024-10-31T00:00:00"/>
    <x v="1"/>
    <x v="38"/>
    <n v="10"/>
    <n v="16"/>
    <n v="6"/>
    <n v="6"/>
    <n v="10"/>
    <n v="36"/>
    <n v="19"/>
    <n v="17"/>
    <n v="1"/>
    <n v="2"/>
    <n v="0"/>
    <n v="17"/>
    <n v="9"/>
    <n v="0"/>
    <n v="0"/>
    <n v="0"/>
    <n v="0"/>
    <n v="1"/>
    <n v="1"/>
    <n v="4"/>
    <n v="0"/>
  </r>
  <r>
    <n v="365"/>
    <d v="2024-05-07T15:25:27"/>
    <d v="2024-05-07T15:30:16"/>
    <s v="eadisoni@lighthouse.org.mw"/>
    <s v="Eliza adisoni"/>
    <x v="5"/>
    <s v="COE"/>
    <x v="1"/>
    <s v="COP_23"/>
    <s v="COP_23"/>
    <s v="Quarter2"/>
    <s v="Quarter3"/>
    <s v="Qtr_3"/>
    <x v="7"/>
    <d v="2024-05-06T00:00:00"/>
    <d v="2024-05-06T00:00:00"/>
    <x v="2"/>
    <x v="25"/>
    <n v="1"/>
    <n v="6"/>
    <n v="1"/>
    <n v="2"/>
    <n v="0"/>
    <n v="9"/>
    <n v="6"/>
    <n v="4"/>
    <n v="0"/>
    <n v="0"/>
    <n v="0"/>
    <n v="3"/>
    <n v="0"/>
    <n v="0"/>
    <n v="0"/>
    <n v="0"/>
    <n v="0"/>
    <n v="0"/>
    <n v="0"/>
    <n v="0"/>
    <n v="0"/>
  </r>
  <r>
    <n v="376"/>
    <d v="2024-05-09T12:03:57"/>
    <d v="2024-05-09T12:06:35"/>
    <s v="eadisoni@lighthouse.org.mw"/>
    <s v="Eliza adisoni"/>
    <x v="5"/>
    <s v="COE"/>
    <x v="1"/>
    <s v="COP_24"/>
    <s v="COP_23"/>
    <s v="Quarter1"/>
    <s v="Quarter2"/>
    <s v="Qtr_2"/>
    <x v="4"/>
    <d v="2024-01-08T00:00:00"/>
    <d v="2024-01-08T00:00:00"/>
    <x v="2"/>
    <x v="39"/>
    <n v="1"/>
    <n v="1"/>
    <n v="1"/>
    <n v="2"/>
    <n v="3"/>
    <n v="6"/>
    <n v="4"/>
    <n v="5"/>
    <n v="0"/>
    <n v="0"/>
    <n v="0"/>
    <n v="2"/>
    <n v="2"/>
    <n v="0"/>
    <n v="0"/>
    <n v="0"/>
    <n v="0"/>
    <n v="0"/>
    <n v="0"/>
    <n v="2"/>
    <n v="0"/>
  </r>
  <r>
    <n v="487"/>
    <d v="2024-06-05T15:11:15"/>
    <d v="2024-06-05T15:34:01"/>
    <s v="eadisoni@lighthouse.org.mw"/>
    <s v="Eliza adisoni"/>
    <x v="5"/>
    <s v="COE"/>
    <x v="1"/>
    <s v="COP_24"/>
    <s v="COP_23"/>
    <s v="Quarter2"/>
    <s v="Quarter3"/>
    <s v="Qtr_3"/>
    <x v="6"/>
    <d v="2024-06-05T00:00:00"/>
    <d v="2024-06-05T00:00:00"/>
    <x v="0"/>
    <x v="82"/>
    <n v="18"/>
    <n v="124"/>
    <n v="23"/>
    <n v="9"/>
    <n v="9"/>
    <n v="159"/>
    <n v="106"/>
    <n v="0"/>
    <n v="0"/>
    <n v="3"/>
    <n v="0"/>
    <n v="3"/>
    <n v="0"/>
    <n v="0"/>
    <n v="0"/>
    <n v="1"/>
    <n v="0"/>
    <n v="1"/>
    <n v="1"/>
    <n v="1"/>
    <n v="0"/>
  </r>
  <r>
    <n v="488"/>
    <d v="2024-06-05T15:34:11"/>
    <d v="2024-06-05T15:36:14"/>
    <s v="eadisoni@lighthouse.org.mw"/>
    <s v="Eliza adisoni"/>
    <x v="5"/>
    <s v="COE"/>
    <x v="1"/>
    <s v="COP_24"/>
    <s v="COP_23"/>
    <s v="Quarter2"/>
    <s v="Quarter3"/>
    <s v="Qtr_3"/>
    <x v="6"/>
    <d v="2024-06-05T00:00:00"/>
    <d v="2024-06-05T00:00:00"/>
    <x v="4"/>
    <x v="18"/>
    <n v="0"/>
    <n v="1"/>
    <n v="0"/>
    <n v="0"/>
    <n v="0"/>
    <n v="1"/>
    <n v="0"/>
    <n v="0"/>
    <n v="0"/>
    <n v="0"/>
    <n v="0"/>
    <n v="0"/>
    <n v="0"/>
    <n v="0"/>
    <n v="0"/>
    <n v="0"/>
    <n v="0"/>
    <n v="0"/>
    <n v="0"/>
    <n v="0"/>
    <n v="0"/>
  </r>
  <r>
    <n v="489"/>
    <d v="2024-06-05T15:36:34"/>
    <d v="2024-06-05T15:38:03"/>
    <s v="eadisoni@lighthouse.org.mw"/>
    <s v="Eliza adisoni"/>
    <x v="5"/>
    <s v="COE"/>
    <x v="1"/>
    <s v="COP_24"/>
    <s v="COP_23"/>
    <s v="Quarter2"/>
    <s v="Quarter3"/>
    <s v="Qtr_3"/>
    <x v="6"/>
    <d v="2024-06-05T00:00:00"/>
    <d v="2024-06-05T00:00:00"/>
    <x v="3"/>
    <x v="18"/>
    <n v="0"/>
    <n v="1"/>
    <n v="0"/>
    <n v="0"/>
    <n v="0"/>
    <n v="0"/>
    <n v="0"/>
    <n v="0"/>
    <n v="0"/>
    <n v="0"/>
    <n v="0"/>
    <n v="0"/>
    <n v="0"/>
    <n v="0"/>
    <n v="0"/>
    <n v="0"/>
    <n v="0"/>
    <n v="0"/>
    <n v="0"/>
    <n v="0"/>
    <n v="0"/>
  </r>
  <r>
    <n v="492"/>
    <d v="2024-06-05T15:43:43"/>
    <d v="2024-06-05T15:47:30"/>
    <s v="eadisoni@lighthouse.org.mw"/>
    <s v="Eliza adisoni"/>
    <x v="5"/>
    <s v="COE"/>
    <x v="1"/>
    <s v="COP_24"/>
    <s v="COP_23"/>
    <s v="Quarter2"/>
    <s v="Quarter3"/>
    <s v="Qtr_3"/>
    <x v="6"/>
    <d v="2024-06-05T00:00:00"/>
    <d v="2024-06-05T00:00:00"/>
    <x v="5"/>
    <x v="9"/>
    <n v="1"/>
    <n v="22"/>
    <n v="1"/>
    <n v="0"/>
    <n v="2"/>
    <n v="24"/>
    <n v="4"/>
    <n v="5"/>
    <n v="1"/>
    <n v="0"/>
    <n v="0"/>
    <n v="0"/>
    <n v="0"/>
    <n v="0"/>
    <n v="0"/>
    <n v="0"/>
    <n v="0"/>
    <n v="0"/>
    <n v="0"/>
    <n v="0"/>
    <n v="0"/>
  </r>
  <r>
    <n v="494"/>
    <d v="2024-06-05T15:47:38"/>
    <d v="2024-06-05T15:52:34"/>
    <s v="eadisoni@lighthouse.org.mw"/>
    <s v="Eliza adisoni"/>
    <x v="5"/>
    <s v="COE"/>
    <x v="1"/>
    <s v="COP_24"/>
    <s v="COP_23"/>
    <s v="Quarter2"/>
    <s v="Quarter3"/>
    <s v="Qtr_3"/>
    <x v="6"/>
    <d v="2024-06-05T00:00:00"/>
    <d v="2024-06-05T00:00:00"/>
    <x v="6"/>
    <x v="83"/>
    <n v="100"/>
    <n v="40"/>
    <n v="4"/>
    <n v="32"/>
    <n v="51"/>
    <n v="127"/>
    <n v="56"/>
    <n v="49"/>
    <n v="8"/>
    <n v="15"/>
    <n v="5"/>
    <n v="1"/>
    <n v="0"/>
    <n v="2"/>
    <n v="1"/>
    <n v="11"/>
    <n v="7"/>
    <n v="42"/>
    <n v="12"/>
    <n v="18"/>
    <n v="8"/>
  </r>
  <r>
    <n v="378"/>
    <d v="2024-05-09T13:29:52"/>
    <d v="2024-05-09T13:32:56"/>
    <s v="eadisoni@lighthouse.org.mw"/>
    <s v="Eliza adisoni"/>
    <x v="5"/>
    <s v="COE"/>
    <x v="1"/>
    <s v="COP_24"/>
    <s v="COP_23"/>
    <s v="Quarter1"/>
    <s v="Quarter2"/>
    <s v="Qtr_2"/>
    <x v="5"/>
    <d v="2024-02-07T00:00:00"/>
    <d v="2024-02-07T00:00:00"/>
    <x v="2"/>
    <x v="37"/>
    <n v="1"/>
    <n v="3"/>
    <n v="0"/>
    <n v="1"/>
    <n v="1"/>
    <n v="6"/>
    <n v="4"/>
    <n v="2"/>
    <n v="0"/>
    <n v="0"/>
    <n v="0"/>
    <n v="3"/>
    <n v="0"/>
    <n v="0"/>
    <n v="0"/>
    <n v="0"/>
    <n v="0"/>
    <n v="5"/>
    <n v="1"/>
    <n v="1"/>
    <n v="0"/>
  </r>
  <r>
    <n v="379"/>
    <d v="2024-05-09T13:33:39"/>
    <d v="2024-05-09T13:38:34"/>
    <s v="eadisoni@lighthouse.org.mw"/>
    <s v="Eliza adisoni"/>
    <x v="5"/>
    <s v="COE"/>
    <x v="1"/>
    <s v="COP_24"/>
    <s v="COP_23"/>
    <s v="Quarter1"/>
    <s v="Quarter2"/>
    <s v="Qtr_2"/>
    <x v="3"/>
    <d v="2024-04-02T00:00:00"/>
    <d v="2024-04-04T00:00:00"/>
    <x v="2"/>
    <x v="54"/>
    <n v="0"/>
    <n v="1"/>
    <n v="2"/>
    <n v="2"/>
    <n v="0"/>
    <n v="5"/>
    <n v="4"/>
    <n v="4"/>
    <n v="1"/>
    <n v="1"/>
    <n v="0"/>
    <n v="5"/>
    <n v="1"/>
    <n v="0"/>
    <n v="0"/>
    <n v="0"/>
    <n v="0"/>
    <n v="2"/>
    <n v="1"/>
    <n v="0"/>
    <n v="0"/>
  </r>
  <r>
    <n v="748"/>
    <d v="2024-08-12T09:40:31"/>
    <d v="2024-08-12T09:40:47"/>
    <s v="bsamala@lighthouse.org.mw"/>
    <s v="Benadetta Samala"/>
    <x v="5"/>
    <s v="COE"/>
    <x v="1"/>
    <s v="COP_23"/>
    <s v="COP_23"/>
    <s v="Quarter3"/>
    <s v="Quarter4"/>
    <s v="Qtr_4"/>
    <x v="9"/>
    <d v="2024-07-01T00:00:00"/>
    <d v="2024-07-31T00:00:00"/>
    <x v="2"/>
    <x v="84"/>
    <n v="3"/>
    <n v="4"/>
    <n v="2"/>
    <n v="2"/>
    <n v="2"/>
    <n v="10"/>
    <n v="7"/>
    <n v="3"/>
    <n v="0"/>
    <n v="0"/>
    <n v="0"/>
    <n v="0"/>
    <n v="0"/>
    <n v="0"/>
    <n v="0"/>
    <n v="1"/>
    <n v="0"/>
    <n v="2"/>
    <n v="1"/>
    <n v="1"/>
    <n v="0"/>
  </r>
  <r>
    <n v="767"/>
    <d v="2024-08-17T14:40:30"/>
    <d v="2024-08-17T14:53:01"/>
    <s v="bsamala@lighthouse.org.mw"/>
    <s v="Benadetta Samala"/>
    <x v="5"/>
    <s v="COE"/>
    <x v="1"/>
    <s v="COP_22"/>
    <s v="COP_23"/>
    <s v="Quarter2"/>
    <s v="Quarter3"/>
    <s v="Qtr_3"/>
    <x v="6"/>
    <d v="2024-05-01T00:00:00"/>
    <d v="2024-05-31T00:00:00"/>
    <x v="2"/>
    <x v="39"/>
    <n v="3"/>
    <n v="4"/>
    <n v="0"/>
    <n v="1"/>
    <n v="3"/>
    <n v="8"/>
    <n v="4"/>
    <n v="3"/>
    <n v="0"/>
    <n v="0"/>
    <n v="0"/>
    <n v="0"/>
    <n v="0"/>
    <n v="0"/>
    <n v="0"/>
    <n v="0"/>
    <n v="0"/>
    <n v="0"/>
    <n v="0"/>
    <n v="0"/>
    <n v="0"/>
  </r>
  <r>
    <n v="768"/>
    <d v="2024-08-17T14:53:22"/>
    <d v="2024-08-17T14:59:21"/>
    <s v="bsamala@lighthouse.org.mw"/>
    <s v="Benadetta Samala"/>
    <x v="5"/>
    <s v="COE"/>
    <x v="1"/>
    <s v="COP_23"/>
    <s v="COP_23"/>
    <s v="Quarter2"/>
    <s v="Quarter3"/>
    <s v="Qtr_3"/>
    <x v="8"/>
    <d v="2024-06-01T00:00:00"/>
    <d v="2024-06-30T00:00:00"/>
    <x v="2"/>
    <x v="54"/>
    <n v="0"/>
    <n v="5"/>
    <n v="0"/>
    <n v="0"/>
    <n v="0"/>
    <n v="5"/>
    <n v="2"/>
    <n v="2"/>
    <n v="0"/>
    <n v="0"/>
    <n v="0"/>
    <n v="0"/>
    <n v="0"/>
    <n v="0"/>
    <n v="0"/>
    <n v="0"/>
    <n v="0"/>
    <n v="0"/>
    <n v="0"/>
    <n v="0"/>
    <n v="0"/>
  </r>
  <r>
    <n v="838"/>
    <d v="2024-09-26T09:08:26"/>
    <d v="2024-09-26T09:10:41"/>
    <s v="eadisoni@lighthouse.org.mw"/>
    <s v="Eliza adisoni"/>
    <x v="5"/>
    <s v="COE"/>
    <x v="1"/>
    <s v="COP_23"/>
    <s v="COP_23"/>
    <s v="Quarter3"/>
    <s v="Quarter4"/>
    <s v="Qtr_4"/>
    <x v="10"/>
    <d v="2024-08-01T00:00:00"/>
    <d v="2024-08-30T00:00:00"/>
    <x v="2"/>
    <x v="36"/>
    <n v="2"/>
    <n v="7"/>
    <n v="2"/>
    <n v="2"/>
    <n v="0"/>
    <n v="11"/>
    <n v="3"/>
    <n v="4"/>
    <n v="0"/>
    <n v="1"/>
    <n v="0"/>
    <n v="1"/>
    <n v="0"/>
    <n v="1"/>
    <n v="0"/>
    <n v="1"/>
    <n v="0"/>
    <n v="1"/>
    <n v="0"/>
    <n v="1"/>
    <n v="0"/>
  </r>
  <r>
    <n v="873"/>
    <d v="2024-10-03T07:48:16"/>
    <d v="2024-10-03T07:50:40"/>
    <s v="eadisoni@lighthouse.org.mw"/>
    <s v="Eliza adisoni"/>
    <x v="5"/>
    <s v="COE"/>
    <x v="1"/>
    <s v="COP_23"/>
    <s v="COP_23"/>
    <s v="Quarter3"/>
    <s v="Quarter4"/>
    <s v="Qtr_4"/>
    <x v="2"/>
    <d v="2024-09-02T00:00:00"/>
    <d v="2024-09-30T00:00:00"/>
    <x v="2"/>
    <x v="29"/>
    <n v="3"/>
    <n v="6"/>
    <n v="3"/>
    <n v="2"/>
    <n v="1"/>
    <n v="12"/>
    <n v="5"/>
    <n v="5"/>
    <n v="1"/>
    <n v="1"/>
    <n v="1"/>
    <n v="3"/>
    <n v="0"/>
    <n v="9"/>
    <n v="9"/>
    <n v="0"/>
    <n v="0"/>
    <n v="0"/>
    <n v="0"/>
    <n v="1"/>
    <n v="1"/>
  </r>
  <r>
    <n v="1051"/>
    <d v="2024-11-08T13:49:09"/>
    <d v="2024-11-08T13:52:09"/>
    <s v="eadisoni@lighthouse.org.mw"/>
    <s v="Eliza adisoni"/>
    <x v="5"/>
    <s v="COE"/>
    <x v="1"/>
    <s v="COP_23"/>
    <s v="COP_24"/>
    <s v="Quarter4"/>
    <s v="Quarter1"/>
    <s v="Qtr_1"/>
    <x v="0"/>
    <d v="2024-10-01T00:00:00"/>
    <d v="2024-10-31T00:00:00"/>
    <x v="2"/>
    <x v="39"/>
    <n v="2"/>
    <n v="3"/>
    <n v="0"/>
    <n v="4"/>
    <n v="1"/>
    <n v="8"/>
    <n v="4"/>
    <n v="4"/>
    <n v="0"/>
    <n v="1"/>
    <n v="0"/>
    <n v="4"/>
    <n v="0"/>
    <n v="0"/>
    <n v="0"/>
    <n v="0"/>
    <n v="0"/>
    <n v="1"/>
    <n v="0"/>
    <n v="1"/>
    <n v="0"/>
  </r>
  <r>
    <n v="568"/>
    <d v="2024-07-03T10:28:27"/>
    <d v="2024-07-03T10:37:06"/>
    <s v="eadisoni@lighthouse.org.mw"/>
    <s v="Eliza adisoni"/>
    <x v="5"/>
    <s v="COE"/>
    <x v="1"/>
    <s v="COP_23"/>
    <s v="COP_23"/>
    <s v="Quarter2"/>
    <s v="Quarter3"/>
    <s v="Qtr_3"/>
    <x v="8"/>
    <d v="2024-07-03T00:00:00"/>
    <d v="2024-07-03T00:00:00"/>
    <x v="0"/>
    <x v="85"/>
    <n v="8"/>
    <n v="71"/>
    <n v="19"/>
    <n v="10"/>
    <n v="7"/>
    <n v="117"/>
    <n v="40"/>
    <n v="36"/>
    <n v="3"/>
    <n v="4"/>
    <n v="2"/>
    <n v="0"/>
    <n v="0"/>
    <n v="0"/>
    <n v="0"/>
    <n v="1"/>
    <n v="0"/>
    <n v="0"/>
    <n v="0"/>
    <n v="4"/>
    <n v="0"/>
  </r>
  <r>
    <n v="569"/>
    <d v="2024-07-03T10:37:17"/>
    <d v="2024-07-03T10:39:36"/>
    <s v="eadisoni@lighthouse.org.mw"/>
    <s v="Eliza adisoni"/>
    <x v="5"/>
    <s v="COE"/>
    <x v="1"/>
    <s v="COP_23"/>
    <s v="COP_23"/>
    <s v="Quarter2"/>
    <s v="Quarter3"/>
    <s v="Qtr_3"/>
    <x v="8"/>
    <d v="2024-07-03T00:00:00"/>
    <d v="2024-07-03T00:00:00"/>
    <x v="5"/>
    <x v="29"/>
    <n v="0"/>
    <n v="8"/>
    <n v="2"/>
    <n v="1"/>
    <n v="1"/>
    <n v="12"/>
    <n v="4"/>
    <n v="0"/>
    <n v="0"/>
    <n v="0"/>
    <n v="0"/>
    <n v="0"/>
    <n v="0"/>
    <n v="0"/>
    <n v="0"/>
    <n v="1"/>
    <n v="0"/>
    <n v="1"/>
    <n v="0"/>
    <n v="0"/>
    <n v="0"/>
  </r>
  <r>
    <n v="570"/>
    <d v="2024-07-03T10:39:45"/>
    <d v="2024-07-03T10:42:35"/>
    <s v="eadisoni@lighthouse.org.mw"/>
    <s v="Eliza adisoni"/>
    <x v="5"/>
    <s v="COE"/>
    <x v="1"/>
    <s v="COP_23"/>
    <s v="COP_23"/>
    <s v="Quarter2"/>
    <s v="Quarter3"/>
    <s v="Qtr_3"/>
    <x v="8"/>
    <d v="2024-07-03T00:00:00"/>
    <d v="2024-07-03T00:00:00"/>
    <x v="4"/>
    <x v="18"/>
    <n v="0"/>
    <n v="1"/>
    <n v="0"/>
    <n v="0"/>
    <n v="0"/>
    <n v="1"/>
    <n v="0"/>
    <n v="0"/>
    <n v="0"/>
    <n v="0"/>
    <n v="0"/>
    <n v="0"/>
    <n v="0"/>
    <n v="0"/>
    <n v="0"/>
    <n v="0"/>
    <n v="0"/>
    <n v="0"/>
    <n v="0"/>
    <n v="0"/>
    <n v="0"/>
  </r>
  <r>
    <n v="571"/>
    <d v="2024-07-03T10:42:45"/>
    <d v="2024-07-03T10:45:02"/>
    <s v="eadisoni@lighthouse.org.mw"/>
    <s v="Eliza adisoni"/>
    <x v="5"/>
    <s v="COE"/>
    <x v="1"/>
    <s v="COP_23"/>
    <s v="COP_23"/>
    <s v="Quarter2"/>
    <s v="Quarter3"/>
    <s v="Qtr_3"/>
    <x v="8"/>
    <d v="2024-07-03T00:00:00"/>
    <d v="2024-07-03T00:00:00"/>
    <x v="3"/>
    <x v="21"/>
    <n v="0"/>
    <n v="0"/>
    <n v="0"/>
    <n v="0"/>
    <n v="0"/>
    <n v="0"/>
    <n v="0"/>
    <n v="0"/>
    <n v="0"/>
    <n v="0"/>
    <n v="0"/>
    <n v="0"/>
    <n v="0"/>
    <n v="0"/>
    <n v="0"/>
    <n v="0"/>
    <n v="0"/>
    <n v="0"/>
    <n v="0"/>
    <n v="0"/>
    <n v="0"/>
  </r>
  <r>
    <n v="573"/>
    <d v="2024-07-03T10:49:32"/>
    <d v="2024-07-03T11:05:00"/>
    <s v="eadisoni@lighthouse.org.mw"/>
    <s v="Eliza adisoni"/>
    <x v="5"/>
    <s v="COE"/>
    <x v="1"/>
    <s v="COP_23"/>
    <s v="COP_23"/>
    <s v="Quarter2"/>
    <s v="Quarter3"/>
    <s v="Qtr_3"/>
    <x v="8"/>
    <d v="2024-07-03T00:00:00"/>
    <d v="2024-07-03T00:00:00"/>
    <x v="6"/>
    <x v="86"/>
    <n v="76"/>
    <n v="18"/>
    <n v="12"/>
    <n v="39"/>
    <n v="30"/>
    <n v="99"/>
    <n v="46"/>
    <n v="45"/>
    <n v="3"/>
    <n v="10"/>
    <n v="1"/>
    <n v="0"/>
    <n v="0"/>
    <n v="6"/>
    <n v="1"/>
    <n v="17"/>
    <n v="12"/>
    <n v="35"/>
    <n v="13"/>
    <n v="15"/>
    <n v="1"/>
  </r>
  <r>
    <n v="742"/>
    <d v="2024-08-12T08:39:32"/>
    <d v="2024-08-12T09:11:55"/>
    <s v="bsamala@lighthouse.org.mw"/>
    <s v="Benadetta Samala"/>
    <x v="5"/>
    <s v="COE"/>
    <x v="1"/>
    <s v="COP_23"/>
    <s v="COP_23"/>
    <s v="Quarter3"/>
    <s v="Quarter4"/>
    <s v="Qtr_4"/>
    <x v="9"/>
    <d v="2024-07-01T00:00:00"/>
    <d v="2024-07-31T00:00:00"/>
    <x v="0"/>
    <x v="87"/>
    <n v="15"/>
    <n v="90"/>
    <n v="36"/>
    <n v="37"/>
    <n v="15"/>
    <n v="162"/>
    <n v="67"/>
    <n v="63"/>
    <n v="4"/>
    <n v="4"/>
    <n v="2"/>
    <n v="0"/>
    <n v="0"/>
    <n v="0"/>
    <n v="0"/>
    <n v="0"/>
    <n v="0"/>
    <n v="13"/>
    <n v="3"/>
    <n v="4"/>
    <n v="2"/>
  </r>
  <r>
    <n v="743"/>
    <d v="2024-08-12T09:12:02"/>
    <d v="2024-08-12T09:22:37"/>
    <s v="bsamala@lighthouse.org.mw"/>
    <s v="Benadetta Samala"/>
    <x v="5"/>
    <s v="COE"/>
    <x v="1"/>
    <s v="COP_23"/>
    <s v="COP_23"/>
    <s v="Quarter3"/>
    <s v="Quarter4"/>
    <s v="Qtr_4"/>
    <x v="9"/>
    <d v="2024-07-01T00:00:00"/>
    <d v="2024-07-31T00:00:00"/>
    <x v="6"/>
    <x v="88"/>
    <n v="98"/>
    <n v="41"/>
    <n v="7"/>
    <n v="50"/>
    <n v="38"/>
    <n v="136"/>
    <n v="62"/>
    <n v="65"/>
    <n v="4"/>
    <n v="6"/>
    <n v="3"/>
    <n v="0"/>
    <n v="0"/>
    <n v="8"/>
    <n v="1"/>
    <n v="36"/>
    <n v="3"/>
    <n v="58"/>
    <n v="19"/>
    <n v="14"/>
    <n v="6"/>
  </r>
  <r>
    <n v="745"/>
    <d v="2024-08-12T09:26:58"/>
    <d v="2024-08-12T09:30:19"/>
    <s v="bsamala@lighthouse.org.mw"/>
    <s v="Benadetta Samala"/>
    <x v="5"/>
    <s v="COE"/>
    <x v="1"/>
    <s v="COP_23"/>
    <s v="COP_23"/>
    <s v="Quarter3"/>
    <s v="Quarter4"/>
    <s v="Qtr_4"/>
    <x v="9"/>
    <d v="2024-07-01T00:00:00"/>
    <d v="2024-07-31T00:00:00"/>
    <x v="3"/>
    <x v="18"/>
    <n v="0"/>
    <n v="0"/>
    <n v="1"/>
    <n v="0"/>
    <n v="0"/>
    <n v="0"/>
    <n v="0"/>
    <n v="1"/>
    <n v="0"/>
    <n v="0"/>
    <n v="0"/>
    <n v="0"/>
    <n v="0"/>
    <n v="0"/>
    <n v="0"/>
    <n v="0"/>
    <n v="0"/>
    <n v="0"/>
    <n v="0"/>
    <n v="0"/>
    <n v="0"/>
  </r>
  <r>
    <n v="746"/>
    <d v="2024-08-12T09:30:28"/>
    <d v="2024-08-12T09:34:14"/>
    <s v="bsamala@lighthouse.org.mw"/>
    <s v="Benadetta Samala"/>
    <x v="5"/>
    <s v="COE"/>
    <x v="1"/>
    <s v="COP_23"/>
    <s v="COP_23"/>
    <s v="Quarter3"/>
    <s v="Quarter4"/>
    <s v="Qtr_4"/>
    <x v="9"/>
    <d v="2024-07-01T00:00:00"/>
    <d v="2024-07-31T00:00:00"/>
    <x v="5"/>
    <x v="59"/>
    <n v="3"/>
    <n v="14"/>
    <n v="5"/>
    <n v="4"/>
    <n v="3"/>
    <n v="25"/>
    <n v="13"/>
    <n v="11"/>
    <n v="2"/>
    <n v="1"/>
    <n v="1"/>
    <n v="0"/>
    <n v="0"/>
    <n v="0"/>
    <n v="0"/>
    <n v="0"/>
    <n v="0"/>
    <n v="0"/>
    <n v="0"/>
    <n v="0"/>
    <n v="1"/>
  </r>
  <r>
    <n v="747"/>
    <d v="2024-08-12T09:34:18"/>
    <d v="2024-08-12T09:36:38"/>
    <s v="bsamala@lighthouse.org.mw"/>
    <s v="Benadetta Samala"/>
    <x v="5"/>
    <s v="COE"/>
    <x v="1"/>
    <s v="COP_23"/>
    <s v="COP_23"/>
    <s v="Quarter3"/>
    <s v="Quarter4"/>
    <s v="Qtr_4"/>
    <x v="9"/>
    <d v="2024-07-01T00:00:00"/>
    <d v="2024-07-31T00:00:00"/>
    <x v="4"/>
    <x v="20"/>
    <n v="0"/>
    <n v="2"/>
    <n v="0"/>
    <n v="0"/>
    <n v="0"/>
    <n v="2"/>
    <n v="0"/>
    <n v="0"/>
    <n v="0"/>
    <n v="0"/>
    <n v="0"/>
    <n v="0"/>
    <n v="0"/>
    <n v="0"/>
    <n v="0"/>
    <n v="0"/>
    <n v="0"/>
    <n v="0"/>
    <n v="0"/>
    <n v="0"/>
    <n v="0"/>
  </r>
  <r>
    <n v="834"/>
    <d v="2024-09-26T08:02:10"/>
    <d v="2024-09-26T08:04:50"/>
    <s v="eadisoni@lighthouse.org.mw"/>
    <s v="Eliza adisoni"/>
    <x v="5"/>
    <s v="COE"/>
    <x v="1"/>
    <s v="COP_23"/>
    <s v="COP_23"/>
    <s v="Quarter3"/>
    <s v="Quarter4"/>
    <s v="Qtr_4"/>
    <x v="10"/>
    <d v="2024-08-01T00:00:00"/>
    <d v="2024-08-30T00:00:00"/>
    <x v="4"/>
    <x v="54"/>
    <n v="1"/>
    <n v="3"/>
    <n v="0"/>
    <n v="2"/>
    <n v="0"/>
    <n v="5"/>
    <n v="1"/>
    <n v="0"/>
    <n v="0"/>
    <n v="0"/>
    <n v="0"/>
    <n v="0"/>
    <n v="0"/>
    <n v="0"/>
    <n v="0"/>
    <n v="0"/>
    <n v="0"/>
    <n v="0"/>
    <n v="0"/>
    <n v="1"/>
    <n v="0"/>
  </r>
  <r>
    <n v="835"/>
    <d v="2024-09-26T08:04:57"/>
    <d v="2024-09-26T08:06:11"/>
    <s v="eadisoni@lighthouse.org.mw"/>
    <s v="Eliza adisoni"/>
    <x v="5"/>
    <s v="COE"/>
    <x v="1"/>
    <s v="COP_23"/>
    <s v="COP_23"/>
    <s v="Quarter3"/>
    <s v="Quarter4"/>
    <s v="Qtr_4"/>
    <x v="10"/>
    <d v="2024-08-01T00:00:00"/>
    <d v="2024-08-30T00:00:00"/>
    <x v="3"/>
    <x v="21"/>
    <n v="0"/>
    <n v="0"/>
    <n v="0"/>
    <n v="0"/>
    <n v="0"/>
    <n v="0"/>
    <n v="0"/>
    <n v="0"/>
    <n v="0"/>
    <n v="0"/>
    <n v="0"/>
    <n v="0"/>
    <n v="0"/>
    <n v="0"/>
    <n v="0"/>
    <n v="0"/>
    <n v="0"/>
    <n v="0"/>
    <n v="0"/>
    <n v="0"/>
    <n v="0"/>
  </r>
  <r>
    <n v="837"/>
    <d v="2024-09-26T09:07:58"/>
    <d v="2024-09-26T09:08:17"/>
    <s v="eadisoni@lighthouse.org.mw"/>
    <s v="Eliza adisoni"/>
    <x v="5"/>
    <s v="COE"/>
    <x v="1"/>
    <s v="COP_23"/>
    <s v="COP_23"/>
    <s v="Quarter3"/>
    <s v="Quarter4"/>
    <s v="Qtr_4"/>
    <x v="10"/>
    <d v="2024-08-01T00:00:00"/>
    <d v="2024-08-30T00:00:00"/>
    <x v="5"/>
    <x v="61"/>
    <n v="0"/>
    <n v="16"/>
    <n v="2"/>
    <n v="1"/>
    <n v="0"/>
    <n v="19"/>
    <n v="4"/>
    <n v="3"/>
    <n v="0"/>
    <n v="1"/>
    <n v="0"/>
    <n v="2"/>
    <n v="0"/>
    <n v="0"/>
    <n v="0"/>
    <n v="0"/>
    <n v="0"/>
    <n v="1"/>
    <n v="0"/>
    <n v="0"/>
    <n v="0"/>
  </r>
  <r>
    <n v="839"/>
    <d v="2024-09-26T09:10:46"/>
    <d v="2024-09-26T09:13:33"/>
    <s v="eadisoni@lighthouse.org.mw"/>
    <s v="Eliza adisoni"/>
    <x v="5"/>
    <s v="COE"/>
    <x v="1"/>
    <s v="COP_23"/>
    <s v="COP_23"/>
    <s v="Quarter3"/>
    <s v="Quarter4"/>
    <s v="Qtr_4"/>
    <x v="10"/>
    <d v="2024-08-01T00:00:00"/>
    <d v="2024-08-30T00:00:00"/>
    <x v="0"/>
    <x v="89"/>
    <n v="17"/>
    <n v="94"/>
    <n v="20"/>
    <n v="15"/>
    <n v="13"/>
    <n v="201"/>
    <n v="58"/>
    <n v="64"/>
    <n v="1"/>
    <n v="10"/>
    <n v="2"/>
    <n v="36"/>
    <n v="8"/>
    <n v="0"/>
    <n v="0"/>
    <n v="8"/>
    <n v="4"/>
    <n v="13"/>
    <n v="2"/>
    <n v="3"/>
    <n v="2"/>
  </r>
  <r>
    <n v="840"/>
    <d v="2024-09-26T09:13:41"/>
    <d v="2024-09-26T09:18:55"/>
    <s v="eadisoni@lighthouse.org.mw"/>
    <s v="Eliza adisoni"/>
    <x v="5"/>
    <s v="COE"/>
    <x v="1"/>
    <s v="COP_23"/>
    <s v="COP_23"/>
    <s v="Quarter3"/>
    <s v="Quarter4"/>
    <s v="Qtr_4"/>
    <x v="10"/>
    <d v="2024-08-01T00:00:00"/>
    <d v="2024-08-30T00:00:00"/>
    <x v="6"/>
    <x v="90"/>
    <n v="52"/>
    <n v="30"/>
    <n v="8"/>
    <n v="31"/>
    <n v="31"/>
    <n v="100"/>
    <n v="39"/>
    <n v="40"/>
    <n v="0"/>
    <n v="4"/>
    <n v="1"/>
    <n v="12"/>
    <n v="3"/>
    <n v="4"/>
    <n v="0"/>
    <n v="25"/>
    <n v="19"/>
    <n v="32"/>
    <n v="20"/>
    <n v="8"/>
    <n v="1"/>
  </r>
  <r>
    <n v="869"/>
    <d v="2024-10-03T07:33:19"/>
    <d v="2024-10-03T07:38:40"/>
    <s v="eadisoni@lighthouse.org.mw"/>
    <s v="Eliza adisoni"/>
    <x v="5"/>
    <s v="COE"/>
    <x v="1"/>
    <s v="COP_23"/>
    <s v="COP_23"/>
    <s v="Quarter3"/>
    <s v="Quarter4"/>
    <s v="Qtr_4"/>
    <x v="2"/>
    <d v="2024-09-02T00:00:00"/>
    <d v="2024-09-30T00:00:00"/>
    <x v="0"/>
    <x v="91"/>
    <n v="23"/>
    <n v="92"/>
    <n v="38"/>
    <n v="29"/>
    <n v="9"/>
    <n v="157"/>
    <n v="53"/>
    <n v="55"/>
    <n v="5"/>
    <n v="9"/>
    <n v="4"/>
    <n v="56"/>
    <n v="2"/>
    <n v="0"/>
    <n v="0"/>
    <n v="0"/>
    <n v="0"/>
    <n v="5"/>
    <n v="2"/>
    <n v="3"/>
    <n v="2"/>
  </r>
  <r>
    <n v="871"/>
    <d v="2024-10-03T07:42:57"/>
    <d v="2024-10-03T07:45:55"/>
    <s v="eadisoni@lighthouse.org.mw"/>
    <s v="Eliza adisoni"/>
    <x v="5"/>
    <s v="COE"/>
    <x v="1"/>
    <s v="COP_23"/>
    <s v="COP_23"/>
    <s v="Quarter3"/>
    <s v="Quarter4"/>
    <s v="Qtr_4"/>
    <x v="2"/>
    <d v="2024-09-02T00:00:00"/>
    <d v="2024-09-30T00:00:00"/>
    <x v="3"/>
    <x v="18"/>
    <n v="0"/>
    <n v="0"/>
    <n v="0"/>
    <n v="1"/>
    <n v="0"/>
    <n v="0"/>
    <n v="0"/>
    <n v="1"/>
    <n v="0"/>
    <n v="0"/>
    <n v="0"/>
    <n v="1"/>
    <n v="0"/>
    <n v="0"/>
    <n v="0"/>
    <n v="0"/>
    <n v="0"/>
    <n v="0"/>
    <n v="0"/>
    <n v="0"/>
    <n v="0"/>
  </r>
  <r>
    <n v="872"/>
    <d v="2024-10-03T07:46:05"/>
    <d v="2024-10-03T07:48:09"/>
    <s v="eadisoni@lighthouse.org.mw"/>
    <s v="Eliza adisoni"/>
    <x v="5"/>
    <s v="COE"/>
    <x v="1"/>
    <s v="COP_23"/>
    <s v="COP_23"/>
    <s v="Quarter3"/>
    <s v="Quarter4"/>
    <s v="Qtr_4"/>
    <x v="2"/>
    <d v="2024-09-02T00:00:00"/>
    <d v="2024-09-30T00:00:00"/>
    <x v="4"/>
    <x v="18"/>
    <n v="0"/>
    <n v="0"/>
    <n v="1"/>
    <n v="0"/>
    <n v="0"/>
    <n v="1"/>
    <n v="1"/>
    <n v="1"/>
    <n v="0"/>
    <n v="0"/>
    <n v="0"/>
    <n v="1"/>
    <n v="0"/>
    <n v="0"/>
    <n v="0"/>
    <n v="0"/>
    <n v="0"/>
    <n v="1"/>
    <n v="0"/>
    <n v="0"/>
    <n v="0"/>
  </r>
  <r>
    <n v="874"/>
    <d v="2024-10-03T07:51:34"/>
    <d v="2024-10-03T08:00:59"/>
    <s v="eadisoni@lighthouse.org.mw"/>
    <s v="Eliza adisoni"/>
    <x v="5"/>
    <s v="COE"/>
    <x v="1"/>
    <s v="COP_23"/>
    <s v="COP_23"/>
    <s v="Quarter3"/>
    <s v="Quarter4"/>
    <s v="Qtr_4"/>
    <x v="2"/>
    <d v="2024-09-02T00:00:00"/>
    <d v="2024-09-30T00:00:00"/>
    <x v="6"/>
    <x v="92"/>
    <n v="46"/>
    <n v="42"/>
    <n v="8"/>
    <n v="21"/>
    <n v="32"/>
    <n v="103"/>
    <n v="53"/>
    <n v="57"/>
    <n v="5"/>
    <n v="15"/>
    <n v="6"/>
    <n v="47"/>
    <n v="6"/>
    <n v="5"/>
    <n v="2"/>
    <n v="24"/>
    <n v="4"/>
    <n v="30"/>
    <n v="11"/>
    <n v="9"/>
    <n v="7"/>
  </r>
  <r>
    <n v="875"/>
    <d v="2024-10-03T08:50:17"/>
    <d v="2024-10-03T08:50:58"/>
    <s v="eadisoni@lighthouse.org.mw"/>
    <s v="Eliza adisoni"/>
    <x v="5"/>
    <s v="COE"/>
    <x v="1"/>
    <s v="COP_23"/>
    <s v="COP_23"/>
    <s v="Quarter3"/>
    <s v="Quarter4"/>
    <s v="Qtr_4"/>
    <x v="2"/>
    <d v="2024-09-02T00:00:00"/>
    <d v="2024-09-30T00:00:00"/>
    <x v="5"/>
    <x v="56"/>
    <n v="3"/>
    <n v="20"/>
    <n v="2"/>
    <n v="5"/>
    <n v="1"/>
    <n v="27"/>
    <n v="6"/>
    <n v="10"/>
    <n v="2"/>
    <n v="1"/>
    <n v="0"/>
    <n v="7"/>
    <n v="0"/>
    <n v="0"/>
    <n v="0"/>
    <n v="1"/>
    <n v="0"/>
    <n v="0"/>
    <n v="0"/>
    <n v="0"/>
    <n v="0"/>
  </r>
  <r>
    <n v="1047"/>
    <d v="2024-11-08T13:40:23"/>
    <d v="2024-11-08T13:43:15"/>
    <s v="eadisoni@lighthouse.org.mw"/>
    <s v="Eliza adisoni"/>
    <x v="5"/>
    <s v="COE"/>
    <x v="1"/>
    <s v="COP_23"/>
    <s v="COP_24"/>
    <s v="Quarter4"/>
    <s v="Quarter1"/>
    <s v="Qtr_1"/>
    <x v="0"/>
    <d v="2024-10-01T00:00:00"/>
    <d v="2024-10-31T00:00:00"/>
    <x v="4"/>
    <x v="33"/>
    <n v="0"/>
    <n v="4"/>
    <n v="0"/>
    <n v="0"/>
    <n v="0"/>
    <n v="0"/>
    <n v="0"/>
    <n v="0"/>
    <n v="0"/>
    <n v="0"/>
    <n v="0"/>
    <n v="0"/>
    <n v="0"/>
    <n v="0"/>
    <n v="0"/>
    <n v="0"/>
    <n v="0"/>
    <n v="0"/>
    <n v="0"/>
    <n v="0"/>
    <n v="0"/>
  </r>
  <r>
    <n v="1049"/>
    <d v="2024-11-08T13:46:00"/>
    <d v="2024-11-08T13:46:59"/>
    <s v="eadisoni@lighthouse.org.mw"/>
    <s v="Eliza adisoni"/>
    <x v="5"/>
    <s v="COE"/>
    <x v="1"/>
    <s v="COP_23"/>
    <s v="COP_24"/>
    <s v="Quarter4"/>
    <s v="Quarter1"/>
    <s v="Qtr_1"/>
    <x v="0"/>
    <d v="2024-10-01T00:00:00"/>
    <d v="2024-10-31T00:00:00"/>
    <x v="3"/>
    <x v="21"/>
    <n v="0"/>
    <n v="0"/>
    <n v="0"/>
    <n v="0"/>
    <n v="0"/>
    <n v="0"/>
    <n v="0"/>
    <n v="0"/>
    <n v="0"/>
    <n v="0"/>
    <n v="0"/>
    <n v="0"/>
    <n v="0"/>
    <n v="0"/>
    <n v="0"/>
    <n v="0"/>
    <n v="0"/>
    <n v="0"/>
    <n v="0"/>
    <n v="0"/>
    <n v="0"/>
  </r>
  <r>
    <n v="1050"/>
    <d v="2024-11-08T13:47:07"/>
    <d v="2024-11-08T13:49:02"/>
    <s v="eadisoni@lighthouse.org.mw"/>
    <s v="Eliza adisoni"/>
    <x v="5"/>
    <s v="COE"/>
    <x v="1"/>
    <s v="COP_23"/>
    <s v="COP_24"/>
    <s v="Quarter4"/>
    <s v="Quarter1"/>
    <s v="Qtr_1"/>
    <x v="0"/>
    <d v="2024-10-01T00:00:00"/>
    <d v="2024-10-31T00:00:00"/>
    <x v="5"/>
    <x v="38"/>
    <n v="5"/>
    <n v="23"/>
    <n v="1"/>
    <n v="11"/>
    <n v="1"/>
    <n v="36"/>
    <n v="12"/>
    <n v="11"/>
    <n v="1"/>
    <n v="0"/>
    <n v="0"/>
    <n v="9"/>
    <n v="0"/>
    <n v="0"/>
    <n v="0"/>
    <n v="0"/>
    <n v="0"/>
    <n v="0"/>
    <n v="0"/>
    <n v="0"/>
    <n v="0"/>
  </r>
  <r>
    <n v="1052"/>
    <d v="2024-11-08T13:52:30"/>
    <d v="2024-11-08T13:58:02"/>
    <s v="eadisoni@lighthouse.org.mw"/>
    <s v="Eliza adisoni"/>
    <x v="5"/>
    <s v="COE"/>
    <x v="1"/>
    <s v="COP_23"/>
    <s v="COP_24"/>
    <s v="Quarter4"/>
    <s v="Quarter1"/>
    <s v="Qtr_1"/>
    <x v="0"/>
    <d v="2024-10-01T00:00:00"/>
    <d v="2024-10-31T00:00:00"/>
    <x v="6"/>
    <x v="24"/>
    <n v="89"/>
    <n v="32"/>
    <n v="15"/>
    <n v="36"/>
    <n v="37"/>
    <n v="120"/>
    <n v="45"/>
    <n v="50"/>
    <n v="5"/>
    <n v="6"/>
    <n v="3"/>
    <n v="28"/>
    <n v="8"/>
    <n v="2"/>
    <n v="0"/>
    <n v="17"/>
    <n v="11"/>
    <n v="26"/>
    <n v="15"/>
    <n v="12"/>
    <n v="2"/>
  </r>
  <r>
    <n v="1073"/>
    <d v="2024-11-15T11:30:40"/>
    <d v="2024-11-15T12:04:55"/>
    <s v="bsamala@lighthouse.org.mw"/>
    <s v="Benadetta Samala"/>
    <x v="5"/>
    <s v="COE"/>
    <x v="1"/>
    <s v="COP_23"/>
    <s v="COP_23"/>
    <s v="Quarter3"/>
    <s v="Quarter4"/>
    <s v="Qtr_4"/>
    <x v="9"/>
    <d v="2024-07-01T00:00:00"/>
    <d v="2024-07-30T00:00:00"/>
    <x v="1"/>
    <x v="13"/>
    <n v="1"/>
    <n v="23"/>
    <n v="12"/>
    <n v="17"/>
    <n v="0"/>
    <n v="52"/>
    <n v="21"/>
    <n v="16"/>
    <n v="0"/>
    <n v="0"/>
    <n v="0"/>
    <n v="0"/>
    <n v="0"/>
    <n v="0"/>
    <n v="0"/>
    <n v="0"/>
    <n v="0"/>
    <n v="0"/>
    <n v="0"/>
    <n v="0"/>
    <n v="0"/>
  </r>
  <r>
    <n v="1074"/>
    <d v="2024-11-15T12:05:18"/>
    <d v="2024-11-15T12:15:30"/>
    <s v="bsamala@lighthouse.org.mw"/>
    <s v="Benadetta Samala"/>
    <x v="5"/>
    <s v="COE"/>
    <x v="1"/>
    <s v="COP_23"/>
    <s v="COP_23"/>
    <s v="Quarter3"/>
    <s v="Quarter4"/>
    <s v="Qtr_4"/>
    <x v="10"/>
    <d v="2024-08-01T00:00:00"/>
    <d v="2024-08-31T00:00:00"/>
    <x v="1"/>
    <x v="32"/>
    <n v="7"/>
    <n v="26"/>
    <n v="7"/>
    <n v="6"/>
    <n v="3"/>
    <n v="42"/>
    <n v="13"/>
    <n v="15"/>
    <n v="1"/>
    <n v="1"/>
    <n v="1"/>
    <n v="3"/>
    <n v="2"/>
    <n v="1"/>
    <n v="1"/>
    <n v="1"/>
    <n v="1"/>
    <n v="0"/>
    <n v="0"/>
    <n v="0"/>
    <n v="1"/>
  </r>
  <r>
    <n v="1075"/>
    <d v="2024-11-15T12:15:48"/>
    <d v="2024-11-15T12:20:54"/>
    <s v="bsamala@lighthouse.org.mw"/>
    <s v="Benadetta Samala"/>
    <x v="5"/>
    <s v="COE"/>
    <x v="1"/>
    <s v="COP_23"/>
    <s v="COP_23"/>
    <s v="Quarter3"/>
    <s v="Quarter4"/>
    <s v="Qtr_4"/>
    <x v="2"/>
    <d v="2024-09-01T00:00:00"/>
    <d v="2024-09-30T00:00:00"/>
    <x v="1"/>
    <x v="34"/>
    <n v="7"/>
    <n v="15"/>
    <n v="4"/>
    <n v="6"/>
    <n v="4"/>
    <n v="29"/>
    <n v="10"/>
    <n v="7"/>
    <n v="0"/>
    <n v="1"/>
    <n v="1"/>
    <n v="7"/>
    <n v="2"/>
    <n v="0"/>
    <n v="0"/>
    <n v="0"/>
    <n v="0"/>
    <n v="1"/>
    <n v="0"/>
    <n v="0"/>
    <n v="0"/>
  </r>
  <r>
    <n v="1112"/>
    <d v="2024-12-09T11:26:05"/>
    <d v="2024-12-09T11:31:10"/>
    <s v="eadisoni@lighthouse.org.mw"/>
    <s v="Eliza adisoni"/>
    <x v="5"/>
    <s v="COE"/>
    <x v="1"/>
    <s v="COP_23"/>
    <s v="COP_24"/>
    <s v="Quarter4"/>
    <s v="Quarter1"/>
    <s v="Qtr_1"/>
    <x v="1"/>
    <d v="2024-11-01T00:00:00"/>
    <d v="2024-11-30T00:00:00"/>
    <x v="0"/>
    <x v="93"/>
    <n v="41"/>
    <n v="103"/>
    <n v="6"/>
    <n v="31"/>
    <n v="22"/>
    <n v="158"/>
    <n v="53"/>
    <n v="54"/>
    <n v="4"/>
    <n v="4"/>
    <n v="0"/>
    <n v="59"/>
    <n v="11"/>
    <n v="0"/>
    <n v="0"/>
    <n v="2"/>
    <n v="0"/>
    <n v="5"/>
    <n v="0"/>
    <n v="7"/>
    <n v="1"/>
  </r>
  <r>
    <n v="1113"/>
    <d v="2024-12-09T11:31:43"/>
    <d v="2024-12-09T11:35:04"/>
    <s v="eadisoni@lighthouse.org.mw"/>
    <s v="Eliza adisoni"/>
    <x v="5"/>
    <s v="COE"/>
    <x v="1"/>
    <s v="COP_23"/>
    <s v="COP_24"/>
    <s v="Quarter4"/>
    <s v="Quarter1"/>
    <s v="Qtr_1"/>
    <x v="1"/>
    <d v="2024-11-01T00:00:00"/>
    <d v="2024-11-30T00:00:00"/>
    <x v="3"/>
    <x v="21"/>
    <n v="0"/>
    <n v="0"/>
    <n v="0"/>
    <n v="0"/>
    <n v="0"/>
    <n v="0"/>
    <n v="0"/>
    <n v="0"/>
    <n v="0"/>
    <n v="0"/>
    <n v="0"/>
    <n v="0"/>
    <n v="0"/>
    <n v="0"/>
    <n v="0"/>
    <n v="0"/>
    <n v="0"/>
    <n v="0"/>
    <n v="0"/>
    <n v="0"/>
    <n v="0"/>
  </r>
  <r>
    <n v="1114"/>
    <d v="2024-12-09T11:35:19"/>
    <d v="2024-12-09T11:41:06"/>
    <s v="eadisoni@lighthouse.org.mw"/>
    <s v="Eliza adisoni"/>
    <x v="5"/>
    <s v="COE"/>
    <x v="1"/>
    <s v="COP_23"/>
    <s v="COP_24"/>
    <s v="Quarter4"/>
    <s v="Quarter1"/>
    <s v="Qtr_1"/>
    <x v="1"/>
    <d v="2024-11-01T00:00:00"/>
    <d v="2024-11-30T00:00:00"/>
    <x v="4"/>
    <x v="37"/>
    <n v="1"/>
    <n v="4"/>
    <n v="0"/>
    <n v="2"/>
    <n v="0"/>
    <n v="6"/>
    <n v="2"/>
    <n v="2"/>
    <n v="0"/>
    <n v="0"/>
    <n v="0"/>
    <n v="2"/>
    <n v="0"/>
    <n v="0"/>
    <n v="0"/>
    <n v="0"/>
    <n v="0"/>
    <n v="0"/>
    <n v="0"/>
    <n v="0"/>
    <n v="0"/>
  </r>
  <r>
    <n v="1115"/>
    <d v="2024-12-09T11:41:16"/>
    <d v="2024-12-09T11:45:04"/>
    <s v="eadisoni@lighthouse.org.mw"/>
    <s v="Eliza adisoni"/>
    <x v="5"/>
    <s v="COE"/>
    <x v="1"/>
    <s v="COP_23"/>
    <s v="COP_24"/>
    <s v="Quarter4"/>
    <s v="Quarter1"/>
    <s v="Qtr_1"/>
    <x v="1"/>
    <d v="2024-11-01T00:00:00"/>
    <d v="2024-11-30T00:00:00"/>
    <x v="5"/>
    <x v="59"/>
    <n v="3"/>
    <n v="15"/>
    <n v="1"/>
    <n v="8"/>
    <n v="2"/>
    <n v="26"/>
    <n v="11"/>
    <n v="12"/>
    <n v="0"/>
    <n v="2"/>
    <n v="0"/>
    <n v="9"/>
    <n v="1"/>
    <n v="0"/>
    <n v="0"/>
    <n v="0"/>
    <n v="0"/>
    <n v="0"/>
    <n v="0"/>
    <n v="0"/>
    <n v="0"/>
  </r>
  <r>
    <n v="1116"/>
    <d v="2024-12-09T11:45:18"/>
    <d v="2024-12-09T11:48:00"/>
    <s v="eadisoni@lighthouse.org.mw"/>
    <s v="Eliza adisoni"/>
    <x v="5"/>
    <s v="COE"/>
    <x v="1"/>
    <s v="COP_23"/>
    <s v="COP_24"/>
    <s v="Quarter4"/>
    <s v="Quarter1"/>
    <s v="Qtr_1"/>
    <x v="1"/>
    <d v="2024-11-01T00:00:00"/>
    <d v="2024-11-30T00:00:00"/>
    <x v="2"/>
    <x v="33"/>
    <n v="1"/>
    <n v="3"/>
    <n v="0"/>
    <n v="1"/>
    <n v="0"/>
    <n v="3"/>
    <n v="0"/>
    <n v="1"/>
    <n v="1"/>
    <n v="0"/>
    <n v="0"/>
    <n v="1"/>
    <n v="0"/>
    <n v="0"/>
    <n v="0"/>
    <n v="0"/>
    <n v="0"/>
    <n v="0"/>
    <n v="0"/>
    <n v="0"/>
    <n v="0"/>
  </r>
  <r>
    <n v="1117"/>
    <d v="2024-12-09T11:48:14"/>
    <d v="2024-12-09T11:52:57"/>
    <s v="eadisoni@lighthouse.org.mw"/>
    <s v="Eliza adisoni"/>
    <x v="5"/>
    <s v="COE"/>
    <x v="1"/>
    <s v="COP_23"/>
    <s v="COP_24"/>
    <s v="Quarter4"/>
    <s v="Quarter1"/>
    <s v="Qtr_1"/>
    <x v="1"/>
    <d v="2024-11-01T00:00:00"/>
    <d v="2024-11-30T00:00:00"/>
    <x v="6"/>
    <x v="94"/>
    <n v="59"/>
    <n v="54"/>
    <n v="10"/>
    <n v="11"/>
    <n v="30"/>
    <n v="105"/>
    <n v="48"/>
    <n v="51"/>
    <n v="7"/>
    <n v="14"/>
    <n v="8"/>
    <n v="48"/>
    <n v="12"/>
    <n v="1"/>
    <n v="0"/>
    <n v="11"/>
    <n v="2"/>
    <n v="29"/>
    <n v="8"/>
    <n v="6"/>
    <n v="0"/>
  </r>
  <r>
    <n v="1131"/>
    <d v="2024-12-13T13:54:46"/>
    <d v="2024-12-13T14:03:38"/>
    <s v="bsamala@lighthouse.org.mw"/>
    <s v="Benadetta Samala"/>
    <x v="5"/>
    <s v="COE"/>
    <x v="1"/>
    <s v="COP_23"/>
    <s v="COP_24"/>
    <s v="Quarter4"/>
    <s v="Quarter1"/>
    <s v="Qtr_1"/>
    <x v="1"/>
    <d v="2024-11-01T00:00:00"/>
    <d v="2024-11-30T00:00:00"/>
    <x v="1"/>
    <x v="5"/>
    <n v="20"/>
    <n v="25"/>
    <n v="1"/>
    <n v="13"/>
    <n v="5"/>
    <n v="41"/>
    <n v="20"/>
    <n v="20"/>
    <n v="2"/>
    <n v="1"/>
    <n v="0"/>
    <n v="19"/>
    <n v="2"/>
    <n v="0"/>
    <n v="0"/>
    <n v="3"/>
    <n v="1"/>
    <n v="6"/>
    <n v="1"/>
    <n v="0"/>
    <n v="0"/>
  </r>
  <r>
    <n v="1225"/>
    <d v="2025-01-09T13:55:34"/>
    <d v="2025-01-09T13:58:34"/>
    <s v="eadisoni@lighthouse.org.mw"/>
    <s v="Eliza adisoni"/>
    <x v="5"/>
    <s v="COE"/>
    <x v="1"/>
    <s v="COP_23"/>
    <s v="COP_24"/>
    <s v="Quarter4"/>
    <s v="Quarter1"/>
    <s v="Qtr_1"/>
    <x v="11"/>
    <d v="2024-12-01T00:00:00"/>
    <d v="2024-12-31T00:00:00"/>
    <x v="1"/>
    <x v="38"/>
    <n v="14"/>
    <n v="19"/>
    <n v="1"/>
    <n v="9"/>
    <n v="7"/>
    <n v="36"/>
    <n v="18"/>
    <n v="18"/>
    <n v="1"/>
    <n v="1"/>
    <n v="1"/>
    <n v="14"/>
    <n v="5"/>
    <n v="0"/>
    <n v="0"/>
    <n v="4"/>
    <n v="0"/>
    <n v="8"/>
    <n v="3"/>
    <n v="1"/>
    <n v="0"/>
  </r>
  <r>
    <n v="1226"/>
    <d v="2025-01-09T13:58:53"/>
    <d v="2025-01-09T14:01:50"/>
    <s v="eadisoni@lighthouse.org.mw"/>
    <s v="Eliza adisoni"/>
    <x v="5"/>
    <s v="COE"/>
    <x v="1"/>
    <s v="COP_23"/>
    <s v="COP_24"/>
    <s v="Quarter4"/>
    <s v="Quarter1"/>
    <s v="Qtr_1"/>
    <x v="11"/>
    <d v="2024-12-01T00:00:00"/>
    <d v="2024-12-31T00:00:00"/>
    <x v="5"/>
    <x v="52"/>
    <n v="6"/>
    <n v="14"/>
    <n v="2"/>
    <n v="5"/>
    <n v="3"/>
    <n v="24"/>
    <n v="8"/>
    <n v="9"/>
    <n v="2"/>
    <n v="0"/>
    <n v="0"/>
    <n v="7"/>
    <n v="0"/>
    <n v="0"/>
    <n v="0"/>
    <n v="0"/>
    <n v="0"/>
    <n v="0"/>
    <n v="0"/>
    <n v="0"/>
    <n v="0"/>
  </r>
  <r>
    <n v="1227"/>
    <d v="2025-01-09T14:02:22"/>
    <d v="2025-01-09T14:05:53"/>
    <s v="eadisoni@lighthouse.org.mw"/>
    <s v="Eliza adisoni"/>
    <x v="5"/>
    <s v="COE"/>
    <x v="1"/>
    <s v="COP_24"/>
    <s v="COP_24"/>
    <s v="Quarter4"/>
    <s v="Quarter1"/>
    <s v="Qtr_1"/>
    <x v="11"/>
    <d v="2024-12-01T00:00:00"/>
    <d v="2024-12-31T00:00:00"/>
    <x v="0"/>
    <x v="95"/>
    <n v="27"/>
    <n v="95"/>
    <n v="7"/>
    <n v="29"/>
    <n v="9"/>
    <n v="140"/>
    <n v="42"/>
    <n v="41"/>
    <n v="5"/>
    <n v="0"/>
    <n v="0"/>
    <n v="40"/>
    <n v="3"/>
    <n v="1"/>
    <n v="0"/>
    <n v="1"/>
    <n v="0"/>
    <n v="0"/>
    <n v="0"/>
    <n v="1"/>
    <n v="1"/>
  </r>
  <r>
    <n v="1228"/>
    <d v="2025-01-09T14:06:07"/>
    <d v="2025-01-09T14:08:24"/>
    <s v="eadisoni@lighthouse.org.mw"/>
    <s v="Eliza adisoni"/>
    <x v="5"/>
    <s v="COE"/>
    <x v="1"/>
    <s v="COP_23"/>
    <s v="COP_24"/>
    <s v="Quarter4"/>
    <s v="Quarter1"/>
    <s v="Qtr_1"/>
    <x v="11"/>
    <d v="2024-12-01T00:00:00"/>
    <d v="2024-12-31T00:00:00"/>
    <x v="4"/>
    <x v="20"/>
    <n v="0"/>
    <n v="2"/>
    <n v="0"/>
    <n v="0"/>
    <n v="0"/>
    <n v="2"/>
    <n v="0"/>
    <n v="1"/>
    <n v="0"/>
    <n v="0"/>
    <n v="0"/>
    <n v="1"/>
    <n v="0"/>
    <n v="0"/>
    <n v="0"/>
    <n v="0"/>
    <n v="0"/>
    <n v="0"/>
    <n v="0"/>
    <n v="0"/>
    <n v="0"/>
  </r>
  <r>
    <n v="1229"/>
    <d v="2025-01-09T14:08:35"/>
    <d v="2025-01-09T14:09:56"/>
    <s v="eadisoni@lighthouse.org.mw"/>
    <s v="Eliza adisoni"/>
    <x v="5"/>
    <s v="COE"/>
    <x v="1"/>
    <s v="COP_23"/>
    <s v="COP_24"/>
    <s v="Quarter4"/>
    <s v="Quarter1"/>
    <s v="Qtr_1"/>
    <x v="11"/>
    <d v="2024-12-01T00:00:00"/>
    <d v="2024-12-31T00:00:00"/>
    <x v="3"/>
    <x v="21"/>
    <n v="0"/>
    <n v="0"/>
    <n v="0"/>
    <n v="0"/>
    <n v="0"/>
    <n v="0"/>
    <n v="0"/>
    <n v="0"/>
    <n v="0"/>
    <n v="0"/>
    <n v="0"/>
    <n v="0"/>
    <n v="0"/>
    <n v="0"/>
    <n v="0"/>
    <n v="0"/>
    <n v="0"/>
    <n v="0"/>
    <n v="0"/>
    <n v="0"/>
    <n v="0"/>
  </r>
  <r>
    <n v="1230"/>
    <d v="2025-01-09T14:10:12"/>
    <d v="2025-01-09T14:15:42"/>
    <s v="eadisoni@lighthouse.org.mw"/>
    <s v="Eliza adisoni"/>
    <x v="5"/>
    <s v="COE"/>
    <x v="1"/>
    <s v="COP_23"/>
    <s v="COP_24"/>
    <s v="Quarter4"/>
    <s v="Quarter1"/>
    <s v="Qtr_1"/>
    <x v="11"/>
    <d v="2024-12-01T00:00:00"/>
    <d v="2024-12-31T00:00:00"/>
    <x v="2"/>
    <x v="37"/>
    <n v="0"/>
    <n v="5"/>
    <n v="1"/>
    <n v="0"/>
    <n v="0"/>
    <n v="6"/>
    <n v="1"/>
    <n v="1"/>
    <n v="1"/>
    <n v="0"/>
    <n v="0"/>
    <n v="0"/>
    <n v="1"/>
    <n v="0"/>
    <n v="0"/>
    <n v="0"/>
    <n v="0"/>
    <n v="0"/>
    <n v="0"/>
    <n v="0"/>
    <n v="0"/>
  </r>
  <r>
    <n v="1231"/>
    <d v="2025-01-09T14:16:05"/>
    <d v="2025-01-09T14:19:26"/>
    <s v="eadisoni@lighthouse.org.mw"/>
    <s v="Eliza adisoni"/>
    <x v="5"/>
    <s v="COE"/>
    <x v="1"/>
    <s v="COP_23"/>
    <s v="COP_24"/>
    <s v="Quarter4"/>
    <s v="Quarter1"/>
    <s v="Qtr_1"/>
    <x v="11"/>
    <d v="2024-12-01T00:00:00"/>
    <d v="2024-12-31T00:00:00"/>
    <x v="6"/>
    <x v="96"/>
    <n v="71"/>
    <n v="65"/>
    <n v="3"/>
    <n v="12"/>
    <n v="16"/>
    <n v="96"/>
    <n v="38"/>
    <n v="39"/>
    <n v="3"/>
    <n v="5"/>
    <n v="3"/>
    <n v="37"/>
    <n v="4"/>
    <n v="0"/>
    <n v="0"/>
    <n v="12"/>
    <n v="2"/>
    <n v="31"/>
    <n v="6"/>
    <n v="6"/>
    <n v="0"/>
  </r>
  <r>
    <n v="1445"/>
    <d v="2025-03-19T08:57:02"/>
    <d v="2025-03-19T09:10:27"/>
    <s v="jmakoza@lighthouse.org.mw"/>
    <s v="Jonathan Makoza"/>
    <x v="5"/>
    <s v="COE"/>
    <x v="2"/>
    <s v="COP_23"/>
    <s v="COP_24"/>
    <s v="Quarter1"/>
    <s v="Quarter2"/>
    <s v="Qtr_2"/>
    <x v="4"/>
    <d v="2025-01-01T00:00:00"/>
    <d v="2025-01-31T00:00:00"/>
    <x v="0"/>
    <x v="97"/>
    <n v="29"/>
    <n v="101"/>
    <n v="14"/>
    <n v="25"/>
    <n v="16"/>
    <n v="153"/>
    <n v="59"/>
    <n v="55"/>
    <n v="7"/>
    <n v="7"/>
    <n v="1"/>
    <n v="60"/>
    <n v="14"/>
    <n v="1"/>
    <n v="0"/>
    <n v="5"/>
    <n v="3"/>
    <n v="5"/>
    <n v="3"/>
    <n v="11"/>
    <n v="3"/>
  </r>
  <r>
    <n v="1446"/>
    <d v="2025-03-19T09:10:55"/>
    <d v="2025-03-19T09:16:53"/>
    <s v="jmakoza@lighthouse.org.mw"/>
    <s v="Jonathan Makoza"/>
    <x v="5"/>
    <s v="COE"/>
    <x v="2"/>
    <s v="COP_23"/>
    <s v="COP_24"/>
    <s v="Quarter1"/>
    <s v="Quarter2"/>
    <s v="Qtr_2"/>
    <x v="4"/>
    <d v="2025-01-01T00:00:00"/>
    <d v="2025-01-31T00:00:00"/>
    <x v="1"/>
    <x v="98"/>
    <n v="18"/>
    <n v="40"/>
    <n v="8"/>
    <n v="13"/>
    <n v="11"/>
    <n v="72"/>
    <n v="35"/>
    <n v="32"/>
    <n v="3"/>
    <n v="2"/>
    <n v="0"/>
    <n v="35"/>
    <n v="10"/>
    <n v="1"/>
    <n v="0"/>
    <n v="5"/>
    <n v="3"/>
    <n v="5"/>
    <n v="3"/>
    <n v="9"/>
    <n v="2"/>
  </r>
  <r>
    <n v="1447"/>
    <d v="2025-03-19T09:16:58"/>
    <d v="2025-03-19T09:19:34"/>
    <s v="jmakoza@lighthouse.org.mw"/>
    <s v="Jonathan Makoza"/>
    <x v="5"/>
    <s v="COE"/>
    <x v="2"/>
    <s v="COP_24"/>
    <s v="COP_24"/>
    <s v="Quarter1"/>
    <s v="Quarter2"/>
    <s v="Qtr_2"/>
    <x v="4"/>
    <d v="2025-01-01T00:00:00"/>
    <d v="2025-01-31T00:00:00"/>
    <x v="3"/>
    <x v="21"/>
    <n v="0"/>
    <n v="0"/>
    <n v="0"/>
    <n v="0"/>
    <n v="0"/>
    <n v="0"/>
    <n v="0"/>
    <n v="0"/>
    <n v="0"/>
    <n v="0"/>
    <n v="0"/>
    <n v="0"/>
    <n v="0"/>
    <n v="0"/>
    <n v="0"/>
    <n v="0"/>
    <n v="0"/>
    <n v="0"/>
    <n v="0"/>
    <n v="0"/>
    <n v="0"/>
  </r>
  <r>
    <n v="1448"/>
    <d v="2025-03-19T09:19:41"/>
    <d v="2025-03-19T09:22:04"/>
    <s v="jmakoza@lighthouse.org.mw"/>
    <s v="Jonathan Makoza"/>
    <x v="5"/>
    <s v="COE"/>
    <x v="2"/>
    <s v="COP_23"/>
    <s v="COP_24"/>
    <s v="Quarter1"/>
    <s v="Quarter2"/>
    <s v="Qtr_2"/>
    <x v="4"/>
    <d v="2025-01-01T00:00:00"/>
    <d v="2025-01-31T00:00:00"/>
    <x v="4"/>
    <x v="30"/>
    <n v="0"/>
    <n v="2"/>
    <n v="0"/>
    <n v="1"/>
    <n v="0"/>
    <n v="3"/>
    <n v="1"/>
    <n v="0"/>
    <n v="0"/>
    <n v="0"/>
    <n v="0"/>
    <n v="0"/>
    <n v="0"/>
    <n v="0"/>
    <n v="0"/>
    <n v="0"/>
    <n v="0"/>
    <n v="0"/>
    <n v="0"/>
    <n v="0"/>
    <n v="0"/>
  </r>
  <r>
    <n v="1449"/>
    <d v="2025-03-19T09:22:41"/>
    <d v="2025-03-19T09:25:30"/>
    <s v="jmakoza@lighthouse.org.mw"/>
    <s v="Jonathan Makoza"/>
    <x v="5"/>
    <s v="COE"/>
    <x v="2"/>
    <s v="COP_23"/>
    <s v="COP_24"/>
    <s v="Quarter1"/>
    <s v="Quarter2"/>
    <s v="Qtr_2"/>
    <x v="4"/>
    <d v="2025-01-01T00:00:00"/>
    <d v="2025-01-31T00:00:00"/>
    <x v="5"/>
    <x v="57"/>
    <n v="2"/>
    <n v="11"/>
    <n v="1"/>
    <n v="3"/>
    <n v="0"/>
    <n v="15"/>
    <n v="7"/>
    <n v="15"/>
    <n v="7"/>
    <n v="0"/>
    <n v="0"/>
    <n v="6"/>
    <n v="0"/>
    <n v="0"/>
    <n v="0"/>
    <n v="0"/>
    <n v="0"/>
    <n v="0"/>
    <n v="0"/>
    <n v="0"/>
    <n v="0"/>
  </r>
  <r>
    <n v="1450"/>
    <d v="2025-03-19T09:25:37"/>
    <d v="2025-03-19T09:28:18"/>
    <s v="jmakoza@lighthouse.org.mw"/>
    <s v="Jonathan Makoza"/>
    <x v="5"/>
    <s v="COE"/>
    <x v="2"/>
    <s v="COP_23"/>
    <s v="COP_24"/>
    <s v="Quarter1"/>
    <s v="Quarter2"/>
    <s v="Qtr_2"/>
    <x v="4"/>
    <d v="2025-01-01T00:00:00"/>
    <d v="2025-01-31T00:00:00"/>
    <x v="2"/>
    <x v="20"/>
    <n v="2"/>
    <n v="0"/>
    <n v="0"/>
    <n v="2"/>
    <n v="0"/>
    <n v="2"/>
    <n v="2"/>
    <n v="2"/>
    <n v="0"/>
    <n v="1"/>
    <n v="0"/>
    <n v="1"/>
    <n v="0"/>
    <n v="0"/>
    <n v="0"/>
    <n v="0"/>
    <n v="0"/>
    <n v="0"/>
    <n v="0"/>
    <n v="0"/>
    <n v="1"/>
  </r>
  <r>
    <n v="1451"/>
    <d v="2025-03-19T09:29:12"/>
    <d v="2025-03-19T09:34:34"/>
    <s v="jmakoza@lighthouse.org.mw"/>
    <s v="Jonathan Makoza"/>
    <x v="5"/>
    <s v="COE"/>
    <x v="2"/>
    <s v="COP_23"/>
    <s v="COP_24"/>
    <s v="Quarter1"/>
    <s v="Quarter2"/>
    <s v="Qtr_2"/>
    <x v="5"/>
    <d v="2025-02-01T00:00:00"/>
    <d v="2025-02-28T00:00:00"/>
    <x v="0"/>
    <x v="99"/>
    <n v="10"/>
    <n v="93"/>
    <n v="10"/>
    <n v="16"/>
    <n v="10"/>
    <n v="118"/>
    <n v="42"/>
    <n v="46"/>
    <n v="1"/>
    <n v="0"/>
    <n v="0"/>
    <n v="55"/>
    <n v="7"/>
    <n v="0"/>
    <n v="0"/>
    <n v="3"/>
    <n v="2"/>
    <n v="0"/>
    <n v="0"/>
    <n v="5"/>
    <n v="0"/>
  </r>
  <r>
    <n v="1452"/>
    <d v="2025-03-19T09:34:41"/>
    <d v="2025-03-19T09:38:59"/>
    <s v="jmakoza@lighthouse.org.mw"/>
    <s v="Jonathan Makoza"/>
    <x v="5"/>
    <s v="COE"/>
    <x v="2"/>
    <s v="COP_23"/>
    <s v="COP_24"/>
    <s v="Quarter1"/>
    <s v="Quarter2"/>
    <s v="Qtr_2"/>
    <x v="5"/>
    <d v="2025-02-01T00:00:00"/>
    <d v="2025-02-28T00:00:00"/>
    <x v="1"/>
    <x v="38"/>
    <n v="4"/>
    <n v="24"/>
    <n v="2"/>
    <n v="5"/>
    <n v="5"/>
    <n v="35"/>
    <n v="17"/>
    <n v="15"/>
    <n v="0"/>
    <n v="0"/>
    <n v="0"/>
    <n v="17"/>
    <n v="4"/>
    <n v="0"/>
    <n v="0"/>
    <n v="3"/>
    <n v="2"/>
    <n v="0"/>
    <n v="0"/>
    <n v="2"/>
    <n v="0"/>
  </r>
  <r>
    <n v="1453"/>
    <d v="2025-03-19T09:39:49"/>
    <d v="2025-03-19T09:45:09"/>
    <s v="jmakoza@lighthouse.org.mw"/>
    <s v="Jonathan Makoza"/>
    <x v="5"/>
    <s v="COE"/>
    <x v="1"/>
    <s v="COP_23"/>
    <s v="COP_24"/>
    <s v="Quarter1"/>
    <s v="Quarter2"/>
    <s v="Qtr_2"/>
    <x v="5"/>
    <d v="2025-02-01T00:00:00"/>
    <d v="2025-02-28T00:00:00"/>
    <x v="3"/>
    <x v="21"/>
    <n v="0"/>
    <n v="0"/>
    <n v="0"/>
    <n v="0"/>
    <n v="0"/>
    <n v="0"/>
    <n v="0"/>
    <n v="0"/>
    <n v="0"/>
    <n v="0"/>
    <n v="0"/>
    <n v="0"/>
    <n v="0"/>
    <n v="0"/>
    <n v="0"/>
    <n v="0"/>
    <n v="0"/>
    <n v="0"/>
    <n v="0"/>
    <n v="0"/>
    <n v="0"/>
  </r>
  <r>
    <n v="1454"/>
    <d v="2025-03-19T09:45:17"/>
    <d v="2025-03-19T09:47:08"/>
    <s v="jmakoza@lighthouse.org.mw"/>
    <s v="Jonathan Makoza"/>
    <x v="5"/>
    <s v="COE"/>
    <x v="2"/>
    <s v="COP_23"/>
    <s v="COP_24"/>
    <s v="Quarter1"/>
    <s v="Quarter2"/>
    <s v="Qtr_2"/>
    <x v="5"/>
    <d v="2025-02-01T00:00:00"/>
    <d v="2025-02-28T00:00:00"/>
    <x v="4"/>
    <x v="20"/>
    <n v="0"/>
    <n v="2"/>
    <n v="0"/>
    <n v="0"/>
    <n v="0"/>
    <n v="1"/>
    <n v="0"/>
    <n v="0"/>
    <n v="0"/>
    <n v="0"/>
    <n v="0"/>
    <n v="1"/>
    <n v="0"/>
    <n v="0"/>
    <n v="0"/>
    <n v="0"/>
    <n v="0"/>
    <n v="0"/>
    <n v="0"/>
    <n v="0"/>
    <n v="0"/>
  </r>
  <r>
    <n v="1455"/>
    <d v="2025-03-19T09:48:25"/>
    <d v="2025-03-19T09:51:00"/>
    <s v="jmakoza@lighthouse.org.mw"/>
    <s v="Jonathan Makoza"/>
    <x v="5"/>
    <s v="COE"/>
    <x v="2"/>
    <s v="COP_23"/>
    <s v="COP_24"/>
    <s v="Quarter1"/>
    <s v="Quarter2"/>
    <s v="Qtr_2"/>
    <x v="5"/>
    <d v="2025-02-01T00:00:00"/>
    <d v="2025-02-28T00:00:00"/>
    <x v="5"/>
    <x v="37"/>
    <n v="0"/>
    <n v="5"/>
    <n v="0"/>
    <n v="0"/>
    <n v="1"/>
    <n v="6"/>
    <n v="0"/>
    <n v="0"/>
    <n v="0"/>
    <n v="0"/>
    <n v="0"/>
    <n v="2"/>
    <n v="0"/>
    <n v="0"/>
    <n v="0"/>
    <n v="0"/>
    <n v="0"/>
    <n v="0"/>
    <n v="0"/>
    <n v="0"/>
    <n v="0"/>
  </r>
  <r>
    <n v="1456"/>
    <d v="2025-03-19T09:51:05"/>
    <d v="2025-03-19T09:56:49"/>
    <s v="jmakoza@lighthouse.org.mw"/>
    <s v="Jonathan Makoza"/>
    <x v="5"/>
    <s v="COE"/>
    <x v="2"/>
    <s v="COP_23"/>
    <s v="COP_24"/>
    <s v="Quarter1"/>
    <s v="Quarter2"/>
    <s v="Qtr_2"/>
    <x v="5"/>
    <d v="2025-02-01T00:00:00"/>
    <d v="2025-02-28T00:00:00"/>
    <x v="2"/>
    <x v="33"/>
    <n v="0"/>
    <n v="3"/>
    <n v="0"/>
    <n v="0"/>
    <n v="4"/>
    <n v="4"/>
    <n v="1"/>
    <n v="1"/>
    <n v="0"/>
    <n v="0"/>
    <n v="0"/>
    <n v="1"/>
    <n v="0"/>
    <n v="0"/>
    <n v="0"/>
    <n v="0"/>
    <n v="0"/>
    <n v="0"/>
    <n v="0"/>
    <n v="0"/>
    <n v="0"/>
  </r>
  <r>
    <n v="1464"/>
    <d v="2025-03-20T15:31:38"/>
    <d v="2025-03-20T15:37:16"/>
    <s v="jmakoza@lighthouse.org.mw"/>
    <s v="Jonathan Makoza"/>
    <x v="5"/>
    <s v="COE"/>
    <x v="2"/>
    <s v="COP_23"/>
    <s v="COP_24"/>
    <s v="Quarter1"/>
    <s v="Quarter2"/>
    <s v="Qtr_2"/>
    <x v="4"/>
    <d v="2025-01-01T00:00:00"/>
    <d v="2025-01-31T00:00:00"/>
    <x v="6"/>
    <x v="100"/>
    <n v="51"/>
    <n v="29"/>
    <n v="6"/>
    <n v="15"/>
    <n v="24"/>
    <n v="69"/>
    <n v="25"/>
    <n v="31"/>
    <n v="2"/>
    <n v="5"/>
    <n v="2"/>
    <n v="27"/>
    <n v="7"/>
    <n v="1"/>
    <n v="1"/>
    <n v="8"/>
    <n v="5"/>
    <n v="19"/>
    <n v="4"/>
    <n v="8"/>
    <n v="1"/>
  </r>
  <r>
    <n v="1465"/>
    <d v="2025-03-20T15:37:21"/>
    <d v="2025-03-20T15:39:31"/>
    <s v="jmakoza@lighthouse.org.mw"/>
    <s v="Jonathan Makoza"/>
    <x v="5"/>
    <s v="COE"/>
    <x v="2"/>
    <s v="COP_23"/>
    <s v="COP_24"/>
    <s v="Quarter1"/>
    <s v="Quarter2"/>
    <s v="Qtr_2"/>
    <x v="5"/>
    <d v="2025-02-01T00:00:00"/>
    <d v="2025-02-28T00:00:00"/>
    <x v="6"/>
    <x v="101"/>
    <n v="43"/>
    <n v="41"/>
    <n v="8"/>
    <n v="5"/>
    <n v="25"/>
    <n v="80"/>
    <n v="29"/>
    <n v="35"/>
    <n v="5"/>
    <n v="8"/>
    <n v="4"/>
    <n v="32"/>
    <n v="5"/>
    <n v="3"/>
    <n v="1"/>
    <n v="6"/>
    <n v="5"/>
    <n v="17"/>
    <n v="7"/>
    <n v="11"/>
    <n v="5"/>
  </r>
  <r>
    <n v="1520"/>
    <d v="2025-04-10T14:34:08"/>
    <d v="2025-04-10T14:37:38"/>
    <s v="jmakoza@lighthouse.org.mw"/>
    <s v="Jonathan Makoza"/>
    <x v="5"/>
    <s v="COE"/>
    <x v="2"/>
    <s v="COP_23"/>
    <s v="COP_24"/>
    <s v="Quarter1"/>
    <s v="Quarter2"/>
    <s v="Qtr_2"/>
    <x v="3"/>
    <d v="2025-03-01T00:00:00"/>
    <d v="2025-03-31T00:00:00"/>
    <x v="0"/>
    <x v="102"/>
    <n v="17"/>
    <n v="92"/>
    <n v="29"/>
    <n v="17"/>
    <n v="10"/>
    <n v="139"/>
    <n v="55"/>
    <n v="41"/>
    <n v="2"/>
    <n v="3"/>
    <n v="2"/>
    <n v="53"/>
    <n v="4"/>
    <n v="1"/>
    <n v="0"/>
    <n v="2"/>
    <n v="0"/>
    <n v="28"/>
    <n v="3"/>
    <n v="4"/>
    <n v="2"/>
  </r>
  <r>
    <n v="1521"/>
    <d v="2025-04-10T14:37:55"/>
    <d v="2025-04-10T14:41:50"/>
    <s v="jmakoza@lighthouse.org.mw"/>
    <s v="Jonathan Makoza"/>
    <x v="5"/>
    <s v="COE"/>
    <x v="2"/>
    <s v="COP_23"/>
    <s v="COP_24"/>
    <s v="Quarter1"/>
    <s v="Quarter2"/>
    <s v="Qtr_2"/>
    <x v="3"/>
    <d v="2025-03-01T00:00:00"/>
    <d v="2025-03-31T00:00:00"/>
    <x v="1"/>
    <x v="58"/>
    <n v="7"/>
    <n v="17"/>
    <n v="10"/>
    <n v="7"/>
    <n v="4"/>
    <n v="37"/>
    <n v="22"/>
    <n v="18"/>
    <n v="0"/>
    <n v="1"/>
    <n v="0"/>
    <n v="21"/>
    <n v="2"/>
    <n v="1"/>
    <n v="0"/>
    <n v="0"/>
    <n v="0"/>
    <n v="14"/>
    <n v="3"/>
    <n v="0"/>
    <n v="0"/>
  </r>
  <r>
    <n v="1522"/>
    <d v="2025-04-10T14:41:54"/>
    <d v="2025-04-10T14:44:58"/>
    <s v="jmakoza@lighthouse.org.mw"/>
    <s v="Jonathan Makoza"/>
    <x v="5"/>
    <s v="COE"/>
    <x v="2"/>
    <s v="COP_24"/>
    <s v="COP_24"/>
    <s v="Quarter1"/>
    <s v="Quarter2"/>
    <s v="Qtr_2"/>
    <x v="3"/>
    <d v="2025-03-01T00:00:00"/>
    <d v="2025-03-31T00:00:00"/>
    <x v="2"/>
    <x v="49"/>
    <n v="0"/>
    <n v="6"/>
    <n v="3"/>
    <n v="1"/>
    <n v="0"/>
    <n v="9"/>
    <n v="4"/>
    <n v="2"/>
    <n v="0"/>
    <n v="0"/>
    <n v="0"/>
    <n v="2"/>
    <n v="0"/>
    <n v="0"/>
    <n v="0"/>
    <n v="0"/>
    <n v="0"/>
    <n v="1"/>
    <n v="0"/>
    <n v="0"/>
    <n v="0"/>
  </r>
  <r>
    <n v="1523"/>
    <d v="2025-04-10T14:45:22"/>
    <d v="2025-04-10T14:47:40"/>
    <s v="jmakoza@lighthouse.org.mw"/>
    <s v="Jonathan Makoza"/>
    <x v="5"/>
    <s v="COE"/>
    <x v="2"/>
    <s v="COP_24"/>
    <s v="COP_24"/>
    <s v="Quarter1"/>
    <s v="Quarter2"/>
    <s v="Qtr_2"/>
    <x v="3"/>
    <d v="2025-03-01T00:00:00"/>
    <d v="2025-03-31T00:00:00"/>
    <x v="5"/>
    <x v="49"/>
    <n v="1"/>
    <n v="8"/>
    <n v="1"/>
    <n v="1"/>
    <n v="0"/>
    <n v="10"/>
    <n v="3"/>
    <n v="3"/>
    <n v="0"/>
    <n v="0"/>
    <n v="0"/>
    <n v="3"/>
    <n v="0"/>
    <n v="0"/>
    <n v="0"/>
    <n v="0"/>
    <n v="0"/>
    <n v="2"/>
    <n v="0"/>
    <n v="0"/>
    <n v="0"/>
  </r>
  <r>
    <n v="1524"/>
    <d v="2025-04-10T14:47:45"/>
    <d v="2025-04-10T14:50:24"/>
    <s v="jmakoza@lighthouse.org.mw"/>
    <s v="Jonathan Makoza"/>
    <x v="5"/>
    <s v="COE"/>
    <x v="2"/>
    <s v="COP_24"/>
    <s v="COP_24"/>
    <s v="Quarter1"/>
    <s v="Quarter2"/>
    <s v="Qtr_2"/>
    <x v="3"/>
    <d v="2025-03-01T00:00:00"/>
    <d v="2025-03-31T00:00:00"/>
    <x v="3"/>
    <x v="18"/>
    <n v="0"/>
    <n v="0"/>
    <n v="0"/>
    <n v="0"/>
    <n v="1"/>
    <n v="0"/>
    <n v="0"/>
    <n v="0"/>
    <n v="0"/>
    <n v="0"/>
    <n v="0"/>
    <n v="0"/>
    <n v="0"/>
    <n v="0"/>
    <n v="0"/>
    <n v="0"/>
    <n v="0"/>
    <n v="1"/>
    <n v="0"/>
    <n v="0"/>
    <n v="0"/>
  </r>
  <r>
    <n v="1525"/>
    <d v="2025-04-10T14:50:35"/>
    <d v="2025-04-10T14:53:28"/>
    <s v="jmakoza@lighthouse.org.mw"/>
    <s v="Jonathan Makoza"/>
    <x v="5"/>
    <s v="COE"/>
    <x v="2"/>
    <s v="COP_24"/>
    <s v="COP_24"/>
    <s v="Quarter1"/>
    <s v="Quarter2"/>
    <s v="Qtr_2"/>
    <x v="3"/>
    <d v="2025-03-01T00:00:00"/>
    <d v="2025-03-31T00:00:00"/>
    <x v="4"/>
    <x v="18"/>
    <n v="0"/>
    <n v="1"/>
    <n v="0"/>
    <n v="0"/>
    <n v="0"/>
    <n v="1"/>
    <n v="0"/>
    <n v="0"/>
    <n v="0"/>
    <n v="0"/>
    <n v="0"/>
    <n v="0"/>
    <n v="0"/>
    <n v="0"/>
    <n v="0"/>
    <n v="0"/>
    <n v="0"/>
    <n v="0"/>
    <n v="0"/>
    <n v="0"/>
    <n v="0"/>
  </r>
  <r>
    <n v="1526"/>
    <d v="2025-04-10T15:44:07"/>
    <d v="2025-04-10T15:46:47"/>
    <s v="jmakoza@lighthouse.org.mw"/>
    <s v="Jonathan Makoza"/>
    <x v="5"/>
    <s v="COE"/>
    <x v="2"/>
    <s v="COP_24"/>
    <s v="COP_24"/>
    <s v="Quarter1"/>
    <s v="Quarter2"/>
    <s v="Qtr_2"/>
    <x v="3"/>
    <d v="2025-03-01T00:00:00"/>
    <d v="2025-03-31T00:00:00"/>
    <x v="6"/>
    <x v="103"/>
    <n v="88"/>
    <n v="53"/>
    <n v="10"/>
    <n v="29"/>
    <n v="51"/>
    <n v="143"/>
    <n v="65"/>
    <n v="62"/>
    <n v="8"/>
    <n v="18"/>
    <n v="5"/>
    <n v="54"/>
    <n v="7"/>
    <n v="2"/>
    <n v="0"/>
    <n v="5"/>
    <n v="4"/>
    <n v="50"/>
    <n v="14"/>
    <n v="17"/>
    <n v="4"/>
  </r>
  <r>
    <n v="1692"/>
    <d v="2025-06-23T15:36:02"/>
    <d v="2025-06-23T15:36:32"/>
    <s v="tsatumba@lighthouse.org.mw"/>
    <s v="Thomas Satumba"/>
    <x v="5"/>
    <s v="COE"/>
    <x v="2"/>
    <s v="COP_24"/>
    <m/>
    <s v="Quarter3"/>
    <s v="Quarter3"/>
    <m/>
    <x v="7"/>
    <d v="2025-04-01T00:00:00"/>
    <d v="2025-04-30T00:00:00"/>
    <x v="1"/>
    <x v="34"/>
    <n v="3"/>
    <n v="18"/>
    <n v="3"/>
    <n v="3"/>
    <n v="5"/>
    <n v="29"/>
    <n v="11"/>
    <n v="12"/>
    <n v="0"/>
    <n v="1"/>
    <n v="0"/>
    <n v="12"/>
    <n v="2"/>
    <n v="2"/>
    <n v="0"/>
    <n v="2"/>
    <n v="1"/>
    <n v="7"/>
    <n v="1"/>
    <n v="3"/>
    <n v="0"/>
  </r>
  <r>
    <n v="1693"/>
    <d v="2025-06-23T15:36:35"/>
    <d v="2025-06-23T15:38:33"/>
    <s v="tsatumba@lighthouse.org.mw"/>
    <s v="Thomas Satumba"/>
    <x v="5"/>
    <s v="COE"/>
    <x v="2"/>
    <s v="COP_24"/>
    <m/>
    <s v="Quarter3"/>
    <s v="Quarter3"/>
    <m/>
    <x v="7"/>
    <d v="2025-04-01T00:00:00"/>
    <d v="2025-04-30T00:00:00"/>
    <x v="3"/>
    <x v="21"/>
    <n v="0"/>
    <n v="0"/>
    <n v="0"/>
    <n v="0"/>
    <n v="0"/>
    <n v="0"/>
    <n v="0"/>
    <n v="0"/>
    <n v="0"/>
    <n v="0"/>
    <n v="0"/>
    <n v="0"/>
    <n v="0"/>
    <n v="0"/>
    <n v="0"/>
    <n v="0"/>
    <n v="0"/>
    <n v="0"/>
    <n v="0"/>
    <n v="0"/>
    <n v="0"/>
  </r>
  <r>
    <n v="1694"/>
    <d v="2025-06-23T15:38:36"/>
    <d v="2025-06-23T15:40:16"/>
    <s v="tsatumba@lighthouse.org.mw"/>
    <s v="Thomas Satumba"/>
    <x v="5"/>
    <s v="COE"/>
    <x v="2"/>
    <s v="COP_24"/>
    <m/>
    <s v="Quarter3"/>
    <s v="Quarter3"/>
    <m/>
    <x v="7"/>
    <d v="2025-04-01T00:00:00"/>
    <d v="2025-04-30T00:00:00"/>
    <x v="4"/>
    <x v="21"/>
    <n v="0"/>
    <n v="0"/>
    <n v="0"/>
    <n v="0"/>
    <n v="0"/>
    <n v="0"/>
    <n v="0"/>
    <n v="0"/>
    <n v="0"/>
    <n v="0"/>
    <n v="0"/>
    <n v="0"/>
    <n v="0"/>
    <n v="0"/>
    <n v="0"/>
    <n v="0"/>
    <n v="0"/>
    <n v="0"/>
    <n v="0"/>
    <n v="0"/>
    <n v="0"/>
  </r>
  <r>
    <n v="1696"/>
    <d v="2025-06-23T15:44:31"/>
    <d v="2025-06-23T15:57:18"/>
    <s v="tsatumba@lighthouse.org.mw"/>
    <s v="Thomas Satumba"/>
    <x v="5"/>
    <s v="COE"/>
    <x v="2"/>
    <s v="COP_24"/>
    <m/>
    <s v="Quarter3"/>
    <s v="Quarter3"/>
    <m/>
    <x v="7"/>
    <d v="2025-04-01T00:00:00"/>
    <d v="2025-04-01T00:00:00"/>
    <x v="2"/>
    <x v="37"/>
    <n v="0"/>
    <n v="3"/>
    <n v="1"/>
    <n v="1"/>
    <n v="1"/>
    <n v="6"/>
    <n v="4"/>
    <n v="4"/>
    <n v="1"/>
    <n v="1"/>
    <n v="1"/>
    <n v="4"/>
    <n v="2"/>
    <n v="0"/>
    <n v="0"/>
    <n v="1"/>
    <n v="1"/>
    <n v="4"/>
    <n v="1"/>
    <n v="0"/>
    <n v="0"/>
  </r>
  <r>
    <n v="1697"/>
    <d v="2025-06-24T11:08:29"/>
    <d v="2025-06-24T11:16:31"/>
    <s v="jmakoza@lighthouse.org.mw"/>
    <s v="Jonathan Makoza"/>
    <x v="5"/>
    <s v="COE"/>
    <x v="2"/>
    <s v="COP_24"/>
    <m/>
    <s v="Quarter3"/>
    <s v="Quarter3"/>
    <m/>
    <x v="6"/>
    <d v="2025-05-01T00:00:00"/>
    <d v="2025-05-31T00:00:00"/>
    <x v="0"/>
    <x v="93"/>
    <n v="31"/>
    <n v="145"/>
    <n v="14"/>
    <n v="25"/>
    <n v="18"/>
    <n v="159"/>
    <n v="60"/>
    <n v="56"/>
    <n v="7"/>
    <n v="7"/>
    <n v="1"/>
    <n v="61"/>
    <n v="10"/>
    <n v="1"/>
    <n v="0"/>
    <n v="5"/>
    <n v="3"/>
    <n v="5"/>
    <n v="3"/>
    <n v="11"/>
    <n v="3"/>
  </r>
  <r>
    <n v="1698"/>
    <d v="2025-06-24T11:16:44"/>
    <d v="2025-06-24T11:22:43"/>
    <s v="jmakoza@lighthouse.org.mw"/>
    <s v="Jonathan Makoza"/>
    <x v="5"/>
    <s v="COE"/>
    <x v="2"/>
    <s v="COP_24"/>
    <m/>
    <s v="Quarter3"/>
    <s v="Quarter3"/>
    <m/>
    <x v="6"/>
    <d v="2025-05-01T00:00:00"/>
    <d v="2025-05-31T00:00:00"/>
    <x v="2"/>
    <x v="20"/>
    <n v="2"/>
    <n v="0"/>
    <n v="0"/>
    <n v="2"/>
    <n v="0"/>
    <n v="2"/>
    <n v="2"/>
    <n v="2"/>
    <n v="0"/>
    <n v="1"/>
    <n v="0"/>
    <n v="1"/>
    <n v="0"/>
    <n v="0"/>
    <n v="0"/>
    <n v="0"/>
    <n v="0"/>
    <n v="0"/>
    <n v="0"/>
    <n v="0"/>
    <n v="1"/>
  </r>
  <r>
    <n v="1699"/>
    <d v="2025-06-24T11:22:49"/>
    <d v="2025-06-24T11:25:23"/>
    <s v="jmakoza@lighthouse.org.mw"/>
    <s v="Jonathan Makoza"/>
    <x v="5"/>
    <s v="COE"/>
    <x v="2"/>
    <s v="COP_24"/>
    <m/>
    <s v="Quarter3"/>
    <s v="Quarter3"/>
    <m/>
    <x v="6"/>
    <d v="2025-05-01T00:00:00"/>
    <d v="2025-05-31T00:00:00"/>
    <x v="5"/>
    <x v="57"/>
    <n v="2"/>
    <n v="11"/>
    <n v="1"/>
    <n v="3"/>
    <n v="0"/>
    <n v="15"/>
    <n v="7"/>
    <n v="15"/>
    <n v="7"/>
    <n v="0"/>
    <n v="0"/>
    <n v="6"/>
    <n v="0"/>
    <n v="0"/>
    <n v="0"/>
    <n v="0"/>
    <n v="0"/>
    <n v="0"/>
    <n v="0"/>
    <n v="0"/>
    <n v="0"/>
  </r>
  <r>
    <n v="1700"/>
    <d v="2025-06-24T13:43:00"/>
    <d v="2025-06-24T13:55:37"/>
    <s v="jmakoza@lighthouse.org.mw"/>
    <s v="Jonathan Makoza"/>
    <x v="5"/>
    <s v="COE"/>
    <x v="2"/>
    <s v="COP_24"/>
    <m/>
    <s v="Quarter3"/>
    <s v="Quarter3"/>
    <m/>
    <x v="6"/>
    <d v="2025-05-01T00:00:00"/>
    <d v="2025-05-31T00:00:00"/>
    <x v="4"/>
    <x v="30"/>
    <n v="0"/>
    <n v="2"/>
    <n v="0"/>
    <n v="1"/>
    <n v="0"/>
    <n v="3"/>
    <n v="1"/>
    <n v="0"/>
    <n v="0"/>
    <n v="0"/>
    <n v="0"/>
    <n v="0"/>
    <n v="0"/>
    <n v="0"/>
    <n v="0"/>
    <n v="0"/>
    <n v="0"/>
    <n v="0"/>
    <n v="0"/>
    <n v="0"/>
    <n v="0"/>
  </r>
  <r>
    <n v="1701"/>
    <d v="2025-06-24T13:55:42"/>
    <d v="2025-06-24T13:58:47"/>
    <s v="jmakoza@lighthouse.org.mw"/>
    <s v="Jonathan Makoza"/>
    <x v="5"/>
    <s v="COE"/>
    <x v="2"/>
    <s v="COP_24"/>
    <m/>
    <s v="Quarter3"/>
    <s v="Quarter3"/>
    <m/>
    <x v="6"/>
    <d v="2025-05-01T00:00:00"/>
    <d v="2025-05-31T00:00:00"/>
    <x v="3"/>
    <x v="21"/>
    <n v="0"/>
    <n v="0"/>
    <n v="0"/>
    <n v="0"/>
    <n v="0"/>
    <n v="0"/>
    <n v="0"/>
    <n v="0"/>
    <n v="0"/>
    <n v="0"/>
    <n v="0"/>
    <n v="0"/>
    <n v="0"/>
    <n v="0"/>
    <n v="0"/>
    <n v="0"/>
    <n v="0"/>
    <n v="0"/>
    <n v="0"/>
    <n v="0"/>
    <n v="0"/>
  </r>
  <r>
    <n v="1702"/>
    <d v="2025-06-24T13:58:52"/>
    <d v="2025-06-24T14:01:53"/>
    <s v="jmakoza@lighthouse.org.mw"/>
    <s v="Jonathan Makoza"/>
    <x v="5"/>
    <s v="COE"/>
    <x v="2"/>
    <s v="COP_24"/>
    <m/>
    <s v="Quarter3"/>
    <s v="Quarter3"/>
    <m/>
    <x v="6"/>
    <d v="2025-05-01T00:00:00"/>
    <d v="2025-05-31T00:00:00"/>
    <x v="1"/>
    <x v="104"/>
    <n v="20"/>
    <n v="44"/>
    <n v="8"/>
    <n v="13"/>
    <n v="11"/>
    <n v="78"/>
    <n v="36"/>
    <n v="33"/>
    <n v="3"/>
    <n v="2"/>
    <n v="0"/>
    <n v="36"/>
    <n v="10"/>
    <n v="1"/>
    <n v="0"/>
    <n v="5"/>
    <n v="3"/>
    <n v="5"/>
    <n v="3"/>
    <n v="9"/>
    <n v="2"/>
  </r>
  <r>
    <n v="1703"/>
    <d v="2025-07-01T08:50:53"/>
    <d v="2025-07-01T08:55:09"/>
    <s v="jmakoza@lighthouse.org.mw"/>
    <s v="Jonathan Makoza"/>
    <x v="5"/>
    <s v="COE"/>
    <x v="2"/>
    <s v="COP_24"/>
    <m/>
    <s v="Quarter2"/>
    <s v="Quarter3"/>
    <m/>
    <x v="7"/>
    <d v="2025-04-01T00:00:00"/>
    <d v="2025-04-30T00:00:00"/>
    <x v="0"/>
    <x v="105"/>
    <n v="20"/>
    <n v="111"/>
    <n v="23"/>
    <n v="9"/>
    <n v="18"/>
    <n v="156"/>
    <n v="46"/>
    <n v="54"/>
    <n v="4"/>
    <n v="3"/>
    <n v="1"/>
    <n v="56"/>
    <n v="9"/>
    <n v="1"/>
    <n v="0"/>
    <n v="4"/>
    <n v="2"/>
    <n v="35"/>
    <n v="4"/>
    <n v="8"/>
    <n v="1"/>
  </r>
  <r>
    <n v="1704"/>
    <d v="2025-07-01T08:55:16"/>
    <d v="2025-07-01T08:57:59"/>
    <s v="jmakoza@lighthouse.org.mw"/>
    <s v="Jonathan Makoza"/>
    <x v="5"/>
    <s v="COE"/>
    <x v="2"/>
    <s v="COP_24"/>
    <m/>
    <s v="Quarter2"/>
    <s v="Quarter3"/>
    <m/>
    <x v="7"/>
    <d v="2025-04-01T00:00:00"/>
    <d v="2025-04-30T00:00:00"/>
    <x v="5"/>
    <x v="18"/>
    <n v="1"/>
    <n v="0"/>
    <n v="1"/>
    <n v="0"/>
    <n v="0"/>
    <n v="1"/>
    <n v="1"/>
    <n v="0"/>
    <n v="0"/>
    <n v="1"/>
    <n v="0"/>
    <n v="1"/>
    <n v="0"/>
    <n v="0"/>
    <n v="0"/>
    <n v="0"/>
    <n v="0"/>
    <n v="0"/>
    <n v="0"/>
    <n v="0"/>
    <n v="0"/>
  </r>
  <r>
    <n v="1789"/>
    <d v="2025-07-10T13:27:00"/>
    <d v="2025-07-10T13:38:20"/>
    <s v="jmakoza@lighthouse.org.mw"/>
    <s v="Jonathan Makoza"/>
    <x v="5"/>
    <s v="COE"/>
    <x v="2"/>
    <s v="COP_22"/>
    <m/>
    <s v="Quarter2"/>
    <s v="Quarter3"/>
    <m/>
    <x v="8"/>
    <d v="2025-06-01T00:00:00"/>
    <d v="2025-06-30T00:00:00"/>
    <x v="0"/>
    <x v="106"/>
    <n v="39"/>
    <n v="124"/>
    <n v="37"/>
    <n v="21"/>
    <n v="15"/>
    <n v="195"/>
    <n v="69"/>
    <n v="74"/>
    <n v="6"/>
    <n v="5"/>
    <n v="8"/>
    <n v="74"/>
    <n v="7"/>
    <n v="2"/>
    <n v="0"/>
    <n v="8"/>
    <n v="4"/>
    <n v="55"/>
    <n v="9"/>
    <n v="11"/>
    <n v="1"/>
  </r>
  <r>
    <n v="1790"/>
    <d v="2025-07-10T13:38:24"/>
    <d v="2025-07-10T13:43:54"/>
    <s v="jmakoza@lighthouse.org.mw"/>
    <s v="Jonathan Makoza"/>
    <x v="5"/>
    <s v="COE"/>
    <x v="2"/>
    <s v="COP_23"/>
    <m/>
    <s v="Quarter2"/>
    <s v="Quarter3"/>
    <m/>
    <x v="8"/>
    <d v="2025-06-01T00:00:00"/>
    <d v="2025-06-30T00:00:00"/>
    <x v="1"/>
    <x v="58"/>
    <n v="11"/>
    <n v="20"/>
    <n v="8"/>
    <n v="7"/>
    <n v="3"/>
    <n v="36"/>
    <n v="18"/>
    <n v="17"/>
    <n v="3"/>
    <n v="1"/>
    <n v="0"/>
    <n v="17"/>
    <n v="3"/>
    <n v="0"/>
    <n v="0"/>
    <n v="0"/>
    <n v="1"/>
    <n v="12"/>
    <n v="2"/>
    <n v="4"/>
    <n v="0"/>
  </r>
  <r>
    <n v="1791"/>
    <d v="2025-07-10T13:44:31"/>
    <d v="2025-07-10T13:47:52"/>
    <s v="jmakoza@lighthouse.org.mw"/>
    <s v="Jonathan Makoza"/>
    <x v="5"/>
    <s v="COE"/>
    <x v="2"/>
    <s v="COP_23"/>
    <m/>
    <s v="Quarter2"/>
    <s v="Quarter3"/>
    <m/>
    <x v="8"/>
    <d v="2025-06-01T00:00:00"/>
    <d v="2025-06-30T00:00:00"/>
    <x v="4"/>
    <x v="37"/>
    <n v="0"/>
    <n v="6"/>
    <n v="0"/>
    <n v="0"/>
    <n v="0"/>
    <n v="3"/>
    <n v="0"/>
    <n v="0"/>
    <n v="0"/>
    <n v="0"/>
    <n v="0"/>
    <n v="0"/>
    <n v="0"/>
    <n v="0"/>
    <n v="0"/>
    <n v="0"/>
    <n v="0"/>
    <n v="0"/>
    <n v="0"/>
    <n v="0"/>
    <n v="0"/>
  </r>
  <r>
    <n v="1792"/>
    <d v="2025-07-10T13:48:04"/>
    <d v="2025-07-10T13:50:53"/>
    <s v="jmakoza@lighthouse.org.mw"/>
    <s v="Jonathan Makoza"/>
    <x v="5"/>
    <s v="COE"/>
    <x v="2"/>
    <s v="COP_23"/>
    <m/>
    <s v="Quarter2"/>
    <s v="Quarter3"/>
    <m/>
    <x v="8"/>
    <d v="2025-06-01T00:00:00"/>
    <d v="2025-06-30T00:00:00"/>
    <x v="5"/>
    <x v="62"/>
    <n v="6"/>
    <n v="14"/>
    <n v="8"/>
    <n v="4"/>
    <n v="1"/>
    <n v="26"/>
    <n v="10"/>
    <n v="11"/>
    <n v="2"/>
    <n v="0"/>
    <n v="0"/>
    <n v="11"/>
    <n v="0"/>
    <n v="0"/>
    <n v="0"/>
    <n v="2"/>
    <n v="0"/>
    <n v="6"/>
    <n v="0"/>
    <n v="0"/>
    <n v="0"/>
  </r>
  <r>
    <n v="1794"/>
    <d v="2025-07-10T13:51:45"/>
    <d v="2025-07-10T13:57:47"/>
    <s v="jmakoza@lighthouse.org.mw"/>
    <s v="Jonathan Makoza"/>
    <x v="5"/>
    <s v="COE"/>
    <x v="2"/>
    <s v="COP_23"/>
    <m/>
    <s v="Quarter2"/>
    <s v="Quarter3"/>
    <m/>
    <x v="8"/>
    <d v="2025-06-01T00:00:00"/>
    <d v="2025-06-30T00:00:00"/>
    <x v="2"/>
    <x v="57"/>
    <n v="7"/>
    <n v="7"/>
    <n v="4"/>
    <n v="4"/>
    <n v="0"/>
    <n v="12"/>
    <n v="9"/>
    <n v="9"/>
    <n v="1"/>
    <n v="0"/>
    <n v="0"/>
    <n v="9"/>
    <n v="0"/>
    <n v="0"/>
    <n v="0"/>
    <n v="0"/>
    <n v="0"/>
    <n v="6"/>
    <n v="0"/>
    <n v="0"/>
    <n v="0"/>
  </r>
  <r>
    <n v="1795"/>
    <d v="2025-07-10T13:57:57"/>
    <d v="2025-07-10T14:09:57"/>
    <s v="jmakoza@lighthouse.org.mw"/>
    <s v="Jonathan Makoza"/>
    <x v="5"/>
    <s v="COE"/>
    <x v="2"/>
    <s v="COP_23"/>
    <m/>
    <s v="Quarter2"/>
    <s v="Quarter3"/>
    <m/>
    <x v="8"/>
    <d v="2025-06-01T00:00:00"/>
    <d v="2025-06-30T00:00:00"/>
    <x v="3"/>
    <x v="21"/>
    <n v="0"/>
    <n v="0"/>
    <n v="0"/>
    <n v="0"/>
    <n v="0"/>
    <n v="0"/>
    <n v="0"/>
    <n v="0"/>
    <n v="0"/>
    <n v="0"/>
    <n v="0"/>
    <n v="0"/>
    <n v="0"/>
    <n v="0"/>
    <n v="0"/>
    <n v="0"/>
    <n v="0"/>
    <n v="0"/>
    <n v="0"/>
    <n v="0"/>
    <n v="0"/>
  </r>
  <r>
    <n v="1796"/>
    <d v="2025-07-10T14:16:40"/>
    <d v="2025-07-10T14:54:09"/>
    <s v="jmakoza@lighthouse.org.mw"/>
    <s v="Jonathan Makoza"/>
    <x v="5"/>
    <s v="COE"/>
    <x v="2"/>
    <s v="COP_23"/>
    <m/>
    <s v="Quarter2"/>
    <s v="Quarter3"/>
    <m/>
    <x v="8"/>
    <d v="2025-06-01T00:00:00"/>
    <d v="2025-06-30T00:00:00"/>
    <x v="6"/>
    <x v="107"/>
    <n v="61"/>
    <n v="43"/>
    <n v="10"/>
    <n v="29"/>
    <n v="32"/>
    <n v="111"/>
    <n v="62"/>
    <n v="67"/>
    <n v="4"/>
    <n v="8"/>
    <n v="3"/>
    <n v="60"/>
    <n v="7"/>
    <n v="2"/>
    <n v="0"/>
    <n v="13"/>
    <n v="9"/>
    <n v="46"/>
    <n v="17"/>
    <n v="18"/>
    <n v="3"/>
  </r>
  <r>
    <n v="137"/>
    <d v="2024-02-02T12:41:52"/>
    <d v="2024-02-02T12:44:18"/>
    <s v="ymanda@lighthouse.org.mw"/>
    <s v="Yollam Manda"/>
    <x v="6"/>
    <s v="Prototype"/>
    <x v="1"/>
    <s v="COP_23"/>
    <s v="COP_23"/>
    <s v="Quarter1"/>
    <s v="Quarter2"/>
    <s v="Qtr_2"/>
    <x v="4"/>
    <d v="2024-01-01T00:00:00"/>
    <d v="2024-01-31T00:00:00"/>
    <x v="0"/>
    <x v="60"/>
    <n v="0"/>
    <n v="14"/>
    <n v="0"/>
    <n v="3"/>
    <n v="1"/>
    <n v="11"/>
    <n v="3"/>
    <n v="3"/>
    <n v="0"/>
    <n v="0"/>
    <n v="0"/>
    <n v="2"/>
    <n v="0"/>
    <n v="0"/>
    <n v="0"/>
    <n v="0"/>
    <n v="0"/>
    <n v="0"/>
    <n v="0"/>
    <n v="1"/>
    <n v="0"/>
  </r>
  <r>
    <n v="159"/>
    <d v="2024-03-01T10:57:52"/>
    <d v="2024-03-01T11:02:18"/>
    <s v="ymanda@lighthouse.org.mw"/>
    <s v="Yollam Manda"/>
    <x v="6"/>
    <s v="Prototype"/>
    <x v="1"/>
    <s v="COP_23"/>
    <s v="COP_23"/>
    <s v="Quarter1"/>
    <s v="Quarter2"/>
    <s v="Qtr_2"/>
    <x v="5"/>
    <d v="2024-02-01T00:00:00"/>
    <d v="2024-02-29T00:00:00"/>
    <x v="5"/>
    <x v="18"/>
    <n v="0"/>
    <n v="0"/>
    <n v="0"/>
    <n v="0"/>
    <n v="1"/>
    <n v="1"/>
    <n v="1"/>
    <n v="0"/>
    <n v="0"/>
    <n v="0"/>
    <n v="0"/>
    <n v="1"/>
    <n v="1"/>
    <n v="0"/>
    <n v="0"/>
    <n v="0"/>
    <n v="0"/>
    <n v="0"/>
    <n v="0"/>
    <n v="1"/>
    <n v="0"/>
  </r>
  <r>
    <n v="247"/>
    <d v="2024-04-19T11:38:56"/>
    <d v="2024-04-19T11:40:31"/>
    <s v="ymanda@lighthouse.org.mw"/>
    <s v="Yollam Manda"/>
    <x v="6"/>
    <s v="Prototype"/>
    <x v="1"/>
    <s v="COP_23"/>
    <s v="COP_23"/>
    <s v="Quarter1"/>
    <s v="Quarter2"/>
    <s v="Qtr_2"/>
    <x v="4"/>
    <d v="2024-01-01T00:00:00"/>
    <d v="2024-01-31T00:00:00"/>
    <x v="3"/>
    <x v="21"/>
    <n v="0"/>
    <n v="0"/>
    <n v="0"/>
    <n v="0"/>
    <n v="0"/>
    <n v="0"/>
    <n v="0"/>
    <n v="0"/>
    <n v="0"/>
    <n v="0"/>
    <n v="0"/>
    <n v="0"/>
    <n v="0"/>
    <n v="0"/>
    <n v="0"/>
    <n v="0"/>
    <n v="0"/>
    <n v="0"/>
    <n v="0"/>
    <n v="0"/>
    <n v="0"/>
  </r>
  <r>
    <n v="248"/>
    <d v="2024-04-19T11:40:34"/>
    <d v="2024-04-19T11:41:45"/>
    <s v="ymanda@lighthouse.org.mw"/>
    <s v="Yollam Manda"/>
    <x v="6"/>
    <s v="Prototype"/>
    <x v="1"/>
    <s v="COP_23"/>
    <s v="COP_23"/>
    <s v="Quarter1"/>
    <s v="Quarter2"/>
    <s v="Qtr_2"/>
    <x v="4"/>
    <d v="2024-01-01T00:00:00"/>
    <d v="2024-01-31T00:00:00"/>
    <x v="4"/>
    <x v="21"/>
    <n v="0"/>
    <n v="0"/>
    <n v="0"/>
    <n v="0"/>
    <n v="0"/>
    <n v="0"/>
    <n v="0"/>
    <n v="0"/>
    <n v="0"/>
    <n v="0"/>
    <n v="0"/>
    <n v="0"/>
    <n v="0"/>
    <n v="0"/>
    <n v="0"/>
    <n v="0"/>
    <n v="0"/>
    <n v="0"/>
    <n v="0"/>
    <n v="0"/>
    <n v="0"/>
  </r>
  <r>
    <n v="249"/>
    <d v="2024-04-19T11:41:47"/>
    <d v="2024-04-19T11:42:41"/>
    <s v="ymanda@lighthouse.org.mw"/>
    <s v="Yollam Manda"/>
    <x v="6"/>
    <s v="Prototype"/>
    <x v="1"/>
    <s v="COP_23"/>
    <s v="COP_23"/>
    <s v="Quarter1"/>
    <s v="Quarter2"/>
    <s v="Qtr_2"/>
    <x v="4"/>
    <d v="2024-01-01T00:00:00"/>
    <d v="2024-01-31T00:00:00"/>
    <x v="5"/>
    <x v="21"/>
    <n v="0"/>
    <n v="0"/>
    <n v="0"/>
    <n v="0"/>
    <n v="0"/>
    <n v="0"/>
    <n v="0"/>
    <n v="0"/>
    <n v="0"/>
    <n v="0"/>
    <n v="0"/>
    <n v="0"/>
    <n v="0"/>
    <n v="0"/>
    <n v="0"/>
    <n v="0"/>
    <n v="0"/>
    <n v="0"/>
    <n v="0"/>
    <n v="0"/>
    <n v="0"/>
  </r>
  <r>
    <n v="251"/>
    <d v="2024-04-19T11:43:53"/>
    <d v="2024-04-19T11:48:25"/>
    <s v="ymanda@lighthouse.org.mw"/>
    <s v="Yollam Manda"/>
    <x v="6"/>
    <s v="Prototype"/>
    <x v="1"/>
    <s v="COP_23"/>
    <s v="COP_23"/>
    <s v="Quarter1"/>
    <s v="Quarter2"/>
    <s v="Qtr_2"/>
    <x v="5"/>
    <d v="2024-02-01T00:00:00"/>
    <d v="2024-02-29T00:00:00"/>
    <x v="3"/>
    <x v="21"/>
    <n v="0"/>
    <n v="0"/>
    <n v="0"/>
    <n v="0"/>
    <n v="0"/>
    <n v="0"/>
    <n v="0"/>
    <n v="0"/>
    <n v="0"/>
    <n v="0"/>
    <n v="0"/>
    <n v="0"/>
    <n v="0"/>
    <n v="0"/>
    <n v="0"/>
    <n v="0"/>
    <n v="0"/>
    <n v="0"/>
    <n v="0"/>
    <n v="0"/>
    <n v="0"/>
  </r>
  <r>
    <n v="252"/>
    <d v="2024-04-19T11:48:41"/>
    <d v="2024-04-19T11:49:42"/>
    <s v="ymanda@lighthouse.org.mw"/>
    <s v="Yollam Manda"/>
    <x v="6"/>
    <s v="Prototype"/>
    <x v="1"/>
    <s v="COP_23"/>
    <s v="COP_23"/>
    <s v="Quarter1"/>
    <s v="Quarter2"/>
    <s v="Qtr_2"/>
    <x v="5"/>
    <d v="2024-02-01T00:00:00"/>
    <d v="2024-02-29T00:00:00"/>
    <x v="4"/>
    <x v="21"/>
    <n v="0"/>
    <n v="0"/>
    <n v="0"/>
    <n v="0"/>
    <n v="0"/>
    <n v="0"/>
    <n v="0"/>
    <n v="0"/>
    <n v="0"/>
    <n v="0"/>
    <n v="0"/>
    <n v="0"/>
    <n v="0"/>
    <n v="0"/>
    <n v="0"/>
    <n v="0"/>
    <n v="0"/>
    <n v="0"/>
    <n v="0"/>
    <n v="0"/>
    <n v="0"/>
  </r>
  <r>
    <n v="254"/>
    <d v="2024-04-19T11:51:44"/>
    <d v="2024-04-19T11:55:57"/>
    <s v="ymanda@lighthouse.org.mw"/>
    <s v="Yollam Manda"/>
    <x v="6"/>
    <s v="Prototype"/>
    <x v="1"/>
    <s v="COP_23"/>
    <s v="COP_23"/>
    <s v="Quarter1"/>
    <s v="Quarter2"/>
    <s v="Qtr_2"/>
    <x v="5"/>
    <d v="2024-02-01T00:00:00"/>
    <d v="2024-02-29T00:00:00"/>
    <x v="0"/>
    <x v="23"/>
    <n v="1"/>
    <n v="6"/>
    <n v="1"/>
    <n v="5"/>
    <n v="1"/>
    <n v="13"/>
    <n v="8"/>
    <n v="7"/>
    <n v="0"/>
    <n v="0"/>
    <n v="0"/>
    <n v="7"/>
    <n v="1"/>
    <n v="0"/>
    <n v="0"/>
    <n v="0"/>
    <n v="0"/>
    <n v="0"/>
    <n v="0"/>
    <n v="1"/>
    <n v="0"/>
  </r>
  <r>
    <n v="255"/>
    <d v="2024-04-19T11:56:00"/>
    <d v="2024-04-19T11:59:43"/>
    <s v="ymanda@lighthouse.org.mw"/>
    <s v="Yollam Manda"/>
    <x v="6"/>
    <s v="Prototype"/>
    <x v="1"/>
    <s v="COP_23"/>
    <s v="COP_23"/>
    <s v="Quarter1"/>
    <s v="Quarter2"/>
    <s v="Qtr_2"/>
    <x v="3"/>
    <d v="2024-03-01T00:00:00"/>
    <d v="2024-03-31T00:00:00"/>
    <x v="3"/>
    <x v="21"/>
    <n v="0"/>
    <n v="0"/>
    <n v="0"/>
    <n v="0"/>
    <n v="0"/>
    <n v="0"/>
    <n v="0"/>
    <n v="0"/>
    <n v="0"/>
    <n v="0"/>
    <n v="0"/>
    <n v="0"/>
    <n v="0"/>
    <n v="0"/>
    <n v="0"/>
    <n v="0"/>
    <n v="0"/>
    <n v="0"/>
    <n v="0"/>
    <n v="0"/>
    <n v="0"/>
  </r>
  <r>
    <n v="256"/>
    <d v="2024-04-19T11:59:46"/>
    <d v="2024-04-19T12:00:51"/>
    <s v="ymanda@lighthouse.org.mw"/>
    <s v="Yollam Manda"/>
    <x v="6"/>
    <s v="Prototype"/>
    <x v="1"/>
    <s v="COP_23"/>
    <s v="COP_23"/>
    <s v="Quarter1"/>
    <s v="Quarter2"/>
    <s v="Qtr_2"/>
    <x v="3"/>
    <d v="2024-03-01T00:00:00"/>
    <d v="2024-03-31T00:00:00"/>
    <x v="4"/>
    <x v="21"/>
    <n v="0"/>
    <n v="0"/>
    <n v="0"/>
    <n v="0"/>
    <n v="0"/>
    <n v="0"/>
    <n v="0"/>
    <n v="0"/>
    <n v="0"/>
    <n v="0"/>
    <n v="0"/>
    <n v="0"/>
    <n v="0"/>
    <n v="0"/>
    <n v="0"/>
    <n v="0"/>
    <n v="0"/>
    <n v="0"/>
    <n v="0"/>
    <n v="0"/>
    <n v="0"/>
  </r>
  <r>
    <n v="257"/>
    <d v="2024-04-19T12:01:11"/>
    <d v="2024-04-19T12:02:18"/>
    <s v="ymanda@lighthouse.org.mw"/>
    <s v="Yollam Manda"/>
    <x v="6"/>
    <s v="Prototype"/>
    <x v="1"/>
    <s v="COP_23"/>
    <s v="COP_23"/>
    <s v="Quarter1"/>
    <s v="Quarter2"/>
    <s v="Qtr_2"/>
    <x v="3"/>
    <d v="2024-03-01T00:00:00"/>
    <d v="2024-03-31T00:00:00"/>
    <x v="5"/>
    <x v="21"/>
    <n v="0"/>
    <n v="0"/>
    <n v="0"/>
    <n v="0"/>
    <n v="0"/>
    <n v="0"/>
    <n v="0"/>
    <n v="0"/>
    <n v="0"/>
    <n v="0"/>
    <n v="0"/>
    <n v="0"/>
    <n v="0"/>
    <n v="0"/>
    <n v="0"/>
    <n v="0"/>
    <n v="0"/>
    <n v="0"/>
    <n v="0"/>
    <n v="0"/>
    <n v="0"/>
  </r>
  <r>
    <n v="258"/>
    <d v="2024-04-19T12:02:21"/>
    <d v="2024-04-19T12:04:51"/>
    <s v="ymanda@lighthouse.org.mw"/>
    <s v="Yollam Manda"/>
    <x v="6"/>
    <s v="Prototype"/>
    <x v="1"/>
    <s v="COP_23"/>
    <s v="COP_23"/>
    <s v="Quarter1"/>
    <s v="Quarter2"/>
    <s v="Qtr_2"/>
    <x v="3"/>
    <d v="2024-03-01T00:00:00"/>
    <d v="2024-03-31T00:00:00"/>
    <x v="0"/>
    <x v="17"/>
    <n v="0"/>
    <n v="19"/>
    <n v="1"/>
    <n v="3"/>
    <n v="0"/>
    <n v="23"/>
    <n v="5"/>
    <n v="5"/>
    <n v="0"/>
    <n v="0"/>
    <n v="0"/>
    <n v="5"/>
    <n v="0"/>
    <n v="0"/>
    <n v="0"/>
    <n v="0"/>
    <n v="0"/>
    <n v="0"/>
    <n v="0"/>
    <n v="0"/>
    <n v="0"/>
  </r>
  <r>
    <n v="36"/>
    <d v="2023-12-20T09:27:26"/>
    <d v="2023-12-20T09:32:34"/>
    <s v="ymanda@lighthouse.org.mw"/>
    <s v="Yollam Manda"/>
    <x v="6"/>
    <s v="Prototype"/>
    <x v="0"/>
    <s v="COP_23"/>
    <s v="COP_22"/>
    <s v="Quarter3"/>
    <s v="Quarter4"/>
    <s v="Qtr_4"/>
    <x v="2"/>
    <d v="2023-09-01T00:00:00"/>
    <d v="2023-09-30T00:00:00"/>
    <x v="1"/>
    <x v="49"/>
    <n v="1"/>
    <n v="7"/>
    <n v="2"/>
    <n v="1"/>
    <n v="0"/>
    <n v="6"/>
    <n v="0"/>
    <n v="1"/>
    <n v="0"/>
    <n v="0"/>
    <n v="0"/>
    <n v="1"/>
    <n v="0"/>
    <n v="0"/>
    <n v="0"/>
    <n v="0"/>
    <n v="0"/>
    <n v="0"/>
    <n v="0"/>
    <n v="0"/>
    <n v="0"/>
  </r>
  <r>
    <n v="37"/>
    <d v="2023-12-20T09:32:45"/>
    <d v="2023-12-20T09:41:05"/>
    <s v="ymanda@lighthouse.org.mw"/>
    <s v="Yollam Manda"/>
    <x v="6"/>
    <s v="Prototype"/>
    <x v="0"/>
    <s v="COP_23"/>
    <s v="COP_23"/>
    <s v="Quarter4"/>
    <s v="Quarter1"/>
    <s v="Qtr_1"/>
    <x v="0"/>
    <d v="2023-10-01T00:00:00"/>
    <d v="2023-10-31T00:00:00"/>
    <x v="1"/>
    <x v="36"/>
    <n v="0"/>
    <n v="6"/>
    <n v="3"/>
    <n v="1"/>
    <n v="1"/>
    <n v="9"/>
    <n v="3"/>
    <n v="3"/>
    <n v="0"/>
    <n v="0"/>
    <n v="0"/>
    <n v="3"/>
    <n v="0"/>
    <n v="1"/>
    <n v="1"/>
    <n v="0"/>
    <n v="0"/>
    <n v="0"/>
    <n v="0"/>
    <n v="0"/>
    <n v="0"/>
  </r>
  <r>
    <n v="38"/>
    <d v="2023-12-20T09:41:38"/>
    <d v="2023-12-20T09:49:29"/>
    <s v="ymanda@lighthouse.org.mw"/>
    <s v="Yollam Manda"/>
    <x v="6"/>
    <s v="Prototype"/>
    <x v="0"/>
    <s v="COP_23"/>
    <s v="COP_23"/>
    <s v="Quarter4"/>
    <s v="Quarter1"/>
    <s v="Qtr_1"/>
    <x v="1"/>
    <d v="2023-11-01T00:00:00"/>
    <d v="2023-11-30T00:00:00"/>
    <x v="1"/>
    <x v="23"/>
    <n v="0"/>
    <n v="7"/>
    <n v="0"/>
    <n v="6"/>
    <n v="0"/>
    <n v="0"/>
    <n v="0"/>
    <n v="0"/>
    <n v="0"/>
    <n v="0"/>
    <n v="0"/>
    <n v="0"/>
    <n v="0"/>
    <n v="0"/>
    <n v="0"/>
    <n v="0"/>
    <n v="0"/>
    <n v="0"/>
    <n v="0"/>
    <n v="0"/>
    <n v="0"/>
  </r>
  <r>
    <n v="456"/>
    <d v="2024-05-22T10:53:34"/>
    <d v="2024-05-22T11:12:54"/>
    <s v="ymanda@lighthouse.org.mw"/>
    <s v="Yollam Manda"/>
    <x v="6"/>
    <s v="Prototype"/>
    <x v="1"/>
    <s v="COP_23"/>
    <s v="COP_23"/>
    <s v="Quarter2"/>
    <s v="Quarter3"/>
    <s v="Qtr_3"/>
    <x v="7"/>
    <d v="2024-04-01T00:00:00"/>
    <d v="2024-04-30T00:00:00"/>
    <x v="0"/>
    <x v="61"/>
    <n v="0"/>
    <n v="11"/>
    <n v="2"/>
    <n v="5"/>
    <n v="1"/>
    <n v="19"/>
    <n v="3"/>
    <n v="0"/>
    <n v="0"/>
    <n v="0"/>
    <n v="0"/>
    <n v="1"/>
    <n v="1"/>
    <n v="0"/>
    <n v="0"/>
    <n v="0"/>
    <n v="0"/>
    <n v="0"/>
    <n v="0"/>
    <n v="1"/>
    <n v="0"/>
  </r>
  <r>
    <n v="117"/>
    <d v="2024-01-24T09:53:37"/>
    <d v="2024-01-24T09:58:00"/>
    <s v="ymanda@lighthouse.org.mw"/>
    <s v="Yollam Manda"/>
    <x v="6"/>
    <s v="Prototype"/>
    <x v="0"/>
    <s v="COP_23"/>
    <s v="COP_23"/>
    <s v="Quarter4"/>
    <s v="Quarter1"/>
    <s v="Qtr_1"/>
    <x v="11"/>
    <d v="2023-12-01T00:00:00"/>
    <d v="2023-12-31T00:00:00"/>
    <x v="1"/>
    <x v="36"/>
    <n v="0"/>
    <n v="6"/>
    <n v="2"/>
    <n v="2"/>
    <n v="1"/>
    <n v="11"/>
    <n v="1"/>
    <n v="0"/>
    <n v="0"/>
    <n v="0"/>
    <n v="0"/>
    <n v="1"/>
    <n v="0"/>
    <n v="0"/>
    <n v="0"/>
    <n v="0"/>
    <n v="0"/>
    <n v="0"/>
    <n v="0"/>
    <n v="0"/>
    <n v="0"/>
  </r>
  <r>
    <n v="458"/>
    <d v="2024-05-22T11:17:35"/>
    <d v="2024-05-22T11:18:41"/>
    <s v="ymanda@lighthouse.org.mw"/>
    <s v="Yollam Manda"/>
    <x v="6"/>
    <s v="Prototype"/>
    <x v="1"/>
    <s v="COP_23"/>
    <s v="COP_23"/>
    <s v="Quarter2"/>
    <s v="Quarter3"/>
    <s v="Qtr_3"/>
    <x v="7"/>
    <d v="2024-04-01T00:00:00"/>
    <d v="2024-04-30T00:00:00"/>
    <x v="3"/>
    <x v="21"/>
    <n v="0"/>
    <n v="0"/>
    <n v="0"/>
    <n v="0"/>
    <n v="0"/>
    <n v="0"/>
    <n v="0"/>
    <n v="0"/>
    <n v="0"/>
    <n v="0"/>
    <n v="0"/>
    <n v="0"/>
    <n v="0"/>
    <n v="0"/>
    <n v="0"/>
    <n v="0"/>
    <n v="0"/>
    <n v="0"/>
    <n v="0"/>
    <n v="0"/>
    <n v="0"/>
  </r>
  <r>
    <n v="459"/>
    <d v="2024-05-22T11:18:48"/>
    <d v="2024-05-22T11:21:30"/>
    <s v="ymanda@lighthouse.org.mw"/>
    <s v="Yollam Manda"/>
    <x v="6"/>
    <s v="Prototype"/>
    <x v="1"/>
    <s v="COP_23"/>
    <s v="COP_23"/>
    <s v="Quarter2"/>
    <s v="Quarter3"/>
    <s v="Qtr_3"/>
    <x v="7"/>
    <d v="2024-04-01T00:00:00"/>
    <d v="2024-04-30T00:00:00"/>
    <x v="4"/>
    <x v="20"/>
    <n v="0"/>
    <n v="0"/>
    <n v="2"/>
    <n v="0"/>
    <n v="0"/>
    <n v="2"/>
    <n v="1"/>
    <n v="0"/>
    <n v="0"/>
    <n v="0"/>
    <n v="0"/>
    <n v="0"/>
    <n v="0"/>
    <n v="0"/>
    <n v="0"/>
    <n v="0"/>
    <n v="0"/>
    <n v="0"/>
    <n v="0"/>
    <n v="0"/>
    <n v="0"/>
  </r>
  <r>
    <n v="460"/>
    <d v="2024-05-22T11:21:43"/>
    <d v="2024-05-22T11:22:54"/>
    <s v="ymanda@lighthouse.org.mw"/>
    <s v="Yollam Manda"/>
    <x v="6"/>
    <s v="Prototype"/>
    <x v="1"/>
    <s v="COP_23"/>
    <s v="COP_23"/>
    <s v="Quarter2"/>
    <s v="Quarter3"/>
    <s v="Qtr_3"/>
    <x v="7"/>
    <d v="2024-04-01T00:00:00"/>
    <d v="2024-04-30T00:00:00"/>
    <x v="5"/>
    <x v="21"/>
    <n v="0"/>
    <n v="0"/>
    <n v="0"/>
    <n v="0"/>
    <n v="0"/>
    <n v="0"/>
    <n v="0"/>
    <n v="0"/>
    <n v="0"/>
    <n v="0"/>
    <n v="0"/>
    <n v="0"/>
    <n v="0"/>
    <n v="0"/>
    <n v="0"/>
    <n v="0"/>
    <n v="0"/>
    <n v="0"/>
    <n v="0"/>
    <n v="0"/>
    <n v="0"/>
  </r>
  <r>
    <n v="462"/>
    <d v="2024-05-22T11:25:13"/>
    <d v="2024-05-22T11:26:09"/>
    <s v="ymanda@lighthouse.org.mw"/>
    <s v="Yollam Manda"/>
    <x v="6"/>
    <s v="Prototype"/>
    <x v="1"/>
    <s v="COP_23"/>
    <s v="COP_23"/>
    <s v="Quarter2"/>
    <s v="Quarter3"/>
    <s v="Qtr_3"/>
    <x v="7"/>
    <d v="2024-04-01T00:00:00"/>
    <d v="2024-04-30T00:00:00"/>
    <x v="6"/>
    <x v="21"/>
    <n v="0"/>
    <n v="0"/>
    <n v="0"/>
    <n v="0"/>
    <n v="0"/>
    <n v="0"/>
    <n v="0"/>
    <n v="0"/>
    <n v="0"/>
    <n v="0"/>
    <n v="0"/>
    <n v="0"/>
    <n v="0"/>
    <n v="0"/>
    <n v="0"/>
    <n v="0"/>
    <n v="0"/>
    <n v="0"/>
    <n v="0"/>
    <n v="0"/>
    <n v="0"/>
  </r>
  <r>
    <n v="473"/>
    <d v="2024-06-05T10:32:52"/>
    <d v="2024-06-05T10:36:30"/>
    <s v="ymanda@lighthouse.org.mw"/>
    <s v="Yollam Manda"/>
    <x v="6"/>
    <s v="Prototype"/>
    <x v="1"/>
    <s v="COP_23"/>
    <s v="COP_23"/>
    <s v="Quarter2"/>
    <s v="Quarter3"/>
    <s v="Qtr_3"/>
    <x v="6"/>
    <d v="2024-05-01T00:00:00"/>
    <d v="2024-05-31T00:00:00"/>
    <x v="3"/>
    <x v="21"/>
    <n v="0"/>
    <n v="0"/>
    <n v="0"/>
    <n v="0"/>
    <n v="0"/>
    <n v="0"/>
    <n v="0"/>
    <n v="0"/>
    <n v="0"/>
    <n v="0"/>
    <n v="0"/>
    <n v="0"/>
    <n v="0"/>
    <n v="0"/>
    <n v="0"/>
    <n v="0"/>
    <n v="0"/>
    <n v="0"/>
    <n v="0"/>
    <n v="0"/>
    <n v="0"/>
  </r>
  <r>
    <n v="474"/>
    <d v="2024-06-05T10:36:47"/>
    <d v="2024-06-05T10:40:38"/>
    <s v="ymanda@lighthouse.org.mw"/>
    <s v="Yollam Manda"/>
    <x v="6"/>
    <s v="Prototype"/>
    <x v="1"/>
    <s v="COP_23"/>
    <s v="COP_23"/>
    <s v="Quarter2"/>
    <s v="Quarter3"/>
    <s v="Qtr_3"/>
    <x v="6"/>
    <d v="2024-05-01T00:00:00"/>
    <d v="2024-05-31T00:00:00"/>
    <x v="4"/>
    <x v="21"/>
    <n v="0"/>
    <n v="0"/>
    <n v="0"/>
    <n v="0"/>
    <n v="0"/>
    <n v="0"/>
    <n v="0"/>
    <n v="0"/>
    <n v="0"/>
    <n v="0"/>
    <n v="0"/>
    <n v="0"/>
    <n v="0"/>
    <n v="0"/>
    <n v="0"/>
    <n v="0"/>
    <n v="0"/>
    <n v="0"/>
    <n v="0"/>
    <n v="0"/>
    <n v="0"/>
  </r>
  <r>
    <n v="136"/>
    <d v="2024-02-02T12:34:49"/>
    <d v="2024-02-02T12:41:34"/>
    <s v="ymanda@lighthouse.org.mw"/>
    <s v="Yollam Manda"/>
    <x v="6"/>
    <s v="Prototype"/>
    <x v="1"/>
    <s v="COP_23"/>
    <s v="COP_23"/>
    <s v="Quarter1"/>
    <s v="Quarter2"/>
    <s v="Qtr_2"/>
    <x v="4"/>
    <d v="2024-01-01T00:00:00"/>
    <d v="2024-01-31T00:00:00"/>
    <x v="1"/>
    <x v="60"/>
    <n v="0"/>
    <n v="14"/>
    <n v="0"/>
    <n v="3"/>
    <n v="1"/>
    <n v="12"/>
    <n v="3"/>
    <n v="3"/>
    <n v="0"/>
    <n v="0"/>
    <n v="0"/>
    <n v="2"/>
    <n v="0"/>
    <n v="0"/>
    <n v="0"/>
    <n v="0"/>
    <n v="0"/>
    <n v="0"/>
    <n v="0"/>
    <n v="1"/>
    <n v="0"/>
  </r>
  <r>
    <n v="482"/>
    <d v="2024-06-05T10:40:50"/>
    <d v="2024-06-05T11:22:57"/>
    <s v="ymanda@lighthouse.org.mw"/>
    <s v="Yollam Manda"/>
    <x v="6"/>
    <s v="Prototype"/>
    <x v="1"/>
    <s v="COP_23"/>
    <s v="COP_23"/>
    <s v="Quarter2"/>
    <s v="Quarter3"/>
    <s v="Qtr_3"/>
    <x v="6"/>
    <d v="2024-05-01T00:00:00"/>
    <d v="2024-05-31T00:00:00"/>
    <x v="5"/>
    <x v="21"/>
    <n v="0"/>
    <n v="0"/>
    <n v="0"/>
    <n v="0"/>
    <n v="0"/>
    <n v="0"/>
    <n v="0"/>
    <n v="0"/>
    <n v="0"/>
    <n v="0"/>
    <n v="0"/>
    <n v="0"/>
    <n v="0"/>
    <n v="0"/>
    <n v="0"/>
    <n v="0"/>
    <n v="0"/>
    <n v="0"/>
    <n v="0"/>
    <n v="0"/>
    <n v="0"/>
  </r>
  <r>
    <n v="483"/>
    <d v="2024-06-05T11:23:12"/>
    <d v="2024-06-05T11:26:42"/>
    <s v="ymanda@lighthouse.org.mw"/>
    <s v="Yollam Manda"/>
    <x v="6"/>
    <s v="Prototype"/>
    <x v="1"/>
    <s v="COP_23"/>
    <s v="COP_23"/>
    <s v="Quarter2"/>
    <s v="Quarter3"/>
    <s v="Qtr_3"/>
    <x v="6"/>
    <d v="2024-05-01T00:00:00"/>
    <d v="2024-05-31T00:00:00"/>
    <x v="6"/>
    <x v="21"/>
    <n v="0"/>
    <n v="0"/>
    <n v="0"/>
    <n v="0"/>
    <n v="0"/>
    <n v="0"/>
    <n v="0"/>
    <n v="0"/>
    <n v="0"/>
    <n v="0"/>
    <n v="0"/>
    <n v="0"/>
    <n v="0"/>
    <n v="0"/>
    <n v="0"/>
    <n v="0"/>
    <n v="0"/>
    <n v="0"/>
    <n v="0"/>
    <n v="0"/>
    <n v="0"/>
  </r>
  <r>
    <n v="484"/>
    <d v="2024-06-05T11:26:55"/>
    <d v="2024-06-05T11:36:53"/>
    <s v="ymanda@lighthouse.org.mw"/>
    <s v="Yollam Manda"/>
    <x v="6"/>
    <s v="Prototype"/>
    <x v="1"/>
    <s v="COP_23"/>
    <s v="COP_23"/>
    <s v="Quarter2"/>
    <s v="Quarter3"/>
    <s v="Qtr_3"/>
    <x v="6"/>
    <d v="2024-05-01T00:00:00"/>
    <d v="2024-05-31T00:00:00"/>
    <x v="0"/>
    <x v="44"/>
    <n v="3"/>
    <n v="11"/>
    <n v="0"/>
    <n v="4"/>
    <n v="1"/>
    <n v="16"/>
    <n v="8"/>
    <n v="7"/>
    <n v="0"/>
    <n v="0"/>
    <n v="0"/>
    <n v="1"/>
    <n v="0"/>
    <n v="0"/>
    <n v="0"/>
    <n v="0"/>
    <n v="0"/>
    <n v="0"/>
    <n v="0"/>
    <n v="0"/>
    <n v="0"/>
  </r>
  <r>
    <n v="160"/>
    <d v="2024-03-01T11:02:23"/>
    <d v="2024-03-01T11:08:31"/>
    <s v="ymanda@lighthouse.org.mw"/>
    <s v="Yollam Manda"/>
    <x v="6"/>
    <s v="Prototype"/>
    <x v="1"/>
    <s v="COP_23"/>
    <s v="COP_23"/>
    <s v="Quarter1"/>
    <s v="Quarter2"/>
    <s v="Qtr_2"/>
    <x v="5"/>
    <d v="2024-02-01T00:00:00"/>
    <d v="2024-02-29T00:00:00"/>
    <x v="1"/>
    <x v="29"/>
    <n v="1"/>
    <n v="6"/>
    <n v="1"/>
    <n v="5"/>
    <n v="0"/>
    <n v="12"/>
    <n v="7"/>
    <n v="7"/>
    <n v="0"/>
    <n v="0"/>
    <n v="0"/>
    <n v="6"/>
    <n v="0"/>
    <n v="0"/>
    <n v="0"/>
    <n v="0"/>
    <n v="0"/>
    <n v="0"/>
    <n v="0"/>
    <n v="0"/>
    <n v="0"/>
  </r>
  <r>
    <n v="185"/>
    <d v="2024-04-03T12:13:37"/>
    <d v="2024-04-03T12:16:57"/>
    <s v="ymanda@lighthouse.org.mw"/>
    <s v="Yollam Manda"/>
    <x v="6"/>
    <s v="Prototype"/>
    <x v="1"/>
    <s v="COP_23"/>
    <s v="COP_23"/>
    <s v="Quarter1"/>
    <s v="Quarter2"/>
    <s v="Qtr_2"/>
    <x v="3"/>
    <d v="2024-03-01T00:00:00"/>
    <d v="2024-03-31T00:00:00"/>
    <x v="1"/>
    <x v="17"/>
    <n v="0"/>
    <n v="19"/>
    <n v="1"/>
    <n v="3"/>
    <n v="0"/>
    <n v="23"/>
    <n v="4"/>
    <n v="4"/>
    <n v="0"/>
    <n v="0"/>
    <n v="0"/>
    <n v="4"/>
    <n v="0"/>
    <n v="0"/>
    <n v="0"/>
    <n v="0"/>
    <n v="0"/>
    <n v="0"/>
    <n v="0"/>
    <n v="0"/>
    <n v="0"/>
  </r>
  <r>
    <n v="457"/>
    <d v="2024-05-22T11:13:17"/>
    <d v="2024-05-22T11:17:11"/>
    <s v="ymanda@lighthouse.org.mw"/>
    <s v="Yollam Manda"/>
    <x v="6"/>
    <s v="Prototype"/>
    <x v="1"/>
    <s v="COP_23"/>
    <s v="COP_23"/>
    <s v="Quarter2"/>
    <s v="Quarter3"/>
    <s v="Qtr_3"/>
    <x v="7"/>
    <d v="2024-04-01T00:00:00"/>
    <d v="2024-04-30T00:00:00"/>
    <x v="1"/>
    <x v="57"/>
    <n v="0"/>
    <n v="8"/>
    <n v="1"/>
    <n v="5"/>
    <n v="1"/>
    <n v="15"/>
    <n v="2"/>
    <n v="0"/>
    <n v="0"/>
    <n v="0"/>
    <n v="0"/>
    <n v="1"/>
    <n v="1"/>
    <n v="0"/>
    <n v="0"/>
    <n v="0"/>
    <n v="0"/>
    <n v="0"/>
    <n v="0"/>
    <n v="1"/>
    <n v="0"/>
  </r>
  <r>
    <n v="485"/>
    <d v="2024-06-05T11:37:06"/>
    <d v="2024-06-05T11:39:48"/>
    <s v="ymanda@lighthouse.org.mw"/>
    <s v="Yollam Manda"/>
    <x v="6"/>
    <s v="Prototype"/>
    <x v="1"/>
    <s v="COP_23"/>
    <s v="COP_23"/>
    <s v="Quarter2"/>
    <s v="Quarter3"/>
    <s v="Qtr_3"/>
    <x v="6"/>
    <d v="2024-05-01T00:00:00"/>
    <d v="2024-05-31T00:00:00"/>
    <x v="1"/>
    <x v="57"/>
    <n v="3"/>
    <n v="10"/>
    <n v="0"/>
    <n v="4"/>
    <n v="1"/>
    <n v="15"/>
    <n v="8"/>
    <n v="7"/>
    <n v="0"/>
    <n v="0"/>
    <n v="0"/>
    <n v="1"/>
    <n v="0"/>
    <n v="0"/>
    <n v="0"/>
    <n v="0"/>
    <n v="0"/>
    <n v="0"/>
    <n v="0"/>
    <n v="0"/>
    <n v="0"/>
  </r>
  <r>
    <n v="580"/>
    <d v="2024-07-03T12:54:44"/>
    <d v="2024-07-03T12:57:19"/>
    <s v="ymanda@lighthouse.org.mw"/>
    <s v="Yollam Manda"/>
    <x v="6"/>
    <s v="Prototype"/>
    <x v="1"/>
    <s v="COP_23"/>
    <s v="COP_23"/>
    <s v="Quarter2"/>
    <s v="Quarter3"/>
    <s v="Qtr_3"/>
    <x v="8"/>
    <d v="2024-06-01T00:00:00"/>
    <d v="2024-06-30T00:00:00"/>
    <x v="1"/>
    <x v="25"/>
    <n v="0"/>
    <n v="5"/>
    <n v="0"/>
    <n v="4"/>
    <n v="0"/>
    <n v="9"/>
    <n v="5"/>
    <n v="1"/>
    <n v="0"/>
    <n v="0"/>
    <n v="0"/>
    <n v="0"/>
    <n v="0"/>
    <n v="0"/>
    <n v="0"/>
    <n v="0"/>
    <n v="0"/>
    <n v="0"/>
    <n v="0"/>
    <n v="0"/>
    <n v="0"/>
  </r>
  <r>
    <n v="701"/>
    <d v="2024-08-05T12:36:28"/>
    <d v="2024-08-05T12:40:50"/>
    <s v="ymanda@lighthouse.org.mw"/>
    <s v="Yollam Manda"/>
    <x v="6"/>
    <s v="Prototype"/>
    <x v="1"/>
    <s v="COP_23"/>
    <s v="COP_23"/>
    <s v="Quarter3"/>
    <s v="Quarter4"/>
    <s v="Qtr_4"/>
    <x v="9"/>
    <d v="2024-07-01T00:00:00"/>
    <d v="2024-07-31T00:00:00"/>
    <x v="1"/>
    <x v="49"/>
    <n v="2"/>
    <n v="7"/>
    <n v="0"/>
    <n v="3"/>
    <n v="0"/>
    <n v="9"/>
    <n v="3"/>
    <n v="2"/>
    <n v="0"/>
    <n v="0"/>
    <n v="0"/>
    <n v="0"/>
    <n v="0"/>
    <n v="0"/>
    <n v="0"/>
    <n v="0"/>
    <n v="0"/>
    <n v="0"/>
    <n v="0"/>
    <n v="0"/>
    <n v="0"/>
  </r>
  <r>
    <n v="841"/>
    <d v="2024-10-02T13:50:35"/>
    <d v="2024-10-02T13:55:42"/>
    <s v="ymanda@lighthouse.org.mw"/>
    <s v="Yollam Manda"/>
    <x v="6"/>
    <s v="Prototype"/>
    <x v="1"/>
    <s v="COP_23"/>
    <s v="COP_23"/>
    <s v="Quarter3"/>
    <s v="Quarter4"/>
    <s v="Qtr_4"/>
    <x v="10"/>
    <d v="2024-08-01T00:00:00"/>
    <d v="2024-08-30T00:00:00"/>
    <x v="1"/>
    <x v="57"/>
    <n v="0"/>
    <n v="10"/>
    <n v="1"/>
    <n v="4"/>
    <n v="0"/>
    <n v="10"/>
    <n v="1"/>
    <n v="0"/>
    <n v="0"/>
    <n v="0"/>
    <n v="0"/>
    <n v="0"/>
    <n v="0"/>
    <n v="0"/>
    <n v="0"/>
    <n v="0"/>
    <n v="0"/>
    <n v="0"/>
    <n v="0"/>
    <n v="0"/>
    <n v="0"/>
  </r>
  <r>
    <n v="848"/>
    <d v="2024-10-02T14:16:05"/>
    <d v="2024-10-02T14:18:23"/>
    <s v="ymanda@lighthouse.org.mw"/>
    <s v="Yollam Manda"/>
    <x v="6"/>
    <s v="Prototype"/>
    <x v="1"/>
    <s v="COP_23"/>
    <s v="COP_23"/>
    <s v="Quarter3"/>
    <s v="Quarter4"/>
    <s v="Qtr_4"/>
    <x v="2"/>
    <d v="2024-09-01T00:00:00"/>
    <d v="2024-09-30T00:00:00"/>
    <x v="1"/>
    <x v="42"/>
    <n v="0"/>
    <n v="6"/>
    <n v="1"/>
    <n v="7"/>
    <n v="0"/>
    <n v="0"/>
    <n v="0"/>
    <n v="0"/>
    <n v="0"/>
    <n v="0"/>
    <n v="0"/>
    <n v="0"/>
    <n v="0"/>
    <n v="0"/>
    <n v="0"/>
    <n v="0"/>
    <n v="0"/>
    <n v="0"/>
    <n v="0"/>
    <n v="0"/>
    <n v="0"/>
  </r>
  <r>
    <n v="1020"/>
    <d v="2024-11-04T11:57:05"/>
    <d v="2024-11-04T12:14:37"/>
    <s v="ymanda@lighthouse.org.mw"/>
    <s v="Yollam Manda"/>
    <x v="6"/>
    <s v="Prototype"/>
    <x v="1"/>
    <s v="COP_23"/>
    <s v="COP_24"/>
    <s v="Quarter4"/>
    <s v="Quarter1"/>
    <s v="Qtr_1"/>
    <x v="0"/>
    <d v="2024-10-01T00:00:00"/>
    <d v="2024-10-31T00:00:00"/>
    <x v="1"/>
    <x v="61"/>
    <n v="0"/>
    <n v="16"/>
    <n v="2"/>
    <n v="1"/>
    <n v="0"/>
    <n v="0"/>
    <n v="0"/>
    <n v="0"/>
    <n v="0"/>
    <n v="1"/>
    <n v="0"/>
    <n v="3"/>
    <n v="0"/>
    <n v="0"/>
    <n v="0"/>
    <n v="0"/>
    <n v="0"/>
    <n v="0"/>
    <n v="0"/>
    <n v="0"/>
    <n v="0"/>
  </r>
  <r>
    <n v="574"/>
    <d v="2024-07-03T12:44:10"/>
    <d v="2024-07-03T12:47:58"/>
    <s v="ymanda@lighthouse.org.mw"/>
    <s v="Yollam Manda"/>
    <x v="6"/>
    <s v="Prototype"/>
    <x v="1"/>
    <s v="COP_23"/>
    <s v="COP_23"/>
    <s v="Quarter2"/>
    <s v="Quarter3"/>
    <s v="Qtr_3"/>
    <x v="8"/>
    <d v="2024-06-01T00:00:00"/>
    <d v="2024-06-30T00:00:00"/>
    <x v="0"/>
    <x v="36"/>
    <n v="1"/>
    <n v="7"/>
    <n v="0"/>
    <n v="4"/>
    <n v="0"/>
    <n v="11"/>
    <n v="6"/>
    <n v="2"/>
    <n v="0"/>
    <n v="0"/>
    <n v="0"/>
    <n v="0"/>
    <n v="0"/>
    <n v="0"/>
    <n v="0"/>
    <n v="0"/>
    <n v="0"/>
    <n v="0"/>
    <n v="0"/>
    <n v="0"/>
    <n v="0"/>
  </r>
  <r>
    <n v="575"/>
    <d v="2024-07-03T12:48:08"/>
    <d v="2024-07-03T12:49:08"/>
    <s v="ymanda@lighthouse.org.mw"/>
    <s v="Yollam Manda"/>
    <x v="6"/>
    <s v="Prototype"/>
    <x v="1"/>
    <s v="COP_23"/>
    <s v="COP_23"/>
    <s v="Quarter2"/>
    <s v="Quarter3"/>
    <s v="Qtr_3"/>
    <x v="8"/>
    <d v="2024-06-01T00:00:00"/>
    <d v="2024-06-30T00:00:00"/>
    <x v="6"/>
    <x v="21"/>
    <n v="0"/>
    <n v="0"/>
    <n v="0"/>
    <n v="0"/>
    <n v="0"/>
    <n v="0"/>
    <n v="0"/>
    <n v="0"/>
    <n v="0"/>
    <n v="0"/>
    <n v="0"/>
    <n v="0"/>
    <n v="0"/>
    <n v="0"/>
    <n v="0"/>
    <n v="0"/>
    <n v="0"/>
    <n v="0"/>
    <n v="0"/>
    <n v="0"/>
    <n v="0"/>
  </r>
  <r>
    <n v="184"/>
    <d v="2024-04-03T12:09:58"/>
    <d v="2024-04-03T12:13:09"/>
    <s v="ymanda@lighthouse.org.mw"/>
    <s v="Yollam Manda"/>
    <x v="6"/>
    <s v="Prototype"/>
    <x v="1"/>
    <s v="COP_23"/>
    <s v="COP_23"/>
    <s v="Quarter1"/>
    <s v="Quarter2"/>
    <s v="Qtr_2"/>
    <x v="3"/>
    <d v="2024-03-01T00:00:00"/>
    <d v="2024-03-31T00:00:00"/>
    <x v="2"/>
    <x v="18"/>
    <n v="0"/>
    <n v="1"/>
    <n v="0"/>
    <n v="0"/>
    <n v="0"/>
    <n v="1"/>
    <n v="1"/>
    <n v="1"/>
    <n v="0"/>
    <n v="0"/>
    <n v="0"/>
    <n v="1"/>
    <n v="0"/>
    <n v="0"/>
    <n v="0"/>
    <n v="0"/>
    <n v="0"/>
    <n v="0"/>
    <n v="0"/>
    <n v="0"/>
    <n v="0"/>
  </r>
  <r>
    <n v="577"/>
    <d v="2024-07-03T12:51:37"/>
    <d v="2024-07-03T12:52:28"/>
    <s v="ymanda@lighthouse.org.mw"/>
    <s v="Yollam Manda"/>
    <x v="6"/>
    <s v="Prototype"/>
    <x v="1"/>
    <s v="COP_23"/>
    <s v="COP_23"/>
    <s v="Quarter2"/>
    <s v="Quarter3"/>
    <s v="Qtr_3"/>
    <x v="8"/>
    <d v="2024-06-01T00:00:00"/>
    <d v="2024-06-30T00:00:00"/>
    <x v="5"/>
    <x v="21"/>
    <n v="0"/>
    <n v="0"/>
    <n v="0"/>
    <n v="0"/>
    <n v="0"/>
    <n v="0"/>
    <n v="0"/>
    <n v="0"/>
    <n v="0"/>
    <n v="0"/>
    <n v="0"/>
    <n v="0"/>
    <n v="0"/>
    <n v="0"/>
    <n v="0"/>
    <n v="0"/>
    <n v="0"/>
    <n v="0"/>
    <n v="0"/>
    <n v="0"/>
    <n v="0"/>
  </r>
  <r>
    <n v="578"/>
    <d v="2024-07-03T12:52:44"/>
    <d v="2024-07-03T12:53:35"/>
    <s v="ymanda@lighthouse.org.mw"/>
    <s v="Yollam Manda"/>
    <x v="6"/>
    <s v="Prototype"/>
    <x v="1"/>
    <s v="COP_23"/>
    <s v="COP_23"/>
    <s v="Quarter2"/>
    <s v="Quarter3"/>
    <s v="Qtr_3"/>
    <x v="8"/>
    <d v="2024-06-01T00:00:00"/>
    <d v="2024-06-30T00:00:00"/>
    <x v="4"/>
    <x v="21"/>
    <n v="0"/>
    <n v="0"/>
    <n v="0"/>
    <n v="0"/>
    <n v="0"/>
    <n v="0"/>
    <n v="0"/>
    <n v="0"/>
    <n v="0"/>
    <n v="0"/>
    <n v="0"/>
    <n v="0"/>
    <n v="0"/>
    <n v="0"/>
    <n v="0"/>
    <n v="0"/>
    <n v="0"/>
    <n v="0"/>
    <n v="0"/>
    <n v="0"/>
    <n v="0"/>
  </r>
  <r>
    <n v="579"/>
    <d v="2024-07-03T12:53:37"/>
    <d v="2024-07-03T12:54:32"/>
    <s v="ymanda@lighthouse.org.mw"/>
    <s v="Yollam Manda"/>
    <x v="6"/>
    <s v="Prototype"/>
    <x v="1"/>
    <s v="COP_23"/>
    <s v="COP_23"/>
    <s v="Quarter2"/>
    <s v="Quarter3"/>
    <s v="Qtr_3"/>
    <x v="8"/>
    <d v="2024-06-01T00:00:00"/>
    <d v="2024-06-30T00:00:00"/>
    <x v="3"/>
    <x v="21"/>
    <n v="0"/>
    <n v="0"/>
    <n v="0"/>
    <n v="0"/>
    <n v="0"/>
    <n v="0"/>
    <n v="0"/>
    <n v="0"/>
    <n v="0"/>
    <n v="0"/>
    <n v="0"/>
    <n v="0"/>
    <n v="0"/>
    <n v="0"/>
    <n v="0"/>
    <n v="0"/>
    <n v="0"/>
    <n v="0"/>
    <n v="0"/>
    <n v="0"/>
    <n v="0"/>
  </r>
  <r>
    <n v="250"/>
    <d v="2024-04-19T11:42:44"/>
    <d v="2024-04-19T11:43:49"/>
    <s v="ymanda@lighthouse.org.mw"/>
    <s v="Yollam Manda"/>
    <x v="6"/>
    <s v="Prototype"/>
    <x v="1"/>
    <s v="COP_23"/>
    <s v="COP_23"/>
    <s v="Quarter1"/>
    <s v="Quarter2"/>
    <s v="Qtr_2"/>
    <x v="4"/>
    <d v="2024-01-01T00:00:00"/>
    <d v="2024-01-31T00:00:00"/>
    <x v="2"/>
    <x v="21"/>
    <n v="0"/>
    <n v="0"/>
    <n v="0"/>
    <n v="0"/>
    <n v="0"/>
    <n v="0"/>
    <n v="0"/>
    <n v="0"/>
    <n v="0"/>
    <n v="0"/>
    <n v="0"/>
    <n v="0"/>
    <n v="0"/>
    <n v="0"/>
    <n v="0"/>
    <n v="0"/>
    <n v="0"/>
    <n v="0"/>
    <n v="0"/>
    <n v="0"/>
    <n v="0"/>
  </r>
  <r>
    <n v="253"/>
    <d v="2024-04-19T11:49:53"/>
    <d v="2024-04-19T11:50:56"/>
    <s v="ymanda@lighthouse.org.mw"/>
    <s v="Yollam Manda"/>
    <x v="6"/>
    <s v="Prototype"/>
    <x v="1"/>
    <s v="COP_23"/>
    <s v="COP_23"/>
    <s v="Quarter1"/>
    <s v="Quarter2"/>
    <s v="Qtr_2"/>
    <x v="5"/>
    <d v="2024-02-01T00:00:00"/>
    <d v="2024-02-29T00:00:00"/>
    <x v="2"/>
    <x v="21"/>
    <n v="0"/>
    <n v="0"/>
    <n v="0"/>
    <n v="0"/>
    <n v="0"/>
    <n v="0"/>
    <n v="0"/>
    <n v="0"/>
    <n v="0"/>
    <n v="0"/>
    <n v="0"/>
    <n v="0"/>
    <n v="0"/>
    <n v="0"/>
    <n v="0"/>
    <n v="0"/>
    <n v="0"/>
    <n v="0"/>
    <n v="0"/>
    <n v="0"/>
    <n v="0"/>
  </r>
  <r>
    <n v="461"/>
    <d v="2024-05-22T11:22:58"/>
    <d v="2024-05-22T11:25:04"/>
    <s v="ymanda@lighthouse.org.mw"/>
    <s v="Yollam Manda"/>
    <x v="6"/>
    <s v="Prototype"/>
    <x v="1"/>
    <s v="COP_23"/>
    <s v="COP_23"/>
    <s v="Quarter2"/>
    <s v="Quarter3"/>
    <s v="Qtr_3"/>
    <x v="7"/>
    <d v="2024-04-01T00:00:00"/>
    <d v="2024-04-30T00:00:00"/>
    <x v="2"/>
    <x v="33"/>
    <n v="0"/>
    <n v="3"/>
    <n v="1"/>
    <n v="0"/>
    <n v="0"/>
    <n v="4"/>
    <n v="1"/>
    <n v="0"/>
    <n v="0"/>
    <n v="0"/>
    <n v="0"/>
    <n v="0"/>
    <n v="0"/>
    <n v="0"/>
    <n v="0"/>
    <n v="0"/>
    <n v="0"/>
    <n v="0"/>
    <n v="0"/>
    <n v="0"/>
    <n v="0"/>
  </r>
  <r>
    <n v="486"/>
    <d v="2024-06-05T11:39:56"/>
    <d v="2024-06-05T11:41:16"/>
    <s v="ymanda@lighthouse.org.mw"/>
    <s v="Yollam Manda"/>
    <x v="6"/>
    <s v="Prototype"/>
    <x v="1"/>
    <s v="COP_23"/>
    <s v="COP_23"/>
    <s v="Quarter2"/>
    <s v="Quarter3"/>
    <s v="Qtr_3"/>
    <x v="6"/>
    <d v="2024-05-01T00:00:00"/>
    <d v="2024-05-31T00:00:00"/>
    <x v="2"/>
    <x v="18"/>
    <n v="0"/>
    <n v="1"/>
    <n v="0"/>
    <n v="0"/>
    <n v="0"/>
    <n v="1"/>
    <n v="0"/>
    <n v="0"/>
    <n v="0"/>
    <n v="0"/>
    <n v="0"/>
    <n v="0"/>
    <n v="0"/>
    <n v="0"/>
    <n v="0"/>
    <n v="0"/>
    <n v="0"/>
    <n v="0"/>
    <n v="0"/>
    <n v="0"/>
    <n v="0"/>
  </r>
  <r>
    <n v="576"/>
    <d v="2024-07-03T12:49:12"/>
    <d v="2024-07-03T12:51:27"/>
    <s v="ymanda@lighthouse.org.mw"/>
    <s v="Yollam Manda"/>
    <x v="6"/>
    <s v="Prototype"/>
    <x v="1"/>
    <s v="COP_23"/>
    <s v="COP_23"/>
    <s v="Quarter2"/>
    <s v="Quarter3"/>
    <s v="Qtr_3"/>
    <x v="8"/>
    <d v="2024-06-01T00:00:00"/>
    <d v="2024-06-30T00:00:00"/>
    <x v="2"/>
    <x v="20"/>
    <n v="1"/>
    <n v="2"/>
    <n v="0"/>
    <n v="0"/>
    <n v="0"/>
    <n v="2"/>
    <n v="1"/>
    <n v="1"/>
    <n v="0"/>
    <n v="0"/>
    <n v="0"/>
    <n v="0"/>
    <n v="0"/>
    <n v="0"/>
    <n v="0"/>
    <n v="0"/>
    <n v="0"/>
    <n v="0"/>
    <n v="0"/>
    <n v="0"/>
    <n v="0"/>
  </r>
  <r>
    <n v="705"/>
    <d v="2024-08-05T12:45:58"/>
    <d v="2024-08-05T12:47:25"/>
    <s v="ymanda@lighthouse.org.mw"/>
    <s v="Yollam Manda"/>
    <x v="6"/>
    <s v="Prototype"/>
    <x v="1"/>
    <s v="COP_23"/>
    <s v="COP_23"/>
    <s v="Quarter3"/>
    <s v="Quarter4"/>
    <s v="Qtr_4"/>
    <x v="9"/>
    <d v="2024-07-01T00:00:00"/>
    <d v="2024-07-31T00:00:00"/>
    <x v="2"/>
    <x v="18"/>
    <n v="0"/>
    <n v="1"/>
    <n v="0"/>
    <n v="0"/>
    <n v="0"/>
    <n v="1"/>
    <n v="1"/>
    <n v="1"/>
    <n v="0"/>
    <n v="0"/>
    <n v="0"/>
    <n v="0"/>
    <n v="0"/>
    <n v="0"/>
    <n v="0"/>
    <n v="0"/>
    <n v="0"/>
    <n v="0"/>
    <n v="0"/>
    <n v="0"/>
    <n v="0"/>
  </r>
  <r>
    <n v="845"/>
    <d v="2024-10-02T13:59:26"/>
    <d v="2024-10-02T14:01:34"/>
    <s v="ymanda@lighthouse.org.mw"/>
    <s v="Yollam Manda"/>
    <x v="6"/>
    <s v="Prototype"/>
    <x v="1"/>
    <s v="COP_23"/>
    <s v="COP_23"/>
    <s v="Quarter3"/>
    <s v="Quarter4"/>
    <s v="Qtr_4"/>
    <x v="10"/>
    <d v="2024-08-01T00:00:00"/>
    <d v="2024-08-30T00:00:00"/>
    <x v="2"/>
    <x v="20"/>
    <n v="2"/>
    <n v="0"/>
    <n v="0"/>
    <n v="1"/>
    <n v="1"/>
    <n v="2"/>
    <n v="1"/>
    <n v="0"/>
    <n v="0"/>
    <n v="0"/>
    <n v="0"/>
    <n v="0"/>
    <n v="0"/>
    <n v="0"/>
    <n v="0"/>
    <n v="0"/>
    <n v="0"/>
    <n v="0"/>
    <n v="0"/>
    <n v="0"/>
    <n v="0"/>
  </r>
  <r>
    <n v="852"/>
    <d v="2024-10-02T14:21:24"/>
    <d v="2024-10-02T14:23:34"/>
    <s v="ymanda@lighthouse.org.mw"/>
    <s v="Yollam Manda"/>
    <x v="6"/>
    <s v="Prototype"/>
    <x v="1"/>
    <s v="COP_23"/>
    <s v="COP_23"/>
    <s v="Quarter3"/>
    <s v="Quarter4"/>
    <s v="Qtr_4"/>
    <x v="2"/>
    <d v="2024-09-01T00:00:00"/>
    <d v="2024-09-30T00:00:00"/>
    <x v="2"/>
    <x v="21"/>
    <n v="0"/>
    <n v="0"/>
    <n v="0"/>
    <n v="0"/>
    <n v="0"/>
    <n v="0"/>
    <n v="0"/>
    <n v="0"/>
    <n v="0"/>
    <n v="0"/>
    <n v="0"/>
    <n v="0"/>
    <n v="0"/>
    <n v="0"/>
    <n v="0"/>
    <n v="0"/>
    <n v="0"/>
    <n v="0"/>
    <n v="0"/>
    <n v="0"/>
    <n v="0"/>
  </r>
  <r>
    <n v="1024"/>
    <d v="2024-11-04T12:33:46"/>
    <d v="2024-11-04T12:37:22"/>
    <s v="ymanda@lighthouse.org.mw"/>
    <s v="Yollam Manda"/>
    <x v="6"/>
    <s v="Prototype"/>
    <x v="1"/>
    <s v="COP_23"/>
    <s v="COP_24"/>
    <s v="Quarter4"/>
    <s v="Quarter1"/>
    <s v="Qtr_1"/>
    <x v="0"/>
    <d v="2024-10-01T00:00:00"/>
    <d v="2024-10-31T00:00:00"/>
    <x v="2"/>
    <x v="20"/>
    <n v="1"/>
    <n v="1"/>
    <n v="0"/>
    <n v="0"/>
    <n v="1"/>
    <n v="1"/>
    <n v="0"/>
    <n v="1"/>
    <n v="0"/>
    <n v="0"/>
    <n v="0"/>
    <n v="1"/>
    <n v="0"/>
    <n v="1"/>
    <n v="1"/>
    <n v="1"/>
    <n v="0"/>
    <n v="0"/>
    <n v="0"/>
    <n v="1"/>
    <n v="0"/>
  </r>
  <r>
    <n v="700"/>
    <d v="2024-08-05T11:56:32"/>
    <d v="2024-08-05T12:36:16"/>
    <s v="ymanda@lighthouse.org.mw"/>
    <s v="Yollam Manda"/>
    <x v="6"/>
    <s v="Prototype"/>
    <x v="1"/>
    <s v="COP_23"/>
    <s v="COP_23"/>
    <s v="Quarter3"/>
    <s v="Quarter4"/>
    <s v="Qtr_4"/>
    <x v="9"/>
    <d v="2024-07-01T00:00:00"/>
    <d v="2024-07-31T00:00:00"/>
    <x v="0"/>
    <x v="36"/>
    <n v="2"/>
    <n v="8"/>
    <n v="0"/>
    <n v="3"/>
    <n v="0"/>
    <n v="10"/>
    <n v="4"/>
    <n v="3"/>
    <n v="0"/>
    <n v="0"/>
    <n v="0"/>
    <n v="0"/>
    <n v="0"/>
    <n v="0"/>
    <n v="0"/>
    <n v="0"/>
    <n v="0"/>
    <n v="0"/>
    <n v="0"/>
    <n v="0"/>
    <n v="0"/>
  </r>
  <r>
    <n v="702"/>
    <d v="2024-08-05T12:40:58"/>
    <d v="2024-08-05T12:42:14"/>
    <s v="ymanda@lighthouse.org.mw"/>
    <s v="Yollam Manda"/>
    <x v="6"/>
    <s v="Prototype"/>
    <x v="1"/>
    <s v="COP_23"/>
    <s v="COP_23"/>
    <s v="Quarter3"/>
    <s v="Quarter4"/>
    <s v="Qtr_4"/>
    <x v="9"/>
    <d v="2024-07-01T00:00:00"/>
    <d v="2024-07-31T00:00:00"/>
    <x v="3"/>
    <x v="21"/>
    <n v="0"/>
    <n v="0"/>
    <n v="0"/>
    <n v="0"/>
    <n v="0"/>
    <n v="0"/>
    <n v="0"/>
    <n v="0"/>
    <n v="0"/>
    <n v="0"/>
    <n v="0"/>
    <n v="0"/>
    <n v="0"/>
    <n v="0"/>
    <n v="0"/>
    <n v="0"/>
    <n v="0"/>
    <n v="0"/>
    <n v="0"/>
    <n v="0"/>
    <n v="0"/>
  </r>
  <r>
    <n v="703"/>
    <d v="2024-08-05T12:42:18"/>
    <d v="2024-08-05T12:44:31"/>
    <s v="ymanda@lighthouse.org.mw"/>
    <s v="Yollam Manda"/>
    <x v="6"/>
    <s v="Prototype"/>
    <x v="1"/>
    <s v="COP_23"/>
    <s v="COP_23"/>
    <s v="Quarter3"/>
    <s v="Quarter4"/>
    <s v="Qtr_4"/>
    <x v="9"/>
    <d v="2024-07-01T00:00:00"/>
    <d v="2024-07-31T00:00:00"/>
    <x v="4"/>
    <x v="21"/>
    <n v="0"/>
    <n v="0"/>
    <n v="0"/>
    <n v="0"/>
    <n v="0"/>
    <n v="0"/>
    <n v="0"/>
    <n v="0"/>
    <n v="0"/>
    <n v="0"/>
    <n v="0"/>
    <n v="0"/>
    <n v="0"/>
    <n v="0"/>
    <n v="0"/>
    <n v="0"/>
    <n v="0"/>
    <n v="0"/>
    <n v="0"/>
    <n v="0"/>
    <n v="0"/>
  </r>
  <r>
    <n v="704"/>
    <d v="2024-08-05T12:44:35"/>
    <d v="2024-08-05T12:45:44"/>
    <s v="ymanda@lighthouse.org.mw"/>
    <s v="Yollam Manda"/>
    <x v="6"/>
    <s v="Prototype"/>
    <x v="1"/>
    <s v="COP_23"/>
    <s v="COP_23"/>
    <s v="Quarter3"/>
    <s v="Quarter4"/>
    <s v="Qtr_4"/>
    <x v="9"/>
    <d v="2024-07-01T00:00:00"/>
    <d v="2024-07-31T00:00:00"/>
    <x v="5"/>
    <x v="21"/>
    <n v="0"/>
    <n v="0"/>
    <n v="0"/>
    <n v="0"/>
    <n v="0"/>
    <n v="0"/>
    <n v="0"/>
    <n v="0"/>
    <n v="0"/>
    <n v="0"/>
    <n v="0"/>
    <n v="0"/>
    <n v="0"/>
    <n v="0"/>
    <n v="0"/>
    <n v="0"/>
    <n v="0"/>
    <n v="0"/>
    <n v="0"/>
    <n v="0"/>
    <n v="0"/>
  </r>
  <r>
    <n v="706"/>
    <d v="2024-08-05T12:47:28"/>
    <d v="2024-08-05T12:48:36"/>
    <s v="ymanda@lighthouse.org.mw"/>
    <s v="Yollam Manda"/>
    <x v="6"/>
    <s v="Prototype"/>
    <x v="1"/>
    <s v="COP_23"/>
    <s v="COP_23"/>
    <s v="Quarter3"/>
    <s v="Quarter4"/>
    <s v="Qtr_4"/>
    <x v="9"/>
    <d v="2024-07-01T00:00:00"/>
    <d v="2024-07-31T00:00:00"/>
    <x v="6"/>
    <x v="21"/>
    <n v="0"/>
    <n v="0"/>
    <n v="0"/>
    <n v="0"/>
    <n v="0"/>
    <n v="0"/>
    <n v="0"/>
    <n v="0"/>
    <n v="0"/>
    <n v="0"/>
    <n v="0"/>
    <n v="0"/>
    <n v="0"/>
    <n v="0"/>
    <n v="0"/>
    <n v="0"/>
    <n v="0"/>
    <n v="0"/>
    <n v="0"/>
    <n v="0"/>
    <n v="0"/>
  </r>
  <r>
    <n v="842"/>
    <d v="2024-10-02T13:55:54"/>
    <d v="2024-10-02T13:57:05"/>
    <s v="ymanda@lighthouse.org.mw"/>
    <s v="Yollam Manda"/>
    <x v="6"/>
    <s v="Prototype"/>
    <x v="1"/>
    <s v="COP_23"/>
    <s v="COP_23"/>
    <s v="Quarter3"/>
    <s v="Quarter4"/>
    <s v="Qtr_4"/>
    <x v="10"/>
    <d v="2024-08-01T00:00:00"/>
    <d v="2024-08-30T00:00:00"/>
    <x v="3"/>
    <x v="21"/>
    <n v="0"/>
    <n v="0"/>
    <n v="0"/>
    <n v="0"/>
    <n v="0"/>
    <n v="0"/>
    <n v="0"/>
    <n v="0"/>
    <n v="0"/>
    <n v="0"/>
    <n v="0"/>
    <n v="0"/>
    <n v="0"/>
    <n v="0"/>
    <n v="0"/>
    <n v="0"/>
    <n v="0"/>
    <n v="0"/>
    <n v="0"/>
    <n v="0"/>
    <n v="0"/>
  </r>
  <r>
    <n v="843"/>
    <d v="2024-10-02T13:57:12"/>
    <d v="2024-10-02T13:58:11"/>
    <s v="ymanda@lighthouse.org.mw"/>
    <s v="Yollam Manda"/>
    <x v="6"/>
    <s v="Prototype"/>
    <x v="1"/>
    <s v="COP_23"/>
    <s v="COP_23"/>
    <s v="Quarter3"/>
    <s v="Quarter4"/>
    <s v="Qtr_4"/>
    <x v="10"/>
    <d v="2024-08-01T00:00:00"/>
    <d v="2024-08-30T00:00:00"/>
    <x v="4"/>
    <x v="21"/>
    <n v="0"/>
    <n v="0"/>
    <n v="0"/>
    <n v="0"/>
    <n v="0"/>
    <n v="0"/>
    <n v="0"/>
    <n v="0"/>
    <n v="0"/>
    <n v="0"/>
    <n v="0"/>
    <n v="0"/>
    <n v="0"/>
    <n v="0"/>
    <n v="0"/>
    <n v="0"/>
    <n v="0"/>
    <n v="0"/>
    <n v="0"/>
    <n v="0"/>
    <n v="0"/>
  </r>
  <r>
    <n v="844"/>
    <d v="2024-10-02T13:58:18"/>
    <d v="2024-10-02T13:59:17"/>
    <s v="ymanda@lighthouse.org.mw"/>
    <s v="Yollam Manda"/>
    <x v="6"/>
    <s v="Prototype"/>
    <x v="1"/>
    <s v="COP_23"/>
    <s v="COP_23"/>
    <s v="Quarter3"/>
    <s v="Quarter4"/>
    <s v="Qtr_4"/>
    <x v="10"/>
    <d v="2024-08-01T00:00:00"/>
    <d v="2024-08-30T00:00:00"/>
    <x v="5"/>
    <x v="21"/>
    <n v="0"/>
    <n v="0"/>
    <n v="0"/>
    <n v="0"/>
    <n v="0"/>
    <n v="0"/>
    <n v="0"/>
    <n v="0"/>
    <n v="0"/>
    <n v="0"/>
    <n v="0"/>
    <n v="0"/>
    <n v="0"/>
    <n v="0"/>
    <n v="0"/>
    <n v="0"/>
    <n v="0"/>
    <n v="0"/>
    <n v="0"/>
    <n v="0"/>
    <n v="0"/>
  </r>
  <r>
    <n v="846"/>
    <d v="2024-10-02T14:02:15"/>
    <d v="2024-10-02T14:03:04"/>
    <s v="ymanda@lighthouse.org.mw"/>
    <s v="Yollam Manda"/>
    <x v="6"/>
    <s v="Prototype"/>
    <x v="1"/>
    <s v="COP_23"/>
    <s v="COP_23"/>
    <s v="Quarter3"/>
    <s v="Quarter4"/>
    <s v="Qtr_4"/>
    <x v="10"/>
    <d v="2024-08-01T00:00:00"/>
    <d v="2024-08-30T00:00:00"/>
    <x v="6"/>
    <x v="21"/>
    <n v="0"/>
    <n v="0"/>
    <n v="0"/>
    <n v="0"/>
    <n v="0"/>
    <n v="0"/>
    <n v="0"/>
    <n v="0"/>
    <n v="0"/>
    <n v="0"/>
    <n v="0"/>
    <n v="0"/>
    <n v="0"/>
    <n v="0"/>
    <n v="0"/>
    <n v="0"/>
    <n v="0"/>
    <n v="0"/>
    <n v="0"/>
    <n v="0"/>
    <n v="0"/>
  </r>
  <r>
    <n v="847"/>
    <d v="2024-10-02T14:09:40"/>
    <d v="2024-10-02T14:12:41"/>
    <s v="ymanda@lighthouse.org.mw"/>
    <s v="Yollam Manda"/>
    <x v="6"/>
    <s v="Prototype"/>
    <x v="1"/>
    <s v="COP_22"/>
    <s v="COP_23"/>
    <s v="Quarter3"/>
    <s v="Quarter4"/>
    <s v="Qtr_4"/>
    <x v="10"/>
    <d v="2024-08-01T00:00:00"/>
    <d v="2024-08-30T00:00:00"/>
    <x v="0"/>
    <x v="51"/>
    <n v="2"/>
    <n v="10"/>
    <n v="1"/>
    <n v="5"/>
    <n v="1"/>
    <n v="12"/>
    <n v="2"/>
    <n v="0"/>
    <n v="0"/>
    <n v="0"/>
    <n v="0"/>
    <n v="0"/>
    <n v="0"/>
    <n v="0"/>
    <n v="0"/>
    <n v="0"/>
    <n v="0"/>
    <n v="0"/>
    <n v="0"/>
    <n v="0"/>
    <n v="0"/>
  </r>
  <r>
    <n v="849"/>
    <d v="2024-10-02T14:18:32"/>
    <d v="2024-10-02T14:19:34"/>
    <s v="ymanda@lighthouse.org.mw"/>
    <s v="Yollam Manda"/>
    <x v="6"/>
    <s v="Prototype"/>
    <x v="1"/>
    <s v="COP_22"/>
    <s v="COP_23"/>
    <s v="Quarter3"/>
    <s v="Quarter4"/>
    <s v="Qtr_4"/>
    <x v="2"/>
    <d v="2024-09-01T00:00:00"/>
    <d v="2024-09-30T00:00:00"/>
    <x v="3"/>
    <x v="18"/>
    <n v="0"/>
    <n v="0"/>
    <n v="0"/>
    <n v="1"/>
    <n v="0"/>
    <n v="0"/>
    <n v="0"/>
    <n v="0"/>
    <n v="0"/>
    <n v="0"/>
    <n v="0"/>
    <n v="0"/>
    <n v="0"/>
    <n v="0"/>
    <n v="0"/>
    <n v="0"/>
    <n v="0"/>
    <n v="0"/>
    <n v="0"/>
    <n v="0"/>
    <n v="0"/>
  </r>
  <r>
    <n v="850"/>
    <d v="2024-10-02T14:19:42"/>
    <d v="2024-10-02T14:20:33"/>
    <s v="ymanda@lighthouse.org.mw"/>
    <s v="Yollam Manda"/>
    <x v="6"/>
    <s v="Prototype"/>
    <x v="1"/>
    <s v="COP_22"/>
    <s v="COP_23"/>
    <s v="Quarter3"/>
    <s v="Quarter4"/>
    <s v="Qtr_4"/>
    <x v="2"/>
    <d v="2024-09-01T00:00:00"/>
    <d v="2024-09-30T00:00:00"/>
    <x v="4"/>
    <x v="21"/>
    <n v="0"/>
    <n v="0"/>
    <n v="0"/>
    <n v="0"/>
    <n v="0"/>
    <n v="0"/>
    <n v="0"/>
    <n v="0"/>
    <n v="0"/>
    <n v="0"/>
    <n v="0"/>
    <n v="0"/>
    <n v="0"/>
    <n v="0"/>
    <n v="0"/>
    <n v="0"/>
    <n v="0"/>
    <n v="0"/>
    <n v="0"/>
    <n v="0"/>
    <n v="0"/>
  </r>
  <r>
    <n v="851"/>
    <d v="2024-10-02T14:20:39"/>
    <d v="2024-10-02T14:21:21"/>
    <s v="ymanda@lighthouse.org.mw"/>
    <s v="Yollam Manda"/>
    <x v="6"/>
    <s v="Prototype"/>
    <x v="1"/>
    <s v="COP_22"/>
    <s v="COP_23"/>
    <s v="Quarter3"/>
    <s v="Quarter4"/>
    <s v="Qtr_4"/>
    <x v="2"/>
    <d v="2024-09-01T00:00:00"/>
    <d v="2024-09-30T00:00:00"/>
    <x v="5"/>
    <x v="21"/>
    <n v="0"/>
    <n v="0"/>
    <n v="0"/>
    <n v="0"/>
    <n v="0"/>
    <n v="0"/>
    <n v="0"/>
    <n v="0"/>
    <n v="0"/>
    <n v="0"/>
    <n v="0"/>
    <n v="0"/>
    <n v="0"/>
    <n v="0"/>
    <n v="0"/>
    <n v="0"/>
    <n v="0"/>
    <n v="0"/>
    <n v="0"/>
    <n v="0"/>
    <n v="0"/>
  </r>
  <r>
    <n v="853"/>
    <d v="2024-10-02T14:23:37"/>
    <d v="2024-10-02T14:24:24"/>
    <s v="ymanda@lighthouse.org.mw"/>
    <s v="Yollam Manda"/>
    <x v="6"/>
    <s v="Prototype"/>
    <x v="1"/>
    <s v="COP_22"/>
    <s v="COP_23"/>
    <s v="Quarter3"/>
    <s v="Quarter4"/>
    <s v="Qtr_4"/>
    <x v="2"/>
    <d v="2024-09-01T00:00:00"/>
    <d v="2024-09-30T00:00:00"/>
    <x v="6"/>
    <x v="21"/>
    <n v="0"/>
    <n v="0"/>
    <n v="0"/>
    <n v="0"/>
    <n v="0"/>
    <n v="0"/>
    <n v="0"/>
    <n v="0"/>
    <n v="0"/>
    <n v="0"/>
    <n v="0"/>
    <n v="0"/>
    <n v="0"/>
    <n v="0"/>
    <n v="0"/>
    <n v="0"/>
    <n v="0"/>
    <n v="0"/>
    <n v="0"/>
    <n v="0"/>
    <n v="0"/>
  </r>
  <r>
    <n v="854"/>
    <d v="2024-10-02T14:24:26"/>
    <d v="2024-10-02T14:25:31"/>
    <s v="ymanda@lighthouse.org.mw"/>
    <s v="Yollam Manda"/>
    <x v="6"/>
    <s v="Prototype"/>
    <x v="1"/>
    <s v="COP_22"/>
    <s v="COP_23"/>
    <s v="Quarter3"/>
    <s v="Quarter4"/>
    <s v="Qtr_4"/>
    <x v="2"/>
    <d v="2024-09-01T00:00:00"/>
    <d v="2024-09-30T00:00:00"/>
    <x v="0"/>
    <x v="42"/>
    <n v="0"/>
    <n v="6"/>
    <n v="1"/>
    <n v="7"/>
    <n v="0"/>
    <n v="0"/>
    <n v="0"/>
    <n v="0"/>
    <n v="0"/>
    <n v="0"/>
    <n v="0"/>
    <n v="0"/>
    <n v="0"/>
    <n v="0"/>
    <n v="0"/>
    <n v="0"/>
    <n v="0"/>
    <n v="0"/>
    <n v="0"/>
    <n v="0"/>
    <n v="0"/>
  </r>
  <r>
    <n v="1021"/>
    <d v="2024-11-04T12:14:46"/>
    <d v="2024-11-04T12:30:56"/>
    <s v="ymanda@lighthouse.org.mw"/>
    <s v="Yollam Manda"/>
    <x v="6"/>
    <s v="Prototype"/>
    <x v="1"/>
    <s v="COP_24"/>
    <s v="COP_24"/>
    <s v="Quarter4"/>
    <s v="Quarter1"/>
    <s v="Qtr_1"/>
    <x v="0"/>
    <d v="2024-10-01T00:00:00"/>
    <d v="2024-10-31T00:00:00"/>
    <x v="3"/>
    <x v="18"/>
    <n v="0"/>
    <n v="1"/>
    <n v="0"/>
    <n v="0"/>
    <n v="0"/>
    <n v="0"/>
    <n v="0"/>
    <n v="0"/>
    <n v="0"/>
    <n v="0"/>
    <n v="0"/>
    <n v="0"/>
    <n v="0"/>
    <n v="0"/>
    <n v="0"/>
    <n v="0"/>
    <n v="0"/>
    <n v="0"/>
    <n v="0"/>
    <n v="0"/>
    <n v="0"/>
  </r>
  <r>
    <n v="1022"/>
    <d v="2024-11-04T12:31:03"/>
    <d v="2024-11-04T12:32:01"/>
    <s v="ymanda@lighthouse.org.mw"/>
    <s v="Yollam Manda"/>
    <x v="6"/>
    <s v="Prototype"/>
    <x v="1"/>
    <s v="COP_24"/>
    <s v="COP_24"/>
    <s v="Quarter4"/>
    <s v="Quarter1"/>
    <s v="Qtr_1"/>
    <x v="0"/>
    <d v="2024-10-01T00:00:00"/>
    <d v="2024-10-31T00:00:00"/>
    <x v="4"/>
    <x v="21"/>
    <n v="0"/>
    <n v="0"/>
    <n v="0"/>
    <n v="0"/>
    <n v="0"/>
    <n v="0"/>
    <n v="0"/>
    <n v="0"/>
    <n v="0"/>
    <n v="0"/>
    <n v="0"/>
    <n v="0"/>
    <n v="0"/>
    <n v="0"/>
    <n v="0"/>
    <n v="0"/>
    <n v="0"/>
    <n v="0"/>
    <n v="0"/>
    <n v="0"/>
    <n v="0"/>
  </r>
  <r>
    <n v="1023"/>
    <d v="2024-11-04T12:32:06"/>
    <d v="2024-11-04T12:33:39"/>
    <s v="ymanda@lighthouse.org.mw"/>
    <s v="Yollam Manda"/>
    <x v="6"/>
    <s v="Prototype"/>
    <x v="1"/>
    <s v="COP_24"/>
    <s v="COP_24"/>
    <s v="Quarter4"/>
    <s v="Quarter1"/>
    <s v="Qtr_1"/>
    <x v="0"/>
    <d v="2024-10-01T00:00:00"/>
    <d v="2024-10-31T00:00:00"/>
    <x v="5"/>
    <x v="30"/>
    <n v="0"/>
    <n v="3"/>
    <n v="0"/>
    <n v="0"/>
    <n v="0"/>
    <n v="0"/>
    <n v="0"/>
    <n v="0"/>
    <n v="0"/>
    <n v="0"/>
    <n v="0"/>
    <n v="0"/>
    <n v="0"/>
    <n v="0"/>
    <n v="0"/>
    <n v="0"/>
    <n v="0"/>
    <n v="0"/>
    <n v="0"/>
    <n v="0"/>
    <n v="0"/>
  </r>
  <r>
    <n v="1025"/>
    <d v="2024-11-04T12:37:28"/>
    <d v="2024-11-04T12:38:16"/>
    <s v="ymanda@lighthouse.org.mw"/>
    <s v="Yollam Manda"/>
    <x v="6"/>
    <s v="Prototype"/>
    <x v="1"/>
    <s v="COP_24"/>
    <s v="COP_24"/>
    <s v="Quarter4"/>
    <s v="Quarter1"/>
    <s v="Qtr_1"/>
    <x v="0"/>
    <d v="2024-10-01T00:00:00"/>
    <d v="2024-10-31T00:00:00"/>
    <x v="6"/>
    <x v="21"/>
    <n v="0"/>
    <n v="0"/>
    <n v="0"/>
    <n v="0"/>
    <n v="0"/>
    <n v="0"/>
    <n v="0"/>
    <n v="0"/>
    <n v="0"/>
    <n v="0"/>
    <n v="0"/>
    <n v="0"/>
    <n v="0"/>
    <n v="0"/>
    <n v="0"/>
    <n v="0"/>
    <n v="0"/>
    <n v="0"/>
    <n v="0"/>
    <n v="0"/>
    <n v="0"/>
  </r>
  <r>
    <n v="1026"/>
    <d v="2024-11-04T12:38:22"/>
    <d v="2024-11-04T12:40:33"/>
    <s v="ymanda@lighthouse.org.mw"/>
    <s v="Yollam Manda"/>
    <x v="6"/>
    <s v="Prototype"/>
    <x v="1"/>
    <s v="COP_24"/>
    <s v="COP_24"/>
    <s v="Quarter4"/>
    <s v="Quarter1"/>
    <s v="Qtr_1"/>
    <x v="0"/>
    <d v="2024-10-01T00:00:00"/>
    <d v="2024-10-31T00:00:00"/>
    <x v="0"/>
    <x v="52"/>
    <n v="1"/>
    <n v="20"/>
    <n v="2"/>
    <n v="1"/>
    <n v="1"/>
    <n v="1"/>
    <n v="0"/>
    <n v="1"/>
    <n v="0"/>
    <n v="1"/>
    <n v="0"/>
    <n v="4"/>
    <n v="0"/>
    <n v="1"/>
    <n v="1"/>
    <n v="1"/>
    <n v="0"/>
    <n v="0"/>
    <n v="0"/>
    <n v="1"/>
    <n v="0"/>
  </r>
  <r>
    <n v="1096"/>
    <d v="2024-12-04T11:09:20"/>
    <d v="2024-12-04T11:14:11"/>
    <s v="ymanda@lighthouse.org.mw"/>
    <s v="Yollam Manda"/>
    <x v="6"/>
    <s v="Prototype"/>
    <x v="1"/>
    <s v="COP_24"/>
    <s v="COP_24"/>
    <s v="Quarter4"/>
    <s v="Quarter1"/>
    <s v="Qtr_1"/>
    <x v="1"/>
    <d v="2024-11-01T00:00:00"/>
    <d v="2024-11-30T00:00:00"/>
    <x v="1"/>
    <x v="42"/>
    <n v="0"/>
    <n v="10"/>
    <n v="2"/>
    <n v="2"/>
    <n v="0"/>
    <n v="0"/>
    <n v="0"/>
    <n v="1"/>
    <n v="0"/>
    <n v="0"/>
    <n v="0"/>
    <n v="1"/>
    <n v="0"/>
    <n v="0"/>
    <n v="0"/>
    <n v="0"/>
    <n v="0"/>
    <n v="0"/>
    <n v="0"/>
    <n v="0"/>
    <n v="0"/>
  </r>
  <r>
    <n v="1097"/>
    <d v="2024-12-04T11:14:20"/>
    <d v="2024-12-04T11:17:00"/>
    <s v="ymanda@lighthouse.org.mw"/>
    <s v="Yollam Manda"/>
    <x v="6"/>
    <s v="Prototype"/>
    <x v="1"/>
    <s v="COP_24"/>
    <s v="COP_24"/>
    <s v="Quarter4"/>
    <s v="Quarter1"/>
    <s v="Qtr_1"/>
    <x v="1"/>
    <d v="2024-11-01T00:00:00"/>
    <d v="2024-11-30T00:00:00"/>
    <x v="3"/>
    <x v="21"/>
    <n v="0"/>
    <n v="0"/>
    <n v="0"/>
    <n v="0"/>
    <n v="0"/>
    <n v="0"/>
    <n v="0"/>
    <n v="0"/>
    <n v="0"/>
    <n v="0"/>
    <n v="0"/>
    <n v="0"/>
    <n v="0"/>
    <n v="0"/>
    <n v="0"/>
    <n v="0"/>
    <n v="0"/>
    <n v="0"/>
    <n v="0"/>
    <n v="0"/>
    <n v="0"/>
  </r>
  <r>
    <n v="1098"/>
    <d v="2024-12-04T11:17:04"/>
    <d v="2024-12-04T11:19:07"/>
    <s v="ymanda@lighthouse.org.mw"/>
    <s v="Yollam Manda"/>
    <x v="6"/>
    <s v="Prototype"/>
    <x v="1"/>
    <s v="COP_24"/>
    <s v="COP_24"/>
    <s v="Quarter4"/>
    <s v="Quarter1"/>
    <s v="Qtr_1"/>
    <x v="1"/>
    <d v="2024-11-01T00:00:00"/>
    <d v="2024-11-30T00:00:00"/>
    <x v="4"/>
    <x v="20"/>
    <n v="0"/>
    <n v="2"/>
    <n v="0"/>
    <n v="0"/>
    <n v="0"/>
    <n v="0"/>
    <n v="0"/>
    <n v="0"/>
    <n v="0"/>
    <n v="0"/>
    <n v="0"/>
    <n v="0"/>
    <n v="0"/>
    <n v="0"/>
    <n v="0"/>
    <n v="0"/>
    <n v="0"/>
    <n v="0"/>
    <n v="0"/>
    <n v="0"/>
    <n v="0"/>
  </r>
  <r>
    <n v="1099"/>
    <d v="2024-12-04T11:19:14"/>
    <d v="2024-12-04T11:21:11"/>
    <s v="ymanda@lighthouse.org.mw"/>
    <s v="Yollam Manda"/>
    <x v="6"/>
    <s v="Prototype"/>
    <x v="1"/>
    <s v="COP_24"/>
    <s v="COP_24"/>
    <s v="Quarter4"/>
    <s v="Quarter1"/>
    <s v="Qtr_1"/>
    <x v="1"/>
    <d v="2024-11-01T00:00:00"/>
    <d v="2024-11-30T00:00:00"/>
    <x v="5"/>
    <x v="18"/>
    <n v="1"/>
    <n v="1"/>
    <n v="0"/>
    <n v="0"/>
    <n v="0"/>
    <n v="0"/>
    <n v="0"/>
    <n v="0"/>
    <n v="0"/>
    <n v="0"/>
    <n v="0"/>
    <n v="0"/>
    <n v="0"/>
    <n v="0"/>
    <n v="0"/>
    <n v="0"/>
    <n v="0"/>
    <n v="0"/>
    <n v="0"/>
    <n v="0"/>
    <n v="0"/>
  </r>
  <r>
    <n v="1100"/>
    <d v="2024-12-04T11:21:19"/>
    <d v="2024-12-04T11:25:48"/>
    <s v="ymanda@lighthouse.org.mw"/>
    <s v="Yollam Manda"/>
    <x v="6"/>
    <s v="Prototype"/>
    <x v="1"/>
    <s v="COP_24"/>
    <s v="COP_24"/>
    <s v="Quarter4"/>
    <s v="Quarter1"/>
    <s v="Qtr_1"/>
    <x v="1"/>
    <d v="2024-11-01T00:00:00"/>
    <d v="2024-11-30T00:00:00"/>
    <x v="2"/>
    <x v="54"/>
    <n v="0"/>
    <n v="4"/>
    <n v="1"/>
    <n v="0"/>
    <n v="0"/>
    <n v="0"/>
    <n v="0"/>
    <n v="1"/>
    <n v="0"/>
    <n v="0"/>
    <n v="0"/>
    <n v="1"/>
    <n v="0"/>
    <n v="0"/>
    <n v="0"/>
    <n v="0"/>
    <n v="0"/>
    <n v="0"/>
    <n v="0"/>
    <n v="0"/>
    <n v="0"/>
  </r>
  <r>
    <n v="1101"/>
    <d v="2024-12-04T11:25:54"/>
    <d v="2024-12-04T11:26:47"/>
    <s v="ymanda@lighthouse.org.mw"/>
    <s v="Yollam Manda"/>
    <x v="6"/>
    <s v="Prototype"/>
    <x v="1"/>
    <s v="COP_24"/>
    <s v="COP_24"/>
    <s v="Quarter4"/>
    <s v="Quarter1"/>
    <s v="Qtr_1"/>
    <x v="1"/>
    <d v="2024-11-01T00:00:00"/>
    <d v="2024-11-30T00:00:00"/>
    <x v="6"/>
    <x v="21"/>
    <n v="0"/>
    <n v="0"/>
    <n v="0"/>
    <n v="0"/>
    <n v="0"/>
    <n v="0"/>
    <n v="0"/>
    <n v="0"/>
    <n v="0"/>
    <n v="0"/>
    <n v="0"/>
    <n v="0"/>
    <n v="0"/>
    <n v="0"/>
    <n v="0"/>
    <n v="0"/>
    <n v="0"/>
    <n v="0"/>
    <n v="0"/>
    <n v="0"/>
    <n v="0"/>
  </r>
  <r>
    <n v="1102"/>
    <d v="2024-12-04T11:26:50"/>
    <d v="2024-12-04T11:30:40"/>
    <s v="ymanda@lighthouse.org.mw"/>
    <s v="Yollam Manda"/>
    <x v="6"/>
    <s v="Prototype"/>
    <x v="1"/>
    <s v="COP_24"/>
    <s v="COP_24"/>
    <s v="Quarter4"/>
    <s v="Quarter1"/>
    <s v="Qtr_1"/>
    <x v="1"/>
    <d v="2024-11-01T00:00:00"/>
    <d v="2024-11-30T00:00:00"/>
    <x v="0"/>
    <x v="53"/>
    <n v="1"/>
    <n v="15"/>
    <n v="3"/>
    <n v="2"/>
    <n v="0"/>
    <n v="0"/>
    <n v="0"/>
    <n v="2"/>
    <n v="0"/>
    <n v="0"/>
    <n v="0"/>
    <n v="2"/>
    <n v="0"/>
    <n v="0"/>
    <n v="0"/>
    <n v="0"/>
    <n v="0"/>
    <n v="0"/>
    <n v="0"/>
    <n v="0"/>
    <n v="0"/>
  </r>
  <r>
    <n v="1187"/>
    <d v="2025-01-06T09:56:01"/>
    <d v="2025-01-06T13:23:47"/>
    <s v="ymanda@lighthouse.org.mw"/>
    <s v="Yollam Manda"/>
    <x v="6"/>
    <s v="Prototype"/>
    <x v="1"/>
    <s v="COP_23"/>
    <s v="COP_24"/>
    <s v="Quarter4"/>
    <s v="Quarter1"/>
    <s v="Qtr_1"/>
    <x v="11"/>
    <d v="2024-12-01T00:00:00"/>
    <d v="2024-12-31T00:00:00"/>
    <x v="3"/>
    <x v="21"/>
    <n v="0"/>
    <n v="0"/>
    <n v="0"/>
    <n v="0"/>
    <n v="0"/>
    <n v="0"/>
    <n v="0"/>
    <n v="0"/>
    <n v="0"/>
    <n v="0"/>
    <n v="0"/>
    <n v="0"/>
    <n v="0"/>
    <n v="0"/>
    <n v="0"/>
    <n v="0"/>
    <n v="0"/>
    <n v="0"/>
    <n v="0"/>
    <n v="0"/>
    <n v="0"/>
  </r>
  <r>
    <n v="1188"/>
    <d v="2025-01-06T13:23:51"/>
    <d v="2025-01-06T13:24:38"/>
    <s v="ymanda@lighthouse.org.mw"/>
    <s v="Yollam Manda"/>
    <x v="6"/>
    <s v="Prototype"/>
    <x v="1"/>
    <s v="COP_23"/>
    <s v="COP_24"/>
    <s v="Quarter4"/>
    <s v="Quarter1"/>
    <s v="Qtr_1"/>
    <x v="11"/>
    <d v="2024-12-01T00:00:00"/>
    <d v="2024-12-31T00:00:00"/>
    <x v="4"/>
    <x v="21"/>
    <n v="0"/>
    <n v="0"/>
    <n v="0"/>
    <n v="0"/>
    <n v="0"/>
    <n v="0"/>
    <n v="0"/>
    <n v="0"/>
    <n v="0"/>
    <n v="0"/>
    <n v="0"/>
    <n v="0"/>
    <n v="0"/>
    <n v="0"/>
    <n v="0"/>
    <n v="0"/>
    <n v="0"/>
    <n v="0"/>
    <n v="0"/>
    <n v="0"/>
    <n v="0"/>
  </r>
  <r>
    <n v="1189"/>
    <d v="2025-01-06T13:24:45"/>
    <d v="2025-01-06T13:26:20"/>
    <s v="ymanda@lighthouse.org.mw"/>
    <s v="Yollam Manda"/>
    <x v="6"/>
    <s v="Prototype"/>
    <x v="1"/>
    <s v="COP_23"/>
    <s v="COP_24"/>
    <s v="Quarter4"/>
    <s v="Quarter1"/>
    <s v="Qtr_1"/>
    <x v="11"/>
    <d v="2024-12-01T00:00:00"/>
    <d v="2024-12-31T00:00:00"/>
    <x v="5"/>
    <x v="21"/>
    <n v="0"/>
    <n v="0"/>
    <n v="0"/>
    <n v="0"/>
    <n v="0"/>
    <n v="0"/>
    <n v="0"/>
    <n v="0"/>
    <n v="0"/>
    <n v="0"/>
    <n v="0"/>
    <n v="0"/>
    <n v="0"/>
    <n v="0"/>
    <n v="0"/>
    <n v="0"/>
    <n v="0"/>
    <n v="0"/>
    <n v="0"/>
    <n v="0"/>
    <n v="0"/>
  </r>
  <r>
    <n v="1190"/>
    <d v="2025-01-06T13:26:32"/>
    <d v="2025-01-06T13:27:25"/>
    <s v="ymanda@lighthouse.org.mw"/>
    <s v="Yollam Manda"/>
    <x v="6"/>
    <s v="Prototype"/>
    <x v="1"/>
    <s v="COP_23"/>
    <s v="COP_24"/>
    <s v="Quarter4"/>
    <s v="Quarter1"/>
    <s v="Qtr_1"/>
    <x v="11"/>
    <d v="2024-12-01T00:00:00"/>
    <d v="2024-12-31T00:00:00"/>
    <x v="6"/>
    <x v="21"/>
    <n v="0"/>
    <n v="0"/>
    <n v="0"/>
    <n v="0"/>
    <n v="0"/>
    <n v="0"/>
    <n v="0"/>
    <n v="0"/>
    <n v="0"/>
    <n v="0"/>
    <n v="0"/>
    <n v="0"/>
    <n v="0"/>
    <n v="0"/>
    <n v="0"/>
    <n v="0"/>
    <n v="0"/>
    <n v="0"/>
    <n v="0"/>
    <n v="0"/>
    <n v="0"/>
  </r>
  <r>
    <n v="1191"/>
    <d v="2025-01-06T13:27:30"/>
    <d v="2025-01-06T13:31:18"/>
    <s v="ymanda@lighthouse.org.mw"/>
    <s v="Yollam Manda"/>
    <x v="6"/>
    <s v="Prototype"/>
    <x v="1"/>
    <s v="COP_23"/>
    <s v="COP_24"/>
    <s v="Quarter4"/>
    <s v="Quarter1"/>
    <s v="Qtr_1"/>
    <x v="11"/>
    <d v="2024-12-01T00:00:00"/>
    <d v="2024-12-31T00:00:00"/>
    <x v="0"/>
    <x v="29"/>
    <n v="1"/>
    <n v="9"/>
    <n v="0"/>
    <n v="3"/>
    <n v="0"/>
    <n v="8"/>
    <n v="2"/>
    <n v="2"/>
    <n v="0"/>
    <n v="0"/>
    <n v="0"/>
    <n v="3"/>
    <n v="0"/>
    <n v="1"/>
    <n v="1"/>
    <n v="0"/>
    <n v="0"/>
    <n v="0"/>
    <n v="0"/>
    <n v="1"/>
    <n v="0"/>
  </r>
  <r>
    <n v="1193"/>
    <d v="2025-01-06T13:32:22"/>
    <d v="2025-01-06T13:34:49"/>
    <s v="ymanda@lighthouse.org.mw"/>
    <s v="Yollam Manda"/>
    <x v="6"/>
    <s v="Prototype"/>
    <x v="1"/>
    <s v="COP_23"/>
    <s v="COP_24"/>
    <s v="Quarter4"/>
    <s v="Quarter1"/>
    <s v="Qtr_1"/>
    <x v="11"/>
    <d v="2024-12-01T00:00:00"/>
    <d v="2024-12-31T00:00:00"/>
    <x v="2"/>
    <x v="18"/>
    <n v="1"/>
    <n v="0"/>
    <n v="0"/>
    <n v="1"/>
    <n v="0"/>
    <n v="1"/>
    <n v="1"/>
    <n v="1"/>
    <n v="0"/>
    <n v="0"/>
    <n v="0"/>
    <n v="1"/>
    <n v="0"/>
    <n v="0"/>
    <n v="0"/>
    <n v="0"/>
    <n v="0"/>
    <n v="0"/>
    <n v="0"/>
    <n v="0"/>
    <n v="0"/>
  </r>
  <r>
    <n v="1194"/>
    <d v="2025-01-06T13:35:14"/>
    <d v="2025-01-06T13:37:56"/>
    <s v="ymanda@lighthouse.org.mw"/>
    <s v="Yollam Manda"/>
    <x v="6"/>
    <s v="Prototype"/>
    <x v="1"/>
    <s v="COP_23"/>
    <s v="COP_24"/>
    <s v="Quarter4"/>
    <s v="Quarter1"/>
    <s v="Qtr_1"/>
    <x v="11"/>
    <d v="2024-12-01T00:00:00"/>
    <d v="2024-12-31T00:00:00"/>
    <x v="1"/>
    <x v="36"/>
    <n v="0"/>
    <n v="9"/>
    <n v="0"/>
    <n v="2"/>
    <n v="0"/>
    <n v="7"/>
    <n v="1"/>
    <n v="1"/>
    <n v="0"/>
    <n v="0"/>
    <n v="0"/>
    <n v="2"/>
    <n v="0"/>
    <n v="1"/>
    <n v="1"/>
    <n v="0"/>
    <n v="0"/>
    <n v="0"/>
    <n v="0"/>
    <n v="1"/>
    <n v="0"/>
  </r>
  <r>
    <n v="1347"/>
    <d v="2025-03-06T08:43:30"/>
    <d v="2025-03-06T09:00:45"/>
    <s v="ymanda@lighthouse.org.mw"/>
    <s v="Yollam Manda"/>
    <x v="6"/>
    <s v="Prototype"/>
    <x v="2"/>
    <s v="COP_23"/>
    <s v="COP_24"/>
    <s v="Quarter1"/>
    <s v="Quarter2"/>
    <s v="Qtr_2"/>
    <x v="4"/>
    <d v="2025-01-01T00:00:00"/>
    <d v="2025-01-31T00:00:00"/>
    <x v="1"/>
    <x v="23"/>
    <n v="1"/>
    <n v="10"/>
    <n v="1"/>
    <n v="1"/>
    <n v="1"/>
    <n v="9"/>
    <n v="7"/>
    <n v="7"/>
    <n v="1"/>
    <n v="0"/>
    <n v="0"/>
    <n v="6"/>
    <n v="0"/>
    <n v="1"/>
    <n v="1"/>
    <n v="0"/>
    <n v="0"/>
    <n v="0"/>
    <n v="0"/>
    <n v="1"/>
    <n v="0"/>
  </r>
  <r>
    <n v="1348"/>
    <d v="2025-03-06T09:00:57"/>
    <d v="2025-03-06T09:02:54"/>
    <s v="ymanda@lighthouse.org.mw"/>
    <s v="Yollam Manda"/>
    <x v="6"/>
    <s v="Prototype"/>
    <x v="2"/>
    <s v="COP_23"/>
    <s v="COP_24"/>
    <s v="Quarter1"/>
    <s v="Quarter2"/>
    <s v="Qtr_2"/>
    <x v="4"/>
    <d v="2025-01-01T00:00:00"/>
    <d v="2025-01-31T00:00:00"/>
    <x v="3"/>
    <x v="21"/>
    <n v="0"/>
    <n v="0"/>
    <n v="0"/>
    <n v="0"/>
    <n v="0"/>
    <n v="0"/>
    <n v="0"/>
    <n v="0"/>
    <n v="0"/>
    <n v="0"/>
    <n v="0"/>
    <n v="0"/>
    <n v="0"/>
    <n v="0"/>
    <n v="0"/>
    <n v="0"/>
    <n v="0"/>
    <n v="0"/>
    <n v="0"/>
    <n v="0"/>
    <n v="0"/>
  </r>
  <r>
    <n v="1349"/>
    <d v="2025-03-06T09:02:57"/>
    <d v="2025-03-06T09:06:10"/>
    <s v="ymanda@lighthouse.org.mw"/>
    <s v="Yollam Manda"/>
    <x v="6"/>
    <s v="Prototype"/>
    <x v="2"/>
    <s v="COP_23"/>
    <s v="COP_24"/>
    <s v="Quarter1"/>
    <s v="Quarter2"/>
    <s v="Qtr_2"/>
    <x v="4"/>
    <d v="2025-01-01T00:00:00"/>
    <d v="2025-01-31T00:00:00"/>
    <x v="4"/>
    <x v="21"/>
    <n v="0"/>
    <n v="0"/>
    <n v="0"/>
    <n v="0"/>
    <n v="0"/>
    <n v="0"/>
    <n v="0"/>
    <n v="0"/>
    <n v="0"/>
    <n v="0"/>
    <n v="0"/>
    <n v="0"/>
    <n v="0"/>
    <n v="0"/>
    <n v="0"/>
    <n v="0"/>
    <n v="0"/>
    <n v="0"/>
    <n v="0"/>
    <n v="0"/>
    <n v="0"/>
  </r>
  <r>
    <n v="1350"/>
    <d v="2025-03-06T09:06:13"/>
    <d v="2025-03-06T09:09:17"/>
    <s v="ymanda@lighthouse.org.mw"/>
    <s v="Yollam Manda"/>
    <x v="6"/>
    <s v="Prototype"/>
    <x v="2"/>
    <s v="COP_23"/>
    <s v="COP_24"/>
    <s v="Quarter1"/>
    <s v="Quarter2"/>
    <s v="Qtr_2"/>
    <x v="4"/>
    <d v="2025-01-01T00:00:00"/>
    <d v="2025-01-31T00:00:00"/>
    <x v="5"/>
    <x v="21"/>
    <n v="0"/>
    <n v="0"/>
    <n v="0"/>
    <n v="0"/>
    <n v="0"/>
    <n v="0"/>
    <n v="0"/>
    <n v="0"/>
    <n v="0"/>
    <n v="0"/>
    <n v="0"/>
    <n v="0"/>
    <n v="0"/>
    <n v="0"/>
    <n v="0"/>
    <n v="0"/>
    <n v="0"/>
    <n v="0"/>
    <n v="0"/>
    <n v="0"/>
    <n v="0"/>
  </r>
  <r>
    <n v="1351"/>
    <d v="2025-03-06T09:09:21"/>
    <d v="2025-03-06T09:11:15"/>
    <s v="ymanda@lighthouse.org.mw"/>
    <s v="Yollam Manda"/>
    <x v="6"/>
    <s v="Prototype"/>
    <x v="2"/>
    <s v="COP_23"/>
    <s v="COP_24"/>
    <s v="Quarter1"/>
    <s v="Quarter2"/>
    <s v="Qtr_2"/>
    <x v="4"/>
    <d v="2025-01-01T00:00:00"/>
    <d v="2025-01-31T00:00:00"/>
    <x v="2"/>
    <x v="21"/>
    <n v="0"/>
    <n v="0"/>
    <n v="0"/>
    <n v="0"/>
    <n v="0"/>
    <n v="0"/>
    <n v="0"/>
    <n v="0"/>
    <n v="0"/>
    <n v="0"/>
    <n v="0"/>
    <n v="0"/>
    <n v="0"/>
    <n v="0"/>
    <n v="0"/>
    <n v="0"/>
    <n v="0"/>
    <n v="0"/>
    <n v="0"/>
    <n v="0"/>
    <n v="0"/>
  </r>
  <r>
    <n v="1352"/>
    <d v="2025-03-06T09:11:18"/>
    <d v="2025-03-06T09:13:42"/>
    <s v="ymanda@lighthouse.org.mw"/>
    <s v="Yollam Manda"/>
    <x v="6"/>
    <s v="Prototype"/>
    <x v="2"/>
    <s v="COP_23"/>
    <s v="COP_24"/>
    <s v="Quarter1"/>
    <s v="Quarter2"/>
    <s v="Qtr_2"/>
    <x v="4"/>
    <d v="2025-01-01T00:00:00"/>
    <d v="2025-01-31T00:00:00"/>
    <x v="6"/>
    <x v="21"/>
    <n v="0"/>
    <n v="0"/>
    <n v="0"/>
    <n v="0"/>
    <n v="0"/>
    <n v="0"/>
    <n v="0"/>
    <n v="0"/>
    <n v="0"/>
    <n v="0"/>
    <n v="0"/>
    <n v="0"/>
    <n v="0"/>
    <n v="0"/>
    <n v="0"/>
    <n v="0"/>
    <n v="0"/>
    <n v="0"/>
    <n v="0"/>
    <n v="0"/>
    <n v="0"/>
  </r>
  <r>
    <n v="1353"/>
    <d v="2025-03-06T09:13:53"/>
    <d v="2025-03-06T09:18:50"/>
    <s v="ymanda@lighthouse.org.mw"/>
    <s v="Yollam Manda"/>
    <x v="6"/>
    <s v="Prototype"/>
    <x v="2"/>
    <s v="COP_23"/>
    <s v="COP_24"/>
    <s v="Quarter1"/>
    <s v="Quarter2"/>
    <s v="Qtr_2"/>
    <x v="4"/>
    <d v="2025-01-01T00:00:00"/>
    <d v="2025-01-31T00:00:00"/>
    <x v="0"/>
    <x v="23"/>
    <n v="1"/>
    <n v="10"/>
    <n v="1"/>
    <n v="1"/>
    <n v="1"/>
    <n v="9"/>
    <n v="7"/>
    <n v="7"/>
    <n v="1"/>
    <n v="0"/>
    <n v="0"/>
    <n v="6"/>
    <n v="0"/>
    <n v="1"/>
    <n v="1"/>
    <n v="0"/>
    <n v="0"/>
    <n v="0"/>
    <n v="0"/>
    <n v="1"/>
    <n v="0"/>
  </r>
  <r>
    <n v="1354"/>
    <d v="2025-03-06T09:28:19"/>
    <d v="2025-03-06T09:39:02"/>
    <s v="ymanda@lighthouse.org.mw"/>
    <s v="Yollam Manda"/>
    <x v="6"/>
    <s v="Prototype"/>
    <x v="2"/>
    <s v="COP_23"/>
    <s v="COP_24"/>
    <s v="Quarter1"/>
    <s v="Quarter2"/>
    <s v="Qtr_2"/>
    <x v="5"/>
    <d v="2025-02-01T00:00:00"/>
    <d v="2025-02-28T00:00:00"/>
    <x v="1"/>
    <x v="23"/>
    <n v="2"/>
    <n v="10"/>
    <n v="2"/>
    <n v="0"/>
    <n v="1"/>
    <n v="0"/>
    <n v="0"/>
    <n v="0"/>
    <n v="0"/>
    <n v="0"/>
    <n v="0"/>
    <n v="1"/>
    <n v="1"/>
    <n v="0"/>
    <n v="0"/>
    <n v="0"/>
    <n v="0"/>
    <n v="0"/>
    <n v="0"/>
    <n v="1"/>
    <n v="0"/>
  </r>
  <r>
    <n v="1355"/>
    <d v="2025-03-06T09:41:25"/>
    <d v="2025-03-06T09:42:35"/>
    <s v="ymanda@lighthouse.org.mw"/>
    <s v="Yollam Manda"/>
    <x v="6"/>
    <s v="Prototype"/>
    <x v="2"/>
    <s v="COP_23"/>
    <s v="COP_24"/>
    <s v="Quarter1"/>
    <s v="Quarter2"/>
    <s v="Qtr_2"/>
    <x v="5"/>
    <d v="2025-02-01T00:00:00"/>
    <d v="2025-02-28T00:00:00"/>
    <x v="3"/>
    <x v="21"/>
    <n v="0"/>
    <n v="0"/>
    <n v="0"/>
    <n v="0"/>
    <n v="0"/>
    <n v="0"/>
    <n v="0"/>
    <n v="0"/>
    <n v="0"/>
    <n v="0"/>
    <n v="0"/>
    <n v="0"/>
    <n v="0"/>
    <n v="0"/>
    <n v="0"/>
    <n v="0"/>
    <n v="0"/>
    <n v="0"/>
    <n v="0"/>
    <n v="0"/>
    <n v="0"/>
  </r>
  <r>
    <n v="1356"/>
    <d v="2025-03-06T09:44:50"/>
    <d v="2025-03-06T09:45:58"/>
    <s v="ymanda@lighthouse.org.mw"/>
    <s v="Yollam Manda"/>
    <x v="6"/>
    <s v="Prototype"/>
    <x v="2"/>
    <s v="COP_23"/>
    <s v="COP_24"/>
    <s v="Quarter1"/>
    <s v="Quarter2"/>
    <s v="Qtr_2"/>
    <x v="5"/>
    <d v="2025-02-01T00:00:00"/>
    <d v="2025-02-28T00:00:00"/>
    <x v="4"/>
    <x v="21"/>
    <n v="0"/>
    <n v="0"/>
    <n v="0"/>
    <n v="0"/>
    <n v="0"/>
    <n v="0"/>
    <n v="0"/>
    <n v="0"/>
    <n v="0"/>
    <n v="0"/>
    <n v="0"/>
    <n v="0"/>
    <n v="0"/>
    <n v="0"/>
    <n v="0"/>
    <n v="0"/>
    <n v="0"/>
    <n v="0"/>
    <n v="0"/>
    <n v="0"/>
    <n v="0"/>
  </r>
  <r>
    <n v="1357"/>
    <d v="2025-03-06T09:46:23"/>
    <d v="2025-03-06T09:48:15"/>
    <s v="ymanda@lighthouse.org.mw"/>
    <s v="Yollam Manda"/>
    <x v="6"/>
    <s v="Prototype"/>
    <x v="2"/>
    <s v="COP_23"/>
    <s v="COP_24"/>
    <s v="Quarter1"/>
    <s v="Quarter2"/>
    <s v="Qtr_2"/>
    <x v="5"/>
    <d v="2025-02-01T00:00:00"/>
    <d v="2025-02-28T00:00:00"/>
    <x v="5"/>
    <x v="21"/>
    <n v="0"/>
    <n v="0"/>
    <n v="0"/>
    <n v="0"/>
    <n v="0"/>
    <n v="0"/>
    <n v="0"/>
    <n v="0"/>
    <n v="0"/>
    <n v="0"/>
    <n v="0"/>
    <n v="0"/>
    <n v="0"/>
    <n v="0"/>
    <n v="0"/>
    <n v="0"/>
    <n v="0"/>
    <n v="0"/>
    <n v="0"/>
    <n v="0"/>
    <n v="0"/>
  </r>
  <r>
    <n v="1358"/>
    <d v="2025-03-06T09:48:22"/>
    <d v="2025-03-06T09:49:56"/>
    <s v="ymanda@lighthouse.org.mw"/>
    <s v="Yollam Manda"/>
    <x v="6"/>
    <s v="Prototype"/>
    <x v="2"/>
    <s v="COP_23"/>
    <s v="COP_24"/>
    <s v="Quarter1"/>
    <s v="Quarter2"/>
    <s v="Qtr_2"/>
    <x v="5"/>
    <d v="2025-02-01T00:00:00"/>
    <d v="2025-02-28T00:00:00"/>
    <x v="2"/>
    <x v="21"/>
    <n v="0"/>
    <n v="0"/>
    <n v="0"/>
    <n v="0"/>
    <n v="0"/>
    <n v="0"/>
    <n v="0"/>
    <n v="0"/>
    <n v="0"/>
    <n v="0"/>
    <n v="0"/>
    <n v="0"/>
    <n v="0"/>
    <n v="0"/>
    <n v="0"/>
    <n v="0"/>
    <n v="0"/>
    <n v="0"/>
    <n v="0"/>
    <n v="0"/>
    <n v="0"/>
  </r>
  <r>
    <n v="1359"/>
    <d v="2025-03-06T09:50:38"/>
    <d v="2025-03-06T09:52:46"/>
    <s v="ymanda@lighthouse.org.mw"/>
    <s v="Yollam Manda"/>
    <x v="6"/>
    <s v="Prototype"/>
    <x v="2"/>
    <s v="COP_23"/>
    <s v="COP_24"/>
    <s v="Quarter1"/>
    <s v="Quarter2"/>
    <s v="Qtr_2"/>
    <x v="5"/>
    <d v="2025-02-01T00:00:00"/>
    <d v="2025-02-28T00:00:00"/>
    <x v="6"/>
    <x v="21"/>
    <n v="0"/>
    <n v="0"/>
    <n v="0"/>
    <n v="0"/>
    <n v="0"/>
    <n v="0"/>
    <n v="0"/>
    <n v="0"/>
    <n v="0"/>
    <n v="0"/>
    <n v="0"/>
    <n v="0"/>
    <n v="0"/>
    <n v="0"/>
    <n v="0"/>
    <n v="0"/>
    <n v="0"/>
    <n v="0"/>
    <n v="0"/>
    <n v="0"/>
    <n v="0"/>
  </r>
  <r>
    <n v="1360"/>
    <d v="2025-03-06T09:53:32"/>
    <d v="2025-03-06T09:58:34"/>
    <s v="ymanda@lighthouse.org.mw"/>
    <s v="Yollam Manda"/>
    <x v="6"/>
    <s v="Prototype"/>
    <x v="2"/>
    <s v="COP_23"/>
    <s v="COP_24"/>
    <s v="Quarter1"/>
    <s v="Quarter2"/>
    <s v="Qtr_2"/>
    <x v="5"/>
    <d v="2025-02-01T00:00:00"/>
    <d v="2025-02-28T00:00:00"/>
    <x v="0"/>
    <x v="23"/>
    <n v="2"/>
    <n v="10"/>
    <n v="2"/>
    <n v="0"/>
    <n v="1"/>
    <n v="0"/>
    <n v="0"/>
    <n v="0"/>
    <n v="0"/>
    <n v="0"/>
    <n v="0"/>
    <n v="1"/>
    <n v="1"/>
    <n v="0"/>
    <n v="0"/>
    <n v="0"/>
    <n v="0"/>
    <n v="0"/>
    <n v="0"/>
    <n v="1"/>
    <n v="0"/>
  </r>
  <r>
    <n v="1473"/>
    <d v="2025-04-02T10:56:52"/>
    <d v="2025-04-02T11:18:44"/>
    <s v="lkaonga@lighthouse.org.mw"/>
    <s v="Lameck Kaonga"/>
    <x v="6"/>
    <s v="Prototype"/>
    <x v="2"/>
    <s v="COP_23"/>
    <s v="COP_24"/>
    <s v="Quarter1"/>
    <s v="Quarter2"/>
    <s v="Qtr_2"/>
    <x v="3"/>
    <d v="2025-03-01T00:00:00"/>
    <d v="2025-03-31T00:00:00"/>
    <x v="1"/>
    <x v="29"/>
    <n v="1"/>
    <n v="9"/>
    <n v="2"/>
    <n v="1"/>
    <n v="0"/>
    <n v="9"/>
    <n v="0"/>
    <n v="1"/>
    <n v="0"/>
    <n v="0"/>
    <n v="0"/>
    <n v="0"/>
    <n v="0"/>
    <n v="0"/>
    <n v="0"/>
    <n v="0"/>
    <n v="0"/>
    <n v="0"/>
    <n v="0"/>
    <n v="0"/>
    <n v="0"/>
  </r>
  <r>
    <n v="1474"/>
    <d v="2025-04-02T11:18:53"/>
    <d v="2025-04-02T11:20:54"/>
    <s v="lkaonga@lighthouse.org.mw"/>
    <s v="Lameck Kaonga"/>
    <x v="6"/>
    <s v="Prototype"/>
    <x v="2"/>
    <s v="COP_23"/>
    <s v="COP_24"/>
    <s v="Quarter1"/>
    <s v="Quarter2"/>
    <s v="Qtr_2"/>
    <x v="3"/>
    <d v="2025-03-01T00:00:00"/>
    <d v="2025-03-31T00:00:00"/>
    <x v="5"/>
    <x v="33"/>
    <n v="0"/>
    <n v="4"/>
    <n v="0"/>
    <n v="0"/>
    <n v="0"/>
    <n v="0"/>
    <n v="0"/>
    <n v="0"/>
    <n v="0"/>
    <n v="0"/>
    <n v="0"/>
    <n v="0"/>
    <n v="0"/>
    <n v="0"/>
    <n v="0"/>
    <n v="0"/>
    <n v="0"/>
    <n v="0"/>
    <n v="0"/>
    <n v="0"/>
    <n v="0"/>
  </r>
  <r>
    <n v="1475"/>
    <d v="2025-04-02T11:21:03"/>
    <d v="2025-04-02T11:23:03"/>
    <s v="lkaonga@lighthouse.org.mw"/>
    <s v="Lameck Kaonga"/>
    <x v="6"/>
    <s v="Prototype"/>
    <x v="2"/>
    <s v="COP_23"/>
    <s v="COP_24"/>
    <s v="Quarter1"/>
    <s v="Quarter2"/>
    <s v="Qtr_2"/>
    <x v="3"/>
    <d v="2025-03-01T00:00:00"/>
    <d v="2025-03-31T00:00:00"/>
    <x v="2"/>
    <x v="30"/>
    <n v="0"/>
    <n v="3"/>
    <n v="0"/>
    <n v="0"/>
    <n v="0"/>
    <n v="1"/>
    <n v="0"/>
    <n v="0"/>
    <n v="0"/>
    <n v="0"/>
    <n v="0"/>
    <n v="0"/>
    <n v="0"/>
    <n v="0"/>
    <n v="0"/>
    <n v="0"/>
    <n v="0"/>
    <n v="0"/>
    <n v="0"/>
    <n v="0"/>
    <n v="0"/>
  </r>
  <r>
    <n v="1476"/>
    <d v="2025-04-02T11:23:10"/>
    <d v="2025-04-02T11:29:20"/>
    <s v="lkaonga@lighthouse.org.mw"/>
    <s v="Lameck Kaonga"/>
    <x v="6"/>
    <s v="Prototype"/>
    <x v="2"/>
    <s v="COP_23"/>
    <s v="COP_24"/>
    <s v="Quarter1"/>
    <s v="Quarter2"/>
    <s v="Qtr_2"/>
    <x v="3"/>
    <d v="2025-03-01T00:00:00"/>
    <d v="2025-03-31T00:00:00"/>
    <x v="3"/>
    <x v="21"/>
    <n v="0"/>
    <n v="0"/>
    <n v="0"/>
    <n v="0"/>
    <n v="0"/>
    <n v="0"/>
    <n v="0"/>
    <n v="0"/>
    <n v="0"/>
    <n v="0"/>
    <n v="0"/>
    <n v="0"/>
    <n v="0"/>
    <n v="0"/>
    <n v="0"/>
    <n v="0"/>
    <n v="0"/>
    <n v="0"/>
    <n v="0"/>
    <n v="0"/>
    <n v="0"/>
  </r>
  <r>
    <n v="1477"/>
    <d v="2025-04-02T11:29:26"/>
    <d v="2025-04-02T11:30:27"/>
    <s v="lkaonga@lighthouse.org.mw"/>
    <s v="Lameck Kaonga"/>
    <x v="6"/>
    <s v="Prototype"/>
    <x v="2"/>
    <s v="COP_23"/>
    <s v="COP_24"/>
    <s v="Quarter1"/>
    <s v="Quarter2"/>
    <s v="Qtr_2"/>
    <x v="3"/>
    <d v="2025-03-01T00:00:00"/>
    <d v="2025-03-31T00:00:00"/>
    <x v="4"/>
    <x v="21"/>
    <n v="0"/>
    <n v="0"/>
    <n v="0"/>
    <n v="0"/>
    <n v="0"/>
    <n v="0"/>
    <n v="0"/>
    <n v="0"/>
    <n v="0"/>
    <n v="0"/>
    <n v="0"/>
    <n v="0"/>
    <n v="0"/>
    <n v="0"/>
    <n v="0"/>
    <n v="0"/>
    <n v="0"/>
    <n v="0"/>
    <n v="0"/>
    <n v="0"/>
    <n v="0"/>
  </r>
  <r>
    <n v="1478"/>
    <d v="2025-04-02T11:30:34"/>
    <d v="2025-04-02T11:31:44"/>
    <s v="lkaonga@lighthouse.org.mw"/>
    <s v="Lameck Kaonga"/>
    <x v="6"/>
    <s v="Prototype"/>
    <x v="2"/>
    <s v="COP_23"/>
    <s v="COP_24"/>
    <s v="Quarter1"/>
    <s v="Quarter2"/>
    <s v="Qtr_2"/>
    <x v="3"/>
    <d v="2025-03-01T00:00:00"/>
    <d v="2025-03-31T00:00:00"/>
    <x v="6"/>
    <x v="21"/>
    <n v="0"/>
    <n v="0"/>
    <n v="0"/>
    <n v="0"/>
    <n v="0"/>
    <n v="0"/>
    <n v="0"/>
    <n v="0"/>
    <n v="0"/>
    <n v="0"/>
    <n v="0"/>
    <n v="0"/>
    <n v="0"/>
    <n v="0"/>
    <n v="0"/>
    <n v="0"/>
    <n v="0"/>
    <n v="0"/>
    <n v="0"/>
    <n v="0"/>
    <n v="0"/>
  </r>
  <r>
    <n v="1479"/>
    <d v="2025-04-02T11:33:02"/>
    <d v="2025-04-02T11:51:51"/>
    <s v="lkaonga@lighthouse.org.mw"/>
    <s v="Lameck Kaonga"/>
    <x v="6"/>
    <s v="Prototype"/>
    <x v="2"/>
    <s v="COP_23"/>
    <s v="COP_24"/>
    <s v="Quarter1"/>
    <s v="Quarter2"/>
    <s v="Qtr_2"/>
    <x v="3"/>
    <d v="2025-03-01T00:00:00"/>
    <d v="2025-03-31T00:00:00"/>
    <x v="0"/>
    <x v="61"/>
    <n v="1"/>
    <n v="16"/>
    <n v="2"/>
    <n v="1"/>
    <n v="0"/>
    <n v="14"/>
    <n v="0"/>
    <n v="1"/>
    <n v="0"/>
    <n v="0"/>
    <n v="0"/>
    <n v="1"/>
    <n v="0"/>
    <n v="0"/>
    <n v="0"/>
    <n v="0"/>
    <n v="0"/>
    <n v="0"/>
    <n v="0"/>
    <n v="0"/>
    <n v="0"/>
  </r>
  <r>
    <n v="1640"/>
    <d v="2025-06-04T11:05:40"/>
    <d v="2025-06-04T11:12:46"/>
    <s v="lkaonga@lighthouse.org.mw"/>
    <s v="Lameck Kaonga"/>
    <x v="6"/>
    <s v="Prototype"/>
    <x v="2"/>
    <s v="COP_23"/>
    <m/>
    <s v="Quarter3"/>
    <s v="Quarter3"/>
    <m/>
    <x v="6"/>
    <d v="2025-05-01T00:00:00"/>
    <d v="2025-05-31T00:00:00"/>
    <x v="1"/>
    <x v="37"/>
    <n v="0"/>
    <n v="5"/>
    <n v="0"/>
    <n v="1"/>
    <n v="0"/>
    <n v="4"/>
    <n v="2"/>
    <n v="1"/>
    <n v="0"/>
    <n v="0"/>
    <n v="0"/>
    <n v="2"/>
    <n v="0"/>
    <n v="2"/>
    <n v="1"/>
    <n v="0"/>
    <n v="0"/>
    <n v="0"/>
    <n v="0"/>
    <n v="0"/>
    <n v="0"/>
  </r>
  <r>
    <n v="1641"/>
    <d v="2025-06-04T11:12:54"/>
    <d v="2025-06-04T11:15:53"/>
    <s v="lkaonga@lighthouse.org.mw"/>
    <s v="Lameck Kaonga"/>
    <x v="6"/>
    <s v="Prototype"/>
    <x v="2"/>
    <s v="COP_23"/>
    <m/>
    <s v="Quarter3"/>
    <s v="Quarter3"/>
    <m/>
    <x v="6"/>
    <d v="2025-05-01T00:00:00"/>
    <d v="2025-05-31T00:00:00"/>
    <x v="0"/>
    <x v="37"/>
    <n v="0"/>
    <n v="5"/>
    <n v="0"/>
    <n v="1"/>
    <n v="0"/>
    <n v="4"/>
    <n v="2"/>
    <n v="1"/>
    <n v="0"/>
    <n v="0"/>
    <n v="0"/>
    <n v="2"/>
    <n v="0"/>
    <n v="2"/>
    <n v="1"/>
    <n v="0"/>
    <n v="0"/>
    <n v="0"/>
    <n v="0"/>
    <n v="1"/>
    <n v="0"/>
  </r>
  <r>
    <n v="1642"/>
    <d v="2025-06-04T11:15:58"/>
    <d v="2025-06-04T11:18:58"/>
    <s v="lkaonga@lighthouse.org.mw"/>
    <s v="Lameck Kaonga"/>
    <x v="6"/>
    <s v="Prototype"/>
    <x v="2"/>
    <s v="COP_23"/>
    <m/>
    <s v="Quarter3"/>
    <s v="Quarter3"/>
    <m/>
    <x v="6"/>
    <d v="2025-05-01T00:00:00"/>
    <d v="2025-05-31T00:00:00"/>
    <x v="3"/>
    <x v="21"/>
    <n v="0"/>
    <n v="0"/>
    <n v="0"/>
    <n v="0"/>
    <n v="0"/>
    <n v="0"/>
    <n v="0"/>
    <n v="0"/>
    <n v="0"/>
    <n v="0"/>
    <n v="0"/>
    <n v="0"/>
    <n v="0"/>
    <n v="0"/>
    <n v="0"/>
    <n v="0"/>
    <n v="0"/>
    <n v="0"/>
    <n v="0"/>
    <n v="0"/>
    <n v="0"/>
  </r>
  <r>
    <n v="1643"/>
    <d v="2025-06-04T11:19:01"/>
    <d v="2025-06-04T11:20:10"/>
    <s v="lkaonga@lighthouse.org.mw"/>
    <s v="Lameck Kaonga"/>
    <x v="6"/>
    <s v="Prototype"/>
    <x v="2"/>
    <s v="COP_23"/>
    <m/>
    <s v="Quarter3"/>
    <s v="Quarter3"/>
    <m/>
    <x v="6"/>
    <d v="2025-05-01T00:00:00"/>
    <d v="2025-05-31T00:00:00"/>
    <x v="4"/>
    <x v="21"/>
    <n v="0"/>
    <n v="0"/>
    <n v="0"/>
    <n v="0"/>
    <n v="0"/>
    <n v="0"/>
    <n v="0"/>
    <n v="0"/>
    <n v="0"/>
    <n v="0"/>
    <n v="0"/>
    <n v="0"/>
    <n v="0"/>
    <n v="0"/>
    <n v="0"/>
    <n v="0"/>
    <n v="0"/>
    <n v="0"/>
    <n v="0"/>
    <n v="0"/>
    <n v="0"/>
  </r>
  <r>
    <n v="1644"/>
    <d v="2025-06-04T11:22:35"/>
    <d v="2025-06-04T11:23:41"/>
    <s v="lkaonga@lighthouse.org.mw"/>
    <s v="Lameck Kaonga"/>
    <x v="6"/>
    <s v="Prototype"/>
    <x v="2"/>
    <s v="COP_23"/>
    <m/>
    <s v="Quarter3"/>
    <s v="Quarter3"/>
    <m/>
    <x v="6"/>
    <d v="2025-05-01T00:00:00"/>
    <d v="2025-05-31T00:00:00"/>
    <x v="5"/>
    <x v="21"/>
    <n v="0"/>
    <n v="0"/>
    <n v="0"/>
    <n v="0"/>
    <n v="0"/>
    <n v="0"/>
    <n v="0"/>
    <n v="0"/>
    <n v="0"/>
    <n v="0"/>
    <n v="0"/>
    <n v="0"/>
    <n v="0"/>
    <n v="0"/>
    <n v="0"/>
    <n v="0"/>
    <n v="0"/>
    <n v="0"/>
    <n v="0"/>
    <n v="0"/>
    <n v="0"/>
  </r>
  <r>
    <n v="1645"/>
    <d v="2025-06-04T11:23:46"/>
    <d v="2025-06-04T11:26:01"/>
    <s v="lkaonga@lighthouse.org.mw"/>
    <s v="Lameck Kaonga"/>
    <x v="6"/>
    <s v="Prototype"/>
    <x v="2"/>
    <s v="COP_23"/>
    <m/>
    <s v="Quarter3"/>
    <s v="Quarter3"/>
    <m/>
    <x v="6"/>
    <d v="2025-05-01T00:00:00"/>
    <d v="2025-05-31T00:00:00"/>
    <x v="2"/>
    <x v="21"/>
    <n v="0"/>
    <n v="0"/>
    <n v="0"/>
    <n v="0"/>
    <n v="0"/>
    <n v="0"/>
    <n v="0"/>
    <n v="0"/>
    <n v="0"/>
    <n v="0"/>
    <n v="0"/>
    <n v="0"/>
    <n v="0"/>
    <n v="0"/>
    <n v="0"/>
    <n v="0"/>
    <n v="0"/>
    <n v="0"/>
    <n v="0"/>
    <n v="0"/>
    <n v="0"/>
  </r>
  <r>
    <n v="1646"/>
    <d v="2025-06-04T11:26:08"/>
    <d v="2025-06-04T11:27:08"/>
    <s v="lkaonga@lighthouse.org.mw"/>
    <s v="Lameck Kaonga"/>
    <x v="6"/>
    <s v="Prototype"/>
    <x v="2"/>
    <s v="COP_23"/>
    <m/>
    <s v="Quarter3"/>
    <s v="Quarter3"/>
    <m/>
    <x v="6"/>
    <d v="2025-05-01T00:00:00"/>
    <d v="2025-05-31T00:00:00"/>
    <x v="6"/>
    <x v="21"/>
    <n v="0"/>
    <n v="0"/>
    <n v="0"/>
    <n v="0"/>
    <n v="0"/>
    <n v="0"/>
    <n v="0"/>
    <n v="0"/>
    <n v="0"/>
    <n v="0"/>
    <n v="0"/>
    <n v="0"/>
    <n v="0"/>
    <n v="0"/>
    <n v="0"/>
    <n v="0"/>
    <n v="0"/>
    <n v="0"/>
    <n v="0"/>
    <n v="0"/>
    <n v="0"/>
  </r>
  <r>
    <n v="1741"/>
    <d v="2025-07-09T09:55:13"/>
    <d v="2025-07-09T10:04:05"/>
    <s v="lkaonga@lighthouse.org.mw"/>
    <s v="Lameck Kaonga"/>
    <x v="6"/>
    <s v="Prototype"/>
    <x v="2"/>
    <s v="COP_23"/>
    <m/>
    <s v="Quarter2"/>
    <s v="Quarter2"/>
    <m/>
    <x v="8"/>
    <d v="2025-06-01T00:00:00"/>
    <d v="2025-06-30T00:00:00"/>
    <x v="1"/>
    <x v="30"/>
    <n v="0"/>
    <n v="3"/>
    <n v="0"/>
    <n v="0"/>
    <n v="0"/>
    <n v="2"/>
    <n v="1"/>
    <n v="1"/>
    <n v="0"/>
    <n v="0"/>
    <n v="0"/>
    <n v="1"/>
    <n v="0"/>
    <n v="0"/>
    <n v="0"/>
    <n v="0"/>
    <n v="0"/>
    <n v="0"/>
    <n v="0"/>
    <n v="0"/>
    <n v="0"/>
  </r>
  <r>
    <n v="1744"/>
    <d v="2025-07-09T10:04:13"/>
    <d v="2025-07-09T10:21:19"/>
    <s v="lkaonga@lighthouse.org.mw"/>
    <s v="Lameck Kaonga"/>
    <x v="6"/>
    <s v="Prototype"/>
    <x v="2"/>
    <s v="COP_23"/>
    <m/>
    <s v="Quarter2"/>
    <s v="Quarter2"/>
    <m/>
    <x v="8"/>
    <d v="2025-06-01T00:00:00"/>
    <d v="2025-06-30T00:00:00"/>
    <x v="3"/>
    <x v="21"/>
    <n v="0"/>
    <n v="0"/>
    <n v="0"/>
    <n v="0"/>
    <n v="0"/>
    <n v="0"/>
    <n v="0"/>
    <n v="0"/>
    <n v="0"/>
    <n v="0"/>
    <n v="0"/>
    <n v="0"/>
    <n v="0"/>
    <n v="0"/>
    <n v="0"/>
    <n v="0"/>
    <n v="0"/>
    <n v="0"/>
    <n v="0"/>
    <n v="0"/>
    <n v="0"/>
  </r>
  <r>
    <n v="1745"/>
    <d v="2025-07-09T10:21:23"/>
    <d v="2025-07-09T10:23:12"/>
    <s v="lkaonga@lighthouse.org.mw"/>
    <s v="Lameck Kaonga"/>
    <x v="6"/>
    <s v="Prototype"/>
    <x v="2"/>
    <s v="COP_23"/>
    <m/>
    <s v="Quarter2"/>
    <s v="Quarter2"/>
    <m/>
    <x v="8"/>
    <d v="2025-06-01T00:00:00"/>
    <d v="2025-06-30T00:00:00"/>
    <x v="4"/>
    <x v="21"/>
    <n v="0"/>
    <n v="0"/>
    <n v="0"/>
    <n v="0"/>
    <n v="0"/>
    <n v="0"/>
    <n v="0"/>
    <n v="0"/>
    <n v="0"/>
    <n v="0"/>
    <n v="0"/>
    <n v="0"/>
    <n v="0"/>
    <n v="0"/>
    <n v="0"/>
    <n v="0"/>
    <n v="0"/>
    <n v="0"/>
    <n v="0"/>
    <n v="0"/>
    <n v="0"/>
  </r>
  <r>
    <n v="1747"/>
    <d v="2025-07-09T10:24:41"/>
    <d v="2025-07-09T10:26:32"/>
    <s v="lkaonga@lighthouse.org.mw"/>
    <s v="Lameck Kaonga"/>
    <x v="6"/>
    <s v="Prototype"/>
    <x v="2"/>
    <s v="COP_23"/>
    <m/>
    <s v="Quarter2"/>
    <s v="Quarter2"/>
    <m/>
    <x v="8"/>
    <d v="2025-06-01T00:00:00"/>
    <d v="2025-06-30T00:00:00"/>
    <x v="5"/>
    <x v="21"/>
    <n v="0"/>
    <n v="0"/>
    <n v="0"/>
    <n v="0"/>
    <n v="0"/>
    <n v="0"/>
    <n v="0"/>
    <n v="0"/>
    <n v="0"/>
    <n v="0"/>
    <n v="0"/>
    <n v="0"/>
    <n v="0"/>
    <n v="0"/>
    <n v="0"/>
    <n v="0"/>
    <n v="0"/>
    <n v="0"/>
    <n v="0"/>
    <n v="0"/>
    <n v="0"/>
  </r>
  <r>
    <n v="1748"/>
    <d v="2025-07-09T10:26:41"/>
    <d v="2025-07-09T10:29:50"/>
    <s v="lkaonga@lighthouse.org.mw"/>
    <s v="Lameck Kaonga"/>
    <x v="6"/>
    <s v="Prototype"/>
    <x v="2"/>
    <s v="COP_23"/>
    <m/>
    <s v="Quarter2"/>
    <s v="Quarter2"/>
    <m/>
    <x v="8"/>
    <d v="2025-06-01T00:00:00"/>
    <d v="2025-06-30T00:00:00"/>
    <x v="2"/>
    <x v="20"/>
    <n v="1"/>
    <n v="1"/>
    <n v="0"/>
    <n v="3"/>
    <n v="0"/>
    <n v="0"/>
    <n v="0"/>
    <n v="0"/>
    <n v="0"/>
    <n v="0"/>
    <n v="0"/>
    <n v="1"/>
    <n v="0"/>
    <n v="0"/>
    <n v="0"/>
    <n v="0"/>
    <n v="0"/>
    <n v="0"/>
    <n v="0"/>
    <n v="0"/>
    <n v="0"/>
  </r>
  <r>
    <n v="1749"/>
    <d v="2025-07-09T10:30:06"/>
    <d v="2025-07-09T10:33:26"/>
    <s v="lkaonga@lighthouse.org.mw"/>
    <s v="Lameck Kaonga"/>
    <x v="6"/>
    <s v="Prototype"/>
    <x v="2"/>
    <s v="COP_23"/>
    <m/>
    <s v="Quarter2"/>
    <s v="Quarter2"/>
    <m/>
    <x v="8"/>
    <d v="2025-06-01T00:00:00"/>
    <d v="2025-06-30T00:00:00"/>
    <x v="2"/>
    <x v="18"/>
    <n v="0"/>
    <n v="1"/>
    <n v="0"/>
    <n v="0"/>
    <n v="0"/>
    <n v="1"/>
    <n v="0"/>
    <n v="0"/>
    <n v="0"/>
    <n v="0"/>
    <n v="0"/>
    <n v="0"/>
    <n v="0"/>
    <n v="0"/>
    <n v="0"/>
    <n v="0"/>
    <n v="0"/>
    <n v="0"/>
    <n v="0"/>
    <n v="0"/>
    <n v="0"/>
  </r>
  <r>
    <n v="1750"/>
    <d v="2025-07-09T10:33:38"/>
    <d v="2025-07-09T10:35:40"/>
    <s v="lkaonga@lighthouse.org.mw"/>
    <s v="Lameck Kaonga"/>
    <x v="6"/>
    <s v="Prototype"/>
    <x v="2"/>
    <s v="COP_23"/>
    <m/>
    <s v="Quarter2"/>
    <s v="Quarter2"/>
    <m/>
    <x v="8"/>
    <d v="2025-06-01T00:00:00"/>
    <d v="2025-06-30T00:00:00"/>
    <x v="6"/>
    <x v="21"/>
    <n v="0"/>
    <n v="0"/>
    <n v="0"/>
    <n v="0"/>
    <n v="0"/>
    <n v="0"/>
    <n v="0"/>
    <n v="0"/>
    <n v="0"/>
    <n v="0"/>
    <n v="0"/>
    <n v="0"/>
    <n v="0"/>
    <n v="0"/>
    <n v="0"/>
    <n v="0"/>
    <n v="0"/>
    <n v="0"/>
    <n v="0"/>
    <n v="0"/>
    <n v="0"/>
  </r>
  <r>
    <n v="1758"/>
    <d v="2025-07-09T11:20:00"/>
    <d v="2025-07-09T11:26:08"/>
    <s v="lkaonga@lighthouse.org.mw"/>
    <s v="Lameck Kaonga"/>
    <x v="6"/>
    <s v="Prototype"/>
    <x v="2"/>
    <s v="COP_23"/>
    <m/>
    <s v="Quarter2"/>
    <s v="Quarter2"/>
    <m/>
    <x v="8"/>
    <d v="2025-06-01T00:00:00"/>
    <d v="2025-06-30T00:00:00"/>
    <x v="0"/>
    <x v="37"/>
    <n v="1"/>
    <n v="5"/>
    <n v="0"/>
    <n v="1"/>
    <n v="0"/>
    <n v="5"/>
    <n v="1"/>
    <n v="1"/>
    <n v="0"/>
    <n v="0"/>
    <n v="0"/>
    <n v="2"/>
    <n v="0"/>
    <n v="0"/>
    <n v="0"/>
    <n v="0"/>
    <n v="0"/>
    <n v="0"/>
    <n v="0"/>
    <n v="0"/>
    <n v="0"/>
  </r>
  <r>
    <n v="1763"/>
    <d v="2025-07-09T11:27:04"/>
    <d v="2025-07-09T11:40:49"/>
    <s v="lkaonga@lighthouse.org.mw"/>
    <s v="Lameck Kaonga"/>
    <x v="6"/>
    <s v="Prototype"/>
    <x v="2"/>
    <s v="COP_23"/>
    <m/>
    <s v="Quarter2"/>
    <s v="Quarter2"/>
    <m/>
    <x v="7"/>
    <d v="2025-04-01T00:00:00"/>
    <d v="2025-04-30T00:00:00"/>
    <x v="0"/>
    <x v="49"/>
    <n v="1"/>
    <n v="9"/>
    <n v="0"/>
    <n v="0"/>
    <n v="1"/>
    <n v="9"/>
    <n v="4"/>
    <n v="4"/>
    <n v="1"/>
    <n v="1"/>
    <n v="0"/>
    <n v="5"/>
    <n v="1"/>
    <n v="1"/>
    <n v="0"/>
    <n v="0"/>
    <n v="0"/>
    <n v="0"/>
    <n v="0"/>
    <n v="0"/>
    <n v="0"/>
  </r>
  <r>
    <n v="1764"/>
    <d v="2025-07-09T13:25:18"/>
    <d v="2025-07-09T13:28:22"/>
    <s v="lkaonga@lighthouse.org.mw"/>
    <s v="Lameck Kaonga"/>
    <x v="6"/>
    <s v="Prototype"/>
    <x v="2"/>
    <s v="COP_23"/>
    <m/>
    <s v="Quarter2"/>
    <s v="Quarter2"/>
    <m/>
    <x v="7"/>
    <d v="2025-04-01T00:00:00"/>
    <d v="2025-04-30T00:00:00"/>
    <x v="1"/>
    <x v="37"/>
    <n v="0"/>
    <n v="5"/>
    <n v="0"/>
    <n v="0"/>
    <n v="1"/>
    <n v="6"/>
    <n v="2"/>
    <n v="1"/>
    <n v="0"/>
    <n v="0"/>
    <n v="0"/>
    <n v="2"/>
    <n v="1"/>
    <n v="0"/>
    <n v="0"/>
    <n v="0"/>
    <n v="0"/>
    <n v="0"/>
    <n v="0"/>
    <n v="0"/>
    <n v="0"/>
  </r>
  <r>
    <n v="1765"/>
    <d v="2025-07-09T13:29:37"/>
    <d v="2025-07-09T13:35:12"/>
    <s v="lkaonga@lighthouse.org.mw"/>
    <s v="Lameck Kaonga"/>
    <x v="6"/>
    <s v="Prototype"/>
    <x v="2"/>
    <s v="COP_23"/>
    <m/>
    <s v="Quarter2"/>
    <s v="Quarter2"/>
    <m/>
    <x v="7"/>
    <d v="2025-04-01T00:00:00"/>
    <d v="2025-04-30T00:00:00"/>
    <x v="5"/>
    <x v="20"/>
    <n v="0"/>
    <n v="2"/>
    <n v="0"/>
    <n v="0"/>
    <n v="0"/>
    <n v="1"/>
    <n v="1"/>
    <n v="2"/>
    <n v="0"/>
    <n v="1"/>
    <n v="0"/>
    <n v="2"/>
    <n v="0"/>
    <n v="0"/>
    <n v="0"/>
    <n v="0"/>
    <n v="0"/>
    <n v="0"/>
    <n v="0"/>
    <n v="0"/>
    <n v="0"/>
  </r>
  <r>
    <n v="1766"/>
    <d v="2025-07-09T13:35:30"/>
    <d v="2025-07-09T13:44:30"/>
    <s v="lkaonga@lighthouse.org.mw"/>
    <s v="Lameck Kaonga"/>
    <x v="6"/>
    <s v="Prototype"/>
    <x v="2"/>
    <s v="COP_23"/>
    <m/>
    <s v="Quarter2"/>
    <s v="Quarter2"/>
    <m/>
    <x v="7"/>
    <d v="2025-04-01T00:00:00"/>
    <d v="2025-04-30T00:00:00"/>
    <x v="2"/>
    <x v="20"/>
    <n v="1"/>
    <n v="2"/>
    <n v="0"/>
    <n v="0"/>
    <n v="0"/>
    <n v="2"/>
    <n v="1"/>
    <n v="1"/>
    <n v="0"/>
    <n v="0"/>
    <n v="0"/>
    <n v="1"/>
    <n v="0"/>
    <n v="0"/>
    <n v="0"/>
    <n v="0"/>
    <n v="0"/>
    <n v="0"/>
    <n v="0"/>
    <n v="1"/>
    <n v="0"/>
  </r>
  <r>
    <n v="1767"/>
    <d v="2025-07-09T13:44:56"/>
    <d v="2025-07-09T13:46:30"/>
    <s v="lkaonga@lighthouse.org.mw"/>
    <s v="Lameck Kaonga"/>
    <x v="6"/>
    <s v="Prototype"/>
    <x v="2"/>
    <s v="COP_23"/>
    <m/>
    <s v="Quarter2"/>
    <s v="Quarter2"/>
    <m/>
    <x v="7"/>
    <d v="2025-04-01T00:00:00"/>
    <d v="2025-04-30T00:00:00"/>
    <x v="3"/>
    <x v="21"/>
    <n v="0"/>
    <n v="0"/>
    <n v="0"/>
    <n v="0"/>
    <n v="0"/>
    <n v="0"/>
    <n v="0"/>
    <n v="0"/>
    <n v="0"/>
    <n v="0"/>
    <n v="0"/>
    <n v="0"/>
    <n v="0"/>
    <n v="0"/>
    <n v="0"/>
    <n v="0"/>
    <n v="0"/>
    <n v="0"/>
    <n v="0"/>
    <n v="0"/>
    <n v="0"/>
  </r>
  <r>
    <n v="1768"/>
    <d v="2025-07-09T13:46:42"/>
    <d v="2025-07-09T13:48:39"/>
    <s v="lkaonga@lighthouse.org.mw"/>
    <s v="Lameck Kaonga"/>
    <x v="6"/>
    <s v="Prototype"/>
    <x v="2"/>
    <s v="COP_23"/>
    <m/>
    <s v="Quarter2"/>
    <s v="Quarter2"/>
    <m/>
    <x v="7"/>
    <d v="2025-04-01T00:00:00"/>
    <d v="2025-04-30T00:00:00"/>
    <x v="4"/>
    <x v="21"/>
    <n v="0"/>
    <n v="0"/>
    <n v="0"/>
    <n v="0"/>
    <n v="0"/>
    <n v="0"/>
    <n v="0"/>
    <n v="0"/>
    <n v="0"/>
    <n v="0"/>
    <n v="0"/>
    <n v="0"/>
    <n v="0"/>
    <n v="0"/>
    <n v="0"/>
    <n v="0"/>
    <n v="0"/>
    <n v="0"/>
    <n v="0"/>
    <n v="0"/>
    <n v="0"/>
  </r>
  <r>
    <n v="1769"/>
    <d v="2025-07-09T13:48:48"/>
    <d v="2025-07-09T13:50:24"/>
    <s v="lkaonga@lighthouse.org.mw"/>
    <s v="Lameck Kaonga"/>
    <x v="6"/>
    <s v="Prototype"/>
    <x v="2"/>
    <s v="COP_23"/>
    <m/>
    <s v="Quarter2"/>
    <s v="Quarter2"/>
    <m/>
    <x v="7"/>
    <d v="2025-04-01T00:00:00"/>
    <d v="2025-04-30T00:00:00"/>
    <x v="6"/>
    <x v="21"/>
    <n v="0"/>
    <n v="0"/>
    <n v="0"/>
    <n v="0"/>
    <n v="0"/>
    <n v="0"/>
    <n v="0"/>
    <n v="0"/>
    <n v="0"/>
    <n v="0"/>
    <n v="0"/>
    <n v="0"/>
    <n v="0"/>
    <n v="0"/>
    <n v="0"/>
    <n v="0"/>
    <n v="0"/>
    <n v="0"/>
    <n v="0"/>
    <n v="0"/>
    <n v="0"/>
  </r>
  <r>
    <n v="267"/>
    <d v="2024-04-22T16:42:11"/>
    <d v="2024-04-22T16:48:18"/>
    <s v="jmakoza@lighthouse.org.mw"/>
    <s v="Jonathan Makoza"/>
    <x v="7"/>
    <s v="Prototype"/>
    <x v="1"/>
    <s v="COP_23"/>
    <s v="COP_23"/>
    <s v="Quarter1"/>
    <s v="Quarter2"/>
    <s v="Qtr_2"/>
    <x v="4"/>
    <d v="2024-01-01T00:00:00"/>
    <d v="2024-01-31T00:00:00"/>
    <x v="5"/>
    <x v="21"/>
    <n v="0"/>
    <n v="0"/>
    <n v="0"/>
    <n v="0"/>
    <n v="0"/>
    <n v="0"/>
    <n v="0"/>
    <n v="0"/>
    <n v="0"/>
    <n v="0"/>
    <n v="0"/>
    <n v="0"/>
    <n v="0"/>
    <n v="0"/>
    <n v="0"/>
    <n v="0"/>
    <n v="0"/>
    <n v="0"/>
    <n v="0"/>
    <n v="0"/>
    <n v="0"/>
  </r>
  <r>
    <n v="268"/>
    <d v="2024-04-22T16:48:49"/>
    <d v="2024-04-22T16:50:15"/>
    <s v="jmakoza@lighthouse.org.mw"/>
    <s v="Jonathan Makoza"/>
    <x v="7"/>
    <s v="Prototype"/>
    <x v="1"/>
    <s v="COP_23"/>
    <s v="COP_23"/>
    <s v="Quarter1"/>
    <s v="Quarter2"/>
    <s v="Qtr_2"/>
    <x v="5"/>
    <d v="2024-02-01T00:00:00"/>
    <d v="2024-02-29T00:00:00"/>
    <x v="5"/>
    <x v="21"/>
    <n v="0"/>
    <n v="0"/>
    <n v="0"/>
    <n v="0"/>
    <n v="0"/>
    <n v="0"/>
    <n v="0"/>
    <n v="0"/>
    <n v="0"/>
    <n v="0"/>
    <n v="0"/>
    <n v="0"/>
    <n v="0"/>
    <n v="0"/>
    <n v="0"/>
    <n v="0"/>
    <n v="0"/>
    <n v="0"/>
    <n v="0"/>
    <n v="0"/>
    <n v="0"/>
  </r>
  <r>
    <n v="269"/>
    <d v="2024-04-22T16:50:23"/>
    <d v="2024-04-22T16:55:17"/>
    <s v="jmakoza@lighthouse.org.mw"/>
    <s v="Jonathan Makoza"/>
    <x v="7"/>
    <s v="Prototype"/>
    <x v="1"/>
    <s v="COP_23"/>
    <s v="COP_23"/>
    <s v="Quarter1"/>
    <s v="Quarter2"/>
    <s v="Qtr_2"/>
    <x v="3"/>
    <d v="2024-03-01T00:00:00"/>
    <d v="2024-03-31T00:00:00"/>
    <x v="5"/>
    <x v="21"/>
    <n v="0"/>
    <n v="0"/>
    <n v="0"/>
    <n v="0"/>
    <n v="0"/>
    <n v="0"/>
    <n v="0"/>
    <n v="0"/>
    <n v="0"/>
    <n v="0"/>
    <n v="0"/>
    <n v="0"/>
    <n v="0"/>
    <n v="0"/>
    <n v="0"/>
    <n v="0"/>
    <n v="0"/>
    <n v="0"/>
    <n v="0"/>
    <n v="0"/>
    <n v="0"/>
  </r>
  <r>
    <n v="264"/>
    <d v="2024-04-22T15:22:30"/>
    <d v="2024-04-22T16:35:30"/>
    <s v="jmakoza@lighthouse.org.mw"/>
    <s v="Jonathan Makoza"/>
    <x v="7"/>
    <s v="Prototype"/>
    <x v="1"/>
    <s v="COP_23"/>
    <s v="COP_23"/>
    <s v="Quarter1"/>
    <s v="Quarter2"/>
    <s v="Qtr_2"/>
    <x v="4"/>
    <d v="2024-01-01T00:00:00"/>
    <d v="2024-01-31T00:00:00"/>
    <x v="0"/>
    <x v="57"/>
    <n v="0"/>
    <n v="0"/>
    <n v="0"/>
    <n v="0"/>
    <n v="0"/>
    <n v="3"/>
    <n v="0"/>
    <n v="0"/>
    <n v="0"/>
    <n v="0"/>
    <n v="0"/>
    <n v="0"/>
    <n v="0"/>
    <n v="0"/>
    <n v="0"/>
    <n v="0"/>
    <n v="0"/>
    <n v="0"/>
    <n v="0"/>
    <n v="0"/>
    <n v="0"/>
  </r>
  <r>
    <n v="265"/>
    <d v="2024-04-22T16:35:31"/>
    <d v="2024-04-22T16:38:08"/>
    <s v="jmakoza@lighthouse.org.mw"/>
    <s v="Jonathan Makoza"/>
    <x v="7"/>
    <s v="Prototype"/>
    <x v="1"/>
    <s v="COP_24"/>
    <s v="COP_23"/>
    <s v="Quarter1"/>
    <s v="Quarter2"/>
    <s v="Qtr_2"/>
    <x v="5"/>
    <d v="2024-02-01T00:00:00"/>
    <d v="2024-02-29T00:00:00"/>
    <x v="0"/>
    <x v="31"/>
    <n v="0"/>
    <n v="0"/>
    <n v="0"/>
    <n v="0"/>
    <n v="0"/>
    <n v="3"/>
    <n v="0"/>
    <n v="0"/>
    <n v="0"/>
    <n v="0"/>
    <n v="0"/>
    <n v="0"/>
    <n v="0"/>
    <n v="0"/>
    <n v="0"/>
    <n v="0"/>
    <n v="0"/>
    <n v="0"/>
    <n v="0"/>
    <n v="0"/>
    <n v="0"/>
  </r>
  <r>
    <n v="266"/>
    <d v="2024-04-22T16:38:37"/>
    <d v="2024-04-22T16:41:59"/>
    <s v="jmakoza@lighthouse.org.mw"/>
    <s v="Jonathan Makoza"/>
    <x v="7"/>
    <s v="Prototype"/>
    <x v="1"/>
    <s v="COP_24"/>
    <s v="COP_23"/>
    <s v="Quarter1"/>
    <s v="Quarter2"/>
    <s v="Qtr_2"/>
    <x v="3"/>
    <d v="2024-03-01T00:00:00"/>
    <d v="2024-03-31T00:00:00"/>
    <x v="0"/>
    <x v="29"/>
    <n v="0"/>
    <n v="0"/>
    <n v="0"/>
    <n v="0"/>
    <n v="0"/>
    <n v="9"/>
    <n v="0"/>
    <n v="0"/>
    <n v="0"/>
    <n v="0"/>
    <n v="0"/>
    <n v="0"/>
    <n v="0"/>
    <n v="0"/>
    <n v="0"/>
    <n v="0"/>
    <n v="0"/>
    <n v="0"/>
    <n v="0"/>
    <n v="0"/>
    <n v="0"/>
  </r>
  <r>
    <n v="264"/>
    <d v="2024-04-22T15:22:24"/>
    <d v="2024-04-22T16:35:30"/>
    <s v="jmakoza@lighthouse.org.mw"/>
    <s v="Jonathan Makoza"/>
    <x v="7"/>
    <s v="Prototype"/>
    <x v="1"/>
    <s v="COP_24"/>
    <s v="COP_23"/>
    <s v="Quarter1"/>
    <s v="Quarter2"/>
    <s v="Qtr_2"/>
    <x v="4"/>
    <d v="2024-01-01T00:00:00"/>
    <d v="2024-01-31T00:00:00"/>
    <x v="1"/>
    <x v="57"/>
    <n v="0"/>
    <n v="0"/>
    <n v="0"/>
    <n v="0"/>
    <n v="0"/>
    <n v="3"/>
    <n v="0"/>
    <n v="0"/>
    <n v="0"/>
    <n v="0"/>
    <n v="0"/>
    <n v="0"/>
    <n v="0"/>
    <n v="0"/>
    <n v="0"/>
    <n v="0"/>
    <n v="0"/>
    <n v="0"/>
    <n v="0"/>
    <n v="0"/>
    <n v="0"/>
  </r>
  <r>
    <n v="265"/>
    <d v="2024-04-22T16:35:49"/>
    <d v="2024-04-22T16:38:08"/>
    <s v="jmakoza@lighthouse.org.mw"/>
    <s v="Jonathan Makoza"/>
    <x v="7"/>
    <s v="Prototype"/>
    <x v="1"/>
    <s v="COP_24"/>
    <s v="COP_23"/>
    <s v="Quarter1"/>
    <s v="Quarter2"/>
    <s v="Qtr_2"/>
    <x v="5"/>
    <d v="2024-02-01T00:00:00"/>
    <d v="2024-02-29T00:00:00"/>
    <x v="1"/>
    <x v="31"/>
    <n v="0"/>
    <n v="0"/>
    <n v="0"/>
    <n v="0"/>
    <n v="0"/>
    <n v="3"/>
    <n v="0"/>
    <n v="0"/>
    <n v="0"/>
    <n v="0"/>
    <n v="0"/>
    <n v="0"/>
    <n v="0"/>
    <n v="0"/>
    <n v="0"/>
    <n v="0"/>
    <n v="0"/>
    <n v="0"/>
    <n v="0"/>
    <n v="0"/>
    <n v="0"/>
  </r>
  <r>
    <n v="266"/>
    <d v="2024-04-22T16:38:12"/>
    <d v="2024-04-22T16:41:59"/>
    <s v="jmakoza@lighthouse.org.mw"/>
    <s v="Jonathan Makoza"/>
    <x v="7"/>
    <s v="Prototype"/>
    <x v="1"/>
    <s v="COP_24"/>
    <s v="COP_23"/>
    <s v="Quarter1"/>
    <s v="Quarter2"/>
    <s v="Qtr_2"/>
    <x v="3"/>
    <d v="2024-03-01T00:00:00"/>
    <d v="2024-03-31T00:00:00"/>
    <x v="1"/>
    <x v="29"/>
    <n v="0"/>
    <n v="0"/>
    <n v="0"/>
    <n v="0"/>
    <n v="0"/>
    <n v="9"/>
    <n v="0"/>
    <n v="0"/>
    <n v="0"/>
    <n v="0"/>
    <n v="0"/>
    <n v="0"/>
    <n v="0"/>
    <n v="0"/>
    <n v="0"/>
    <n v="0"/>
    <n v="0"/>
    <n v="0"/>
    <n v="0"/>
    <n v="0"/>
    <n v="0"/>
  </r>
  <r>
    <n v="614"/>
    <d v="2024-07-15T14:16:22"/>
    <d v="2024-07-15T14:19:11"/>
    <s v="jmakoza@lighthouse.org.mw"/>
    <s v="Jonathan Makoza"/>
    <x v="7"/>
    <s v="Prototype"/>
    <x v="1"/>
    <s v="COP_24"/>
    <s v="COP_23"/>
    <s v="Quarter2"/>
    <s v="Quarter3"/>
    <s v="Qtr_3"/>
    <x v="7"/>
    <d v="2024-04-01T00:00:00"/>
    <d v="2024-04-30T00:00:00"/>
    <x v="1"/>
    <x v="39"/>
    <n v="0"/>
    <n v="8"/>
    <n v="0"/>
    <n v="0"/>
    <n v="0"/>
    <n v="8"/>
    <n v="0"/>
    <n v="0"/>
    <n v="0"/>
    <n v="0"/>
    <n v="0"/>
    <n v="0"/>
    <n v="0"/>
    <n v="0"/>
    <n v="0"/>
    <n v="0"/>
    <n v="0"/>
    <n v="0"/>
    <n v="0"/>
    <n v="0"/>
    <n v="0"/>
  </r>
  <r>
    <n v="615"/>
    <d v="2024-07-15T14:19:16"/>
    <d v="2024-07-15T14:20:59"/>
    <s v="jmakoza@lighthouse.org.mw"/>
    <s v="Jonathan Makoza"/>
    <x v="7"/>
    <s v="Prototype"/>
    <x v="1"/>
    <s v="COP_24"/>
    <s v="COP_23"/>
    <s v="Quarter2"/>
    <s v="Quarter3"/>
    <s v="Qtr_3"/>
    <x v="6"/>
    <d v="2024-05-01T00:00:00"/>
    <d v="2024-05-31T00:00:00"/>
    <x v="1"/>
    <x v="25"/>
    <n v="0"/>
    <n v="9"/>
    <n v="0"/>
    <n v="0"/>
    <n v="0"/>
    <n v="9"/>
    <n v="0"/>
    <n v="0"/>
    <n v="0"/>
    <n v="0"/>
    <n v="0"/>
    <n v="0"/>
    <n v="0"/>
    <n v="0"/>
    <n v="0"/>
    <n v="0"/>
    <n v="0"/>
    <n v="0"/>
    <n v="0"/>
    <n v="0"/>
    <n v="0"/>
  </r>
  <r>
    <n v="618"/>
    <d v="2024-07-15T14:26:51"/>
    <d v="2024-07-15T14:28:44"/>
    <s v="jmakoza@lighthouse.org.mw"/>
    <s v="Jonathan Makoza"/>
    <x v="7"/>
    <s v="Prototype"/>
    <x v="1"/>
    <s v="COP_24"/>
    <s v="COP_23"/>
    <s v="Quarter2"/>
    <s v="Quarter3"/>
    <s v="Qtr_3"/>
    <x v="8"/>
    <d v="2024-06-01T00:00:00"/>
    <d v="2024-06-30T00:00:00"/>
    <x v="1"/>
    <x v="42"/>
    <n v="0"/>
    <n v="14"/>
    <n v="0"/>
    <n v="0"/>
    <n v="0"/>
    <n v="14"/>
    <n v="0"/>
    <n v="0"/>
    <n v="0"/>
    <n v="0"/>
    <n v="0"/>
    <n v="0"/>
    <n v="0"/>
    <n v="0"/>
    <n v="0"/>
    <n v="0"/>
    <n v="0"/>
    <n v="0"/>
    <n v="0"/>
    <n v="0"/>
    <n v="0"/>
  </r>
  <r>
    <n v="867"/>
    <d v="2024-10-02T15:59:14"/>
    <d v="2024-10-02T16:00:13"/>
    <s v="jmakoza@lighthouse.org.mw"/>
    <s v="Jonathan Makoza"/>
    <x v="7"/>
    <s v="Prototype"/>
    <x v="1"/>
    <s v="COP_22"/>
    <s v="COP_23"/>
    <s v="Quarter3"/>
    <s v="Quarter4"/>
    <s v="Qtr_4"/>
    <x v="9"/>
    <d v="2024-07-01T00:00:00"/>
    <d v="2024-07-31T00:00:00"/>
    <x v="1"/>
    <x v="54"/>
    <n v="0"/>
    <n v="5"/>
    <n v="0"/>
    <n v="0"/>
    <n v="0"/>
    <n v="5"/>
    <n v="0"/>
    <n v="0"/>
    <n v="0"/>
    <n v="0"/>
    <n v="0"/>
    <n v="0"/>
    <n v="0"/>
    <n v="0"/>
    <n v="0"/>
    <n v="0"/>
    <n v="0"/>
    <n v="0"/>
    <n v="0"/>
    <n v="0"/>
    <n v="0"/>
  </r>
  <r>
    <n v="965"/>
    <d v="2024-10-21T09:21:49"/>
    <d v="2024-10-21T09:23:33"/>
    <s v="jmakoza@lighthouse.org.mw"/>
    <s v="Jonathan Makoza"/>
    <x v="7"/>
    <s v="Prototype"/>
    <x v="1"/>
    <s v="COP_22"/>
    <s v="COP_23"/>
    <s v="Quarter3"/>
    <s v="Quarter4"/>
    <s v="Qtr_4"/>
    <x v="2"/>
    <d v="2024-09-01T00:00:00"/>
    <d v="2024-09-30T00:00:00"/>
    <x v="1"/>
    <x v="37"/>
    <n v="0"/>
    <n v="5"/>
    <n v="0"/>
    <n v="0"/>
    <n v="0"/>
    <n v="5"/>
    <n v="0"/>
    <n v="0"/>
    <n v="0"/>
    <n v="0"/>
    <n v="0"/>
    <n v="0"/>
    <n v="0"/>
    <n v="0"/>
    <n v="0"/>
    <n v="0"/>
    <n v="0"/>
    <n v="0"/>
    <n v="0"/>
    <n v="0"/>
    <n v="0"/>
  </r>
  <r>
    <n v="613"/>
    <d v="2024-07-15T14:01:10"/>
    <d v="2024-07-15T14:15:49"/>
    <s v="jmakoza@lighthouse.org.mw"/>
    <s v="Jonathan Makoza"/>
    <x v="7"/>
    <s v="Prototype"/>
    <x v="1"/>
    <s v="COP_24"/>
    <s v="COP_23"/>
    <s v="Quarter2"/>
    <s v="Quarter3"/>
    <s v="Qtr_3"/>
    <x v="7"/>
    <d v="2024-04-01T00:00:00"/>
    <d v="2024-04-30T00:00:00"/>
    <x v="0"/>
    <x v="39"/>
    <n v="0"/>
    <n v="8"/>
    <n v="0"/>
    <n v="0"/>
    <n v="0"/>
    <n v="8"/>
    <n v="0"/>
    <n v="0"/>
    <n v="0"/>
    <n v="0"/>
    <n v="0"/>
    <n v="0"/>
    <n v="0"/>
    <n v="0"/>
    <n v="0"/>
    <n v="0"/>
    <n v="0"/>
    <n v="0"/>
    <n v="0"/>
    <n v="0"/>
    <n v="0"/>
  </r>
  <r>
    <n v="966"/>
    <d v="2024-10-21T09:23:49"/>
    <d v="2024-10-21T09:38:25"/>
    <s v="jmakoza@lighthouse.org.mw"/>
    <s v="Jonathan Makoza"/>
    <x v="7"/>
    <s v="Prototype"/>
    <x v="1"/>
    <s v="COP_22"/>
    <s v="COP_23"/>
    <s v="Quarter3"/>
    <s v="Quarter4"/>
    <s v="Qtr_4"/>
    <x v="10"/>
    <d v="2024-08-01T00:00:00"/>
    <d v="2024-08-31T00:00:00"/>
    <x v="1"/>
    <x v="37"/>
    <n v="0"/>
    <n v="4"/>
    <n v="0"/>
    <n v="0"/>
    <n v="0"/>
    <n v="4"/>
    <n v="0"/>
    <n v="0"/>
    <n v="0"/>
    <n v="0"/>
    <n v="0"/>
    <n v="0"/>
    <n v="0"/>
    <n v="0"/>
    <n v="0"/>
    <n v="0"/>
    <n v="0"/>
    <n v="0"/>
    <n v="0"/>
    <n v="0"/>
    <n v="0"/>
  </r>
  <r>
    <n v="616"/>
    <d v="2024-07-15T14:21:11"/>
    <d v="2024-07-15T14:23:41"/>
    <s v="jmakoza@lighthouse.org.mw"/>
    <s v="Jonathan Makoza"/>
    <x v="7"/>
    <s v="Prototype"/>
    <x v="1"/>
    <s v="COP_24"/>
    <s v="COP_23"/>
    <s v="Quarter2"/>
    <s v="Quarter3"/>
    <s v="Qtr_3"/>
    <x v="6"/>
    <d v="2024-05-01T00:00:00"/>
    <d v="2024-05-31T00:00:00"/>
    <x v="0"/>
    <x v="25"/>
    <n v="0"/>
    <n v="9"/>
    <n v="0"/>
    <n v="0"/>
    <n v="0"/>
    <n v="9"/>
    <n v="0"/>
    <n v="0"/>
    <n v="0"/>
    <n v="0"/>
    <n v="0"/>
    <n v="0"/>
    <n v="0"/>
    <n v="0"/>
    <n v="0"/>
    <n v="0"/>
    <n v="0"/>
    <n v="0"/>
    <n v="0"/>
    <n v="0"/>
    <n v="0"/>
  </r>
  <r>
    <n v="617"/>
    <d v="2024-07-15T14:24:02"/>
    <d v="2024-07-15T14:26:47"/>
    <s v="jmakoza@lighthouse.org.mw"/>
    <s v="Jonathan Makoza"/>
    <x v="7"/>
    <s v="Prototype"/>
    <x v="1"/>
    <s v="COP_24"/>
    <s v="COP_23"/>
    <s v="Quarter2"/>
    <s v="Quarter3"/>
    <s v="Qtr_3"/>
    <x v="8"/>
    <d v="2024-06-01T00:00:00"/>
    <d v="2024-06-30T00:00:00"/>
    <x v="0"/>
    <x v="42"/>
    <n v="0"/>
    <n v="14"/>
    <n v="0"/>
    <n v="0"/>
    <n v="0"/>
    <n v="14"/>
    <n v="0"/>
    <n v="0"/>
    <n v="0"/>
    <n v="0"/>
    <n v="0"/>
    <n v="0"/>
    <n v="0"/>
    <n v="0"/>
    <n v="0"/>
    <n v="0"/>
    <n v="0"/>
    <n v="0"/>
    <n v="0"/>
    <n v="0"/>
    <n v="0"/>
  </r>
  <r>
    <n v="778"/>
    <d v="2024-08-19T13:16:59"/>
    <d v="2024-08-19T13:21:50"/>
    <s v="jmakoza@lighthouse.org.mw"/>
    <s v="Jonathan Makoza"/>
    <x v="7"/>
    <s v="Prototype"/>
    <x v="1"/>
    <s v="COP_24"/>
    <s v="COP_23"/>
    <s v="Quarter2"/>
    <s v="Quarter3"/>
    <s v="Qtr_3"/>
    <x v="7"/>
    <d v="2024-04-01T00:00:00"/>
    <d v="2024-04-30T00:00:00"/>
    <x v="5"/>
    <x v="21"/>
    <n v="0"/>
    <n v="0"/>
    <n v="0"/>
    <n v="0"/>
    <n v="0"/>
    <n v="0"/>
    <n v="0"/>
    <n v="0"/>
    <n v="0"/>
    <n v="0"/>
    <n v="0"/>
    <n v="0"/>
    <n v="0"/>
    <n v="0"/>
    <n v="0"/>
    <n v="0"/>
    <n v="0"/>
    <n v="0"/>
    <n v="0"/>
    <n v="0"/>
    <n v="0"/>
  </r>
  <r>
    <n v="779"/>
    <d v="2024-08-19T13:22:24"/>
    <d v="2024-08-19T13:32:56"/>
    <s v="jmakoza@lighthouse.org.mw"/>
    <s v="Jonathan Makoza"/>
    <x v="7"/>
    <s v="Prototype"/>
    <x v="1"/>
    <s v="COP_24"/>
    <s v="COP_23"/>
    <s v="Quarter2"/>
    <s v="Quarter3"/>
    <s v="Qtr_3"/>
    <x v="6"/>
    <d v="2024-05-01T00:00:00"/>
    <d v="2024-05-31T00:00:00"/>
    <x v="5"/>
    <x v="21"/>
    <n v="0"/>
    <n v="0"/>
    <n v="0"/>
    <n v="0"/>
    <n v="0"/>
    <n v="0"/>
    <n v="0"/>
    <n v="0"/>
    <n v="0"/>
    <n v="0"/>
    <n v="0"/>
    <n v="0"/>
    <n v="0"/>
    <n v="0"/>
    <n v="0"/>
    <n v="0"/>
    <n v="0"/>
    <n v="0"/>
    <n v="0"/>
    <n v="0"/>
    <n v="0"/>
  </r>
  <r>
    <n v="868"/>
    <d v="2024-10-02T16:00:34"/>
    <d v="2024-10-02T16:04:36"/>
    <s v="jmakoza@lighthouse.org.mw"/>
    <s v="Jonathan Makoza"/>
    <x v="7"/>
    <s v="Prototype"/>
    <x v="1"/>
    <s v="COP_22"/>
    <s v="COP_23"/>
    <s v="Quarter3"/>
    <s v="Quarter4"/>
    <s v="Qtr_4"/>
    <x v="9"/>
    <d v="2024-07-01T00:00:00"/>
    <d v="2024-07-31T00:00:00"/>
    <x v="0"/>
    <x v="54"/>
    <n v="0"/>
    <n v="5"/>
    <n v="0"/>
    <n v="0"/>
    <n v="0"/>
    <n v="5"/>
    <n v="0"/>
    <n v="0"/>
    <n v="0"/>
    <n v="0"/>
    <n v="0"/>
    <n v="0"/>
    <n v="0"/>
    <n v="0"/>
    <n v="0"/>
    <n v="0"/>
    <n v="0"/>
    <n v="0"/>
    <n v="0"/>
    <n v="0"/>
    <n v="0"/>
  </r>
  <r>
    <n v="964"/>
    <d v="2024-10-21T09:18:01"/>
    <d v="2024-10-21T09:21:43"/>
    <s v="jmakoza@lighthouse.org.mw"/>
    <s v="Jonathan Makoza"/>
    <x v="7"/>
    <s v="Prototype"/>
    <x v="1"/>
    <s v="COP_22"/>
    <s v="COP_23"/>
    <s v="Quarter3"/>
    <s v="Quarter4"/>
    <s v="Qtr_4"/>
    <x v="2"/>
    <d v="2024-09-01T00:00:00"/>
    <d v="2024-09-30T00:00:00"/>
    <x v="0"/>
    <x v="37"/>
    <n v="0"/>
    <n v="5"/>
    <n v="0"/>
    <n v="0"/>
    <n v="0"/>
    <n v="5"/>
    <n v="0"/>
    <n v="0"/>
    <n v="0"/>
    <n v="0"/>
    <n v="0"/>
    <n v="0"/>
    <n v="0"/>
    <n v="0"/>
    <n v="0"/>
    <n v="0"/>
    <n v="0"/>
    <n v="0"/>
    <n v="0"/>
    <n v="0"/>
    <n v="0"/>
  </r>
  <r>
    <n v="967"/>
    <d v="2024-10-21T09:38:31"/>
    <d v="2024-10-21T09:40:19"/>
    <s v="jmakoza@lighthouse.org.mw"/>
    <s v="Jonathan Makoza"/>
    <x v="7"/>
    <s v="Prototype"/>
    <x v="1"/>
    <s v="COP_23"/>
    <s v="COP_23"/>
    <s v="Quarter3"/>
    <s v="Quarter4"/>
    <s v="Qtr_4"/>
    <x v="10"/>
    <d v="2024-08-01T00:00:00"/>
    <d v="2024-08-31T00:00:00"/>
    <x v="0"/>
    <x v="33"/>
    <n v="0"/>
    <n v="4"/>
    <n v="0"/>
    <n v="0"/>
    <n v="0"/>
    <n v="4"/>
    <n v="0"/>
    <n v="0"/>
    <n v="0"/>
    <n v="0"/>
    <n v="0"/>
    <n v="0"/>
    <n v="0"/>
    <n v="0"/>
    <n v="0"/>
    <n v="0"/>
    <n v="0"/>
    <n v="0"/>
    <n v="0"/>
    <n v="0"/>
    <n v="0"/>
  </r>
  <r>
    <n v="1040"/>
    <d v="2024-11-07T13:49:21"/>
    <d v="2024-11-07T13:50:55"/>
    <s v="jmakoza@lighthouse.org.mw"/>
    <s v="Jonathan Makoza"/>
    <x v="7"/>
    <s v="Prototype"/>
    <x v="1"/>
    <s v="COP_23"/>
    <s v="COP_23"/>
    <s v="Quarter3"/>
    <s v="Quarter4"/>
    <s v="Qtr_4"/>
    <x v="2"/>
    <d v="2024-09-01T00:00:00"/>
    <d v="2024-09-30T00:00:00"/>
    <x v="5"/>
    <x v="21"/>
    <n v="0"/>
    <n v="0"/>
    <n v="0"/>
    <n v="0"/>
    <n v="0"/>
    <n v="0"/>
    <n v="0"/>
    <n v="0"/>
    <n v="0"/>
    <n v="0"/>
    <n v="0"/>
    <n v="0"/>
    <n v="0"/>
    <n v="0"/>
    <n v="0"/>
    <n v="0"/>
    <n v="0"/>
    <n v="0"/>
    <n v="0"/>
    <n v="0"/>
    <n v="0"/>
  </r>
  <r>
    <n v="1041"/>
    <d v="2024-11-07T13:50:57"/>
    <d v="2024-11-07T13:52:07"/>
    <s v="jmakoza@lighthouse.org.mw"/>
    <s v="Jonathan Makoza"/>
    <x v="7"/>
    <s v="Prototype"/>
    <x v="1"/>
    <s v="COP_22"/>
    <s v="COP_22"/>
    <s v="Quarter3"/>
    <s v="Quarter4"/>
    <s v="Qtr_4"/>
    <x v="10"/>
    <d v="2024-08-01T00:00:00"/>
    <d v="2024-08-31T00:00:00"/>
    <x v="5"/>
    <x v="21"/>
    <n v="0"/>
    <n v="0"/>
    <n v="0"/>
    <n v="0"/>
    <n v="0"/>
    <n v="0"/>
    <n v="0"/>
    <n v="0"/>
    <n v="0"/>
    <n v="0"/>
    <n v="0"/>
    <n v="0"/>
    <n v="0"/>
    <n v="0"/>
    <n v="0"/>
    <n v="0"/>
    <n v="0"/>
    <n v="0"/>
    <n v="0"/>
    <n v="0"/>
    <n v="0"/>
  </r>
  <r>
    <n v="1042"/>
    <d v="2024-11-07T13:52:10"/>
    <d v="2024-11-07T13:53:32"/>
    <s v="jmakoza@lighthouse.org.mw"/>
    <s v="Jonathan Makoza"/>
    <x v="7"/>
    <s v="Prototype"/>
    <x v="1"/>
    <s v="COP_23"/>
    <s v="COP_23"/>
    <s v="Quarter3"/>
    <s v="Quarter4"/>
    <s v="Qtr_4"/>
    <x v="9"/>
    <d v="2024-07-01T00:00:00"/>
    <d v="2024-07-31T00:00:00"/>
    <x v="5"/>
    <x v="21"/>
    <n v="0"/>
    <n v="0"/>
    <n v="0"/>
    <n v="0"/>
    <n v="0"/>
    <n v="0"/>
    <n v="0"/>
    <n v="0"/>
    <n v="0"/>
    <n v="0"/>
    <n v="0"/>
    <n v="0"/>
    <n v="0"/>
    <n v="0"/>
    <n v="0"/>
    <n v="0"/>
    <n v="0"/>
    <n v="0"/>
    <n v="0"/>
    <n v="0"/>
    <n v="0"/>
  </r>
  <r>
    <n v="1144"/>
    <d v="2024-12-17T14:38:57"/>
    <d v="2024-12-17T14:44:51"/>
    <s v="jmakoza@lighthouse.org.mw"/>
    <s v="Jonathan Makoza"/>
    <x v="7"/>
    <s v="Prototype"/>
    <x v="1"/>
    <s v="COP_23"/>
    <s v="COP_24"/>
    <s v="Quarter4"/>
    <s v="Quarter1"/>
    <s v="Qtr_1"/>
    <x v="0"/>
    <d v="2024-10-01T00:00:00"/>
    <d v="2024-10-31T00:00:00"/>
    <x v="1"/>
    <x v="29"/>
    <n v="0"/>
    <n v="10"/>
    <n v="0"/>
    <n v="0"/>
    <n v="0"/>
    <n v="0"/>
    <n v="0"/>
    <n v="0"/>
    <n v="0"/>
    <n v="0"/>
    <n v="0"/>
    <n v="0"/>
    <n v="0"/>
    <n v="0"/>
    <n v="0"/>
    <n v="0"/>
    <n v="0"/>
    <n v="0"/>
    <n v="0"/>
    <n v="0"/>
    <n v="0"/>
  </r>
  <r>
    <n v="1145"/>
    <d v="2024-12-17T14:45:16"/>
    <d v="2024-12-17T14:47:52"/>
    <s v="jmakoza@lighthouse.org.mw"/>
    <s v="Jonathan Makoza"/>
    <x v="7"/>
    <s v="Prototype"/>
    <x v="1"/>
    <s v="COP_22"/>
    <s v="COP_24"/>
    <s v="Quarter4"/>
    <s v="Quarter1"/>
    <s v="Qtr_1"/>
    <x v="0"/>
    <d v="2024-10-01T00:00:00"/>
    <d v="2024-10-31T00:00:00"/>
    <x v="0"/>
    <x v="29"/>
    <n v="0"/>
    <n v="10"/>
    <n v="0"/>
    <n v="0"/>
    <n v="0"/>
    <n v="0"/>
    <n v="0"/>
    <n v="0"/>
    <n v="0"/>
    <n v="0"/>
    <n v="0"/>
    <n v="0"/>
    <n v="0"/>
    <n v="0"/>
    <n v="0"/>
    <n v="0"/>
    <n v="0"/>
    <n v="0"/>
    <n v="0"/>
    <n v="0"/>
    <n v="0"/>
  </r>
  <r>
    <n v="1153"/>
    <d v="2024-12-17T15:31:06"/>
    <d v="2024-12-17T15:32:46"/>
    <s v="jmakoza@lighthouse.org.mw"/>
    <s v="Jonathan Makoza"/>
    <x v="7"/>
    <s v="Prototype"/>
    <x v="1"/>
    <s v="COP_23"/>
    <s v="COP_24"/>
    <s v="Quarter4"/>
    <s v="Quarter1"/>
    <s v="Qtr_1"/>
    <x v="1"/>
    <d v="2024-11-01T00:00:00"/>
    <d v="2024-11-30T00:00:00"/>
    <x v="0"/>
    <x v="54"/>
    <n v="0"/>
    <n v="3"/>
    <n v="0"/>
    <n v="0"/>
    <n v="0"/>
    <n v="0"/>
    <n v="0"/>
    <n v="0"/>
    <n v="0"/>
    <n v="0"/>
    <n v="0"/>
    <n v="0"/>
    <n v="0"/>
    <n v="0"/>
    <n v="0"/>
    <n v="0"/>
    <n v="0"/>
    <n v="0"/>
    <n v="0"/>
    <n v="0"/>
    <n v="0"/>
  </r>
  <r>
    <n v="1154"/>
    <d v="2024-12-17T15:32:52"/>
    <d v="2024-12-17T15:35:37"/>
    <s v="jmakoza@lighthouse.org.mw"/>
    <s v="Jonathan Makoza"/>
    <x v="7"/>
    <s v="Prototype"/>
    <x v="1"/>
    <s v="COP_23"/>
    <s v="COP_24"/>
    <s v="Quarter4"/>
    <s v="Quarter1"/>
    <s v="Qtr_1"/>
    <x v="1"/>
    <d v="2024-11-01T00:00:00"/>
    <d v="2024-11-30T00:00:00"/>
    <x v="1"/>
    <x v="54"/>
    <n v="0"/>
    <n v="5"/>
    <n v="0"/>
    <n v="0"/>
    <n v="0"/>
    <n v="0"/>
    <n v="0"/>
    <n v="0"/>
    <n v="0"/>
    <n v="0"/>
    <n v="0"/>
    <n v="0"/>
    <n v="0"/>
    <n v="0"/>
    <n v="0"/>
    <n v="0"/>
    <n v="0"/>
    <n v="0"/>
    <n v="0"/>
    <n v="0"/>
    <n v="0"/>
  </r>
  <r>
    <n v="1155"/>
    <d v="2024-12-17T15:36:23"/>
    <d v="2024-12-17T15:37:45"/>
    <s v="jmakoza@lighthouse.org.mw"/>
    <s v="Jonathan Makoza"/>
    <x v="7"/>
    <s v="Prototype"/>
    <x v="1"/>
    <s v="COP_23"/>
    <s v="COP_24"/>
    <s v="Quarter4"/>
    <s v="Quarter1"/>
    <s v="Qtr_1"/>
    <x v="1"/>
    <d v="2024-11-01T00:00:00"/>
    <d v="2024-11-30T00:00:00"/>
    <x v="5"/>
    <x v="21"/>
    <n v="0"/>
    <n v="0"/>
    <n v="0"/>
    <n v="0"/>
    <n v="0"/>
    <n v="0"/>
    <n v="0"/>
    <n v="0"/>
    <n v="0"/>
    <n v="0"/>
    <n v="0"/>
    <n v="0"/>
    <n v="0"/>
    <n v="0"/>
    <n v="0"/>
    <n v="0"/>
    <n v="0"/>
    <n v="0"/>
    <n v="0"/>
    <n v="0"/>
    <n v="0"/>
  </r>
  <r>
    <n v="1296"/>
    <d v="2025-01-16T13:41:44"/>
    <d v="2025-01-16T14:03:51"/>
    <s v="jmakoza@lighthouse.org.mw"/>
    <s v="Jonathan Makoza"/>
    <x v="7"/>
    <s v="Prototype"/>
    <x v="1"/>
    <s v="COP_23"/>
    <s v="COP_24"/>
    <s v="Quarter4"/>
    <s v="Quarter1"/>
    <s v="Qtr_1"/>
    <x v="11"/>
    <d v="2024-12-01T00:00:00"/>
    <d v="2024-12-31T00:00:00"/>
    <x v="0"/>
    <x v="54"/>
    <n v="0"/>
    <n v="5"/>
    <n v="0"/>
    <n v="0"/>
    <n v="0"/>
    <n v="5"/>
    <n v="0"/>
    <n v="0"/>
    <n v="0"/>
    <n v="0"/>
    <n v="0"/>
    <n v="0"/>
    <n v="0"/>
    <n v="0"/>
    <n v="0"/>
    <n v="0"/>
    <n v="0"/>
    <n v="0"/>
    <n v="0"/>
    <n v="0"/>
    <n v="0"/>
  </r>
  <r>
    <n v="1297"/>
    <d v="2025-01-16T14:04:13"/>
    <d v="2025-01-16T14:06:44"/>
    <s v="jmakoza@lighthouse.org.mw"/>
    <s v="Jonathan Makoza"/>
    <x v="7"/>
    <s v="Prototype"/>
    <x v="1"/>
    <s v="COP_23"/>
    <s v="COP_24"/>
    <s v="Quarter4"/>
    <s v="Quarter1"/>
    <s v="Qtr_1"/>
    <x v="11"/>
    <d v="2024-12-01T00:00:00"/>
    <d v="2024-12-31T00:00:00"/>
    <x v="1"/>
    <x v="54"/>
    <n v="0"/>
    <n v="5"/>
    <n v="0"/>
    <n v="0"/>
    <n v="0"/>
    <n v="5"/>
    <n v="0"/>
    <n v="0"/>
    <n v="0"/>
    <n v="0"/>
    <n v="0"/>
    <n v="0"/>
    <n v="0"/>
    <n v="0"/>
    <n v="0"/>
    <n v="0"/>
    <n v="0"/>
    <n v="0"/>
    <n v="0"/>
    <n v="0"/>
    <n v="0"/>
  </r>
  <r>
    <n v="1298"/>
    <d v="2025-01-16T14:07:30"/>
    <d v="2025-01-16T14:18:29"/>
    <s v="jmakoza@lighthouse.org.mw"/>
    <s v="Jonathan Makoza"/>
    <x v="7"/>
    <s v="Prototype"/>
    <x v="1"/>
    <s v="COP_23"/>
    <s v="COP_24"/>
    <s v="Quarter4"/>
    <s v="Quarter1"/>
    <s v="Qtr_1"/>
    <x v="11"/>
    <d v="2024-12-01T00:00:00"/>
    <d v="2024-12-31T00:00:00"/>
    <x v="5"/>
    <x v="21"/>
    <n v="0"/>
    <n v="0"/>
    <n v="0"/>
    <n v="0"/>
    <n v="0"/>
    <n v="0"/>
    <n v="0"/>
    <n v="0"/>
    <n v="0"/>
    <n v="0"/>
    <n v="0"/>
    <n v="0"/>
    <n v="0"/>
    <n v="0"/>
    <n v="0"/>
    <n v="0"/>
    <n v="0"/>
    <n v="0"/>
    <n v="0"/>
    <n v="0"/>
    <n v="0"/>
  </r>
  <r>
    <n v="1299"/>
    <d v="2025-01-16T14:23:05"/>
    <d v="2025-01-16T14:24:34"/>
    <s v="jmakoza@lighthouse.org.mw"/>
    <s v="Jonathan Makoza"/>
    <x v="7"/>
    <s v="Prototype"/>
    <x v="1"/>
    <s v="COP_23"/>
    <s v="COP_24"/>
    <s v="Quarter4"/>
    <s v="Quarter1"/>
    <s v="Qtr_1"/>
    <x v="1"/>
    <d v="2024-11-01T00:00:00"/>
    <d v="2024-11-30T00:00:00"/>
    <x v="5"/>
    <x v="18"/>
    <n v="0"/>
    <n v="0"/>
    <n v="0"/>
    <n v="0"/>
    <n v="0"/>
    <n v="0"/>
    <n v="0"/>
    <n v="0"/>
    <n v="0"/>
    <n v="0"/>
    <n v="0"/>
    <n v="0"/>
    <n v="0"/>
    <n v="0"/>
    <n v="0"/>
    <n v="0"/>
    <n v="0"/>
    <n v="0"/>
    <n v="0"/>
    <n v="0"/>
    <n v="0"/>
  </r>
  <r>
    <n v="1457"/>
    <d v="2025-03-19T09:58:47"/>
    <d v="2025-03-19T10:03:00"/>
    <s v="jmakoza@lighthouse.org.mw"/>
    <s v="Jonathan Makoza"/>
    <x v="7"/>
    <s v="Prototype"/>
    <x v="2"/>
    <s v="COP_23"/>
    <s v="COP_24"/>
    <s v="Quarter1"/>
    <s v="Quarter2"/>
    <s v="Qtr_2"/>
    <x v="5"/>
    <d v="2025-02-01T00:00:00"/>
    <d v="2025-02-28T00:00:00"/>
    <x v="0"/>
    <x v="49"/>
    <n v="0"/>
    <n v="10"/>
    <n v="0"/>
    <n v="0"/>
    <n v="0"/>
    <n v="10"/>
    <n v="0"/>
    <n v="0"/>
    <n v="0"/>
    <n v="0"/>
    <n v="0"/>
    <n v="0"/>
    <n v="0"/>
    <n v="0"/>
    <n v="0"/>
    <n v="0"/>
    <n v="0"/>
    <n v="0"/>
    <n v="0"/>
    <n v="0"/>
    <n v="0"/>
  </r>
  <r>
    <n v="1458"/>
    <d v="2025-03-19T10:03:05"/>
    <d v="2025-03-19T10:06:48"/>
    <s v="jmakoza@lighthouse.org.mw"/>
    <s v="Jonathan Makoza"/>
    <x v="7"/>
    <s v="Prototype"/>
    <x v="2"/>
    <s v="COP_23"/>
    <s v="COP_24"/>
    <s v="Quarter1"/>
    <s v="Quarter2"/>
    <s v="Qtr_2"/>
    <x v="5"/>
    <d v="2025-02-01T00:00:00"/>
    <d v="2025-02-28T00:00:00"/>
    <x v="1"/>
    <x v="49"/>
    <n v="0"/>
    <n v="10"/>
    <n v="0"/>
    <n v="0"/>
    <n v="0"/>
    <n v="10"/>
    <n v="0"/>
    <n v="0"/>
    <n v="0"/>
    <n v="0"/>
    <n v="0"/>
    <n v="0"/>
    <n v="0"/>
    <n v="0"/>
    <n v="0"/>
    <n v="0"/>
    <n v="0"/>
    <n v="0"/>
    <n v="0"/>
    <n v="0"/>
    <n v="0"/>
  </r>
  <r>
    <n v="1459"/>
    <d v="2025-03-19T10:07:22"/>
    <d v="2025-03-19T10:09:59"/>
    <s v="jmakoza@lighthouse.org.mw"/>
    <s v="Jonathan Makoza"/>
    <x v="7"/>
    <s v="Prototype"/>
    <x v="2"/>
    <s v="COP_23"/>
    <s v="COP_24"/>
    <s v="Quarter1"/>
    <s v="Quarter2"/>
    <s v="Qtr_2"/>
    <x v="5"/>
    <d v="2025-02-01T00:00:00"/>
    <d v="2025-02-28T00:00:00"/>
    <x v="5"/>
    <x v="21"/>
    <n v="0"/>
    <n v="0"/>
    <n v="0"/>
    <n v="0"/>
    <n v="0"/>
    <n v="0"/>
    <n v="0"/>
    <n v="0"/>
    <n v="0"/>
    <n v="0"/>
    <n v="0"/>
    <n v="0"/>
    <n v="0"/>
    <n v="0"/>
    <n v="0"/>
    <n v="0"/>
    <n v="0"/>
    <n v="0"/>
    <n v="0"/>
    <n v="0"/>
    <n v="0"/>
  </r>
  <r>
    <n v="1460"/>
    <d v="2025-03-19T10:10:19"/>
    <d v="2025-03-19T10:13:41"/>
    <s v="jmakoza@lighthouse.org.mw"/>
    <s v="Jonathan Makoza"/>
    <x v="7"/>
    <s v="Prototype"/>
    <x v="2"/>
    <s v="COP_23"/>
    <s v="COP_24"/>
    <s v="Quarter1"/>
    <s v="Quarter2"/>
    <s v="Qtr_2"/>
    <x v="4"/>
    <d v="2025-01-01T00:00:00"/>
    <d v="2025-01-31T00:00:00"/>
    <x v="1"/>
    <x v="20"/>
    <n v="0"/>
    <n v="2"/>
    <n v="0"/>
    <n v="0"/>
    <n v="0"/>
    <n v="2"/>
    <n v="0"/>
    <n v="0"/>
    <n v="0"/>
    <n v="0"/>
    <n v="0"/>
    <n v="0"/>
    <n v="0"/>
    <n v="0"/>
    <n v="0"/>
    <n v="0"/>
    <n v="0"/>
    <n v="0"/>
    <n v="0"/>
    <n v="0"/>
    <n v="0"/>
  </r>
  <r>
    <n v="1461"/>
    <d v="2025-03-19T10:14:25"/>
    <d v="2025-03-19T10:16:50"/>
    <s v="jmakoza@lighthouse.org.mw"/>
    <s v="Jonathan Makoza"/>
    <x v="7"/>
    <s v="Prototype"/>
    <x v="2"/>
    <s v="COP_23"/>
    <s v="COP_24"/>
    <s v="Quarter1"/>
    <s v="Quarter2"/>
    <s v="Qtr_2"/>
    <x v="4"/>
    <d v="2025-01-01T00:00:00"/>
    <d v="2025-01-31T00:00:00"/>
    <x v="0"/>
    <x v="20"/>
    <n v="0"/>
    <n v="2"/>
    <n v="0"/>
    <n v="0"/>
    <n v="0"/>
    <n v="2"/>
    <n v="0"/>
    <n v="0"/>
    <n v="0"/>
    <n v="0"/>
    <n v="0"/>
    <n v="0"/>
    <n v="0"/>
    <n v="0"/>
    <n v="0"/>
    <n v="0"/>
    <n v="0"/>
    <n v="0"/>
    <n v="0"/>
    <n v="0"/>
    <n v="0"/>
  </r>
  <r>
    <n v="1462"/>
    <d v="2025-03-19T10:17:05"/>
    <d v="2025-03-19T10:22:29"/>
    <s v="jmakoza@lighthouse.org.mw"/>
    <s v="Jonathan Makoza"/>
    <x v="7"/>
    <s v="Prototype"/>
    <x v="2"/>
    <s v="COP_23"/>
    <s v="COP_24"/>
    <s v="Quarter1"/>
    <s v="Quarter2"/>
    <s v="Qtr_2"/>
    <x v="4"/>
    <d v="2025-01-01T00:00:00"/>
    <d v="2025-01-31T00:00:00"/>
    <x v="5"/>
    <x v="21"/>
    <n v="0"/>
    <n v="0"/>
    <n v="0"/>
    <n v="0"/>
    <n v="0"/>
    <n v="0"/>
    <n v="0"/>
    <n v="0"/>
    <n v="0"/>
    <n v="0"/>
    <n v="0"/>
    <n v="0"/>
    <n v="0"/>
    <n v="0"/>
    <n v="0"/>
    <n v="0"/>
    <n v="0"/>
    <n v="0"/>
    <n v="0"/>
    <n v="0"/>
    <n v="0"/>
  </r>
  <r>
    <n v="1517"/>
    <d v="2025-04-10T08:52:33"/>
    <d v="2025-04-10T09:20:42"/>
    <s v="jmakoza@lighthouse.org.mw"/>
    <s v="Jonathan Makoza"/>
    <x v="7"/>
    <s v="Prototype"/>
    <x v="2"/>
    <s v="COP_23"/>
    <s v="COP_24"/>
    <s v="Quarter1"/>
    <s v="Quarter2"/>
    <s v="Qtr_2"/>
    <x v="3"/>
    <d v="2025-03-01T00:00:00"/>
    <d v="2025-03-31T00:00:00"/>
    <x v="1"/>
    <x v="44"/>
    <n v="0"/>
    <n v="16"/>
    <n v="0"/>
    <n v="0"/>
    <n v="0"/>
    <n v="16"/>
    <n v="0"/>
    <n v="0"/>
    <n v="0"/>
    <n v="0"/>
    <n v="0"/>
    <n v="0"/>
    <n v="0"/>
    <n v="0"/>
    <n v="0"/>
    <n v="0"/>
    <n v="0"/>
    <n v="0"/>
    <n v="0"/>
    <n v="0"/>
    <n v="0"/>
  </r>
  <r>
    <n v="1518"/>
    <d v="2025-04-10T09:21:03"/>
    <d v="2025-04-10T09:23:32"/>
    <s v="jmakoza@lighthouse.org.mw"/>
    <s v="Jonathan Makoza"/>
    <x v="7"/>
    <s v="Prototype"/>
    <x v="2"/>
    <s v="COP_23"/>
    <s v="COP_24"/>
    <s v="Quarter1"/>
    <s v="Quarter2"/>
    <s v="Qtr_2"/>
    <x v="3"/>
    <d v="2025-03-01T00:00:00"/>
    <d v="2025-03-31T00:00:00"/>
    <x v="0"/>
    <x v="44"/>
    <n v="0"/>
    <n v="16"/>
    <n v="0"/>
    <n v="0"/>
    <n v="0"/>
    <n v="0"/>
    <n v="0"/>
    <n v="0"/>
    <n v="0"/>
    <n v="0"/>
    <n v="0"/>
    <n v="0"/>
    <n v="0"/>
    <n v="0"/>
    <n v="0"/>
    <n v="0"/>
    <n v="0"/>
    <n v="0"/>
    <n v="0"/>
    <n v="0"/>
    <n v="0"/>
  </r>
  <r>
    <n v="1519"/>
    <d v="2025-04-10T09:23:52"/>
    <d v="2025-04-10T09:26:44"/>
    <s v="jmakoza@lighthouse.org.mw"/>
    <s v="Jonathan Makoza"/>
    <x v="7"/>
    <s v="Prototype"/>
    <x v="2"/>
    <s v="COP_23"/>
    <s v="COP_24"/>
    <s v="Quarter1"/>
    <s v="Quarter2"/>
    <s v="Qtr_2"/>
    <x v="3"/>
    <d v="2025-03-01T00:00:00"/>
    <d v="2025-03-31T00:00:00"/>
    <x v="5"/>
    <x v="21"/>
    <n v="0"/>
    <n v="0"/>
    <n v="0"/>
    <n v="0"/>
    <n v="0"/>
    <n v="0"/>
    <n v="0"/>
    <n v="0"/>
    <n v="0"/>
    <n v="0"/>
    <n v="0"/>
    <n v="0"/>
    <n v="0"/>
    <n v="0"/>
    <n v="0"/>
    <n v="0"/>
    <n v="0"/>
    <n v="0"/>
    <n v="0"/>
    <n v="0"/>
    <n v="0"/>
  </r>
  <r>
    <n v="1686"/>
    <d v="2025-06-23T14:21:39"/>
    <d v="2025-06-23T14:39:17"/>
    <s v="tsatumba@lighthouse.org.mw"/>
    <s v="Thomas Satumba"/>
    <x v="7"/>
    <s v="Prototype"/>
    <x v="2"/>
    <s v="COP_23"/>
    <m/>
    <s v="Quarter3"/>
    <s v="Quarter3"/>
    <m/>
    <x v="7"/>
    <d v="2025-04-01T00:00:00"/>
    <d v="2025-04-30T00:00:00"/>
    <x v="1"/>
    <x v="25"/>
    <n v="0"/>
    <n v="9"/>
    <n v="0"/>
    <n v="0"/>
    <n v="0"/>
    <n v="9"/>
    <n v="0"/>
    <n v="0"/>
    <n v="0"/>
    <n v="0"/>
    <n v="0"/>
    <n v="0"/>
    <n v="0"/>
    <n v="0"/>
    <n v="0"/>
    <n v="0"/>
    <n v="0"/>
    <n v="0"/>
    <n v="0"/>
    <n v="0"/>
    <n v="0"/>
  </r>
  <r>
    <n v="1687"/>
    <d v="2025-06-23T14:39:22"/>
    <d v="2025-06-23T14:43:34"/>
    <s v="tsatumba@lighthouse.org.mw"/>
    <s v="Thomas Satumba"/>
    <x v="7"/>
    <s v="Prototype"/>
    <x v="2"/>
    <s v="COP_23"/>
    <m/>
    <s v="Quarter3"/>
    <s v="Quarter3"/>
    <m/>
    <x v="7"/>
    <d v="2025-04-01T00:00:00"/>
    <d v="2025-04-30T00:00:00"/>
    <x v="0"/>
    <x v="25"/>
    <n v="0"/>
    <n v="9"/>
    <n v="0"/>
    <n v="0"/>
    <n v="0"/>
    <n v="0"/>
    <n v="0"/>
    <n v="0"/>
    <n v="0"/>
    <n v="0"/>
    <n v="0"/>
    <n v="0"/>
    <n v="0"/>
    <n v="0"/>
    <n v="0"/>
    <n v="0"/>
    <n v="0"/>
    <n v="0"/>
    <n v="0"/>
    <n v="0"/>
    <n v="0"/>
  </r>
  <r>
    <n v="1688"/>
    <d v="2025-06-23T14:43:40"/>
    <d v="2025-06-23T14:45:57"/>
    <s v="tsatumba@lighthouse.org.mw"/>
    <s v="Thomas Satumba"/>
    <x v="7"/>
    <s v="Prototype"/>
    <x v="2"/>
    <s v="COP_23"/>
    <m/>
    <s v="Quarter3"/>
    <s v="Quarter3"/>
    <m/>
    <x v="7"/>
    <d v="2025-04-01T00:00:00"/>
    <d v="2025-04-30T00:00:00"/>
    <x v="5"/>
    <x v="21"/>
    <n v="0"/>
    <n v="0"/>
    <n v="0"/>
    <n v="0"/>
    <n v="0"/>
    <n v="0"/>
    <n v="0"/>
    <n v="0"/>
    <n v="0"/>
    <n v="0"/>
    <n v="0"/>
    <n v="0"/>
    <n v="0"/>
    <n v="0"/>
    <n v="0"/>
    <n v="0"/>
    <n v="0"/>
    <n v="0"/>
    <n v="0"/>
    <n v="0"/>
    <n v="0"/>
  </r>
  <r>
    <n v="1689"/>
    <d v="2025-06-23T14:46:05"/>
    <d v="2025-06-23T14:48:21"/>
    <s v="tsatumba@lighthouse.org.mw"/>
    <s v="Thomas Satumba"/>
    <x v="7"/>
    <s v="Prototype"/>
    <x v="2"/>
    <s v="COP_23"/>
    <m/>
    <s v="Quarter3"/>
    <s v="Quarter3"/>
    <m/>
    <x v="6"/>
    <d v="2025-05-01T00:00:00"/>
    <d v="2025-05-31T00:00:00"/>
    <x v="1"/>
    <x v="33"/>
    <n v="0"/>
    <n v="4"/>
    <n v="0"/>
    <n v="0"/>
    <n v="0"/>
    <n v="0"/>
    <n v="0"/>
    <n v="0"/>
    <n v="0"/>
    <n v="0"/>
    <n v="0"/>
    <n v="0"/>
    <n v="0"/>
    <n v="0"/>
    <n v="0"/>
    <n v="0"/>
    <n v="0"/>
    <n v="0"/>
    <n v="0"/>
    <n v="0"/>
    <n v="0"/>
  </r>
  <r>
    <n v="1690"/>
    <d v="2025-06-23T14:49:47"/>
    <d v="2025-06-23T14:52:23"/>
    <s v="tsatumba@lighthouse.org.mw"/>
    <s v="Thomas Satumba"/>
    <x v="7"/>
    <s v="Prototype"/>
    <x v="2"/>
    <s v="COP_23"/>
    <m/>
    <s v="Quarter3"/>
    <s v="Quarter3"/>
    <m/>
    <x v="6"/>
    <d v="2025-05-01T00:00:00"/>
    <d v="2025-05-31T00:00:00"/>
    <x v="0"/>
    <x v="33"/>
    <n v="0"/>
    <n v="4"/>
    <n v="0"/>
    <n v="0"/>
    <n v="0"/>
    <n v="0"/>
    <n v="0"/>
    <n v="0"/>
    <n v="0"/>
    <n v="0"/>
    <n v="0"/>
    <n v="0"/>
    <n v="0"/>
    <n v="0"/>
    <n v="0"/>
    <n v="0"/>
    <n v="0"/>
    <n v="0"/>
    <n v="0"/>
    <n v="0"/>
    <n v="0"/>
  </r>
  <r>
    <n v="1691"/>
    <d v="2025-06-23T14:52:30"/>
    <d v="2025-06-23T14:54:52"/>
    <s v="tsatumba@lighthouse.org.mw"/>
    <s v="Thomas Satumba"/>
    <x v="7"/>
    <s v="Prototype"/>
    <x v="2"/>
    <s v="COP_23"/>
    <m/>
    <s v="Quarter3"/>
    <s v="Quarter3"/>
    <m/>
    <x v="6"/>
    <d v="2025-05-01T00:00:00"/>
    <d v="2025-05-31T00:00:00"/>
    <x v="5"/>
    <x v="21"/>
    <n v="0"/>
    <n v="0"/>
    <n v="0"/>
    <n v="0"/>
    <n v="0"/>
    <n v="0"/>
    <n v="0"/>
    <n v="0"/>
    <n v="0"/>
    <n v="0"/>
    <n v="0"/>
    <n v="0"/>
    <n v="0"/>
    <n v="0"/>
    <n v="0"/>
    <n v="0"/>
    <n v="0"/>
    <n v="0"/>
    <n v="0"/>
    <n v="0"/>
    <n v="0"/>
  </r>
  <r>
    <n v="1786"/>
    <d v="2025-07-10T13:14:45"/>
    <d v="2025-07-10T13:17:19"/>
    <s v="jmakoza@lighthouse.org.mw"/>
    <s v="Jonathan Makoza"/>
    <x v="7"/>
    <s v="Prototype"/>
    <x v="2"/>
    <s v="COP_23"/>
    <m/>
    <s v="Quarter2"/>
    <s v="Quarter3"/>
    <m/>
    <x v="8"/>
    <d v="2025-06-01T00:00:00"/>
    <d v="2025-06-30T00:00:00"/>
    <x v="0"/>
    <x v="54"/>
    <n v="0"/>
    <n v="5"/>
    <n v="0"/>
    <n v="0"/>
    <n v="0"/>
    <n v="5"/>
    <n v="0"/>
    <n v="0"/>
    <n v="0"/>
    <n v="0"/>
    <n v="0"/>
    <n v="0"/>
    <n v="0"/>
    <n v="0"/>
    <n v="0"/>
    <n v="0"/>
    <n v="0"/>
    <n v="0"/>
    <n v="0"/>
    <n v="0"/>
    <n v="0"/>
  </r>
  <r>
    <n v="1787"/>
    <d v="2025-07-10T13:17:22"/>
    <d v="2025-07-10T13:19:08"/>
    <s v="jmakoza@lighthouse.org.mw"/>
    <s v="Jonathan Makoza"/>
    <x v="7"/>
    <s v="Prototype"/>
    <x v="2"/>
    <s v="COP_23"/>
    <m/>
    <s v="Quarter2"/>
    <s v="Quarter3"/>
    <m/>
    <x v="8"/>
    <d v="2025-06-01T00:00:00"/>
    <d v="2025-06-30T00:00:00"/>
    <x v="1"/>
    <x v="54"/>
    <n v="0"/>
    <n v="5"/>
    <n v="0"/>
    <n v="0"/>
    <n v="0"/>
    <n v="0"/>
    <n v="0"/>
    <n v="0"/>
    <n v="0"/>
    <n v="0"/>
    <n v="0"/>
    <n v="0"/>
    <n v="0"/>
    <n v="0"/>
    <n v="0"/>
    <n v="0"/>
    <n v="0"/>
    <n v="0"/>
    <n v="0"/>
    <n v="0"/>
    <n v="0"/>
  </r>
  <r>
    <n v="1788"/>
    <d v="2025-07-10T13:19:16"/>
    <d v="2025-07-10T13:26:09"/>
    <s v="jmakoza@lighthouse.org.mw"/>
    <s v="Jonathan Makoza"/>
    <x v="7"/>
    <s v="Prototype"/>
    <x v="2"/>
    <s v="COP_23"/>
    <m/>
    <s v="Quarter2"/>
    <s v="Quarter3"/>
    <m/>
    <x v="8"/>
    <d v="2025-06-01T00:00:00"/>
    <d v="2025-06-30T00:00:00"/>
    <x v="5"/>
    <x v="21"/>
    <n v="0"/>
    <n v="0"/>
    <n v="0"/>
    <n v="0"/>
    <n v="0"/>
    <n v="0"/>
    <n v="0"/>
    <n v="0"/>
    <n v="0"/>
    <n v="0"/>
    <n v="0"/>
    <n v="0"/>
    <n v="0"/>
    <n v="0"/>
    <n v="0"/>
    <n v="0"/>
    <n v="0"/>
    <n v="0"/>
    <n v="0"/>
    <n v="0"/>
    <n v="0"/>
  </r>
  <r>
    <n v="46"/>
    <d v="2023-12-20T11:29:19"/>
    <d v="2023-12-20T11:47:10"/>
    <s v="mchirwa@lighthouse.org.mw"/>
    <s v="Margaret Chirwa"/>
    <x v="8"/>
    <s v="Prototype"/>
    <x v="0"/>
    <s v="COP_23"/>
    <s v="COP_22"/>
    <s v="Quarter3"/>
    <s v="Quarter4"/>
    <s v="Qtr_4"/>
    <x v="2"/>
    <d v="2023-09-01T00:00:00"/>
    <d v="2023-09-30T00:00:00"/>
    <x v="0"/>
    <x v="62"/>
    <n v="3"/>
    <n v="20"/>
    <n v="2"/>
    <n v="3"/>
    <n v="3"/>
    <n v="27"/>
    <n v="6"/>
    <n v="6"/>
    <n v="0"/>
    <n v="2"/>
    <n v="0"/>
    <n v="7"/>
    <n v="0"/>
    <n v="2"/>
    <n v="0"/>
    <n v="1"/>
    <n v="1"/>
    <n v="1"/>
    <n v="0"/>
    <n v="0"/>
    <n v="0"/>
  </r>
  <r>
    <n v="47"/>
    <d v="2023-12-20T11:47:48"/>
    <d v="2023-12-20T11:52:51"/>
    <s v="mchirwa@lighthouse.org.mw"/>
    <s v="Margaret Chirwa"/>
    <x v="8"/>
    <s v="Prototype"/>
    <x v="0"/>
    <s v="COP_23"/>
    <s v="COP_23"/>
    <s v="Quarter4"/>
    <s v="Quarter1"/>
    <s v="Qtr_1"/>
    <x v="0"/>
    <d v="2023-10-01T00:00:00"/>
    <d v="2023-10-31T00:00:00"/>
    <x v="0"/>
    <x v="9"/>
    <n v="2"/>
    <n v="19"/>
    <n v="2"/>
    <n v="2"/>
    <n v="2"/>
    <n v="22"/>
    <n v="5"/>
    <n v="5"/>
    <n v="0"/>
    <n v="0"/>
    <n v="0"/>
    <n v="2"/>
    <n v="1"/>
    <n v="1"/>
    <n v="1"/>
    <n v="1"/>
    <n v="1"/>
    <n v="1"/>
    <n v="1"/>
    <n v="3"/>
    <n v="0"/>
  </r>
  <r>
    <n v="50"/>
    <d v="2023-12-20T11:52:58"/>
    <d v="2023-12-20T11:58:07"/>
    <s v="mchirwa@lighthouse.org.mw"/>
    <s v="Margaret Chirwa"/>
    <x v="8"/>
    <s v="Prototype"/>
    <x v="0"/>
    <s v="COP_23"/>
    <s v="COP_23"/>
    <s v="Quarter4"/>
    <s v="Quarter1"/>
    <s v="Qtr_1"/>
    <x v="1"/>
    <d v="2023-11-01T00:00:00"/>
    <d v="2023-11-30T00:00:00"/>
    <x v="0"/>
    <x v="59"/>
    <n v="3"/>
    <n v="19"/>
    <n v="2"/>
    <n v="3"/>
    <n v="1"/>
    <n v="23"/>
    <n v="2"/>
    <n v="3"/>
    <n v="0"/>
    <n v="0"/>
    <n v="0"/>
    <n v="1"/>
    <n v="0"/>
    <n v="0"/>
    <n v="0"/>
    <n v="0"/>
    <n v="0"/>
    <n v="4"/>
    <n v="0"/>
    <n v="0"/>
    <n v="0"/>
  </r>
  <r>
    <n v="108"/>
    <d v="2024-01-19T15:42:26"/>
    <d v="2024-01-19T15:46:15"/>
    <s v="mmsiska@lighthouse.org.mw"/>
    <s v="Michael Msiska"/>
    <x v="8"/>
    <s v="Prototype"/>
    <x v="0"/>
    <s v="COP_23"/>
    <s v="COP_23"/>
    <s v="Quarter4"/>
    <s v="Quarter1"/>
    <s v="Qtr_1"/>
    <x v="11"/>
    <d v="2023-12-01T00:00:00"/>
    <d v="2023-12-31T00:00:00"/>
    <x v="0"/>
    <x v="61"/>
    <n v="4"/>
    <n v="9"/>
    <n v="6"/>
    <n v="4"/>
    <n v="0"/>
    <n v="19"/>
    <n v="5"/>
    <n v="5"/>
    <n v="0"/>
    <n v="0"/>
    <n v="0"/>
    <n v="1"/>
    <n v="0"/>
    <n v="0"/>
    <n v="0"/>
    <n v="3"/>
    <n v="2"/>
    <n v="2"/>
    <n v="0"/>
    <n v="2"/>
    <n v="0"/>
  </r>
  <r>
    <n v="317"/>
    <d v="2024-04-29T12:19:58"/>
    <d v="2024-04-29T12:40:47"/>
    <s v="dchirwa@lighthouse.org.mw"/>
    <s v="davis chirwa"/>
    <x v="8"/>
    <s v="Prototype"/>
    <x v="1"/>
    <s v="COP_23"/>
    <s v="COP_23"/>
    <s v="Quarter1"/>
    <s v="Quarter2"/>
    <s v="Qtr_2"/>
    <x v="5"/>
    <d v="2024-02-01T00:00:00"/>
    <d v="2024-02-29T00:00:00"/>
    <x v="0"/>
    <x v="50"/>
    <n v="3"/>
    <n v="29"/>
    <n v="8"/>
    <n v="8"/>
    <n v="1"/>
    <n v="45"/>
    <n v="8"/>
    <n v="8"/>
    <n v="0"/>
    <n v="0"/>
    <n v="0"/>
    <n v="0"/>
    <n v="0"/>
    <n v="0"/>
    <n v="0"/>
    <n v="1"/>
    <n v="1"/>
    <n v="4"/>
    <n v="0"/>
    <n v="1"/>
    <n v="0"/>
  </r>
  <r>
    <n v="318"/>
    <d v="2024-04-29T12:41:00"/>
    <d v="2024-04-29T12:49:52"/>
    <s v="dchirwa@lighthouse.org.mw"/>
    <s v="davis chirwa"/>
    <x v="8"/>
    <s v="Prototype"/>
    <x v="1"/>
    <s v="COP_23"/>
    <s v="COP_23"/>
    <s v="Quarter1"/>
    <s v="Quarter2"/>
    <s v="Qtr_2"/>
    <x v="3"/>
    <d v="2024-03-01T00:00:00"/>
    <d v="2024-03-31T00:00:00"/>
    <x v="0"/>
    <x v="2"/>
    <n v="30"/>
    <n v="22"/>
    <n v="4"/>
    <n v="4"/>
    <n v="0"/>
    <n v="29"/>
    <n v="10"/>
    <n v="0"/>
    <n v="0"/>
    <n v="0"/>
    <n v="0"/>
    <n v="0"/>
    <n v="0"/>
    <n v="0"/>
    <n v="0"/>
    <n v="2"/>
    <n v="0"/>
    <n v="3"/>
    <n v="1"/>
    <n v="0"/>
    <n v="0"/>
  </r>
  <r>
    <n v="472"/>
    <d v="2024-06-04T09:54:37"/>
    <d v="2024-06-04T10:07:32"/>
    <s v="dchirwa@lighthouse.org.mw"/>
    <s v="davis chirwa"/>
    <x v="8"/>
    <s v="Prototype"/>
    <x v="1"/>
    <s v="COP_23"/>
    <s v="COP_23"/>
    <s v="Quarter2"/>
    <s v="Quarter3"/>
    <s v="Qtr_3"/>
    <x v="7"/>
    <d v="2024-04-01T00:00:00"/>
    <d v="2024-04-30T00:00:00"/>
    <x v="0"/>
    <x v="34"/>
    <n v="3"/>
    <n v="16"/>
    <n v="4"/>
    <n v="5"/>
    <n v="4"/>
    <n v="27"/>
    <n v="7"/>
    <n v="6"/>
    <n v="0"/>
    <n v="0"/>
    <n v="0"/>
    <n v="0"/>
    <n v="0"/>
    <n v="0"/>
    <n v="0"/>
    <n v="3"/>
    <n v="0"/>
    <n v="4"/>
    <n v="0"/>
    <n v="0"/>
    <n v="0"/>
  </r>
  <r>
    <n v="502"/>
    <d v="2024-06-06T09:33:53"/>
    <d v="2024-06-06T09:36:20"/>
    <s v="dchirwa@lighthouse.org.mw"/>
    <s v="davis chirwa"/>
    <x v="8"/>
    <s v="Prototype"/>
    <x v="1"/>
    <s v="COP_23"/>
    <s v="COP_23"/>
    <s v="Quarter1"/>
    <s v="Quarter2"/>
    <s v="Qtr_2"/>
    <x v="3"/>
    <d v="2024-03-01T00:00:00"/>
    <d v="2024-03-31T00:00:00"/>
    <x v="3"/>
    <x v="21"/>
    <n v="0"/>
    <n v="0"/>
    <n v="0"/>
    <n v="0"/>
    <n v="0"/>
    <n v="0"/>
    <n v="0"/>
    <n v="0"/>
    <n v="0"/>
    <n v="0"/>
    <n v="0"/>
    <n v="0"/>
    <n v="0"/>
    <n v="0"/>
    <n v="0"/>
    <n v="0"/>
    <n v="0"/>
    <n v="0"/>
    <n v="0"/>
    <n v="0"/>
    <n v="0"/>
  </r>
  <r>
    <n v="504"/>
    <d v="2024-06-06T09:36:30"/>
    <d v="2024-06-06T09:43:34"/>
    <s v="dchirwa@lighthouse.org.mw"/>
    <s v="davis chirwa"/>
    <x v="8"/>
    <s v="Prototype"/>
    <x v="1"/>
    <s v="COP_23"/>
    <s v="COP_23"/>
    <s v="Quarter1"/>
    <s v="Quarter2"/>
    <s v="Qtr_2"/>
    <x v="3"/>
    <d v="2024-03-01T00:00:00"/>
    <d v="2024-03-31T00:00:00"/>
    <x v="4"/>
    <x v="18"/>
    <n v="1"/>
    <n v="0"/>
    <n v="1"/>
    <n v="0"/>
    <n v="0"/>
    <n v="1"/>
    <n v="0"/>
    <n v="0"/>
    <n v="0"/>
    <n v="0"/>
    <n v="0"/>
    <n v="0"/>
    <n v="0"/>
    <n v="0"/>
    <n v="0"/>
    <n v="0"/>
    <n v="0"/>
    <n v="0"/>
    <n v="0"/>
    <n v="0"/>
    <n v="0"/>
  </r>
  <r>
    <n v="506"/>
    <d v="2024-06-06T10:09:44"/>
    <d v="2024-06-06T10:15:05"/>
    <s v="dchirwa@lighthouse.org.mw"/>
    <s v="davis chirwa"/>
    <x v="8"/>
    <s v="Prototype"/>
    <x v="1"/>
    <s v="COP_23"/>
    <s v="COP_23"/>
    <s v="Quarter1"/>
    <s v="Quarter2"/>
    <s v="Qtr_2"/>
    <x v="3"/>
    <d v="2024-03-01T00:00:00"/>
    <d v="2024-03-31T00:00:00"/>
    <x v="5"/>
    <x v="21"/>
    <n v="0"/>
    <n v="0"/>
    <n v="0"/>
    <n v="0"/>
    <n v="0"/>
    <n v="0"/>
    <n v="0"/>
    <n v="0"/>
    <n v="0"/>
    <n v="0"/>
    <n v="0"/>
    <n v="0"/>
    <n v="0"/>
    <n v="0"/>
    <n v="0"/>
    <n v="0"/>
    <n v="0"/>
    <n v="0"/>
    <n v="0"/>
    <n v="0"/>
    <n v="0"/>
  </r>
  <r>
    <n v="508"/>
    <d v="2024-06-06T10:42:28"/>
    <d v="2024-06-06T11:26:58"/>
    <s v="dchirwa@lighthouse.org.mw"/>
    <s v="davis chirwa"/>
    <x v="8"/>
    <s v="Prototype"/>
    <x v="1"/>
    <s v="COP_23"/>
    <s v="COP_23"/>
    <s v="Quarter2"/>
    <s v="Quarter3"/>
    <s v="Qtr_3"/>
    <x v="6"/>
    <d v="2024-05-01T00:00:00"/>
    <d v="2024-05-31T00:00:00"/>
    <x v="0"/>
    <x v="34"/>
    <n v="0"/>
    <n v="22"/>
    <n v="4"/>
    <n v="2"/>
    <n v="1"/>
    <n v="26"/>
    <n v="6"/>
    <n v="7"/>
    <n v="0"/>
    <n v="0"/>
    <n v="0"/>
    <n v="0"/>
    <n v="0"/>
    <n v="0"/>
    <n v="0"/>
    <n v="1"/>
    <n v="0"/>
    <n v="1"/>
    <n v="0"/>
    <n v="0"/>
    <n v="0"/>
  </r>
  <r>
    <n v="512"/>
    <d v="2024-06-06T11:44:04"/>
    <d v="2024-06-06T11:44:44"/>
    <s v="dchirwa@lighthouse.org.mw"/>
    <s v="davis chirwa"/>
    <x v="8"/>
    <s v="Prototype"/>
    <x v="1"/>
    <s v="COP_23"/>
    <s v="COP_23"/>
    <s v="Quarter2"/>
    <s v="Quarter3"/>
    <s v="Qtr_3"/>
    <x v="6"/>
    <d v="2024-05-01T00:00:00"/>
    <d v="2024-05-31T00:00:00"/>
    <x v="5"/>
    <x v="33"/>
    <n v="0"/>
    <n v="4"/>
    <n v="0"/>
    <n v="0"/>
    <n v="0"/>
    <n v="3"/>
    <n v="0"/>
    <n v="0"/>
    <n v="0"/>
    <n v="0"/>
    <n v="0"/>
    <n v="0"/>
    <n v="0"/>
    <n v="0"/>
    <n v="0"/>
    <n v="0"/>
    <n v="0"/>
    <n v="0"/>
    <n v="0"/>
    <n v="0"/>
    <n v="0"/>
  </r>
  <r>
    <n v="531"/>
    <d v="2024-06-10T10:56:12"/>
    <d v="2024-06-10T10:56:33"/>
    <s v="dchirwa@lighthouse.org.mw"/>
    <s v="davis chirwa"/>
    <x v="8"/>
    <s v="Prototype"/>
    <x v="1"/>
    <s v="COP_23"/>
    <s v="COP_23"/>
    <s v="Quarter1"/>
    <s v="Quarter2"/>
    <s v="Qtr_2"/>
    <x v="5"/>
    <d v="2024-02-01T00:00:00"/>
    <d v="2024-02-29T00:00:00"/>
    <x v="3"/>
    <x v="18"/>
    <n v="0"/>
    <n v="0"/>
    <n v="1"/>
    <n v="0"/>
    <n v="0"/>
    <n v="1"/>
    <n v="0"/>
    <n v="0"/>
    <n v="0"/>
    <n v="0"/>
    <n v="0"/>
    <n v="0"/>
    <n v="0"/>
    <n v="0"/>
    <n v="0"/>
    <n v="0"/>
    <n v="0"/>
    <n v="0"/>
    <n v="0"/>
    <n v="0"/>
    <n v="0"/>
  </r>
  <r>
    <n v="532"/>
    <d v="2024-06-10T10:56:39"/>
    <d v="2024-06-10T11:02:30"/>
    <s v="dchirwa@lighthouse.org.mw"/>
    <s v="davis chirwa"/>
    <x v="8"/>
    <s v="Prototype"/>
    <x v="1"/>
    <s v="COP_23"/>
    <s v="COP_23"/>
    <s v="Quarter1"/>
    <s v="Quarter2"/>
    <s v="Qtr_2"/>
    <x v="5"/>
    <d v="2024-02-01T00:00:00"/>
    <d v="2024-02-29T00:00:00"/>
    <x v="4"/>
    <x v="20"/>
    <n v="1"/>
    <n v="0"/>
    <n v="1"/>
    <n v="1"/>
    <n v="0"/>
    <n v="2"/>
    <n v="0"/>
    <n v="0"/>
    <n v="0"/>
    <n v="0"/>
    <n v="0"/>
    <n v="0"/>
    <n v="0"/>
    <n v="0"/>
    <n v="0"/>
    <n v="0"/>
    <n v="0"/>
    <n v="0"/>
    <n v="0"/>
    <n v="0"/>
    <n v="0"/>
  </r>
  <r>
    <n v="533"/>
    <d v="2024-06-10T11:02:35"/>
    <d v="2024-06-10T11:13:34"/>
    <s v="dchirwa@lighthouse.org.mw"/>
    <s v="davis chirwa"/>
    <x v="8"/>
    <s v="Prototype"/>
    <x v="1"/>
    <s v="COP_23"/>
    <s v="COP_23"/>
    <s v="Quarter1"/>
    <s v="Quarter2"/>
    <s v="Qtr_2"/>
    <x v="5"/>
    <d v="2024-02-01T00:00:00"/>
    <d v="2024-02-29T00:00:00"/>
    <x v="5"/>
    <x v="18"/>
    <n v="0"/>
    <n v="0"/>
    <n v="1"/>
    <n v="0"/>
    <n v="0"/>
    <n v="1"/>
    <n v="0"/>
    <n v="0"/>
    <n v="0"/>
    <n v="0"/>
    <n v="0"/>
    <n v="0"/>
    <n v="0"/>
    <n v="0"/>
    <n v="0"/>
    <n v="0"/>
    <n v="0"/>
    <n v="0"/>
    <n v="0"/>
    <n v="0"/>
    <n v="0"/>
  </r>
  <r>
    <n v="536"/>
    <d v="2024-06-10T14:14:36"/>
    <d v="2024-06-10T14:14:57"/>
    <s v="dchirwa@lighthouse.org.mw"/>
    <s v="davis chirwa"/>
    <x v="8"/>
    <s v="Prototype"/>
    <x v="1"/>
    <s v="COP_23"/>
    <s v="COP_23"/>
    <s v="Quarter1"/>
    <s v="Quarter2"/>
    <s v="Qtr_2"/>
    <x v="4"/>
    <d v="2024-01-01T00:00:00"/>
    <d v="2024-01-31T00:00:00"/>
    <x v="0"/>
    <x v="59"/>
    <n v="3"/>
    <n v="18"/>
    <n v="0"/>
    <n v="7"/>
    <n v="1"/>
    <n v="1"/>
    <n v="0"/>
    <n v="10"/>
    <n v="0"/>
    <n v="0"/>
    <n v="0"/>
    <n v="1"/>
    <n v="0"/>
    <n v="0"/>
    <n v="0"/>
    <n v="4"/>
    <n v="0"/>
    <n v="0"/>
    <n v="0"/>
    <n v="0"/>
    <n v="0"/>
  </r>
  <r>
    <n v="538"/>
    <d v="2024-06-10T14:21:55"/>
    <d v="2024-06-10T14:28:30"/>
    <s v="dchirwa@lighthouse.org.mw"/>
    <s v="davis chirwa"/>
    <x v="8"/>
    <s v="Prototype"/>
    <x v="1"/>
    <s v="COP_23"/>
    <s v="COP_23"/>
    <s v="Quarter1"/>
    <s v="Quarter2"/>
    <s v="Qtr_2"/>
    <x v="4"/>
    <d v="2024-01-01T00:00:00"/>
    <d v="2024-01-31T00:00:00"/>
    <x v="3"/>
    <x v="18"/>
    <n v="1"/>
    <n v="0"/>
    <n v="0"/>
    <n v="1"/>
    <n v="0"/>
    <n v="1"/>
    <n v="0"/>
    <n v="0"/>
    <n v="0"/>
    <n v="0"/>
    <n v="0"/>
    <n v="0"/>
    <n v="0"/>
    <n v="0"/>
    <n v="0"/>
    <n v="1"/>
    <n v="0"/>
    <n v="0"/>
    <n v="0"/>
    <n v="0"/>
    <n v="0"/>
  </r>
  <r>
    <n v="539"/>
    <d v="2024-06-10T14:28:36"/>
    <d v="2024-06-10T14:36:18"/>
    <s v="dchirwa@lighthouse.org.mw"/>
    <s v="davis chirwa"/>
    <x v="8"/>
    <s v="Prototype"/>
    <x v="1"/>
    <s v="COP_23"/>
    <s v="COP_23"/>
    <s v="Quarter1"/>
    <s v="Quarter2"/>
    <s v="Qtr_2"/>
    <x v="4"/>
    <d v="2024-01-01T00:00:00"/>
    <d v="2024-01-31T00:00:00"/>
    <x v="5"/>
    <x v="18"/>
    <n v="1"/>
    <n v="0"/>
    <n v="0"/>
    <n v="1"/>
    <n v="0"/>
    <n v="1"/>
    <n v="1"/>
    <n v="1"/>
    <n v="0"/>
    <n v="0"/>
    <n v="0"/>
    <n v="0"/>
    <n v="0"/>
    <n v="0"/>
    <n v="0"/>
    <n v="1"/>
    <n v="0"/>
    <n v="0"/>
    <n v="0"/>
    <n v="0"/>
    <n v="0"/>
  </r>
  <r>
    <n v="540"/>
    <d v="2024-06-10T14:36:24"/>
    <d v="2024-06-10T14:39:47"/>
    <s v="dchirwa@lighthouse.org.mw"/>
    <s v="davis chirwa"/>
    <x v="8"/>
    <s v="Prototype"/>
    <x v="1"/>
    <s v="COP_23"/>
    <s v="COP_23"/>
    <s v="Quarter1"/>
    <s v="Quarter2"/>
    <s v="Qtr_2"/>
    <x v="4"/>
    <d v="2024-01-01T00:00:00"/>
    <d v="2024-01-31T00:00:00"/>
    <x v="4"/>
    <x v="21"/>
    <n v="0"/>
    <n v="0"/>
    <n v="0"/>
    <n v="0"/>
    <n v="0"/>
    <n v="0"/>
    <n v="0"/>
    <n v="0"/>
    <n v="0"/>
    <n v="0"/>
    <n v="0"/>
    <n v="0"/>
    <n v="0"/>
    <n v="0"/>
    <n v="0"/>
    <n v="0"/>
    <n v="0"/>
    <n v="0"/>
    <n v="0"/>
    <n v="0"/>
    <n v="0"/>
  </r>
  <r>
    <n v="501"/>
    <d v="2024-06-06T09:27:04"/>
    <d v="2024-06-06T09:33:48"/>
    <s v="dchirwa@lighthouse.org.mw"/>
    <s v="davis chirwa"/>
    <x v="8"/>
    <s v="Prototype"/>
    <x v="1"/>
    <s v="COP_23"/>
    <s v="COP_23"/>
    <s v="Quarter1"/>
    <s v="Quarter2"/>
    <s v="Qtr_2"/>
    <x v="3"/>
    <d v="2024-03-01T00:00:00"/>
    <d v="2024-03-31T00:00:00"/>
    <x v="1"/>
    <x v="62"/>
    <n v="1"/>
    <n v="22"/>
    <n v="1"/>
    <n v="4"/>
    <n v="0"/>
    <n v="26"/>
    <n v="11"/>
    <n v="9"/>
    <n v="0"/>
    <n v="0"/>
    <n v="0"/>
    <n v="0"/>
    <n v="0"/>
    <n v="0"/>
    <n v="0"/>
    <n v="2"/>
    <n v="0"/>
    <n v="4"/>
    <n v="1"/>
    <n v="0"/>
    <n v="0"/>
  </r>
  <r>
    <n v="530"/>
    <d v="2024-06-10T10:17:20"/>
    <d v="2024-06-10T10:23:13"/>
    <s v="dchirwa@lighthouse.org.mw"/>
    <s v="davis chirwa"/>
    <x v="8"/>
    <s v="Prototype"/>
    <x v="1"/>
    <s v="COP_23"/>
    <s v="COP_23"/>
    <s v="Quarter1"/>
    <s v="Quarter2"/>
    <s v="Qtr_2"/>
    <x v="5"/>
    <d v="2024-02-01T00:00:00"/>
    <d v="2024-02-29T00:00:00"/>
    <x v="1"/>
    <x v="64"/>
    <n v="1"/>
    <n v="26"/>
    <n v="5"/>
    <n v="7"/>
    <n v="1"/>
    <n v="39"/>
    <n v="7"/>
    <n v="7"/>
    <n v="0"/>
    <n v="0"/>
    <n v="0"/>
    <n v="0"/>
    <n v="0"/>
    <n v="0"/>
    <n v="0"/>
    <n v="0"/>
    <n v="0"/>
    <n v="3"/>
    <n v="0"/>
    <n v="0"/>
    <n v="0"/>
  </r>
  <r>
    <n v="537"/>
    <d v="2024-06-10T14:15:04"/>
    <d v="2024-06-10T14:21:49"/>
    <s v="dchirwa@lighthouse.org.mw"/>
    <s v="davis chirwa"/>
    <x v="8"/>
    <s v="Prototype"/>
    <x v="1"/>
    <s v="COP_23"/>
    <s v="COP_23"/>
    <s v="Quarter1"/>
    <s v="Quarter2"/>
    <s v="Qtr_2"/>
    <x v="4"/>
    <d v="2024-01-01T00:00:00"/>
    <d v="2024-01-31T00:00:00"/>
    <x v="1"/>
    <x v="52"/>
    <n v="2"/>
    <n v="18"/>
    <n v="0"/>
    <n v="5"/>
    <n v="1"/>
    <n v="22"/>
    <n v="8"/>
    <n v="8"/>
    <n v="0"/>
    <n v="0"/>
    <n v="0"/>
    <n v="0"/>
    <n v="0"/>
    <n v="0"/>
    <n v="0"/>
    <n v="0"/>
    <n v="0"/>
    <n v="0"/>
    <n v="0"/>
    <n v="0"/>
    <n v="0"/>
  </r>
  <r>
    <n v="662"/>
    <d v="2024-07-29T16:12:30"/>
    <d v="2024-07-29T16:20:50"/>
    <s v="dchirwa@lighthouse.org.mw"/>
    <s v="davis chirwa"/>
    <x v="8"/>
    <s v="Prototype"/>
    <x v="1"/>
    <s v="COP_23"/>
    <s v="COP_23"/>
    <s v="Quarter2"/>
    <s v="Quarter3"/>
    <s v="Qtr_3"/>
    <x v="7"/>
    <d v="2024-04-01T00:00:00"/>
    <d v="2024-04-30T00:00:00"/>
    <x v="1"/>
    <x v="17"/>
    <n v="3"/>
    <n v="12"/>
    <n v="2"/>
    <n v="5"/>
    <n v="4"/>
    <n v="21"/>
    <n v="5"/>
    <n v="4"/>
    <n v="0"/>
    <n v="0"/>
    <n v="0"/>
    <n v="0"/>
    <n v="0"/>
    <n v="0"/>
    <n v="0"/>
    <n v="3"/>
    <n v="0"/>
    <n v="3"/>
    <n v="0"/>
    <n v="0"/>
    <n v="0"/>
  </r>
  <r>
    <n v="668"/>
    <d v="2024-07-30T11:43:44"/>
    <d v="2024-07-30T11:44:06"/>
    <s v="dchirwa@lighthouse.org.mw"/>
    <s v="davis chirwa"/>
    <x v="8"/>
    <s v="Prototype"/>
    <x v="1"/>
    <s v="COP_23"/>
    <s v="COP_23"/>
    <s v="Quarter2"/>
    <s v="Quarter3"/>
    <s v="Qtr_3"/>
    <x v="6"/>
    <d v="2024-05-01T00:00:00"/>
    <d v="2024-05-31T00:00:00"/>
    <x v="1"/>
    <x v="17"/>
    <n v="0"/>
    <n v="17"/>
    <n v="3"/>
    <n v="2"/>
    <n v="1"/>
    <n v="21"/>
    <n v="5"/>
    <n v="5"/>
    <n v="0"/>
    <n v="0"/>
    <n v="0"/>
    <n v="0"/>
    <n v="0"/>
    <n v="0"/>
    <n v="0"/>
    <n v="1"/>
    <n v="0"/>
    <n v="0"/>
    <n v="0"/>
    <n v="0"/>
    <n v="0"/>
  </r>
  <r>
    <n v="678"/>
    <d v="2024-07-30T15:05:35"/>
    <d v="2024-07-30T15:12:14"/>
    <s v="dchirwa@lighthouse.org.mw"/>
    <s v="davis chirwa"/>
    <x v="8"/>
    <s v="Prototype"/>
    <x v="1"/>
    <s v="COP_23"/>
    <s v="COP_23"/>
    <s v="Quarter2"/>
    <s v="Quarter3"/>
    <s v="Qtr_3"/>
    <x v="8"/>
    <d v="2024-06-01T00:00:00"/>
    <d v="2024-06-30T00:00:00"/>
    <x v="1"/>
    <x v="29"/>
    <n v="1"/>
    <n v="7"/>
    <n v="3"/>
    <n v="1"/>
    <n v="0"/>
    <n v="5"/>
    <n v="1"/>
    <n v="1"/>
    <n v="0"/>
    <n v="0"/>
    <n v="0"/>
    <n v="0"/>
    <n v="0"/>
    <n v="1"/>
    <n v="1"/>
    <n v="1"/>
    <n v="1"/>
    <n v="0"/>
    <n v="0"/>
    <n v="1"/>
    <n v="0"/>
  </r>
  <r>
    <n v="505"/>
    <d v="2024-06-06T09:43:41"/>
    <d v="2024-06-06T10:09:33"/>
    <s v="dchirwa@lighthouse.org.mw"/>
    <s v="davis chirwa"/>
    <x v="8"/>
    <s v="Prototype"/>
    <x v="1"/>
    <s v="COP_23"/>
    <s v="COP_23"/>
    <s v="Quarter1"/>
    <s v="Quarter2"/>
    <s v="Qtr_2"/>
    <x v="3"/>
    <d v="2024-03-01T00:00:00"/>
    <d v="2024-03-31T00:00:00"/>
    <x v="2"/>
    <x v="18"/>
    <n v="0"/>
    <n v="0"/>
    <n v="1"/>
    <n v="0"/>
    <n v="0"/>
    <n v="1"/>
    <n v="1"/>
    <n v="0"/>
    <n v="0"/>
    <n v="0"/>
    <n v="0"/>
    <n v="0"/>
    <n v="0"/>
    <n v="0"/>
    <n v="0"/>
    <n v="0"/>
    <n v="0"/>
    <n v="0"/>
    <n v="0"/>
    <n v="0"/>
    <n v="0"/>
  </r>
  <r>
    <n v="758"/>
    <d v="2024-08-14T09:40:15"/>
    <d v="2024-08-14T09:52:42"/>
    <s v="dchirwa@lighthouse.org.mw"/>
    <s v="davis chirwa"/>
    <x v="8"/>
    <s v="Prototype"/>
    <x v="1"/>
    <s v="COP_23"/>
    <s v="COP_23"/>
    <s v="Quarter3"/>
    <s v="Quarter4"/>
    <s v="Qtr_4"/>
    <x v="9"/>
    <d v="2024-07-01T00:00:00"/>
    <d v="2024-07-31T00:00:00"/>
    <x v="1"/>
    <x v="61"/>
    <n v="2"/>
    <n v="15"/>
    <n v="2"/>
    <n v="1"/>
    <n v="1"/>
    <n v="0"/>
    <n v="0"/>
    <n v="0"/>
    <n v="0"/>
    <n v="0"/>
    <n v="0"/>
    <n v="0"/>
    <n v="0"/>
    <n v="3"/>
    <n v="0"/>
    <n v="3"/>
    <n v="1"/>
    <n v="1"/>
    <n v="0"/>
    <n v="1"/>
    <n v="0"/>
  </r>
  <r>
    <n v="814"/>
    <d v="2024-09-16T13:55:17"/>
    <d v="2024-09-16T14:00:03"/>
    <s v="dchirwa@lighthouse.org.mw"/>
    <s v="davis chirwa"/>
    <x v="8"/>
    <s v="Prototype"/>
    <x v="1"/>
    <s v="COP_23"/>
    <s v="COP_23"/>
    <s v="Quarter3"/>
    <s v="Quarter4"/>
    <s v="Qtr_4"/>
    <x v="10"/>
    <d v="2024-08-01T00:00:00"/>
    <d v="2024-08-31T00:00:00"/>
    <x v="1"/>
    <x v="26"/>
    <n v="4"/>
    <n v="12"/>
    <n v="1"/>
    <n v="5"/>
    <n v="0"/>
    <n v="16"/>
    <n v="5"/>
    <n v="4"/>
    <n v="0"/>
    <n v="0"/>
    <n v="0"/>
    <n v="1"/>
    <n v="0"/>
    <n v="0"/>
    <n v="0"/>
    <n v="1"/>
    <n v="0"/>
    <n v="1"/>
    <n v="0"/>
    <n v="1"/>
    <n v="0"/>
  </r>
  <r>
    <n v="663"/>
    <d v="2024-07-29T16:21:45"/>
    <d v="2024-07-29T16:38:31"/>
    <s v="dchirwa@lighthouse.org.mw"/>
    <s v="davis chirwa"/>
    <x v="8"/>
    <s v="Prototype"/>
    <x v="1"/>
    <s v="COP_23"/>
    <s v="COP_23"/>
    <s v="Quarter2"/>
    <s v="Quarter3"/>
    <s v="Qtr_3"/>
    <x v="7"/>
    <d v="2024-04-01T00:00:00"/>
    <d v="2024-04-30T00:00:00"/>
    <x v="3"/>
    <x v="18"/>
    <n v="0"/>
    <n v="1"/>
    <n v="0"/>
    <n v="0"/>
    <n v="0"/>
    <n v="1"/>
    <n v="0"/>
    <n v="0"/>
    <n v="0"/>
    <n v="0"/>
    <n v="0"/>
    <n v="0"/>
    <n v="0"/>
    <n v="0"/>
    <n v="0"/>
    <n v="0"/>
    <n v="0"/>
    <n v="0"/>
    <n v="0"/>
    <n v="0"/>
    <n v="0"/>
  </r>
  <r>
    <n v="534"/>
    <d v="2024-06-10T11:13:45"/>
    <d v="2024-06-10T11:19:46"/>
    <s v="dchirwa@lighthouse.org.mw"/>
    <s v="davis chirwa"/>
    <x v="8"/>
    <s v="Prototype"/>
    <x v="1"/>
    <s v="COP_23"/>
    <s v="COP_23"/>
    <s v="Quarter1"/>
    <s v="Quarter2"/>
    <s v="Qtr_2"/>
    <x v="5"/>
    <d v="2024-02-01T00:00:00"/>
    <d v="2024-02-29T00:00:00"/>
    <x v="2"/>
    <x v="33"/>
    <n v="1"/>
    <n v="2"/>
    <n v="1"/>
    <n v="1"/>
    <n v="0"/>
    <n v="4"/>
    <n v="1"/>
    <n v="1"/>
    <n v="0"/>
    <n v="0"/>
    <n v="0"/>
    <n v="0"/>
    <n v="0"/>
    <n v="0"/>
    <n v="0"/>
    <n v="0"/>
    <n v="0"/>
    <n v="1"/>
    <n v="0"/>
    <n v="0"/>
    <n v="0"/>
  </r>
  <r>
    <n v="665"/>
    <d v="2024-07-29T16:51:25"/>
    <d v="2024-07-29T16:54:49"/>
    <s v="dchirwa@lighthouse.org.mw"/>
    <s v="davis chirwa"/>
    <x v="8"/>
    <s v="Prototype"/>
    <x v="1"/>
    <s v="COP_23"/>
    <s v="COP_23"/>
    <s v="Quarter2"/>
    <s v="Quarter3"/>
    <s v="Qtr_3"/>
    <x v="7"/>
    <d v="2024-04-01T00:00:00"/>
    <d v="2024-04-30T00:00:00"/>
    <x v="4"/>
    <x v="21"/>
    <n v="0"/>
    <n v="0"/>
    <n v="0"/>
    <n v="0"/>
    <n v="0"/>
    <n v="0"/>
    <n v="0"/>
    <n v="0"/>
    <n v="0"/>
    <n v="0"/>
    <n v="0"/>
    <n v="0"/>
    <n v="0"/>
    <n v="0"/>
    <n v="0"/>
    <n v="0"/>
    <n v="0"/>
    <n v="0"/>
    <n v="0"/>
    <n v="0"/>
    <n v="0"/>
  </r>
  <r>
    <n v="666"/>
    <d v="2024-07-29T16:54:58"/>
    <d v="2024-07-29T17:00:20"/>
    <s v="dchirwa@lighthouse.org.mw"/>
    <s v="davis chirwa"/>
    <x v="8"/>
    <s v="Prototype"/>
    <x v="1"/>
    <s v="COP_23"/>
    <s v="COP_23"/>
    <s v="Quarter2"/>
    <s v="Quarter3"/>
    <s v="Qtr_3"/>
    <x v="7"/>
    <d v="2024-04-01T00:00:00"/>
    <d v="2024-04-30T00:00:00"/>
    <x v="5"/>
    <x v="59"/>
    <n v="0"/>
    <n v="0"/>
    <n v="0"/>
    <n v="0"/>
    <n v="0"/>
    <n v="0"/>
    <n v="0"/>
    <n v="0"/>
    <n v="0"/>
    <n v="0"/>
    <n v="0"/>
    <n v="0"/>
    <n v="0"/>
    <n v="0"/>
    <n v="0"/>
    <n v="0"/>
    <n v="0"/>
    <n v="0"/>
    <n v="0"/>
    <n v="0"/>
    <n v="0"/>
  </r>
  <r>
    <n v="886"/>
    <d v="2024-10-04T15:29:36"/>
    <d v="2024-10-04T15:37:34"/>
    <s v="dchirwa@lighthouse.org.mw"/>
    <s v="davis chirwa"/>
    <x v="8"/>
    <s v="Prototype"/>
    <x v="1"/>
    <s v="COP_23"/>
    <s v="COP_23"/>
    <s v="Quarter3"/>
    <s v="Quarter4"/>
    <s v="Qtr_4"/>
    <x v="2"/>
    <d v="2024-09-01T00:00:00"/>
    <d v="2024-09-30T00:00:00"/>
    <x v="1"/>
    <x v="34"/>
    <n v="4"/>
    <n v="20"/>
    <n v="4"/>
    <n v="2"/>
    <n v="3"/>
    <n v="28"/>
    <n v="8"/>
    <n v="7"/>
    <n v="1"/>
    <n v="1"/>
    <n v="1"/>
    <n v="6"/>
    <n v="0"/>
    <n v="1"/>
    <n v="0"/>
    <n v="4"/>
    <n v="0"/>
    <n v="1"/>
    <n v="0"/>
    <n v="0"/>
    <n v="1"/>
  </r>
  <r>
    <n v="669"/>
    <d v="2024-07-30T11:44:12"/>
    <d v="2024-07-30T11:51:46"/>
    <s v="dchirwa@lighthouse.org.mw"/>
    <s v="davis chirwa"/>
    <x v="8"/>
    <s v="Prototype"/>
    <x v="1"/>
    <s v="COP_23"/>
    <s v="COP_23"/>
    <s v="Quarter2"/>
    <s v="Quarter3"/>
    <s v="Qtr_3"/>
    <x v="6"/>
    <d v="2024-05-01T00:00:00"/>
    <d v="2024-05-31T00:00:00"/>
    <x v="5"/>
    <x v="51"/>
    <n v="0"/>
    <n v="4"/>
    <n v="0"/>
    <n v="0"/>
    <n v="0"/>
    <n v="3"/>
    <n v="0"/>
    <n v="0"/>
    <n v="0"/>
    <n v="0"/>
    <n v="0"/>
    <n v="0"/>
    <n v="0"/>
    <n v="0"/>
    <n v="0"/>
    <n v="0"/>
    <n v="0"/>
    <n v="0"/>
    <n v="0"/>
    <n v="0"/>
    <n v="0"/>
  </r>
  <r>
    <n v="670"/>
    <d v="2024-07-30T11:51:54"/>
    <d v="2024-07-30T11:56:43"/>
    <s v="dchirwa@lighthouse.org.mw"/>
    <s v="davis chirwa"/>
    <x v="8"/>
    <s v="Prototype"/>
    <x v="1"/>
    <s v="COP_23"/>
    <s v="COP_23"/>
    <s v="Quarter2"/>
    <s v="Quarter3"/>
    <s v="Qtr_3"/>
    <x v="6"/>
    <d v="2024-05-01T00:00:00"/>
    <d v="2024-05-31T00:00:00"/>
    <x v="3"/>
    <x v="18"/>
    <n v="0"/>
    <n v="1"/>
    <n v="0"/>
    <n v="0"/>
    <n v="0"/>
    <n v="1"/>
    <n v="0"/>
    <n v="0"/>
    <n v="0"/>
    <n v="0"/>
    <n v="0"/>
    <n v="0"/>
    <n v="0"/>
    <n v="0"/>
    <n v="0"/>
    <n v="0"/>
    <n v="0"/>
    <n v="0"/>
    <n v="0"/>
    <n v="0"/>
    <n v="0"/>
  </r>
  <r>
    <n v="671"/>
    <d v="2024-07-30T13:11:53"/>
    <d v="2024-07-30T13:12:05"/>
    <s v="dchirwa@lighthouse.org.mw"/>
    <s v="davis chirwa"/>
    <x v="8"/>
    <s v="Prototype"/>
    <x v="1"/>
    <s v="COP_23"/>
    <s v="COP_23"/>
    <s v="Quarter2"/>
    <s v="Quarter3"/>
    <s v="Qtr_3"/>
    <x v="6"/>
    <d v="2024-05-01T00:00:00"/>
    <d v="2024-05-31T00:00:00"/>
    <x v="4"/>
    <x v="18"/>
    <n v="0"/>
    <n v="1"/>
    <n v="0"/>
    <n v="0"/>
    <n v="0"/>
    <n v="1"/>
    <n v="0"/>
    <n v="0"/>
    <n v="0"/>
    <n v="0"/>
    <n v="0"/>
    <n v="0"/>
    <n v="0"/>
    <n v="0"/>
    <n v="0"/>
    <n v="0"/>
    <n v="0"/>
    <n v="0"/>
    <n v="0"/>
    <n v="0"/>
    <n v="0"/>
  </r>
  <r>
    <n v="664"/>
    <d v="2024-07-29T16:38:38"/>
    <d v="2024-07-29T16:51:08"/>
    <s v="dchirwa@lighthouse.org.mw"/>
    <s v="davis chirwa"/>
    <x v="8"/>
    <s v="Prototype"/>
    <x v="1"/>
    <s v="COP_23"/>
    <s v="COP_23"/>
    <s v="Quarter2"/>
    <s v="Quarter3"/>
    <s v="Qtr_3"/>
    <x v="7"/>
    <d v="2024-04-01T00:00:00"/>
    <d v="2024-04-30T00:00:00"/>
    <x v="2"/>
    <x v="52"/>
    <n v="0"/>
    <n v="4"/>
    <n v="2"/>
    <n v="0"/>
    <n v="0"/>
    <n v="6"/>
    <n v="2"/>
    <n v="2"/>
    <n v="0"/>
    <n v="0"/>
    <n v="0"/>
    <n v="0"/>
    <n v="0"/>
    <n v="0"/>
    <n v="0"/>
    <n v="0"/>
    <n v="0"/>
    <n v="1"/>
    <n v="0"/>
    <n v="0"/>
    <n v="0"/>
  </r>
  <r>
    <n v="674"/>
    <d v="2024-07-30T14:24:28"/>
    <d v="2024-07-30T14:24:50"/>
    <s v="dchirwa@lighthouse.org.mw"/>
    <s v="davis chirwa"/>
    <x v="8"/>
    <s v="Prototype"/>
    <x v="1"/>
    <s v="COP_23"/>
    <s v="COP_23"/>
    <s v="Quarter2"/>
    <s v="Quarter3"/>
    <s v="Qtr_3"/>
    <x v="8"/>
    <d v="2024-06-01T00:00:00"/>
    <d v="2024-06-30T00:00:00"/>
    <x v="0"/>
    <x v="44"/>
    <n v="2"/>
    <n v="10"/>
    <n v="3"/>
    <n v="3"/>
    <n v="0"/>
    <n v="11"/>
    <n v="1"/>
    <n v="1"/>
    <n v="0"/>
    <n v="0"/>
    <n v="0"/>
    <n v="0"/>
    <n v="0"/>
    <n v="2"/>
    <n v="1"/>
    <n v="2"/>
    <n v="0"/>
    <n v="1"/>
    <n v="0"/>
    <n v="2"/>
    <n v="0"/>
  </r>
  <r>
    <n v="675"/>
    <d v="2024-07-30T14:24:55"/>
    <d v="2024-07-30T14:38:25"/>
    <s v="dchirwa@lighthouse.org.mw"/>
    <s v="davis chirwa"/>
    <x v="8"/>
    <s v="Prototype"/>
    <x v="1"/>
    <s v="COP_23"/>
    <s v="COP_23"/>
    <s v="Quarter2"/>
    <s v="Quarter3"/>
    <s v="Qtr_3"/>
    <x v="8"/>
    <d v="2024-06-01T00:00:00"/>
    <d v="2024-06-30T00:00:00"/>
    <x v="4"/>
    <x v="18"/>
    <n v="0"/>
    <n v="1"/>
    <n v="0"/>
    <n v="0"/>
    <n v="0"/>
    <n v="1"/>
    <n v="0"/>
    <n v="0"/>
    <n v="0"/>
    <n v="0"/>
    <n v="0"/>
    <n v="0"/>
    <n v="0"/>
    <n v="0"/>
    <n v="0"/>
    <n v="0"/>
    <n v="0"/>
    <n v="0"/>
    <n v="0"/>
    <n v="0"/>
    <n v="0"/>
  </r>
  <r>
    <n v="673"/>
    <d v="2024-07-30T13:23:28"/>
    <d v="2024-07-30T13:29:12"/>
    <s v="dchirwa@lighthouse.org.mw"/>
    <s v="davis chirwa"/>
    <x v="8"/>
    <s v="Prototype"/>
    <x v="1"/>
    <s v="COP_23"/>
    <s v="COP_23"/>
    <s v="Quarter2"/>
    <s v="Quarter3"/>
    <s v="Qtr_3"/>
    <x v="6"/>
    <d v="2024-05-01T00:00:00"/>
    <d v="2024-05-31T00:00:00"/>
    <x v="2"/>
    <x v="41"/>
    <n v="0"/>
    <n v="1"/>
    <n v="1"/>
    <n v="0"/>
    <n v="0"/>
    <n v="2"/>
    <n v="1"/>
    <n v="1"/>
    <n v="0"/>
    <n v="0"/>
    <n v="0"/>
    <n v="0"/>
    <n v="0"/>
    <n v="0"/>
    <n v="0"/>
    <n v="0"/>
    <n v="0"/>
    <n v="1"/>
    <n v="0"/>
    <n v="0"/>
    <n v="0"/>
  </r>
  <r>
    <n v="677"/>
    <d v="2024-07-30T14:57:22"/>
    <d v="2024-07-30T15:05:22"/>
    <s v="dchirwa@lighthouse.org.mw"/>
    <s v="davis chirwa"/>
    <x v="8"/>
    <s v="Prototype"/>
    <x v="1"/>
    <s v="COP_23"/>
    <s v="COP_23"/>
    <s v="Quarter2"/>
    <s v="Quarter3"/>
    <s v="Qtr_3"/>
    <x v="8"/>
    <d v="2024-06-01T00:00:00"/>
    <d v="2024-06-30T00:00:00"/>
    <x v="5"/>
    <x v="59"/>
    <n v="0"/>
    <n v="3"/>
    <n v="0"/>
    <n v="0"/>
    <n v="0"/>
    <n v="3"/>
    <n v="0"/>
    <n v="0"/>
    <n v="0"/>
    <n v="0"/>
    <n v="0"/>
    <n v="0"/>
    <n v="0"/>
    <n v="0"/>
    <n v="0"/>
    <n v="0"/>
    <n v="0"/>
    <n v="0"/>
    <n v="0"/>
    <n v="0"/>
    <n v="0"/>
  </r>
  <r>
    <n v="1062"/>
    <d v="2024-11-13T15:11:56"/>
    <d v="2024-11-13T15:28:27"/>
    <s v="dchirwa@lighthouse.org.mw"/>
    <s v="davis chirwa"/>
    <x v="8"/>
    <s v="Prototype"/>
    <x v="1"/>
    <s v="COP_23"/>
    <s v="COP_24"/>
    <s v="Quarter4"/>
    <s v="Quarter1"/>
    <s v="Qtr_1"/>
    <x v="0"/>
    <d v="2024-10-01T00:00:00"/>
    <d v="2024-10-31T00:00:00"/>
    <x v="1"/>
    <x v="53"/>
    <n v="1"/>
    <n v="15"/>
    <n v="1"/>
    <n v="4"/>
    <n v="0"/>
    <n v="19"/>
    <n v="6"/>
    <n v="8"/>
    <n v="0"/>
    <n v="0"/>
    <n v="0"/>
    <n v="6"/>
    <n v="1"/>
    <n v="1"/>
    <n v="1"/>
    <n v="1"/>
    <n v="0"/>
    <n v="3"/>
    <n v="0"/>
    <n v="1"/>
    <n v="0"/>
  </r>
  <r>
    <n v="679"/>
    <d v="2024-07-30T15:12:19"/>
    <d v="2024-07-30T15:16:22"/>
    <s v="dchirwa@lighthouse.org.mw"/>
    <s v="davis chirwa"/>
    <x v="8"/>
    <s v="Prototype"/>
    <x v="1"/>
    <s v="COP_23"/>
    <s v="COP_23"/>
    <s v="Quarter2"/>
    <s v="Quarter3"/>
    <s v="Qtr_3"/>
    <x v="8"/>
    <d v="2024-06-01T00:00:00"/>
    <d v="2024-06-30T00:00:00"/>
    <x v="3"/>
    <x v="21"/>
    <n v="0"/>
    <n v="0"/>
    <n v="0"/>
    <n v="0"/>
    <n v="0"/>
    <n v="0"/>
    <n v="0"/>
    <n v="0"/>
    <n v="0"/>
    <n v="0"/>
    <n v="0"/>
    <n v="0"/>
    <n v="0"/>
    <n v="0"/>
    <n v="0"/>
    <n v="0"/>
    <n v="0"/>
    <n v="0"/>
    <n v="0"/>
    <n v="0"/>
    <n v="0"/>
  </r>
  <r>
    <n v="676"/>
    <d v="2024-07-30T14:38:33"/>
    <d v="2024-07-30T14:57:17"/>
    <s v="dchirwa@lighthouse.org.mw"/>
    <s v="davis chirwa"/>
    <x v="8"/>
    <s v="Prototype"/>
    <x v="1"/>
    <s v="COP_23"/>
    <s v="COP_23"/>
    <s v="Quarter2"/>
    <s v="Quarter3"/>
    <s v="Qtr_3"/>
    <x v="8"/>
    <d v="2024-06-01T00:00:00"/>
    <d v="2024-06-30T00:00:00"/>
    <x v="2"/>
    <x v="29"/>
    <n v="1"/>
    <n v="1"/>
    <n v="0"/>
    <n v="1"/>
    <n v="0"/>
    <n v="2"/>
    <n v="0"/>
    <n v="0"/>
    <n v="0"/>
    <n v="0"/>
    <n v="0"/>
    <n v="0"/>
    <n v="0"/>
    <n v="1"/>
    <n v="0"/>
    <n v="1"/>
    <n v="0"/>
    <n v="0"/>
    <n v="0"/>
    <n v="1"/>
    <n v="0"/>
  </r>
  <r>
    <n v="754"/>
    <d v="2024-08-14T09:17:27"/>
    <d v="2024-08-14T09:21:27"/>
    <s v="dchirwa@lighthouse.org.mw"/>
    <s v="davis chirwa"/>
    <x v="8"/>
    <s v="Prototype"/>
    <x v="1"/>
    <s v="COP_23"/>
    <s v="COP_23"/>
    <s v="Quarter3"/>
    <s v="Quarter4"/>
    <s v="Qtr_4"/>
    <x v="9"/>
    <d v="2024-07-01T00:00:00"/>
    <d v="2024-07-31T00:00:00"/>
    <x v="2"/>
    <x v="20"/>
    <n v="2"/>
    <n v="0"/>
    <n v="0"/>
    <n v="1"/>
    <n v="1"/>
    <n v="0"/>
    <n v="0"/>
    <n v="1"/>
    <n v="0"/>
    <n v="0"/>
    <n v="0"/>
    <n v="0"/>
    <n v="0"/>
    <n v="0"/>
    <n v="0"/>
    <n v="2"/>
    <n v="1"/>
    <n v="0"/>
    <n v="0"/>
    <n v="1"/>
    <n v="0"/>
  </r>
  <r>
    <n v="813"/>
    <d v="2024-09-16T13:45:25"/>
    <d v="2024-09-16T13:55:06"/>
    <s v="dchirwa@lighthouse.org.mw"/>
    <s v="davis chirwa"/>
    <x v="8"/>
    <s v="Prototype"/>
    <x v="1"/>
    <s v="COP_23"/>
    <s v="COP_23"/>
    <s v="Quarter3"/>
    <s v="Quarter4"/>
    <s v="Qtr_4"/>
    <x v="10"/>
    <d v="2024-08-01T00:00:00"/>
    <d v="2024-08-31T00:00:00"/>
    <x v="2"/>
    <x v="100"/>
    <n v="0"/>
    <n v="3"/>
    <n v="0"/>
    <n v="0"/>
    <n v="0"/>
    <n v="3"/>
    <n v="1"/>
    <n v="1"/>
    <n v="0"/>
    <n v="0"/>
    <n v="0"/>
    <n v="0"/>
    <n v="0"/>
    <n v="0"/>
    <n v="0"/>
    <n v="0"/>
    <n v="0"/>
    <n v="0"/>
    <n v="0"/>
    <n v="0"/>
    <n v="0"/>
  </r>
  <r>
    <n v="818"/>
    <d v="2024-09-16T14:19:45"/>
    <d v="2024-09-16T14:23:55"/>
    <s v="dchirwa@lighthouse.org.mw"/>
    <s v="davis chirwa"/>
    <x v="8"/>
    <s v="Prototype"/>
    <x v="1"/>
    <s v="COP_23"/>
    <s v="COP_23"/>
    <s v="Quarter3"/>
    <s v="Quarter4"/>
    <s v="Qtr_4"/>
    <x v="9"/>
    <d v="2024-07-01T00:00:00"/>
    <d v="2024-07-31T00:00:00"/>
    <x v="2"/>
    <x v="108"/>
    <n v="2"/>
    <n v="0"/>
    <n v="0"/>
    <n v="1"/>
    <n v="1"/>
    <n v="0"/>
    <n v="0"/>
    <n v="1"/>
    <n v="0"/>
    <n v="0"/>
    <n v="0"/>
    <n v="0"/>
    <n v="0"/>
    <n v="0"/>
    <n v="0"/>
    <n v="2"/>
    <n v="1"/>
    <n v="0"/>
    <n v="0"/>
    <n v="1"/>
    <n v="0"/>
  </r>
  <r>
    <n v="885"/>
    <d v="2024-10-04T15:20:33"/>
    <d v="2024-10-04T15:27:29"/>
    <s v="dchirwa@lighthouse.org.mw"/>
    <s v="davis chirwa"/>
    <x v="8"/>
    <s v="Prototype"/>
    <x v="1"/>
    <s v="COP_22"/>
    <s v="COP_23"/>
    <s v="Quarter3"/>
    <s v="Quarter4"/>
    <s v="Qtr_4"/>
    <x v="2"/>
    <d v="2024-09-01T00:00:00"/>
    <d v="2024-09-30T00:00:00"/>
    <x v="2"/>
    <x v="40"/>
    <n v="0"/>
    <n v="3"/>
    <n v="2"/>
    <n v="0"/>
    <n v="0"/>
    <n v="5"/>
    <n v="2"/>
    <n v="2"/>
    <n v="0"/>
    <n v="0"/>
    <n v="0"/>
    <n v="1"/>
    <n v="0"/>
    <n v="0"/>
    <n v="0"/>
    <n v="0"/>
    <n v="0"/>
    <n v="0"/>
    <n v="0"/>
    <n v="0"/>
    <n v="0"/>
  </r>
  <r>
    <n v="1060"/>
    <d v="2024-11-13T14:54:11"/>
    <d v="2024-11-13T15:03:51"/>
    <s v="dchirwa@lighthouse.org.mw"/>
    <s v="davis chirwa"/>
    <x v="8"/>
    <s v="Prototype"/>
    <x v="1"/>
    <s v="COP_23"/>
    <s v="COP_24"/>
    <s v="Quarter4"/>
    <s v="Quarter1"/>
    <s v="Qtr_1"/>
    <x v="0"/>
    <d v="2024-10-01T00:00:00"/>
    <d v="2024-10-31T00:00:00"/>
    <x v="2"/>
    <x v="29"/>
    <n v="0"/>
    <n v="2"/>
    <n v="0"/>
    <n v="0"/>
    <n v="0"/>
    <n v="2"/>
    <n v="1"/>
    <n v="2"/>
    <n v="1"/>
    <n v="2"/>
    <n v="1"/>
    <n v="2"/>
    <n v="0"/>
    <n v="0"/>
    <n v="0"/>
    <n v="0"/>
    <n v="0"/>
    <n v="0"/>
    <n v="0"/>
    <n v="0"/>
    <n v="0"/>
  </r>
  <r>
    <n v="753"/>
    <d v="2024-08-14T09:15:17"/>
    <d v="2024-08-14T09:15:29"/>
    <s v="dchirwa@lighthouse.org.mw"/>
    <s v="davis chirwa"/>
    <x v="8"/>
    <s v="Prototype"/>
    <x v="1"/>
    <s v="COP_23"/>
    <s v="COP_23"/>
    <s v="Quarter3"/>
    <s v="Quarter4"/>
    <s v="Qtr_4"/>
    <x v="9"/>
    <d v="2024-07-01T00:00:00"/>
    <d v="2024-07-31T00:00:00"/>
    <x v="0"/>
    <x v="9"/>
    <n v="4"/>
    <n v="19"/>
    <n v="2"/>
    <n v="2"/>
    <n v="2"/>
    <n v="0"/>
    <n v="0"/>
    <n v="1"/>
    <n v="0"/>
    <n v="0"/>
    <n v="0"/>
    <n v="0"/>
    <n v="0"/>
    <n v="4"/>
    <n v="0"/>
    <n v="5"/>
    <n v="2"/>
    <n v="1"/>
    <n v="1"/>
    <n v="2"/>
    <n v="0"/>
  </r>
  <r>
    <n v="755"/>
    <d v="2024-08-14T09:21:32"/>
    <d v="2024-08-14T09:25:13"/>
    <s v="dchirwa@lighthouse.org.mw"/>
    <s v="davis chirwa"/>
    <x v="8"/>
    <s v="Prototype"/>
    <x v="1"/>
    <s v="COP_23"/>
    <s v="COP_23"/>
    <s v="Quarter3"/>
    <s v="Quarter4"/>
    <s v="Qtr_4"/>
    <x v="9"/>
    <d v="2024-07-01T00:00:00"/>
    <d v="2024-07-31T00:00:00"/>
    <x v="5"/>
    <x v="54"/>
    <n v="1"/>
    <n v="4"/>
    <n v="0"/>
    <n v="1"/>
    <n v="0"/>
    <n v="0"/>
    <n v="0"/>
    <n v="0"/>
    <n v="0"/>
    <n v="0"/>
    <n v="0"/>
    <n v="0"/>
    <n v="0"/>
    <n v="1"/>
    <n v="0"/>
    <n v="1"/>
    <n v="0"/>
    <n v="0"/>
    <n v="0"/>
    <n v="1"/>
    <n v="0"/>
  </r>
  <r>
    <n v="756"/>
    <d v="2024-08-14T09:25:19"/>
    <d v="2024-08-14T09:37:31"/>
    <s v="dchirwa@lighthouse.org.mw"/>
    <s v="davis chirwa"/>
    <x v="8"/>
    <s v="Prototype"/>
    <x v="1"/>
    <s v="COP_23"/>
    <s v="COP_23"/>
    <s v="Quarter3"/>
    <s v="Quarter4"/>
    <s v="Qtr_4"/>
    <x v="9"/>
    <d v="2024-07-01T00:00:00"/>
    <d v="2024-07-31T00:00:00"/>
    <x v="4"/>
    <x v="30"/>
    <n v="2"/>
    <n v="1"/>
    <n v="0"/>
    <n v="1"/>
    <n v="1"/>
    <n v="0"/>
    <n v="0"/>
    <n v="0"/>
    <n v="0"/>
    <n v="0"/>
    <n v="0"/>
    <n v="0"/>
    <n v="0"/>
    <n v="0"/>
    <n v="0"/>
    <n v="1"/>
    <n v="1"/>
    <n v="1"/>
    <n v="1"/>
    <n v="1"/>
    <n v="0"/>
  </r>
  <r>
    <n v="757"/>
    <d v="2024-08-14T09:37:43"/>
    <d v="2024-08-14T09:40:03"/>
    <s v="dchirwa@lighthouse.org.mw"/>
    <s v="davis chirwa"/>
    <x v="8"/>
    <s v="Prototype"/>
    <x v="1"/>
    <s v="COP_23"/>
    <s v="COP_23"/>
    <s v="Quarter3"/>
    <s v="Quarter4"/>
    <s v="Qtr_4"/>
    <x v="9"/>
    <d v="2024-07-01T00:00:00"/>
    <d v="2024-07-31T00:00:00"/>
    <x v="3"/>
    <x v="18"/>
    <n v="0"/>
    <n v="1"/>
    <n v="0"/>
    <n v="0"/>
    <n v="0"/>
    <n v="0"/>
    <n v="0"/>
    <n v="0"/>
    <n v="0"/>
    <n v="0"/>
    <n v="0"/>
    <n v="0"/>
    <n v="0"/>
    <n v="0"/>
    <n v="0"/>
    <n v="0"/>
    <n v="0"/>
    <n v="0"/>
    <n v="0"/>
    <n v="0"/>
    <n v="0"/>
  </r>
  <r>
    <n v="812"/>
    <d v="2024-09-16T13:44:52"/>
    <d v="2024-09-16T13:45:17"/>
    <s v="dchirwa@lighthouse.org.mw"/>
    <s v="davis chirwa"/>
    <x v="8"/>
    <s v="Prototype"/>
    <x v="1"/>
    <s v="COP_23"/>
    <s v="COP_23"/>
    <s v="Quarter3"/>
    <s v="Quarter4"/>
    <s v="Qtr_4"/>
    <x v="10"/>
    <d v="2024-08-01T00:00:00"/>
    <d v="2024-08-31T00:00:00"/>
    <x v="0"/>
    <x v="52"/>
    <n v="6"/>
    <n v="16"/>
    <n v="2"/>
    <n v="5"/>
    <n v="1"/>
    <n v="22"/>
    <n v="7"/>
    <n v="6"/>
    <n v="0"/>
    <n v="0"/>
    <n v="0"/>
    <n v="3"/>
    <n v="0"/>
    <n v="1"/>
    <n v="0"/>
    <n v="3"/>
    <n v="1"/>
    <n v="1"/>
    <n v="0"/>
    <n v="2"/>
    <n v="0"/>
  </r>
  <r>
    <n v="815"/>
    <d v="2024-09-16T14:00:09"/>
    <d v="2024-09-16T14:03:31"/>
    <s v="dchirwa@lighthouse.org.mw"/>
    <s v="davis chirwa"/>
    <x v="8"/>
    <s v="Prototype"/>
    <x v="1"/>
    <s v="COP_23"/>
    <s v="COP_23"/>
    <s v="Quarter3"/>
    <s v="Quarter4"/>
    <s v="Qtr_4"/>
    <x v="10"/>
    <d v="2024-08-01T00:00:00"/>
    <d v="2024-08-31T00:00:00"/>
    <x v="4"/>
    <x v="21"/>
    <n v="0"/>
    <n v="0"/>
    <n v="0"/>
    <n v="0"/>
    <n v="0"/>
    <n v="0"/>
    <n v="0"/>
    <n v="0"/>
    <n v="0"/>
    <n v="0"/>
    <n v="0"/>
    <n v="0"/>
    <n v="0"/>
    <n v="0"/>
    <n v="0"/>
    <n v="0"/>
    <n v="0"/>
    <n v="0"/>
    <n v="0"/>
    <n v="0"/>
    <n v="0"/>
  </r>
  <r>
    <n v="816"/>
    <d v="2024-09-16T14:03:40"/>
    <d v="2024-09-16T14:06:34"/>
    <s v="dchirwa@lighthouse.org.mw"/>
    <s v="davis chirwa"/>
    <x v="8"/>
    <s v="Prototype"/>
    <x v="1"/>
    <s v="COP_23"/>
    <s v="COP_23"/>
    <s v="Quarter3"/>
    <s v="Quarter4"/>
    <s v="Qtr_4"/>
    <x v="10"/>
    <d v="2024-08-01T00:00:00"/>
    <d v="2024-08-31T00:00:00"/>
    <x v="3"/>
    <x v="21"/>
    <n v="0"/>
    <n v="0"/>
    <n v="0"/>
    <n v="0"/>
    <n v="0"/>
    <n v="0"/>
    <n v="0"/>
    <n v="0"/>
    <n v="0"/>
    <n v="0"/>
    <n v="0"/>
    <n v="0"/>
    <n v="0"/>
    <n v="0"/>
    <n v="0"/>
    <n v="0"/>
    <n v="0"/>
    <n v="0"/>
    <n v="0"/>
    <n v="0"/>
    <n v="0"/>
  </r>
  <r>
    <n v="817"/>
    <d v="2024-09-16T14:06:46"/>
    <d v="2024-09-16T14:10:31"/>
    <s v="dchirwa@lighthouse.org.mw"/>
    <s v="davis chirwa"/>
    <x v="8"/>
    <s v="Prototype"/>
    <x v="1"/>
    <s v="COP_22"/>
    <s v="COP_23"/>
    <s v="Quarter3"/>
    <s v="Quarter4"/>
    <s v="Qtr_4"/>
    <x v="10"/>
    <d v="2024-08-01T00:00:00"/>
    <d v="2024-08-31T00:00:00"/>
    <x v="5"/>
    <x v="57"/>
    <n v="1"/>
    <n v="1"/>
    <n v="0"/>
    <n v="0"/>
    <n v="1"/>
    <n v="2"/>
    <n v="0"/>
    <n v="0"/>
    <n v="0"/>
    <n v="0"/>
    <n v="0"/>
    <n v="1"/>
    <n v="0"/>
    <n v="1"/>
    <n v="0"/>
    <n v="1"/>
    <n v="1"/>
    <n v="0"/>
    <n v="0"/>
    <n v="1"/>
    <n v="0"/>
  </r>
  <r>
    <n v="819"/>
    <d v="2024-09-16T14:24:07"/>
    <d v="2024-09-16T14:41:20"/>
    <s v="dchirwa@lighthouse.org.mw"/>
    <s v="davis chirwa"/>
    <x v="8"/>
    <s v="Prototype"/>
    <x v="1"/>
    <s v="COP_22"/>
    <s v="COP_23"/>
    <s v="Quarter3"/>
    <s v="Quarter4"/>
    <s v="Qtr_4"/>
    <x v="9"/>
    <d v="2024-07-01T00:00:00"/>
    <d v="2024-07-31T00:00:00"/>
    <x v="5"/>
    <x v="81"/>
    <n v="1"/>
    <n v="4"/>
    <n v="0"/>
    <n v="1"/>
    <n v="0"/>
    <n v="0"/>
    <n v="0"/>
    <n v="0"/>
    <n v="0"/>
    <n v="0"/>
    <n v="0"/>
    <n v="0"/>
    <n v="0"/>
    <n v="1"/>
    <n v="0"/>
    <n v="1"/>
    <n v="1"/>
    <n v="0"/>
    <n v="0"/>
    <n v="1"/>
    <n v="0"/>
  </r>
  <r>
    <n v="882"/>
    <d v="2024-10-04T08:41:53"/>
    <d v="2024-10-04T09:31:51"/>
    <s v="dchirwa@lighthouse.org.mw"/>
    <s v="davis chirwa"/>
    <x v="8"/>
    <s v="Prototype"/>
    <x v="1"/>
    <s v="COP_22"/>
    <s v="COP_23"/>
    <s v="Quarter3"/>
    <s v="Quarter4"/>
    <s v="Qtr_4"/>
    <x v="2"/>
    <d v="2024-09-01T00:00:00"/>
    <d v="2024-09-30T00:00:00"/>
    <x v="0"/>
    <x v="32"/>
    <n v="7"/>
    <n v="28"/>
    <n v="6"/>
    <n v="3"/>
    <n v="5"/>
    <n v="41"/>
    <n v="13"/>
    <n v="12"/>
    <n v="2"/>
    <n v="1"/>
    <n v="1"/>
    <n v="10"/>
    <n v="1"/>
    <n v="1"/>
    <n v="0"/>
    <n v="5"/>
    <n v="1"/>
    <n v="2"/>
    <n v="0"/>
    <n v="2"/>
    <n v="1"/>
  </r>
  <r>
    <n v="883"/>
    <d v="2024-10-04T15:09:26"/>
    <d v="2024-10-04T15:09:39"/>
    <s v="dchirwa@lighthouse.org.mw"/>
    <s v="davis chirwa"/>
    <x v="8"/>
    <s v="Prototype"/>
    <x v="1"/>
    <s v="COP_22"/>
    <s v="COP_23"/>
    <s v="Quarter3"/>
    <s v="Quarter4"/>
    <s v="Qtr_4"/>
    <x v="2"/>
    <d v="2024-09-01T00:00:00"/>
    <d v="2024-09-30T00:00:00"/>
    <x v="3"/>
    <x v="18"/>
    <n v="1"/>
    <n v="0"/>
    <n v="0"/>
    <n v="0"/>
    <n v="1"/>
    <n v="0"/>
    <n v="0"/>
    <n v="1"/>
    <n v="0"/>
    <n v="0"/>
    <n v="0"/>
    <n v="1"/>
    <n v="0"/>
    <n v="0"/>
    <n v="0"/>
    <n v="1"/>
    <n v="0"/>
    <n v="0"/>
    <n v="0"/>
    <n v="0"/>
    <n v="0"/>
  </r>
  <r>
    <n v="884"/>
    <d v="2024-10-04T15:11:19"/>
    <d v="2024-10-04T15:19:42"/>
    <s v="dchirwa@lighthouse.org.mw"/>
    <s v="davis chirwa"/>
    <x v="8"/>
    <s v="Prototype"/>
    <x v="1"/>
    <s v="COP_22"/>
    <s v="COP_23"/>
    <s v="Quarter3"/>
    <s v="Quarter4"/>
    <s v="Qtr_4"/>
    <x v="2"/>
    <d v="2024-09-01T00:00:00"/>
    <d v="2024-09-30T00:00:00"/>
    <x v="5"/>
    <x v="30"/>
    <n v="1"/>
    <n v="0"/>
    <n v="2"/>
    <n v="0"/>
    <n v="1"/>
    <n v="3"/>
    <n v="3"/>
    <n v="2"/>
    <n v="0"/>
    <n v="0"/>
    <n v="0"/>
    <n v="1"/>
    <n v="1"/>
    <n v="0"/>
    <n v="0"/>
    <n v="0"/>
    <n v="0"/>
    <n v="1"/>
    <n v="0"/>
    <n v="1"/>
    <n v="0"/>
  </r>
  <r>
    <n v="887"/>
    <d v="2024-10-04T15:38:10"/>
    <d v="2024-10-04T15:44:27"/>
    <s v="dchirwa@lighthouse.org.mw"/>
    <s v="davis chirwa"/>
    <x v="8"/>
    <s v="Prototype"/>
    <x v="1"/>
    <s v="COP_22"/>
    <s v="COP_23"/>
    <s v="Quarter3"/>
    <s v="Quarter4"/>
    <s v="Qtr_4"/>
    <x v="2"/>
    <d v="2024-09-01T00:00:00"/>
    <d v="2024-09-30T00:00:00"/>
    <x v="4"/>
    <x v="30"/>
    <n v="3"/>
    <n v="0"/>
    <n v="0"/>
    <n v="2"/>
    <n v="1"/>
    <n v="3"/>
    <n v="3"/>
    <n v="3"/>
    <n v="0"/>
    <n v="0"/>
    <n v="0"/>
    <n v="3"/>
    <n v="1"/>
    <n v="0"/>
    <n v="0"/>
    <n v="1"/>
    <n v="0"/>
    <n v="1"/>
    <n v="0"/>
    <n v="2"/>
    <n v="0"/>
  </r>
  <r>
    <n v="1061"/>
    <d v="2024-11-13T15:04:11"/>
    <d v="2024-11-13T15:11:50"/>
    <s v="dchirwa@lighthouse.org.mw"/>
    <s v="davis chirwa"/>
    <x v="8"/>
    <s v="Prototype"/>
    <x v="1"/>
    <s v="COP_24"/>
    <s v="COP_24"/>
    <s v="Quarter4"/>
    <s v="Quarter1"/>
    <s v="Qtr_1"/>
    <x v="0"/>
    <d v="2024-10-01T00:00:00"/>
    <d v="2024-10-31T00:00:00"/>
    <x v="0"/>
    <x v="52"/>
    <n v="2"/>
    <n v="19"/>
    <n v="0"/>
    <n v="5"/>
    <n v="0"/>
    <n v="23"/>
    <n v="7"/>
    <n v="9"/>
    <n v="0"/>
    <n v="0"/>
    <n v="0"/>
    <n v="7"/>
    <n v="1"/>
    <n v="0"/>
    <n v="0"/>
    <n v="0"/>
    <n v="0"/>
    <n v="3"/>
    <n v="0"/>
    <n v="2"/>
    <n v="0"/>
  </r>
  <r>
    <n v="1063"/>
    <d v="2024-11-13T15:28:32"/>
    <d v="2024-11-13T15:33:08"/>
    <s v="dchirwa@lighthouse.org.mw"/>
    <s v="davis chirwa"/>
    <x v="8"/>
    <s v="Prototype"/>
    <x v="1"/>
    <s v="COP_24"/>
    <s v="COP_24"/>
    <s v="Quarter4"/>
    <s v="Quarter1"/>
    <s v="Qtr_1"/>
    <x v="0"/>
    <d v="2024-10-01T00:00:00"/>
    <d v="2024-10-31T00:00:00"/>
    <x v="3"/>
    <x v="18"/>
    <n v="0"/>
    <n v="0"/>
    <n v="0"/>
    <n v="1"/>
    <n v="0"/>
    <n v="0"/>
    <n v="0"/>
    <n v="1"/>
    <n v="0"/>
    <n v="0"/>
    <n v="0"/>
    <n v="0"/>
    <n v="0"/>
    <n v="0"/>
    <n v="0"/>
    <n v="0"/>
    <n v="0"/>
    <n v="0"/>
    <n v="0"/>
    <n v="0"/>
    <n v="0"/>
  </r>
  <r>
    <n v="1064"/>
    <d v="2024-11-13T15:33:13"/>
    <d v="2024-11-13T15:44:27"/>
    <s v="dchirwa@lighthouse.org.mw"/>
    <s v="davis chirwa"/>
    <x v="8"/>
    <s v="Prototype"/>
    <x v="1"/>
    <s v="COP_24"/>
    <s v="COP_24"/>
    <s v="Quarter4"/>
    <s v="Quarter1"/>
    <s v="Qtr_1"/>
    <x v="0"/>
    <d v="2024-10-01T00:00:00"/>
    <d v="2024-10-31T00:00:00"/>
    <x v="4"/>
    <x v="18"/>
    <n v="0"/>
    <n v="1"/>
    <n v="0"/>
    <n v="0"/>
    <n v="0"/>
    <n v="1"/>
    <n v="1"/>
    <n v="1"/>
    <n v="0"/>
    <n v="0"/>
    <n v="0"/>
    <n v="1"/>
    <n v="0"/>
    <n v="0"/>
    <n v="0"/>
    <n v="0"/>
    <n v="0"/>
    <n v="1"/>
    <n v="0"/>
    <n v="0"/>
    <n v="0"/>
  </r>
  <r>
    <n v="1065"/>
    <d v="2024-11-13T15:51:36"/>
    <d v="2024-11-13T15:51:48"/>
    <s v="dchirwa@lighthouse.org.mw"/>
    <s v="davis chirwa"/>
    <x v="8"/>
    <s v="Prototype"/>
    <x v="1"/>
    <s v="COP_24"/>
    <s v="COP_24"/>
    <s v="Quarter4"/>
    <s v="Quarter1"/>
    <s v="Qtr_1"/>
    <x v="0"/>
    <d v="2024-10-01T00:00:00"/>
    <d v="2024-10-31T00:00:00"/>
    <x v="5"/>
    <x v="39"/>
    <n v="1"/>
    <n v="2"/>
    <n v="0"/>
    <n v="1"/>
    <n v="0"/>
    <n v="3"/>
    <n v="0"/>
    <n v="1"/>
    <n v="0"/>
    <n v="1"/>
    <n v="0"/>
    <n v="1"/>
    <n v="0"/>
    <n v="1"/>
    <n v="0"/>
    <n v="1"/>
    <n v="1"/>
    <n v="0"/>
    <n v="0"/>
    <n v="1"/>
    <n v="0"/>
  </r>
  <r>
    <n v="1132"/>
    <d v="2024-12-13T15:25:52"/>
    <d v="2024-12-13T15:26:09"/>
    <s v="dchirwa@lighthouse.org.mw"/>
    <s v="davis chirwa"/>
    <x v="8"/>
    <s v="Prototype"/>
    <x v="1"/>
    <s v="COP_24"/>
    <s v="COP_24"/>
    <s v="Quarter4"/>
    <s v="Quarter1"/>
    <s v="Qtr_1"/>
    <x v="1"/>
    <d v="2024-11-01T00:00:00"/>
    <d v="2024-11-30T00:00:00"/>
    <x v="0"/>
    <x v="16"/>
    <n v="2"/>
    <n v="16"/>
    <n v="1"/>
    <n v="2"/>
    <n v="2"/>
    <n v="21"/>
    <n v="3"/>
    <n v="3"/>
    <n v="1"/>
    <n v="0"/>
    <n v="0"/>
    <n v="2"/>
    <n v="1"/>
    <n v="0"/>
    <n v="0"/>
    <n v="2"/>
    <n v="0"/>
    <n v="2"/>
    <n v="0"/>
    <n v="1"/>
    <n v="0"/>
  </r>
  <r>
    <n v="1133"/>
    <d v="2024-12-13T15:26:14"/>
    <d v="2024-12-13T15:33:21"/>
    <s v="dchirwa@lighthouse.org.mw"/>
    <s v="davis chirwa"/>
    <x v="8"/>
    <s v="Prototype"/>
    <x v="1"/>
    <s v="COP_24"/>
    <s v="COP_24"/>
    <s v="Quarter4"/>
    <s v="Quarter1"/>
    <s v="Qtr_1"/>
    <x v="1"/>
    <d v="2024-11-01T00:00:00"/>
    <d v="2024-11-30T00:00:00"/>
    <x v="1"/>
    <x v="42"/>
    <n v="1"/>
    <n v="11"/>
    <n v="1"/>
    <n v="1"/>
    <n v="1"/>
    <n v="14"/>
    <n v="1"/>
    <n v="1"/>
    <n v="1"/>
    <n v="0"/>
    <n v="0"/>
    <n v="0"/>
    <n v="0"/>
    <n v="0"/>
    <n v="0"/>
    <n v="1"/>
    <n v="0"/>
    <n v="1"/>
    <n v="0"/>
    <n v="0"/>
    <n v="0"/>
  </r>
  <r>
    <n v="1134"/>
    <d v="2024-12-13T15:33:26"/>
    <d v="2024-12-13T15:40:26"/>
    <s v="dchirwa@lighthouse.org.mw"/>
    <s v="davis chirwa"/>
    <x v="8"/>
    <s v="Prototype"/>
    <x v="1"/>
    <s v="COP_24"/>
    <s v="COP_24"/>
    <s v="Quarter4"/>
    <s v="Quarter1"/>
    <s v="Qtr_1"/>
    <x v="1"/>
    <d v="2024-11-01T00:00:00"/>
    <d v="2024-11-30T00:00:00"/>
    <x v="3"/>
    <x v="30"/>
    <n v="0"/>
    <n v="3"/>
    <n v="0"/>
    <n v="0"/>
    <n v="0"/>
    <n v="3"/>
    <n v="0"/>
    <n v="0"/>
    <n v="0"/>
    <n v="0"/>
    <n v="0"/>
    <n v="0"/>
    <n v="0"/>
    <n v="0"/>
    <n v="0"/>
    <n v="0"/>
    <n v="0"/>
    <n v="0"/>
    <n v="0"/>
    <n v="0"/>
    <n v="0"/>
  </r>
  <r>
    <n v="1135"/>
    <d v="2024-12-13T15:40:33"/>
    <d v="2024-12-13T15:44:26"/>
    <s v="dchirwa@lighthouse.org.mw"/>
    <s v="davis chirwa"/>
    <x v="8"/>
    <s v="Prototype"/>
    <x v="1"/>
    <s v="COP_24"/>
    <s v="COP_24"/>
    <s v="Quarter4"/>
    <s v="Quarter1"/>
    <s v="Qtr_1"/>
    <x v="1"/>
    <d v="2024-11-01T00:00:00"/>
    <d v="2024-11-30T00:00:00"/>
    <x v="4"/>
    <x v="21"/>
    <n v="0"/>
    <n v="0"/>
    <n v="0"/>
    <n v="0"/>
    <n v="0"/>
    <n v="0"/>
    <n v="0"/>
    <n v="0"/>
    <n v="0"/>
    <n v="0"/>
    <n v="0"/>
    <n v="0"/>
    <n v="0"/>
    <n v="0"/>
    <n v="0"/>
    <n v="0"/>
    <n v="0"/>
    <n v="0"/>
    <n v="0"/>
    <n v="0"/>
    <n v="0"/>
  </r>
  <r>
    <n v="1136"/>
    <d v="2024-12-13T15:44:39"/>
    <d v="2024-12-13T15:47:23"/>
    <s v="dchirwa@lighthouse.org.mw"/>
    <s v="davis chirwa"/>
    <x v="8"/>
    <s v="Prototype"/>
    <x v="1"/>
    <s v="COP_24"/>
    <s v="COP_24"/>
    <s v="Quarter4"/>
    <s v="Quarter1"/>
    <s v="Qtr_1"/>
    <x v="1"/>
    <d v="2024-11-01T00:00:00"/>
    <d v="2024-11-30T00:00:00"/>
    <x v="5"/>
    <x v="37"/>
    <n v="1"/>
    <n v="3"/>
    <n v="0"/>
    <n v="0"/>
    <n v="1"/>
    <n v="4"/>
    <n v="1"/>
    <n v="1"/>
    <n v="0"/>
    <n v="0"/>
    <n v="0"/>
    <n v="1"/>
    <n v="1"/>
    <n v="0"/>
    <n v="0"/>
    <n v="0"/>
    <n v="0"/>
    <n v="1"/>
    <n v="0"/>
    <n v="1"/>
    <n v="0"/>
  </r>
  <r>
    <n v="1137"/>
    <d v="2024-12-13T15:47:26"/>
    <d v="2024-12-13T15:52:36"/>
    <s v="dchirwa@lighthouse.org.mw"/>
    <s v="davis chirwa"/>
    <x v="8"/>
    <s v="Prototype"/>
    <x v="1"/>
    <s v="COP_24"/>
    <s v="COP_24"/>
    <s v="Quarter4"/>
    <s v="Quarter1"/>
    <s v="Qtr_1"/>
    <x v="1"/>
    <d v="2024-11-01T00:00:00"/>
    <d v="2024-11-30T00:00:00"/>
    <x v="2"/>
    <x v="37"/>
    <n v="1"/>
    <n v="1"/>
    <n v="0"/>
    <n v="1"/>
    <n v="1"/>
    <n v="3"/>
    <n v="2"/>
    <n v="2"/>
    <n v="0"/>
    <n v="0"/>
    <n v="0"/>
    <n v="2"/>
    <n v="1"/>
    <n v="0"/>
    <n v="0"/>
    <n v="1"/>
    <n v="0"/>
    <n v="1"/>
    <n v="0"/>
    <n v="1"/>
    <n v="0"/>
  </r>
  <r>
    <n v="1284"/>
    <d v="2025-01-16T10:11:22"/>
    <d v="2025-01-16T10:18:08"/>
    <s v="dchirwa@lighthouse.org.mw"/>
    <s v="davis chirwa"/>
    <x v="8"/>
    <s v="Prototype"/>
    <x v="1"/>
    <s v="COP_24"/>
    <s v="COP_24"/>
    <s v="Quarter4"/>
    <s v="Quarter1"/>
    <s v="Qtr_1"/>
    <x v="11"/>
    <d v="2024-12-01T00:00:00"/>
    <d v="2024-12-31T00:00:00"/>
    <x v="0"/>
    <x v="2"/>
    <n v="5"/>
    <n v="21"/>
    <n v="5"/>
    <n v="3"/>
    <n v="1"/>
    <n v="28"/>
    <n v="10"/>
    <n v="10"/>
    <n v="1"/>
    <n v="0"/>
    <n v="0"/>
    <n v="8"/>
    <n v="2"/>
    <n v="2"/>
    <n v="1"/>
    <n v="5"/>
    <n v="1"/>
    <n v="6"/>
    <n v="2"/>
    <n v="3"/>
    <n v="1"/>
  </r>
  <r>
    <n v="1285"/>
    <d v="2025-01-16T10:19:41"/>
    <d v="2025-01-16T10:24:25"/>
    <s v="dchirwa@lighthouse.org.mw"/>
    <s v="davis chirwa"/>
    <x v="8"/>
    <s v="Prototype"/>
    <x v="1"/>
    <s v="COP_24"/>
    <s v="COP_24"/>
    <s v="Quarter4"/>
    <s v="Quarter1"/>
    <s v="Qtr_1"/>
    <x v="11"/>
    <d v="2024-12-01T00:00:00"/>
    <d v="2024-12-31T00:00:00"/>
    <x v="1"/>
    <x v="26"/>
    <n v="0"/>
    <n v="18"/>
    <n v="4"/>
    <n v="0"/>
    <n v="0"/>
    <n v="20"/>
    <n v="6"/>
    <n v="6"/>
    <n v="0"/>
    <n v="0"/>
    <n v="0"/>
    <n v="5"/>
    <n v="0"/>
    <n v="1"/>
    <n v="0"/>
    <n v="3"/>
    <n v="0"/>
    <n v="3"/>
    <n v="0"/>
    <n v="0"/>
    <n v="0"/>
  </r>
  <r>
    <n v="1286"/>
    <d v="2025-01-16T10:24:46"/>
    <d v="2025-01-16T10:28:59"/>
    <s v="dchirwa@lighthouse.org.mw"/>
    <s v="davis chirwa"/>
    <x v="8"/>
    <s v="Prototype"/>
    <x v="1"/>
    <s v="COP_24"/>
    <s v="COP_24"/>
    <s v="Quarter4"/>
    <s v="Quarter1"/>
    <s v="Qtr_1"/>
    <x v="11"/>
    <d v="2024-12-01T00:00:00"/>
    <d v="2024-12-31T00:00:00"/>
    <x v="5"/>
    <x v="20"/>
    <n v="1"/>
    <n v="1"/>
    <n v="0"/>
    <n v="0"/>
    <n v="1"/>
    <n v="2"/>
    <n v="1"/>
    <n v="1"/>
    <n v="0"/>
    <n v="0"/>
    <n v="0"/>
    <n v="1"/>
    <n v="1"/>
    <n v="0"/>
    <n v="0"/>
    <n v="0"/>
    <n v="0"/>
    <n v="1"/>
    <n v="1"/>
    <n v="1"/>
    <n v="0"/>
  </r>
  <r>
    <n v="1287"/>
    <d v="2025-01-16T10:29:24"/>
    <d v="2025-01-16T10:33:42"/>
    <s v="dchirwa@lighthouse.org.mw"/>
    <s v="davis chirwa"/>
    <x v="8"/>
    <s v="Prototype"/>
    <x v="1"/>
    <s v="COP_24"/>
    <s v="COP_24"/>
    <s v="Quarter4"/>
    <s v="Quarter1"/>
    <s v="Qtr_1"/>
    <x v="11"/>
    <d v="2024-12-01T00:00:00"/>
    <d v="2024-12-31T00:00:00"/>
    <x v="2"/>
    <x v="2"/>
    <n v="4"/>
    <n v="3"/>
    <n v="1"/>
    <n v="3"/>
    <n v="0"/>
    <n v="7"/>
    <n v="3"/>
    <n v="4"/>
    <n v="1"/>
    <n v="0"/>
    <n v="0"/>
    <n v="3"/>
    <n v="1"/>
    <n v="1"/>
    <n v="1"/>
    <n v="2"/>
    <n v="1"/>
    <n v="2"/>
    <n v="1"/>
    <n v="2"/>
    <n v="1"/>
  </r>
  <r>
    <n v="1288"/>
    <d v="2025-01-16T10:33:50"/>
    <d v="2025-01-16T10:35:27"/>
    <s v="dchirwa@lighthouse.org.mw"/>
    <s v="davis chirwa"/>
    <x v="8"/>
    <s v="Prototype"/>
    <x v="1"/>
    <s v="COP_22"/>
    <s v="COP_24"/>
    <s v="Quarter4"/>
    <s v="Quarter1"/>
    <s v="Qtr_1"/>
    <x v="11"/>
    <d v="2024-12-01T00:00:00"/>
    <d v="2024-12-31T00:00:00"/>
    <x v="3"/>
    <x v="21"/>
    <n v="0"/>
    <n v="0"/>
    <n v="0"/>
    <n v="0"/>
    <n v="0"/>
    <n v="0"/>
    <n v="0"/>
    <n v="0"/>
    <n v="0"/>
    <n v="0"/>
    <n v="0"/>
    <n v="0"/>
    <n v="0"/>
    <n v="0"/>
    <n v="0"/>
    <n v="0"/>
    <n v="0"/>
    <n v="0"/>
    <n v="0"/>
    <n v="0"/>
    <n v="0"/>
  </r>
  <r>
    <n v="1290"/>
    <d v="2025-01-16T10:35:31"/>
    <d v="2025-01-16T10:36:56"/>
    <s v="dchirwa@lighthouse.org.mw"/>
    <s v="davis chirwa"/>
    <x v="8"/>
    <s v="Prototype"/>
    <x v="1"/>
    <s v="COP_22"/>
    <s v="COP_24"/>
    <s v="Quarter4"/>
    <s v="Quarter1"/>
    <s v="Qtr_1"/>
    <x v="11"/>
    <d v="2024-12-01T00:00:00"/>
    <d v="2024-12-31T00:00:00"/>
    <x v="4"/>
    <x v="21"/>
    <n v="0"/>
    <n v="0"/>
    <n v="0"/>
    <n v="0"/>
    <n v="0"/>
    <n v="0"/>
    <n v="0"/>
    <n v="0"/>
    <n v="0"/>
    <n v="0"/>
    <n v="0"/>
    <n v="0"/>
    <n v="0"/>
    <n v="0"/>
    <n v="0"/>
    <n v="0"/>
    <n v="0"/>
    <n v="0"/>
    <n v="0"/>
    <n v="0"/>
    <n v="0"/>
  </r>
  <r>
    <n v="1291"/>
    <d v="2025-01-16T10:37:15"/>
    <d v="2025-01-16T10:39:55"/>
    <s v="dchirwa@lighthouse.org.mw"/>
    <s v="davis chirwa"/>
    <x v="8"/>
    <s v="Prototype"/>
    <x v="1"/>
    <s v="COP_23"/>
    <s v="COP_24"/>
    <s v="Quarter4"/>
    <s v="Quarter1"/>
    <s v="Qtr_1"/>
    <x v="11"/>
    <d v="2024-12-01T00:00:00"/>
    <d v="2024-12-31T00:00:00"/>
    <x v="6"/>
    <x v="21"/>
    <n v="0"/>
    <n v="0"/>
    <n v="0"/>
    <n v="0"/>
    <n v="0"/>
    <n v="0"/>
    <n v="0"/>
    <n v="0"/>
    <n v="0"/>
    <n v="0"/>
    <n v="0"/>
    <n v="0"/>
    <n v="0"/>
    <n v="0"/>
    <n v="0"/>
    <n v="0"/>
    <n v="0"/>
    <n v="0"/>
    <n v="0"/>
    <n v="0"/>
    <n v="0"/>
  </r>
  <r>
    <n v="1412"/>
    <d v="2025-03-12T10:12:08"/>
    <d v="2025-03-12T10:12:26"/>
    <s v="dchirwa@lighthouse.org.mw"/>
    <s v="davis chirwa"/>
    <x v="8"/>
    <s v="Prototype"/>
    <x v="2"/>
    <s v="COP_23"/>
    <s v="COP_24"/>
    <s v="Quarter1"/>
    <s v="Quarter2"/>
    <s v="Qtr_2"/>
    <x v="4"/>
    <d v="2025-01-01T00:00:00"/>
    <d v="2025-01-31T00:00:00"/>
    <x v="0"/>
    <x v="28"/>
    <n v="5"/>
    <n v="23"/>
    <n v="2"/>
    <n v="2"/>
    <n v="4"/>
    <n v="27"/>
    <n v="6"/>
    <n v="5"/>
    <n v="1"/>
    <n v="0"/>
    <n v="0"/>
    <n v="7"/>
    <n v="2"/>
    <n v="0"/>
    <n v="0"/>
    <n v="5"/>
    <n v="1"/>
    <n v="2"/>
    <n v="0"/>
    <n v="2"/>
    <n v="1"/>
  </r>
  <r>
    <n v="1413"/>
    <d v="2025-03-12T10:12:44"/>
    <d v="2025-03-12T10:20:08"/>
    <s v="dchirwa@lighthouse.org.mw"/>
    <s v="davis chirwa"/>
    <x v="8"/>
    <s v="Prototype"/>
    <x v="2"/>
    <s v="COP_23"/>
    <s v="COP_24"/>
    <s v="Quarter1"/>
    <s v="Quarter2"/>
    <s v="Qtr_2"/>
    <x v="4"/>
    <d v="2025-01-01T00:00:00"/>
    <d v="2025-01-31T00:00:00"/>
    <x v="1"/>
    <x v="62"/>
    <n v="3"/>
    <n v="21"/>
    <n v="1"/>
    <n v="2"/>
    <n v="3"/>
    <n v="23"/>
    <n v="5"/>
    <n v="5"/>
    <n v="1"/>
    <n v="0"/>
    <n v="0"/>
    <n v="6"/>
    <n v="1"/>
    <n v="0"/>
    <n v="0"/>
    <n v="3"/>
    <n v="1"/>
    <n v="1"/>
    <n v="0"/>
    <n v="1"/>
    <n v="1"/>
  </r>
  <r>
    <n v="1414"/>
    <d v="2025-03-12T10:20:16"/>
    <d v="2025-03-12T10:36:19"/>
    <s v="dchirwa@lighthouse.org.mw"/>
    <s v="davis chirwa"/>
    <x v="8"/>
    <s v="Prototype"/>
    <x v="2"/>
    <s v="COP_23"/>
    <s v="COP_24"/>
    <s v="Quarter1"/>
    <s v="Quarter2"/>
    <s v="Qtr_2"/>
    <x v="4"/>
    <d v="2025-01-01T00:00:00"/>
    <d v="2025-01-31T00:00:00"/>
    <x v="3"/>
    <x v="18"/>
    <n v="1"/>
    <n v="1"/>
    <n v="0"/>
    <n v="0"/>
    <n v="0"/>
    <n v="0"/>
    <n v="0"/>
    <n v="0"/>
    <n v="0"/>
    <n v="0"/>
    <n v="0"/>
    <n v="0"/>
    <n v="0"/>
    <n v="0"/>
    <n v="0"/>
    <n v="1"/>
    <n v="0"/>
    <n v="0"/>
    <n v="0"/>
    <n v="0"/>
    <n v="0"/>
  </r>
  <r>
    <n v="1415"/>
    <d v="2025-03-12T10:36:33"/>
    <d v="2025-03-12T10:42:16"/>
    <s v="dchirwa@lighthouse.org.mw"/>
    <s v="davis chirwa"/>
    <x v="8"/>
    <s v="Prototype"/>
    <x v="2"/>
    <s v="COP_23"/>
    <s v="COP_24"/>
    <s v="Quarter1"/>
    <s v="Quarter2"/>
    <s v="Qtr_2"/>
    <x v="4"/>
    <d v="2025-01-01T00:00:00"/>
    <d v="2025-01-31T00:00:00"/>
    <x v="2"/>
    <x v="30"/>
    <n v="2"/>
    <n v="1"/>
    <n v="1"/>
    <n v="0"/>
    <n v="1"/>
    <n v="3"/>
    <n v="1"/>
    <n v="0"/>
    <n v="0"/>
    <n v="0"/>
    <n v="0"/>
    <n v="1"/>
    <n v="1"/>
    <n v="0"/>
    <n v="0"/>
    <n v="2"/>
    <n v="0"/>
    <n v="1"/>
    <n v="0"/>
    <n v="1"/>
    <n v="0"/>
  </r>
  <r>
    <n v="1416"/>
    <d v="2025-03-12T10:42:40"/>
    <d v="2025-03-12T10:52:50"/>
    <s v="dchirwa@lighthouse.org.mw"/>
    <s v="davis chirwa"/>
    <x v="8"/>
    <s v="Prototype"/>
    <x v="2"/>
    <s v="COP_23"/>
    <s v="COP_24"/>
    <s v="Quarter1"/>
    <s v="Quarter2"/>
    <s v="Qtr_2"/>
    <x v="4"/>
    <d v="2025-01-01T00:00:00"/>
    <d v="2025-01-31T00:00:00"/>
    <x v="4"/>
    <x v="21"/>
    <n v="0"/>
    <n v="0"/>
    <n v="0"/>
    <n v="0"/>
    <n v="0"/>
    <n v="0"/>
    <n v="0"/>
    <n v="0"/>
    <n v="0"/>
    <n v="0"/>
    <n v="0"/>
    <n v="0"/>
    <n v="0"/>
    <n v="0"/>
    <n v="0"/>
    <n v="0"/>
    <n v="0"/>
    <n v="0"/>
    <n v="0"/>
    <n v="0"/>
    <n v="0"/>
  </r>
  <r>
    <n v="1417"/>
    <d v="2025-03-12T10:53:01"/>
    <d v="2025-03-12T10:57:37"/>
    <s v="dchirwa@lighthouse.org.mw"/>
    <s v="davis chirwa"/>
    <x v="8"/>
    <s v="Prototype"/>
    <x v="2"/>
    <s v="COP_23"/>
    <s v="COP_24"/>
    <s v="Quarter1"/>
    <s v="Quarter2"/>
    <s v="Qtr_2"/>
    <x v="4"/>
    <d v="2025-01-01T00:00:00"/>
    <d v="2025-01-31T00:00:00"/>
    <x v="5"/>
    <x v="21"/>
    <n v="0"/>
    <n v="0"/>
    <n v="0"/>
    <n v="0"/>
    <n v="0"/>
    <n v="0"/>
    <n v="0"/>
    <n v="0"/>
    <n v="0"/>
    <n v="0"/>
    <n v="0"/>
    <n v="0"/>
    <n v="0"/>
    <n v="0"/>
    <n v="0"/>
    <n v="0"/>
    <n v="0"/>
    <n v="0"/>
    <n v="0"/>
    <n v="0"/>
    <n v="0"/>
  </r>
  <r>
    <n v="1418"/>
    <d v="2025-03-12T10:58:06"/>
    <d v="2025-03-12T11:00:56"/>
    <s v="dchirwa@lighthouse.org.mw"/>
    <s v="davis chirwa"/>
    <x v="8"/>
    <s v="Prototype"/>
    <x v="2"/>
    <s v="COP_23"/>
    <s v="COP_24"/>
    <s v="Quarter1"/>
    <s v="Quarter2"/>
    <s v="Qtr_2"/>
    <x v="4"/>
    <d v="2025-01-01T00:00:00"/>
    <d v="2025-01-31T00:00:00"/>
    <x v="6"/>
    <x v="21"/>
    <n v="0"/>
    <n v="0"/>
    <n v="0"/>
    <n v="0"/>
    <n v="0"/>
    <n v="0"/>
    <n v="0"/>
    <n v="0"/>
    <n v="0"/>
    <n v="0"/>
    <n v="0"/>
    <n v="0"/>
    <n v="0"/>
    <n v="0"/>
    <n v="0"/>
    <n v="0"/>
    <n v="0"/>
    <n v="0"/>
    <n v="0"/>
    <n v="0"/>
    <n v="0"/>
  </r>
  <r>
    <n v="1419"/>
    <d v="2025-03-13T10:04:55"/>
    <d v="2025-03-13T10:11:18"/>
    <s v="dchirwa@lighthouse.org.mw"/>
    <s v="davis chirwa"/>
    <x v="8"/>
    <s v="Prototype"/>
    <x v="2"/>
    <s v="COP_23"/>
    <s v="COP_24"/>
    <s v="Quarter1"/>
    <s v="Quarter2"/>
    <s v="Qtr_2"/>
    <x v="5"/>
    <d v="2025-02-01T00:00:00"/>
    <d v="2025-02-28T00:00:00"/>
    <x v="0"/>
    <x v="33"/>
    <n v="3"/>
    <n v="2"/>
    <n v="1"/>
    <n v="1"/>
    <n v="0"/>
    <n v="3"/>
    <n v="1"/>
    <n v="1"/>
    <n v="0"/>
    <n v="0"/>
    <n v="0"/>
    <n v="0"/>
    <n v="0"/>
    <n v="1"/>
    <n v="1"/>
    <n v="1"/>
    <n v="1"/>
    <n v="1"/>
    <n v="0"/>
    <n v="1"/>
    <n v="0"/>
  </r>
  <r>
    <n v="1420"/>
    <d v="2025-03-13T10:11:36"/>
    <d v="2025-03-13T10:22:22"/>
    <s v="dchirwa@lighthouse.org.mw"/>
    <s v="davis chirwa"/>
    <x v="8"/>
    <s v="Prototype"/>
    <x v="2"/>
    <s v="COP_23"/>
    <s v="COP_24"/>
    <s v="Quarter1"/>
    <s v="Quarter2"/>
    <s v="Qtr_2"/>
    <x v="5"/>
    <d v="2025-02-01T00:00:00"/>
    <d v="2025-02-28T00:00:00"/>
    <x v="1"/>
    <x v="33"/>
    <n v="3"/>
    <n v="2"/>
    <n v="1"/>
    <n v="1"/>
    <n v="0"/>
    <n v="3"/>
    <n v="1"/>
    <n v="1"/>
    <n v="0"/>
    <n v="0"/>
    <n v="0"/>
    <n v="0"/>
    <n v="0"/>
    <n v="1"/>
    <n v="1"/>
    <n v="1"/>
    <n v="1"/>
    <n v="1"/>
    <n v="0"/>
    <n v="1"/>
    <n v="0"/>
  </r>
  <r>
    <n v="1421"/>
    <d v="2025-03-13T10:22:32"/>
    <d v="2025-03-13T10:26:04"/>
    <s v="dchirwa@lighthouse.org.mw"/>
    <s v="davis chirwa"/>
    <x v="8"/>
    <s v="Prototype"/>
    <x v="2"/>
    <s v="COP_23"/>
    <s v="COP_24"/>
    <s v="Quarter1"/>
    <s v="Quarter2"/>
    <s v="Qtr_2"/>
    <x v="5"/>
    <d v="2025-02-01T00:00:00"/>
    <d v="2025-02-28T00:00:00"/>
    <x v="3"/>
    <x v="21"/>
    <n v="0"/>
    <n v="0"/>
    <n v="0"/>
    <n v="0"/>
    <n v="0"/>
    <n v="0"/>
    <n v="0"/>
    <n v="0"/>
    <n v="0"/>
    <n v="0"/>
    <n v="0"/>
    <n v="0"/>
    <n v="0"/>
    <n v="0"/>
    <n v="0"/>
    <n v="0"/>
    <n v="0"/>
    <n v="0"/>
    <n v="0"/>
    <n v="0"/>
    <n v="0"/>
  </r>
  <r>
    <n v="1422"/>
    <d v="2025-03-13T10:26:17"/>
    <d v="2025-03-13T10:28:25"/>
    <s v="dchirwa@lighthouse.org.mw"/>
    <s v="davis chirwa"/>
    <x v="8"/>
    <s v="Prototype"/>
    <x v="2"/>
    <s v="COP_23"/>
    <s v="COP_24"/>
    <s v="Quarter1"/>
    <s v="Quarter2"/>
    <s v="Qtr_2"/>
    <x v="5"/>
    <d v="2025-02-01T00:00:00"/>
    <d v="2025-02-28T00:00:00"/>
    <x v="4"/>
    <x v="21"/>
    <n v="0"/>
    <n v="0"/>
    <n v="0"/>
    <n v="0"/>
    <n v="0"/>
    <n v="0"/>
    <n v="0"/>
    <n v="0"/>
    <n v="0"/>
    <n v="0"/>
    <n v="0"/>
    <n v="0"/>
    <n v="0"/>
    <n v="0"/>
    <n v="0"/>
    <n v="0"/>
    <n v="0"/>
    <n v="0"/>
    <n v="0"/>
    <n v="0"/>
    <n v="0"/>
  </r>
  <r>
    <n v="1423"/>
    <d v="2025-03-13T10:29:07"/>
    <d v="2025-03-13T10:32:34"/>
    <s v="dchirwa@lighthouse.org.mw"/>
    <s v="davis chirwa"/>
    <x v="8"/>
    <s v="Prototype"/>
    <x v="2"/>
    <s v="COP_23"/>
    <s v="COP_24"/>
    <s v="Quarter1"/>
    <s v="Quarter2"/>
    <s v="Qtr_2"/>
    <x v="5"/>
    <d v="2025-02-01T00:00:00"/>
    <d v="2025-02-28T00:00:00"/>
    <x v="5"/>
    <x v="21"/>
    <n v="0"/>
    <n v="0"/>
    <n v="0"/>
    <n v="0"/>
    <n v="0"/>
    <n v="0"/>
    <n v="0"/>
    <n v="0"/>
    <n v="0"/>
    <n v="0"/>
    <n v="0"/>
    <n v="0"/>
    <n v="0"/>
    <n v="0"/>
    <n v="0"/>
    <n v="0"/>
    <n v="0"/>
    <n v="0"/>
    <n v="0"/>
    <n v="0"/>
    <n v="0"/>
  </r>
  <r>
    <n v="1424"/>
    <d v="2025-03-13T10:36:00"/>
    <d v="2025-03-13T10:38:25"/>
    <s v="dchirwa@lighthouse.org.mw"/>
    <s v="davis chirwa"/>
    <x v="8"/>
    <s v="Prototype"/>
    <x v="2"/>
    <s v="COP_23"/>
    <s v="COP_24"/>
    <s v="Quarter1"/>
    <s v="Quarter2"/>
    <s v="Qtr_2"/>
    <x v="5"/>
    <d v="2025-02-01T00:00:00"/>
    <d v="2025-02-28T00:00:00"/>
    <x v="2"/>
    <x v="21"/>
    <n v="0"/>
    <n v="0"/>
    <n v="0"/>
    <n v="0"/>
    <n v="0"/>
    <n v="0"/>
    <n v="0"/>
    <n v="0"/>
    <n v="0"/>
    <n v="0"/>
    <n v="0"/>
    <n v="0"/>
    <n v="0"/>
    <n v="0"/>
    <n v="0"/>
    <n v="0"/>
    <n v="0"/>
    <n v="0"/>
    <n v="0"/>
    <n v="0"/>
    <n v="0"/>
  </r>
  <r>
    <n v="1425"/>
    <d v="2025-03-13T10:38:31"/>
    <d v="2025-03-13T10:40:44"/>
    <s v="dchirwa@lighthouse.org.mw"/>
    <s v="davis chirwa"/>
    <x v="8"/>
    <s v="Prototype"/>
    <x v="2"/>
    <s v="COP_23"/>
    <s v="COP_24"/>
    <s v="Quarter1"/>
    <s v="Quarter2"/>
    <s v="Qtr_2"/>
    <x v="5"/>
    <d v="2025-02-01T00:00:00"/>
    <d v="2025-02-28T00:00:00"/>
    <x v="6"/>
    <x v="21"/>
    <n v="0"/>
    <n v="0"/>
    <n v="0"/>
    <n v="0"/>
    <n v="0"/>
    <n v="0"/>
    <n v="0"/>
    <n v="0"/>
    <n v="0"/>
    <n v="0"/>
    <n v="0"/>
    <n v="0"/>
    <n v="0"/>
    <n v="0"/>
    <n v="0"/>
    <n v="0"/>
    <n v="0"/>
    <n v="0"/>
    <n v="0"/>
    <n v="0"/>
    <n v="0"/>
  </r>
  <r>
    <n v="1527"/>
    <d v="2025-04-10T16:52:51"/>
    <d v="2025-04-10T16:59:41"/>
    <s v="jkenneth@lighthouse.org.mw"/>
    <s v="Joseph Kenneth"/>
    <x v="8"/>
    <s v="Prototype"/>
    <x v="2"/>
    <s v="COP_23"/>
    <s v="COP_24"/>
    <s v="Quarter1"/>
    <s v="Quarter2"/>
    <s v="Qtr_2"/>
    <x v="3"/>
    <d v="2025-03-01T00:00:00"/>
    <d v="2025-03-31T00:00:00"/>
    <x v="5"/>
    <x v="30"/>
    <n v="0"/>
    <n v="1"/>
    <n v="2"/>
    <n v="0"/>
    <n v="0"/>
    <n v="3"/>
    <n v="0"/>
    <n v="0"/>
    <n v="0"/>
    <n v="0"/>
    <n v="0"/>
    <n v="0"/>
    <n v="0"/>
    <n v="0"/>
    <n v="0"/>
    <n v="0"/>
    <n v="0"/>
    <n v="0"/>
    <n v="0"/>
    <n v="0"/>
    <n v="0"/>
  </r>
  <r>
    <n v="1528"/>
    <d v="2025-04-10T16:59:58"/>
    <d v="2025-04-10T17:03:14"/>
    <s v="jkenneth@lighthouse.org.mw"/>
    <s v="Joseph Kenneth"/>
    <x v="8"/>
    <s v="Prototype"/>
    <x v="2"/>
    <s v="COP_23"/>
    <s v="COP_24"/>
    <s v="Quarter1"/>
    <s v="Quarter2"/>
    <s v="Qtr_2"/>
    <x v="3"/>
    <d v="2025-03-01T00:00:00"/>
    <d v="2025-03-31T00:00:00"/>
    <x v="2"/>
    <x v="18"/>
    <n v="1"/>
    <n v="0"/>
    <n v="0"/>
    <n v="0"/>
    <n v="1"/>
    <n v="1"/>
    <n v="1"/>
    <n v="1"/>
    <n v="0"/>
    <n v="0"/>
    <n v="0"/>
    <n v="1"/>
    <n v="1"/>
    <n v="1"/>
    <n v="1"/>
    <n v="0"/>
    <n v="0"/>
    <n v="0"/>
    <n v="0"/>
    <n v="1"/>
    <n v="0"/>
  </r>
  <r>
    <n v="1529"/>
    <d v="2025-04-10T17:07:24"/>
    <d v="2025-04-10T17:12:38"/>
    <s v="jkenneth@lighthouse.org.mw"/>
    <s v="Joseph Kenneth"/>
    <x v="8"/>
    <s v="Prototype"/>
    <x v="2"/>
    <s v="COP_23"/>
    <s v="COP_24"/>
    <s v="Quarter1"/>
    <s v="Quarter2"/>
    <s v="Qtr_2"/>
    <x v="3"/>
    <d v="2025-03-01T00:00:00"/>
    <d v="2025-03-31T00:00:00"/>
    <x v="1"/>
    <x v="9"/>
    <n v="4"/>
    <n v="16"/>
    <n v="2"/>
    <n v="4"/>
    <n v="3"/>
    <n v="21"/>
    <n v="10"/>
    <n v="10"/>
    <n v="0"/>
    <n v="0"/>
    <n v="0"/>
    <n v="10"/>
    <n v="1"/>
    <n v="2"/>
    <n v="0"/>
    <n v="10"/>
    <n v="0"/>
    <n v="7"/>
    <n v="1"/>
    <n v="1"/>
    <n v="0"/>
  </r>
  <r>
    <n v="1530"/>
    <d v="2025-04-10T17:12:56"/>
    <d v="2025-04-10T17:17:35"/>
    <s v="jkenneth@lighthouse.org.mw"/>
    <s v="Joseph Kenneth"/>
    <x v="8"/>
    <s v="Prototype"/>
    <x v="2"/>
    <s v="COP_23"/>
    <s v="COP_24"/>
    <s v="Quarter1"/>
    <s v="Quarter2"/>
    <s v="Qtr_2"/>
    <x v="3"/>
    <d v="2025-03-01T00:00:00"/>
    <d v="2025-03-31T00:00:00"/>
    <x v="0"/>
    <x v="34"/>
    <n v="5"/>
    <n v="17"/>
    <n v="4"/>
    <n v="4"/>
    <n v="4"/>
    <n v="25"/>
    <n v="11"/>
    <n v="11"/>
    <n v="0"/>
    <n v="0"/>
    <n v="0"/>
    <n v="11"/>
    <n v="2"/>
    <n v="3"/>
    <n v="1"/>
    <n v="10"/>
    <n v="0"/>
    <n v="7"/>
    <n v="1"/>
    <n v="2"/>
    <n v="0"/>
  </r>
  <r>
    <n v="1532"/>
    <d v="2025-04-14T15:34:12"/>
    <d v="2025-04-14T15:35:40"/>
    <s v="jkenneth@lighthouse.org.mw"/>
    <s v="Joseph Kenneth"/>
    <x v="8"/>
    <s v="Prototype"/>
    <x v="2"/>
    <s v="COP_23"/>
    <s v="COP_24"/>
    <s v="Quarter1"/>
    <s v="Quarter2"/>
    <s v="Qtr_2"/>
    <x v="3"/>
    <d v="2025-03-01T00:00:00"/>
    <d v="2025-03-31T00:00:00"/>
    <x v="6"/>
    <x v="21"/>
    <n v="0"/>
    <n v="0"/>
    <n v="0"/>
    <n v="0"/>
    <n v="0"/>
    <n v="0"/>
    <n v="0"/>
    <n v="0"/>
    <n v="0"/>
    <n v="0"/>
    <n v="0"/>
    <n v="0"/>
    <n v="0"/>
    <n v="0"/>
    <n v="0"/>
    <n v="0"/>
    <n v="0"/>
    <n v="0"/>
    <n v="0"/>
    <n v="0"/>
    <n v="0"/>
  </r>
  <r>
    <n v="1533"/>
    <d v="2025-04-14T15:35:43"/>
    <d v="2025-04-14T15:37:13"/>
    <s v="jkenneth@lighthouse.org.mw"/>
    <s v="Joseph Kenneth"/>
    <x v="8"/>
    <s v="Prototype"/>
    <x v="2"/>
    <s v="COP_23"/>
    <s v="COP_24"/>
    <s v="Quarter1"/>
    <s v="Quarter2"/>
    <s v="Qtr_2"/>
    <x v="3"/>
    <d v="2025-03-01T00:00:00"/>
    <d v="2025-03-31T00:00:00"/>
    <x v="3"/>
    <x v="21"/>
    <n v="0"/>
    <n v="0"/>
    <n v="0"/>
    <n v="0"/>
    <n v="0"/>
    <n v="0"/>
    <n v="0"/>
    <n v="0"/>
    <n v="0"/>
    <n v="0"/>
    <n v="0"/>
    <n v="0"/>
    <n v="0"/>
    <n v="0"/>
    <n v="0"/>
    <n v="0"/>
    <n v="0"/>
    <n v="0"/>
    <n v="0"/>
    <n v="0"/>
    <n v="0"/>
  </r>
  <r>
    <n v="1534"/>
    <d v="2025-04-14T15:37:15"/>
    <d v="2025-04-14T15:38:43"/>
    <s v="jkenneth@lighthouse.org.mw"/>
    <s v="Joseph Kenneth"/>
    <x v="8"/>
    <s v="Prototype"/>
    <x v="2"/>
    <s v="COP_23"/>
    <s v="COP_24"/>
    <s v="Quarter1"/>
    <s v="Quarter2"/>
    <s v="Qtr_2"/>
    <x v="3"/>
    <d v="2025-03-01T00:00:00"/>
    <d v="2025-03-31T00:00:00"/>
    <x v="4"/>
    <x v="21"/>
    <n v="0"/>
    <n v="0"/>
    <n v="0"/>
    <n v="0"/>
    <n v="0"/>
    <n v="0"/>
    <n v="0"/>
    <n v="0"/>
    <n v="0"/>
    <n v="0"/>
    <n v="0"/>
    <n v="0"/>
    <n v="0"/>
    <n v="0"/>
    <n v="0"/>
    <n v="0"/>
    <n v="0"/>
    <n v="0"/>
    <n v="0"/>
    <n v="0"/>
    <n v="0"/>
  </r>
  <r>
    <n v="1654"/>
    <d v="2025-06-10T07:44:21"/>
    <d v="2025-06-10T07:50:15"/>
    <s v="jkenneth@lighthouse.org.mw"/>
    <s v="Joseph Kenneth"/>
    <x v="8"/>
    <s v="Prototype"/>
    <x v="2"/>
    <s v="COP_23"/>
    <m/>
    <s v="Quarter3"/>
    <s v="Quarter3"/>
    <m/>
    <x v="7"/>
    <d v="2025-04-01T00:00:00"/>
    <d v="2025-04-30T00:00:00"/>
    <x v="0"/>
    <x v="26"/>
    <n v="6"/>
    <n v="11"/>
    <n v="3"/>
    <n v="2"/>
    <n v="6"/>
    <n v="22"/>
    <n v="9"/>
    <n v="9"/>
    <n v="0"/>
    <n v="0"/>
    <n v="0"/>
    <n v="9"/>
    <n v="5"/>
    <n v="0"/>
    <n v="0"/>
    <n v="3"/>
    <n v="1"/>
    <n v="4"/>
    <n v="1"/>
    <n v="5"/>
    <n v="0"/>
  </r>
  <r>
    <n v="1655"/>
    <d v="2025-06-10T07:51:34"/>
    <d v="2025-06-10T07:54:59"/>
    <s v="jkenneth@lighthouse.org.mw"/>
    <s v="Joseph Kenneth"/>
    <x v="8"/>
    <s v="Prototype"/>
    <x v="2"/>
    <s v="COP_23"/>
    <m/>
    <s v="Quarter3"/>
    <s v="Quarter3"/>
    <m/>
    <x v="7"/>
    <d v="2025-04-01T00:00:00"/>
    <d v="2025-04-30T00:00:00"/>
    <x v="4"/>
    <x v="18"/>
    <n v="1"/>
    <n v="0"/>
    <n v="0"/>
    <n v="0"/>
    <n v="1"/>
    <n v="1"/>
    <n v="0"/>
    <n v="0"/>
    <n v="0"/>
    <n v="0"/>
    <n v="0"/>
    <n v="0"/>
    <n v="0"/>
    <n v="0"/>
    <n v="0"/>
    <n v="0"/>
    <n v="0"/>
    <n v="0"/>
    <n v="0"/>
    <n v="0"/>
    <n v="0"/>
  </r>
  <r>
    <n v="1656"/>
    <d v="2025-06-10T07:55:06"/>
    <d v="2025-06-10T08:01:04"/>
    <s v="jkenneth@lighthouse.org.mw"/>
    <s v="Joseph Kenneth"/>
    <x v="8"/>
    <s v="Prototype"/>
    <x v="2"/>
    <s v="COP_23"/>
    <m/>
    <s v="Quarter3"/>
    <s v="Quarter3"/>
    <m/>
    <x v="7"/>
    <d v="2025-04-01T00:00:00"/>
    <d v="2025-04-30T00:00:00"/>
    <x v="1"/>
    <x v="51"/>
    <n v="1"/>
    <n v="11"/>
    <n v="3"/>
    <n v="1"/>
    <n v="2"/>
    <n v="17"/>
    <n v="4"/>
    <n v="2"/>
    <n v="0"/>
    <n v="1"/>
    <n v="0"/>
    <n v="4"/>
    <n v="1"/>
    <n v="0"/>
    <n v="0"/>
    <n v="2"/>
    <n v="1"/>
    <n v="2"/>
    <n v="0"/>
    <n v="1"/>
    <n v="0"/>
  </r>
  <r>
    <n v="1657"/>
    <d v="2025-06-10T08:01:11"/>
    <d v="2025-06-10T08:07:32"/>
    <s v="jkenneth@lighthouse.org.mw"/>
    <s v="Joseph Kenneth"/>
    <x v="8"/>
    <s v="Prototype"/>
    <x v="2"/>
    <s v="COP_23"/>
    <m/>
    <s v="Quarter3"/>
    <s v="Quarter3"/>
    <m/>
    <x v="7"/>
    <d v="2025-04-01T00:00:00"/>
    <d v="2025-04-30T00:00:00"/>
    <x v="2"/>
    <x v="54"/>
    <n v="4"/>
    <n v="0"/>
    <n v="0"/>
    <n v="1"/>
    <n v="4"/>
    <n v="5"/>
    <n v="5"/>
    <n v="5"/>
    <n v="0"/>
    <n v="0"/>
    <n v="0"/>
    <n v="5"/>
    <n v="4"/>
    <n v="0"/>
    <n v="0"/>
    <n v="3"/>
    <n v="2"/>
    <n v="2"/>
    <n v="1"/>
    <n v="4"/>
    <n v="0"/>
  </r>
  <r>
    <n v="1658"/>
    <d v="2025-06-10T08:07:40"/>
    <d v="2025-06-10T08:09:55"/>
    <s v="jkenneth@lighthouse.org.mw"/>
    <s v="Joseph Kenneth"/>
    <x v="8"/>
    <s v="Prototype"/>
    <x v="2"/>
    <s v="COP_23"/>
    <m/>
    <s v="Quarter3"/>
    <s v="Quarter3"/>
    <m/>
    <x v="7"/>
    <d v="2025-04-01T00:00:00"/>
    <d v="2025-04-30T00:00:00"/>
    <x v="5"/>
    <x v="21"/>
    <n v="0"/>
    <n v="0"/>
    <n v="0"/>
    <n v="0"/>
    <n v="0"/>
    <n v="0"/>
    <n v="0"/>
    <n v="0"/>
    <n v="0"/>
    <n v="0"/>
    <n v="0"/>
    <n v="0"/>
    <n v="0"/>
    <n v="0"/>
    <n v="0"/>
    <n v="0"/>
    <n v="0"/>
    <n v="0"/>
    <n v="0"/>
    <n v="0"/>
    <n v="0"/>
  </r>
  <r>
    <n v="1659"/>
    <d v="2025-06-10T08:11:07"/>
    <d v="2025-06-10T08:12:28"/>
    <s v="jkenneth@lighthouse.org.mw"/>
    <s v="Joseph Kenneth"/>
    <x v="8"/>
    <s v="Prototype"/>
    <x v="2"/>
    <s v="COP_23"/>
    <m/>
    <s v="Quarter3"/>
    <s v="Quarter3"/>
    <m/>
    <x v="7"/>
    <d v="2025-04-01T00:00:00"/>
    <d v="2025-04-30T00:00:00"/>
    <x v="3"/>
    <x v="21"/>
    <n v="0"/>
    <n v="0"/>
    <n v="0"/>
    <n v="0"/>
    <n v="0"/>
    <n v="0"/>
    <n v="0"/>
    <n v="0"/>
    <n v="0"/>
    <n v="0"/>
    <n v="0"/>
    <n v="0"/>
    <n v="0"/>
    <n v="0"/>
    <n v="0"/>
    <n v="0"/>
    <n v="0"/>
    <n v="0"/>
    <n v="0"/>
    <n v="0"/>
    <n v="0"/>
  </r>
  <r>
    <n v="1660"/>
    <d v="2025-06-10T08:12:41"/>
    <d v="2025-06-10T08:16:52"/>
    <s v="jkenneth@lighthouse.org.mw"/>
    <s v="Joseph Kenneth"/>
    <x v="8"/>
    <s v="Prototype"/>
    <x v="2"/>
    <s v="COP_23"/>
    <m/>
    <s v="Quarter3"/>
    <s v="Quarter3"/>
    <m/>
    <x v="6"/>
    <d v="2025-05-01T00:00:00"/>
    <d v="2025-05-31T00:00:00"/>
    <x v="0"/>
    <x v="41"/>
    <n v="9"/>
    <n v="20"/>
    <n v="3"/>
    <n v="4"/>
    <n v="7"/>
    <n v="34"/>
    <n v="10"/>
    <n v="10"/>
    <n v="1"/>
    <n v="0"/>
    <n v="0"/>
    <n v="7"/>
    <n v="7"/>
    <n v="2"/>
    <n v="0"/>
    <n v="6"/>
    <n v="4"/>
    <n v="5"/>
    <n v="2"/>
    <n v="8"/>
    <n v="0"/>
  </r>
  <r>
    <n v="1661"/>
    <d v="2025-06-10T08:16:57"/>
    <d v="2025-06-10T08:22:45"/>
    <s v="jkenneth@lighthouse.org.mw"/>
    <s v="Joseph Kenneth"/>
    <x v="8"/>
    <s v="Prototype"/>
    <x v="2"/>
    <s v="COP_23"/>
    <m/>
    <s v="Quarter2"/>
    <s v="Quarter3"/>
    <m/>
    <x v="6"/>
    <d v="2025-05-01T00:00:00"/>
    <d v="2025-05-31T00:00:00"/>
    <x v="1"/>
    <x v="2"/>
    <n v="5"/>
    <n v="20"/>
    <n v="3"/>
    <n v="4"/>
    <n v="3"/>
    <n v="29"/>
    <n v="7"/>
    <n v="6"/>
    <n v="1"/>
    <n v="0"/>
    <n v="0"/>
    <n v="6"/>
    <n v="4"/>
    <n v="2"/>
    <n v="0"/>
    <n v="3"/>
    <n v="2"/>
    <n v="4"/>
    <n v="1"/>
    <n v="5"/>
    <n v="0"/>
  </r>
  <r>
    <n v="1662"/>
    <d v="2025-06-10T08:22:56"/>
    <d v="2025-06-10T08:27:40"/>
    <s v="jkenneth@lighthouse.org.mw"/>
    <s v="Joseph Kenneth"/>
    <x v="8"/>
    <s v="Prototype"/>
    <x v="2"/>
    <s v="COP_23"/>
    <m/>
    <s v="Quarter2"/>
    <s v="Quarter3"/>
    <m/>
    <x v="6"/>
    <d v="2025-05-01T00:00:00"/>
    <d v="2025-05-31T00:00:00"/>
    <x v="2"/>
    <x v="30"/>
    <n v="3"/>
    <n v="0"/>
    <n v="0"/>
    <n v="0"/>
    <n v="3"/>
    <n v="3"/>
    <n v="3"/>
    <n v="3"/>
    <n v="0"/>
    <n v="0"/>
    <n v="0"/>
    <n v="3"/>
    <n v="3"/>
    <n v="3"/>
    <n v="0"/>
    <n v="3"/>
    <n v="2"/>
    <n v="3"/>
    <n v="1"/>
    <n v="3"/>
    <n v="0"/>
  </r>
  <r>
    <n v="1663"/>
    <d v="2025-06-10T08:27:43"/>
    <d v="2025-06-10T08:35:23"/>
    <s v="jkenneth@lighthouse.org.mw"/>
    <s v="Joseph Kenneth"/>
    <x v="8"/>
    <s v="Prototype"/>
    <x v="2"/>
    <s v="COP_23"/>
    <m/>
    <s v="Quarter2"/>
    <s v="Quarter3"/>
    <m/>
    <x v="6"/>
    <d v="2025-05-01T00:00:00"/>
    <d v="2025-05-31T00:00:00"/>
    <x v="5"/>
    <x v="18"/>
    <n v="1"/>
    <n v="0"/>
    <n v="0"/>
    <n v="0"/>
    <n v="1"/>
    <n v="1"/>
    <n v="1"/>
    <n v="1"/>
    <n v="0"/>
    <n v="0"/>
    <n v="0"/>
    <n v="1"/>
    <n v="1"/>
    <n v="0"/>
    <n v="0"/>
    <n v="1"/>
    <n v="1"/>
    <n v="0"/>
    <n v="0"/>
    <n v="1"/>
    <n v="0"/>
  </r>
  <r>
    <n v="1664"/>
    <d v="2025-06-10T08:35:26"/>
    <d v="2025-06-10T08:37:10"/>
    <s v="jkenneth@lighthouse.org.mw"/>
    <s v="Joseph Kenneth"/>
    <x v="8"/>
    <s v="Prototype"/>
    <x v="2"/>
    <s v="COP_23"/>
    <m/>
    <s v="Quarter2"/>
    <s v="Quarter3"/>
    <m/>
    <x v="6"/>
    <d v="2025-05-01T00:00:00"/>
    <d v="2025-05-31T00:00:00"/>
    <x v="3"/>
    <x v="18"/>
    <n v="0"/>
    <n v="0"/>
    <n v="0"/>
    <n v="1"/>
    <n v="0"/>
    <n v="0"/>
    <n v="0"/>
    <n v="0"/>
    <n v="0"/>
    <n v="0"/>
    <n v="0"/>
    <n v="0"/>
    <n v="0"/>
    <n v="0"/>
    <n v="0"/>
    <n v="0"/>
    <n v="0"/>
    <n v="0"/>
    <n v="0"/>
    <n v="0"/>
    <n v="0"/>
  </r>
  <r>
    <n v="1730"/>
    <d v="2025-07-08T08:50:02"/>
    <d v="2025-07-08T08:54:12"/>
    <s v="jkenneth@lighthouse.org.mw"/>
    <s v="Joseph Kenneth"/>
    <x v="8"/>
    <s v="Prototype"/>
    <x v="2"/>
    <s v="COP_23"/>
    <m/>
    <s v="Quarter2"/>
    <s v="Quarter3"/>
    <m/>
    <x v="8"/>
    <d v="2025-06-01T00:00:00"/>
    <d v="2025-06-30T00:00:00"/>
    <x v="0"/>
    <x v="2"/>
    <n v="5"/>
    <n v="18"/>
    <n v="3"/>
    <n v="3"/>
    <n v="6"/>
    <n v="30"/>
    <n v="13"/>
    <n v="13"/>
    <n v="0"/>
    <n v="0"/>
    <n v="0"/>
    <n v="13"/>
    <n v="4"/>
    <n v="1"/>
    <n v="0"/>
    <n v="4"/>
    <n v="2"/>
    <n v="6"/>
    <n v="4"/>
    <n v="5"/>
    <n v="0"/>
  </r>
  <r>
    <n v="1731"/>
    <d v="2025-07-08T08:54:28"/>
    <d v="2025-07-08T08:58:55"/>
    <s v="jkenneth@lighthouse.org.mw"/>
    <s v="Joseph Kenneth"/>
    <x v="8"/>
    <s v="Prototype"/>
    <x v="2"/>
    <s v="COP_23"/>
    <m/>
    <s v="Quarter2"/>
    <s v="Quarter3"/>
    <m/>
    <x v="8"/>
    <d v="2025-06-01T00:00:00"/>
    <d v="2025-06-30T00:00:00"/>
    <x v="1"/>
    <x v="62"/>
    <n v="2"/>
    <n v="18"/>
    <n v="2"/>
    <n v="1"/>
    <n v="6"/>
    <n v="27"/>
    <n v="10"/>
    <n v="10"/>
    <n v="0"/>
    <n v="0"/>
    <n v="0"/>
    <n v="9"/>
    <n v="4"/>
    <n v="1"/>
    <n v="0"/>
    <n v="3"/>
    <n v="2"/>
    <n v="6"/>
    <n v="4"/>
    <n v="5"/>
    <n v="0"/>
  </r>
  <r>
    <n v="1732"/>
    <d v="2025-07-08T08:58:59"/>
    <d v="2025-07-08T09:01:24"/>
    <s v="jkenneth@lighthouse.org.mw"/>
    <s v="Joseph Kenneth"/>
    <x v="8"/>
    <s v="Prototype"/>
    <x v="2"/>
    <s v="COP_23"/>
    <m/>
    <s v="Quarter2"/>
    <s v="Quarter3"/>
    <m/>
    <x v="8"/>
    <d v="2025-06-01T00:00:00"/>
    <d v="2025-06-30T00:00:00"/>
    <x v="2"/>
    <x v="18"/>
    <n v="1"/>
    <n v="0"/>
    <n v="0"/>
    <n v="1"/>
    <n v="0"/>
    <n v="1"/>
    <n v="1"/>
    <n v="1"/>
    <n v="0"/>
    <n v="0"/>
    <n v="0"/>
    <n v="1"/>
    <n v="0"/>
    <n v="0"/>
    <n v="0"/>
    <n v="0"/>
    <n v="0"/>
    <n v="0"/>
    <n v="0"/>
    <n v="0"/>
    <n v="0"/>
  </r>
  <r>
    <n v="1733"/>
    <d v="2025-07-08T09:01:40"/>
    <d v="2025-07-08T09:09:55"/>
    <s v="jkenneth@lighthouse.org.mw"/>
    <s v="Joseph Kenneth"/>
    <x v="8"/>
    <s v="Prototype"/>
    <x v="2"/>
    <s v="COP_23"/>
    <m/>
    <s v="Quarter2"/>
    <s v="Quarter3"/>
    <m/>
    <x v="8"/>
    <d v="2025-06-01T00:00:00"/>
    <d v="2025-06-30T00:00:00"/>
    <x v="5"/>
    <x v="20"/>
    <n v="2"/>
    <n v="0"/>
    <n v="1"/>
    <n v="1"/>
    <n v="0"/>
    <n v="2"/>
    <n v="2"/>
    <n v="2"/>
    <n v="0"/>
    <n v="0"/>
    <n v="0"/>
    <n v="2"/>
    <n v="0"/>
    <n v="0"/>
    <n v="0"/>
    <n v="1"/>
    <n v="0"/>
    <n v="0"/>
    <n v="0"/>
    <n v="0"/>
    <n v="0"/>
  </r>
  <r>
    <n v="1734"/>
    <d v="2025-07-08T09:10:01"/>
    <d v="2025-07-08T09:11:21"/>
    <s v="jkenneth@lighthouse.org.mw"/>
    <s v="Joseph Kenneth"/>
    <x v="8"/>
    <s v="Prototype"/>
    <x v="2"/>
    <s v="COP_23"/>
    <m/>
    <s v="Quarter2"/>
    <s v="Quarter3"/>
    <m/>
    <x v="8"/>
    <d v="2025-06-01T00:00:00"/>
    <d v="2025-06-30T00:00:00"/>
    <x v="3"/>
    <x v="21"/>
    <n v="0"/>
    <n v="0"/>
    <n v="0"/>
    <n v="0"/>
    <n v="0"/>
    <n v="0"/>
    <n v="0"/>
    <n v="0"/>
    <n v="0"/>
    <n v="0"/>
    <n v="0"/>
    <n v="0"/>
    <n v="0"/>
    <n v="0"/>
    <n v="0"/>
    <n v="0"/>
    <n v="0"/>
    <n v="0"/>
    <n v="0"/>
    <n v="0"/>
    <n v="0"/>
  </r>
  <r>
    <n v="1735"/>
    <d v="2025-07-08T09:11:24"/>
    <d v="2025-07-08T09:12:49"/>
    <s v="jkenneth@lighthouse.org.mw"/>
    <s v="Joseph Kenneth"/>
    <x v="8"/>
    <s v="Prototype"/>
    <x v="2"/>
    <s v="COP_23"/>
    <m/>
    <s v="Quarter2"/>
    <s v="Quarter3"/>
    <m/>
    <x v="8"/>
    <d v="2025-06-01T00:00:00"/>
    <d v="2025-06-30T00:00:00"/>
    <x v="4"/>
    <x v="21"/>
    <n v="0"/>
    <n v="0"/>
    <n v="0"/>
    <n v="0"/>
    <n v="0"/>
    <n v="0"/>
    <n v="0"/>
    <n v="0"/>
    <n v="0"/>
    <n v="0"/>
    <n v="0"/>
    <n v="0"/>
    <n v="0"/>
    <n v="0"/>
    <n v="0"/>
    <n v="0"/>
    <n v="0"/>
    <n v="0"/>
    <n v="0"/>
    <n v="0"/>
    <n v="0"/>
  </r>
  <r>
    <n v="1736"/>
    <d v="2025-07-08T09:13:01"/>
    <d v="2025-07-08T09:15:08"/>
    <s v="jkenneth@lighthouse.org.mw"/>
    <s v="Joseph Kenneth"/>
    <x v="8"/>
    <s v="Prototype"/>
    <x v="2"/>
    <s v="COP_23"/>
    <m/>
    <s v="Quarter2"/>
    <s v="Quarter3"/>
    <m/>
    <x v="8"/>
    <d v="2025-06-01T00:00:00"/>
    <d v="2025-06-30T00:00:00"/>
    <x v="6"/>
    <x v="21"/>
    <n v="0"/>
    <n v="0"/>
    <n v="0"/>
    <n v="0"/>
    <n v="0"/>
    <n v="0"/>
    <n v="0"/>
    <n v="0"/>
    <n v="0"/>
    <n v="0"/>
    <n v="0"/>
    <n v="0"/>
    <n v="0"/>
    <n v="0"/>
    <n v="0"/>
    <n v="0"/>
    <n v="0"/>
    <n v="0"/>
    <n v="0"/>
    <n v="0"/>
    <n v="0"/>
  </r>
  <r>
    <n v="53"/>
    <d v="2023-12-20T12:31:05"/>
    <d v="2023-12-20T12:31:53"/>
    <s v="mchirwa@lighthouse.org.mw"/>
    <s v="Margaret Chirwa"/>
    <x v="9"/>
    <s v="COE"/>
    <x v="0"/>
    <s v="COP_23"/>
    <s v="COP_22"/>
    <s v="Quarter3"/>
    <s v="Quarter4"/>
    <s v="Qtr_4"/>
    <x v="2"/>
    <d v="2023-09-01T00:00:00"/>
    <d v="2023-09-30T00:00:00"/>
    <x v="0"/>
    <x v="109"/>
    <n v="7"/>
    <n v="19"/>
    <n v="6"/>
    <n v="10"/>
    <n v="5"/>
    <n v="31"/>
    <n v="25"/>
    <n v="37"/>
    <n v="0"/>
    <n v="0"/>
    <n v="0"/>
    <n v="38"/>
    <n v="1"/>
    <n v="11"/>
    <n v="0"/>
    <n v="10"/>
    <n v="6"/>
    <n v="39"/>
    <n v="3"/>
    <n v="3"/>
    <n v="0"/>
  </r>
  <r>
    <n v="54"/>
    <d v="2023-12-20T12:32:07"/>
    <d v="2023-12-20T12:36:14"/>
    <s v="mchirwa@lighthouse.org.mw"/>
    <s v="Margaret Chirwa"/>
    <x v="9"/>
    <s v="COE"/>
    <x v="0"/>
    <s v="COP_23"/>
    <s v="COP_23"/>
    <s v="Quarter4"/>
    <s v="Quarter1"/>
    <s v="Qtr_1"/>
    <x v="0"/>
    <d v="2023-10-01T00:00:00"/>
    <d v="2023-10-31T00:00:00"/>
    <x v="0"/>
    <x v="24"/>
    <n v="21"/>
    <n v="24"/>
    <n v="6"/>
    <n v="14"/>
    <n v="13"/>
    <n v="53"/>
    <n v="34"/>
    <n v="43"/>
    <n v="0"/>
    <n v="0"/>
    <n v="0"/>
    <n v="47"/>
    <n v="11"/>
    <n v="8"/>
    <n v="0"/>
    <n v="11"/>
    <n v="6"/>
    <n v="34"/>
    <n v="7"/>
    <n v="15"/>
    <n v="7"/>
  </r>
  <r>
    <n v="55"/>
    <d v="2023-12-20T12:36:25"/>
    <d v="2023-12-20T12:39:39"/>
    <s v="mchirwa@lighthouse.org.mw"/>
    <s v="Margaret Chirwa"/>
    <x v="9"/>
    <s v="COE"/>
    <x v="0"/>
    <s v="COP_23"/>
    <s v="COP_23"/>
    <s v="Quarter4"/>
    <s v="Quarter1"/>
    <s v="Qtr_1"/>
    <x v="1"/>
    <d v="2023-11-01T00:00:00"/>
    <d v="2023-11-30T00:00:00"/>
    <x v="0"/>
    <x v="110"/>
    <n v="29"/>
    <n v="20"/>
    <n v="9"/>
    <n v="19"/>
    <n v="20"/>
    <n v="66"/>
    <n v="45"/>
    <n v="49"/>
    <n v="0"/>
    <n v="2"/>
    <n v="0"/>
    <n v="51"/>
    <n v="10"/>
    <n v="7"/>
    <n v="2"/>
    <n v="17"/>
    <n v="6"/>
    <n v="33"/>
    <n v="4"/>
    <n v="14"/>
    <n v="0"/>
  </r>
  <r>
    <n v="98"/>
    <d v="2024-01-18T14:34:16"/>
    <d v="2024-01-18T14:34:56"/>
    <s v="mmsiska@lighthouse.org.mw"/>
    <s v="Michael Msiska"/>
    <x v="9"/>
    <s v="COE"/>
    <x v="0"/>
    <s v="COP_23"/>
    <s v="COP_23"/>
    <s v="Quarter4"/>
    <s v="Quarter1"/>
    <s v="Qtr_1"/>
    <x v="11"/>
    <d v="2023-12-01T00:00:00"/>
    <d v="2023-12-31T00:00:00"/>
    <x v="0"/>
    <x v="111"/>
    <n v="9"/>
    <n v="33"/>
    <n v="16"/>
    <n v="8"/>
    <n v="12"/>
    <n v="66"/>
    <n v="33"/>
    <n v="44"/>
    <n v="1"/>
    <n v="1"/>
    <n v="0"/>
    <n v="44"/>
    <n v="9"/>
    <n v="2"/>
    <n v="0"/>
    <n v="5"/>
    <n v="1"/>
    <n v="19"/>
    <n v="2"/>
    <n v="11"/>
    <n v="0"/>
  </r>
  <r>
    <n v="100"/>
    <d v="2024-01-18T15:50:09"/>
    <d v="2024-01-18T15:50:22"/>
    <s v="mmsiska@lighthouse.org.mw"/>
    <s v="Michael Msiska"/>
    <x v="9"/>
    <s v="COE"/>
    <x v="0"/>
    <s v="COP_23"/>
    <s v="COP_23"/>
    <s v="Quarter4"/>
    <s v="Quarter1"/>
    <s v="Qtr_1"/>
    <x v="11"/>
    <d v="2023-12-01T00:00:00"/>
    <d v="2023-12-31T00:00:00"/>
    <x v="3"/>
    <x v="33"/>
    <n v="0"/>
    <n v="4"/>
    <n v="0"/>
    <n v="0"/>
    <n v="0"/>
    <n v="0"/>
    <n v="0"/>
    <n v="4"/>
    <n v="0"/>
    <n v="0"/>
    <n v="0"/>
    <n v="3"/>
    <n v="0"/>
    <n v="0"/>
    <n v="0"/>
    <n v="0"/>
    <n v="0"/>
    <n v="0"/>
    <n v="0"/>
    <n v="0"/>
    <n v="0"/>
  </r>
  <r>
    <n v="101"/>
    <d v="2024-01-18T15:50:28"/>
    <d v="2024-01-18T15:53:06"/>
    <s v="mmsiska@lighthouse.org.mw"/>
    <s v="Michael Msiska"/>
    <x v="9"/>
    <s v="COE"/>
    <x v="0"/>
    <s v="COP_23"/>
    <s v="COP_23"/>
    <s v="Quarter4"/>
    <s v="Quarter1"/>
    <s v="Qtr_1"/>
    <x v="11"/>
    <d v="2023-12-01T00:00:00"/>
    <d v="2023-12-31T00:00:00"/>
    <x v="5"/>
    <x v="16"/>
    <n v="0"/>
    <n v="11"/>
    <n v="2"/>
    <n v="3"/>
    <n v="0"/>
    <n v="16"/>
    <n v="5"/>
    <n v="15"/>
    <n v="0"/>
    <n v="0"/>
    <n v="0"/>
    <n v="14"/>
    <n v="0"/>
    <n v="0"/>
    <n v="0"/>
    <n v="0"/>
    <n v="0"/>
    <n v="2"/>
    <n v="0"/>
    <n v="0"/>
    <n v="0"/>
  </r>
  <r>
    <n v="103"/>
    <d v="2024-01-19T09:41:31"/>
    <d v="2024-01-19T09:42:49"/>
    <s v="mmsiska@lighthouse.org.mw"/>
    <s v="Michael Msiska"/>
    <x v="9"/>
    <s v="COE"/>
    <x v="0"/>
    <s v="COP_23"/>
    <s v="COP_23"/>
    <s v="Quarter4"/>
    <s v="Quarter1"/>
    <s v="Qtr_1"/>
    <x v="0"/>
    <d v="2023-10-01T00:00:00"/>
    <d v="2023-10-31T00:00:00"/>
    <x v="3"/>
    <x v="21"/>
    <n v="0"/>
    <n v="0"/>
    <n v="0"/>
    <n v="0"/>
    <n v="0"/>
    <n v="0"/>
    <n v="0"/>
    <n v="0"/>
    <n v="0"/>
    <n v="0"/>
    <n v="0"/>
    <n v="0"/>
    <n v="0"/>
    <n v="0"/>
    <n v="0"/>
    <n v="0"/>
    <n v="0"/>
    <n v="0"/>
    <n v="0"/>
    <n v="0"/>
    <n v="0"/>
  </r>
  <r>
    <n v="104"/>
    <d v="2024-01-19T09:42:54"/>
    <d v="2024-01-19T09:46:15"/>
    <s v="mmsiska@lighthouse.org.mw"/>
    <s v="Michael Msiska"/>
    <x v="9"/>
    <s v="COE"/>
    <x v="0"/>
    <s v="COP_23"/>
    <s v="COP_23"/>
    <s v="Quarter4"/>
    <s v="Quarter1"/>
    <s v="Qtr_1"/>
    <x v="0"/>
    <d v="2023-10-01T00:00:00"/>
    <d v="2023-10-31T00:00:00"/>
    <x v="5"/>
    <x v="37"/>
    <n v="1"/>
    <n v="2"/>
    <n v="1"/>
    <n v="1"/>
    <n v="1"/>
    <n v="5"/>
    <n v="1"/>
    <n v="5"/>
    <n v="0"/>
    <n v="0"/>
    <n v="0"/>
    <n v="4"/>
    <n v="1"/>
    <n v="0"/>
    <n v="0"/>
    <n v="0"/>
    <n v="0"/>
    <n v="3"/>
    <n v="0"/>
    <n v="1"/>
    <n v="0"/>
  </r>
  <r>
    <n v="106"/>
    <d v="2024-01-19T09:48:54"/>
    <d v="2024-01-19T09:49:58"/>
    <s v="mmsiska@lighthouse.org.mw"/>
    <s v="Michael Msiska"/>
    <x v="9"/>
    <s v="COE"/>
    <x v="0"/>
    <s v="COP_23"/>
    <s v="COP_23"/>
    <s v="Quarter4"/>
    <s v="Quarter1"/>
    <s v="Qtr_1"/>
    <x v="1"/>
    <d v="2023-11-01T00:00:00"/>
    <d v="2023-11-30T00:00:00"/>
    <x v="3"/>
    <x v="21"/>
    <n v="0"/>
    <n v="0"/>
    <n v="0"/>
    <n v="0"/>
    <n v="0"/>
    <n v="0"/>
    <n v="0"/>
    <n v="0"/>
    <n v="0"/>
    <n v="0"/>
    <n v="0"/>
    <n v="0"/>
    <n v="0"/>
    <n v="0"/>
    <n v="0"/>
    <n v="0"/>
    <n v="0"/>
    <n v="0"/>
    <n v="0"/>
    <n v="0"/>
    <n v="0"/>
  </r>
  <r>
    <n v="107"/>
    <d v="2024-01-19T09:50:00"/>
    <d v="2024-01-19T09:52:03"/>
    <s v="mmsiska@lighthouse.org.mw"/>
    <s v="Michael Msiska"/>
    <x v="9"/>
    <s v="COE"/>
    <x v="0"/>
    <s v="COP_23"/>
    <s v="COP_23"/>
    <s v="Quarter4"/>
    <s v="Quarter1"/>
    <s v="Qtr_1"/>
    <x v="1"/>
    <d v="2023-11-01T00:00:00"/>
    <d v="2023-11-30T00:00:00"/>
    <x v="5"/>
    <x v="30"/>
    <n v="0"/>
    <n v="2"/>
    <n v="0"/>
    <n v="1"/>
    <n v="0"/>
    <n v="2"/>
    <n v="1"/>
    <n v="3"/>
    <n v="0"/>
    <n v="0"/>
    <n v="0"/>
    <n v="3"/>
    <n v="0"/>
    <n v="0"/>
    <n v="0"/>
    <n v="0"/>
    <n v="0"/>
    <n v="1"/>
    <n v="0"/>
    <n v="0"/>
    <n v="0"/>
  </r>
  <r>
    <n v="223"/>
    <d v="2024-04-08T15:29:45"/>
    <d v="2024-04-08T15:30:32"/>
    <s v="mchirwa@lighthouse.org.mw"/>
    <s v="Margaret Chirwa"/>
    <x v="9"/>
    <s v="COE"/>
    <x v="1"/>
    <s v="COP_23"/>
    <s v="COP_23"/>
    <s v="Quarter1"/>
    <s v="Quarter2"/>
    <s v="Qtr_2"/>
    <x v="3"/>
    <d v="2024-03-01T00:00:00"/>
    <d v="2024-03-31T00:00:00"/>
    <x v="3"/>
    <x v="39"/>
    <n v="0"/>
    <n v="7"/>
    <n v="0"/>
    <n v="1"/>
    <n v="0"/>
    <n v="0"/>
    <n v="0"/>
    <n v="8"/>
    <n v="0"/>
    <n v="8"/>
    <n v="0"/>
    <n v="7"/>
    <n v="0"/>
    <n v="0"/>
    <n v="0"/>
    <n v="0"/>
    <n v="0"/>
    <n v="1"/>
    <n v="0"/>
    <n v="0"/>
    <n v="0"/>
  </r>
  <r>
    <n v="224"/>
    <d v="2024-04-08T15:30:35"/>
    <d v="2024-04-08T15:36:32"/>
    <s v="mchirwa@lighthouse.org.mw"/>
    <s v="Margaret Chirwa"/>
    <x v="9"/>
    <s v="COE"/>
    <x v="1"/>
    <s v="COP_23"/>
    <s v="COP_23"/>
    <s v="Quarter1"/>
    <s v="Quarter2"/>
    <s v="Qtr_2"/>
    <x v="3"/>
    <d v="2024-03-01T00:00:00"/>
    <d v="2024-03-31T00:00:00"/>
    <x v="4"/>
    <x v="31"/>
    <n v="0"/>
    <n v="6"/>
    <n v="0"/>
    <n v="1"/>
    <n v="0"/>
    <n v="6"/>
    <n v="0"/>
    <n v="4"/>
    <n v="0"/>
    <n v="4"/>
    <n v="0"/>
    <n v="4"/>
    <n v="0"/>
    <n v="0"/>
    <n v="0"/>
    <n v="0"/>
    <n v="0"/>
    <n v="0"/>
    <n v="0"/>
    <n v="0"/>
    <n v="0"/>
  </r>
  <r>
    <n v="225"/>
    <d v="2024-04-08T15:36:43"/>
    <d v="2024-04-08T15:39:47"/>
    <s v="mchirwa@lighthouse.org.mw"/>
    <s v="Margaret Chirwa"/>
    <x v="9"/>
    <s v="COE"/>
    <x v="1"/>
    <s v="COP_23"/>
    <s v="COP_23"/>
    <s v="Quarter1"/>
    <s v="Quarter2"/>
    <s v="Qtr_2"/>
    <x v="3"/>
    <d v="2024-03-01T00:00:00"/>
    <d v="2024-03-31T00:00:00"/>
    <x v="5"/>
    <x v="112"/>
    <n v="2"/>
    <n v="49"/>
    <n v="2"/>
    <n v="0"/>
    <n v="0"/>
    <n v="45"/>
    <n v="9"/>
    <n v="24"/>
    <n v="0"/>
    <n v="24"/>
    <n v="0"/>
    <n v="24"/>
    <n v="0"/>
    <n v="0"/>
    <n v="0"/>
    <n v="0"/>
    <n v="0"/>
    <n v="3"/>
    <n v="0"/>
    <n v="0"/>
    <n v="0"/>
  </r>
  <r>
    <n v="227"/>
    <d v="2024-04-08T15:48:31"/>
    <d v="2024-04-08T15:54:08"/>
    <s v="mchirwa@lighthouse.org.mw"/>
    <s v="Margaret Chirwa"/>
    <x v="9"/>
    <s v="COE"/>
    <x v="1"/>
    <s v="COP_23"/>
    <s v="COP_23"/>
    <s v="Quarter1"/>
    <s v="Quarter2"/>
    <s v="Qtr_2"/>
    <x v="3"/>
    <d v="2024-03-01T00:00:00"/>
    <d v="2024-03-31T00:00:00"/>
    <x v="0"/>
    <x v="113"/>
    <n v="19"/>
    <n v="161"/>
    <n v="18"/>
    <n v="34"/>
    <n v="9"/>
    <n v="210"/>
    <n v="57"/>
    <n v="92"/>
    <n v="0"/>
    <n v="2"/>
    <n v="0"/>
    <n v="91"/>
    <n v="3"/>
    <n v="2"/>
    <n v="0"/>
    <n v="18"/>
    <n v="9"/>
    <n v="41"/>
    <n v="6"/>
    <n v="5"/>
    <n v="0"/>
  </r>
  <r>
    <n v="291"/>
    <d v="2024-04-24T10:43:45"/>
    <d v="2024-04-24T10:44:33"/>
    <s v="mchirwa@lighthouse.org.mw"/>
    <s v="Margaret Chirwa"/>
    <x v="9"/>
    <s v="COE"/>
    <x v="1"/>
    <s v="COP_23"/>
    <s v="COP_23"/>
    <s v="Quarter1"/>
    <s v="Quarter2"/>
    <s v="Qtr_2"/>
    <x v="5"/>
    <d v="2024-02-01T00:00:00"/>
    <d v="2024-02-29T00:00:00"/>
    <x v="3"/>
    <x v="30"/>
    <n v="0"/>
    <n v="3"/>
    <n v="0"/>
    <n v="0"/>
    <n v="0"/>
    <n v="0"/>
    <n v="0"/>
    <n v="0"/>
    <n v="0"/>
    <n v="0"/>
    <n v="0"/>
    <n v="0"/>
    <n v="0"/>
    <n v="0"/>
    <n v="0"/>
    <n v="0"/>
    <n v="0"/>
    <n v="0"/>
    <n v="0"/>
    <n v="0"/>
    <n v="0"/>
  </r>
  <r>
    <n v="292"/>
    <d v="2024-04-24T10:44:38"/>
    <d v="2024-04-24T10:46:22"/>
    <s v="mchirwa@lighthouse.org.mw"/>
    <s v="Margaret Chirwa"/>
    <x v="9"/>
    <s v="COE"/>
    <x v="1"/>
    <s v="COP_23"/>
    <s v="COP_23"/>
    <s v="Quarter1"/>
    <s v="Quarter2"/>
    <s v="Qtr_2"/>
    <x v="5"/>
    <d v="2024-02-01T00:00:00"/>
    <d v="2024-02-29T00:00:00"/>
    <x v="4"/>
    <x v="33"/>
    <n v="2"/>
    <n v="2"/>
    <n v="0"/>
    <n v="2"/>
    <n v="0"/>
    <n v="4"/>
    <n v="0"/>
    <n v="4"/>
    <n v="0"/>
    <n v="0"/>
    <n v="0"/>
    <n v="4"/>
    <n v="0"/>
    <n v="0"/>
    <n v="0"/>
    <n v="0"/>
    <n v="0"/>
    <n v="0"/>
    <n v="0"/>
    <n v="0"/>
    <n v="0"/>
  </r>
  <r>
    <n v="293"/>
    <d v="2024-04-24T10:46:26"/>
    <d v="2024-04-24T10:48:08"/>
    <s v="mchirwa@lighthouse.org.mw"/>
    <s v="Margaret Chirwa"/>
    <x v="9"/>
    <s v="COE"/>
    <x v="1"/>
    <s v="COP_23"/>
    <s v="COP_23"/>
    <s v="Quarter1"/>
    <s v="Quarter2"/>
    <s v="Qtr_2"/>
    <x v="5"/>
    <d v="2024-02-01T00:00:00"/>
    <d v="2024-02-29T00:00:00"/>
    <x v="0"/>
    <x v="114"/>
    <n v="30"/>
    <n v="145"/>
    <n v="31"/>
    <n v="20"/>
    <n v="16"/>
    <n v="209"/>
    <n v="57"/>
    <n v="103"/>
    <n v="5"/>
    <n v="4"/>
    <n v="0"/>
    <n v="102"/>
    <n v="12"/>
    <n v="0"/>
    <n v="0"/>
    <n v="13"/>
    <n v="2"/>
    <n v="39"/>
    <n v="4"/>
    <n v="16"/>
    <n v="2"/>
  </r>
  <r>
    <n v="298"/>
    <d v="2024-04-24T11:10:10"/>
    <d v="2024-04-24T11:13:30"/>
    <s v="mchirwa@lighthouse.org.mw"/>
    <s v="Margaret Chirwa"/>
    <x v="9"/>
    <s v="COE"/>
    <x v="1"/>
    <s v="COP_23"/>
    <s v="COP_23"/>
    <s v="Quarter1"/>
    <s v="Quarter2"/>
    <s v="Qtr_2"/>
    <x v="4"/>
    <d v="2024-01-01T00:00:00"/>
    <d v="2024-01-31T00:00:00"/>
    <x v="3"/>
    <x v="42"/>
    <n v="1"/>
    <n v="13"/>
    <n v="0"/>
    <n v="1"/>
    <n v="0"/>
    <n v="2"/>
    <n v="0"/>
    <n v="13"/>
    <n v="0"/>
    <n v="0"/>
    <n v="0"/>
    <n v="13"/>
    <n v="2"/>
    <n v="0"/>
    <n v="0"/>
    <n v="0"/>
    <n v="0"/>
    <n v="0"/>
    <n v="0"/>
    <n v="0"/>
    <n v="0"/>
  </r>
  <r>
    <n v="299"/>
    <d v="2024-04-24T11:21:47"/>
    <d v="2024-04-24T11:27:54"/>
    <s v="mchirwa@lighthouse.org.mw"/>
    <s v="Margaret Chirwa"/>
    <x v="9"/>
    <s v="COE"/>
    <x v="1"/>
    <s v="COP_23"/>
    <s v="COP_23"/>
    <s v="Quarter1"/>
    <s v="Quarter2"/>
    <s v="Qtr_2"/>
    <x v="4"/>
    <d v="2024-01-01T00:00:00"/>
    <d v="2024-01-31T00:00:00"/>
    <x v="4"/>
    <x v="57"/>
    <n v="0"/>
    <n v="15"/>
    <n v="0"/>
    <n v="0"/>
    <n v="0"/>
    <n v="13"/>
    <n v="0"/>
    <n v="13"/>
    <n v="0"/>
    <n v="0"/>
    <n v="0"/>
    <n v="13"/>
    <n v="0"/>
    <n v="0"/>
    <n v="0"/>
    <n v="0"/>
    <n v="0"/>
    <n v="0"/>
    <n v="0"/>
    <n v="0"/>
    <n v="0"/>
  </r>
  <r>
    <n v="300"/>
    <d v="2024-04-24T11:27:58"/>
    <d v="2024-04-24T11:30:58"/>
    <s v="mchirwa@lighthouse.org.mw"/>
    <s v="Margaret Chirwa"/>
    <x v="9"/>
    <s v="COE"/>
    <x v="1"/>
    <s v="COP_23"/>
    <s v="COP_23"/>
    <s v="Quarter1"/>
    <s v="Quarter2"/>
    <s v="Qtr_2"/>
    <x v="4"/>
    <d v="2024-01-01T00:00:00"/>
    <d v="2024-01-31T00:00:00"/>
    <x v="5"/>
    <x v="63"/>
    <n v="5"/>
    <n v="27"/>
    <n v="3"/>
    <n v="5"/>
    <n v="4"/>
    <n v="35"/>
    <n v="10"/>
    <n v="32"/>
    <n v="0"/>
    <n v="0"/>
    <n v="0"/>
    <n v="32"/>
    <n v="2"/>
    <n v="1"/>
    <n v="0"/>
    <n v="2"/>
    <n v="1"/>
    <n v="4"/>
    <n v="0"/>
    <n v="3"/>
    <n v="0"/>
  </r>
  <r>
    <n v="303"/>
    <d v="2024-04-24T13:32:52"/>
    <d v="2024-04-24T13:35:28"/>
    <s v="mchirwa@lighthouse.org.mw"/>
    <s v="Margaret Chirwa"/>
    <x v="9"/>
    <s v="COE"/>
    <x v="1"/>
    <s v="COP_23"/>
    <s v="COP_23"/>
    <s v="Quarter1"/>
    <s v="Quarter2"/>
    <s v="Qtr_2"/>
    <x v="4"/>
    <d v="2024-01-01T00:00:00"/>
    <d v="2024-01-31T00:00:00"/>
    <x v="0"/>
    <x v="115"/>
    <n v="49"/>
    <n v="162"/>
    <n v="26"/>
    <n v="34"/>
    <n v="20"/>
    <n v="218"/>
    <n v="65"/>
    <n v="132"/>
    <n v="1"/>
    <n v="3"/>
    <n v="1"/>
    <n v="128"/>
    <n v="15"/>
    <n v="5"/>
    <n v="0"/>
    <n v="12"/>
    <n v="8"/>
    <n v="37"/>
    <n v="6"/>
    <n v="17"/>
    <n v="3"/>
  </r>
  <r>
    <n v="349"/>
    <d v="2024-04-30T15:32:29"/>
    <d v="2024-04-30T15:35:14"/>
    <s v="mchirwa@lighthouse.org.mw"/>
    <s v="Margaret Chirwa"/>
    <x v="9"/>
    <s v="COE"/>
    <x v="1"/>
    <s v="COP_23"/>
    <s v="COP_23"/>
    <s v="Quarter1"/>
    <s v="Quarter2"/>
    <s v="Qtr_2"/>
    <x v="5"/>
    <d v="2024-02-01T00:00:00"/>
    <d v="2024-02-29T00:00:00"/>
    <x v="5"/>
    <x v="58"/>
    <n v="0"/>
    <n v="22"/>
    <n v="1"/>
    <n v="0"/>
    <n v="0"/>
    <n v="23"/>
    <n v="4"/>
    <n v="22"/>
    <n v="0"/>
    <n v="0"/>
    <n v="0"/>
    <n v="22"/>
    <n v="1"/>
    <n v="0"/>
    <n v="0"/>
    <n v="2"/>
    <n v="0"/>
    <n v="4"/>
    <n v="0"/>
    <n v="1"/>
    <n v="0"/>
  </r>
  <r>
    <n v="622"/>
    <d v="2024-07-16T09:06:14"/>
    <d v="2024-07-16T13:44:13"/>
    <s v="jmakoza@lighthouse.org.mw"/>
    <s v="Jonathan Makoza"/>
    <x v="9"/>
    <s v="COE"/>
    <x v="1"/>
    <s v="COP_23"/>
    <s v="COP_23"/>
    <s v="Quarter2"/>
    <s v="Quarter3"/>
    <s v="Qtr_3"/>
    <x v="7"/>
    <d v="2024-04-01T00:00:00"/>
    <d v="2024-04-30T00:00:00"/>
    <x v="3"/>
    <x v="33"/>
    <n v="1"/>
    <n v="2"/>
    <n v="0"/>
    <n v="1"/>
    <n v="1"/>
    <n v="1"/>
    <n v="0"/>
    <n v="1"/>
    <n v="0"/>
    <n v="0"/>
    <n v="0"/>
    <n v="2"/>
    <n v="0"/>
    <n v="0"/>
    <n v="0"/>
    <n v="0"/>
    <n v="0"/>
    <n v="0"/>
    <n v="0"/>
    <n v="0"/>
    <n v="0"/>
  </r>
  <r>
    <n v="624"/>
    <d v="2024-07-16T13:48:56"/>
    <d v="2024-07-16T13:53:32"/>
    <s v="jmakoza@lighthouse.org.mw"/>
    <s v="Jonathan Makoza"/>
    <x v="9"/>
    <s v="COE"/>
    <x v="1"/>
    <s v="COP_23"/>
    <s v="COP_23"/>
    <s v="Quarter2"/>
    <s v="Quarter3"/>
    <s v="Qtr_3"/>
    <x v="7"/>
    <d v="2024-04-01T00:00:00"/>
    <d v="2024-04-30T00:00:00"/>
    <x v="4"/>
    <x v="23"/>
    <n v="1"/>
    <n v="3"/>
    <n v="0"/>
    <n v="1"/>
    <n v="0"/>
    <n v="4"/>
    <n v="2"/>
    <n v="3"/>
    <n v="0"/>
    <n v="0"/>
    <n v="0"/>
    <n v="0"/>
    <n v="3"/>
    <n v="0"/>
    <n v="0"/>
    <n v="0"/>
    <n v="0"/>
    <n v="0"/>
    <n v="0"/>
    <n v="0"/>
    <n v="0"/>
  </r>
  <r>
    <n v="625"/>
    <d v="2024-07-16T13:53:59"/>
    <d v="2024-07-16T13:58:55"/>
    <s v="jmakoza@lighthouse.org.mw"/>
    <s v="Jonathan Makoza"/>
    <x v="9"/>
    <s v="COE"/>
    <x v="1"/>
    <s v="COP_23"/>
    <s v="COP_23"/>
    <s v="Quarter2"/>
    <s v="Quarter3"/>
    <s v="Qtr_3"/>
    <x v="7"/>
    <d v="2024-04-01T00:00:00"/>
    <d v="2024-04-30T00:00:00"/>
    <x v="5"/>
    <x v="13"/>
    <n v="3"/>
    <n v="23"/>
    <n v="0"/>
    <n v="4"/>
    <n v="1"/>
    <n v="28"/>
    <n v="7"/>
    <n v="8"/>
    <n v="1"/>
    <n v="1"/>
    <n v="1"/>
    <n v="8"/>
    <n v="0"/>
    <n v="1"/>
    <n v="0"/>
    <n v="1"/>
    <n v="1"/>
    <n v="1"/>
    <n v="0"/>
    <n v="1"/>
    <n v="1"/>
  </r>
  <r>
    <n v="627"/>
    <d v="2024-07-16T14:18:02"/>
    <d v="2024-07-16T14:21:34"/>
    <s v="jmakoza@lighthouse.org.mw"/>
    <s v="Jonathan Makoza"/>
    <x v="9"/>
    <s v="COE"/>
    <x v="1"/>
    <s v="COP_23"/>
    <s v="COP_23"/>
    <s v="Quarter2"/>
    <s v="Quarter3"/>
    <s v="Qtr_3"/>
    <x v="7"/>
    <d v="2024-04-01T00:00:00"/>
    <d v="2024-04-30T00:00:00"/>
    <x v="0"/>
    <x v="116"/>
    <n v="26"/>
    <n v="118"/>
    <n v="7"/>
    <n v="31"/>
    <n v="7"/>
    <n v="151"/>
    <n v="58"/>
    <n v="55"/>
    <n v="3"/>
    <n v="4"/>
    <n v="2"/>
    <n v="55"/>
    <n v="3"/>
    <n v="6"/>
    <n v="2"/>
    <n v="8"/>
    <n v="4"/>
    <n v="22"/>
    <n v="0"/>
    <n v="10"/>
    <n v="4"/>
  </r>
  <r>
    <n v="630"/>
    <d v="2024-07-16T14:56:46"/>
    <d v="2024-07-16T15:01:37"/>
    <s v="jmakoza@lighthouse.org.mw"/>
    <s v="Jonathan Makoza"/>
    <x v="9"/>
    <s v="COE"/>
    <x v="1"/>
    <s v="COP_23"/>
    <s v="COP_23"/>
    <s v="Quarter2"/>
    <s v="Quarter3"/>
    <s v="Qtr_3"/>
    <x v="6"/>
    <d v="2024-05-01T00:00:00"/>
    <d v="2024-05-31T00:00:00"/>
    <x v="4"/>
    <x v="54"/>
    <n v="0"/>
    <n v="2"/>
    <n v="1"/>
    <n v="0"/>
    <n v="0"/>
    <n v="3"/>
    <n v="1"/>
    <n v="3"/>
    <n v="0"/>
    <n v="0"/>
    <n v="0"/>
    <n v="3"/>
    <n v="0"/>
    <n v="0"/>
    <n v="0"/>
    <n v="0"/>
    <n v="0"/>
    <n v="0"/>
    <n v="0"/>
    <n v="0"/>
    <n v="0"/>
  </r>
  <r>
    <n v="631"/>
    <d v="2024-07-16T15:01:45"/>
    <d v="2024-07-16T15:04:05"/>
    <s v="jmakoza@lighthouse.org.mw"/>
    <s v="Jonathan Makoza"/>
    <x v="9"/>
    <s v="COE"/>
    <x v="1"/>
    <s v="COP_23"/>
    <s v="COP_23"/>
    <s v="Quarter2"/>
    <s v="Quarter3"/>
    <s v="Qtr_3"/>
    <x v="6"/>
    <d v="2024-05-01T00:00:00"/>
    <d v="2024-05-31T00:00:00"/>
    <x v="5"/>
    <x v="16"/>
    <n v="0"/>
    <n v="17"/>
    <n v="1"/>
    <n v="0"/>
    <n v="0"/>
    <n v="17"/>
    <n v="3"/>
    <n v="4"/>
    <n v="0"/>
    <n v="0"/>
    <n v="0"/>
    <n v="2"/>
    <n v="0"/>
    <n v="0"/>
    <n v="0"/>
    <n v="0"/>
    <n v="0"/>
    <n v="2"/>
    <n v="0"/>
    <n v="0"/>
    <n v="0"/>
  </r>
  <r>
    <n v="633"/>
    <d v="2024-07-16T15:13:58"/>
    <d v="2024-07-16T15:18:51"/>
    <s v="jmakoza@lighthouse.org.mw"/>
    <s v="Jonathan Makoza"/>
    <x v="9"/>
    <s v="COE"/>
    <x v="1"/>
    <s v="COP_23"/>
    <s v="COP_23"/>
    <s v="Quarter2"/>
    <s v="Quarter3"/>
    <s v="Qtr_3"/>
    <x v="6"/>
    <d v="2024-05-01T00:00:00"/>
    <d v="2024-05-31T00:00:00"/>
    <x v="0"/>
    <x v="117"/>
    <n v="23"/>
    <n v="96"/>
    <n v="9"/>
    <n v="28"/>
    <n v="4"/>
    <n v="133"/>
    <n v="40"/>
    <n v="49"/>
    <n v="0"/>
    <n v="0"/>
    <n v="0"/>
    <n v="7"/>
    <n v="0"/>
    <n v="2"/>
    <n v="1"/>
    <n v="3"/>
    <n v="0"/>
    <n v="37"/>
    <n v="2"/>
    <n v="4"/>
    <n v="0"/>
  </r>
  <r>
    <n v="635"/>
    <d v="2024-07-16T15:27:48"/>
    <d v="2024-07-16T15:32:51"/>
    <s v="jmakoza@lighthouse.org.mw"/>
    <s v="Jonathan Makoza"/>
    <x v="9"/>
    <s v="COE"/>
    <x v="1"/>
    <s v="COP_23"/>
    <s v="COP_23"/>
    <s v="Quarter2"/>
    <s v="Quarter3"/>
    <s v="Qtr_3"/>
    <x v="6"/>
    <d v="2024-06-01T00:00:00"/>
    <d v="2024-06-30T00:00:00"/>
    <x v="3"/>
    <x v="31"/>
    <n v="0"/>
    <n v="5"/>
    <n v="2"/>
    <n v="0"/>
    <n v="0"/>
    <n v="0"/>
    <n v="0"/>
    <n v="5"/>
    <n v="0"/>
    <n v="0"/>
    <n v="0"/>
    <n v="0"/>
    <n v="0"/>
    <n v="0"/>
    <n v="0"/>
    <n v="0"/>
    <n v="0"/>
    <n v="3"/>
    <n v="0"/>
    <n v="0"/>
    <n v="0"/>
  </r>
  <r>
    <n v="636"/>
    <d v="2024-07-16T15:33:04"/>
    <d v="2024-07-16T15:41:30"/>
    <s v="jmakoza@lighthouse.org.mw"/>
    <s v="Jonathan Makoza"/>
    <x v="9"/>
    <s v="COE"/>
    <x v="1"/>
    <s v="COP_23"/>
    <s v="COP_23"/>
    <s v="Quarter2"/>
    <s v="Quarter3"/>
    <s v="Qtr_3"/>
    <x v="8"/>
    <d v="2024-06-01T00:00:00"/>
    <d v="2024-06-30T00:00:00"/>
    <x v="4"/>
    <x v="29"/>
    <n v="0"/>
    <n v="12"/>
    <n v="0"/>
    <n v="0"/>
    <n v="0"/>
    <n v="9"/>
    <n v="1"/>
    <n v="0"/>
    <n v="0"/>
    <n v="0"/>
    <n v="0"/>
    <n v="0"/>
    <n v="2"/>
    <n v="0"/>
    <n v="0"/>
    <n v="0"/>
    <n v="0"/>
    <n v="0"/>
    <n v="11"/>
    <n v="0"/>
    <n v="0"/>
  </r>
  <r>
    <n v="637"/>
    <d v="2024-07-16T15:42:09"/>
    <d v="2024-07-16T15:44:02"/>
    <s v="jmakoza@lighthouse.org.mw"/>
    <s v="Jonathan Makoza"/>
    <x v="9"/>
    <s v="COE"/>
    <x v="1"/>
    <s v="COP_23"/>
    <s v="COP_23"/>
    <s v="Quarter2"/>
    <s v="Quarter3"/>
    <s v="Qtr_3"/>
    <x v="8"/>
    <d v="2024-06-01T00:00:00"/>
    <d v="2024-06-30T00:00:00"/>
    <x v="5"/>
    <x v="26"/>
    <n v="0"/>
    <n v="21"/>
    <n v="1"/>
    <n v="0"/>
    <n v="0"/>
    <n v="16"/>
    <n v="2"/>
    <n v="5"/>
    <n v="0"/>
    <n v="0"/>
    <n v="0"/>
    <n v="2"/>
    <n v="0"/>
    <n v="0"/>
    <n v="0"/>
    <n v="0"/>
    <n v="0"/>
    <n v="14"/>
    <n v="0"/>
    <n v="0"/>
    <n v="0"/>
  </r>
  <r>
    <n v="639"/>
    <d v="2024-07-16T15:53:51"/>
    <d v="2024-07-16T15:55:23"/>
    <s v="jmakoza@lighthouse.org.mw"/>
    <s v="Jonathan Makoza"/>
    <x v="9"/>
    <s v="COE"/>
    <x v="1"/>
    <s v="COP_23"/>
    <s v="COP_23"/>
    <s v="Quarter2"/>
    <s v="Quarter3"/>
    <s v="Qtr_3"/>
    <x v="8"/>
    <d v="2024-06-01T00:00:00"/>
    <d v="2024-06-30T00:00:00"/>
    <x v="0"/>
    <x v="118"/>
    <n v="8"/>
    <n v="67"/>
    <n v="8"/>
    <n v="14"/>
    <n v="3"/>
    <n v="81"/>
    <n v="28"/>
    <n v="35"/>
    <n v="0"/>
    <n v="0"/>
    <n v="0"/>
    <n v="2"/>
    <n v="2"/>
    <n v="1"/>
    <n v="0"/>
    <n v="0"/>
    <n v="0"/>
    <n v="23"/>
    <n v="1"/>
    <n v="0"/>
    <n v="0"/>
  </r>
  <r>
    <n v="99"/>
    <d v="2024-01-18T14:35:08"/>
    <d v="2024-01-18T15:30:58"/>
    <s v="mmsiska@lighthouse.org.mw"/>
    <s v="Michael Msiska"/>
    <x v="9"/>
    <s v="COE"/>
    <x v="0"/>
    <s v="COP_23"/>
    <s v="COP_23"/>
    <s v="Quarter4"/>
    <s v="Quarter1"/>
    <s v="Qtr_1"/>
    <x v="11"/>
    <d v="2023-12-01T00:00:00"/>
    <d v="2023-12-31T00:00:00"/>
    <x v="1"/>
    <x v="32"/>
    <n v="3"/>
    <n v="20"/>
    <n v="13"/>
    <n v="1"/>
    <n v="8"/>
    <n v="39"/>
    <n v="22"/>
    <n v="19"/>
    <n v="0"/>
    <n v="0"/>
    <n v="0"/>
    <n v="19"/>
    <n v="6"/>
    <n v="1"/>
    <n v="0"/>
    <n v="5"/>
    <n v="1"/>
    <n v="14"/>
    <n v="2"/>
    <n v="8"/>
    <n v="0"/>
  </r>
  <r>
    <n v="102"/>
    <d v="2024-01-19T08:57:34"/>
    <d v="2024-01-19T09:41:25"/>
    <s v="mmsiska@lighthouse.org.mw"/>
    <s v="Michael Msiska"/>
    <x v="9"/>
    <s v="COE"/>
    <x v="0"/>
    <s v="COP_24"/>
    <s v="COP_23"/>
    <s v="Quarter4"/>
    <s v="Quarter1"/>
    <s v="Qtr_1"/>
    <x v="0"/>
    <d v="2023-10-01T00:00:00"/>
    <d v="2023-10-31T00:00:00"/>
    <x v="1"/>
    <x v="28"/>
    <n v="8"/>
    <n v="16"/>
    <n v="4"/>
    <n v="5"/>
    <n v="6"/>
    <n v="31"/>
    <n v="22"/>
    <n v="24"/>
    <n v="0"/>
    <n v="0"/>
    <n v="0"/>
    <n v="25"/>
    <n v="6"/>
    <n v="3"/>
    <n v="0"/>
    <n v="6"/>
    <n v="4"/>
    <n v="18"/>
    <n v="3"/>
    <n v="8"/>
    <n v="0"/>
  </r>
  <r>
    <n v="105"/>
    <d v="2024-01-19T09:46:19"/>
    <d v="2024-01-19T09:48:49"/>
    <s v="mmsiska@lighthouse.org.mw"/>
    <s v="Michael Msiska"/>
    <x v="9"/>
    <s v="COE"/>
    <x v="0"/>
    <s v="COP_23"/>
    <s v="COP_23"/>
    <s v="Quarter4"/>
    <s v="Quarter1"/>
    <s v="Qtr_1"/>
    <x v="1"/>
    <d v="2023-11-01T00:00:00"/>
    <d v="2023-11-30T00:00:00"/>
    <x v="1"/>
    <x v="38"/>
    <n v="11"/>
    <n v="14"/>
    <n v="9"/>
    <n v="4"/>
    <n v="9"/>
    <n v="36"/>
    <n v="22"/>
    <n v="23"/>
    <n v="0"/>
    <n v="0"/>
    <n v="0"/>
    <n v="23"/>
    <n v="4"/>
    <n v="4"/>
    <n v="1"/>
    <n v="7"/>
    <n v="3"/>
    <n v="17"/>
    <n v="2"/>
    <n v="7"/>
    <n v="0"/>
  </r>
  <r>
    <n v="169"/>
    <d v="2024-03-11T14:26:42"/>
    <d v="2024-03-11T14:31:25"/>
    <s v="mchirwa@lighthouse.org.mw"/>
    <s v="Margaret Chirwa"/>
    <x v="9"/>
    <s v="COE"/>
    <x v="1"/>
    <s v="COP_23"/>
    <s v="COP_23"/>
    <s v="Quarter1"/>
    <s v="Quarter2"/>
    <s v="Qtr_2"/>
    <x v="5"/>
    <d v="2024-02-01T00:00:00"/>
    <d v="2024-02-29T00:00:00"/>
    <x v="1"/>
    <x v="119"/>
    <n v="16"/>
    <n v="84"/>
    <n v="27"/>
    <n v="9"/>
    <n v="11"/>
    <n v="131"/>
    <n v="39"/>
    <n v="39"/>
    <n v="3"/>
    <n v="3"/>
    <n v="0"/>
    <n v="39"/>
    <n v="9"/>
    <n v="0"/>
    <n v="0"/>
    <n v="4"/>
    <n v="1"/>
    <n v="24"/>
    <n v="2"/>
    <n v="9"/>
    <n v="1"/>
  </r>
  <r>
    <n v="222"/>
    <d v="2024-04-08T14:28:21"/>
    <d v="2024-04-08T14:41:43"/>
    <s v="mchirwa@lighthouse.org.mw"/>
    <s v="Margaret Chirwa"/>
    <x v="9"/>
    <s v="COE"/>
    <x v="1"/>
    <s v="COP_23"/>
    <s v="COP_23"/>
    <s v="Quarter1"/>
    <s v="Quarter2"/>
    <s v="Qtr_2"/>
    <x v="3"/>
    <d v="2024-03-01T00:00:00"/>
    <d v="2024-03-31T00:00:00"/>
    <x v="1"/>
    <x v="88"/>
    <n v="8"/>
    <n v="62"/>
    <n v="11"/>
    <n v="22"/>
    <n v="4"/>
    <n v="95"/>
    <n v="28"/>
    <n v="33"/>
    <n v="0"/>
    <n v="1"/>
    <n v="0"/>
    <n v="33"/>
    <n v="0"/>
    <n v="2"/>
    <n v="0"/>
    <n v="7"/>
    <n v="5"/>
    <n v="23"/>
    <n v="3"/>
    <n v="7"/>
    <n v="0"/>
  </r>
  <r>
    <n v="296"/>
    <d v="2024-04-24T10:50:41"/>
    <d v="2024-04-24T11:02:40"/>
    <s v="mchirwa@lighthouse.org.mw"/>
    <s v="Margaret Chirwa"/>
    <x v="9"/>
    <s v="COE"/>
    <x v="1"/>
    <s v="COP_24"/>
    <s v="COP_23"/>
    <s v="Quarter1"/>
    <s v="Quarter2"/>
    <s v="Qtr_2"/>
    <x v="4"/>
    <d v="2024-01-01T00:00:00"/>
    <d v="2024-01-31T00:00:00"/>
    <x v="1"/>
    <x v="120"/>
    <n v="32"/>
    <n v="89"/>
    <n v="22"/>
    <n v="21"/>
    <n v="12"/>
    <n v="143"/>
    <n v="49"/>
    <n v="57"/>
    <n v="1"/>
    <n v="2"/>
    <n v="1"/>
    <n v="52"/>
    <n v="6"/>
    <n v="3"/>
    <n v="0"/>
    <n v="6"/>
    <n v="3"/>
    <n v="30"/>
    <n v="5"/>
    <n v="9"/>
    <n v="1"/>
  </r>
  <r>
    <n v="623"/>
    <d v="2024-07-16T13:45:18"/>
    <d v="2024-07-16T13:48:49"/>
    <s v="jmakoza@lighthouse.org.mw"/>
    <s v="Jonathan Makoza"/>
    <x v="9"/>
    <s v="COE"/>
    <x v="1"/>
    <s v="COP_24"/>
    <s v="COP_23"/>
    <s v="Quarter2"/>
    <s v="Quarter3"/>
    <s v="Qtr_3"/>
    <x v="7"/>
    <d v="2024-04-01T00:00:00"/>
    <d v="2024-04-30T00:00:00"/>
    <x v="1"/>
    <x v="99"/>
    <n v="18"/>
    <n v="79"/>
    <n v="6"/>
    <n v="21"/>
    <n v="4"/>
    <n v="126"/>
    <n v="39"/>
    <n v="36"/>
    <n v="1"/>
    <n v="1"/>
    <n v="0"/>
    <n v="35"/>
    <n v="2"/>
    <n v="5"/>
    <n v="2"/>
    <n v="6"/>
    <n v="3"/>
    <n v="13"/>
    <n v="0"/>
    <n v="8"/>
    <n v="0"/>
  </r>
  <r>
    <n v="628"/>
    <d v="2024-07-16T14:34:21"/>
    <d v="2024-07-16T14:43:26"/>
    <s v="jmakoza@lighthouse.org.mw"/>
    <s v="Jonathan Makoza"/>
    <x v="9"/>
    <s v="COE"/>
    <x v="1"/>
    <s v="COP_24"/>
    <s v="COP_23"/>
    <s v="Quarter2"/>
    <s v="Quarter3"/>
    <s v="Qtr_3"/>
    <x v="6"/>
    <d v="2024-05-01T00:00:00"/>
    <d v="2024-05-30T00:00:00"/>
    <x v="1"/>
    <x v="121"/>
    <n v="21"/>
    <n v="67"/>
    <n v="8"/>
    <n v="26"/>
    <n v="5"/>
    <n v="130"/>
    <n v="34"/>
    <n v="43"/>
    <n v="0"/>
    <n v="0"/>
    <n v="0"/>
    <n v="4"/>
    <n v="0"/>
    <n v="2"/>
    <n v="1"/>
    <n v="1"/>
    <n v="0"/>
    <n v="32"/>
    <n v="2"/>
    <n v="4"/>
    <n v="0"/>
  </r>
  <r>
    <n v="634"/>
    <d v="2024-07-16T15:20:10"/>
    <d v="2024-07-16T15:27:35"/>
    <s v="jmakoza@lighthouse.org.mw"/>
    <s v="Jonathan Makoza"/>
    <x v="9"/>
    <s v="COE"/>
    <x v="1"/>
    <s v="COP_24"/>
    <s v="COP_23"/>
    <s v="Quarter2"/>
    <s v="Quarter3"/>
    <s v="Qtr_3"/>
    <x v="8"/>
    <d v="2024-06-01T00:00:00"/>
    <d v="2024-06-30T00:00:00"/>
    <x v="1"/>
    <x v="122"/>
    <n v="6"/>
    <n v="44"/>
    <n v="7"/>
    <n v="12"/>
    <n v="3"/>
    <n v="90"/>
    <n v="29"/>
    <n v="34"/>
    <n v="0"/>
    <n v="0"/>
    <n v="0"/>
    <n v="0"/>
    <n v="0"/>
    <n v="1"/>
    <n v="0"/>
    <n v="0"/>
    <n v="0"/>
    <n v="8"/>
    <n v="0"/>
    <n v="0"/>
    <n v="0"/>
  </r>
  <r>
    <n v="226"/>
    <d v="2024-04-08T15:42:48"/>
    <d v="2024-04-08T15:48:23"/>
    <s v="mchirwa@lighthouse.org.mw"/>
    <s v="Margaret Chirwa"/>
    <x v="9"/>
    <s v="COE"/>
    <x v="1"/>
    <s v="COP_24"/>
    <s v="COP_23"/>
    <s v="Quarter1"/>
    <s v="Quarter2"/>
    <s v="Qtr_2"/>
    <x v="3"/>
    <d v="2024-03-01T00:00:00"/>
    <d v="2024-03-31T00:00:00"/>
    <x v="2"/>
    <x v="123"/>
    <n v="4"/>
    <n v="37"/>
    <n v="3"/>
    <n v="5"/>
    <n v="4"/>
    <n v="49"/>
    <n v="15"/>
    <n v="25"/>
    <n v="0"/>
    <n v="0"/>
    <n v="0"/>
    <n v="25"/>
    <n v="1"/>
    <n v="2"/>
    <n v="0"/>
    <n v="7"/>
    <n v="1"/>
    <n v="12"/>
    <n v="2"/>
    <n v="4"/>
    <n v="0"/>
  </r>
  <r>
    <n v="302"/>
    <d v="2024-04-24T13:31:30"/>
    <d v="2024-04-24T13:32:38"/>
    <s v="mchirwa@lighthouse.org.mw"/>
    <s v="Margaret Chirwa"/>
    <x v="9"/>
    <s v="COE"/>
    <x v="1"/>
    <s v="COP_24"/>
    <s v="COP_23"/>
    <s v="Quarter1"/>
    <s v="Quarter2"/>
    <s v="Qtr_2"/>
    <x v="4"/>
    <d v="2024-01-01T00:00:00"/>
    <d v="2024-01-31T00:00:00"/>
    <x v="2"/>
    <x v="44"/>
    <n v="2"/>
    <n v="12"/>
    <n v="0"/>
    <n v="1"/>
    <n v="1"/>
    <n v="14"/>
    <n v="4"/>
    <n v="7"/>
    <n v="0"/>
    <n v="1"/>
    <n v="0"/>
    <n v="7"/>
    <n v="1"/>
    <n v="0"/>
    <n v="0"/>
    <n v="1"/>
    <n v="1"/>
    <n v="0"/>
    <n v="0"/>
    <n v="2"/>
    <n v="0"/>
  </r>
  <r>
    <n v="350"/>
    <d v="2024-04-30T15:35:16"/>
    <d v="2024-04-30T15:36:34"/>
    <s v="mchirwa@lighthouse.org.mw"/>
    <s v="Margaret Chirwa"/>
    <x v="9"/>
    <s v="COE"/>
    <x v="1"/>
    <s v="COP_24"/>
    <s v="COP_23"/>
    <s v="Quarter1"/>
    <s v="Quarter2"/>
    <s v="Qtr_2"/>
    <x v="5"/>
    <d v="2024-02-01T00:00:00"/>
    <d v="2024-02-29T00:00:00"/>
    <x v="2"/>
    <x v="38"/>
    <n v="6"/>
    <n v="20"/>
    <n v="2"/>
    <n v="4"/>
    <n v="3"/>
    <n v="29"/>
    <n v="7"/>
    <n v="24"/>
    <n v="2"/>
    <n v="1"/>
    <n v="0"/>
    <n v="24"/>
    <n v="2"/>
    <n v="0"/>
    <n v="0"/>
    <n v="4"/>
    <n v="0"/>
    <n v="7"/>
    <n v="0"/>
    <n v="2"/>
    <n v="1"/>
  </r>
  <r>
    <n v="626"/>
    <d v="2024-07-16T14:00:29"/>
    <d v="2024-07-16T14:12:25"/>
    <s v="jmakoza@lighthouse.org.mw"/>
    <s v="Jonathan Makoza"/>
    <x v="9"/>
    <s v="COE"/>
    <x v="1"/>
    <s v="COP_24"/>
    <s v="COP_23"/>
    <s v="Quarter2"/>
    <s v="Quarter3"/>
    <s v="Qtr_3"/>
    <x v="7"/>
    <d v="2024-04-01T00:00:00"/>
    <d v="2024-04-30T00:00:00"/>
    <x v="2"/>
    <x v="43"/>
    <n v="0"/>
    <n v="24"/>
    <n v="1"/>
    <n v="6"/>
    <n v="1"/>
    <n v="32"/>
    <n v="12"/>
    <n v="12"/>
    <n v="2"/>
    <n v="2"/>
    <n v="2"/>
    <n v="12"/>
    <n v="0"/>
    <n v="1"/>
    <n v="0"/>
    <n v="2"/>
    <n v="1"/>
    <n v="4"/>
    <n v="0"/>
    <n v="1"/>
    <n v="2"/>
  </r>
  <r>
    <n v="632"/>
    <d v="2024-07-16T15:05:08"/>
    <d v="2024-07-16T15:12:50"/>
    <s v="jmakoza@lighthouse.org.mw"/>
    <s v="Jonathan Makoza"/>
    <x v="9"/>
    <s v="COE"/>
    <x v="1"/>
    <s v="COP_24"/>
    <s v="COP_23"/>
    <s v="Quarter2"/>
    <s v="Quarter3"/>
    <s v="Qtr_3"/>
    <x v="6"/>
    <d v="2024-05-01T00:00:00"/>
    <d v="2024-05-31T00:00:00"/>
    <x v="2"/>
    <x v="3"/>
    <n v="2"/>
    <n v="12"/>
    <n v="0"/>
    <n v="2"/>
    <n v="0"/>
    <n v="13"/>
    <n v="2"/>
    <n v="2"/>
    <n v="0"/>
    <n v="0"/>
    <n v="0"/>
    <n v="1"/>
    <n v="0"/>
    <n v="0"/>
    <n v="0"/>
    <n v="2"/>
    <n v="0"/>
    <n v="2"/>
    <n v="0"/>
    <n v="0"/>
    <n v="0"/>
  </r>
  <r>
    <n v="855"/>
    <d v="2024-10-02T14:39:46"/>
    <d v="2024-10-02T14:45:18"/>
    <s v="jmakoza@lighthouse.org.mw"/>
    <s v="Jonathan Makoza"/>
    <x v="9"/>
    <s v="COE"/>
    <x v="1"/>
    <s v="COP_22"/>
    <s v="COP_23"/>
    <s v="Quarter3"/>
    <s v="Quarter4"/>
    <s v="Qtr_4"/>
    <x v="9"/>
    <d v="2024-07-01T00:00:00"/>
    <d v="2024-07-31T00:00:00"/>
    <x v="1"/>
    <x v="86"/>
    <n v="14"/>
    <n v="69"/>
    <n v="7"/>
    <n v="17"/>
    <n v="6"/>
    <n v="92"/>
    <n v="27"/>
    <n v="33"/>
    <n v="0"/>
    <n v="0"/>
    <n v="0"/>
    <n v="0"/>
    <n v="0"/>
    <n v="0"/>
    <n v="0"/>
    <n v="11"/>
    <n v="4"/>
    <n v="3"/>
    <n v="14"/>
    <n v="6"/>
    <n v="0"/>
  </r>
  <r>
    <n v="864"/>
    <d v="2024-10-02T15:21:07"/>
    <d v="2024-10-02T15:23:14"/>
    <s v="jmakoza@lighthouse.org.mw"/>
    <s v="Jonathan Makoza"/>
    <x v="9"/>
    <s v="COE"/>
    <x v="1"/>
    <s v="COP_22"/>
    <s v="COP_23"/>
    <s v="Quarter3"/>
    <s v="Quarter4"/>
    <s v="Qtr_4"/>
    <x v="10"/>
    <d v="2024-08-01T00:00:00"/>
    <d v="2024-08-31T00:00:00"/>
    <x v="1"/>
    <x v="22"/>
    <n v="2"/>
    <n v="76"/>
    <n v="7"/>
    <n v="19"/>
    <n v="8"/>
    <n v="106"/>
    <n v="28"/>
    <n v="30"/>
    <n v="0"/>
    <n v="0"/>
    <n v="0"/>
    <n v="3"/>
    <n v="2"/>
    <n v="0"/>
    <n v="0"/>
    <n v="3"/>
    <n v="2"/>
    <n v="4"/>
    <n v="0"/>
    <n v="9"/>
    <n v="0"/>
  </r>
  <r>
    <n v="955"/>
    <d v="2024-10-17T15:18:49"/>
    <d v="2024-10-17T15:25:01"/>
    <s v="jmakoza@lighthouse.org.mw"/>
    <s v="Jonathan Makoza"/>
    <x v="9"/>
    <s v="COE"/>
    <x v="1"/>
    <s v="COP_22"/>
    <s v="COP_23"/>
    <s v="Quarter3"/>
    <s v="Quarter4"/>
    <s v="Qtr_4"/>
    <x v="2"/>
    <d v="2024-09-01T00:00:00"/>
    <d v="2024-09-30T00:00:00"/>
    <x v="1"/>
    <x v="124"/>
    <n v="10"/>
    <n v="61"/>
    <n v="5"/>
    <n v="18"/>
    <n v="11"/>
    <n v="92"/>
    <n v="29"/>
    <n v="25"/>
    <n v="1"/>
    <n v="3"/>
    <n v="0"/>
    <n v="25"/>
    <n v="2"/>
    <n v="3"/>
    <n v="1"/>
    <n v="8"/>
    <n v="4"/>
    <n v="18"/>
    <n v="1"/>
    <n v="4"/>
    <n v="0"/>
  </r>
  <r>
    <n v="638"/>
    <d v="2024-07-16T15:44:07"/>
    <d v="2024-07-16T15:46:07"/>
    <s v="jmakoza@lighthouse.org.mw"/>
    <s v="Jonathan Makoza"/>
    <x v="9"/>
    <s v="COE"/>
    <x v="1"/>
    <s v="COP_24"/>
    <s v="COP_23"/>
    <s v="Quarter2"/>
    <s v="Quarter3"/>
    <s v="Qtr_3"/>
    <x v="8"/>
    <d v="2024-06-01T00:00:00"/>
    <d v="2024-06-30T00:00:00"/>
    <x v="2"/>
    <x v="11"/>
    <n v="1"/>
    <n v="5"/>
    <n v="1"/>
    <n v="1"/>
    <n v="0"/>
    <n v="6"/>
    <n v="1"/>
    <n v="1"/>
    <n v="0"/>
    <n v="0"/>
    <n v="0"/>
    <n v="0"/>
    <n v="0"/>
    <n v="0"/>
    <n v="0"/>
    <n v="0"/>
    <n v="0"/>
    <n v="0"/>
    <n v="0"/>
    <n v="0"/>
    <n v="0"/>
  </r>
  <r>
    <n v="859"/>
    <d v="2024-10-02T15:03:23"/>
    <d v="2024-10-02T15:05:29"/>
    <s v="jmakoza@lighthouse.org.mw"/>
    <s v="Jonathan Makoza"/>
    <x v="9"/>
    <s v="COE"/>
    <x v="1"/>
    <s v="COP_22"/>
    <s v="COP_23"/>
    <s v="Quarter3"/>
    <s v="Quarter4"/>
    <s v="Qtr_4"/>
    <x v="9"/>
    <d v="2024-07-01T00:00:00"/>
    <d v="2024-07-31T00:00:00"/>
    <x v="2"/>
    <x v="36"/>
    <n v="1"/>
    <n v="9"/>
    <n v="0"/>
    <n v="2"/>
    <n v="0"/>
    <n v="11"/>
    <n v="1"/>
    <n v="0"/>
    <n v="0"/>
    <n v="0"/>
    <n v="0"/>
    <n v="0"/>
    <n v="0"/>
    <n v="0"/>
    <n v="0"/>
    <n v="0"/>
    <n v="0"/>
    <n v="0"/>
    <n v="0"/>
    <n v="0"/>
    <n v="0"/>
  </r>
  <r>
    <n v="770"/>
    <d v="2024-08-19T10:34:30"/>
    <d v="2024-08-19T10:38:22"/>
    <s v="mchirwa@lighthouse.org.mw"/>
    <s v="Margaret Chirwa"/>
    <x v="9"/>
    <s v="COE"/>
    <x v="1"/>
    <s v="COP_24"/>
    <s v="COP_23"/>
    <s v="Quarter2"/>
    <s v="Quarter3"/>
    <s v="Qtr_3"/>
    <x v="8"/>
    <d v="2024-06-01T00:00:00"/>
    <d v="2024-06-30T00:00:00"/>
    <x v="3"/>
    <x v="31"/>
    <n v="0"/>
    <n v="5"/>
    <n v="2"/>
    <n v="0"/>
    <n v="0"/>
    <n v="0"/>
    <n v="0"/>
    <n v="5"/>
    <n v="0"/>
    <n v="0"/>
    <n v="0"/>
    <n v="0"/>
    <n v="0"/>
    <n v="0"/>
    <n v="0"/>
    <n v="0"/>
    <n v="0"/>
    <n v="3"/>
    <n v="0"/>
    <n v="0"/>
    <n v="0"/>
  </r>
  <r>
    <n v="862"/>
    <d v="2024-10-02T15:13:40"/>
    <d v="2024-10-02T15:17:18"/>
    <s v="jmakoza@lighthouse.org.mw"/>
    <s v="Jonathan Makoza"/>
    <x v="9"/>
    <s v="COE"/>
    <x v="1"/>
    <s v="COP_22"/>
    <s v="COP_23"/>
    <s v="Quarter3"/>
    <s v="Quarter4"/>
    <s v="Qtr_4"/>
    <x v="10"/>
    <d v="2024-08-01T00:00:00"/>
    <d v="2024-08-31T00:00:00"/>
    <x v="2"/>
    <x v="40"/>
    <n v="0"/>
    <n v="10"/>
    <n v="2"/>
    <n v="0"/>
    <n v="0"/>
    <n v="12"/>
    <n v="1"/>
    <n v="1"/>
    <n v="0"/>
    <n v="0"/>
    <n v="0"/>
    <n v="0"/>
    <n v="0"/>
    <n v="0"/>
    <n v="0"/>
    <n v="0"/>
    <n v="0"/>
    <n v="0"/>
    <n v="0"/>
    <n v="0"/>
    <n v="0"/>
  </r>
  <r>
    <n v="951"/>
    <d v="2024-10-17T15:05:30"/>
    <d v="2024-10-17T15:11:33"/>
    <s v="jmakoza@lighthouse.org.mw"/>
    <s v="Jonathan Makoza"/>
    <x v="9"/>
    <s v="COE"/>
    <x v="1"/>
    <s v="COP_22"/>
    <s v="COP_23"/>
    <s v="Quarter3"/>
    <s v="Quarter4"/>
    <s v="Qtr_4"/>
    <x v="2"/>
    <d v="2024-09-01T00:00:00"/>
    <d v="2024-09-30T00:00:00"/>
    <x v="2"/>
    <x v="65"/>
    <n v="0"/>
    <n v="8"/>
    <n v="1"/>
    <n v="3"/>
    <n v="1"/>
    <n v="13"/>
    <n v="5"/>
    <n v="6"/>
    <n v="0"/>
    <n v="0"/>
    <n v="0"/>
    <n v="6"/>
    <n v="0"/>
    <n v="0"/>
    <n v="0"/>
    <n v="3"/>
    <n v="1"/>
    <n v="4"/>
    <n v="0"/>
    <n v="1"/>
    <n v="0"/>
  </r>
  <r>
    <n v="856"/>
    <d v="2024-10-02T14:47:06"/>
    <d v="2024-10-02T14:50:48"/>
    <s v="jmakoza@lighthouse.org.mw"/>
    <s v="Jonathan Makoza"/>
    <x v="9"/>
    <s v="COE"/>
    <x v="1"/>
    <s v="COP_22"/>
    <s v="COP_23"/>
    <s v="Quarter3"/>
    <s v="Quarter4"/>
    <s v="Qtr_4"/>
    <x v="9"/>
    <d v="2024-07-01T00:00:00"/>
    <d v="2024-07-31T00:00:00"/>
    <x v="3"/>
    <x v="37"/>
    <n v="1"/>
    <n v="4"/>
    <n v="0"/>
    <n v="2"/>
    <n v="0"/>
    <n v="0"/>
    <n v="0"/>
    <n v="5"/>
    <n v="0"/>
    <n v="0"/>
    <n v="0"/>
    <n v="0"/>
    <n v="0"/>
    <n v="0"/>
    <n v="0"/>
    <n v="2"/>
    <n v="1"/>
    <n v="1"/>
    <n v="1"/>
    <n v="1"/>
    <n v="0"/>
  </r>
  <r>
    <n v="857"/>
    <d v="2024-10-02T14:53:54"/>
    <d v="2024-10-02T15:00:15"/>
    <s v="jmakoza@lighthouse.org.mw"/>
    <s v="Jonathan Makoza"/>
    <x v="9"/>
    <s v="COE"/>
    <x v="1"/>
    <s v="COP_22"/>
    <s v="COP_23"/>
    <s v="Quarter3"/>
    <s v="Quarter4"/>
    <s v="Qtr_4"/>
    <x v="9"/>
    <d v="2024-10-01T00:00:00"/>
    <d v="2024-10-31T00:00:00"/>
    <x v="4"/>
    <x v="37"/>
    <n v="1"/>
    <n v="3"/>
    <n v="1"/>
    <n v="2"/>
    <n v="0"/>
    <n v="6"/>
    <n v="1"/>
    <n v="0"/>
    <n v="0"/>
    <n v="0"/>
    <n v="0"/>
    <n v="0"/>
    <n v="0"/>
    <n v="0"/>
    <n v="0"/>
    <n v="0"/>
    <n v="0"/>
    <n v="1"/>
    <n v="0"/>
    <n v="0"/>
    <n v="0"/>
  </r>
  <r>
    <n v="858"/>
    <d v="2024-10-02T15:00:21"/>
    <d v="2024-10-02T15:03:10"/>
    <s v="jmakoza@lighthouse.org.mw"/>
    <s v="Jonathan Makoza"/>
    <x v="9"/>
    <s v="COE"/>
    <x v="1"/>
    <s v="COP_22"/>
    <s v="COP_23"/>
    <s v="Quarter3"/>
    <s v="Quarter4"/>
    <s v="Qtr_4"/>
    <x v="9"/>
    <d v="2024-07-01T00:00:00"/>
    <d v="2024-07-31T00:00:00"/>
    <x v="5"/>
    <x v="61"/>
    <n v="2"/>
    <n v="17"/>
    <n v="0"/>
    <n v="0"/>
    <n v="2"/>
    <n v="18"/>
    <n v="4"/>
    <n v="3"/>
    <n v="0"/>
    <n v="0"/>
    <n v="0"/>
    <n v="0"/>
    <n v="0"/>
    <n v="0"/>
    <n v="0"/>
    <n v="0"/>
    <n v="0"/>
    <n v="1"/>
    <n v="1"/>
    <n v="1"/>
    <n v="0"/>
  </r>
  <r>
    <n v="860"/>
    <d v="2024-10-02T15:06:14"/>
    <d v="2024-10-02T15:09:52"/>
    <s v="jmakoza@lighthouse.org.mw"/>
    <s v="Jonathan Makoza"/>
    <x v="9"/>
    <s v="COE"/>
    <x v="1"/>
    <s v="COP_22"/>
    <s v="COP_23"/>
    <s v="Quarter3"/>
    <s v="Quarter4"/>
    <s v="Qtr_4"/>
    <x v="9"/>
    <d v="2024-07-01T00:00:00"/>
    <d v="2024-07-31T00:00:00"/>
    <x v="0"/>
    <x v="99"/>
    <n v="17"/>
    <n v="95"/>
    <n v="7"/>
    <n v="19"/>
    <n v="8"/>
    <n v="121"/>
    <n v="32"/>
    <n v="36"/>
    <n v="0"/>
    <n v="0"/>
    <n v="0"/>
    <n v="0"/>
    <n v="0"/>
    <n v="0"/>
    <n v="0"/>
    <n v="11"/>
    <n v="4"/>
    <n v="15"/>
    <n v="4"/>
    <n v="7"/>
    <n v="0"/>
  </r>
  <r>
    <n v="861"/>
    <d v="2024-10-02T15:10:02"/>
    <d v="2024-10-02T15:13:25"/>
    <s v="jmakoza@lighthouse.org.mw"/>
    <s v="Jonathan Makoza"/>
    <x v="9"/>
    <s v="COE"/>
    <x v="1"/>
    <s v="COP_22"/>
    <s v="COP_22"/>
    <s v="Quarter3"/>
    <s v="Quarter4"/>
    <s v="Qtr_4"/>
    <x v="10"/>
    <d v="2024-08-01T00:00:00"/>
    <d v="2024-08-31T00:00:00"/>
    <x v="0"/>
    <x v="125"/>
    <n v="3"/>
    <n v="103"/>
    <n v="9"/>
    <n v="20"/>
    <n v="9"/>
    <n v="131"/>
    <n v="30"/>
    <n v="44"/>
    <n v="0"/>
    <n v="0"/>
    <n v="0"/>
    <n v="11"/>
    <n v="3"/>
    <n v="0"/>
    <n v="0"/>
    <n v="5"/>
    <n v="4"/>
    <n v="13"/>
    <n v="2"/>
    <n v="11"/>
    <n v="0"/>
  </r>
  <r>
    <n v="863"/>
    <d v="2024-10-02T15:17:26"/>
    <d v="2024-10-02T15:20:47"/>
    <s v="jmakoza@lighthouse.org.mw"/>
    <s v="Jonathan Makoza"/>
    <x v="9"/>
    <s v="COE"/>
    <x v="1"/>
    <s v="COP_23"/>
    <s v="COP_23"/>
    <s v="Quarter3"/>
    <s v="Quarter4"/>
    <s v="Qtr_4"/>
    <x v="10"/>
    <d v="2024-08-01T00:00:00"/>
    <d v="2024-08-31T00:00:00"/>
    <x v="5"/>
    <x v="7"/>
    <n v="0"/>
    <n v="11"/>
    <n v="1"/>
    <n v="0"/>
    <n v="1"/>
    <n v="9"/>
    <n v="1"/>
    <n v="7"/>
    <n v="0"/>
    <n v="0"/>
    <n v="0"/>
    <n v="6"/>
    <n v="1"/>
    <n v="0"/>
    <n v="0"/>
    <n v="1"/>
    <n v="1"/>
    <n v="2"/>
    <n v="0"/>
    <n v="0"/>
    <n v="0"/>
  </r>
  <r>
    <n v="865"/>
    <d v="2024-10-02T15:29:35"/>
    <d v="2024-10-02T15:31:29"/>
    <s v="jmakoza@lighthouse.org.mw"/>
    <s v="Jonathan Makoza"/>
    <x v="9"/>
    <s v="COE"/>
    <x v="1"/>
    <s v="COP_22"/>
    <s v="COP_22"/>
    <s v="Quarter3"/>
    <s v="Quarter4"/>
    <s v="Qtr_4"/>
    <x v="10"/>
    <d v="2024-08-01T00:00:00"/>
    <d v="2024-08-31T00:00:00"/>
    <x v="3"/>
    <x v="25"/>
    <n v="0"/>
    <n v="8"/>
    <n v="0"/>
    <n v="1"/>
    <n v="0"/>
    <n v="1"/>
    <n v="0"/>
    <n v="9"/>
    <n v="0"/>
    <n v="0"/>
    <n v="0"/>
    <n v="6"/>
    <n v="0"/>
    <n v="0"/>
    <n v="0"/>
    <n v="0"/>
    <n v="4"/>
    <n v="0"/>
    <n v="0"/>
    <n v="0"/>
    <n v="0"/>
  </r>
  <r>
    <n v="866"/>
    <d v="2024-10-02T15:32:52"/>
    <d v="2024-10-02T15:34:50"/>
    <s v="jmakoza@lighthouse.org.mw"/>
    <s v="Jonathan Makoza"/>
    <x v="9"/>
    <s v="COE"/>
    <x v="1"/>
    <s v="COP_23"/>
    <s v="COP_23"/>
    <s v="Quarter3"/>
    <s v="Quarter4"/>
    <s v="Qtr_4"/>
    <x v="10"/>
    <d v="2024-08-01T00:00:00"/>
    <d v="2024-08-31T00:00:00"/>
    <x v="4"/>
    <x v="39"/>
    <n v="1"/>
    <n v="5"/>
    <n v="0"/>
    <n v="1"/>
    <n v="2"/>
    <n v="8"/>
    <n v="1"/>
    <n v="1"/>
    <n v="0"/>
    <n v="0"/>
    <n v="0"/>
    <n v="1"/>
    <n v="1"/>
    <n v="0"/>
    <n v="0"/>
    <n v="5"/>
    <n v="0"/>
    <n v="6"/>
    <n v="1"/>
    <n v="2"/>
    <n v="0"/>
  </r>
  <r>
    <n v="950"/>
    <d v="2024-10-17T14:58:57"/>
    <d v="2024-10-17T15:04:41"/>
    <s v="jmakoza@lighthouse.org.mw"/>
    <s v="Jonathan Makoza"/>
    <x v="9"/>
    <s v="COE"/>
    <x v="1"/>
    <s v="COP_23"/>
    <s v="COP_23"/>
    <s v="Quarter3"/>
    <s v="Quarter4"/>
    <s v="Qtr_4"/>
    <x v="2"/>
    <d v="2024-09-01T00:00:00"/>
    <d v="2024-09-30T00:00:00"/>
    <x v="0"/>
    <x v="126"/>
    <n v="13"/>
    <n v="75"/>
    <n v="6"/>
    <n v="22"/>
    <n v="14"/>
    <n v="114"/>
    <n v="39"/>
    <n v="36"/>
    <n v="2"/>
    <n v="5"/>
    <n v="0"/>
    <n v="35"/>
    <n v="4"/>
    <n v="3"/>
    <n v="1"/>
    <n v="14"/>
    <n v="6"/>
    <n v="24"/>
    <n v="1"/>
    <n v="6"/>
    <n v="0"/>
  </r>
  <r>
    <n v="952"/>
    <d v="2024-10-17T15:11:41"/>
    <d v="2024-10-17T15:14:10"/>
    <s v="jmakoza@lighthouse.org.mw"/>
    <s v="Jonathan Makoza"/>
    <x v="9"/>
    <s v="COE"/>
    <x v="1"/>
    <s v="COP_23"/>
    <s v="COP_23"/>
    <s v="Quarter3"/>
    <s v="Quarter4"/>
    <s v="Qtr_4"/>
    <x v="2"/>
    <d v="2024-09-01T00:00:00"/>
    <d v="2024-09-30T00:00:00"/>
    <x v="5"/>
    <x v="11"/>
    <n v="0"/>
    <n v="8"/>
    <n v="1"/>
    <n v="0"/>
    <n v="0"/>
    <n v="9"/>
    <n v="3"/>
    <n v="3"/>
    <n v="0"/>
    <n v="0"/>
    <n v="0"/>
    <n v="3"/>
    <n v="0"/>
    <n v="0"/>
    <n v="0"/>
    <n v="3"/>
    <n v="1"/>
    <n v="1"/>
    <n v="0"/>
    <n v="0"/>
    <n v="0"/>
  </r>
  <r>
    <n v="953"/>
    <d v="2024-10-17T15:14:14"/>
    <d v="2024-10-17T15:16:35"/>
    <s v="jmakoza@lighthouse.org.mw"/>
    <s v="Jonathan Makoza"/>
    <x v="9"/>
    <s v="COE"/>
    <x v="1"/>
    <s v="COP_23"/>
    <s v="COP_23"/>
    <s v="Quarter3"/>
    <s v="Quarter4"/>
    <s v="Qtr_4"/>
    <x v="2"/>
    <d v="2024-09-01T00:00:00"/>
    <d v="2024-09-30T00:00:00"/>
    <x v="4"/>
    <x v="30"/>
    <n v="0"/>
    <n v="0"/>
    <n v="0"/>
    <n v="0"/>
    <n v="2"/>
    <n v="2"/>
    <n v="2"/>
    <n v="2"/>
    <n v="0"/>
    <n v="0"/>
    <n v="0"/>
    <n v="2"/>
    <n v="0"/>
    <n v="0"/>
    <n v="0"/>
    <n v="0"/>
    <n v="0"/>
    <n v="1"/>
    <n v="0"/>
    <n v="0"/>
    <n v="0"/>
  </r>
  <r>
    <n v="954"/>
    <d v="2024-10-17T15:16:41"/>
    <d v="2024-10-17T15:18:37"/>
    <s v="jmakoza@lighthouse.org.mw"/>
    <s v="Jonathan Makoza"/>
    <x v="9"/>
    <s v="COE"/>
    <x v="1"/>
    <s v="COP_23"/>
    <s v="COP_23"/>
    <s v="Quarter3"/>
    <s v="Quarter4"/>
    <s v="Qtr_4"/>
    <x v="2"/>
    <d v="2024-09-01T00:00:00"/>
    <d v="2024-09-30T00:00:00"/>
    <x v="3"/>
    <x v="54"/>
    <n v="0"/>
    <n v="2"/>
    <n v="0"/>
    <n v="1"/>
    <n v="0"/>
    <n v="2"/>
    <n v="0"/>
    <n v="0"/>
    <n v="0"/>
    <n v="0"/>
    <n v="0"/>
    <n v="0"/>
    <n v="0"/>
    <n v="0"/>
    <n v="0"/>
    <n v="0"/>
    <n v="0"/>
    <n v="0"/>
    <n v="0"/>
    <n v="0"/>
    <n v="0"/>
  </r>
  <r>
    <n v="1138"/>
    <d v="2024-12-17T13:56:54"/>
    <d v="2024-12-17T14:07:14"/>
    <s v="jmakoza@lighthouse.org.mw"/>
    <s v="Jonathan Makoza"/>
    <x v="9"/>
    <s v="COE"/>
    <x v="1"/>
    <s v="COP_23"/>
    <s v="COP_24"/>
    <s v="Quarter4"/>
    <s v="Quarter1"/>
    <s v="Qtr_1"/>
    <x v="1"/>
    <d v="2024-11-01T00:00:00"/>
    <d v="2024-11-30T00:00:00"/>
    <x v="1"/>
    <x v="92"/>
    <n v="5"/>
    <n v="80"/>
    <n v="8"/>
    <n v="10"/>
    <n v="7"/>
    <n v="100"/>
    <n v="30"/>
    <n v="37"/>
    <n v="0"/>
    <n v="0"/>
    <n v="0"/>
    <n v="30"/>
    <n v="4"/>
    <n v="7"/>
    <n v="1"/>
    <n v="4"/>
    <n v="1"/>
    <n v="13"/>
    <n v="0"/>
    <n v="3"/>
    <n v="0"/>
  </r>
  <r>
    <n v="1139"/>
    <d v="2024-12-17T14:07:22"/>
    <d v="2024-12-17T14:12:10"/>
    <s v="jmakoza@lighthouse.org.mw"/>
    <s v="Jonathan Makoza"/>
    <x v="9"/>
    <s v="COE"/>
    <x v="1"/>
    <s v="COP_23"/>
    <s v="COP_24"/>
    <s v="Quarter4"/>
    <s v="Quarter1"/>
    <s v="Qtr_1"/>
    <x v="1"/>
    <d v="2024-11-01T00:00:00"/>
    <d v="2024-11-30T00:00:00"/>
    <x v="3"/>
    <x v="54"/>
    <n v="0"/>
    <n v="3"/>
    <n v="0"/>
    <n v="1"/>
    <n v="1"/>
    <n v="5"/>
    <n v="0"/>
    <n v="5"/>
    <n v="0"/>
    <n v="0"/>
    <n v="0"/>
    <n v="4"/>
    <n v="1"/>
    <n v="0"/>
    <n v="0"/>
    <n v="0"/>
    <n v="0"/>
    <n v="1"/>
    <n v="0"/>
    <n v="0"/>
    <n v="0"/>
  </r>
  <r>
    <n v="1140"/>
    <d v="2024-12-17T14:12:14"/>
    <d v="2024-12-17T14:15:51"/>
    <s v="jmakoza@lighthouse.org.mw"/>
    <s v="Jonathan Makoza"/>
    <x v="9"/>
    <s v="COE"/>
    <x v="1"/>
    <s v="COP_23"/>
    <s v="COP_24"/>
    <s v="Quarter4"/>
    <s v="Quarter1"/>
    <s v="Qtr_1"/>
    <x v="1"/>
    <d v="2024-11-01T00:00:00"/>
    <d v="2024-11-30T00:00:00"/>
    <x v="4"/>
    <x v="54"/>
    <n v="0"/>
    <n v="4"/>
    <n v="0"/>
    <n v="0"/>
    <n v="1"/>
    <n v="5"/>
    <n v="1"/>
    <n v="4"/>
    <n v="0"/>
    <n v="0"/>
    <n v="0"/>
    <n v="2"/>
    <n v="0"/>
    <n v="0"/>
    <n v="0"/>
    <n v="0"/>
    <n v="0"/>
    <n v="2"/>
    <n v="0"/>
    <n v="1"/>
    <n v="0"/>
  </r>
  <r>
    <n v="1141"/>
    <d v="2024-12-17T14:16:56"/>
    <d v="2024-12-17T14:23:11"/>
    <s v="jmakoza@lighthouse.org.mw"/>
    <s v="Jonathan Makoza"/>
    <x v="9"/>
    <s v="COE"/>
    <x v="1"/>
    <s v="COP_23"/>
    <s v="COP_24"/>
    <s v="Quarter4"/>
    <s v="Quarter1"/>
    <s v="Qtr_1"/>
    <x v="1"/>
    <d v="2024-11-01T00:00:00"/>
    <d v="2024-11-30T00:00:00"/>
    <x v="5"/>
    <x v="13"/>
    <n v="3"/>
    <n v="36"/>
    <n v="1"/>
    <n v="0"/>
    <n v="3"/>
    <n v="34"/>
    <n v="4"/>
    <n v="9"/>
    <n v="0"/>
    <n v="0"/>
    <n v="0"/>
    <n v="11"/>
    <n v="1"/>
    <n v="1"/>
    <n v="1"/>
    <n v="0"/>
    <n v="0"/>
    <n v="6"/>
    <n v="1"/>
    <n v="3"/>
    <n v="0"/>
  </r>
  <r>
    <n v="1142"/>
    <d v="2024-12-17T14:23:46"/>
    <d v="2024-12-17T14:34:11"/>
    <s v="jmakoza@lighthouse.org.mw"/>
    <s v="Jonathan Makoza"/>
    <x v="9"/>
    <s v="COE"/>
    <x v="1"/>
    <s v="COP_23"/>
    <s v="COP_24"/>
    <s v="Quarter4"/>
    <s v="Quarter1"/>
    <s v="Qtr_1"/>
    <x v="1"/>
    <d v="2024-11-01T00:00:00"/>
    <d v="2024-11-30T00:00:00"/>
    <x v="2"/>
    <x v="47"/>
    <n v="1"/>
    <n v="22"/>
    <n v="2"/>
    <n v="6"/>
    <n v="0"/>
    <n v="29"/>
    <n v="11"/>
    <n v="9"/>
    <n v="0"/>
    <n v="0"/>
    <n v="0"/>
    <n v="9"/>
    <n v="0"/>
    <n v="1"/>
    <n v="0"/>
    <n v="2"/>
    <n v="1"/>
    <n v="7"/>
    <n v="0"/>
    <n v="0"/>
    <n v="0"/>
  </r>
  <r>
    <n v="1143"/>
    <d v="2024-12-17T14:35:11"/>
    <d v="2024-12-17T14:38:49"/>
    <s v="jmakoza@lighthouse.org.mw"/>
    <s v="Jonathan Makoza"/>
    <x v="9"/>
    <s v="COE"/>
    <x v="1"/>
    <s v="COP_23"/>
    <s v="COP_24"/>
    <s v="Quarter4"/>
    <s v="Quarter1"/>
    <s v="Qtr_1"/>
    <x v="1"/>
    <d v="2024-11-01T00:00:00"/>
    <d v="2024-11-30T00:00:00"/>
    <x v="0"/>
    <x v="127"/>
    <n v="9"/>
    <n v="140"/>
    <n v="10"/>
    <n v="17"/>
    <n v="10"/>
    <n v="170"/>
    <n v="42"/>
    <n v="60"/>
    <n v="0"/>
    <n v="0"/>
    <n v="0"/>
    <n v="50"/>
    <n v="5"/>
    <n v="9"/>
    <n v="2"/>
    <n v="6"/>
    <n v="2"/>
    <n v="26"/>
    <n v="1"/>
    <n v="6"/>
    <n v="0"/>
  </r>
  <r>
    <n v="1147"/>
    <d v="2024-12-17T14:52:22"/>
    <d v="2024-12-17T14:55:40"/>
    <s v="jmakoza@lighthouse.org.mw"/>
    <s v="Jonathan Makoza"/>
    <x v="9"/>
    <s v="COE"/>
    <x v="1"/>
    <s v="COP_23"/>
    <s v="COP_24"/>
    <s v="Quarter4"/>
    <s v="Quarter1"/>
    <s v="Qtr_1"/>
    <x v="0"/>
    <d v="2024-10-01T00:00:00"/>
    <d v="2024-10-31T00:00:00"/>
    <x v="0"/>
    <x v="119"/>
    <n v="11"/>
    <n v="116"/>
    <n v="14"/>
    <n v="12"/>
    <n v="13"/>
    <n v="144"/>
    <n v="44"/>
    <n v="54"/>
    <n v="2"/>
    <n v="0"/>
    <n v="0"/>
    <n v="50"/>
    <n v="6"/>
    <n v="3"/>
    <n v="1"/>
    <n v="10"/>
    <n v="3"/>
    <n v="30"/>
    <n v="2"/>
    <n v="11"/>
    <n v="1"/>
  </r>
  <r>
    <n v="1148"/>
    <d v="2024-12-17T15:00:21"/>
    <d v="2024-12-17T15:00:46"/>
    <s v="jmakoza@lighthouse.org.mw"/>
    <s v="Jonathan Makoza"/>
    <x v="9"/>
    <s v="COE"/>
    <x v="1"/>
    <s v="COP_23"/>
    <s v="COP_24"/>
    <s v="Quarter4"/>
    <s v="Quarter1"/>
    <s v="Qtr_1"/>
    <x v="0"/>
    <d v="2024-10-01T00:00:00"/>
    <d v="2024-10-31T00:00:00"/>
    <x v="2"/>
    <x v="15"/>
    <n v="3"/>
    <n v="5"/>
    <n v="3"/>
    <n v="0"/>
    <n v="3"/>
    <n v="11"/>
    <n v="5"/>
    <n v="4"/>
    <n v="1"/>
    <n v="0"/>
    <n v="0"/>
    <n v="5"/>
    <n v="1"/>
    <n v="0"/>
    <n v="0"/>
    <n v="0"/>
    <n v="0"/>
    <n v="4"/>
    <n v="0"/>
    <n v="1"/>
    <n v="0"/>
  </r>
  <r>
    <n v="1149"/>
    <d v="2024-12-17T15:01:03"/>
    <d v="2024-12-17T15:06:25"/>
    <s v="jmakoza@lighthouse.org.mw"/>
    <s v="Jonathan Makoza"/>
    <x v="9"/>
    <s v="COE"/>
    <x v="1"/>
    <s v="COP_23"/>
    <s v="COP_24"/>
    <s v="Quarter4"/>
    <s v="Quarter1"/>
    <s v="Qtr_1"/>
    <x v="0"/>
    <d v="2024-10-01T00:00:00"/>
    <d v="2024-10-31T00:00:00"/>
    <x v="5"/>
    <x v="41"/>
    <n v="0"/>
    <n v="23"/>
    <n v="1"/>
    <n v="0"/>
    <n v="0"/>
    <n v="20"/>
    <n v="5"/>
    <n v="10"/>
    <n v="0"/>
    <n v="0"/>
    <n v="0"/>
    <n v="9"/>
    <n v="1"/>
    <n v="0"/>
    <n v="0"/>
    <n v="0"/>
    <n v="0"/>
    <n v="4"/>
    <n v="0"/>
    <n v="1"/>
    <n v="0"/>
  </r>
  <r>
    <n v="1150"/>
    <d v="2024-12-17T15:06:32"/>
    <d v="2024-12-17T15:15:04"/>
    <s v="jmakoza@lighthouse.org.mw"/>
    <s v="Jonathan Makoza"/>
    <x v="9"/>
    <s v="COE"/>
    <x v="1"/>
    <s v="COP_23"/>
    <s v="COP_24"/>
    <s v="Quarter4"/>
    <s v="Quarter1"/>
    <s v="Qtr_1"/>
    <x v="0"/>
    <d v="2024-10-01T00:00:00"/>
    <d v="2024-10-31T00:00:00"/>
    <x v="4"/>
    <x v="25"/>
    <n v="0"/>
    <n v="7"/>
    <n v="0"/>
    <n v="0"/>
    <n v="2"/>
    <n v="7"/>
    <n v="2"/>
    <n v="7"/>
    <n v="0"/>
    <n v="0"/>
    <n v="0"/>
    <n v="7"/>
    <n v="0"/>
    <n v="0"/>
    <n v="0"/>
    <n v="2"/>
    <n v="0"/>
    <n v="3"/>
    <n v="0"/>
    <n v="0"/>
    <n v="0"/>
  </r>
  <r>
    <n v="1151"/>
    <d v="2024-12-17T15:15:50"/>
    <d v="2024-12-17T15:27:14"/>
    <s v="jmakoza@lighthouse.org.mw"/>
    <s v="Jonathan Makoza"/>
    <x v="9"/>
    <s v="COE"/>
    <x v="1"/>
    <s v="COP_23"/>
    <s v="COP_24"/>
    <s v="Quarter4"/>
    <s v="Quarter1"/>
    <s v="Qtr_1"/>
    <x v="0"/>
    <d v="2024-10-01T00:00:00"/>
    <d v="2024-10-31T00:00:00"/>
    <x v="3"/>
    <x v="37"/>
    <n v="0"/>
    <n v="6"/>
    <n v="0"/>
    <n v="0"/>
    <n v="0"/>
    <n v="0"/>
    <n v="0"/>
    <n v="6"/>
    <n v="0"/>
    <n v="0"/>
    <n v="0"/>
    <n v="2"/>
    <n v="0"/>
    <n v="0"/>
    <n v="0"/>
    <n v="0"/>
    <n v="0"/>
    <n v="0"/>
    <n v="0"/>
    <n v="0"/>
    <n v="0"/>
  </r>
  <r>
    <n v="1152"/>
    <d v="2024-12-17T15:27:56"/>
    <d v="2024-12-17T15:31:00"/>
    <s v="jmakoza@lighthouse.org.mw"/>
    <s v="Jonathan Makoza"/>
    <x v="9"/>
    <s v="COE"/>
    <x v="1"/>
    <s v="COP_23"/>
    <s v="COP_24"/>
    <s v="Quarter4"/>
    <s v="Quarter1"/>
    <s v="Qtr_1"/>
    <x v="0"/>
    <d v="2024-10-01T00:00:00"/>
    <d v="2024-10-31T00:00:00"/>
    <x v="1"/>
    <x v="79"/>
    <n v="7"/>
    <n v="84"/>
    <n v="11"/>
    <n v="12"/>
    <n v="9"/>
    <n v="109"/>
    <n v="32"/>
    <n v="38"/>
    <n v="1"/>
    <n v="0"/>
    <n v="0"/>
    <n v="34"/>
    <n v="3"/>
    <n v="3"/>
    <n v="1"/>
    <n v="10"/>
    <n v="3"/>
    <n v="22"/>
    <n v="2"/>
    <n v="8"/>
    <n v="1"/>
  </r>
  <r>
    <n v="1249"/>
    <d v="2025-01-13T13:28:09"/>
    <d v="2025-01-13T13:40:56"/>
    <s v="jmakoza@lighthouse.org.mw"/>
    <s v="Jonathan Makoza"/>
    <x v="9"/>
    <s v="COE"/>
    <x v="1"/>
    <s v="COP_23"/>
    <s v="COP_24"/>
    <s v="Quarter4"/>
    <s v="Quarter1"/>
    <s v="Qtr_1"/>
    <x v="11"/>
    <d v="2024-12-01T00:00:00"/>
    <d v="2024-12-31T00:00:00"/>
    <x v="1"/>
    <x v="94"/>
    <n v="5"/>
    <n v="75"/>
    <n v="8"/>
    <n v="8"/>
    <n v="7"/>
    <n v="96"/>
    <n v="28"/>
    <n v="27"/>
    <n v="1"/>
    <n v="1"/>
    <n v="1"/>
    <n v="27"/>
    <n v="1"/>
    <n v="2"/>
    <n v="0"/>
    <n v="5"/>
    <n v="4"/>
    <n v="16"/>
    <n v="2"/>
    <n v="6"/>
    <n v="1"/>
  </r>
  <r>
    <n v="1252"/>
    <d v="2025-01-13T13:41:07"/>
    <d v="2025-01-13T13:45:17"/>
    <s v="jmakoza@lighthouse.org.mw"/>
    <s v="Jonathan Makoza"/>
    <x v="9"/>
    <s v="COE"/>
    <x v="1"/>
    <s v="COP_23"/>
    <s v="COP_24"/>
    <s v="Quarter4"/>
    <s v="Quarter1"/>
    <s v="Qtr_1"/>
    <x v="11"/>
    <d v="2024-12-01T00:00:00"/>
    <d v="2024-12-31T00:00:00"/>
    <x v="2"/>
    <x v="68"/>
    <n v="3"/>
    <n v="13"/>
    <n v="1"/>
    <n v="2"/>
    <n v="2"/>
    <n v="18"/>
    <n v="6"/>
    <n v="7"/>
    <n v="0"/>
    <n v="0"/>
    <n v="0"/>
    <n v="7"/>
    <n v="1"/>
    <n v="1"/>
    <n v="0"/>
    <n v="1"/>
    <n v="1"/>
    <n v="4"/>
    <n v="0"/>
    <n v="4"/>
    <n v="0"/>
  </r>
  <r>
    <n v="1253"/>
    <d v="2025-01-13T13:45:55"/>
    <d v="2025-01-13T13:47:47"/>
    <s v="jmakoza@lighthouse.org.mw"/>
    <s v="Jonathan Makoza"/>
    <x v="9"/>
    <s v="COE"/>
    <x v="1"/>
    <s v="COP_23"/>
    <s v="COP_24"/>
    <s v="Quarter4"/>
    <s v="Quarter1"/>
    <s v="Qtr_1"/>
    <x v="11"/>
    <d v="2024-12-01T00:00:00"/>
    <d v="2024-12-31T00:00:00"/>
    <x v="5"/>
    <x v="16"/>
    <n v="1"/>
    <n v="20"/>
    <n v="0"/>
    <n v="0"/>
    <n v="1"/>
    <n v="21"/>
    <n v="4"/>
    <n v="6"/>
    <n v="0"/>
    <n v="0"/>
    <n v="0"/>
    <n v="5"/>
    <n v="1"/>
    <n v="0"/>
    <n v="0"/>
    <n v="0"/>
    <n v="0"/>
    <n v="4"/>
    <n v="0"/>
    <n v="1"/>
    <n v="0"/>
  </r>
  <r>
    <n v="1254"/>
    <d v="2025-01-13T13:47:55"/>
    <d v="2025-01-13T13:49:35"/>
    <s v="jmakoza@lighthouse.org.mw"/>
    <s v="Jonathan Makoza"/>
    <x v="9"/>
    <s v="COE"/>
    <x v="1"/>
    <s v="COP_23"/>
    <s v="COP_24"/>
    <s v="Quarter4"/>
    <s v="Quarter1"/>
    <s v="Qtr_1"/>
    <x v="11"/>
    <d v="2024-12-01T00:00:00"/>
    <d v="2024-12-31T00:00:00"/>
    <x v="3"/>
    <x v="37"/>
    <n v="1"/>
    <n v="4"/>
    <n v="0"/>
    <n v="1"/>
    <n v="1"/>
    <n v="0"/>
    <n v="0"/>
    <n v="1"/>
    <n v="0"/>
    <n v="0"/>
    <n v="0"/>
    <n v="1"/>
    <n v="1"/>
    <n v="0"/>
    <n v="0"/>
    <n v="1"/>
    <n v="1"/>
    <n v="0"/>
    <n v="0"/>
    <n v="2"/>
    <n v="0"/>
  </r>
  <r>
    <n v="1255"/>
    <d v="2025-01-13T13:49:38"/>
    <d v="2025-01-13T13:51:43"/>
    <s v="jmakoza@lighthouse.org.mw"/>
    <s v="Jonathan Makoza"/>
    <x v="9"/>
    <s v="COE"/>
    <x v="1"/>
    <s v="COP_23"/>
    <s v="COP_24"/>
    <s v="Quarter4"/>
    <s v="Quarter1"/>
    <s v="Qtr_1"/>
    <x v="11"/>
    <d v="2024-12-01T00:00:00"/>
    <d v="2024-12-31T00:00:00"/>
    <x v="4"/>
    <x v="37"/>
    <n v="0"/>
    <n v="5"/>
    <n v="0"/>
    <n v="0"/>
    <n v="1"/>
    <n v="0"/>
    <n v="0"/>
    <n v="0"/>
    <n v="0"/>
    <n v="0"/>
    <n v="0"/>
    <n v="0"/>
    <n v="0"/>
    <n v="0"/>
    <n v="0"/>
    <n v="0"/>
    <n v="0"/>
    <n v="0"/>
    <n v="0"/>
    <n v="0"/>
    <n v="0"/>
  </r>
  <r>
    <n v="1304"/>
    <d v="2025-01-17T14:29:49"/>
    <d v="2025-01-17T14:37:15"/>
    <s v="eadisoni@lighthouse.org.mw"/>
    <s v="Eliza adisoni"/>
    <x v="9"/>
    <s v="COE"/>
    <x v="1"/>
    <s v="COP_23"/>
    <s v="COP_24"/>
    <s v="Quarter4"/>
    <s v="Quarter1"/>
    <s v="Qtr_1"/>
    <x v="11"/>
    <d v="2024-12-01T00:00:00"/>
    <d v="2024-12-31T00:00:00"/>
    <x v="0"/>
    <x v="128"/>
    <n v="11"/>
    <n v="117"/>
    <n v="9"/>
    <n v="11"/>
    <n v="12"/>
    <n v="138"/>
    <n v="43"/>
    <n v="47"/>
    <n v="1"/>
    <n v="1"/>
    <n v="1"/>
    <n v="46"/>
    <n v="6"/>
    <n v="3"/>
    <n v="0"/>
    <n v="8"/>
    <n v="5"/>
    <n v="26"/>
    <n v="3"/>
    <n v="14"/>
    <n v="1"/>
  </r>
  <r>
    <n v="1327"/>
    <d v="2025-02-25T14:22:57"/>
    <d v="2025-02-25T14:29:31"/>
    <s v="eadisoni@lighthouse.org.mw"/>
    <s v="Eliza adisoni"/>
    <x v="9"/>
    <s v="COE"/>
    <x v="2"/>
    <s v="COP_23"/>
    <s v="COP_24"/>
    <s v="Quarter1"/>
    <s v="Quarter2"/>
    <s v="Qtr_2"/>
    <x v="4"/>
    <d v="2025-01-01T00:00:00"/>
    <d v="2025-01-31T00:00:00"/>
    <x v="0"/>
    <x v="129"/>
    <n v="11"/>
    <n v="84"/>
    <n v="7"/>
    <n v="10"/>
    <n v="5"/>
    <n v="103"/>
    <n v="24"/>
    <n v="25"/>
    <n v="0"/>
    <n v="0"/>
    <n v="0"/>
    <n v="25"/>
    <n v="1"/>
    <n v="2"/>
    <n v="1"/>
    <n v="4"/>
    <n v="1"/>
    <n v="20"/>
    <n v="1"/>
    <n v="3"/>
    <n v="0"/>
  </r>
  <r>
    <n v="1328"/>
    <d v="2025-02-25T14:29:46"/>
    <d v="2025-02-25T14:32:11"/>
    <s v="eadisoni@lighthouse.org.mw"/>
    <s v="Eliza adisoni"/>
    <x v="9"/>
    <s v="COE"/>
    <x v="2"/>
    <s v="COP_23"/>
    <s v="COP_24"/>
    <s v="Quarter1"/>
    <s v="Quarter2"/>
    <s v="Qtr_2"/>
    <x v="4"/>
    <d v="2025-01-01T00:00:00"/>
    <d v="2025-01-31T00:00:00"/>
    <x v="1"/>
    <x v="101"/>
    <n v="8"/>
    <n v="60"/>
    <n v="6"/>
    <n v="10"/>
    <n v="4"/>
    <n v="77"/>
    <n v="15"/>
    <n v="18"/>
    <n v="0"/>
    <n v="0"/>
    <n v="0"/>
    <n v="18"/>
    <n v="1"/>
    <n v="1"/>
    <n v="0"/>
    <n v="3"/>
    <n v="1"/>
    <n v="12"/>
    <n v="0"/>
    <n v="2"/>
    <n v="0"/>
  </r>
  <r>
    <n v="1329"/>
    <d v="2025-02-25T14:32:19"/>
    <d v="2025-02-25T14:34:25"/>
    <s v="eadisoni@lighthouse.org.mw"/>
    <s v="Eliza adisoni"/>
    <x v="9"/>
    <s v="COE"/>
    <x v="2"/>
    <s v="COP_23"/>
    <s v="COP_24"/>
    <s v="Quarter1"/>
    <s v="Quarter2"/>
    <s v="Qtr_2"/>
    <x v="4"/>
    <d v="2025-01-01T00:00:00"/>
    <d v="2025-01-31T00:00:00"/>
    <x v="3"/>
    <x v="30"/>
    <n v="1"/>
    <n v="1"/>
    <n v="0"/>
    <n v="2"/>
    <n v="0"/>
    <n v="0"/>
    <n v="0"/>
    <n v="3"/>
    <n v="0"/>
    <n v="0"/>
    <n v="0"/>
    <n v="3"/>
    <n v="0"/>
    <n v="0"/>
    <n v="0"/>
    <n v="0"/>
    <n v="0"/>
    <n v="2"/>
    <n v="0"/>
    <n v="0"/>
    <n v="0"/>
  </r>
  <r>
    <n v="1330"/>
    <d v="2025-02-25T14:34:41"/>
    <d v="2025-02-25T14:37:11"/>
    <s v="eadisoni@lighthouse.org.mw"/>
    <s v="Eliza adisoni"/>
    <x v="9"/>
    <s v="COE"/>
    <x v="2"/>
    <s v="COP_23"/>
    <s v="COP_24"/>
    <s v="Quarter1"/>
    <s v="Quarter2"/>
    <s v="Qtr_2"/>
    <x v="4"/>
    <d v="2025-01-01T00:00:00"/>
    <d v="2025-01-31T00:00:00"/>
    <x v="4"/>
    <x v="20"/>
    <n v="0"/>
    <n v="2"/>
    <n v="0"/>
    <n v="0"/>
    <n v="0"/>
    <n v="2"/>
    <n v="1"/>
    <n v="1"/>
    <n v="0"/>
    <n v="0"/>
    <n v="0"/>
    <n v="1"/>
    <n v="0"/>
    <n v="0"/>
    <n v="0"/>
    <n v="1"/>
    <n v="0"/>
    <n v="1"/>
    <n v="0"/>
    <n v="0"/>
    <n v="0"/>
  </r>
  <r>
    <n v="1331"/>
    <d v="2025-02-25T14:37:15"/>
    <d v="2025-02-25T14:39:52"/>
    <s v="eadisoni@lighthouse.org.mw"/>
    <s v="Eliza adisoni"/>
    <x v="9"/>
    <s v="COE"/>
    <x v="2"/>
    <s v="COP_23"/>
    <s v="COP_24"/>
    <s v="Quarter1"/>
    <s v="Quarter2"/>
    <s v="Qtr_2"/>
    <x v="4"/>
    <d v="2025-01-01T00:00:00"/>
    <d v="2025-01-31T00:00:00"/>
    <x v="5"/>
    <x v="25"/>
    <n v="2"/>
    <n v="8"/>
    <n v="0"/>
    <n v="0"/>
    <n v="1"/>
    <n v="9"/>
    <n v="3"/>
    <n v="2"/>
    <n v="0"/>
    <n v="0"/>
    <n v="0"/>
    <n v="2"/>
    <n v="0"/>
    <n v="1"/>
    <n v="0"/>
    <n v="0"/>
    <n v="0"/>
    <n v="2"/>
    <n v="0"/>
    <n v="1"/>
    <n v="0"/>
  </r>
  <r>
    <n v="1332"/>
    <d v="2025-02-25T14:40:06"/>
    <d v="2025-02-25T14:42:33"/>
    <s v="eadisoni@lighthouse.org.mw"/>
    <s v="Eliza adisoni"/>
    <x v="9"/>
    <s v="COE"/>
    <x v="2"/>
    <s v="COP_23"/>
    <s v="COP_24"/>
    <s v="Quarter1"/>
    <s v="Quarter2"/>
    <s v="Qtr_2"/>
    <x v="4"/>
    <d v="2025-01-01T00:00:00"/>
    <d v="2025-01-31T00:00:00"/>
    <x v="2"/>
    <x v="53"/>
    <n v="3"/>
    <n v="19"/>
    <n v="1"/>
    <n v="0"/>
    <n v="0"/>
    <n v="20"/>
    <n v="8"/>
    <n v="6"/>
    <n v="0"/>
    <n v="0"/>
    <n v="0"/>
    <n v="7"/>
    <n v="0"/>
    <n v="0"/>
    <n v="0"/>
    <n v="1"/>
    <n v="0"/>
    <n v="7"/>
    <n v="1"/>
    <n v="1"/>
    <n v="0"/>
  </r>
  <r>
    <n v="1392"/>
    <d v="2025-03-11T08:21:06"/>
    <d v="2025-03-11T08:31:16"/>
    <s v="lkaonga@lighthouse.org.mw"/>
    <s v="Lameck Kaonga"/>
    <x v="9"/>
    <s v="COE"/>
    <x v="2"/>
    <s v="COP_23"/>
    <s v="COP_24"/>
    <s v="Quarter1"/>
    <s v="Quarter2"/>
    <s v="Qtr_2"/>
    <x v="5"/>
    <d v="2025-02-01T00:00:00"/>
    <d v="2025-02-28T00:00:00"/>
    <x v="0"/>
    <x v="130"/>
    <n v="11"/>
    <n v="49"/>
    <n v="14"/>
    <n v="15"/>
    <n v="8"/>
    <n v="23"/>
    <n v="23"/>
    <n v="26"/>
    <n v="3"/>
    <n v="1"/>
    <n v="0"/>
    <n v="26"/>
    <n v="3"/>
    <n v="2"/>
    <n v="0"/>
    <n v="5"/>
    <n v="1"/>
    <n v="7"/>
    <n v="2"/>
    <n v="5"/>
    <n v="1"/>
  </r>
  <r>
    <n v="1393"/>
    <d v="2025-03-11T08:31:25"/>
    <d v="2025-03-11T08:48:32"/>
    <s v="lkaonga@lighthouse.org.mw"/>
    <s v="Lameck Kaonga"/>
    <x v="9"/>
    <s v="COE"/>
    <x v="2"/>
    <s v="COP_23"/>
    <s v="COP_24"/>
    <s v="Quarter1"/>
    <s v="Quarter2"/>
    <s v="Qtr_2"/>
    <x v="5"/>
    <d v="2025-02-01T00:00:00"/>
    <d v="2025-02-28T00:00:00"/>
    <x v="1"/>
    <x v="131"/>
    <n v="10"/>
    <n v="36"/>
    <n v="14"/>
    <n v="13"/>
    <n v="8"/>
    <n v="18"/>
    <n v="18"/>
    <n v="18"/>
    <n v="18"/>
    <n v="18"/>
    <n v="0"/>
    <n v="18"/>
    <n v="2"/>
    <n v="2"/>
    <n v="0"/>
    <n v="5"/>
    <n v="4"/>
    <n v="7"/>
    <n v="2"/>
    <n v="5"/>
    <n v="1"/>
  </r>
  <r>
    <n v="1394"/>
    <d v="2025-03-11T08:48:52"/>
    <d v="2025-03-11T08:57:35"/>
    <s v="lkaonga@lighthouse.org.mw"/>
    <s v="Lameck Kaonga"/>
    <x v="9"/>
    <s v="COE"/>
    <x v="2"/>
    <s v="COP_23"/>
    <s v="COP_24"/>
    <s v="Quarter1"/>
    <s v="Quarter2"/>
    <s v="Qtr_2"/>
    <x v="5"/>
    <d v="2025-02-01T00:00:00"/>
    <d v="2025-02-28T00:00:00"/>
    <x v="3"/>
    <x v="18"/>
    <n v="0"/>
    <n v="0"/>
    <n v="0"/>
    <n v="0"/>
    <n v="0"/>
    <n v="0"/>
    <n v="0"/>
    <n v="0"/>
    <n v="0"/>
    <n v="0"/>
    <n v="0"/>
    <n v="0"/>
    <n v="0"/>
    <n v="0"/>
    <n v="0"/>
    <n v="0"/>
    <n v="0"/>
    <n v="0"/>
    <n v="0"/>
    <n v="0"/>
    <n v="0"/>
  </r>
  <r>
    <n v="1395"/>
    <d v="2025-03-11T08:58:42"/>
    <d v="2025-03-11T09:00:03"/>
    <s v="lkaonga@lighthouse.org.mw"/>
    <s v="Lameck Kaonga"/>
    <x v="9"/>
    <s v="COE"/>
    <x v="2"/>
    <s v="COP_23"/>
    <s v="COP_24"/>
    <s v="Quarter1"/>
    <s v="Quarter2"/>
    <s v="Qtr_2"/>
    <x v="5"/>
    <d v="2025-02-01T00:00:00"/>
    <d v="2025-02-28T00:00:00"/>
    <x v="4"/>
    <x v="21"/>
    <n v="0"/>
    <n v="0"/>
    <n v="0"/>
    <n v="0"/>
    <n v="0"/>
    <n v="0"/>
    <n v="0"/>
    <n v="0"/>
    <n v="0"/>
    <n v="0"/>
    <n v="0"/>
    <n v="0"/>
    <n v="0"/>
    <n v="0"/>
    <n v="0"/>
    <n v="0"/>
    <n v="0"/>
    <n v="0"/>
    <n v="0"/>
    <n v="0"/>
    <n v="0"/>
  </r>
  <r>
    <n v="1396"/>
    <d v="2025-03-11T09:00:10"/>
    <d v="2025-03-11T09:03:01"/>
    <s v="lkaonga@lighthouse.org.mw"/>
    <s v="Lameck Kaonga"/>
    <x v="9"/>
    <s v="COE"/>
    <x v="2"/>
    <s v="COP_23"/>
    <s v="COP_24"/>
    <s v="Quarter1"/>
    <s v="Quarter2"/>
    <s v="Qtr_2"/>
    <x v="5"/>
    <d v="2025-02-01T00:00:00"/>
    <d v="2025-02-28T00:00:00"/>
    <x v="5"/>
    <x v="30"/>
    <n v="0"/>
    <n v="3"/>
    <n v="0"/>
    <n v="0"/>
    <n v="0"/>
    <n v="3"/>
    <n v="1"/>
    <n v="0"/>
    <n v="0"/>
    <n v="1"/>
    <n v="0"/>
    <n v="1"/>
    <n v="0"/>
    <n v="0"/>
    <n v="0"/>
    <n v="0"/>
    <n v="0"/>
    <n v="0"/>
    <n v="0"/>
    <n v="0"/>
    <n v="0"/>
  </r>
  <r>
    <n v="1397"/>
    <d v="2025-03-11T09:03:13"/>
    <d v="2025-03-11T09:07:57"/>
    <s v="lkaonga@lighthouse.org.mw"/>
    <s v="Lameck Kaonga"/>
    <x v="9"/>
    <s v="COE"/>
    <x v="2"/>
    <s v="COP_23"/>
    <s v="COP_24"/>
    <s v="Quarter1"/>
    <s v="Quarter2"/>
    <s v="Qtr_2"/>
    <x v="5"/>
    <d v="2025-02-01T00:00:00"/>
    <d v="2025-02-28T00:00:00"/>
    <x v="2"/>
    <x v="25"/>
    <n v="0"/>
    <n v="6"/>
    <n v="0"/>
    <n v="2"/>
    <n v="1"/>
    <n v="9"/>
    <n v="3"/>
    <n v="6"/>
    <n v="0"/>
    <n v="0"/>
    <n v="0"/>
    <n v="5"/>
    <n v="1"/>
    <n v="0"/>
    <n v="0"/>
    <n v="0"/>
    <n v="0"/>
    <n v="0"/>
    <n v="0"/>
    <n v="0"/>
    <n v="0"/>
  </r>
  <r>
    <n v="1398"/>
    <d v="2025-03-11T09:08:17"/>
    <d v="2025-03-11T09:09:18"/>
    <s v="lkaonga@lighthouse.org.mw"/>
    <s v="Lameck Kaonga"/>
    <x v="9"/>
    <s v="COE"/>
    <x v="2"/>
    <s v="COP_23"/>
    <s v="COP_24"/>
    <s v="Quarter1"/>
    <s v="Quarter2"/>
    <s v="Qtr_2"/>
    <x v="5"/>
    <d v="2025-02-01T00:00:00"/>
    <d v="2025-02-28T00:00:00"/>
    <x v="6"/>
    <x v="21"/>
    <n v="0"/>
    <n v="0"/>
    <n v="0"/>
    <n v="0"/>
    <n v="0"/>
    <n v="0"/>
    <n v="0"/>
    <n v="0"/>
    <n v="0"/>
    <n v="0"/>
    <n v="0"/>
    <n v="0"/>
    <n v="0"/>
    <n v="0"/>
    <n v="0"/>
    <n v="0"/>
    <n v="0"/>
    <n v="0"/>
    <n v="0"/>
    <n v="0"/>
    <n v="0"/>
  </r>
  <r>
    <n v="1463"/>
    <d v="2025-03-20T10:09:49"/>
    <d v="2025-03-20T10:12:32"/>
    <s v="lkaonga@lighthouse.org.mw"/>
    <s v="Lameck Kaonga"/>
    <x v="9"/>
    <s v="COE"/>
    <x v="2"/>
    <s v="COP_23"/>
    <s v="COP_24"/>
    <s v="Quarter1"/>
    <s v="Quarter2"/>
    <s v="Qtr_2"/>
    <x v="4"/>
    <d v="2025-01-01T00:00:00"/>
    <d v="2025-01-31T00:00:00"/>
    <x v="6"/>
    <x v="21"/>
    <n v="0"/>
    <n v="0"/>
    <n v="0"/>
    <n v="0"/>
    <n v="0"/>
    <n v="0"/>
    <n v="0"/>
    <n v="0"/>
    <n v="0"/>
    <n v="0"/>
    <n v="0"/>
    <n v="0"/>
    <n v="0"/>
    <n v="0"/>
    <n v="0"/>
    <n v="0"/>
    <n v="0"/>
    <n v="0"/>
    <n v="0"/>
    <n v="0"/>
    <n v="0"/>
  </r>
  <r>
    <n v="1467"/>
    <d v="2025-04-01T14:28:21"/>
    <d v="2025-04-01T14:37:08"/>
    <s v="eadisoni@lighthouse.org.mw"/>
    <s v="Eliza adisoni"/>
    <x v="9"/>
    <s v="COE"/>
    <x v="2"/>
    <s v="COP_23"/>
    <s v="COP_24"/>
    <s v="Quarter1"/>
    <s v="Quarter2"/>
    <s v="Qtr_2"/>
    <x v="3"/>
    <d v="2025-03-01T00:00:00"/>
    <d v="2025-03-31T00:00:00"/>
    <x v="0"/>
    <x v="117"/>
    <n v="14"/>
    <n v="85"/>
    <n v="21"/>
    <n v="22"/>
    <n v="10"/>
    <n v="132"/>
    <n v="39"/>
    <n v="37"/>
    <n v="5"/>
    <n v="4"/>
    <n v="2"/>
    <n v="38"/>
    <n v="5"/>
    <n v="0"/>
    <n v="0"/>
    <n v="6"/>
    <n v="1"/>
    <n v="20"/>
    <n v="0"/>
    <n v="8"/>
    <n v="1"/>
  </r>
  <r>
    <n v="1468"/>
    <d v="2025-04-01T14:37:18"/>
    <d v="2025-04-01T14:40:58"/>
    <s v="eadisoni@lighthouse.org.mw"/>
    <s v="Eliza adisoni"/>
    <x v="9"/>
    <s v="COE"/>
    <x v="2"/>
    <s v="COP_23"/>
    <s v="COP_24"/>
    <s v="Quarter1"/>
    <s v="Quarter2"/>
    <s v="Qtr_2"/>
    <x v="3"/>
    <d v="2025-03-01T00:00:00"/>
    <d v="2025-03-31T00:00:00"/>
    <x v="1"/>
    <x v="132"/>
    <n v="7"/>
    <n v="72"/>
    <n v="21"/>
    <n v="18"/>
    <n v="5"/>
    <n v="110"/>
    <n v="30"/>
    <n v="29"/>
    <n v="3"/>
    <n v="2"/>
    <n v="1"/>
    <n v="2"/>
    <n v="1"/>
    <n v="0"/>
    <n v="0"/>
    <n v="4"/>
    <n v="0"/>
    <n v="17"/>
    <n v="0"/>
    <n v="5"/>
    <n v="1"/>
  </r>
  <r>
    <n v="1469"/>
    <d v="2025-04-01T14:41:06"/>
    <d v="2025-04-01T14:43:34"/>
    <s v="eadisoni@lighthouse.org.mw"/>
    <s v="Eliza adisoni"/>
    <x v="9"/>
    <s v="COE"/>
    <x v="2"/>
    <s v="COP_23"/>
    <s v="COP_24"/>
    <s v="Quarter1"/>
    <s v="Quarter2"/>
    <s v="Qtr_2"/>
    <x v="3"/>
    <d v="2025-03-01T00:00:00"/>
    <d v="2025-03-31T00:00:00"/>
    <x v="3"/>
    <x v="30"/>
    <n v="0"/>
    <n v="2"/>
    <n v="0"/>
    <n v="1"/>
    <n v="0"/>
    <n v="0"/>
    <n v="0"/>
    <n v="2"/>
    <n v="0"/>
    <n v="0"/>
    <n v="0"/>
    <n v="3"/>
    <n v="0"/>
    <n v="0"/>
    <n v="0"/>
    <n v="1"/>
    <n v="0"/>
    <n v="1"/>
    <n v="0"/>
    <n v="1"/>
    <n v="0"/>
  </r>
  <r>
    <n v="1470"/>
    <d v="2025-04-01T14:43:37"/>
    <d v="2025-04-01T14:45:50"/>
    <s v="eadisoni@lighthouse.org.mw"/>
    <s v="Eliza adisoni"/>
    <x v="9"/>
    <s v="COE"/>
    <x v="2"/>
    <s v="COP_23"/>
    <s v="COP_24"/>
    <s v="Quarter1"/>
    <s v="Quarter2"/>
    <s v="Qtr_2"/>
    <x v="3"/>
    <d v="2025-03-01T00:00:00"/>
    <d v="2025-03-31T00:00:00"/>
    <x v="4"/>
    <x v="33"/>
    <n v="1"/>
    <n v="1"/>
    <n v="1"/>
    <n v="1"/>
    <n v="1"/>
    <n v="2"/>
    <n v="0"/>
    <n v="0"/>
    <n v="0"/>
    <n v="0"/>
    <n v="0"/>
    <n v="0"/>
    <n v="0"/>
    <n v="0"/>
    <n v="0"/>
    <n v="0"/>
    <n v="0"/>
    <n v="1"/>
    <n v="0"/>
    <n v="0"/>
    <n v="0"/>
  </r>
  <r>
    <n v="1471"/>
    <d v="2025-04-01T14:46:05"/>
    <d v="2025-04-01T14:48:24"/>
    <s v="eadisoni@lighthouse.org.mw"/>
    <s v="Eliza adisoni"/>
    <x v="9"/>
    <s v="COE"/>
    <x v="2"/>
    <s v="COP_23"/>
    <s v="COP_24"/>
    <s v="Quarter1"/>
    <s v="Quarter2"/>
    <s v="Qtr_2"/>
    <x v="3"/>
    <d v="2025-03-01T00:00:00"/>
    <d v="2025-03-31T00:00:00"/>
    <x v="2"/>
    <x v="26"/>
    <n v="7"/>
    <n v="13"/>
    <n v="4"/>
    <n v="5"/>
    <n v="0"/>
    <n v="22"/>
    <n v="9"/>
    <n v="8"/>
    <n v="2"/>
    <n v="2"/>
    <n v="1"/>
    <n v="8"/>
    <n v="1"/>
    <n v="0"/>
    <n v="0"/>
    <n v="2"/>
    <n v="1"/>
    <n v="3"/>
    <n v="0"/>
    <n v="2"/>
    <n v="0"/>
  </r>
  <r>
    <n v="1472"/>
    <d v="2025-04-01T14:48:28"/>
    <d v="2025-04-01T14:50:45"/>
    <s v="eadisoni@lighthouse.org.mw"/>
    <s v="Eliza adisoni"/>
    <x v="9"/>
    <s v="COE"/>
    <x v="2"/>
    <s v="COP_23"/>
    <s v="COP_24"/>
    <s v="Quarter1"/>
    <s v="Quarter2"/>
    <s v="Qtr_2"/>
    <x v="3"/>
    <d v="2025-03-01T00:00:00"/>
    <d v="2025-03-31T00:00:00"/>
    <x v="5"/>
    <x v="30"/>
    <n v="1"/>
    <n v="2"/>
    <n v="0"/>
    <n v="1"/>
    <n v="0"/>
    <n v="3"/>
    <n v="2"/>
    <n v="0"/>
    <n v="0"/>
    <n v="0"/>
    <n v="0"/>
    <n v="2"/>
    <n v="0"/>
    <n v="0"/>
    <n v="0"/>
    <n v="1"/>
    <n v="0"/>
    <n v="1"/>
    <n v="0"/>
    <n v="1"/>
    <n v="0"/>
  </r>
  <r>
    <n v="1608"/>
    <d v="2025-06-03T09:49:38"/>
    <d v="2025-06-03T09:53:51"/>
    <s v="eadisoni@lighthouse.org.mw"/>
    <s v="Eliza adisoni"/>
    <x v="9"/>
    <s v="COE"/>
    <x v="2"/>
    <s v="COP_23"/>
    <m/>
    <s v="Quarter3"/>
    <s v="Quarter3"/>
    <m/>
    <x v="7"/>
    <d v="2025-04-01T00:00:00"/>
    <d v="2025-04-30T00:00:00"/>
    <x v="0"/>
    <x v="24"/>
    <n v="7"/>
    <n v="92"/>
    <n v="11"/>
    <n v="6"/>
    <n v="11"/>
    <n v="115"/>
    <n v="36"/>
    <n v="34"/>
    <n v="1"/>
    <n v="9"/>
    <n v="0"/>
    <n v="36"/>
    <n v="5"/>
    <n v="0"/>
    <n v="0"/>
    <n v="8"/>
    <n v="3"/>
    <n v="25"/>
    <n v="2"/>
    <n v="3"/>
    <n v="0"/>
  </r>
  <r>
    <n v="1609"/>
    <d v="2025-06-03T09:53:58"/>
    <d v="2025-06-03T09:56:39"/>
    <s v="eadisoni@lighthouse.org.mw"/>
    <s v="Eliza adisoni"/>
    <x v="9"/>
    <s v="COE"/>
    <x v="2"/>
    <s v="COP_23"/>
    <m/>
    <s v="Quarter3"/>
    <s v="Quarter3"/>
    <m/>
    <x v="7"/>
    <d v="2025-04-01T00:00:00"/>
    <d v="2025-04-30T00:00:00"/>
    <x v="1"/>
    <x v="133"/>
    <n v="6"/>
    <n v="87"/>
    <n v="10"/>
    <n v="4"/>
    <n v="9"/>
    <n v="105"/>
    <n v="34"/>
    <n v="33"/>
    <n v="0"/>
    <n v="8"/>
    <n v="0"/>
    <n v="34"/>
    <n v="3"/>
    <n v="0"/>
    <n v="0"/>
    <n v="7"/>
    <n v="3"/>
    <n v="25"/>
    <n v="2"/>
    <n v="5"/>
    <n v="5"/>
  </r>
  <r>
    <n v="1610"/>
    <d v="2025-06-03T09:56:56"/>
    <d v="2025-06-03T10:00:17"/>
    <s v="eadisoni@lighthouse.org.mw"/>
    <s v="Eliza adisoni"/>
    <x v="9"/>
    <s v="COE"/>
    <x v="2"/>
    <s v="COP_23"/>
    <m/>
    <s v="Quarter3"/>
    <s v="Quarter3"/>
    <m/>
    <x v="7"/>
    <d v="2025-04-01T00:00:00"/>
    <d v="2025-04-30T00:00:00"/>
    <x v="3"/>
    <x v="30"/>
    <n v="0"/>
    <n v="2"/>
    <n v="0"/>
    <n v="0"/>
    <n v="1"/>
    <n v="0"/>
    <n v="0"/>
    <n v="3"/>
    <n v="0"/>
    <n v="1"/>
    <n v="0"/>
    <n v="1"/>
    <n v="0"/>
    <n v="0"/>
    <n v="0"/>
    <n v="0"/>
    <n v="0"/>
    <n v="1"/>
    <n v="0"/>
    <n v="1"/>
    <n v="0"/>
  </r>
  <r>
    <n v="1611"/>
    <d v="2025-06-03T10:00:23"/>
    <d v="2025-06-03T10:02:30"/>
    <s v="eadisoni@lighthouse.org.mw"/>
    <s v="Eliza adisoni"/>
    <x v="9"/>
    <s v="COE"/>
    <x v="2"/>
    <s v="COP_23"/>
    <m/>
    <s v="Quarter3"/>
    <s v="Quarter3"/>
    <m/>
    <x v="7"/>
    <d v="2025-04-01T00:00:00"/>
    <d v="2025-04-30T00:00:00"/>
    <x v="4"/>
    <x v="20"/>
    <n v="1"/>
    <n v="1"/>
    <n v="0"/>
    <n v="0"/>
    <n v="1"/>
    <n v="2"/>
    <n v="2"/>
    <n v="2"/>
    <n v="0"/>
    <n v="0"/>
    <n v="0"/>
    <n v="2"/>
    <n v="0"/>
    <n v="0"/>
    <n v="0"/>
    <n v="0"/>
    <n v="0"/>
    <n v="2"/>
    <n v="0"/>
    <n v="0"/>
    <n v="0"/>
  </r>
  <r>
    <n v="1613"/>
    <d v="2025-06-03T10:04:26"/>
    <d v="2025-06-03T10:06:39"/>
    <s v="eadisoni@lighthouse.org.mw"/>
    <s v="Eliza adisoni"/>
    <x v="9"/>
    <s v="COE"/>
    <x v="2"/>
    <s v="COP_23"/>
    <m/>
    <s v="Quarter3"/>
    <s v="Quarter3"/>
    <m/>
    <x v="7"/>
    <d v="2025-04-01T00:00:00"/>
    <d v="2025-04-30T00:00:00"/>
    <x v="2"/>
    <x v="49"/>
    <n v="1"/>
    <n v="5"/>
    <n v="1"/>
    <n v="2"/>
    <n v="2"/>
    <n v="10"/>
    <n v="2"/>
    <n v="1"/>
    <n v="1"/>
    <n v="0"/>
    <n v="0"/>
    <n v="2"/>
    <n v="2"/>
    <n v="0"/>
    <n v="0"/>
    <n v="1"/>
    <n v="0"/>
    <n v="0"/>
    <n v="0"/>
    <n v="2"/>
    <n v="0"/>
  </r>
  <r>
    <n v="1621"/>
    <d v="2025-06-03T11:11:38"/>
    <d v="2025-06-03T11:12:05"/>
    <s v="eadisoni@lighthouse.org.mw"/>
    <s v="Eliza adisoni"/>
    <x v="9"/>
    <s v="COE"/>
    <x v="2"/>
    <s v="COP_23"/>
    <m/>
    <s v="Quarter3"/>
    <s v="Quarter3"/>
    <m/>
    <x v="6"/>
    <d v="2025-05-01T00:00:00"/>
    <d v="2025-05-31T00:00:00"/>
    <x v="0"/>
    <x v="134"/>
    <n v="18"/>
    <n v="67"/>
    <n v="15"/>
    <n v="24"/>
    <n v="9"/>
    <n v="112"/>
    <n v="26"/>
    <n v="31"/>
    <n v="1"/>
    <n v="2"/>
    <n v="0"/>
    <n v="30"/>
    <n v="1"/>
    <n v="3"/>
    <n v="2"/>
    <n v="13"/>
    <n v="8"/>
    <n v="12"/>
    <n v="1"/>
    <n v="9"/>
    <n v="0"/>
  </r>
  <r>
    <n v="1624"/>
    <d v="2025-06-03T11:15:47"/>
    <d v="2025-06-03T11:17:51"/>
    <s v="eadisoni@lighthouse.org.mw"/>
    <s v="Eliza adisoni"/>
    <x v="9"/>
    <s v="COE"/>
    <x v="2"/>
    <s v="COP_23"/>
    <m/>
    <s v="Quarter3"/>
    <s v="Quarter3"/>
    <m/>
    <x v="6"/>
    <d v="2025-05-01T00:00:00"/>
    <d v="2025-05-31T00:00:00"/>
    <x v="3"/>
    <x v="33"/>
    <n v="2"/>
    <n v="2"/>
    <n v="0"/>
    <n v="1"/>
    <n v="1"/>
    <n v="2"/>
    <n v="0"/>
    <n v="0"/>
    <n v="0"/>
    <n v="0"/>
    <n v="0"/>
    <n v="4"/>
    <n v="0"/>
    <n v="0"/>
    <n v="0"/>
    <n v="1"/>
    <n v="1"/>
    <n v="0"/>
    <n v="0"/>
    <n v="1"/>
    <n v="0"/>
  </r>
  <r>
    <n v="1626"/>
    <d v="2025-06-03T11:18:03"/>
    <d v="2025-06-03T11:20:11"/>
    <s v="eadisoni@lighthouse.org.mw"/>
    <s v="Eliza adisoni"/>
    <x v="9"/>
    <s v="COE"/>
    <x v="2"/>
    <s v="COP_23"/>
    <m/>
    <s v="Quarter3"/>
    <s v="Quarter3"/>
    <m/>
    <x v="6"/>
    <d v="2025-05-01T00:00:00"/>
    <d v="2025-05-31T00:00:00"/>
    <x v="4"/>
    <x v="37"/>
    <n v="4"/>
    <n v="0"/>
    <n v="0"/>
    <n v="3"/>
    <n v="3"/>
    <n v="5"/>
    <n v="1"/>
    <n v="2"/>
    <n v="0"/>
    <n v="0"/>
    <n v="0"/>
    <n v="2"/>
    <n v="0"/>
    <n v="1"/>
    <n v="0"/>
    <n v="3"/>
    <n v="2"/>
    <n v="1"/>
    <n v="0"/>
    <n v="1"/>
    <n v="0"/>
  </r>
  <r>
    <n v="1629"/>
    <d v="2025-06-03T11:20:20"/>
    <d v="2025-06-03T11:23:40"/>
    <s v="eadisoni@lighthouse.org.mw"/>
    <s v="Eliza adisoni"/>
    <x v="9"/>
    <s v="COE"/>
    <x v="2"/>
    <s v="COP_23"/>
    <m/>
    <s v="Quarter3"/>
    <s v="Quarter3"/>
    <m/>
    <x v="6"/>
    <d v="2025-05-01T00:00:00"/>
    <d v="2025-05-31T00:00:00"/>
    <x v="1"/>
    <x v="45"/>
    <n v="9"/>
    <n v="52"/>
    <n v="11"/>
    <n v="16"/>
    <n v="9"/>
    <n v="85"/>
    <n v="16"/>
    <n v="21"/>
    <n v="1"/>
    <n v="2"/>
    <n v="0"/>
    <n v="20"/>
    <n v="1"/>
    <n v="3"/>
    <n v="2"/>
    <n v="9"/>
    <n v="6"/>
    <n v="9"/>
    <n v="1"/>
    <n v="8"/>
    <n v="0"/>
  </r>
  <r>
    <n v="1631"/>
    <d v="2025-06-03T11:24:31"/>
    <d v="2025-06-03T11:26:33"/>
    <s v="eadisoni@lighthouse.org.mw"/>
    <s v="Eliza adisoni"/>
    <x v="9"/>
    <s v="COE"/>
    <x v="2"/>
    <s v="COP_23"/>
    <m/>
    <s v="Quarter3"/>
    <s v="Quarter3"/>
    <m/>
    <x v="6"/>
    <d v="2025-05-01T00:00:00"/>
    <d v="2025-05-31T00:00:00"/>
    <x v="5"/>
    <x v="20"/>
    <n v="1"/>
    <n v="1"/>
    <n v="0"/>
    <n v="1"/>
    <n v="0"/>
    <n v="2"/>
    <n v="1"/>
    <n v="1"/>
    <n v="0"/>
    <n v="0"/>
    <n v="0"/>
    <n v="1"/>
    <n v="0"/>
    <n v="0"/>
    <n v="0"/>
    <n v="0"/>
    <n v="0"/>
    <n v="0"/>
    <n v="0"/>
    <n v="0"/>
    <n v="0"/>
  </r>
  <r>
    <n v="1632"/>
    <d v="2025-06-03T11:26:59"/>
    <d v="2025-06-03T11:29:41"/>
    <s v="eadisoni@lighthouse.org.mw"/>
    <s v="Eliza adisoni"/>
    <x v="9"/>
    <s v="COE"/>
    <x v="2"/>
    <s v="COP_23"/>
    <m/>
    <s v="Quarter3"/>
    <s v="Quarter3"/>
    <m/>
    <x v="6"/>
    <d v="2025-05-01T00:00:00"/>
    <d v="2025-05-31T00:00:00"/>
    <x v="2"/>
    <x v="59"/>
    <n v="8"/>
    <n v="15"/>
    <n v="4"/>
    <n v="7"/>
    <n v="0"/>
    <n v="26"/>
    <n v="10"/>
    <n v="10"/>
    <n v="0"/>
    <n v="0"/>
    <n v="0"/>
    <n v="10"/>
    <n v="0"/>
    <n v="0"/>
    <n v="0"/>
    <n v="4"/>
    <n v="2"/>
    <n v="3"/>
    <n v="0"/>
    <n v="1"/>
    <n v="0"/>
  </r>
  <r>
    <n v="1719"/>
    <d v="2025-07-02T15:24:08"/>
    <d v="2025-07-02T15:27:21"/>
    <s v="eadisoni@lighthouse.org.mw"/>
    <s v="Eliza adisoni"/>
    <x v="9"/>
    <s v="COE"/>
    <x v="2"/>
    <s v="COP_23"/>
    <m/>
    <s v="Quarter2"/>
    <s v="Quarter3"/>
    <m/>
    <x v="8"/>
    <d v="2025-06-01T00:00:00"/>
    <d v="2025-06-30T00:00:00"/>
    <x v="0"/>
    <x v="45"/>
    <n v="9"/>
    <n v="56"/>
    <n v="11"/>
    <n v="12"/>
    <n v="9"/>
    <n v="87"/>
    <n v="22"/>
    <n v="22"/>
    <n v="1"/>
    <n v="2"/>
    <n v="1"/>
    <n v="21"/>
    <n v="2"/>
    <n v="3"/>
    <n v="1"/>
    <n v="6"/>
    <n v="3"/>
    <n v="17"/>
    <n v="1"/>
    <n v="8"/>
    <n v="0"/>
  </r>
  <r>
    <n v="1720"/>
    <d v="2025-07-02T15:27:24"/>
    <d v="2025-07-02T15:28:55"/>
    <s v="eadisoni@lighthouse.org.mw"/>
    <s v="Eliza adisoni"/>
    <x v="9"/>
    <s v="COE"/>
    <x v="2"/>
    <s v="COP_23"/>
    <m/>
    <s v="Quarter2"/>
    <s v="Quarter3"/>
    <m/>
    <x v="8"/>
    <d v="2025-06-01T00:00:00"/>
    <d v="2025-06-30T00:00:00"/>
    <x v="3"/>
    <x v="21"/>
    <n v="0"/>
    <n v="0"/>
    <n v="0"/>
    <n v="0"/>
    <n v="0"/>
    <n v="0"/>
    <n v="0"/>
    <n v="0"/>
    <n v="0"/>
    <n v="0"/>
    <n v="0"/>
    <n v="0"/>
    <n v="0"/>
    <n v="0"/>
    <n v="0"/>
    <n v="0"/>
    <n v="0"/>
    <n v="0"/>
    <n v="0"/>
    <n v="0"/>
    <n v="0"/>
  </r>
  <r>
    <n v="1721"/>
    <d v="2025-07-02T15:29:09"/>
    <d v="2025-07-02T15:32:14"/>
    <s v="eadisoni@lighthouse.org.mw"/>
    <s v="Eliza adisoni"/>
    <x v="9"/>
    <s v="COE"/>
    <x v="2"/>
    <s v="COP_23"/>
    <m/>
    <s v="Quarter2"/>
    <s v="Quarter3"/>
    <m/>
    <x v="8"/>
    <d v="2025-06-01T00:00:00"/>
    <d v="2025-06-30T00:00:00"/>
    <x v="1"/>
    <x v="135"/>
    <n v="5"/>
    <n v="49"/>
    <n v="11"/>
    <n v="11"/>
    <n v="8"/>
    <n v="78"/>
    <n v="18"/>
    <n v="18"/>
    <n v="0"/>
    <n v="1"/>
    <n v="0"/>
    <n v="18"/>
    <n v="2"/>
    <n v="3"/>
    <n v="2"/>
    <n v="6"/>
    <n v="3"/>
    <n v="16"/>
    <n v="1"/>
    <n v="8"/>
    <n v="0"/>
  </r>
  <r>
    <n v="1722"/>
    <d v="2025-07-02T15:34:55"/>
    <d v="2025-07-02T15:37:34"/>
    <s v="eadisoni@lighthouse.org.mw"/>
    <s v="Eliza adisoni"/>
    <x v="9"/>
    <s v="COE"/>
    <x v="2"/>
    <s v="COP_23"/>
    <m/>
    <s v="Quarter2"/>
    <s v="Quarter3"/>
    <m/>
    <x v="8"/>
    <d v="2025-06-01T00:00:00"/>
    <d v="2025-06-30T00:00:00"/>
    <x v="4"/>
    <x v="54"/>
    <n v="2"/>
    <n v="3"/>
    <n v="0"/>
    <n v="0"/>
    <n v="2"/>
    <n v="5"/>
    <n v="2"/>
    <n v="2"/>
    <n v="0"/>
    <n v="0"/>
    <n v="0"/>
    <n v="2"/>
    <n v="0"/>
    <n v="1"/>
    <n v="0"/>
    <n v="0"/>
    <n v="0"/>
    <n v="2"/>
    <n v="0"/>
    <n v="0"/>
    <n v="0"/>
  </r>
  <r>
    <n v="1723"/>
    <d v="2025-07-02T15:37:36"/>
    <d v="2025-07-02T15:38:52"/>
    <s v="eadisoni@lighthouse.org.mw"/>
    <s v="Eliza adisoni"/>
    <x v="9"/>
    <s v="COE"/>
    <x v="2"/>
    <s v="COP_23"/>
    <m/>
    <s v="Quarter2"/>
    <s v="Quarter3"/>
    <m/>
    <x v="8"/>
    <d v="2025-06-01T00:00:00"/>
    <d v="2025-06-30T00:00:00"/>
    <x v="5"/>
    <x v="21"/>
    <n v="0"/>
    <n v="0"/>
    <n v="0"/>
    <n v="0"/>
    <n v="0"/>
    <n v="0"/>
    <n v="0"/>
    <n v="0"/>
    <n v="0"/>
    <n v="0"/>
    <n v="0"/>
    <n v="0"/>
    <n v="0"/>
    <n v="0"/>
    <n v="0"/>
    <n v="0"/>
    <n v="0"/>
    <n v="0"/>
    <n v="0"/>
    <n v="0"/>
    <n v="0"/>
  </r>
  <r>
    <n v="1724"/>
    <d v="2025-07-02T15:39:05"/>
    <d v="2025-07-02T15:41:50"/>
    <s v="eadisoni@lighthouse.org.mw"/>
    <s v="Eliza adisoni"/>
    <x v="9"/>
    <s v="COE"/>
    <x v="2"/>
    <s v="COP_23"/>
    <m/>
    <s v="Quarter2"/>
    <s v="Quarter3"/>
    <m/>
    <x v="8"/>
    <d v="2025-06-01T00:00:00"/>
    <d v="2025-06-30T00:00:00"/>
    <x v="2"/>
    <x v="25"/>
    <n v="2"/>
    <n v="7"/>
    <n v="0"/>
    <n v="1"/>
    <n v="1"/>
    <n v="9"/>
    <n v="4"/>
    <n v="1"/>
    <n v="0"/>
    <n v="1"/>
    <n v="0"/>
    <n v="3"/>
    <n v="0"/>
    <n v="0"/>
    <n v="0"/>
    <n v="0"/>
    <n v="0"/>
    <n v="2"/>
    <n v="0"/>
    <n v="0"/>
    <n v="0"/>
  </r>
  <r>
    <n v="205"/>
    <d v="2024-04-05T11:23:49"/>
    <d v="2024-04-05T11:26:08"/>
    <s v="tsatumba@lighthouse.org.mw"/>
    <s v="Thomas Satumba"/>
    <x v="10"/>
    <s v="Prototype"/>
    <x v="1"/>
    <s v="COP_23"/>
    <s v="COP_23"/>
    <s v="Quarter1"/>
    <s v="Quarter2"/>
    <s v="Qtr_2"/>
    <x v="4"/>
    <d v="2024-01-01T00:00:00"/>
    <d v="2024-01-31T00:00:00"/>
    <x v="3"/>
    <x v="21"/>
    <n v="0"/>
    <n v="0"/>
    <n v="0"/>
    <n v="0"/>
    <n v="0"/>
    <n v="0"/>
    <n v="0"/>
    <n v="0"/>
    <n v="0"/>
    <n v="0"/>
    <n v="0"/>
    <n v="0"/>
    <n v="0"/>
    <n v="0"/>
    <n v="0"/>
    <n v="0"/>
    <n v="0"/>
    <n v="0"/>
    <n v="0"/>
    <n v="0"/>
    <n v="0"/>
  </r>
  <r>
    <n v="206"/>
    <d v="2024-04-05T11:26:13"/>
    <d v="2024-04-05T11:30:57"/>
    <s v="tsatumba@lighthouse.org.mw"/>
    <s v="Thomas Satumba"/>
    <x v="10"/>
    <s v="Prototype"/>
    <x v="1"/>
    <s v="COP_23"/>
    <s v="COP_23"/>
    <s v="Quarter1"/>
    <s v="Quarter2"/>
    <s v="Qtr_2"/>
    <x v="4"/>
    <d v="2024-01-01T00:00:00"/>
    <d v="2024-01-31T00:00:00"/>
    <x v="5"/>
    <x v="33"/>
    <n v="0"/>
    <n v="3"/>
    <n v="0"/>
    <n v="0"/>
    <n v="1"/>
    <n v="3"/>
    <n v="1"/>
    <n v="2"/>
    <n v="0"/>
    <n v="0"/>
    <n v="0"/>
    <n v="2"/>
    <n v="1"/>
    <n v="0"/>
    <n v="0"/>
    <n v="0"/>
    <n v="0"/>
    <n v="0"/>
    <n v="0"/>
    <n v="0"/>
    <n v="0"/>
  </r>
  <r>
    <n v="208"/>
    <d v="2024-04-05T11:42:42"/>
    <d v="2024-04-05T11:46:53"/>
    <s v="tsatumba@lighthouse.org.mw"/>
    <s v="Thomas Satumba"/>
    <x v="10"/>
    <s v="Prototype"/>
    <x v="1"/>
    <s v="COP_23"/>
    <s v="COP_23"/>
    <s v="Quarter1"/>
    <s v="Quarter2"/>
    <s v="Qtr_2"/>
    <x v="4"/>
    <d v="2024-01-01T00:00:00"/>
    <d v="2024-01-31T00:00:00"/>
    <x v="4"/>
    <x v="18"/>
    <n v="0"/>
    <n v="1"/>
    <n v="0"/>
    <n v="0"/>
    <n v="0"/>
    <n v="0"/>
    <n v="0"/>
    <n v="1"/>
    <n v="0"/>
    <n v="0"/>
    <n v="0"/>
    <n v="1"/>
    <n v="0"/>
    <n v="0"/>
    <n v="0"/>
    <n v="0"/>
    <n v="0"/>
    <n v="0"/>
    <n v="0"/>
    <n v="0"/>
    <n v="0"/>
  </r>
  <r>
    <n v="211"/>
    <d v="2024-04-05T11:58:36"/>
    <d v="2024-04-05T12:02:05"/>
    <s v="tsatumba@lighthouse.org.mw"/>
    <s v="Thomas Satumba"/>
    <x v="10"/>
    <s v="Prototype"/>
    <x v="1"/>
    <s v="COP_23"/>
    <s v="COP_23"/>
    <s v="Quarter1"/>
    <s v="Quarter2"/>
    <s v="Qtr_2"/>
    <x v="5"/>
    <d v="2024-02-01T00:00:00"/>
    <d v="2024-02-29T00:00:00"/>
    <x v="5"/>
    <x v="30"/>
    <n v="1"/>
    <n v="2"/>
    <n v="0"/>
    <n v="0"/>
    <n v="1"/>
    <n v="3"/>
    <n v="1"/>
    <n v="2"/>
    <n v="0"/>
    <n v="0"/>
    <n v="0"/>
    <n v="2"/>
    <n v="1"/>
    <n v="0"/>
    <n v="0"/>
    <n v="0"/>
    <n v="0"/>
    <n v="0"/>
    <n v="0"/>
    <n v="0"/>
    <n v="0"/>
  </r>
  <r>
    <n v="212"/>
    <d v="2024-04-05T12:02:09"/>
    <d v="2024-04-05T12:05:00"/>
    <s v="tsatumba@lighthouse.org.mw"/>
    <s v="Thomas Satumba"/>
    <x v="10"/>
    <s v="Prototype"/>
    <x v="1"/>
    <s v="COP_23"/>
    <s v="COP_23"/>
    <s v="Quarter1"/>
    <s v="Quarter2"/>
    <s v="Qtr_2"/>
    <x v="5"/>
    <d v="2024-01-01T00:00:00"/>
    <d v="2024-02-29T00:00:00"/>
    <x v="4"/>
    <x v="18"/>
    <n v="0"/>
    <n v="1"/>
    <n v="0"/>
    <n v="0"/>
    <n v="0"/>
    <n v="0"/>
    <n v="0"/>
    <n v="0"/>
    <n v="0"/>
    <n v="0"/>
    <n v="0"/>
    <n v="1"/>
    <n v="0"/>
    <n v="0"/>
    <n v="0"/>
    <n v="0"/>
    <n v="0"/>
    <n v="0"/>
    <n v="0"/>
    <n v="0"/>
    <n v="0"/>
  </r>
  <r>
    <n v="215"/>
    <d v="2024-04-05T12:40:56"/>
    <d v="2024-04-05T12:42:36"/>
    <s v="tsatumba@lighthouse.org.mw"/>
    <s v="Thomas Satumba"/>
    <x v="10"/>
    <s v="Prototype"/>
    <x v="1"/>
    <s v="COP_23"/>
    <s v="COP_23"/>
    <s v="Quarter1"/>
    <s v="Quarter2"/>
    <s v="Qtr_2"/>
    <x v="3"/>
    <d v="2024-03-01T00:00:00"/>
    <d v="2024-03-31T00:00:00"/>
    <x v="5"/>
    <x v="20"/>
    <n v="1"/>
    <n v="1"/>
    <n v="0"/>
    <n v="0"/>
    <n v="1"/>
    <n v="1"/>
    <n v="0"/>
    <n v="0"/>
    <n v="0"/>
    <n v="0"/>
    <n v="0"/>
    <n v="0"/>
    <n v="0"/>
    <n v="0"/>
    <n v="0"/>
    <n v="0"/>
    <n v="0"/>
    <n v="0"/>
    <n v="0"/>
    <n v="0"/>
    <n v="0"/>
  </r>
  <r>
    <n v="216"/>
    <d v="2024-04-05T12:42:46"/>
    <d v="2024-04-05T12:44:24"/>
    <s v="tsatumba@lighthouse.org.mw"/>
    <s v="Thomas Satumba"/>
    <x v="10"/>
    <s v="Prototype"/>
    <x v="1"/>
    <s v="COP_23"/>
    <s v="COP_23"/>
    <s v="Quarter1"/>
    <s v="Quarter2"/>
    <s v="Qtr_2"/>
    <x v="3"/>
    <d v="2024-03-01T00:00:00"/>
    <d v="2024-03-31T00:00:00"/>
    <x v="3"/>
    <x v="18"/>
    <n v="0"/>
    <n v="1"/>
    <n v="0"/>
    <n v="0"/>
    <n v="0"/>
    <n v="0"/>
    <n v="0"/>
    <n v="0"/>
    <n v="0"/>
    <n v="0"/>
    <n v="0"/>
    <n v="1"/>
    <n v="0"/>
    <n v="0"/>
    <n v="0"/>
    <n v="0"/>
    <n v="0"/>
    <n v="0"/>
    <n v="0"/>
    <n v="0"/>
    <n v="0"/>
  </r>
  <r>
    <n v="244"/>
    <d v="2024-04-17T15:40:26"/>
    <d v="2024-04-17T15:45:09"/>
    <s v="tsatumba@lighthouse.org.mw"/>
    <s v="Thomas Satumba"/>
    <x v="10"/>
    <s v="Prototype"/>
    <x v="1"/>
    <s v="COP_23"/>
    <s v="COP_23"/>
    <s v="Quarter1"/>
    <s v="Quarter2"/>
    <s v="Qtr_2"/>
    <x v="4"/>
    <d v="2024-01-01T00:00:00"/>
    <d v="2024-01-31T00:00:00"/>
    <x v="0"/>
    <x v="61"/>
    <n v="0"/>
    <n v="15"/>
    <n v="1"/>
    <n v="1"/>
    <n v="2"/>
    <n v="18"/>
    <n v="8"/>
    <n v="19"/>
    <n v="0"/>
    <n v="0"/>
    <n v="0"/>
    <n v="9"/>
    <n v="2"/>
    <n v="0"/>
    <n v="0"/>
    <n v="0"/>
    <n v="0"/>
    <n v="0"/>
    <n v="0"/>
    <n v="1"/>
    <n v="0"/>
  </r>
  <r>
    <n v="245"/>
    <d v="2024-04-17T15:45:21"/>
    <d v="2024-04-17T15:48:46"/>
    <s v="tsatumba@lighthouse.org.mw"/>
    <s v="Thomas Satumba"/>
    <x v="10"/>
    <s v="Prototype"/>
    <x v="1"/>
    <s v="COP_23"/>
    <s v="COP_23"/>
    <s v="Quarter1"/>
    <s v="Quarter2"/>
    <s v="Qtr_2"/>
    <x v="5"/>
    <d v="2024-02-01T00:00:00"/>
    <d v="2024-02-29T00:00:00"/>
    <x v="0"/>
    <x v="61"/>
    <n v="1"/>
    <n v="11"/>
    <n v="5"/>
    <n v="0"/>
    <n v="3"/>
    <n v="18"/>
    <n v="8"/>
    <n v="11"/>
    <n v="0"/>
    <n v="0"/>
    <n v="0"/>
    <n v="14"/>
    <n v="5"/>
    <n v="0"/>
    <n v="0"/>
    <n v="0"/>
    <n v="0"/>
    <n v="0"/>
    <n v="0"/>
    <n v="4"/>
    <n v="0"/>
  </r>
  <r>
    <n v="246"/>
    <d v="2024-04-17T15:48:50"/>
    <d v="2024-04-17T15:51:56"/>
    <s v="tsatumba@lighthouse.org.mw"/>
    <s v="Thomas Satumba"/>
    <x v="10"/>
    <s v="Prototype"/>
    <x v="1"/>
    <s v="COP_23"/>
    <s v="COP_23"/>
    <s v="Quarter1"/>
    <s v="Quarter2"/>
    <s v="Qtr_2"/>
    <x v="3"/>
    <d v="2024-03-01T00:00:00"/>
    <d v="2024-03-31T00:00:00"/>
    <x v="0"/>
    <x v="34"/>
    <n v="3"/>
    <n v="17"/>
    <n v="1"/>
    <n v="4"/>
    <n v="7"/>
    <n v="20"/>
    <n v="9"/>
    <n v="0"/>
    <n v="0"/>
    <n v="0"/>
    <n v="0"/>
    <n v="20"/>
    <n v="12"/>
    <n v="0"/>
    <n v="0"/>
    <n v="0"/>
    <n v="0"/>
    <n v="0"/>
    <n v="0"/>
    <n v="12"/>
    <n v="1"/>
  </r>
  <r>
    <n v="619"/>
    <d v="2024-07-16T08:57:07"/>
    <d v="2024-07-16T09:13:03"/>
    <s v="tsatumba@lighthouse.org.mw"/>
    <s v="Thomas Satumba"/>
    <x v="10"/>
    <s v="Prototype"/>
    <x v="1"/>
    <s v="COP_23"/>
    <s v="COP_23"/>
    <s v="Quarter2"/>
    <s v="Quarter3"/>
    <s v="Qtr_3"/>
    <x v="7"/>
    <d v="2024-04-01T00:00:00"/>
    <d v="2024-04-30T00:00:00"/>
    <x v="0"/>
    <x v="57"/>
    <n v="0"/>
    <n v="10"/>
    <n v="3"/>
    <n v="1"/>
    <n v="1"/>
    <n v="15"/>
    <n v="2"/>
    <n v="2"/>
    <n v="0"/>
    <n v="0"/>
    <n v="0"/>
    <n v="2"/>
    <n v="1"/>
    <n v="0"/>
    <n v="0"/>
    <n v="0"/>
    <n v="0"/>
    <n v="0"/>
    <n v="0"/>
    <n v="1"/>
    <n v="0"/>
  </r>
  <r>
    <n v="620"/>
    <d v="2024-07-16T09:13:33"/>
    <d v="2024-07-16T09:17:49"/>
    <s v="tsatumba@lighthouse.org.mw"/>
    <s v="Thomas Satumba"/>
    <x v="10"/>
    <s v="Prototype"/>
    <x v="1"/>
    <s v="COP_23"/>
    <s v="COP_23"/>
    <s v="Quarter2"/>
    <s v="Quarter3"/>
    <s v="Qtr_3"/>
    <x v="6"/>
    <d v="2024-05-01T00:00:00"/>
    <d v="2024-05-31T00:00:00"/>
    <x v="0"/>
    <x v="36"/>
    <n v="0"/>
    <n v="7"/>
    <n v="1"/>
    <n v="2"/>
    <n v="1"/>
    <n v="11"/>
    <n v="3"/>
    <n v="3"/>
    <n v="0"/>
    <n v="0"/>
    <n v="0"/>
    <n v="1"/>
    <n v="1"/>
    <n v="0"/>
    <n v="0"/>
    <n v="0"/>
    <n v="0"/>
    <n v="0"/>
    <n v="0"/>
    <n v="0"/>
    <n v="0"/>
  </r>
  <r>
    <n v="621"/>
    <d v="2024-07-16T09:20:29"/>
    <d v="2024-07-16T09:26:13"/>
    <s v="tsatumba@lighthouse.org.mw"/>
    <s v="Thomas Satumba"/>
    <x v="10"/>
    <s v="Prototype"/>
    <x v="1"/>
    <s v="COP_23"/>
    <s v="COP_23"/>
    <s v="Quarter2"/>
    <s v="Quarter3"/>
    <s v="Qtr_3"/>
    <x v="8"/>
    <d v="2024-06-01T00:00:00"/>
    <d v="2024-06-30T00:00:00"/>
    <x v="0"/>
    <x v="29"/>
    <n v="0"/>
    <n v="10"/>
    <n v="1"/>
    <n v="1"/>
    <n v="0"/>
    <n v="10"/>
    <n v="5"/>
    <n v="5"/>
    <n v="0"/>
    <n v="0"/>
    <n v="0"/>
    <n v="0"/>
    <n v="0"/>
    <n v="0"/>
    <n v="0"/>
    <n v="0"/>
    <n v="0"/>
    <n v="0"/>
    <n v="0"/>
    <n v="0"/>
    <n v="0"/>
  </r>
  <r>
    <n v="683"/>
    <d v="2024-07-31T09:18:43"/>
    <d v="2024-07-31T09:21:33"/>
    <s v="tsatumba@lighthouse.org.mw"/>
    <s v="Thomas Satumba"/>
    <x v="10"/>
    <s v="Prototype"/>
    <x v="1"/>
    <s v="COP_24"/>
    <s v="COP_23"/>
    <s v="Quarter2"/>
    <s v="Quarter3"/>
    <s v="Qtr_3"/>
    <x v="7"/>
    <d v="2024-04-01T00:00:00"/>
    <d v="2024-04-30T00:00:00"/>
    <x v="3"/>
    <x v="21"/>
    <n v="0"/>
    <n v="0"/>
    <n v="0"/>
    <n v="0"/>
    <n v="0"/>
    <n v="0"/>
    <n v="0"/>
    <n v="0"/>
    <n v="0"/>
    <n v="0"/>
    <n v="0"/>
    <n v="0"/>
    <n v="0"/>
    <n v="0"/>
    <n v="0"/>
    <n v="0"/>
    <n v="0"/>
    <n v="0"/>
    <n v="0"/>
    <n v="0"/>
    <n v="0"/>
  </r>
  <r>
    <n v="684"/>
    <d v="2024-07-31T09:22:01"/>
    <d v="2024-07-31T09:24:20"/>
    <s v="tsatumba@lighthouse.org.mw"/>
    <s v="Thomas Satumba"/>
    <x v="10"/>
    <s v="Prototype"/>
    <x v="1"/>
    <s v="COP_23"/>
    <s v="COP_23"/>
    <s v="Quarter2"/>
    <s v="Quarter3"/>
    <s v="Qtr_3"/>
    <x v="6"/>
    <d v="2024-05-01T00:00:00"/>
    <d v="2024-05-31T00:00:00"/>
    <x v="3"/>
    <x v="21"/>
    <n v="0"/>
    <n v="0"/>
    <n v="0"/>
    <n v="0"/>
    <n v="0"/>
    <n v="0"/>
    <n v="0"/>
    <n v="0"/>
    <n v="0"/>
    <n v="0"/>
    <n v="0"/>
    <n v="0"/>
    <n v="0"/>
    <n v="0"/>
    <n v="0"/>
    <n v="0"/>
    <n v="0"/>
    <n v="0"/>
    <n v="0"/>
    <n v="0"/>
    <n v="0"/>
  </r>
  <r>
    <n v="685"/>
    <d v="2024-07-31T09:25:35"/>
    <d v="2024-07-31T09:29:15"/>
    <s v="tsatumba@lighthouse.org.mw"/>
    <s v="Thomas Satumba"/>
    <x v="10"/>
    <s v="Prototype"/>
    <x v="1"/>
    <s v="COP_23"/>
    <s v="COP_23"/>
    <s v="Quarter2"/>
    <s v="Quarter3"/>
    <s v="Qtr_3"/>
    <x v="8"/>
    <d v="2024-06-01T00:00:00"/>
    <d v="2024-06-30T00:00:00"/>
    <x v="3"/>
    <x v="21"/>
    <n v="0"/>
    <n v="0"/>
    <n v="0"/>
    <n v="0"/>
    <n v="0"/>
    <n v="0"/>
    <n v="0"/>
    <n v="0"/>
    <n v="0"/>
    <n v="0"/>
    <n v="0"/>
    <n v="0"/>
    <n v="0"/>
    <n v="0"/>
    <n v="0"/>
    <n v="0"/>
    <n v="0"/>
    <n v="0"/>
    <n v="0"/>
    <n v="0"/>
    <n v="0"/>
  </r>
  <r>
    <n v="686"/>
    <d v="2024-07-31T09:29:34"/>
    <d v="2024-07-31T09:32:11"/>
    <s v="tsatumba@lighthouse.org.mw"/>
    <s v="Thomas Satumba"/>
    <x v="10"/>
    <s v="Prototype"/>
    <x v="1"/>
    <s v="COP_23"/>
    <s v="COP_23"/>
    <s v="Quarter2"/>
    <s v="Quarter3"/>
    <s v="Qtr_3"/>
    <x v="7"/>
    <d v="2024-04-01T00:00:00"/>
    <d v="2024-04-30T00:00:00"/>
    <x v="4"/>
    <x v="21"/>
    <n v="0"/>
    <n v="0"/>
    <n v="0"/>
    <n v="0"/>
    <n v="0"/>
    <n v="0"/>
    <n v="0"/>
    <n v="0"/>
    <n v="0"/>
    <n v="0"/>
    <n v="0"/>
    <n v="0"/>
    <n v="0"/>
    <n v="0"/>
    <n v="0"/>
    <n v="0"/>
    <n v="0"/>
    <n v="0"/>
    <n v="0"/>
    <n v="0"/>
    <n v="0"/>
  </r>
  <r>
    <n v="688"/>
    <d v="2024-07-31T09:33:49"/>
    <d v="2024-07-31T09:34:51"/>
    <s v="tsatumba@lighthouse.org.mw"/>
    <s v="Thomas Satumba"/>
    <x v="10"/>
    <s v="Prototype"/>
    <x v="1"/>
    <s v="COP_24"/>
    <s v="COP_23"/>
    <s v="Quarter2"/>
    <s v="Quarter3"/>
    <s v="Qtr_3"/>
    <x v="6"/>
    <d v="2024-05-01T00:00:00"/>
    <d v="2024-05-31T00:00:00"/>
    <x v="4"/>
    <x v="21"/>
    <n v="0"/>
    <n v="0"/>
    <n v="0"/>
    <n v="0"/>
    <n v="0"/>
    <n v="0"/>
    <n v="0"/>
    <n v="0"/>
    <n v="0"/>
    <n v="0"/>
    <n v="0"/>
    <n v="0"/>
    <n v="0"/>
    <n v="0"/>
    <n v="0"/>
    <n v="0"/>
    <n v="0"/>
    <n v="0"/>
    <n v="0"/>
    <n v="0"/>
    <n v="0"/>
  </r>
  <r>
    <n v="689"/>
    <d v="2024-07-31T09:34:55"/>
    <d v="2024-07-31T09:36:16"/>
    <s v="tsatumba@lighthouse.org.mw"/>
    <s v="Thomas Satumba"/>
    <x v="10"/>
    <s v="Prototype"/>
    <x v="1"/>
    <s v="COP_24"/>
    <s v="COP_23"/>
    <s v="Quarter2"/>
    <s v="Quarter3"/>
    <s v="Qtr_3"/>
    <x v="8"/>
    <d v="2024-06-01T00:00:00"/>
    <d v="2024-06-30T00:00:00"/>
    <x v="4"/>
    <x v="21"/>
    <n v="0"/>
    <n v="0"/>
    <n v="0"/>
    <n v="0"/>
    <n v="0"/>
    <n v="0"/>
    <n v="0"/>
    <n v="0"/>
    <n v="0"/>
    <n v="0"/>
    <n v="0"/>
    <n v="0"/>
    <n v="0"/>
    <n v="0"/>
    <n v="0"/>
    <n v="0"/>
    <n v="0"/>
    <n v="0"/>
    <n v="0"/>
    <n v="0"/>
    <n v="0"/>
  </r>
  <r>
    <n v="690"/>
    <d v="2024-07-31T09:36:32"/>
    <d v="2024-07-31T10:10:24"/>
    <s v="tsatumba@lighthouse.org.mw"/>
    <s v="Thomas Satumba"/>
    <x v="10"/>
    <s v="Prototype"/>
    <x v="1"/>
    <s v="COP_24"/>
    <s v="COP_23"/>
    <s v="Quarter2"/>
    <s v="Quarter3"/>
    <s v="Qtr_3"/>
    <x v="7"/>
    <d v="2024-04-01T00:00:00"/>
    <d v="2024-04-30T00:00:00"/>
    <x v="5"/>
    <x v="51"/>
    <n v="0"/>
    <n v="1"/>
    <n v="0"/>
    <n v="0"/>
    <n v="1"/>
    <n v="2"/>
    <n v="0"/>
    <n v="0"/>
    <n v="0"/>
    <n v="0"/>
    <n v="0"/>
    <n v="2"/>
    <n v="1"/>
    <n v="0"/>
    <n v="0"/>
    <n v="0"/>
    <n v="0"/>
    <n v="0"/>
    <n v="0"/>
    <n v="0"/>
    <n v="0"/>
  </r>
  <r>
    <n v="691"/>
    <d v="2024-07-31T10:10:35"/>
    <d v="2024-07-31T10:13:41"/>
    <s v="tsatumba@lighthouse.org.mw"/>
    <s v="Thomas Satumba"/>
    <x v="10"/>
    <s v="Prototype"/>
    <x v="1"/>
    <s v="COP_24"/>
    <s v="COP_23"/>
    <s v="Quarter2"/>
    <s v="Quarter3"/>
    <s v="Qtr_3"/>
    <x v="6"/>
    <d v="2024-05-01T00:00:00"/>
    <d v="2024-05-31T00:00:00"/>
    <x v="5"/>
    <x v="31"/>
    <n v="0"/>
    <n v="1"/>
    <n v="0"/>
    <n v="2"/>
    <n v="0"/>
    <n v="3"/>
    <n v="1"/>
    <n v="1"/>
    <n v="0"/>
    <n v="0"/>
    <n v="0"/>
    <n v="0"/>
    <n v="0"/>
    <n v="0"/>
    <n v="0"/>
    <n v="0"/>
    <n v="0"/>
    <n v="0"/>
    <n v="0"/>
    <n v="0"/>
    <n v="0"/>
  </r>
  <r>
    <n v="692"/>
    <d v="2024-07-31T10:13:54"/>
    <d v="2024-07-31T10:15:16"/>
    <s v="tsatumba@lighthouse.org.mw"/>
    <s v="Thomas Satumba"/>
    <x v="10"/>
    <s v="Prototype"/>
    <x v="1"/>
    <s v="COP_24"/>
    <s v="COP_23"/>
    <s v="Quarter2"/>
    <s v="Quarter3"/>
    <s v="Qtr_3"/>
    <x v="8"/>
    <d v="2024-06-01T00:00:00"/>
    <d v="2024-06-30T00:00:00"/>
    <x v="5"/>
    <x v="31"/>
    <n v="0"/>
    <n v="0"/>
    <n v="0"/>
    <n v="0"/>
    <n v="0"/>
    <n v="0"/>
    <n v="0"/>
    <n v="0"/>
    <n v="0"/>
    <n v="0"/>
    <n v="0"/>
    <n v="0"/>
    <n v="0"/>
    <n v="0"/>
    <n v="0"/>
    <n v="0"/>
    <n v="0"/>
    <n v="0"/>
    <n v="0"/>
    <n v="0"/>
    <n v="0"/>
  </r>
  <r>
    <n v="26"/>
    <d v="2023-12-18T07:55:19"/>
    <d v="2023-12-18T08:02:51"/>
    <s v="tsatumba@lighthouse.org.mw"/>
    <s v="Thomas Satumba"/>
    <x v="10"/>
    <s v="Prototype"/>
    <x v="0"/>
    <s v="COP_24"/>
    <s v="COP_23"/>
    <s v="Quarter4"/>
    <s v="Quarter1"/>
    <s v="Qtr_1"/>
    <x v="0"/>
    <d v="2023-10-01T00:00:00"/>
    <d v="2023-10-31T00:00:00"/>
    <x v="1"/>
    <x v="49"/>
    <n v="0"/>
    <n v="6"/>
    <n v="0"/>
    <n v="1"/>
    <n v="1"/>
    <n v="0"/>
    <n v="0"/>
    <n v="0"/>
    <n v="0"/>
    <n v="0"/>
    <n v="0"/>
    <n v="4"/>
    <n v="2"/>
    <n v="0"/>
    <n v="0"/>
    <n v="0"/>
    <n v="0"/>
    <n v="0"/>
    <n v="0"/>
    <n v="2"/>
    <n v="0"/>
  </r>
  <r>
    <n v="27"/>
    <d v="2023-12-18T08:03:53"/>
    <d v="2023-12-18T08:08:02"/>
    <s v="tsatumba@lighthouse.org.mw"/>
    <s v="Thomas Satumba"/>
    <x v="10"/>
    <s v="Prototype"/>
    <x v="0"/>
    <s v="COP_24"/>
    <s v="COP_23"/>
    <s v="Quarter4"/>
    <s v="Quarter1"/>
    <s v="Qtr_1"/>
    <x v="1"/>
    <d v="2023-11-01T00:00:00"/>
    <d v="2023-11-30T00:00:00"/>
    <x v="1"/>
    <x v="49"/>
    <n v="0"/>
    <n v="10"/>
    <n v="0"/>
    <n v="0"/>
    <n v="0"/>
    <n v="1"/>
    <n v="0"/>
    <n v="0"/>
    <n v="0"/>
    <n v="0"/>
    <n v="0"/>
    <n v="0"/>
    <n v="0"/>
    <n v="0"/>
    <n v="0"/>
    <n v="0"/>
    <n v="0"/>
    <n v="0"/>
    <n v="0"/>
    <n v="0"/>
    <n v="0"/>
  </r>
  <r>
    <n v="97"/>
    <d v="2024-01-18T11:56:20"/>
    <d v="2024-01-18T12:06:19"/>
    <s v="tsatumba@lighthouse.org.mw"/>
    <s v="Thomas Satumba"/>
    <x v="10"/>
    <s v="Prototype"/>
    <x v="0"/>
    <s v="COP_24"/>
    <s v="COP_23"/>
    <s v="Quarter4"/>
    <s v="Quarter1"/>
    <s v="Qtr_1"/>
    <x v="11"/>
    <d v="2023-12-01T00:00:00"/>
    <d v="2023-12-31T00:00:00"/>
    <x v="1"/>
    <x v="39"/>
    <n v="0"/>
    <n v="7"/>
    <n v="1"/>
    <n v="0"/>
    <n v="0"/>
    <n v="8"/>
    <n v="1"/>
    <n v="0"/>
    <n v="1"/>
    <n v="0"/>
    <n v="0"/>
    <n v="0"/>
    <n v="0"/>
    <n v="0"/>
    <n v="0"/>
    <n v="0"/>
    <n v="0"/>
    <n v="0"/>
    <n v="0"/>
    <n v="0"/>
    <n v="0"/>
  </r>
  <r>
    <n v="207"/>
    <d v="2024-04-05T11:31:01"/>
    <d v="2024-04-05T11:42:34"/>
    <s v="tsatumba@lighthouse.org.mw"/>
    <s v="Thomas Satumba"/>
    <x v="10"/>
    <s v="Prototype"/>
    <x v="1"/>
    <s v="COP_24"/>
    <s v="COP_23"/>
    <s v="Quarter1"/>
    <s v="Quarter2"/>
    <s v="Qtr_2"/>
    <x v="4"/>
    <d v="2024-01-01T00:00:00"/>
    <d v="2024-01-31T00:00:00"/>
    <x v="2"/>
    <x v="30"/>
    <n v="1"/>
    <n v="2"/>
    <n v="0"/>
    <n v="0"/>
    <n v="1"/>
    <n v="3"/>
    <n v="1"/>
    <n v="1"/>
    <n v="0"/>
    <n v="0"/>
    <n v="0"/>
    <n v="2"/>
    <n v="1"/>
    <n v="0"/>
    <n v="0"/>
    <n v="0"/>
    <n v="0"/>
    <n v="0"/>
    <n v="0"/>
    <n v="0"/>
    <n v="0"/>
  </r>
  <r>
    <n v="204"/>
    <d v="2024-04-05T11:09:55"/>
    <d v="2024-04-05T11:22:59"/>
    <s v="tsatumba@lighthouse.org.mw"/>
    <s v="Thomas Satumba"/>
    <x v="10"/>
    <s v="Prototype"/>
    <x v="1"/>
    <s v="COP_24"/>
    <s v="COP_23"/>
    <s v="Quarter1"/>
    <s v="Quarter2"/>
    <s v="Qtr_2"/>
    <x v="4"/>
    <d v="2024-01-01T00:00:00"/>
    <d v="2024-01-31T00:00:00"/>
    <x v="1"/>
    <x v="29"/>
    <n v="1"/>
    <n v="9"/>
    <n v="1"/>
    <n v="1"/>
    <n v="4"/>
    <n v="12"/>
    <n v="5"/>
    <n v="4"/>
    <n v="0"/>
    <n v="0"/>
    <n v="0"/>
    <n v="5"/>
    <n v="2"/>
    <n v="0"/>
    <n v="0"/>
    <n v="0"/>
    <n v="0"/>
    <n v="0"/>
    <n v="0"/>
    <n v="2"/>
    <n v="0"/>
  </r>
  <r>
    <n v="209"/>
    <d v="2024-04-05T11:46:57"/>
    <d v="2024-04-05T11:52:48"/>
    <s v="tsatumba@lighthouse.org.mw"/>
    <s v="Thomas Satumba"/>
    <x v="10"/>
    <s v="Prototype"/>
    <x v="1"/>
    <s v="COP_24"/>
    <s v="COP_23"/>
    <s v="Quarter1"/>
    <s v="Quarter2"/>
    <s v="Qtr_2"/>
    <x v="5"/>
    <d v="2024-02-01T00:00:00"/>
    <d v="2024-02-29T00:00:00"/>
    <x v="1"/>
    <x v="31"/>
    <n v="0"/>
    <n v="6"/>
    <n v="1"/>
    <n v="0"/>
    <n v="0"/>
    <n v="7"/>
    <n v="1"/>
    <n v="1"/>
    <n v="0"/>
    <n v="0"/>
    <n v="0"/>
    <n v="1"/>
    <n v="0"/>
    <n v="0"/>
    <n v="0"/>
    <n v="0"/>
    <n v="0"/>
    <n v="0"/>
    <n v="0"/>
    <n v="0"/>
    <n v="0"/>
  </r>
  <r>
    <n v="210"/>
    <d v="2024-04-05T11:52:54"/>
    <d v="2024-04-05T11:58:32"/>
    <s v="tsatumba@lighthouse.org.mw"/>
    <s v="Thomas Satumba"/>
    <x v="10"/>
    <s v="Prototype"/>
    <x v="1"/>
    <s v="COP_24"/>
    <s v="COP_23"/>
    <s v="Quarter1"/>
    <s v="Quarter2"/>
    <s v="Qtr_2"/>
    <x v="5"/>
    <d v="2024-02-01T00:00:00"/>
    <d v="2024-02-29T00:00:00"/>
    <x v="2"/>
    <x v="25"/>
    <n v="3"/>
    <n v="2"/>
    <n v="4"/>
    <n v="0"/>
    <n v="3"/>
    <n v="8"/>
    <n v="3"/>
    <n v="5"/>
    <n v="0"/>
    <n v="0"/>
    <n v="0"/>
    <n v="9"/>
    <n v="3"/>
    <n v="0"/>
    <n v="0"/>
    <n v="0"/>
    <n v="0"/>
    <n v="0"/>
    <n v="0"/>
    <n v="0"/>
    <n v="0"/>
  </r>
  <r>
    <n v="214"/>
    <d v="2024-04-05T12:29:12"/>
    <d v="2024-04-05T12:40:53"/>
    <s v="tsatumba@lighthouse.org.mw"/>
    <s v="Thomas Satumba"/>
    <x v="10"/>
    <s v="Prototype"/>
    <x v="1"/>
    <s v="COP_24"/>
    <s v="COP_23"/>
    <s v="Quarter1"/>
    <s v="Quarter2"/>
    <s v="Qtr_2"/>
    <x v="3"/>
    <d v="2024-03-01T00:00:00"/>
    <d v="2024-03-31T00:00:00"/>
    <x v="2"/>
    <x v="25"/>
    <n v="4"/>
    <n v="5"/>
    <n v="0"/>
    <n v="1"/>
    <n v="3"/>
    <n v="8"/>
    <n v="6"/>
    <n v="6"/>
    <n v="0"/>
    <n v="0"/>
    <n v="0"/>
    <n v="8"/>
    <n v="5"/>
    <n v="0"/>
    <n v="0"/>
    <n v="0"/>
    <n v="0"/>
    <n v="0"/>
    <n v="0"/>
    <n v="0"/>
    <n v="0"/>
  </r>
  <r>
    <n v="213"/>
    <d v="2024-04-05T12:05:12"/>
    <d v="2024-04-05T12:29:08"/>
    <s v="tsatumba@lighthouse.org.mw"/>
    <s v="Thomas Satumba"/>
    <x v="10"/>
    <s v="Prototype"/>
    <x v="1"/>
    <s v="COP_24"/>
    <s v="COP_23"/>
    <s v="Quarter1"/>
    <s v="Quarter2"/>
    <s v="Qtr_2"/>
    <x v="3"/>
    <d v="2024-03-01T00:00:00"/>
    <d v="2024-03-31T00:00:00"/>
    <x v="1"/>
    <x v="57"/>
    <n v="4"/>
    <n v="10"/>
    <n v="1"/>
    <n v="2"/>
    <n v="4"/>
    <n v="15"/>
    <n v="3"/>
    <n v="2"/>
    <n v="0"/>
    <n v="0"/>
    <n v="0"/>
    <n v="9"/>
    <n v="5"/>
    <n v="0"/>
    <n v="0"/>
    <n v="0"/>
    <n v="0"/>
    <n v="0"/>
    <n v="0"/>
    <n v="0"/>
    <n v="0"/>
  </r>
  <r>
    <n v="693"/>
    <d v="2024-07-31T10:15:47"/>
    <d v="2024-07-31T10:19:54"/>
    <s v="tsatumba@lighthouse.org.mw"/>
    <s v="Thomas Satumba"/>
    <x v="10"/>
    <s v="Prototype"/>
    <x v="1"/>
    <s v="COP_24"/>
    <s v="COP_23"/>
    <s v="Quarter2"/>
    <s v="Quarter3"/>
    <s v="Qtr_3"/>
    <x v="8"/>
    <d v="2024-06-01T00:00:00"/>
    <d v="2024-06-30T00:00:00"/>
    <x v="2"/>
    <x v="49"/>
    <n v="0"/>
    <n v="1"/>
    <n v="1"/>
    <n v="0"/>
    <n v="0"/>
    <n v="2"/>
    <n v="1"/>
    <n v="1"/>
    <n v="0"/>
    <n v="0"/>
    <n v="0"/>
    <n v="0"/>
    <n v="0"/>
    <n v="0"/>
    <n v="0"/>
    <n v="0"/>
    <n v="0"/>
    <n v="0"/>
    <n v="0"/>
    <n v="0"/>
    <n v="0"/>
  </r>
  <r>
    <n v="694"/>
    <d v="2024-07-31T10:20:01"/>
    <d v="2024-07-31T10:21:11"/>
    <s v="tsatumba@lighthouse.org.mw"/>
    <s v="Thomas Satumba"/>
    <x v="10"/>
    <s v="Prototype"/>
    <x v="1"/>
    <s v="COP_24"/>
    <s v="COP_23"/>
    <s v="Quarter2"/>
    <s v="Quarter3"/>
    <s v="Qtr_3"/>
    <x v="7"/>
    <d v="2024-04-01T00:00:00"/>
    <d v="2024-04-30T00:00:00"/>
    <x v="2"/>
    <x v="51"/>
    <n v="0"/>
    <n v="0"/>
    <n v="0"/>
    <n v="0"/>
    <n v="0"/>
    <n v="0"/>
    <n v="0"/>
    <n v="0"/>
    <n v="0"/>
    <n v="0"/>
    <n v="0"/>
    <n v="0"/>
    <n v="0"/>
    <n v="0"/>
    <n v="0"/>
    <n v="0"/>
    <n v="0"/>
    <n v="0"/>
    <n v="0"/>
    <n v="0"/>
    <n v="0"/>
  </r>
  <r>
    <n v="680"/>
    <d v="2024-07-31T09:03:05"/>
    <d v="2024-07-31T09:09:00"/>
    <s v="tsatumba@lighthouse.org.mw"/>
    <s v="Thomas Satumba"/>
    <x v="10"/>
    <s v="Prototype"/>
    <x v="1"/>
    <s v="COP_24"/>
    <s v="COP_23"/>
    <s v="Quarter2"/>
    <s v="Quarter3"/>
    <s v="Qtr_3"/>
    <x v="7"/>
    <d v="2024-04-01T00:00:00"/>
    <d v="2024-04-30T00:00:00"/>
    <x v="1"/>
    <x v="25"/>
    <n v="0"/>
    <n v="8"/>
    <n v="1"/>
    <n v="0"/>
    <n v="0"/>
    <n v="9"/>
    <n v="2"/>
    <n v="0"/>
    <n v="0"/>
    <n v="0"/>
    <n v="0"/>
    <n v="0"/>
    <n v="0"/>
    <n v="0"/>
    <n v="0"/>
    <n v="0"/>
    <n v="0"/>
    <n v="0"/>
    <n v="0"/>
    <n v="0"/>
    <n v="0"/>
  </r>
  <r>
    <n v="695"/>
    <d v="2024-07-31T10:21:24"/>
    <d v="2024-07-31T10:22:44"/>
    <s v="tsatumba@lighthouse.org.mw"/>
    <s v="Thomas Satumba"/>
    <x v="10"/>
    <s v="Prototype"/>
    <x v="1"/>
    <s v="COP_24"/>
    <s v="COP_23"/>
    <s v="Quarter2"/>
    <s v="Quarter3"/>
    <s v="Qtr_3"/>
    <x v="6"/>
    <d v="2024-05-01T00:00:00"/>
    <d v="2024-05-31T00:00:00"/>
    <x v="2"/>
    <x v="49"/>
    <n v="0"/>
    <n v="0"/>
    <n v="0"/>
    <n v="0"/>
    <n v="0"/>
    <n v="0"/>
    <n v="0"/>
    <n v="0"/>
    <n v="0"/>
    <n v="0"/>
    <n v="0"/>
    <n v="0"/>
    <n v="0"/>
    <n v="0"/>
    <n v="0"/>
    <n v="0"/>
    <n v="0"/>
    <n v="0"/>
    <n v="0"/>
    <n v="0"/>
    <n v="0"/>
  </r>
  <r>
    <n v="681"/>
    <d v="2024-07-31T09:09:48"/>
    <d v="2024-07-31T09:13:40"/>
    <s v="tsatumba@lighthouse.org.mw"/>
    <s v="Thomas Satumba"/>
    <x v="10"/>
    <s v="Prototype"/>
    <x v="1"/>
    <s v="COP_24"/>
    <s v="COP_23"/>
    <s v="Quarter2"/>
    <s v="Quarter3"/>
    <s v="Qtr_3"/>
    <x v="6"/>
    <d v="2024-05-01T00:00:00"/>
    <d v="2024-05-31T00:00:00"/>
    <x v="1"/>
    <x v="39"/>
    <n v="0"/>
    <n v="6"/>
    <n v="1"/>
    <n v="0"/>
    <n v="1"/>
    <n v="8"/>
    <n v="2"/>
    <n v="2"/>
    <n v="0"/>
    <n v="0"/>
    <n v="0"/>
    <n v="0"/>
    <n v="0"/>
    <n v="0"/>
    <n v="0"/>
    <n v="0"/>
    <n v="0"/>
    <n v="0"/>
    <n v="0"/>
    <n v="0"/>
    <n v="0"/>
  </r>
  <r>
    <n v="682"/>
    <d v="2024-07-31T09:14:03"/>
    <d v="2024-07-31T09:16:58"/>
    <s v="tsatumba@lighthouse.org.mw"/>
    <s v="Thomas Satumba"/>
    <x v="10"/>
    <s v="Prototype"/>
    <x v="1"/>
    <s v="COP_24"/>
    <s v="COP_23"/>
    <s v="Quarter2"/>
    <s v="Quarter3"/>
    <s v="Qtr_3"/>
    <x v="8"/>
    <d v="2024-06-01T00:00:00"/>
    <d v="2024-06-30T00:00:00"/>
    <x v="1"/>
    <x v="49"/>
    <n v="0"/>
    <n v="9"/>
    <n v="0"/>
    <n v="1"/>
    <n v="0"/>
    <n v="8"/>
    <n v="4"/>
    <n v="4"/>
    <n v="0"/>
    <n v="0"/>
    <n v="0"/>
    <n v="0"/>
    <n v="0"/>
    <n v="0"/>
    <n v="0"/>
    <n v="0"/>
    <n v="0"/>
    <n v="0"/>
    <n v="0"/>
    <n v="0"/>
    <n v="0"/>
  </r>
  <r>
    <n v="923"/>
    <d v="2024-10-14T09:30:17"/>
    <d v="2024-10-14T09:30:39"/>
    <s v="tsatumba@lighthouse.org.mw"/>
    <s v="Thomas Satumba"/>
    <x v="10"/>
    <s v="Prototype"/>
    <x v="1"/>
    <s v="COP_23"/>
    <s v="COP_23"/>
    <s v="Quarter3"/>
    <s v="Quarter4"/>
    <s v="Qtr_4"/>
    <x v="9"/>
    <d v="2024-07-01T00:00:00"/>
    <d v="2024-07-31T00:00:00"/>
    <x v="1"/>
    <x v="36"/>
    <n v="2"/>
    <n v="8"/>
    <n v="1"/>
    <n v="1"/>
    <n v="0"/>
    <n v="9"/>
    <n v="2"/>
    <n v="3"/>
    <n v="0"/>
    <n v="0"/>
    <n v="0"/>
    <n v="0"/>
    <n v="0"/>
    <n v="0"/>
    <n v="0"/>
    <n v="0"/>
    <n v="0"/>
    <n v="0"/>
    <n v="0"/>
    <n v="0"/>
    <n v="0"/>
  </r>
  <r>
    <n v="924"/>
    <d v="2024-10-14T09:30:54"/>
    <d v="2024-10-14T09:33:19"/>
    <s v="tsatumba@lighthouse.org.mw"/>
    <s v="Thomas Satumba"/>
    <x v="10"/>
    <s v="Prototype"/>
    <x v="1"/>
    <s v="COP_23"/>
    <s v="COP_23"/>
    <s v="Quarter3"/>
    <s v="Quarter4"/>
    <s v="Qtr_4"/>
    <x v="10"/>
    <d v="2024-08-01T00:00:00"/>
    <d v="2024-08-31T00:00:00"/>
    <x v="1"/>
    <x v="23"/>
    <n v="0"/>
    <n v="10"/>
    <n v="1"/>
    <n v="1"/>
    <n v="0"/>
    <n v="12"/>
    <n v="3"/>
    <n v="0"/>
    <n v="0"/>
    <n v="0"/>
    <n v="0"/>
    <n v="0"/>
    <n v="0"/>
    <n v="0"/>
    <n v="0"/>
    <n v="0"/>
    <n v="0"/>
    <n v="0"/>
    <n v="0"/>
    <n v="0"/>
    <n v="0"/>
  </r>
  <r>
    <n v="925"/>
    <d v="2024-10-14T09:33:28"/>
    <d v="2024-10-14T09:35:34"/>
    <s v="tsatumba@lighthouse.org.mw"/>
    <s v="Thomas Satumba"/>
    <x v="10"/>
    <s v="Prototype"/>
    <x v="1"/>
    <s v="COP_23"/>
    <s v="COP_23"/>
    <s v="Quarter3"/>
    <s v="Quarter4"/>
    <s v="Qtr_4"/>
    <x v="2"/>
    <d v="2024-09-01T00:00:00"/>
    <d v="2024-09-30T00:00:00"/>
    <x v="1"/>
    <x v="39"/>
    <n v="0"/>
    <n v="6"/>
    <n v="1"/>
    <n v="0"/>
    <n v="0"/>
    <n v="4"/>
    <n v="0"/>
    <n v="0"/>
    <n v="0"/>
    <n v="0"/>
    <n v="0"/>
    <n v="0"/>
    <n v="0"/>
    <n v="0"/>
    <n v="0"/>
    <n v="0"/>
    <n v="0"/>
    <n v="0"/>
    <n v="0"/>
    <n v="0"/>
    <n v="0"/>
  </r>
  <r>
    <n v="914"/>
    <d v="2024-10-10T14:27:00"/>
    <d v="2024-10-10T14:33:23"/>
    <s v="tsatumba@lighthouse.org.mw"/>
    <s v="Thomas Satumba"/>
    <x v="10"/>
    <s v="Prototype"/>
    <x v="1"/>
    <s v="COP_23"/>
    <s v="COP_23"/>
    <s v="Quarter3"/>
    <s v="Quarter4"/>
    <s v="Qtr_4"/>
    <x v="9"/>
    <d v="2024-07-01T00:00:00"/>
    <d v="2024-07-31T00:00:00"/>
    <x v="0"/>
    <x v="29"/>
    <n v="2"/>
    <n v="10"/>
    <n v="1"/>
    <n v="1"/>
    <n v="0"/>
    <n v="11"/>
    <n v="2"/>
    <n v="3"/>
    <n v="0"/>
    <n v="0"/>
    <n v="0"/>
    <n v="0"/>
    <n v="0"/>
    <n v="0"/>
    <n v="0"/>
    <n v="0"/>
    <n v="0"/>
    <n v="0"/>
    <n v="0"/>
    <n v="0"/>
    <n v="0"/>
  </r>
  <r>
    <n v="915"/>
    <d v="2024-10-10T14:34:22"/>
    <d v="2024-10-10T14:44:49"/>
    <s v="tsatumba@lighthouse.org.mw"/>
    <s v="Thomas Satumba"/>
    <x v="10"/>
    <s v="Prototype"/>
    <x v="1"/>
    <s v="COP_23"/>
    <s v="COP_23"/>
    <s v="Quarter3"/>
    <s v="Quarter4"/>
    <s v="Qtr_4"/>
    <x v="10"/>
    <d v="2024-08-01T00:00:00"/>
    <d v="2024-08-31T00:00:00"/>
    <x v="0"/>
    <x v="60"/>
    <n v="1"/>
    <n v="15"/>
    <n v="0"/>
    <n v="2"/>
    <n v="1"/>
    <n v="18"/>
    <n v="5"/>
    <n v="2"/>
    <n v="0"/>
    <n v="0"/>
    <n v="0"/>
    <n v="2"/>
    <n v="1"/>
    <n v="0"/>
    <n v="0"/>
    <n v="0"/>
    <n v="0"/>
    <n v="0"/>
    <n v="0"/>
    <n v="0"/>
    <n v="0"/>
  </r>
  <r>
    <n v="916"/>
    <d v="2024-10-10T14:50:40"/>
    <d v="2024-10-10T15:08:19"/>
    <s v="tsatumba@lighthouse.org.mw"/>
    <s v="Thomas Satumba"/>
    <x v="10"/>
    <s v="Prototype"/>
    <x v="1"/>
    <s v="COP_23"/>
    <s v="COP_23"/>
    <s v="Quarter3"/>
    <s v="Quarter4"/>
    <s v="Qtr_4"/>
    <x v="2"/>
    <d v="2024-09-01T00:00:00"/>
    <d v="2024-09-30T00:00:00"/>
    <x v="0"/>
    <x v="51"/>
    <n v="0"/>
    <n v="13"/>
    <n v="1"/>
    <n v="1"/>
    <n v="2"/>
    <n v="11"/>
    <n v="2"/>
    <n v="1"/>
    <n v="0"/>
    <n v="0"/>
    <n v="0"/>
    <n v="7"/>
    <n v="3"/>
    <n v="0"/>
    <n v="0"/>
    <n v="0"/>
    <n v="0"/>
    <n v="0"/>
    <n v="0"/>
    <n v="4"/>
    <n v="0"/>
  </r>
  <r>
    <n v="917"/>
    <d v="2024-10-10T15:12:05"/>
    <d v="2024-10-10T15:19:14"/>
    <s v="tsatumba@lighthouse.org.mw"/>
    <s v="Thomas Satumba"/>
    <x v="10"/>
    <s v="Prototype"/>
    <x v="1"/>
    <s v="COP_23"/>
    <s v="COP_23"/>
    <s v="Quarter3"/>
    <s v="Quarter4"/>
    <s v="Qtr_4"/>
    <x v="9"/>
    <d v="2024-07-01T00:00:00"/>
    <d v="2024-07-31T00:00:00"/>
    <x v="3"/>
    <x v="21"/>
    <n v="0"/>
    <n v="0"/>
    <n v="0"/>
    <n v="0"/>
    <n v="0"/>
    <n v="0"/>
    <n v="0"/>
    <n v="0"/>
    <n v="0"/>
    <n v="0"/>
    <n v="0"/>
    <n v="0"/>
    <n v="0"/>
    <n v="0"/>
    <n v="0"/>
    <n v="0"/>
    <n v="0"/>
    <n v="0"/>
    <n v="0"/>
    <n v="0"/>
    <n v="0"/>
  </r>
  <r>
    <n v="918"/>
    <d v="2024-10-10T15:19:17"/>
    <d v="2024-10-10T15:20:30"/>
    <s v="tsatumba@lighthouse.org.mw"/>
    <s v="Thomas Satumba"/>
    <x v="10"/>
    <s v="Prototype"/>
    <x v="1"/>
    <s v="COP_23"/>
    <s v="COP_23"/>
    <s v="Quarter3"/>
    <s v="Quarter4"/>
    <s v="Qtr_4"/>
    <x v="10"/>
    <d v="2024-08-01T00:00:00"/>
    <d v="2024-08-31T00:00:00"/>
    <x v="3"/>
    <x v="21"/>
    <n v="0"/>
    <n v="0"/>
    <n v="0"/>
    <n v="0"/>
    <n v="0"/>
    <n v="0"/>
    <n v="0"/>
    <n v="0"/>
    <n v="0"/>
    <n v="0"/>
    <n v="0"/>
    <n v="0"/>
    <n v="0"/>
    <n v="0"/>
    <n v="0"/>
    <n v="0"/>
    <n v="0"/>
    <n v="0"/>
    <n v="0"/>
    <n v="0"/>
    <n v="0"/>
  </r>
  <r>
    <n v="919"/>
    <d v="2024-10-10T15:20:33"/>
    <d v="2024-10-10T15:21:50"/>
    <s v="tsatumba@lighthouse.org.mw"/>
    <s v="Thomas Satumba"/>
    <x v="10"/>
    <s v="Prototype"/>
    <x v="1"/>
    <s v="COP_23"/>
    <s v="COP_23"/>
    <s v="Quarter3"/>
    <s v="Quarter4"/>
    <s v="Qtr_4"/>
    <x v="2"/>
    <d v="2024-09-01T00:00:00"/>
    <d v="2024-09-01T00:00:00"/>
    <x v="3"/>
    <x v="21"/>
    <n v="0"/>
    <n v="0"/>
    <n v="0"/>
    <n v="0"/>
    <n v="0"/>
    <n v="0"/>
    <n v="0"/>
    <n v="0"/>
    <n v="0"/>
    <n v="0"/>
    <n v="0"/>
    <n v="0"/>
    <n v="0"/>
    <n v="0"/>
    <n v="0"/>
    <n v="0"/>
    <n v="0"/>
    <n v="0"/>
    <n v="0"/>
    <n v="0"/>
    <n v="0"/>
  </r>
  <r>
    <n v="920"/>
    <d v="2024-10-10T15:22:06"/>
    <d v="2024-10-10T15:23:17"/>
    <s v="tsatumba@lighthouse.org.mw"/>
    <s v="Thomas Satumba"/>
    <x v="10"/>
    <s v="Prototype"/>
    <x v="1"/>
    <s v="COP_23"/>
    <s v="COP_23"/>
    <s v="Quarter3"/>
    <s v="Quarter4"/>
    <s v="Qtr_4"/>
    <x v="9"/>
    <d v="2024-07-01T00:00:00"/>
    <d v="2024-07-31T00:00:00"/>
    <x v="6"/>
    <x v="21"/>
    <n v="0"/>
    <n v="0"/>
    <n v="0"/>
    <n v="0"/>
    <n v="0"/>
    <n v="0"/>
    <n v="0"/>
    <n v="0"/>
    <n v="0"/>
    <n v="0"/>
    <n v="0"/>
    <n v="0"/>
    <n v="0"/>
    <n v="0"/>
    <n v="0"/>
    <n v="0"/>
    <n v="0"/>
    <n v="0"/>
    <n v="0"/>
    <n v="0"/>
    <n v="0"/>
  </r>
  <r>
    <n v="921"/>
    <d v="2024-10-10T15:23:20"/>
    <d v="2024-10-10T15:24:43"/>
    <s v="tsatumba@lighthouse.org.mw"/>
    <s v="Thomas Satumba"/>
    <x v="10"/>
    <s v="Prototype"/>
    <x v="1"/>
    <s v="COP_23"/>
    <s v="COP_23"/>
    <s v="Quarter3"/>
    <s v="Quarter4"/>
    <s v="Qtr_4"/>
    <x v="10"/>
    <d v="2024-08-01T00:00:00"/>
    <d v="2024-08-31T00:00:00"/>
    <x v="6"/>
    <x v="21"/>
    <n v="0"/>
    <n v="0"/>
    <n v="0"/>
    <n v="0"/>
    <n v="0"/>
    <n v="0"/>
    <n v="0"/>
    <n v="0"/>
    <n v="0"/>
    <n v="0"/>
    <n v="0"/>
    <n v="0"/>
    <n v="0"/>
    <n v="0"/>
    <n v="0"/>
    <n v="0"/>
    <n v="0"/>
    <n v="0"/>
    <n v="0"/>
    <n v="0"/>
    <n v="0"/>
  </r>
  <r>
    <n v="922"/>
    <d v="2024-10-10T15:24:46"/>
    <d v="2024-10-10T15:25:56"/>
    <s v="tsatumba@lighthouse.org.mw"/>
    <s v="Thomas Satumba"/>
    <x v="10"/>
    <s v="Prototype"/>
    <x v="1"/>
    <s v="COP_23"/>
    <s v="COP_23"/>
    <s v="Quarter3"/>
    <s v="Quarter4"/>
    <s v="Qtr_4"/>
    <x v="2"/>
    <d v="2024-09-01T00:00:00"/>
    <d v="2024-09-30T00:00:00"/>
    <x v="6"/>
    <x v="21"/>
    <n v="0"/>
    <n v="0"/>
    <n v="0"/>
    <n v="0"/>
    <n v="0"/>
    <n v="0"/>
    <n v="0"/>
    <n v="0"/>
    <n v="0"/>
    <n v="0"/>
    <n v="0"/>
    <n v="0"/>
    <n v="0"/>
    <n v="0"/>
    <n v="0"/>
    <n v="0"/>
    <n v="0"/>
    <n v="0"/>
    <n v="0"/>
    <n v="0"/>
    <n v="0"/>
  </r>
  <r>
    <n v="947"/>
    <d v="2024-10-17T13:30:26"/>
    <d v="2024-10-17T13:32:27"/>
    <s v="tsatumba@lighthouse.org.mw"/>
    <s v="Thomas Satumba"/>
    <x v="10"/>
    <s v="Prototype"/>
    <x v="1"/>
    <s v="COP_23"/>
    <s v="COP_23"/>
    <s v="Quarter3"/>
    <s v="Quarter4"/>
    <s v="Qtr_4"/>
    <x v="10"/>
    <d v="2024-08-01T00:00:00"/>
    <d v="2024-08-31T00:00:00"/>
    <x v="4"/>
    <x v="18"/>
    <n v="0"/>
    <n v="0"/>
    <n v="0"/>
    <n v="1"/>
    <n v="0"/>
    <n v="1"/>
    <n v="1"/>
    <n v="0"/>
    <n v="0"/>
    <n v="0"/>
    <n v="0"/>
    <n v="0"/>
    <n v="0"/>
    <n v="0"/>
    <n v="0"/>
    <n v="0"/>
    <n v="0"/>
    <n v="0"/>
    <n v="0"/>
    <n v="0"/>
    <n v="0"/>
  </r>
  <r>
    <n v="948"/>
    <d v="2024-10-17T13:32:32"/>
    <d v="2024-10-17T13:34:11"/>
    <s v="tsatumba@lighthouse.org.mw"/>
    <s v="Thomas Satumba"/>
    <x v="10"/>
    <s v="Prototype"/>
    <x v="1"/>
    <s v="COP_23"/>
    <s v="COP_23"/>
    <s v="Quarter3"/>
    <s v="Quarter4"/>
    <s v="Qtr_4"/>
    <x v="2"/>
    <d v="2024-09-01T00:00:00"/>
    <d v="2024-09-30T00:00:00"/>
    <x v="4"/>
    <x v="18"/>
    <n v="0"/>
    <n v="0"/>
    <n v="1"/>
    <n v="0"/>
    <n v="0"/>
    <n v="0"/>
    <n v="0"/>
    <n v="0"/>
    <n v="0"/>
    <n v="0"/>
    <n v="0"/>
    <n v="0"/>
    <n v="0"/>
    <n v="0"/>
    <n v="0"/>
    <n v="0"/>
    <n v="0"/>
    <n v="0"/>
    <n v="0"/>
    <n v="0"/>
    <n v="0"/>
  </r>
  <r>
    <n v="949"/>
    <d v="2024-10-17T13:35:33"/>
    <d v="2024-10-17T13:38:18"/>
    <s v="tsatumba@lighthouse.org.mw"/>
    <s v="Thomas Satumba"/>
    <x v="10"/>
    <s v="Prototype"/>
    <x v="1"/>
    <s v="COP_23"/>
    <s v="COP_23"/>
    <s v="Quarter3"/>
    <s v="Quarter4"/>
    <s v="Qtr_4"/>
    <x v="2"/>
    <d v="2024-09-01T00:00:00"/>
    <d v="2024-09-30T00:00:00"/>
    <x v="5"/>
    <x v="37"/>
    <n v="0"/>
    <n v="5"/>
    <n v="0"/>
    <n v="1"/>
    <n v="0"/>
    <n v="6"/>
    <n v="2"/>
    <n v="2"/>
    <n v="0"/>
    <n v="0"/>
    <n v="0"/>
    <n v="2"/>
    <n v="0"/>
    <n v="0"/>
    <n v="0"/>
    <n v="0"/>
    <n v="0"/>
    <n v="0"/>
    <n v="0"/>
    <n v="0"/>
    <n v="0"/>
  </r>
  <r>
    <n v="986"/>
    <d v="2024-10-24T11:05:30"/>
    <d v="2024-10-24T11:06:50"/>
    <s v="tsatumba@lighthouse.org.mw"/>
    <s v="Thomas Satumba"/>
    <x v="10"/>
    <s v="Prototype"/>
    <x v="1"/>
    <s v="COP_23"/>
    <s v="COP_23"/>
    <s v="Quarter3"/>
    <s v="Quarter4"/>
    <s v="Qtr_4"/>
    <x v="10"/>
    <d v="2024-08-01T00:00:00"/>
    <d v="2024-08-31T00:00:00"/>
    <x v="5"/>
    <x v="21"/>
    <n v="0"/>
    <n v="0"/>
    <n v="0"/>
    <n v="0"/>
    <n v="0"/>
    <n v="0"/>
    <n v="0"/>
    <n v="0"/>
    <n v="0"/>
    <n v="0"/>
    <n v="0"/>
    <n v="0"/>
    <n v="0"/>
    <n v="0"/>
    <n v="0"/>
    <n v="0"/>
    <n v="0"/>
    <n v="0"/>
    <n v="0"/>
    <n v="0"/>
    <n v="0"/>
  </r>
  <r>
    <n v="987"/>
    <d v="2024-10-24T11:06:53"/>
    <d v="2024-10-24T11:07:53"/>
    <s v="tsatumba@lighthouse.org.mw"/>
    <s v="Thomas Satumba"/>
    <x v="10"/>
    <s v="Prototype"/>
    <x v="1"/>
    <s v="COP_23"/>
    <s v="COP_23"/>
    <s v="Quarter3"/>
    <s v="Quarter4"/>
    <s v="Qtr_4"/>
    <x v="9"/>
    <d v="2024-07-01T00:00:00"/>
    <d v="2024-07-31T00:00:00"/>
    <x v="5"/>
    <x v="21"/>
    <n v="0"/>
    <n v="0"/>
    <n v="0"/>
    <n v="0"/>
    <n v="0"/>
    <n v="0"/>
    <n v="0"/>
    <n v="0"/>
    <n v="0"/>
    <n v="0"/>
    <n v="0"/>
    <n v="0"/>
    <n v="0"/>
    <n v="0"/>
    <n v="0"/>
    <n v="0"/>
    <n v="0"/>
    <n v="0"/>
    <n v="0"/>
    <n v="0"/>
    <n v="0"/>
  </r>
  <r>
    <n v="1110"/>
    <d v="2024-12-06T09:32:31"/>
    <d v="2024-12-06T09:37:33"/>
    <s v="tsatumba@lighthouse.org.mw"/>
    <s v="Thomas Satumba"/>
    <x v="10"/>
    <s v="Prototype"/>
    <x v="1"/>
    <s v="COP_24"/>
    <s v="COP_24"/>
    <s v="Quarter4"/>
    <s v="Quarter1"/>
    <s v="Qtr_1"/>
    <x v="0"/>
    <d v="2024-10-01T00:00:00"/>
    <d v="2024-10-31T00:00:00"/>
    <x v="0"/>
    <x v="23"/>
    <n v="0"/>
    <n v="13"/>
    <n v="0"/>
    <n v="0"/>
    <n v="0"/>
    <n v="0"/>
    <n v="0"/>
    <n v="0"/>
    <n v="0"/>
    <n v="0"/>
    <n v="0"/>
    <n v="3"/>
    <n v="0"/>
    <n v="0"/>
    <n v="0"/>
    <n v="0"/>
    <n v="0"/>
    <n v="0"/>
    <n v="0"/>
    <n v="0"/>
    <n v="0"/>
  </r>
  <r>
    <n v="1111"/>
    <d v="2024-12-06T09:37:56"/>
    <d v="2024-12-06T09:40:10"/>
    <s v="tsatumba@lighthouse.org.mw"/>
    <s v="Thomas Satumba"/>
    <x v="10"/>
    <s v="Prototype"/>
    <x v="1"/>
    <s v="COP_24"/>
    <s v="COP_24"/>
    <s v="Quarter4"/>
    <s v="Quarter1"/>
    <s v="Qtr_1"/>
    <x v="1"/>
    <d v="2024-11-01T00:00:00"/>
    <d v="2024-11-30T00:00:00"/>
    <x v="0"/>
    <x v="16"/>
    <n v="1"/>
    <n v="12"/>
    <n v="2"/>
    <n v="4"/>
    <n v="0"/>
    <n v="0"/>
    <n v="0"/>
    <n v="0"/>
    <n v="0"/>
    <n v="0"/>
    <n v="0"/>
    <n v="7"/>
    <n v="0"/>
    <n v="0"/>
    <n v="0"/>
    <n v="0"/>
    <n v="0"/>
    <n v="0"/>
    <n v="0"/>
    <n v="0"/>
    <n v="0"/>
  </r>
  <r>
    <n v="1239"/>
    <d v="2025-01-13T13:04:51"/>
    <d v="2025-01-13T13:12:07"/>
    <s v="tsatumba@lighthouse.org.mw"/>
    <s v="Thomas Satumba"/>
    <x v="10"/>
    <s v="Prototype"/>
    <x v="1"/>
    <s v="COP_24"/>
    <s v="COP_24"/>
    <s v="Quarter4"/>
    <s v="Quarter1"/>
    <s v="Qtr_1"/>
    <x v="11"/>
    <d v="2024-12-01T00:00:00"/>
    <d v="2024-12-31T00:00:00"/>
    <x v="0"/>
    <x v="23"/>
    <n v="0"/>
    <n v="9"/>
    <n v="1"/>
    <n v="3"/>
    <n v="0"/>
    <n v="8"/>
    <n v="3"/>
    <n v="6"/>
    <n v="0"/>
    <n v="0"/>
    <n v="0"/>
    <n v="5"/>
    <n v="0"/>
    <n v="0"/>
    <n v="0"/>
    <n v="0"/>
    <n v="0"/>
    <n v="0"/>
    <n v="0"/>
    <n v="0"/>
    <n v="0"/>
  </r>
  <r>
    <n v="1240"/>
    <d v="2025-01-13T13:13:50"/>
    <d v="2025-01-13T13:17:47"/>
    <s v="tsatumba@lighthouse.org.mw"/>
    <s v="Thomas Satumba"/>
    <x v="10"/>
    <s v="Prototype"/>
    <x v="1"/>
    <s v="COP_24"/>
    <s v="COP_24"/>
    <s v="Quarter4"/>
    <s v="Quarter1"/>
    <s v="Qtr_1"/>
    <x v="11"/>
    <d v="2024-12-01T00:00:00"/>
    <d v="2024-12-31T00:00:00"/>
    <x v="1"/>
    <x v="25"/>
    <n v="0"/>
    <n v="6"/>
    <n v="1"/>
    <n v="2"/>
    <n v="0"/>
    <n v="8"/>
    <n v="3"/>
    <n v="5"/>
    <n v="0"/>
    <n v="0"/>
    <n v="0"/>
    <n v="3"/>
    <n v="0"/>
    <n v="0"/>
    <n v="0"/>
    <n v="0"/>
    <n v="0"/>
    <n v="0"/>
    <n v="0"/>
    <n v="0"/>
    <n v="0"/>
  </r>
  <r>
    <n v="1241"/>
    <d v="2025-01-13T13:18:43"/>
    <d v="2025-01-13T13:20:31"/>
    <s v="tsatumba@lighthouse.org.mw"/>
    <s v="Thomas Satumba"/>
    <x v="10"/>
    <s v="Prototype"/>
    <x v="1"/>
    <s v="COP_24"/>
    <s v="COP_24"/>
    <s v="Quarter4"/>
    <s v="Quarter1"/>
    <s v="Qtr_1"/>
    <x v="11"/>
    <d v="2024-12-01T00:00:00"/>
    <d v="2024-12-31T00:00:00"/>
    <x v="4"/>
    <x v="21"/>
    <n v="0"/>
    <n v="0"/>
    <n v="0"/>
    <n v="0"/>
    <n v="0"/>
    <n v="0"/>
    <n v="0"/>
    <n v="0"/>
    <n v="0"/>
    <n v="0"/>
    <n v="0"/>
    <n v="0"/>
    <n v="0"/>
    <n v="0"/>
    <n v="0"/>
    <n v="0"/>
    <n v="0"/>
    <n v="0"/>
    <n v="0"/>
    <n v="0"/>
    <n v="0"/>
  </r>
  <r>
    <n v="1242"/>
    <d v="2025-01-13T13:20:49"/>
    <d v="2025-01-13T13:24:42"/>
    <s v="tsatumba@lighthouse.org.mw"/>
    <s v="Thomas Satumba"/>
    <x v="10"/>
    <s v="Prototype"/>
    <x v="1"/>
    <s v="COP_24"/>
    <s v="COP_24"/>
    <s v="Quarter4"/>
    <s v="Quarter1"/>
    <s v="Qtr_1"/>
    <x v="11"/>
    <d v="2024-12-01T00:00:00"/>
    <d v="2024-12-31T00:00:00"/>
    <x v="3"/>
    <x v="18"/>
    <n v="0"/>
    <n v="1"/>
    <n v="0"/>
    <n v="0"/>
    <n v="0"/>
    <n v="0"/>
    <n v="0"/>
    <n v="0"/>
    <n v="0"/>
    <n v="0"/>
    <n v="0"/>
    <n v="0"/>
    <n v="0"/>
    <n v="0"/>
    <n v="0"/>
    <n v="0"/>
    <n v="0"/>
    <n v="0"/>
    <n v="0"/>
    <n v="0"/>
    <n v="0"/>
  </r>
  <r>
    <n v="1243"/>
    <d v="2025-01-13T13:25:10"/>
    <d v="2025-01-13T13:26:50"/>
    <s v="tsatumba@lighthouse.org.mw"/>
    <s v="Thomas Satumba"/>
    <x v="10"/>
    <s v="Prototype"/>
    <x v="1"/>
    <s v="COP_24"/>
    <s v="COP_24"/>
    <s v="Quarter4"/>
    <s v="Quarter1"/>
    <s v="Qtr_1"/>
    <x v="11"/>
    <d v="2024-12-01T00:00:00"/>
    <d v="2024-12-31T00:00:00"/>
    <x v="5"/>
    <x v="21"/>
    <n v="0"/>
    <n v="0"/>
    <n v="0"/>
    <n v="0"/>
    <n v="0"/>
    <n v="0"/>
    <n v="0"/>
    <n v="0"/>
    <n v="0"/>
    <n v="0"/>
    <n v="0"/>
    <n v="0"/>
    <n v="0"/>
    <n v="0"/>
    <n v="0"/>
    <n v="0"/>
    <n v="0"/>
    <n v="0"/>
    <n v="0"/>
    <n v="0"/>
    <n v="0"/>
  </r>
  <r>
    <n v="1245"/>
    <d v="2025-01-13T13:27:00"/>
    <d v="2025-01-13T13:28:47"/>
    <s v="tsatumba@lighthouse.org.mw"/>
    <s v="Thomas Satumba"/>
    <x v="10"/>
    <s v="Prototype"/>
    <x v="1"/>
    <s v="COP_24"/>
    <s v="COP_24"/>
    <s v="Quarter4"/>
    <s v="Quarter1"/>
    <s v="Qtr_1"/>
    <x v="11"/>
    <d v="2024-12-01T00:00:00"/>
    <d v="2024-12-31T00:00:00"/>
    <x v="6"/>
    <x v="21"/>
    <n v="0"/>
    <n v="0"/>
    <n v="0"/>
    <n v="0"/>
    <n v="0"/>
    <n v="0"/>
    <n v="0"/>
    <n v="0"/>
    <n v="0"/>
    <n v="0"/>
    <n v="0"/>
    <n v="0"/>
    <n v="0"/>
    <n v="0"/>
    <n v="0"/>
    <n v="0"/>
    <n v="0"/>
    <n v="0"/>
    <n v="0"/>
    <n v="0"/>
    <n v="0"/>
  </r>
  <r>
    <n v="1246"/>
    <d v="2025-01-13T13:30:00"/>
    <d v="2025-01-13T13:32:49"/>
    <s v="tsatumba@lighthouse.org.mw"/>
    <s v="Thomas Satumba"/>
    <x v="10"/>
    <s v="Prototype"/>
    <x v="1"/>
    <s v="COP_24"/>
    <s v="COP_24"/>
    <s v="Quarter4"/>
    <s v="Quarter1"/>
    <s v="Qtr_1"/>
    <x v="1"/>
    <d v="2024-11-01T00:00:00"/>
    <d v="2024-11-30T00:00:00"/>
    <x v="3"/>
    <x v="18"/>
    <n v="0"/>
    <n v="1"/>
    <n v="0"/>
    <n v="0"/>
    <n v="0"/>
    <n v="0"/>
    <n v="0"/>
    <n v="0"/>
    <n v="0"/>
    <n v="0"/>
    <n v="0"/>
    <n v="0"/>
    <n v="0"/>
    <n v="0"/>
    <n v="0"/>
    <n v="0"/>
    <n v="0"/>
    <n v="0"/>
    <n v="0"/>
    <n v="0"/>
    <n v="0"/>
  </r>
  <r>
    <n v="1247"/>
    <d v="2025-01-13T13:33:02"/>
    <d v="2025-01-13T13:37:00"/>
    <s v="tsatumba@lighthouse.org.mw"/>
    <s v="Thomas Satumba"/>
    <x v="10"/>
    <s v="Prototype"/>
    <x v="1"/>
    <s v="COP_24"/>
    <s v="COP_24"/>
    <s v="Quarter4"/>
    <s v="Quarter1"/>
    <s v="Qtr_1"/>
    <x v="1"/>
    <d v="2024-11-01T00:00:00"/>
    <d v="2024-11-30T00:00:00"/>
    <x v="4"/>
    <x v="18"/>
    <n v="0"/>
    <n v="0"/>
    <n v="1"/>
    <n v="0"/>
    <n v="0"/>
    <n v="0"/>
    <n v="0"/>
    <n v="0"/>
    <n v="0"/>
    <n v="0"/>
    <n v="0"/>
    <n v="0"/>
    <n v="0"/>
    <n v="0"/>
    <n v="0"/>
    <n v="0"/>
    <n v="0"/>
    <n v="0"/>
    <n v="0"/>
    <n v="0"/>
    <n v="0"/>
  </r>
  <r>
    <n v="1248"/>
    <d v="2025-01-13T13:37:17"/>
    <d v="2025-01-13T13:39:19"/>
    <s v="tsatumba@lighthouse.org.mw"/>
    <s v="Thomas Satumba"/>
    <x v="10"/>
    <s v="Prototype"/>
    <x v="1"/>
    <s v="COP_24"/>
    <s v="COP_24"/>
    <s v="Quarter4"/>
    <s v="Quarter1"/>
    <s v="Qtr_1"/>
    <x v="1"/>
    <d v="2024-11-01T00:00:00"/>
    <d v="2024-11-30T00:00:00"/>
    <x v="1"/>
    <x v="23"/>
    <n v="0"/>
    <n v="10"/>
    <n v="0"/>
    <n v="0"/>
    <n v="0"/>
    <n v="0"/>
    <n v="0"/>
    <n v="0"/>
    <n v="0"/>
    <n v="0"/>
    <n v="0"/>
    <n v="0"/>
    <n v="0"/>
    <n v="0"/>
    <n v="0"/>
    <n v="0"/>
    <n v="0"/>
    <n v="0"/>
    <n v="0"/>
    <n v="0"/>
    <n v="0"/>
  </r>
  <r>
    <n v="1250"/>
    <d v="2025-01-13T13:40:58"/>
    <d v="2025-01-13T13:43:09"/>
    <s v="tsatumba@lighthouse.org.mw"/>
    <s v="Thomas Satumba"/>
    <x v="10"/>
    <s v="Prototype"/>
    <x v="1"/>
    <s v="COP_24"/>
    <s v="COP_24"/>
    <s v="Quarter4"/>
    <s v="Quarter1"/>
    <s v="Qtr_1"/>
    <x v="1"/>
    <d v="2024-11-01T00:00:00"/>
    <d v="2024-11-30T00:00:00"/>
    <x v="2"/>
    <x v="21"/>
    <n v="0"/>
    <n v="0"/>
    <n v="0"/>
    <n v="0"/>
    <n v="0"/>
    <n v="0"/>
    <n v="0"/>
    <n v="0"/>
    <n v="0"/>
    <n v="0"/>
    <n v="0"/>
    <n v="0"/>
    <n v="0"/>
    <n v="0"/>
    <n v="0"/>
    <n v="0"/>
    <n v="0"/>
    <n v="0"/>
    <n v="0"/>
    <n v="0"/>
    <n v="0"/>
  </r>
  <r>
    <n v="1251"/>
    <d v="2025-01-13T13:43:53"/>
    <d v="2025-01-13T13:45:05"/>
    <s v="tsatumba@lighthouse.org.mw"/>
    <s v="Thomas Satumba"/>
    <x v="10"/>
    <s v="Prototype"/>
    <x v="1"/>
    <s v="COP_24"/>
    <s v="COP_24"/>
    <s v="Quarter4"/>
    <s v="Quarter1"/>
    <s v="Qtr_1"/>
    <x v="1"/>
    <d v="2024-11-01T00:00:00"/>
    <d v="2024-11-30T00:00:00"/>
    <x v="6"/>
    <x v="21"/>
    <n v="0"/>
    <n v="0"/>
    <n v="0"/>
    <n v="0"/>
    <n v="0"/>
    <n v="0"/>
    <n v="0"/>
    <n v="0"/>
    <n v="0"/>
    <n v="0"/>
    <n v="0"/>
    <n v="0"/>
    <n v="0"/>
    <n v="0"/>
    <n v="0"/>
    <n v="0"/>
    <n v="0"/>
    <n v="0"/>
    <n v="0"/>
    <n v="0"/>
    <n v="0"/>
  </r>
  <r>
    <n v="1256"/>
    <d v="2025-01-13T13:51:45"/>
    <d v="2025-01-13T13:54:44"/>
    <s v="tsatumba@lighthouse.org.mw"/>
    <s v="Thomas Satumba"/>
    <x v="10"/>
    <s v="Prototype"/>
    <x v="1"/>
    <s v="COP_24"/>
    <s v="COP_24"/>
    <s v="Quarter4"/>
    <s v="Quarter1"/>
    <s v="Qtr_1"/>
    <x v="0"/>
    <d v="2024-10-01T00:00:00"/>
    <d v="2024-10-31T00:00:00"/>
    <x v="1"/>
    <x v="42"/>
    <n v="0"/>
    <n v="10"/>
    <n v="0"/>
    <n v="2"/>
    <n v="0"/>
    <n v="0"/>
    <n v="0"/>
    <n v="2"/>
    <n v="0"/>
    <n v="0"/>
    <n v="0"/>
    <n v="2"/>
    <n v="0"/>
    <n v="0"/>
    <n v="0"/>
    <n v="0"/>
    <n v="0"/>
    <n v="0"/>
    <n v="0"/>
    <n v="0"/>
    <n v="0"/>
  </r>
  <r>
    <n v="1257"/>
    <d v="2025-01-13T13:55:54"/>
    <d v="2025-01-13T13:57:03"/>
    <s v="tsatumba@lighthouse.org.mw"/>
    <s v="Thomas Satumba"/>
    <x v="10"/>
    <s v="Prototype"/>
    <x v="1"/>
    <s v="COP_24"/>
    <s v="COP_24"/>
    <s v="Quarter4"/>
    <s v="Quarter1"/>
    <s v="Qtr_1"/>
    <x v="0"/>
    <d v="2024-10-01T00:00:00"/>
    <d v="2024-10-31T00:00:00"/>
    <x v="4"/>
    <x v="21"/>
    <n v="0"/>
    <n v="0"/>
    <n v="0"/>
    <n v="0"/>
    <n v="0"/>
    <n v="0"/>
    <n v="0"/>
    <n v="0"/>
    <n v="0"/>
    <n v="0"/>
    <n v="0"/>
    <n v="0"/>
    <n v="0"/>
    <n v="0"/>
    <n v="0"/>
    <n v="0"/>
    <n v="0"/>
    <n v="0"/>
    <n v="0"/>
    <n v="0"/>
    <n v="0"/>
  </r>
  <r>
    <n v="1258"/>
    <d v="2025-01-13T13:57:18"/>
    <d v="2025-01-13T13:58:25"/>
    <s v="tsatumba@lighthouse.org.mw"/>
    <s v="Thomas Satumba"/>
    <x v="10"/>
    <s v="Prototype"/>
    <x v="1"/>
    <s v="COP_24"/>
    <s v="COP_24"/>
    <s v="Quarter4"/>
    <s v="Quarter1"/>
    <s v="Qtr_1"/>
    <x v="0"/>
    <d v="2024-10-01T00:00:00"/>
    <d v="2024-10-31T00:00:00"/>
    <x v="3"/>
    <x v="21"/>
    <n v="0"/>
    <n v="0"/>
    <n v="0"/>
    <n v="0"/>
    <n v="0"/>
    <n v="0"/>
    <n v="0"/>
    <n v="0"/>
    <n v="0"/>
    <n v="0"/>
    <n v="0"/>
    <n v="0"/>
    <n v="0"/>
    <n v="0"/>
    <n v="0"/>
    <n v="0"/>
    <n v="0"/>
    <n v="0"/>
    <n v="0"/>
    <n v="0"/>
    <n v="0"/>
  </r>
  <r>
    <n v="1259"/>
    <d v="2025-01-13T13:58:29"/>
    <d v="2025-01-13T13:59:45"/>
    <s v="tsatumba@lighthouse.org.mw"/>
    <s v="Thomas Satumba"/>
    <x v="10"/>
    <s v="Prototype"/>
    <x v="1"/>
    <s v="COP_24"/>
    <s v="COP_24"/>
    <s v="Quarter4"/>
    <s v="Quarter1"/>
    <s v="Qtr_1"/>
    <x v="0"/>
    <d v="2024-10-01T00:00:00"/>
    <d v="2024-10-31T00:00:00"/>
    <x v="5"/>
    <x v="21"/>
    <n v="0"/>
    <n v="0"/>
    <n v="0"/>
    <n v="0"/>
    <n v="0"/>
    <n v="0"/>
    <n v="0"/>
    <n v="0"/>
    <n v="0"/>
    <n v="0"/>
    <n v="0"/>
    <n v="0"/>
    <n v="0"/>
    <n v="0"/>
    <n v="0"/>
    <n v="0"/>
    <n v="0"/>
    <n v="0"/>
    <n v="0"/>
    <n v="0"/>
    <n v="0"/>
  </r>
  <r>
    <n v="1260"/>
    <d v="2025-01-13T13:59:48"/>
    <d v="2025-01-13T14:00:56"/>
    <s v="tsatumba@lighthouse.org.mw"/>
    <s v="Thomas Satumba"/>
    <x v="10"/>
    <s v="Prototype"/>
    <x v="1"/>
    <s v="COP_24"/>
    <s v="COP_24"/>
    <s v="Quarter4"/>
    <s v="Quarter1"/>
    <s v="Qtr_1"/>
    <x v="0"/>
    <d v="2024-10-01T00:00:00"/>
    <d v="2024-10-31T00:00:00"/>
    <x v="6"/>
    <x v="21"/>
    <n v="0"/>
    <n v="0"/>
    <n v="0"/>
    <n v="0"/>
    <n v="0"/>
    <n v="0"/>
    <n v="0"/>
    <n v="0"/>
    <n v="0"/>
    <n v="0"/>
    <n v="0"/>
    <n v="0"/>
    <n v="0"/>
    <n v="0"/>
    <n v="0"/>
    <n v="0"/>
    <n v="0"/>
    <n v="0"/>
    <n v="0"/>
    <n v="0"/>
    <n v="0"/>
  </r>
  <r>
    <n v="1379"/>
    <d v="2025-03-07T19:52:42"/>
    <d v="2025-03-07T20:20:41"/>
    <s v="tsatumba@lighthouse.org.mw"/>
    <s v="Thomas Satumba"/>
    <x v="10"/>
    <s v="Prototype"/>
    <x v="2"/>
    <s v="COP_24"/>
    <s v="COP_24"/>
    <s v="Quarter1"/>
    <s v="Quarter2"/>
    <s v="Qtr_2"/>
    <x v="4"/>
    <d v="2025-01-01T00:00:00"/>
    <d v="2025-01-31T00:00:00"/>
    <x v="0"/>
    <x v="31"/>
    <n v="0"/>
    <n v="4"/>
    <n v="1"/>
    <n v="2"/>
    <n v="0"/>
    <n v="6"/>
    <n v="4"/>
    <n v="4"/>
    <n v="1"/>
    <n v="0"/>
    <n v="0"/>
    <n v="4"/>
    <n v="0"/>
    <n v="1"/>
    <n v="1"/>
    <n v="1"/>
    <n v="1"/>
    <n v="0"/>
    <n v="0"/>
    <n v="1"/>
    <n v="0"/>
  </r>
  <r>
    <n v="1380"/>
    <d v="2025-03-07T20:22:25"/>
    <d v="2025-03-07T20:31:44"/>
    <s v="tsatumba@lighthouse.org.mw"/>
    <s v="Thomas Satumba"/>
    <x v="10"/>
    <s v="Prototype"/>
    <x v="2"/>
    <s v="COP_24"/>
    <s v="COP_24"/>
    <s v="Quarter1"/>
    <s v="Quarter2"/>
    <s v="Qtr_2"/>
    <x v="4"/>
    <d v="2025-01-01T00:00:00"/>
    <d v="2025-01-31T00:00:00"/>
    <x v="1"/>
    <x v="54"/>
    <n v="0"/>
    <n v="2"/>
    <n v="1"/>
    <n v="1"/>
    <n v="0"/>
    <n v="4"/>
    <n v="3"/>
    <n v="3"/>
    <n v="1"/>
    <n v="0"/>
    <n v="0"/>
    <n v="3"/>
    <n v="0"/>
    <n v="0"/>
    <n v="0"/>
    <n v="0"/>
    <n v="0"/>
    <n v="0"/>
    <n v="0"/>
    <n v="0"/>
    <n v="0"/>
  </r>
  <r>
    <n v="1381"/>
    <d v="2025-03-07T20:34:02"/>
    <d v="2025-03-07T20:38:22"/>
    <s v="tsatumba@lighthouse.org.mw"/>
    <s v="Thomas Satumba"/>
    <x v="10"/>
    <s v="Prototype"/>
    <x v="2"/>
    <s v="COP_24"/>
    <s v="COP_24"/>
    <s v="Quarter1"/>
    <s v="Quarter2"/>
    <s v="Qtr_2"/>
    <x v="4"/>
    <d v="2025-01-01T00:00:00"/>
    <d v="2025-01-31T00:00:00"/>
    <x v="3"/>
    <x v="21"/>
    <n v="0"/>
    <n v="0"/>
    <n v="0"/>
    <n v="0"/>
    <n v="0"/>
    <n v="0"/>
    <n v="0"/>
    <n v="0"/>
    <n v="0"/>
    <n v="0"/>
    <n v="0"/>
    <n v="0"/>
    <n v="0"/>
    <n v="0"/>
    <n v="0"/>
    <n v="0"/>
    <n v="0"/>
    <n v="0"/>
    <n v="0"/>
    <n v="0"/>
    <n v="0"/>
  </r>
  <r>
    <n v="1382"/>
    <d v="2025-03-07T20:38:32"/>
    <d v="2025-03-07T20:39:44"/>
    <s v="tsatumba@lighthouse.org.mw"/>
    <s v="Thomas Satumba"/>
    <x v="10"/>
    <s v="Prototype"/>
    <x v="2"/>
    <s v="COP_24"/>
    <s v="COP_24"/>
    <s v="Quarter1"/>
    <s v="Quarter2"/>
    <s v="Qtr_2"/>
    <x v="4"/>
    <d v="2025-01-01T00:00:00"/>
    <d v="2025-01-31T00:00:00"/>
    <x v="4"/>
    <x v="21"/>
    <n v="0"/>
    <n v="0"/>
    <n v="0"/>
    <n v="0"/>
    <n v="0"/>
    <n v="0"/>
    <n v="0"/>
    <n v="0"/>
    <n v="0"/>
    <n v="0"/>
    <n v="0"/>
    <n v="0"/>
    <n v="0"/>
    <n v="0"/>
    <n v="0"/>
    <n v="0"/>
    <n v="0"/>
    <n v="0"/>
    <n v="0"/>
    <n v="0"/>
    <n v="0"/>
  </r>
  <r>
    <n v="1383"/>
    <d v="2025-03-07T20:40:12"/>
    <d v="2025-03-07T20:43:27"/>
    <s v="tsatumba@lighthouse.org.mw"/>
    <s v="Thomas Satumba"/>
    <x v="10"/>
    <s v="Prototype"/>
    <x v="2"/>
    <s v="COP_24"/>
    <s v="COP_24"/>
    <s v="Quarter1"/>
    <s v="Quarter2"/>
    <s v="Qtr_2"/>
    <x v="4"/>
    <d v="2025-01-01T00:00:00"/>
    <d v="2025-01-31T00:00:00"/>
    <x v="5"/>
    <x v="21"/>
    <n v="0"/>
    <n v="0"/>
    <n v="0"/>
    <n v="0"/>
    <n v="0"/>
    <n v="0"/>
    <n v="0"/>
    <n v="0"/>
    <n v="0"/>
    <n v="0"/>
    <n v="0"/>
    <n v="0"/>
    <n v="0"/>
    <n v="0"/>
    <n v="0"/>
    <n v="0"/>
    <n v="0"/>
    <n v="0"/>
    <n v="0"/>
    <n v="0"/>
    <n v="0"/>
  </r>
  <r>
    <n v="1384"/>
    <d v="2025-03-07T20:44:11"/>
    <d v="2025-03-07T20:46:45"/>
    <s v="tsatumba@lighthouse.org.mw"/>
    <s v="Thomas Satumba"/>
    <x v="10"/>
    <s v="Prototype"/>
    <x v="2"/>
    <s v="COP_24"/>
    <s v="COP_24"/>
    <s v="Quarter1"/>
    <s v="Quarter2"/>
    <s v="Qtr_2"/>
    <x v="4"/>
    <d v="2025-01-01T00:00:00"/>
    <d v="2025-01-31T00:00:00"/>
    <x v="2"/>
    <x v="21"/>
    <n v="0"/>
    <n v="0"/>
    <n v="0"/>
    <n v="0"/>
    <n v="0"/>
    <n v="0"/>
    <n v="0"/>
    <n v="0"/>
    <n v="0"/>
    <n v="0"/>
    <n v="0"/>
    <n v="0"/>
    <n v="0"/>
    <n v="0"/>
    <n v="0"/>
    <n v="0"/>
    <n v="0"/>
    <n v="0"/>
    <n v="0"/>
    <n v="0"/>
    <n v="0"/>
  </r>
  <r>
    <n v="1385"/>
    <d v="2025-03-07T20:46:54"/>
    <d v="2025-03-07T20:47:58"/>
    <s v="tsatumba@lighthouse.org.mw"/>
    <s v="Thomas Satumba"/>
    <x v="10"/>
    <s v="Prototype"/>
    <x v="2"/>
    <s v="COP_24"/>
    <s v="COP_24"/>
    <s v="Quarter1"/>
    <s v="Quarter2"/>
    <s v="Qtr_2"/>
    <x v="4"/>
    <d v="2025-01-01T00:00:00"/>
    <d v="2025-01-31T00:00:00"/>
    <x v="6"/>
    <x v="21"/>
    <n v="0"/>
    <n v="0"/>
    <n v="0"/>
    <n v="0"/>
    <n v="0"/>
    <n v="0"/>
    <n v="0"/>
    <n v="0"/>
    <n v="0"/>
    <n v="0"/>
    <n v="0"/>
    <n v="0"/>
    <n v="0"/>
    <n v="0"/>
    <n v="0"/>
    <n v="0"/>
    <n v="0"/>
    <n v="0"/>
    <n v="0"/>
    <n v="0"/>
    <n v="0"/>
  </r>
  <r>
    <n v="1386"/>
    <d v="2025-03-07T20:48:27"/>
    <d v="2025-03-07T20:51:48"/>
    <s v="tsatumba@lighthouse.org.mw"/>
    <s v="Thomas Satumba"/>
    <x v="10"/>
    <s v="Prototype"/>
    <x v="2"/>
    <s v="COP_24"/>
    <s v="COP_24"/>
    <s v="Quarter1"/>
    <s v="Quarter2"/>
    <s v="Qtr_2"/>
    <x v="5"/>
    <d v="2025-02-01T00:00:00"/>
    <d v="2025-02-28T00:00:00"/>
    <x v="0"/>
    <x v="39"/>
    <n v="0"/>
    <n v="5"/>
    <n v="0"/>
    <n v="3"/>
    <n v="0"/>
    <n v="3"/>
    <n v="1"/>
    <n v="5"/>
    <n v="0"/>
    <n v="0"/>
    <n v="0"/>
    <n v="5"/>
    <n v="0"/>
    <n v="0"/>
    <n v="0"/>
    <n v="0"/>
    <n v="0"/>
    <n v="0"/>
    <n v="0"/>
    <n v="0"/>
    <n v="0"/>
  </r>
  <r>
    <n v="1387"/>
    <d v="2025-03-07T20:52:19"/>
    <d v="2025-03-07T20:54:49"/>
    <s v="tsatumba@lighthouse.org.mw"/>
    <s v="Thomas Satumba"/>
    <x v="10"/>
    <s v="Prototype"/>
    <x v="2"/>
    <s v="COP_24"/>
    <s v="COP_24"/>
    <s v="Quarter1"/>
    <s v="Quarter2"/>
    <s v="Qtr_2"/>
    <x v="5"/>
    <d v="2025-02-01T00:00:00"/>
    <d v="2025-02-28T00:00:00"/>
    <x v="1"/>
    <x v="37"/>
    <n v="0"/>
    <n v="4"/>
    <n v="0"/>
    <n v="1"/>
    <n v="0"/>
    <n v="3"/>
    <n v="1"/>
    <n v="2"/>
    <n v="0"/>
    <n v="0"/>
    <n v="0"/>
    <n v="2"/>
    <n v="0"/>
    <n v="0"/>
    <n v="0"/>
    <n v="0"/>
    <n v="0"/>
    <n v="0"/>
    <n v="0"/>
    <n v="0"/>
    <n v="0"/>
  </r>
  <r>
    <n v="1388"/>
    <d v="2025-03-07T20:55:39"/>
    <d v="2025-03-07T20:57:22"/>
    <s v="tsatumba@lighthouse.org.mw"/>
    <s v="Thomas Satumba"/>
    <x v="10"/>
    <s v="Prototype"/>
    <x v="2"/>
    <s v="COP_24"/>
    <s v="COP_24"/>
    <s v="Quarter1"/>
    <s v="Quarter2"/>
    <s v="Qtr_2"/>
    <x v="5"/>
    <d v="2025-02-01T00:00:00"/>
    <d v="2025-02-28T00:00:00"/>
    <x v="3"/>
    <x v="18"/>
    <n v="0"/>
    <n v="1"/>
    <n v="0"/>
    <n v="0"/>
    <n v="0"/>
    <n v="0"/>
    <n v="0"/>
    <n v="0"/>
    <n v="0"/>
    <n v="0"/>
    <n v="0"/>
    <n v="0"/>
    <n v="0"/>
    <n v="0"/>
    <n v="0"/>
    <n v="0"/>
    <n v="0"/>
    <n v="0"/>
    <n v="0"/>
    <n v="0"/>
    <n v="0"/>
  </r>
  <r>
    <n v="1389"/>
    <d v="2025-03-07T21:00:35"/>
    <d v="2025-03-07T21:02:35"/>
    <s v="tsatumba@lighthouse.org.mw"/>
    <s v="Thomas Satumba"/>
    <x v="10"/>
    <s v="Prototype"/>
    <x v="2"/>
    <s v="COP_24"/>
    <s v="COP_24"/>
    <s v="Quarter1"/>
    <s v="Quarter2"/>
    <s v="Qtr_2"/>
    <x v="5"/>
    <d v="2025-02-01T00:00:00"/>
    <d v="2025-02-28T00:00:00"/>
    <x v="4"/>
    <x v="21"/>
    <n v="0"/>
    <n v="0"/>
    <n v="0"/>
    <n v="0"/>
    <n v="0"/>
    <n v="0"/>
    <n v="0"/>
    <n v="0"/>
    <n v="0"/>
    <n v="0"/>
    <n v="0"/>
    <n v="0"/>
    <n v="0"/>
    <n v="0"/>
    <n v="0"/>
    <n v="0"/>
    <n v="0"/>
    <n v="0"/>
    <n v="0"/>
    <n v="0"/>
    <n v="0"/>
  </r>
  <r>
    <n v="1390"/>
    <d v="2025-03-07T21:02:38"/>
    <d v="2025-03-07T21:05:04"/>
    <s v="tsatumba@lighthouse.org.mw"/>
    <s v="Thomas Satumba"/>
    <x v="10"/>
    <s v="Prototype"/>
    <x v="2"/>
    <s v="COP_24"/>
    <s v="COP_24"/>
    <s v="Quarter1"/>
    <s v="Quarter2"/>
    <s v="Qtr_2"/>
    <x v="5"/>
    <d v="2025-02-01T00:00:00"/>
    <d v="2025-02-28T00:00:00"/>
    <x v="2"/>
    <x v="21"/>
    <n v="0"/>
    <n v="0"/>
    <n v="0"/>
    <n v="0"/>
    <n v="0"/>
    <n v="0"/>
    <n v="0"/>
    <n v="0"/>
    <n v="0"/>
    <n v="0"/>
    <n v="0"/>
    <n v="0"/>
    <n v="0"/>
    <n v="0"/>
    <n v="0"/>
    <n v="0"/>
    <n v="0"/>
    <n v="0"/>
    <n v="0"/>
    <n v="0"/>
    <n v="0"/>
  </r>
  <r>
    <n v="1391"/>
    <d v="2025-03-07T21:05:09"/>
    <d v="2025-03-07T21:06:40"/>
    <s v="tsatumba@lighthouse.org.mw"/>
    <s v="Thomas Satumba"/>
    <x v="10"/>
    <s v="Prototype"/>
    <x v="2"/>
    <s v="COP_24"/>
    <s v="COP_24"/>
    <s v="Quarter1"/>
    <s v="Quarter2"/>
    <s v="Qtr_2"/>
    <x v="5"/>
    <d v="2025-02-01T00:00:00"/>
    <d v="2025-02-28T00:00:00"/>
    <x v="6"/>
    <x v="21"/>
    <n v="0"/>
    <n v="0"/>
    <n v="0"/>
    <n v="0"/>
    <n v="0"/>
    <n v="0"/>
    <n v="0"/>
    <n v="0"/>
    <n v="0"/>
    <n v="0"/>
    <n v="0"/>
    <n v="0"/>
    <n v="0"/>
    <n v="0"/>
    <n v="0"/>
    <n v="0"/>
    <n v="0"/>
    <n v="0"/>
    <n v="0"/>
    <n v="0"/>
    <n v="0"/>
  </r>
  <r>
    <n v="1431"/>
    <d v="2025-03-18T08:59:34"/>
    <d v="2025-03-18T09:02:23"/>
    <s v="tsatumba@lighthouse.org.mw"/>
    <s v="Thomas Satumba"/>
    <x v="10"/>
    <s v="Prototype"/>
    <x v="2"/>
    <s v="COP_24"/>
    <s v="COP_24"/>
    <s v="Quarter1"/>
    <s v="Quarter2"/>
    <s v="Qtr_2"/>
    <x v="5"/>
    <d v="2025-02-01T00:00:00"/>
    <d v="2025-02-28T00:00:00"/>
    <x v="5"/>
    <x v="49"/>
    <n v="0"/>
    <n v="1"/>
    <n v="0"/>
    <n v="1"/>
    <n v="0"/>
    <n v="0"/>
    <n v="0"/>
    <n v="2"/>
    <n v="0"/>
    <n v="0"/>
    <n v="0"/>
    <n v="2"/>
    <n v="0"/>
    <n v="0"/>
    <n v="0"/>
    <n v="0"/>
    <n v="0"/>
    <n v="0"/>
    <n v="0"/>
    <n v="0"/>
    <n v="0"/>
  </r>
  <r>
    <n v="1535"/>
    <d v="2025-04-15T11:23:48"/>
    <d v="2025-04-15T11:30:15"/>
    <s v="tsatumba@lighthouse.org.mw"/>
    <s v="Thomas Satumba"/>
    <x v="10"/>
    <s v="Prototype"/>
    <x v="2"/>
    <s v="COP_24"/>
    <s v="COP_24"/>
    <s v="Quarter1"/>
    <s v="Quarter2"/>
    <s v="Qtr_2"/>
    <x v="3"/>
    <d v="2025-03-01T00:00:00"/>
    <d v="2025-03-31T00:00:00"/>
    <x v="1"/>
    <x v="25"/>
    <n v="0"/>
    <n v="4"/>
    <n v="0"/>
    <n v="1"/>
    <n v="0"/>
    <n v="5"/>
    <n v="1"/>
    <n v="0"/>
    <n v="0"/>
    <n v="0"/>
    <n v="0"/>
    <n v="1"/>
    <n v="1"/>
    <n v="0"/>
    <n v="0"/>
    <n v="0"/>
    <n v="0"/>
    <n v="0"/>
    <n v="0"/>
    <n v="1"/>
    <n v="0"/>
  </r>
  <r>
    <n v="1536"/>
    <d v="2025-04-15T11:30:34"/>
    <d v="2025-04-15T11:32:20"/>
    <s v="tsatumba@lighthouse.org.mw"/>
    <s v="Thomas Satumba"/>
    <x v="10"/>
    <s v="Prototype"/>
    <x v="2"/>
    <s v="COP_24"/>
    <s v="COP_24"/>
    <s v="Quarter1"/>
    <s v="Quarter2"/>
    <s v="Qtr_2"/>
    <x v="3"/>
    <d v="2025-03-01T00:00:00"/>
    <d v="2025-03-31T00:00:00"/>
    <x v="3"/>
    <x v="21"/>
    <n v="0"/>
    <n v="0"/>
    <n v="0"/>
    <n v="0"/>
    <n v="0"/>
    <n v="0"/>
    <n v="0"/>
    <n v="0"/>
    <n v="0"/>
    <n v="0"/>
    <n v="0"/>
    <n v="0"/>
    <n v="0"/>
    <n v="0"/>
    <n v="0"/>
    <n v="0"/>
    <n v="0"/>
    <n v="0"/>
    <n v="0"/>
    <n v="0"/>
    <n v="0"/>
  </r>
  <r>
    <n v="1537"/>
    <d v="2025-04-15T11:32:26"/>
    <d v="2025-04-15T11:33:32"/>
    <s v="tsatumba@lighthouse.org.mw"/>
    <s v="Thomas Satumba"/>
    <x v="10"/>
    <s v="Prototype"/>
    <x v="2"/>
    <s v="COP_24"/>
    <s v="COP_24"/>
    <s v="Quarter1"/>
    <s v="Quarter2"/>
    <s v="Qtr_2"/>
    <x v="3"/>
    <d v="2025-03-01T00:00:00"/>
    <d v="2025-03-31T00:00:00"/>
    <x v="4"/>
    <x v="21"/>
    <n v="0"/>
    <n v="0"/>
    <n v="0"/>
    <n v="0"/>
    <n v="0"/>
    <n v="0"/>
    <n v="0"/>
    <n v="0"/>
    <n v="0"/>
    <n v="0"/>
    <n v="0"/>
    <n v="0"/>
    <n v="0"/>
    <n v="0"/>
    <n v="0"/>
    <n v="0"/>
    <n v="0"/>
    <n v="0"/>
    <n v="0"/>
    <n v="0"/>
    <n v="0"/>
  </r>
  <r>
    <n v="1538"/>
    <d v="2025-04-15T11:33:35"/>
    <d v="2025-04-15T11:35:11"/>
    <s v="tsatumba@lighthouse.org.mw"/>
    <s v="Thomas Satumba"/>
    <x v="10"/>
    <s v="Prototype"/>
    <x v="2"/>
    <s v="COP_24"/>
    <s v="COP_24"/>
    <s v="Quarter1"/>
    <s v="Quarter2"/>
    <s v="Qtr_2"/>
    <x v="3"/>
    <d v="2025-03-01T00:00:00"/>
    <d v="2025-03-31T00:00:00"/>
    <x v="2"/>
    <x v="21"/>
    <n v="0"/>
    <n v="0"/>
    <n v="0"/>
    <n v="0"/>
    <n v="0"/>
    <n v="0"/>
    <n v="0"/>
    <n v="0"/>
    <n v="0"/>
    <n v="0"/>
    <n v="0"/>
    <n v="0"/>
    <n v="0"/>
    <n v="0"/>
    <n v="0"/>
    <n v="0"/>
    <n v="0"/>
    <n v="0"/>
    <n v="0"/>
    <n v="0"/>
    <n v="0"/>
  </r>
  <r>
    <n v="1539"/>
    <d v="2025-04-15T11:35:14"/>
    <d v="2025-04-15T11:37:14"/>
    <s v="tsatumba@lighthouse.org.mw"/>
    <s v="Thomas Satumba"/>
    <x v="10"/>
    <s v="Prototype"/>
    <x v="2"/>
    <s v="COP_24"/>
    <s v="COP_24"/>
    <s v="Quarter1"/>
    <s v="Quarter2"/>
    <s v="Qtr_2"/>
    <x v="3"/>
    <d v="2025-03-01T00:00:00"/>
    <d v="2025-03-31T00:00:00"/>
    <x v="6"/>
    <x v="21"/>
    <n v="0"/>
    <n v="0"/>
    <n v="0"/>
    <n v="0"/>
    <n v="0"/>
    <n v="0"/>
    <n v="0"/>
    <n v="0"/>
    <n v="0"/>
    <n v="0"/>
    <n v="0"/>
    <n v="0"/>
    <n v="0"/>
    <n v="0"/>
    <n v="0"/>
    <n v="0"/>
    <n v="0"/>
    <n v="0"/>
    <n v="0"/>
    <n v="0"/>
    <n v="0"/>
  </r>
  <r>
    <n v="1540"/>
    <d v="2025-04-15T11:37:17"/>
    <d v="2025-04-15T11:43:05"/>
    <s v="tsatumba@lighthouse.org.mw"/>
    <s v="Thomas Satumba"/>
    <x v="10"/>
    <s v="Prototype"/>
    <x v="2"/>
    <s v="COP_24"/>
    <s v="COP_24"/>
    <s v="Quarter1"/>
    <s v="Quarter2"/>
    <s v="Qtr_2"/>
    <x v="3"/>
    <d v="2025-03-01T00:00:00"/>
    <d v="2025-03-31T00:00:00"/>
    <x v="0"/>
    <x v="25"/>
    <n v="0"/>
    <n v="8"/>
    <n v="0"/>
    <n v="2"/>
    <n v="0"/>
    <n v="7"/>
    <n v="1"/>
    <n v="4"/>
    <n v="0"/>
    <n v="0"/>
    <n v="0"/>
    <n v="4"/>
    <n v="2"/>
    <n v="0"/>
    <n v="0"/>
    <n v="0"/>
    <n v="0"/>
    <n v="0"/>
    <n v="0"/>
    <n v="3"/>
    <n v="0"/>
  </r>
  <r>
    <n v="1541"/>
    <d v="2025-04-15T11:43:12"/>
    <d v="2025-04-15T11:50:26"/>
    <s v="tsatumba@lighthouse.org.mw"/>
    <s v="Thomas Satumba"/>
    <x v="10"/>
    <s v="Prototype"/>
    <x v="2"/>
    <s v="COP_24"/>
    <s v="COP_24"/>
    <s v="Quarter1"/>
    <s v="Quarter2"/>
    <s v="Qtr_2"/>
    <x v="3"/>
    <d v="2025-03-01T00:00:00"/>
    <d v="2025-03-31T00:00:00"/>
    <x v="5"/>
    <x v="21"/>
    <n v="4"/>
    <n v="2"/>
    <n v="0"/>
    <n v="0"/>
    <n v="0"/>
    <n v="0"/>
    <n v="0"/>
    <n v="0"/>
    <n v="0"/>
    <n v="0"/>
    <n v="0"/>
    <n v="2"/>
    <n v="1"/>
    <n v="0"/>
    <n v="0"/>
    <n v="0"/>
    <n v="0"/>
    <n v="0"/>
    <n v="0"/>
    <n v="1"/>
    <n v="0"/>
  </r>
  <r>
    <n v="1620"/>
    <d v="2025-06-03T11:02:04"/>
    <d v="2025-06-03T11:09:09"/>
    <s v="tsatumba@lighthouse.org.mw"/>
    <s v="Thomas Satumba"/>
    <x v="10"/>
    <s v="Prototype"/>
    <x v="2"/>
    <s v="COP_24"/>
    <m/>
    <s v="Quarter3"/>
    <s v="Quarter3"/>
    <m/>
    <x v="7"/>
    <d v="2025-04-01T00:00:00"/>
    <d v="2025-04-30T00:00:00"/>
    <x v="1"/>
    <x v="44"/>
    <n v="1"/>
    <n v="9"/>
    <n v="5"/>
    <n v="2"/>
    <n v="0"/>
    <n v="16"/>
    <n v="6"/>
    <n v="6"/>
    <n v="0"/>
    <n v="0"/>
    <n v="0"/>
    <n v="4"/>
    <n v="2"/>
    <n v="0"/>
    <n v="0"/>
    <n v="0"/>
    <n v="0"/>
    <n v="0"/>
    <n v="0"/>
    <n v="4"/>
    <n v="0"/>
  </r>
  <r>
    <n v="1622"/>
    <d v="2025-06-03T11:09:19"/>
    <d v="2025-06-03T11:15:17"/>
    <s v="tsatumba@lighthouse.org.mw"/>
    <s v="Thomas Satumba"/>
    <x v="10"/>
    <s v="Prototype"/>
    <x v="2"/>
    <s v="COP_24"/>
    <m/>
    <s v="Quarter2"/>
    <s v="Quarter2"/>
    <m/>
    <x v="7"/>
    <d v="2025-04-01T00:00:00"/>
    <d v="2025-04-30T00:00:00"/>
    <x v="0"/>
    <x v="52"/>
    <n v="2"/>
    <n v="12"/>
    <n v="7"/>
    <n v="5"/>
    <n v="0"/>
    <n v="21"/>
    <n v="9"/>
    <n v="12"/>
    <n v="0"/>
    <n v="0"/>
    <n v="0"/>
    <n v="12"/>
    <n v="4"/>
    <n v="0"/>
    <n v="0"/>
    <n v="0"/>
    <n v="0"/>
    <n v="0"/>
    <n v="0"/>
    <n v="4"/>
    <n v="0"/>
  </r>
  <r>
    <n v="1623"/>
    <d v="2025-06-03T11:15:44"/>
    <d v="2025-06-03T11:17:33"/>
    <s v="tsatumba@lighthouse.org.mw"/>
    <s v="Thomas Satumba"/>
    <x v="10"/>
    <s v="Prototype"/>
    <x v="2"/>
    <s v="COP_24"/>
    <m/>
    <s v="Quarter2"/>
    <s v="Quarter2"/>
    <m/>
    <x v="7"/>
    <d v="2025-04-01T00:00:00"/>
    <d v="2025-04-30T00:00:00"/>
    <x v="3"/>
    <x v="21"/>
    <n v="0"/>
    <n v="0"/>
    <n v="0"/>
    <n v="0"/>
    <n v="0"/>
    <n v="0"/>
    <n v="0"/>
    <n v="0"/>
    <n v="0"/>
    <n v="0"/>
    <n v="0"/>
    <n v="0"/>
    <n v="0"/>
    <n v="0"/>
    <n v="0"/>
    <n v="0"/>
    <n v="0"/>
    <n v="0"/>
    <n v="0"/>
    <n v="0"/>
    <n v="0"/>
  </r>
  <r>
    <n v="1625"/>
    <d v="2025-06-03T11:17:56"/>
    <d v="2025-06-03T11:19:40"/>
    <s v="tsatumba@lighthouse.org.mw"/>
    <s v="Thomas Satumba"/>
    <x v="10"/>
    <s v="Prototype"/>
    <x v="2"/>
    <s v="COP_24"/>
    <m/>
    <s v="Quarter2"/>
    <s v="Quarter2"/>
    <m/>
    <x v="7"/>
    <d v="2025-04-01T00:00:00"/>
    <d v="2025-04-30T00:00:00"/>
    <x v="4"/>
    <x v="21"/>
    <n v="0"/>
    <n v="0"/>
    <n v="0"/>
    <n v="0"/>
    <n v="0"/>
    <n v="0"/>
    <n v="0"/>
    <n v="0"/>
    <n v="0"/>
    <n v="0"/>
    <n v="0"/>
    <n v="0"/>
    <n v="0"/>
    <n v="0"/>
    <n v="0"/>
    <n v="0"/>
    <n v="0"/>
    <n v="0"/>
    <n v="0"/>
    <n v="0"/>
    <n v="0"/>
  </r>
  <r>
    <n v="1627"/>
    <d v="2025-06-03T11:19:46"/>
    <d v="2025-06-03T11:22:01"/>
    <s v="tsatumba@lighthouse.org.mw"/>
    <s v="Thomas Satumba"/>
    <x v="10"/>
    <s v="Prototype"/>
    <x v="2"/>
    <s v="COP_24"/>
    <m/>
    <s v="Quarter2"/>
    <s v="Quarter2"/>
    <m/>
    <x v="7"/>
    <d v="2025-04-01T00:00:00"/>
    <d v="2025-04-30T00:00:00"/>
    <x v="5"/>
    <x v="21"/>
    <n v="0"/>
    <n v="0"/>
    <n v="0"/>
    <n v="0"/>
    <n v="0"/>
    <n v="0"/>
    <n v="0"/>
    <n v="0"/>
    <n v="0"/>
    <n v="0"/>
    <n v="0"/>
    <n v="0"/>
    <n v="0"/>
    <n v="0"/>
    <n v="0"/>
    <n v="0"/>
    <n v="0"/>
    <n v="0"/>
    <n v="0"/>
    <n v="0"/>
    <n v="0"/>
  </r>
  <r>
    <n v="1628"/>
    <d v="2025-06-03T11:22:05"/>
    <d v="2025-06-03T11:23:26"/>
    <s v="tsatumba@lighthouse.org.mw"/>
    <s v="Thomas Satumba"/>
    <x v="10"/>
    <s v="Prototype"/>
    <x v="2"/>
    <s v="COP_24"/>
    <m/>
    <s v="Quarter2"/>
    <s v="Quarter2"/>
    <m/>
    <x v="7"/>
    <d v="2025-04-01T00:00:00"/>
    <d v="2025-04-30T00:00:00"/>
    <x v="6"/>
    <x v="21"/>
    <n v="0"/>
    <n v="0"/>
    <n v="0"/>
    <n v="0"/>
    <n v="0"/>
    <n v="0"/>
    <n v="0"/>
    <n v="0"/>
    <n v="0"/>
    <n v="0"/>
    <n v="0"/>
    <n v="0"/>
    <n v="0"/>
    <n v="0"/>
    <n v="0"/>
    <n v="0"/>
    <n v="0"/>
    <n v="0"/>
    <n v="0"/>
    <n v="0"/>
    <n v="0"/>
  </r>
  <r>
    <n v="1633"/>
    <d v="2025-06-03T11:25:37"/>
    <d v="2025-06-03T11:37:13"/>
    <s v="tsatumba@lighthouse.org.mw"/>
    <s v="Thomas Satumba"/>
    <x v="10"/>
    <s v="Prototype"/>
    <x v="2"/>
    <s v="COP_24"/>
    <m/>
    <s v="Quarter3"/>
    <s v="Quarter3"/>
    <m/>
    <x v="6"/>
    <d v="2025-05-01T00:00:00"/>
    <d v="2025-05-31T00:00:00"/>
    <x v="1"/>
    <x v="29"/>
    <n v="1"/>
    <n v="6"/>
    <n v="3"/>
    <n v="3"/>
    <n v="0"/>
    <n v="12"/>
    <n v="7"/>
    <n v="0"/>
    <n v="0"/>
    <n v="0"/>
    <n v="0"/>
    <n v="3"/>
    <n v="0"/>
    <n v="0"/>
    <n v="0"/>
    <n v="0"/>
    <n v="0"/>
    <n v="0"/>
    <n v="0"/>
    <n v="0"/>
    <n v="0"/>
  </r>
  <r>
    <n v="1634"/>
    <d v="2025-06-03T11:37:25"/>
    <d v="2025-06-03T11:41:05"/>
    <s v="tsatumba@lighthouse.org.mw"/>
    <s v="Thomas Satumba"/>
    <x v="10"/>
    <s v="Prototype"/>
    <x v="2"/>
    <s v="COP_24"/>
    <m/>
    <s v="Quarter3"/>
    <s v="Quarter3"/>
    <m/>
    <x v="6"/>
    <d v="2025-05-01T00:00:00"/>
    <d v="2025-05-31T00:00:00"/>
    <x v="0"/>
    <x v="29"/>
    <n v="1"/>
    <n v="6"/>
    <n v="3"/>
    <n v="3"/>
    <n v="0"/>
    <n v="12"/>
    <n v="7"/>
    <n v="0"/>
    <n v="0"/>
    <n v="0"/>
    <n v="0"/>
    <n v="3"/>
    <n v="0"/>
    <n v="0"/>
    <n v="0"/>
    <n v="0"/>
    <n v="0"/>
    <n v="0"/>
    <n v="0"/>
    <n v="0"/>
    <n v="0"/>
  </r>
  <r>
    <n v="1635"/>
    <d v="2025-06-03T11:41:08"/>
    <d v="2025-06-03T11:42:28"/>
    <s v="tsatumba@lighthouse.org.mw"/>
    <s v="Thomas Satumba"/>
    <x v="10"/>
    <s v="Prototype"/>
    <x v="2"/>
    <s v="COP_24"/>
    <m/>
    <s v="Quarter3"/>
    <s v="Quarter3"/>
    <m/>
    <x v="6"/>
    <d v="2025-05-01T00:00:00"/>
    <d v="2025-05-31T00:00:00"/>
    <x v="3"/>
    <x v="21"/>
    <n v="0"/>
    <n v="0"/>
    <n v="0"/>
    <n v="0"/>
    <n v="0"/>
    <n v="0"/>
    <n v="0"/>
    <n v="0"/>
    <n v="0"/>
    <n v="0"/>
    <n v="0"/>
    <n v="0"/>
    <n v="0"/>
    <n v="0"/>
    <n v="0"/>
    <n v="0"/>
    <n v="0"/>
    <n v="0"/>
    <n v="0"/>
    <n v="0"/>
    <n v="0"/>
  </r>
  <r>
    <n v="1636"/>
    <d v="2025-06-03T11:42:31"/>
    <d v="2025-06-03T11:43:41"/>
    <s v="tsatumba@lighthouse.org.mw"/>
    <s v="Thomas Satumba"/>
    <x v="10"/>
    <s v="Prototype"/>
    <x v="2"/>
    <s v="COP_24"/>
    <m/>
    <s v="Quarter3"/>
    <s v="Quarter3"/>
    <m/>
    <x v="6"/>
    <d v="2025-05-01T00:00:00"/>
    <d v="2025-05-31T00:00:00"/>
    <x v="4"/>
    <x v="21"/>
    <n v="0"/>
    <n v="0"/>
    <n v="0"/>
    <n v="0"/>
    <n v="0"/>
    <n v="0"/>
    <n v="0"/>
    <n v="0"/>
    <n v="0"/>
    <n v="0"/>
    <n v="0"/>
    <n v="0"/>
    <n v="0"/>
    <n v="0"/>
    <n v="0"/>
    <n v="0"/>
    <n v="0"/>
    <n v="0"/>
    <n v="0"/>
    <n v="0"/>
    <n v="0"/>
  </r>
  <r>
    <n v="1637"/>
    <d v="2025-06-03T11:43:43"/>
    <d v="2025-06-03T11:45:05"/>
    <s v="tsatumba@lighthouse.org.mw"/>
    <s v="Thomas Satumba"/>
    <x v="10"/>
    <s v="Prototype"/>
    <x v="2"/>
    <s v="COP_24"/>
    <m/>
    <s v="Quarter3"/>
    <s v="Quarter3"/>
    <m/>
    <x v="6"/>
    <d v="2025-05-01T00:00:00"/>
    <d v="2025-05-31T00:00:00"/>
    <x v="5"/>
    <x v="21"/>
    <n v="0"/>
    <n v="0"/>
    <n v="0"/>
    <n v="0"/>
    <n v="0"/>
    <n v="0"/>
    <n v="0"/>
    <n v="0"/>
    <n v="0"/>
    <n v="0"/>
    <n v="0"/>
    <n v="0"/>
    <n v="0"/>
    <n v="0"/>
    <n v="0"/>
    <n v="0"/>
    <n v="0"/>
    <n v="0"/>
    <n v="0"/>
    <n v="0"/>
    <n v="0"/>
  </r>
  <r>
    <n v="1638"/>
    <d v="2025-06-03T11:45:07"/>
    <d v="2025-06-03T11:46:44"/>
    <s v="tsatumba@lighthouse.org.mw"/>
    <s v="Thomas Satumba"/>
    <x v="10"/>
    <s v="Prototype"/>
    <x v="2"/>
    <s v="COP_24"/>
    <m/>
    <s v="Quarter3"/>
    <s v="Quarter3"/>
    <m/>
    <x v="6"/>
    <d v="2025-05-01T00:00:00"/>
    <d v="2025-05-31T00:00:00"/>
    <x v="2"/>
    <x v="21"/>
    <n v="0"/>
    <n v="0"/>
    <n v="0"/>
    <n v="0"/>
    <n v="0"/>
    <n v="0"/>
    <n v="0"/>
    <n v="0"/>
    <n v="0"/>
    <n v="0"/>
    <n v="0"/>
    <n v="0"/>
    <n v="0"/>
    <n v="0"/>
    <n v="0"/>
    <n v="0"/>
    <n v="0"/>
    <n v="0"/>
    <n v="0"/>
    <n v="0"/>
    <n v="0"/>
  </r>
  <r>
    <n v="1639"/>
    <d v="2025-06-03T11:46:47"/>
    <d v="2025-06-03T11:48:25"/>
    <s v="tsatumba@lighthouse.org.mw"/>
    <s v="Thomas Satumba"/>
    <x v="10"/>
    <s v="Prototype"/>
    <x v="2"/>
    <s v="COP_24"/>
    <m/>
    <s v="Quarter3"/>
    <s v="Quarter3"/>
    <m/>
    <x v="6"/>
    <d v="2025-05-01T00:00:00"/>
    <d v="2025-05-31T00:00:00"/>
    <x v="6"/>
    <x v="21"/>
    <n v="0"/>
    <n v="0"/>
    <n v="0"/>
    <n v="0"/>
    <n v="0"/>
    <n v="0"/>
    <n v="0"/>
    <n v="0"/>
    <n v="0"/>
    <n v="0"/>
    <n v="0"/>
    <n v="0"/>
    <n v="0"/>
    <n v="0"/>
    <n v="0"/>
    <n v="0"/>
    <n v="0"/>
    <n v="0"/>
    <n v="0"/>
    <n v="0"/>
    <n v="0"/>
  </r>
  <r>
    <n v="1653"/>
    <d v="2025-06-06T14:05:16"/>
    <d v="2025-06-06T14:08:33"/>
    <s v="tsatumba@lighthouse.org.mw"/>
    <s v="Thomas Satumba"/>
    <x v="10"/>
    <s v="Prototype"/>
    <x v="2"/>
    <s v="COP_24"/>
    <m/>
    <s v="Quarter2"/>
    <s v="Quarter2"/>
    <m/>
    <x v="6"/>
    <d v="2025-05-01T00:00:00"/>
    <d v="2025-05-31T00:00:00"/>
    <x v="2"/>
    <x v="2"/>
    <n v="0"/>
    <n v="3"/>
    <n v="2"/>
    <n v="2"/>
    <n v="0"/>
    <n v="7"/>
    <n v="1"/>
    <n v="4"/>
    <n v="0"/>
    <n v="0"/>
    <n v="0"/>
    <n v="4"/>
    <n v="1"/>
    <n v="0"/>
    <n v="0"/>
    <n v="0"/>
    <n v="0"/>
    <n v="0"/>
    <n v="0"/>
    <n v="1"/>
    <n v="0"/>
  </r>
  <r>
    <n v="1782"/>
    <d v="2025-07-09T17:18:10"/>
    <d v="2025-07-09T17:19:20"/>
    <s v="tsatumba@lighthouse.org.mw"/>
    <s v="Thomas Satumba"/>
    <x v="10"/>
    <s v="Prototype"/>
    <x v="2"/>
    <s v="COP_24"/>
    <m/>
    <s v="Quarter3"/>
    <s v="Quarter3"/>
    <m/>
    <x v="8"/>
    <d v="2025-06-01T00:00:00"/>
    <d v="2025-06-30T00:00:00"/>
    <x v="1"/>
    <x v="42"/>
    <n v="0"/>
    <n v="12"/>
    <n v="1"/>
    <n v="1"/>
    <n v="0"/>
    <n v="14"/>
    <n v="4"/>
    <n v="3"/>
    <n v="0"/>
    <n v="0"/>
    <n v="0"/>
    <n v="5"/>
    <n v="0"/>
    <n v="0"/>
    <n v="0"/>
    <n v="0"/>
    <n v="0"/>
    <n v="0"/>
    <n v="0"/>
    <n v="0"/>
    <n v="0"/>
  </r>
  <r>
    <n v="1783"/>
    <d v="2025-07-09T17:19:28"/>
    <d v="2025-07-09T17:21:56"/>
    <s v="tsatumba@lighthouse.org.mw"/>
    <s v="Thomas Satumba"/>
    <x v="10"/>
    <s v="Prototype"/>
    <x v="2"/>
    <s v="COP_24"/>
    <m/>
    <s v="Quarter3"/>
    <s v="Quarter3"/>
    <m/>
    <x v="8"/>
    <d v="2025-06-01T00:00:00"/>
    <d v="2025-06-30T00:00:00"/>
    <x v="3"/>
    <x v="18"/>
    <n v="0"/>
    <n v="1"/>
    <n v="0"/>
    <n v="0"/>
    <n v="0"/>
    <n v="0"/>
    <n v="0"/>
    <n v="0"/>
    <n v="0"/>
    <n v="0"/>
    <n v="0"/>
    <n v="0"/>
    <n v="0"/>
    <n v="0"/>
    <n v="0"/>
    <n v="0"/>
    <n v="0"/>
    <n v="0"/>
    <n v="0"/>
    <n v="0"/>
    <n v="0"/>
  </r>
  <r>
    <n v="1784"/>
    <d v="2025-07-09T17:22:04"/>
    <d v="2025-07-09T17:26:45"/>
    <s v="tsatumba@lighthouse.org.mw"/>
    <s v="Thomas Satumba"/>
    <x v="10"/>
    <s v="Prototype"/>
    <x v="2"/>
    <s v="COP_24"/>
    <m/>
    <s v="Quarter3"/>
    <s v="Quarter3"/>
    <m/>
    <x v="8"/>
    <d v="2025-06-01T00:00:00"/>
    <d v="2025-06-30T00:00:00"/>
    <x v="4"/>
    <x v="20"/>
    <n v="0"/>
    <n v="2"/>
    <n v="0"/>
    <n v="1"/>
    <n v="0"/>
    <n v="0"/>
    <n v="0"/>
    <n v="3"/>
    <n v="0"/>
    <n v="0"/>
    <n v="0"/>
    <n v="3"/>
    <n v="0"/>
    <n v="0"/>
    <n v="0"/>
    <n v="0"/>
    <n v="0"/>
    <n v="0"/>
    <n v="0"/>
    <n v="0"/>
    <n v="0"/>
  </r>
  <r>
    <n v="1785"/>
    <d v="2025-07-09T17:26:50"/>
    <d v="2025-07-09T17:31:08"/>
    <s v="tsatumba@lighthouse.org.mw"/>
    <s v="Thomas Satumba"/>
    <x v="10"/>
    <s v="Prototype"/>
    <x v="2"/>
    <s v="COP_24"/>
    <m/>
    <s v="Quarter3"/>
    <s v="Quarter3"/>
    <m/>
    <x v="8"/>
    <d v="2025-06-01T00:00:00"/>
    <d v="2025-06-30T00:00:00"/>
    <x v="5"/>
    <x v="54"/>
    <n v="0"/>
    <n v="4"/>
    <n v="0"/>
    <n v="1"/>
    <n v="0"/>
    <n v="0"/>
    <n v="0"/>
    <n v="0"/>
    <n v="0"/>
    <n v="0"/>
    <n v="0"/>
    <n v="4"/>
    <n v="0"/>
    <n v="0"/>
    <n v="0"/>
    <n v="0"/>
    <n v="0"/>
    <n v="0"/>
    <n v="0"/>
    <n v="0"/>
    <n v="0"/>
  </r>
  <r>
    <n v="1799"/>
    <d v="2025-07-10T18:03:29"/>
    <d v="2025-07-10T18:10:36"/>
    <s v="tsatumba@lighthouse.org.mw"/>
    <s v="Thomas Satumba"/>
    <x v="10"/>
    <s v="Prototype"/>
    <x v="2"/>
    <s v="COP_24"/>
    <m/>
    <s v="Quarter3"/>
    <s v="Quarter3"/>
    <m/>
    <x v="8"/>
    <d v="2025-06-01T00:00:00"/>
    <d v="2025-06-30T00:00:00"/>
    <x v="2"/>
    <x v="30"/>
    <n v="2"/>
    <n v="0"/>
    <n v="0"/>
    <n v="3"/>
    <n v="0"/>
    <n v="0"/>
    <n v="0"/>
    <n v="1"/>
    <n v="0"/>
    <n v="0"/>
    <n v="0"/>
    <n v="3"/>
    <n v="1"/>
    <n v="0"/>
    <n v="0"/>
    <n v="0"/>
    <n v="0"/>
    <n v="0"/>
    <n v="0"/>
    <n v="0"/>
    <n v="0"/>
  </r>
  <r>
    <n v="1800"/>
    <d v="2025-07-10T18:10:41"/>
    <d v="2025-07-10T18:12:33"/>
    <s v="tsatumba@lighthouse.org.mw"/>
    <s v="Thomas Satumba"/>
    <x v="10"/>
    <s v="Prototype"/>
    <x v="2"/>
    <s v="COP_24"/>
    <m/>
    <s v="Quarter2"/>
    <s v="Quarter3"/>
    <m/>
    <x v="8"/>
    <d v="2025-06-01T00:00:00"/>
    <d v="2025-06-30T00:00:00"/>
    <x v="6"/>
    <x v="21"/>
    <n v="0"/>
    <n v="0"/>
    <n v="0"/>
    <n v="0"/>
    <n v="0"/>
    <n v="0"/>
    <n v="0"/>
    <n v="0"/>
    <n v="0"/>
    <n v="0"/>
    <n v="0"/>
    <n v="0"/>
    <n v="0"/>
    <n v="0"/>
    <n v="0"/>
    <n v="0"/>
    <n v="0"/>
    <n v="0"/>
    <n v="0"/>
    <n v="0"/>
    <n v="0"/>
  </r>
  <r>
    <n v="1801"/>
    <d v="2025-07-10T18:12:38"/>
    <d v="2025-07-10T18:16:06"/>
    <s v="tsatumba@lighthouse.org.mw"/>
    <s v="Thomas Satumba"/>
    <x v="10"/>
    <s v="Prototype"/>
    <x v="2"/>
    <s v="COP_24"/>
    <m/>
    <s v="Quarter2"/>
    <s v="Quarter3"/>
    <m/>
    <x v="8"/>
    <d v="2025-06-01T00:00:00"/>
    <d v="2025-06-30T00:00:00"/>
    <x v="0"/>
    <x v="52"/>
    <n v="2"/>
    <n v="17"/>
    <n v="1"/>
    <n v="6"/>
    <n v="0"/>
    <n v="6"/>
    <n v="0"/>
    <n v="9"/>
    <n v="0"/>
    <n v="0"/>
    <n v="0"/>
    <n v="13"/>
    <n v="2"/>
    <n v="0"/>
    <n v="0"/>
    <n v="0"/>
    <n v="0"/>
    <n v="0"/>
    <n v="0"/>
    <n v="2"/>
    <n v="0"/>
  </r>
  <r>
    <n v="56"/>
    <d v="2023-12-21T10:34:05"/>
    <d v="2023-12-21T10:45:06"/>
    <s v="vngwira@lighthouse.org.mw"/>
    <s v="Vincent Ngwira"/>
    <x v="11"/>
    <s v="COE"/>
    <x v="0"/>
    <s v="COP_23"/>
    <s v="COP_23"/>
    <s v="Quarter4"/>
    <s v="Quarter1"/>
    <s v="Qtr_1"/>
    <x v="1"/>
    <d v="2023-11-01T00:00:00"/>
    <d v="2023-11-30T00:00:00"/>
    <x v="6"/>
    <x v="65"/>
    <n v="36"/>
    <n v="0"/>
    <n v="0"/>
    <n v="31"/>
    <n v="9"/>
    <n v="38"/>
    <n v="11"/>
    <n v="40"/>
    <n v="2"/>
    <n v="2"/>
    <n v="1"/>
    <n v="37"/>
    <n v="4"/>
    <n v="4"/>
    <n v="0"/>
    <n v="8"/>
    <n v="1"/>
    <n v="10"/>
    <n v="0"/>
    <n v="2"/>
    <n v="1"/>
  </r>
  <r>
    <n v="57"/>
    <d v="2023-12-21T10:45:13"/>
    <d v="2023-12-21T10:48:52"/>
    <s v="vngwira@lighthouse.org.mw"/>
    <s v="Vincent Ngwira"/>
    <x v="11"/>
    <s v="COE"/>
    <x v="0"/>
    <s v="COP_23"/>
    <s v="COP_23"/>
    <s v="Quarter4"/>
    <s v="Quarter1"/>
    <s v="Qtr_1"/>
    <x v="0"/>
    <d v="2023-10-01T00:00:00"/>
    <d v="2023-10-31T00:00:00"/>
    <x v="6"/>
    <x v="136"/>
    <n v="34"/>
    <n v="1"/>
    <n v="0"/>
    <n v="33"/>
    <n v="5"/>
    <n v="37"/>
    <n v="14"/>
    <n v="37"/>
    <n v="2"/>
    <n v="2"/>
    <n v="0"/>
    <n v="23"/>
    <n v="6"/>
    <n v="0"/>
    <n v="0"/>
    <n v="1"/>
    <n v="0"/>
    <n v="6"/>
    <n v="2"/>
    <n v="6"/>
    <n v="0"/>
  </r>
  <r>
    <n v="58"/>
    <d v="2023-12-21T10:49:11"/>
    <d v="2023-12-21T10:51:44"/>
    <s v="vngwira@lighthouse.org.mw"/>
    <s v="Vincent Ngwira"/>
    <x v="11"/>
    <s v="COE"/>
    <x v="0"/>
    <s v="COP_22"/>
    <s v="COP_22"/>
    <s v="Quarter3"/>
    <s v="Quarter4"/>
    <s v="Qtr_4"/>
    <x v="2"/>
    <d v="2023-09-01T00:00:00"/>
    <d v="2023-09-30T00:00:00"/>
    <x v="6"/>
    <x v="17"/>
    <n v="18"/>
    <n v="1"/>
    <n v="0"/>
    <n v="19"/>
    <n v="3"/>
    <n v="19"/>
    <n v="12"/>
    <n v="21"/>
    <n v="1"/>
    <n v="1"/>
    <n v="0"/>
    <n v="22"/>
    <n v="1"/>
    <n v="1"/>
    <n v="0"/>
    <n v="8"/>
    <n v="3"/>
    <n v="10"/>
    <n v="3"/>
    <n v="6"/>
    <n v="1"/>
  </r>
  <r>
    <n v="59"/>
    <d v="2023-12-21T13:46:06"/>
    <d v="2023-12-21T13:46:20"/>
    <s v="vngwira@lighthouse.org.mw"/>
    <s v="Vincent Ngwira"/>
    <x v="11"/>
    <s v="COE"/>
    <x v="0"/>
    <s v="COP_23"/>
    <s v="COP_23"/>
    <s v="Quarter4"/>
    <s v="Quarter1"/>
    <s v="Qtr_1"/>
    <x v="1"/>
    <d v="2023-11-01T00:00:00"/>
    <d v="2023-11-30T00:00:00"/>
    <x v="0"/>
    <x v="126"/>
    <n v="100"/>
    <n v="84"/>
    <n v="5"/>
    <n v="19"/>
    <n v="9"/>
    <n v="110"/>
    <n v="34"/>
    <n v="37"/>
    <n v="2"/>
    <n v="2"/>
    <n v="1"/>
    <n v="48"/>
    <n v="3"/>
    <n v="12"/>
    <n v="0"/>
    <n v="27"/>
    <n v="4"/>
    <n v="32"/>
    <n v="3"/>
    <n v="7"/>
    <n v="1"/>
  </r>
  <r>
    <n v="60"/>
    <d v="2023-12-21T13:46:43"/>
    <d v="2023-12-21T13:50:00"/>
    <s v="vngwira@lighthouse.org.mw"/>
    <s v="Vincent Ngwira"/>
    <x v="11"/>
    <s v="COE"/>
    <x v="0"/>
    <s v="COP_23"/>
    <s v="COP_23"/>
    <s v="Quarter4"/>
    <s v="Quarter1"/>
    <s v="Qtr_1"/>
    <x v="0"/>
    <d v="2023-10-01T00:00:00"/>
    <d v="2023-10-31T00:00:00"/>
    <x v="0"/>
    <x v="85"/>
    <n v="13"/>
    <n v="92"/>
    <n v="0"/>
    <n v="18"/>
    <n v="9"/>
    <n v="114"/>
    <n v="38"/>
    <n v="50"/>
    <n v="3"/>
    <n v="2"/>
    <n v="0"/>
    <n v="40"/>
    <n v="3"/>
    <n v="26"/>
    <n v="1"/>
    <n v="36"/>
    <n v="25"/>
    <n v="29"/>
    <n v="22"/>
    <n v="5"/>
    <n v="1"/>
  </r>
  <r>
    <n v="61"/>
    <d v="2023-12-21T13:50:07"/>
    <d v="2023-12-21T13:52:31"/>
    <s v="vngwira@lighthouse.org.mw"/>
    <s v="Vincent Ngwira"/>
    <x v="11"/>
    <s v="COE"/>
    <x v="0"/>
    <s v="COP_22"/>
    <s v="COP_22"/>
    <s v="Quarter3"/>
    <s v="Quarter4"/>
    <s v="Qtr_4"/>
    <x v="2"/>
    <d v="2023-09-01T00:00:00"/>
    <d v="2023-09-30T00:00:00"/>
    <x v="0"/>
    <x v="137"/>
    <n v="29"/>
    <n v="130"/>
    <n v="0"/>
    <n v="19"/>
    <n v="9"/>
    <n v="146"/>
    <n v="45"/>
    <n v="51"/>
    <n v="1"/>
    <n v="1"/>
    <n v="0"/>
    <n v="54"/>
    <n v="4"/>
    <n v="3"/>
    <n v="1"/>
    <n v="10"/>
    <n v="2"/>
    <n v="10"/>
    <n v="2"/>
    <n v="7"/>
    <n v="0"/>
  </r>
  <r>
    <n v="65"/>
    <d v="2024-01-11T09:04:52"/>
    <d v="2024-01-11T09:36:10"/>
    <s v="vngwira@lighthouse.org.mw"/>
    <s v="Vincent Ngwira"/>
    <x v="11"/>
    <s v="COE"/>
    <x v="0"/>
    <s v="COP_23"/>
    <s v="COP_23"/>
    <s v="Quarter4"/>
    <s v="Quarter1"/>
    <s v="Qtr_1"/>
    <x v="0"/>
    <d v="2023-10-01T00:00:00"/>
    <d v="2023-10-31T00:00:00"/>
    <x v="3"/>
    <x v="21"/>
    <n v="0"/>
    <n v="0"/>
    <n v="0"/>
    <n v="0"/>
    <n v="0"/>
    <n v="0"/>
    <n v="0"/>
    <n v="0"/>
    <n v="0"/>
    <n v="0"/>
    <n v="0"/>
    <n v="0"/>
    <n v="0"/>
    <n v="0"/>
    <n v="0"/>
    <n v="0"/>
    <n v="0"/>
    <n v="0"/>
    <n v="0"/>
    <n v="0"/>
    <n v="0"/>
  </r>
  <r>
    <n v="66"/>
    <d v="2024-01-11T09:36:18"/>
    <d v="2024-01-11T09:42:41"/>
    <s v="vngwira@lighthouse.org.mw"/>
    <s v="Vincent Ngwira"/>
    <x v="11"/>
    <s v="COE"/>
    <x v="0"/>
    <s v="COP_23"/>
    <s v="COP_23"/>
    <s v="Quarter4"/>
    <s v="Quarter1"/>
    <s v="Qtr_1"/>
    <x v="0"/>
    <d v="2023-10-01T00:00:00"/>
    <d v="2023-10-31T00:00:00"/>
    <x v="4"/>
    <x v="31"/>
    <n v="4"/>
    <n v="3"/>
    <n v="0"/>
    <n v="3"/>
    <n v="1"/>
    <n v="7"/>
    <n v="2"/>
    <n v="5"/>
    <n v="0"/>
    <n v="1"/>
    <n v="0"/>
    <n v="5"/>
    <n v="0"/>
    <n v="1"/>
    <n v="0"/>
    <n v="1"/>
    <n v="0"/>
    <n v="2"/>
    <n v="0"/>
    <n v="1"/>
    <n v="0"/>
  </r>
  <r>
    <n v="67"/>
    <d v="2024-01-11T09:42:45"/>
    <d v="2024-01-11T09:45:36"/>
    <s v="vngwira@lighthouse.org.mw"/>
    <s v="Vincent Ngwira"/>
    <x v="11"/>
    <s v="COE"/>
    <x v="0"/>
    <s v="COP_23"/>
    <s v="COP_23"/>
    <s v="Quarter4"/>
    <s v="Quarter1"/>
    <s v="Qtr_1"/>
    <x v="0"/>
    <d v="2023-10-01T00:00:00"/>
    <d v="2023-10-31T00:00:00"/>
    <x v="5"/>
    <x v="36"/>
    <n v="0"/>
    <n v="9"/>
    <n v="0"/>
    <n v="1"/>
    <n v="1"/>
    <n v="11"/>
    <n v="5"/>
    <n v="5"/>
    <n v="0"/>
    <n v="0"/>
    <n v="0"/>
    <n v="2"/>
    <n v="0"/>
    <n v="2"/>
    <n v="0"/>
    <n v="3"/>
    <n v="1"/>
    <n v="3"/>
    <n v="1"/>
    <n v="1"/>
    <n v="0"/>
  </r>
  <r>
    <n v="69"/>
    <d v="2024-01-11T09:47:48"/>
    <d v="2024-01-11T09:49:45"/>
    <s v="vngwira@lighthouse.org.mw"/>
    <s v="Vincent Ngwira"/>
    <x v="11"/>
    <s v="COE"/>
    <x v="0"/>
    <s v="COP_23"/>
    <s v="COP_23"/>
    <s v="Quarter4"/>
    <s v="Quarter1"/>
    <s v="Qtr_1"/>
    <x v="1"/>
    <d v="2023-11-01T00:00:00"/>
    <d v="2023-11-30T00:00:00"/>
    <x v="3"/>
    <x v="21"/>
    <n v="0"/>
    <n v="0"/>
    <n v="0"/>
    <n v="0"/>
    <n v="0"/>
    <n v="0"/>
    <n v="0"/>
    <n v="0"/>
    <n v="0"/>
    <n v="0"/>
    <n v="0"/>
    <n v="0"/>
    <n v="0"/>
    <n v="0"/>
    <n v="0"/>
    <n v="0"/>
    <n v="0"/>
    <n v="0"/>
    <n v="0"/>
    <n v="0"/>
    <n v="0"/>
  </r>
  <r>
    <n v="70"/>
    <d v="2024-01-11T09:49:59"/>
    <d v="2024-01-11T09:52:04"/>
    <s v="vngwira@lighthouse.org.mw"/>
    <s v="Vincent Ngwira"/>
    <x v="11"/>
    <s v="COE"/>
    <x v="0"/>
    <s v="COP_23"/>
    <s v="COP_23"/>
    <s v="Quarter4"/>
    <s v="Quarter1"/>
    <s v="Qtr_1"/>
    <x v="1"/>
    <d v="2023-11-01T00:00:00"/>
    <d v="2023-11-30T00:00:00"/>
    <x v="4"/>
    <x v="23"/>
    <n v="2"/>
    <n v="10"/>
    <n v="0"/>
    <n v="2"/>
    <n v="1"/>
    <n v="13"/>
    <n v="1"/>
    <n v="3"/>
    <n v="0"/>
    <n v="0"/>
    <n v="0"/>
    <n v="3"/>
    <n v="0"/>
    <n v="0"/>
    <n v="0"/>
    <n v="1"/>
    <n v="1"/>
    <n v="1"/>
    <n v="0"/>
    <n v="1"/>
    <n v="0"/>
  </r>
  <r>
    <n v="71"/>
    <d v="2024-01-11T09:52:28"/>
    <d v="2024-01-11T09:55:08"/>
    <s v="vngwira@lighthouse.org.mw"/>
    <s v="Vincent Ngwira"/>
    <x v="11"/>
    <s v="COE"/>
    <x v="0"/>
    <s v="COP_23"/>
    <s v="COP_23"/>
    <s v="Quarter4"/>
    <s v="Quarter1"/>
    <s v="Qtr_1"/>
    <x v="1"/>
    <d v="2023-11-01T00:00:00"/>
    <d v="2023-11-30T00:00:00"/>
    <x v="5"/>
    <x v="0"/>
    <n v="1"/>
    <n v="32"/>
    <n v="1"/>
    <n v="1"/>
    <n v="1"/>
    <n v="35"/>
    <n v="9"/>
    <n v="8"/>
    <n v="0"/>
    <n v="0"/>
    <n v="0"/>
    <n v="7"/>
    <n v="0"/>
    <n v="3"/>
    <n v="0"/>
    <n v="3"/>
    <n v="3"/>
    <n v="4"/>
    <n v="0"/>
    <n v="1"/>
    <n v="0"/>
  </r>
  <r>
    <n v="73"/>
    <d v="2024-01-11T09:58:19"/>
    <d v="2024-01-11T10:01:12"/>
    <s v="vngwira@lighthouse.org.mw"/>
    <s v="Vincent Ngwira"/>
    <x v="11"/>
    <s v="COE"/>
    <x v="0"/>
    <s v="COP_23"/>
    <s v="COP_23"/>
    <s v="Quarter4"/>
    <s v="Quarter1"/>
    <s v="Qtr_1"/>
    <x v="11"/>
    <d v="2023-12-01T00:00:00"/>
    <d v="2023-12-31T00:00:00"/>
    <x v="6"/>
    <x v="55"/>
    <n v="41"/>
    <n v="0"/>
    <n v="0"/>
    <n v="25"/>
    <n v="16"/>
    <n v="40"/>
    <n v="20"/>
    <n v="41"/>
    <n v="2"/>
    <n v="3"/>
    <n v="2"/>
    <n v="38"/>
    <n v="5"/>
    <n v="4"/>
    <n v="0"/>
    <n v="7"/>
    <n v="1"/>
    <n v="13"/>
    <n v="6"/>
    <n v="10"/>
    <n v="2"/>
  </r>
  <r>
    <n v="74"/>
    <d v="2024-01-11T10:01:14"/>
    <d v="2024-01-11T10:03:06"/>
    <s v="vngwira@lighthouse.org.mw"/>
    <s v="Vincent Ngwira"/>
    <x v="11"/>
    <s v="COE"/>
    <x v="0"/>
    <s v="COP_23"/>
    <s v="COP_23"/>
    <s v="Quarter4"/>
    <s v="Quarter1"/>
    <s v="Qtr_1"/>
    <x v="11"/>
    <d v="2023-12-01T00:00:00"/>
    <d v="2023-12-31T00:00:00"/>
    <x v="5"/>
    <x v="61"/>
    <n v="1"/>
    <n v="17"/>
    <n v="0"/>
    <n v="2"/>
    <n v="0"/>
    <n v="18"/>
    <n v="5"/>
    <n v="7"/>
    <n v="0"/>
    <n v="0"/>
    <n v="0"/>
    <n v="7"/>
    <n v="0"/>
    <n v="1"/>
    <n v="0"/>
    <n v="2"/>
    <n v="1"/>
    <n v="4"/>
    <n v="0"/>
    <n v="1"/>
    <n v="0"/>
  </r>
  <r>
    <n v="76"/>
    <d v="2024-01-11T10:05:58"/>
    <d v="2024-01-11T10:08:06"/>
    <s v="vngwira@lighthouse.org.mw"/>
    <s v="Vincent Ngwira"/>
    <x v="11"/>
    <s v="COE"/>
    <x v="0"/>
    <s v="COP_23"/>
    <s v="COP_23"/>
    <s v="Quarter4"/>
    <s v="Quarter1"/>
    <s v="Qtr_1"/>
    <x v="11"/>
    <d v="2023-12-01T00:00:00"/>
    <d v="2023-12-31T00:00:00"/>
    <x v="4"/>
    <x v="54"/>
    <n v="2"/>
    <n v="3"/>
    <n v="0"/>
    <n v="2"/>
    <n v="0"/>
    <n v="4"/>
    <n v="1"/>
    <n v="2"/>
    <n v="1"/>
    <n v="2"/>
    <n v="1"/>
    <n v="2"/>
    <n v="0"/>
    <n v="1"/>
    <n v="0"/>
    <n v="1"/>
    <n v="0"/>
    <n v="2"/>
    <n v="0"/>
    <n v="1"/>
    <n v="1"/>
  </r>
  <r>
    <n v="77"/>
    <d v="2024-01-11T10:08:08"/>
    <d v="2024-01-11T10:09:59"/>
    <s v="vngwira@lighthouse.org.mw"/>
    <s v="Vincent Ngwira"/>
    <x v="11"/>
    <s v="COE"/>
    <x v="0"/>
    <s v="COP_23"/>
    <s v="COP_23"/>
    <s v="Quarter4"/>
    <s v="Quarter1"/>
    <s v="Qtr_1"/>
    <x v="11"/>
    <d v="2023-12-01T00:00:00"/>
    <d v="2023-12-31T00:00:00"/>
    <x v="3"/>
    <x v="20"/>
    <n v="1"/>
    <n v="0"/>
    <n v="0"/>
    <n v="1"/>
    <n v="1"/>
    <n v="0"/>
    <n v="0"/>
    <n v="2"/>
    <n v="0"/>
    <n v="0"/>
    <n v="0"/>
    <n v="2"/>
    <n v="1"/>
    <n v="0"/>
    <n v="0"/>
    <n v="0"/>
    <n v="0"/>
    <n v="1"/>
    <n v="1"/>
    <n v="1"/>
    <n v="0"/>
  </r>
  <r>
    <n v="78"/>
    <d v="2024-01-11T10:10:04"/>
    <d v="2024-01-11T10:30:56"/>
    <s v="vngwira@lighthouse.org.mw"/>
    <s v="Vincent Ngwira"/>
    <x v="11"/>
    <s v="COE"/>
    <x v="0"/>
    <s v="COP_23"/>
    <s v="COP_23"/>
    <s v="Quarter4"/>
    <s v="Quarter1"/>
    <s v="Qtr_1"/>
    <x v="11"/>
    <d v="2023-12-01T00:00:00"/>
    <d v="2023-12-31T00:00:00"/>
    <x v="0"/>
    <x v="88"/>
    <n v="62"/>
    <n v="46"/>
    <n v="1"/>
    <n v="47"/>
    <n v="42"/>
    <n v="130"/>
    <n v="55"/>
    <n v="83"/>
    <n v="5"/>
    <n v="6"/>
    <n v="4"/>
    <n v="74"/>
    <n v="7"/>
    <n v="14"/>
    <n v="0"/>
    <n v="20"/>
    <n v="8"/>
    <n v="38"/>
    <n v="11"/>
    <n v="22"/>
    <n v="4"/>
  </r>
  <r>
    <n v="138"/>
    <d v="2024-02-06T09:04:37"/>
    <d v="2024-02-06T09:20:39"/>
    <s v="vngwira@lighthouse.org.mw"/>
    <s v="Vincent Ngwira"/>
    <x v="11"/>
    <s v="COE"/>
    <x v="1"/>
    <s v="COP_23"/>
    <s v="COP_23"/>
    <s v="Quarter1"/>
    <s v="Quarter2"/>
    <s v="Qtr_2"/>
    <x v="4"/>
    <d v="2024-01-01T00:00:00"/>
    <d v="2024-01-31T00:00:00"/>
    <x v="0"/>
    <x v="138"/>
    <n v="54"/>
    <n v="91"/>
    <n v="1"/>
    <n v="63"/>
    <n v="26"/>
    <n v="170"/>
    <n v="60"/>
    <n v="100"/>
    <n v="6"/>
    <n v="4"/>
    <n v="3"/>
    <n v="101"/>
    <n v="17"/>
    <n v="17"/>
    <n v="3"/>
    <n v="8"/>
    <n v="5"/>
    <n v="23"/>
    <n v="17"/>
    <n v="20"/>
    <n v="3"/>
  </r>
  <r>
    <n v="139"/>
    <d v="2024-02-06T09:20:44"/>
    <d v="2024-02-06T09:25:30"/>
    <s v="vngwira@lighthouse.org.mw"/>
    <s v="Vincent Ngwira"/>
    <x v="11"/>
    <s v="COE"/>
    <x v="1"/>
    <s v="COP_23"/>
    <s v="COP_23"/>
    <s v="Quarter1"/>
    <s v="Quarter2"/>
    <s v="Qtr_2"/>
    <x v="4"/>
    <d v="2024-01-01T00:00:00"/>
    <d v="2024-01-31T00:00:00"/>
    <x v="6"/>
    <x v="55"/>
    <n v="29"/>
    <n v="4"/>
    <n v="1"/>
    <n v="26"/>
    <n v="10"/>
    <n v="38"/>
    <n v="12"/>
    <n v="35"/>
    <n v="2"/>
    <n v="2"/>
    <n v="2"/>
    <n v="32"/>
    <n v="7"/>
    <n v="0"/>
    <n v="0"/>
    <n v="4"/>
    <n v="2"/>
    <n v="10"/>
    <n v="7"/>
    <n v="7"/>
    <n v="2"/>
  </r>
  <r>
    <n v="140"/>
    <d v="2024-02-06T09:25:44"/>
    <d v="2024-02-06T09:29:40"/>
    <s v="vngwira@lighthouse.org.mw"/>
    <s v="Vincent Ngwira"/>
    <x v="11"/>
    <s v="COE"/>
    <x v="1"/>
    <s v="COP_23"/>
    <s v="COP_23"/>
    <s v="Quarter1"/>
    <s v="Quarter2"/>
    <s v="Qtr_2"/>
    <x v="4"/>
    <d v="2024-01-01T00:00:00"/>
    <d v="2024-01-31T00:00:00"/>
    <x v="5"/>
    <x v="40"/>
    <n v="1"/>
    <n v="32"/>
    <n v="0"/>
    <n v="5"/>
    <n v="0"/>
    <n v="35"/>
    <n v="8"/>
    <n v="11"/>
    <n v="0"/>
    <n v="0"/>
    <n v="0"/>
    <n v="10"/>
    <n v="0"/>
    <n v="0"/>
    <n v="0"/>
    <n v="0"/>
    <n v="0"/>
    <n v="0"/>
    <n v="0"/>
    <n v="1"/>
    <n v="0"/>
  </r>
  <r>
    <n v="141"/>
    <d v="2024-02-06T09:30:02"/>
    <d v="2024-02-06T09:36:25"/>
    <s v="vngwira@lighthouse.org.mw"/>
    <s v="Vincent Ngwira"/>
    <x v="11"/>
    <s v="COE"/>
    <x v="1"/>
    <s v="COP_23"/>
    <s v="COP_23"/>
    <s v="Quarter1"/>
    <s v="Quarter2"/>
    <s v="Qtr_2"/>
    <x v="4"/>
    <d v="2024-01-01T00:00:00"/>
    <d v="2024-01-31T00:00:00"/>
    <x v="4"/>
    <x v="25"/>
    <n v="0"/>
    <n v="7"/>
    <n v="0"/>
    <n v="2"/>
    <n v="0"/>
    <n v="9"/>
    <n v="3"/>
    <n v="4"/>
    <n v="0"/>
    <n v="0"/>
    <n v="0"/>
    <n v="3"/>
    <n v="0"/>
    <n v="0"/>
    <n v="0"/>
    <n v="0"/>
    <n v="0"/>
    <n v="0"/>
    <n v="0"/>
    <n v="0"/>
    <n v="0"/>
  </r>
  <r>
    <n v="142"/>
    <d v="2024-02-06T09:36:41"/>
    <d v="2024-02-06T09:43:54"/>
    <s v="vngwira@lighthouse.org.mw"/>
    <s v="Vincent Ngwira"/>
    <x v="11"/>
    <s v="COE"/>
    <x v="1"/>
    <s v="COP_23"/>
    <s v="COP_23"/>
    <s v="Quarter1"/>
    <s v="Quarter2"/>
    <s v="Qtr_2"/>
    <x v="4"/>
    <d v="2024-01-01T00:00:00"/>
    <d v="2024-01-31T00:00:00"/>
    <x v="3"/>
    <x v="33"/>
    <n v="1"/>
    <n v="2"/>
    <n v="0"/>
    <n v="2"/>
    <n v="0"/>
    <n v="0"/>
    <n v="0"/>
    <n v="4"/>
    <n v="0"/>
    <n v="0"/>
    <n v="0"/>
    <n v="4"/>
    <n v="0"/>
    <n v="0"/>
    <n v="0"/>
    <n v="0"/>
    <n v="0"/>
    <n v="1"/>
    <n v="1"/>
    <n v="1"/>
    <n v="0"/>
  </r>
  <r>
    <n v="176"/>
    <d v="2024-03-20T08:03:44"/>
    <d v="2024-03-20T08:07:21"/>
    <s v="vngwira@lighthouse.org.mw"/>
    <s v="Vincent Ngwira"/>
    <x v="11"/>
    <s v="COE"/>
    <x v="1"/>
    <s v="COP_23"/>
    <s v="COP_23"/>
    <s v="Quarter1"/>
    <s v="Quarter2"/>
    <s v="Qtr_2"/>
    <x v="5"/>
    <d v="2024-02-01T00:00:00"/>
    <d v="2024-02-29T00:00:00"/>
    <x v="0"/>
    <x v="139"/>
    <n v="64"/>
    <n v="66"/>
    <n v="3"/>
    <n v="76"/>
    <n v="30"/>
    <n v="164"/>
    <n v="55"/>
    <n v="110"/>
    <n v="7"/>
    <n v="5"/>
    <n v="2"/>
    <n v="112"/>
    <n v="20"/>
    <n v="5"/>
    <n v="0"/>
    <n v="8"/>
    <n v="5"/>
    <n v="30"/>
    <n v="7"/>
    <n v="21"/>
    <n v="2"/>
  </r>
  <r>
    <n v="177"/>
    <d v="2024-03-20T08:07:25"/>
    <d v="2024-03-20T08:10:12"/>
    <s v="vngwira@lighthouse.org.mw"/>
    <s v="Vincent Ngwira"/>
    <x v="11"/>
    <s v="COE"/>
    <x v="1"/>
    <s v="COP_23"/>
    <s v="COP_23"/>
    <s v="Quarter1"/>
    <s v="Quarter2"/>
    <s v="Qtr_2"/>
    <x v="5"/>
    <d v="2024-02-01T00:00:00"/>
    <d v="2024-02-29T00:00:00"/>
    <x v="6"/>
    <x v="10"/>
    <n v="46"/>
    <n v="1"/>
    <n v="1"/>
    <n v="32"/>
    <n v="17"/>
    <n v="45"/>
    <n v="21"/>
    <n v="49"/>
    <n v="3"/>
    <n v="2"/>
    <n v="1"/>
    <n v="48"/>
    <n v="10"/>
    <n v="0"/>
    <n v="0"/>
    <n v="4"/>
    <n v="3"/>
    <n v="21"/>
    <n v="7"/>
    <n v="11"/>
    <n v="1"/>
  </r>
  <r>
    <n v="178"/>
    <d v="2024-03-20T08:10:20"/>
    <d v="2024-03-20T08:13:37"/>
    <s v="vngwira@lighthouse.org.mw"/>
    <s v="Vincent Ngwira"/>
    <x v="11"/>
    <s v="COE"/>
    <x v="1"/>
    <s v="COP_23"/>
    <s v="COP_23"/>
    <s v="Quarter1"/>
    <s v="Quarter2"/>
    <s v="Qtr_2"/>
    <x v="5"/>
    <d v="2024-02-01T00:00:00"/>
    <d v="2024-02-29T00:00:00"/>
    <x v="5"/>
    <x v="41"/>
    <n v="0"/>
    <n v="29"/>
    <n v="1"/>
    <n v="2"/>
    <n v="2"/>
    <n v="32"/>
    <n v="8"/>
    <n v="10"/>
    <n v="3"/>
    <n v="2"/>
    <n v="0"/>
    <n v="10"/>
    <n v="0"/>
    <n v="0"/>
    <n v="0"/>
    <n v="0"/>
    <n v="0"/>
    <n v="0"/>
    <n v="0"/>
    <n v="0"/>
    <n v="0"/>
  </r>
  <r>
    <n v="180"/>
    <d v="2024-03-20T08:16:59"/>
    <d v="2024-03-20T08:18:40"/>
    <s v="vngwira@lighthouse.org.mw"/>
    <s v="Vincent Ngwira"/>
    <x v="11"/>
    <s v="COE"/>
    <x v="1"/>
    <s v="COP_23"/>
    <s v="COP_23"/>
    <s v="Quarter1"/>
    <s v="Quarter2"/>
    <s v="Qtr_2"/>
    <x v="5"/>
    <d v="2024-02-01T00:00:00"/>
    <d v="2024-02-29T00:00:00"/>
    <x v="3"/>
    <x v="33"/>
    <n v="2"/>
    <n v="1"/>
    <n v="1"/>
    <n v="1"/>
    <n v="1"/>
    <n v="0"/>
    <n v="0"/>
    <n v="4"/>
    <n v="0"/>
    <n v="0"/>
    <n v="0"/>
    <n v="4"/>
    <n v="0"/>
    <n v="0"/>
    <n v="0"/>
    <n v="0"/>
    <n v="0"/>
    <n v="1"/>
    <n v="1"/>
    <n v="0"/>
    <n v="0"/>
  </r>
  <r>
    <n v="181"/>
    <d v="2024-03-20T08:18:43"/>
    <d v="2024-03-20T08:20:13"/>
    <s v="vngwira@lighthouse.org.mw"/>
    <s v="Vincent Ngwira"/>
    <x v="11"/>
    <s v="COE"/>
    <x v="1"/>
    <s v="COP_23"/>
    <s v="COP_23"/>
    <s v="Quarter1"/>
    <s v="Quarter2"/>
    <s v="Qtr_2"/>
    <x v="5"/>
    <d v="2024-02-01T00:00:00"/>
    <d v="2024-02-29T00:00:00"/>
    <x v="4"/>
    <x v="25"/>
    <n v="1"/>
    <n v="5"/>
    <n v="0"/>
    <n v="3"/>
    <n v="1"/>
    <n v="8"/>
    <n v="2"/>
    <n v="6"/>
    <n v="0"/>
    <n v="0"/>
    <n v="0"/>
    <n v="6"/>
    <n v="1"/>
    <n v="0"/>
    <n v="0"/>
    <n v="0"/>
    <n v="0"/>
    <n v="1"/>
    <n v="0"/>
    <n v="1"/>
    <n v="0"/>
  </r>
  <r>
    <n v="235"/>
    <d v="2024-04-12T08:51:21"/>
    <d v="2024-04-12T08:55:35"/>
    <s v="vngwira@lighthouse.org.mw"/>
    <s v="Vincent Ngwira"/>
    <x v="11"/>
    <s v="COE"/>
    <x v="1"/>
    <s v="COP_23"/>
    <s v="COP_23"/>
    <s v="Quarter1"/>
    <s v="Quarter2"/>
    <s v="Qtr_2"/>
    <x v="3"/>
    <d v="2024-03-01T00:00:00"/>
    <d v="2024-03-31T00:00:00"/>
    <x v="6"/>
    <x v="108"/>
    <n v="36"/>
    <n v="0"/>
    <n v="0"/>
    <n v="29"/>
    <n v="16"/>
    <n v="45"/>
    <n v="20"/>
    <n v="45"/>
    <n v="3"/>
    <n v="4"/>
    <n v="2"/>
    <n v="44"/>
    <n v="8"/>
    <n v="0"/>
    <n v="0"/>
    <n v="0"/>
    <n v="0"/>
    <n v="13"/>
    <n v="4"/>
    <n v="8"/>
    <n v="2"/>
  </r>
  <r>
    <n v="236"/>
    <d v="2024-04-12T08:56:28"/>
    <d v="2024-04-12T09:01:05"/>
    <s v="vngwira@lighthouse.org.mw"/>
    <s v="Vincent Ngwira"/>
    <x v="11"/>
    <s v="COE"/>
    <x v="1"/>
    <s v="COP_23"/>
    <s v="COP_23"/>
    <s v="Quarter1"/>
    <s v="Quarter2"/>
    <s v="Qtr_2"/>
    <x v="3"/>
    <d v="2024-03-01T00:00:00"/>
    <d v="2024-03-31T00:00:00"/>
    <x v="0"/>
    <x v="139"/>
    <n v="48"/>
    <n v="59"/>
    <n v="7"/>
    <n v="73"/>
    <n v="24"/>
    <n v="155"/>
    <n v="57"/>
    <n v="102"/>
    <n v="6"/>
    <n v="7"/>
    <n v="5"/>
    <n v="100"/>
    <n v="13"/>
    <n v="1"/>
    <n v="0"/>
    <n v="4"/>
    <n v="1"/>
    <n v="24"/>
    <n v="5"/>
    <n v="13"/>
    <n v="5"/>
  </r>
  <r>
    <n v="237"/>
    <d v="2024-04-12T09:01:27"/>
    <d v="2024-04-12T09:13:06"/>
    <s v="vngwira@lighthouse.org.mw"/>
    <s v="Vincent Ngwira"/>
    <x v="11"/>
    <s v="COE"/>
    <x v="1"/>
    <s v="COP_23"/>
    <s v="COP_23"/>
    <s v="Quarter1"/>
    <s v="Quarter2"/>
    <s v="Qtr_2"/>
    <x v="3"/>
    <d v="2024-03-01T00:00:00"/>
    <d v="2024-03-31T00:00:00"/>
    <x v="5"/>
    <x v="28"/>
    <n v="1"/>
    <n v="22"/>
    <n v="1"/>
    <n v="6"/>
    <n v="2"/>
    <n v="31"/>
    <n v="8"/>
    <n v="10"/>
    <n v="0"/>
    <n v="0"/>
    <n v="0"/>
    <n v="11"/>
    <n v="2"/>
    <n v="0"/>
    <n v="0"/>
    <n v="0"/>
    <n v="0"/>
    <n v="2"/>
    <n v="1"/>
    <n v="2"/>
    <n v="0"/>
  </r>
  <r>
    <n v="238"/>
    <d v="2024-04-12T09:13:43"/>
    <d v="2024-04-12T09:16:13"/>
    <s v="vngwira@lighthouse.org.mw"/>
    <s v="Vincent Ngwira"/>
    <x v="11"/>
    <s v="COE"/>
    <x v="1"/>
    <s v="COP_23"/>
    <s v="COP_23"/>
    <s v="Quarter1"/>
    <s v="Quarter2"/>
    <s v="Qtr_2"/>
    <x v="3"/>
    <d v="2024-03-01T00:00:00"/>
    <d v="2024-03-31T00:00:00"/>
    <x v="3"/>
    <x v="21"/>
    <n v="0"/>
    <n v="0"/>
    <n v="0"/>
    <n v="0"/>
    <n v="0"/>
    <n v="0"/>
    <n v="0"/>
    <n v="0"/>
    <n v="0"/>
    <n v="0"/>
    <n v="0"/>
    <n v="0"/>
    <n v="0"/>
    <n v="0"/>
    <n v="0"/>
    <n v="0"/>
    <n v="0"/>
    <n v="0"/>
    <n v="0"/>
    <n v="0"/>
    <n v="0"/>
  </r>
  <r>
    <n v="242"/>
    <d v="2024-04-12T09:24:40"/>
    <d v="2024-04-12T09:26:05"/>
    <s v="vngwira@lighthouse.org.mw"/>
    <s v="Vincent Ngwira"/>
    <x v="11"/>
    <s v="COE"/>
    <x v="1"/>
    <s v="COP_23"/>
    <s v="COP_23"/>
    <s v="Quarter1"/>
    <s v="Quarter2"/>
    <s v="Qtr_2"/>
    <x v="3"/>
    <d v="2024-03-01T00:00:00"/>
    <d v="2024-03-31T00:00:00"/>
    <x v="4"/>
    <x v="20"/>
    <n v="0"/>
    <n v="2"/>
    <n v="0"/>
    <n v="0"/>
    <n v="0"/>
    <n v="2"/>
    <n v="0"/>
    <n v="0"/>
    <n v="0"/>
    <n v="0"/>
    <n v="0"/>
    <n v="0"/>
    <n v="0"/>
    <n v="0"/>
    <n v="0"/>
    <n v="0"/>
    <n v="0"/>
    <n v="0"/>
    <n v="0"/>
    <n v="0"/>
    <n v="0"/>
  </r>
  <r>
    <n v="449"/>
    <d v="2024-05-21T13:01:51"/>
    <d v="2024-05-21T13:16:11"/>
    <s v="vngwira@lighthouse.org.mw"/>
    <s v="Vincent Ngwira"/>
    <x v="11"/>
    <s v="COE"/>
    <x v="1"/>
    <s v="COP_24"/>
    <s v="COP_23"/>
    <s v="Quarter2"/>
    <s v="Quarter3"/>
    <s v="Qtr_3"/>
    <x v="7"/>
    <d v="2024-04-01T00:00:00"/>
    <d v="2024-04-30T00:00:00"/>
    <x v="3"/>
    <x v="33"/>
    <n v="2"/>
    <n v="0"/>
    <n v="2"/>
    <n v="1"/>
    <n v="1"/>
    <n v="4"/>
    <n v="1"/>
    <n v="3"/>
    <n v="0"/>
    <n v="0"/>
    <n v="0"/>
    <n v="0"/>
    <n v="0"/>
    <n v="0"/>
    <n v="0"/>
    <n v="2"/>
    <n v="1"/>
    <n v="2"/>
    <n v="0"/>
    <n v="0"/>
    <n v="0"/>
  </r>
  <r>
    <n v="451"/>
    <d v="2024-05-21T13:20:10"/>
    <d v="2024-05-21T13:37:15"/>
    <s v="vngwira@lighthouse.org.mw"/>
    <s v="Vincent Ngwira"/>
    <x v="11"/>
    <s v="COE"/>
    <x v="1"/>
    <s v="COP_24"/>
    <s v="COP_23"/>
    <s v="Quarter2"/>
    <s v="Quarter3"/>
    <s v="Qtr_3"/>
    <x v="7"/>
    <d v="2024-04-01T00:00:00"/>
    <d v="2024-04-30T00:00:00"/>
    <x v="5"/>
    <x v="16"/>
    <n v="1"/>
    <n v="19"/>
    <n v="0"/>
    <n v="2"/>
    <n v="0"/>
    <n v="21"/>
    <n v="7"/>
    <n v="9"/>
    <n v="0"/>
    <n v="0"/>
    <n v="0"/>
    <n v="1"/>
    <n v="0"/>
    <n v="0"/>
    <n v="0"/>
    <n v="0"/>
    <n v="0"/>
    <n v="5"/>
    <n v="0"/>
    <n v="0"/>
    <n v="0"/>
  </r>
  <r>
    <n v="453"/>
    <d v="2024-05-21T13:43:33"/>
    <d v="2024-05-21T13:47:29"/>
    <s v="vngwira@lighthouse.org.mw"/>
    <s v="Vincent Ngwira"/>
    <x v="11"/>
    <s v="COE"/>
    <x v="1"/>
    <s v="COP_24"/>
    <s v="COP_23"/>
    <s v="Quarter2"/>
    <s v="Quarter3"/>
    <s v="Qtr_3"/>
    <x v="7"/>
    <d v="2024-04-01T00:00:00"/>
    <d v="2024-04-30T00:00:00"/>
    <x v="6"/>
    <x v="1"/>
    <n v="52"/>
    <n v="0"/>
    <n v="0"/>
    <n v="45"/>
    <n v="10"/>
    <n v="54"/>
    <n v="22"/>
    <n v="55"/>
    <n v="2"/>
    <n v="1"/>
    <n v="1"/>
    <n v="18"/>
    <n v="4"/>
    <n v="0"/>
    <n v="0"/>
    <n v="3"/>
    <n v="2"/>
    <n v="15"/>
    <n v="2"/>
    <n v="5"/>
    <n v="2"/>
  </r>
  <r>
    <n v="454"/>
    <d v="2024-05-21T13:47:33"/>
    <d v="2024-05-21T13:52:28"/>
    <s v="vngwira@lighthouse.org.mw"/>
    <s v="Vincent Ngwira"/>
    <x v="11"/>
    <s v="COE"/>
    <x v="1"/>
    <s v="COP_24"/>
    <s v="COP_23"/>
    <s v="Quarter2"/>
    <s v="Quarter3"/>
    <s v="Qtr_3"/>
    <x v="7"/>
    <d v="2024-04-08T00:00:00"/>
    <d v="2024-04-30T00:00:00"/>
    <x v="0"/>
    <x v="140"/>
    <n v="63"/>
    <n v="68"/>
    <n v="3"/>
    <n v="70"/>
    <n v="18"/>
    <n v="157"/>
    <n v="58"/>
    <n v="103"/>
    <n v="2"/>
    <n v="1"/>
    <n v="1"/>
    <n v="35"/>
    <n v="9"/>
    <n v="6"/>
    <n v="0"/>
    <n v="5"/>
    <n v="3"/>
    <n v="34"/>
    <n v="2"/>
    <n v="11"/>
    <n v="2"/>
  </r>
  <r>
    <n v="455"/>
    <d v="2024-05-21T13:52:31"/>
    <d v="2024-05-21T13:53:51"/>
    <s v="vngwira@lighthouse.org.mw"/>
    <s v="Vincent Ngwira"/>
    <x v="11"/>
    <s v="COE"/>
    <x v="1"/>
    <s v="COP_24"/>
    <s v="COP_23"/>
    <s v="Quarter2"/>
    <s v="Quarter3"/>
    <s v="Qtr_3"/>
    <x v="7"/>
    <d v="2024-04-01T00:00:00"/>
    <d v="2024-04-30T00:00:00"/>
    <x v="4"/>
    <x v="33"/>
    <n v="0"/>
    <n v="4"/>
    <n v="0"/>
    <n v="0"/>
    <n v="0"/>
    <n v="4"/>
    <n v="0"/>
    <n v="0"/>
    <n v="0"/>
    <n v="0"/>
    <n v="0"/>
    <n v="0"/>
    <n v="0"/>
    <n v="0"/>
    <n v="0"/>
    <n v="0"/>
    <n v="0"/>
    <n v="0"/>
    <n v="0"/>
    <n v="0"/>
    <n v="0"/>
  </r>
  <r>
    <n v="516"/>
    <d v="2024-06-07T10:35:39"/>
    <d v="2024-06-07T10:51:42"/>
    <s v="vngwira@lighthouse.org.mw"/>
    <s v="Vincent Ngwira"/>
    <x v="11"/>
    <s v="COE"/>
    <x v="1"/>
    <s v="COP_24"/>
    <s v="COP_23"/>
    <s v="Quarter2"/>
    <s v="Quarter3"/>
    <s v="Qtr_3"/>
    <x v="6"/>
    <d v="2024-05-01T00:00:00"/>
    <d v="2024-05-31T00:00:00"/>
    <x v="0"/>
    <x v="80"/>
    <n v="16"/>
    <n v="55"/>
    <n v="11"/>
    <n v="67"/>
    <n v="20"/>
    <n v="150"/>
    <n v="69"/>
    <n v="108"/>
    <n v="4"/>
    <n v="4"/>
    <n v="3"/>
    <n v="0"/>
    <n v="0"/>
    <n v="6"/>
    <n v="0"/>
    <n v="4"/>
    <n v="3"/>
    <n v="47"/>
    <n v="6"/>
    <n v="5"/>
    <n v="3"/>
  </r>
  <r>
    <n v="518"/>
    <d v="2024-06-07T10:53:16"/>
    <d v="2024-06-07T10:55:50"/>
    <s v="vngwira@lighthouse.org.mw"/>
    <s v="Vincent Ngwira"/>
    <x v="11"/>
    <s v="COE"/>
    <x v="1"/>
    <s v="COP_24"/>
    <s v="COP_23"/>
    <s v="Quarter2"/>
    <s v="Quarter3"/>
    <s v="Qtr_3"/>
    <x v="6"/>
    <d v="2024-05-01T00:00:00"/>
    <d v="2024-05-31T00:00:00"/>
    <x v="6"/>
    <x v="3"/>
    <n v="4"/>
    <n v="2"/>
    <n v="0"/>
    <n v="37"/>
    <n v="14"/>
    <n v="52"/>
    <n v="31"/>
    <n v="50"/>
    <n v="3"/>
    <n v="4"/>
    <n v="2"/>
    <n v="0"/>
    <n v="0"/>
    <n v="0"/>
    <n v="0"/>
    <n v="1"/>
    <n v="1"/>
    <n v="18"/>
    <n v="5"/>
    <n v="3"/>
    <n v="2"/>
  </r>
  <r>
    <n v="520"/>
    <d v="2024-06-07T10:58:22"/>
    <d v="2024-06-07T10:59:57"/>
    <s v="vngwira@lighthouse.org.mw"/>
    <s v="Vincent Ngwira"/>
    <x v="11"/>
    <s v="COE"/>
    <x v="1"/>
    <s v="COP_24"/>
    <s v="COP_23"/>
    <s v="Quarter2"/>
    <s v="Quarter3"/>
    <s v="Qtr_3"/>
    <x v="6"/>
    <d v="2024-05-01T00:00:00"/>
    <d v="2024-05-31T00:00:00"/>
    <x v="5"/>
    <x v="26"/>
    <n v="0"/>
    <n v="18"/>
    <n v="1"/>
    <n v="2"/>
    <n v="0"/>
    <n v="22"/>
    <n v="6"/>
    <n v="9"/>
    <n v="0"/>
    <n v="0"/>
    <n v="0"/>
    <n v="0"/>
    <n v="0"/>
    <n v="0"/>
    <n v="0"/>
    <n v="0"/>
    <n v="0"/>
    <n v="0"/>
    <n v="0"/>
    <n v="0"/>
    <n v="0"/>
  </r>
  <r>
    <n v="522"/>
    <d v="2024-06-07T10:59:59"/>
    <d v="2024-06-07T11:11:24"/>
    <s v="vngwira@lighthouse.org.mw"/>
    <s v="Vincent Ngwira"/>
    <x v="11"/>
    <s v="COE"/>
    <x v="1"/>
    <s v="COP_24"/>
    <s v="COP_23"/>
    <s v="Quarter2"/>
    <s v="Quarter3"/>
    <s v="Qtr_3"/>
    <x v="6"/>
    <d v="2024-05-01T00:00:00"/>
    <d v="2024-05-31T00:00:00"/>
    <x v="3"/>
    <x v="20"/>
    <n v="1"/>
    <n v="1"/>
    <n v="0"/>
    <n v="1"/>
    <n v="0"/>
    <n v="0"/>
    <n v="0"/>
    <n v="2"/>
    <n v="0"/>
    <n v="0"/>
    <n v="0"/>
    <n v="0"/>
    <n v="0"/>
    <n v="0"/>
    <n v="0"/>
    <n v="0"/>
    <n v="0"/>
    <n v="2"/>
    <n v="0"/>
    <n v="0"/>
    <n v="0"/>
  </r>
  <r>
    <n v="525"/>
    <d v="2024-06-07T11:13:23"/>
    <d v="2024-06-07T11:17:15"/>
    <s v="vngwira@lighthouse.org.mw"/>
    <s v="Vincent Ngwira"/>
    <x v="11"/>
    <s v="COE"/>
    <x v="1"/>
    <s v="COP_24"/>
    <s v="COP_23"/>
    <s v="Quarter2"/>
    <s v="Quarter3"/>
    <s v="Qtr_3"/>
    <x v="6"/>
    <d v="2024-05-01T00:00:00"/>
    <d v="2024-05-31T00:00:00"/>
    <x v="4"/>
    <x v="31"/>
    <n v="1"/>
    <n v="5"/>
    <n v="0"/>
    <n v="2"/>
    <n v="0"/>
    <n v="7"/>
    <n v="2"/>
    <n v="3"/>
    <n v="0"/>
    <n v="0"/>
    <n v="0"/>
    <n v="0"/>
    <n v="0"/>
    <n v="0"/>
    <n v="0"/>
    <n v="0"/>
    <n v="0"/>
    <n v="1"/>
    <n v="0"/>
    <n v="0"/>
    <n v="0"/>
  </r>
  <r>
    <n v="654"/>
    <d v="2024-07-26T19:56:13"/>
    <d v="2024-07-26T20:00:01"/>
    <s v="vngwira@lighthouse.org.mw"/>
    <s v="Vincent Ngwira"/>
    <x v="11"/>
    <s v="COE"/>
    <x v="1"/>
    <s v="COP_24"/>
    <s v="COP_23"/>
    <s v="Quarter2"/>
    <s v="Quarter3"/>
    <s v="Qtr_3"/>
    <x v="8"/>
    <d v="2024-06-01T00:00:00"/>
    <d v="2024-06-30T00:00:00"/>
    <x v="0"/>
    <x v="141"/>
    <n v="64"/>
    <n v="61"/>
    <n v="5"/>
    <n v="69"/>
    <n v="11"/>
    <n v="141"/>
    <n v="49"/>
    <n v="98"/>
    <n v="5"/>
    <n v="5"/>
    <n v="5"/>
    <n v="0"/>
    <n v="0"/>
    <n v="3"/>
    <n v="2"/>
    <n v="5"/>
    <n v="2"/>
    <n v="60"/>
    <n v="3"/>
    <n v="6"/>
    <n v="5"/>
  </r>
  <r>
    <n v="655"/>
    <d v="2024-07-26T20:00:05"/>
    <d v="2024-07-26T20:06:24"/>
    <s v="vngwira@lighthouse.org.mw"/>
    <s v="Vincent Ngwira"/>
    <x v="11"/>
    <s v="COE"/>
    <x v="1"/>
    <s v="COP_24"/>
    <s v="COP_23"/>
    <s v="Quarter2"/>
    <s v="Quarter3"/>
    <s v="Qtr_3"/>
    <x v="8"/>
    <d v="2024-06-01T00:00:00"/>
    <d v="2024-06-30T00:00:00"/>
    <x v="6"/>
    <x v="7"/>
    <n v="53"/>
    <n v="0"/>
    <n v="1"/>
    <n v="48"/>
    <n v="7"/>
    <n v="56"/>
    <n v="22"/>
    <n v="55"/>
    <n v="4"/>
    <n v="4"/>
    <n v="4"/>
    <n v="0"/>
    <n v="0"/>
    <n v="0"/>
    <n v="0"/>
    <n v="2"/>
    <n v="1"/>
    <n v="18"/>
    <n v="1"/>
    <n v="2"/>
    <n v="4"/>
  </r>
  <r>
    <n v="656"/>
    <d v="2024-07-26T20:06:27"/>
    <d v="2024-07-26T20:08:40"/>
    <s v="vngwira@lighthouse.org.mw"/>
    <s v="Vincent Ngwira"/>
    <x v="11"/>
    <s v="COE"/>
    <x v="1"/>
    <s v="COP_24"/>
    <s v="COP_23"/>
    <s v="Quarter2"/>
    <s v="Quarter3"/>
    <s v="Qtr_3"/>
    <x v="8"/>
    <d v="2024-06-01T00:00:00"/>
    <d v="2024-06-30T00:00:00"/>
    <x v="3"/>
    <x v="37"/>
    <n v="3"/>
    <n v="4"/>
    <n v="0"/>
    <n v="2"/>
    <n v="0"/>
    <n v="0"/>
    <n v="0"/>
    <n v="6"/>
    <n v="0"/>
    <n v="0"/>
    <n v="0"/>
    <n v="0"/>
    <n v="0"/>
    <n v="0"/>
    <n v="0"/>
    <n v="0"/>
    <n v="0"/>
    <n v="6"/>
    <n v="1"/>
    <n v="1"/>
    <n v="0"/>
  </r>
  <r>
    <n v="659"/>
    <d v="2024-07-26T20:30:34"/>
    <d v="2024-07-26T20:32:36"/>
    <s v="vngwira@lighthouse.org.mw"/>
    <s v="Vincent Ngwira"/>
    <x v="11"/>
    <s v="COE"/>
    <x v="1"/>
    <s v="COP_24"/>
    <s v="COP_23"/>
    <s v="Quarter2"/>
    <s v="Quarter3"/>
    <s v="Qtr_3"/>
    <x v="8"/>
    <d v="2024-06-01T00:00:00"/>
    <d v="2024-06-30T00:00:00"/>
    <x v="4"/>
    <x v="31"/>
    <n v="1"/>
    <n v="5"/>
    <n v="1"/>
    <n v="1"/>
    <n v="0"/>
    <n v="7"/>
    <n v="2"/>
    <n v="3"/>
    <n v="0"/>
    <n v="0"/>
    <n v="0"/>
    <n v="0"/>
    <n v="0"/>
    <n v="0"/>
    <n v="0"/>
    <n v="0"/>
    <n v="0"/>
    <n v="2"/>
    <n v="0"/>
    <n v="0"/>
    <n v="0"/>
  </r>
  <r>
    <n v="660"/>
    <d v="2024-07-26T20:32:40"/>
    <d v="2024-07-26T20:34:11"/>
    <s v="vngwira@lighthouse.org.mw"/>
    <s v="Vincent Ngwira"/>
    <x v="11"/>
    <s v="COE"/>
    <x v="1"/>
    <s v="COP_24"/>
    <s v="COP_23"/>
    <s v="Quarter2"/>
    <s v="Quarter3"/>
    <s v="Qtr_3"/>
    <x v="8"/>
    <d v="2024-06-01T00:00:00"/>
    <d v="2024-06-30T00:00:00"/>
    <x v="5"/>
    <x v="16"/>
    <n v="1"/>
    <n v="14"/>
    <n v="3"/>
    <n v="3"/>
    <n v="1"/>
    <n v="19"/>
    <n v="8"/>
    <n v="11"/>
    <n v="1"/>
    <n v="1"/>
    <n v="1"/>
    <n v="0"/>
    <n v="0"/>
    <n v="0"/>
    <n v="0"/>
    <n v="0"/>
    <n v="0"/>
    <n v="11"/>
    <n v="0"/>
    <n v="0"/>
    <n v="1"/>
  </r>
  <r>
    <n v="759"/>
    <d v="2024-08-14T12:42:01"/>
    <d v="2024-08-14T12:44:32"/>
    <s v="vngwira@lighthouse.org.mw"/>
    <s v="Vincent Ngwira"/>
    <x v="11"/>
    <s v="COE"/>
    <x v="1"/>
    <s v="COP_23"/>
    <s v="COP_23"/>
    <s v="Quarter3"/>
    <s v="Quarter4"/>
    <s v="Qtr_4"/>
    <x v="9"/>
    <d v="2024-07-01T00:00:00"/>
    <d v="2024-07-31T00:00:00"/>
    <x v="4"/>
    <x v="20"/>
    <n v="2"/>
    <n v="2"/>
    <n v="0"/>
    <n v="0"/>
    <n v="0"/>
    <n v="2"/>
    <n v="1"/>
    <n v="1"/>
    <n v="0"/>
    <n v="0"/>
    <n v="0"/>
    <n v="0"/>
    <n v="0"/>
    <n v="0"/>
    <n v="0"/>
    <n v="0"/>
    <n v="0"/>
    <n v="0"/>
    <n v="0"/>
    <n v="0"/>
    <n v="0"/>
  </r>
  <r>
    <n v="760"/>
    <d v="2024-08-14T12:44:37"/>
    <d v="2024-08-14T12:47:30"/>
    <s v="vngwira@lighthouse.org.mw"/>
    <s v="Vincent Ngwira"/>
    <x v="11"/>
    <s v="COE"/>
    <x v="1"/>
    <s v="COP_23"/>
    <s v="COP_23"/>
    <s v="Quarter3"/>
    <s v="Quarter4"/>
    <s v="Qtr_4"/>
    <x v="9"/>
    <d v="2024-07-01T00:00:00"/>
    <d v="2024-07-31T00:00:00"/>
    <x v="3"/>
    <x v="20"/>
    <n v="1"/>
    <n v="0"/>
    <n v="1"/>
    <n v="0"/>
    <n v="1"/>
    <n v="1"/>
    <n v="0"/>
    <n v="1"/>
    <n v="0"/>
    <n v="0"/>
    <n v="0"/>
    <n v="0"/>
    <n v="0"/>
    <n v="0"/>
    <n v="0"/>
    <n v="0"/>
    <n v="0"/>
    <n v="0"/>
    <n v="0"/>
    <n v="0"/>
    <n v="0"/>
  </r>
  <r>
    <n v="761"/>
    <d v="2024-08-14T12:47:34"/>
    <d v="2024-08-14T12:49:34"/>
    <s v="vngwira@lighthouse.org.mw"/>
    <s v="Vincent Ngwira"/>
    <x v="11"/>
    <s v="COE"/>
    <x v="1"/>
    <s v="COP_23"/>
    <s v="COP_23"/>
    <s v="Quarter3"/>
    <s v="Quarter4"/>
    <s v="Qtr_4"/>
    <x v="9"/>
    <d v="2024-07-01T00:00:00"/>
    <d v="2024-07-31T00:00:00"/>
    <x v="5"/>
    <x v="61"/>
    <n v="19"/>
    <n v="17"/>
    <n v="1"/>
    <n v="1"/>
    <n v="0"/>
    <n v="19"/>
    <n v="5"/>
    <n v="5"/>
    <n v="0"/>
    <n v="0"/>
    <n v="0"/>
    <n v="0"/>
    <n v="0"/>
    <n v="0"/>
    <n v="0"/>
    <n v="0"/>
    <n v="0"/>
    <n v="4"/>
    <n v="0"/>
    <n v="0"/>
    <n v="0"/>
  </r>
  <r>
    <n v="783"/>
    <d v="2024-08-20T10:15:25"/>
    <d v="2024-08-20T10:19:37"/>
    <s v="vngwira@lighthouse.org.mw"/>
    <s v="Vincent Ngwira"/>
    <x v="11"/>
    <s v="COE"/>
    <x v="1"/>
    <s v="COP_23"/>
    <s v="COP_23"/>
    <s v="Quarter3"/>
    <s v="Quarter4"/>
    <s v="Qtr_4"/>
    <x v="9"/>
    <d v="2024-07-01T00:00:00"/>
    <d v="2024-07-31T00:00:00"/>
    <x v="6"/>
    <x v="8"/>
    <n v="43"/>
    <n v="3"/>
    <n v="0"/>
    <n v="32"/>
    <n v="10"/>
    <n v="42"/>
    <n v="18"/>
    <n v="45"/>
    <n v="1"/>
    <n v="3"/>
    <n v="1"/>
    <n v="0"/>
    <n v="0"/>
    <n v="1"/>
    <n v="1"/>
    <n v="3"/>
    <n v="1"/>
    <n v="24"/>
    <n v="8"/>
    <n v="9"/>
    <n v="1"/>
  </r>
  <r>
    <n v="784"/>
    <d v="2024-08-20T10:19:41"/>
    <d v="2024-08-20T10:24:06"/>
    <s v="vngwira@lighthouse.org.mw"/>
    <s v="Vincent Ngwira"/>
    <x v="11"/>
    <s v="COE"/>
    <x v="1"/>
    <s v="COP_23"/>
    <s v="COP_23"/>
    <s v="Quarter3"/>
    <s v="Quarter4"/>
    <s v="Qtr_4"/>
    <x v="9"/>
    <d v="2024-07-01T00:00:00"/>
    <d v="2024-07-31T00:00:00"/>
    <x v="0"/>
    <x v="142"/>
    <n v="54"/>
    <n v="52"/>
    <n v="5"/>
    <n v="56"/>
    <n v="18"/>
    <n v="126"/>
    <n v="40"/>
    <n v="84"/>
    <n v="1"/>
    <n v="3"/>
    <n v="1"/>
    <n v="0"/>
    <n v="0"/>
    <n v="4"/>
    <n v="1"/>
    <n v="5"/>
    <n v="1"/>
    <n v="46"/>
    <n v="11"/>
    <n v="12"/>
    <n v="1"/>
  </r>
  <r>
    <n v="805"/>
    <d v="2024-09-16T08:50:56"/>
    <d v="2024-09-16T08:55:52"/>
    <s v="vngwira@lighthouse.org.mw"/>
    <s v="Vincent Ngwira"/>
    <x v="11"/>
    <s v="COE"/>
    <x v="1"/>
    <s v="COP_23"/>
    <s v="COP_23"/>
    <s v="Quarter3"/>
    <s v="Quarter4"/>
    <s v="Qtr_4"/>
    <x v="10"/>
    <d v="2024-08-01T00:00:00"/>
    <d v="2024-08-31T00:00:00"/>
    <x v="0"/>
    <x v="143"/>
    <n v="85"/>
    <n v="65"/>
    <n v="2"/>
    <n v="74"/>
    <n v="44"/>
    <n v="159"/>
    <n v="58"/>
    <n v="147"/>
    <n v="9"/>
    <n v="6"/>
    <n v="0"/>
    <n v="52"/>
    <n v="1"/>
    <n v="8"/>
    <n v="0"/>
    <n v="0"/>
    <n v="0"/>
    <n v="90"/>
    <n v="22"/>
    <n v="19"/>
    <n v="1"/>
  </r>
  <r>
    <n v="806"/>
    <d v="2024-09-16T08:56:21"/>
    <d v="2024-09-16T08:58:37"/>
    <s v="vngwira@lighthouse.org.mw"/>
    <s v="Vincent Ngwira"/>
    <x v="11"/>
    <s v="COE"/>
    <x v="1"/>
    <s v="COP_23"/>
    <s v="COP_23"/>
    <s v="Quarter3"/>
    <s v="Quarter4"/>
    <s v="Qtr_4"/>
    <x v="10"/>
    <d v="2024-08-01T00:00:00"/>
    <d v="2024-08-31T00:00:00"/>
    <x v="5"/>
    <x v="55"/>
    <n v="1"/>
    <n v="39"/>
    <n v="0"/>
    <n v="1"/>
    <n v="1"/>
    <n v="32"/>
    <n v="13"/>
    <n v="29"/>
    <n v="2"/>
    <n v="2"/>
    <n v="0"/>
    <n v="13"/>
    <n v="0"/>
    <n v="3"/>
    <n v="0"/>
    <n v="0"/>
    <n v="0"/>
    <n v="13"/>
    <n v="0"/>
    <n v="0"/>
    <n v="0"/>
  </r>
  <r>
    <n v="807"/>
    <d v="2024-09-16T08:58:39"/>
    <d v="2024-09-16T09:02:18"/>
    <s v="vngwira@lighthouse.org.mw"/>
    <s v="Vincent Ngwira"/>
    <x v="11"/>
    <s v="COE"/>
    <x v="1"/>
    <s v="COP_23"/>
    <s v="COP_23"/>
    <s v="Quarter3"/>
    <s v="Quarter4"/>
    <s v="Qtr_4"/>
    <x v="10"/>
    <d v="2024-08-01T00:00:00"/>
    <d v="2024-08-31T00:00:00"/>
    <x v="3"/>
    <x v="54"/>
    <n v="0"/>
    <n v="5"/>
    <n v="0"/>
    <n v="0"/>
    <n v="0"/>
    <n v="0"/>
    <n v="0"/>
    <n v="5"/>
    <n v="0"/>
    <n v="0"/>
    <n v="0"/>
    <n v="1"/>
    <n v="0"/>
    <n v="0"/>
    <n v="0"/>
    <n v="0"/>
    <n v="0"/>
    <n v="2"/>
    <n v="0"/>
    <n v="0"/>
    <n v="0"/>
  </r>
  <r>
    <n v="808"/>
    <d v="2024-09-16T09:02:26"/>
    <d v="2024-09-16T09:04:39"/>
    <s v="vngwira@lighthouse.org.mw"/>
    <s v="Vincent Ngwira"/>
    <x v="11"/>
    <s v="COE"/>
    <x v="1"/>
    <s v="COP_23"/>
    <s v="COP_23"/>
    <s v="Quarter3"/>
    <s v="Quarter4"/>
    <s v="Qtr_4"/>
    <x v="10"/>
    <d v="2024-08-01T00:00:00"/>
    <d v="2024-08-31T00:00:00"/>
    <x v="4"/>
    <x v="54"/>
    <n v="0"/>
    <n v="5"/>
    <n v="0"/>
    <n v="0"/>
    <n v="0"/>
    <n v="4"/>
    <n v="2"/>
    <n v="5"/>
    <n v="0"/>
    <n v="0"/>
    <n v="0"/>
    <n v="4"/>
    <n v="0"/>
    <n v="1"/>
    <n v="0"/>
    <n v="0"/>
    <n v="0"/>
    <n v="2"/>
    <n v="0"/>
    <n v="0"/>
    <n v="0"/>
  </r>
  <r>
    <n v="810"/>
    <d v="2024-09-16T09:07:47"/>
    <d v="2024-09-16T09:12:03"/>
    <s v="vngwira@lighthouse.org.mw"/>
    <s v="Vincent Ngwira"/>
    <x v="11"/>
    <s v="COE"/>
    <x v="1"/>
    <s v="COP_23"/>
    <s v="COP_23"/>
    <s v="Quarter3"/>
    <s v="Quarter4"/>
    <s v="Qtr_4"/>
    <x v="10"/>
    <d v="2024-08-01T00:00:00"/>
    <d v="2024-08-31T00:00:00"/>
    <x v="6"/>
    <x v="144"/>
    <n v="63"/>
    <n v="2"/>
    <n v="0"/>
    <n v="44"/>
    <n v="22"/>
    <n v="62"/>
    <n v="26"/>
    <n v="66"/>
    <n v="4"/>
    <n v="4"/>
    <n v="0"/>
    <n v="18"/>
    <n v="1"/>
    <n v="0"/>
    <n v="0"/>
    <n v="8"/>
    <n v="4"/>
    <n v="48"/>
    <n v="18"/>
    <n v="15"/>
    <n v="1"/>
  </r>
  <r>
    <n v="68"/>
    <d v="2024-01-11T09:45:39"/>
    <d v="2024-01-11T09:47:44"/>
    <s v="vngwira@lighthouse.org.mw"/>
    <s v="Vincent Ngwira"/>
    <x v="11"/>
    <s v="COE"/>
    <x v="0"/>
    <s v="COP_23"/>
    <s v="COP_23"/>
    <s v="Quarter4"/>
    <s v="Quarter1"/>
    <s v="Qtr_1"/>
    <x v="0"/>
    <d v="2023-10-01T00:00:00"/>
    <d v="2023-10-31T00:00:00"/>
    <x v="2"/>
    <x v="53"/>
    <n v="15"/>
    <n v="14"/>
    <n v="0"/>
    <n v="6"/>
    <n v="0"/>
    <n v="20"/>
    <n v="6"/>
    <n v="10"/>
    <n v="0"/>
    <n v="0"/>
    <n v="0"/>
    <n v="5"/>
    <n v="1"/>
    <n v="2"/>
    <n v="0"/>
    <n v="2"/>
    <n v="0"/>
    <n v="3"/>
    <n v="0"/>
    <n v="1"/>
    <n v="0"/>
  </r>
  <r>
    <n v="72"/>
    <d v="2024-01-11T09:55:13"/>
    <d v="2024-01-11T09:58:03"/>
    <s v="vngwira@lighthouse.org.mw"/>
    <s v="Vincent Ngwira"/>
    <x v="11"/>
    <s v="COE"/>
    <x v="0"/>
    <s v="COP_23"/>
    <s v="COP_23"/>
    <s v="Quarter4"/>
    <s v="Quarter1"/>
    <s v="Qtr_1"/>
    <x v="1"/>
    <d v="2023-11-01T00:00:00"/>
    <d v="2023-11-30T00:00:00"/>
    <x v="2"/>
    <x v="44"/>
    <n v="1"/>
    <n v="12"/>
    <n v="0"/>
    <n v="3"/>
    <n v="1"/>
    <n v="16"/>
    <n v="6"/>
    <n v="6"/>
    <n v="1"/>
    <n v="1"/>
    <n v="1"/>
    <n v="7"/>
    <n v="0"/>
    <n v="1"/>
    <n v="0"/>
    <n v="4"/>
    <n v="0"/>
    <n v="5"/>
    <n v="0"/>
    <n v="0"/>
    <n v="1"/>
  </r>
  <r>
    <n v="75"/>
    <d v="2024-01-11T10:05:26"/>
    <d v="2024-01-11T10:05:54"/>
    <s v="vngwira@lighthouse.org.mw"/>
    <s v="Vincent Ngwira"/>
    <x v="11"/>
    <s v="COE"/>
    <x v="0"/>
    <s v="COP_23"/>
    <s v="COP_23"/>
    <s v="Quarter4"/>
    <s v="Quarter1"/>
    <s v="Qtr_1"/>
    <x v="11"/>
    <d v="2023-12-01T00:00:00"/>
    <d v="2023-12-31T00:00:00"/>
    <x v="2"/>
    <x v="9"/>
    <n v="8"/>
    <n v="13"/>
    <n v="0"/>
    <n v="5"/>
    <n v="7"/>
    <n v="25"/>
    <n v="8"/>
    <n v="13"/>
    <n v="0"/>
    <n v="1"/>
    <n v="0"/>
    <n v="11"/>
    <n v="0"/>
    <n v="3"/>
    <n v="0"/>
    <n v="2"/>
    <n v="2"/>
    <n v="4"/>
    <n v="0"/>
    <n v="1"/>
    <n v="0"/>
  </r>
  <r>
    <n v="143"/>
    <d v="2024-02-06T09:44:31"/>
    <d v="2024-02-06T09:47:27"/>
    <s v="vngwira@lighthouse.org.mw"/>
    <s v="Vincent Ngwira"/>
    <x v="11"/>
    <s v="COE"/>
    <x v="1"/>
    <s v="COP_23"/>
    <s v="COP_23"/>
    <s v="Quarter1"/>
    <s v="Quarter2"/>
    <s v="Qtr_2"/>
    <x v="4"/>
    <d v="2024-01-01T00:00:00"/>
    <d v="2024-01-31T00:00:00"/>
    <x v="2"/>
    <x v="17"/>
    <n v="6"/>
    <n v="19"/>
    <n v="0"/>
    <n v="4"/>
    <n v="0"/>
    <n v="23"/>
    <n v="8"/>
    <n v="9"/>
    <n v="0"/>
    <n v="0"/>
    <n v="0"/>
    <n v="9"/>
    <n v="3"/>
    <n v="0"/>
    <n v="0"/>
    <n v="2"/>
    <n v="2"/>
    <n v="3"/>
    <n v="3"/>
    <n v="3"/>
    <n v="0"/>
  </r>
  <r>
    <n v="179"/>
    <d v="2024-03-20T08:14:11"/>
    <d v="2024-03-20T08:16:23"/>
    <s v="vngwira@lighthouse.org.mw"/>
    <s v="Vincent Ngwira"/>
    <x v="11"/>
    <s v="COE"/>
    <x v="1"/>
    <s v="COP_23"/>
    <s v="COP_23"/>
    <s v="Quarter1"/>
    <s v="Quarter2"/>
    <s v="Qtr_2"/>
    <x v="5"/>
    <d v="2024-02-01T00:00:00"/>
    <d v="2024-02-29T00:00:00"/>
    <x v="2"/>
    <x v="52"/>
    <n v="5"/>
    <n v="14"/>
    <n v="0"/>
    <n v="5"/>
    <n v="5"/>
    <n v="22"/>
    <n v="7"/>
    <n v="11"/>
    <n v="0"/>
    <n v="0"/>
    <n v="0"/>
    <n v="10"/>
    <n v="2"/>
    <n v="1"/>
    <n v="0"/>
    <n v="2"/>
    <n v="1"/>
    <n v="5"/>
    <n v="1"/>
    <n v="2"/>
    <n v="0"/>
  </r>
  <r>
    <n v="89"/>
    <d v="2024-01-16T15:32:12"/>
    <d v="2024-01-16T15:36:51"/>
    <s v="vngwira@lighthouse.org.mw"/>
    <s v="Vincent Ngwira"/>
    <x v="11"/>
    <s v="COE"/>
    <x v="0"/>
    <s v="COP_23"/>
    <s v="COP_23"/>
    <s v="Quarter4"/>
    <s v="Quarter1"/>
    <s v="Qtr_1"/>
    <x v="0"/>
    <d v="2023-10-01T00:00:00"/>
    <d v="2023-10-31T00:00:00"/>
    <x v="1"/>
    <x v="48"/>
    <n v="13"/>
    <n v="32"/>
    <n v="0"/>
    <n v="16"/>
    <n v="6"/>
    <n v="54"/>
    <n v="23"/>
    <n v="29"/>
    <n v="2"/>
    <n v="2"/>
    <n v="1"/>
    <n v="20"/>
    <n v="4"/>
    <n v="12"/>
    <n v="0"/>
    <n v="13"/>
    <n v="3"/>
    <n v="17"/>
    <n v="3"/>
    <n v="5"/>
    <n v="1"/>
  </r>
  <r>
    <n v="241"/>
    <d v="2024-04-12T09:22:58"/>
    <d v="2024-04-12T09:24:33"/>
    <s v="vngwira@lighthouse.org.mw"/>
    <s v="Vincent Ngwira"/>
    <x v="11"/>
    <s v="COE"/>
    <x v="1"/>
    <s v="COP_23"/>
    <s v="COP_23"/>
    <s v="Quarter1"/>
    <s v="Quarter2"/>
    <s v="Qtr_2"/>
    <x v="3"/>
    <d v="2024-03-01T00:00:00"/>
    <d v="2024-03-31T00:00:00"/>
    <x v="2"/>
    <x v="0"/>
    <n v="8"/>
    <n v="24"/>
    <n v="0"/>
    <n v="7"/>
    <n v="4"/>
    <n v="35"/>
    <n v="7"/>
    <n v="11"/>
    <n v="0"/>
    <n v="0"/>
    <n v="0"/>
    <n v="11"/>
    <n v="3"/>
    <n v="0"/>
    <n v="0"/>
    <n v="0"/>
    <n v="0"/>
    <n v="0"/>
    <n v="0"/>
    <n v="3"/>
    <n v="0"/>
  </r>
  <r>
    <n v="450"/>
    <d v="2024-05-21T13:16:18"/>
    <d v="2024-05-21T13:20:05"/>
    <s v="vngwira@lighthouse.org.mw"/>
    <s v="Vincent Ngwira"/>
    <x v="11"/>
    <s v="COE"/>
    <x v="1"/>
    <s v="COP_24"/>
    <s v="COP_23"/>
    <s v="Quarter2"/>
    <s v="Quarter3"/>
    <s v="Qtr_3"/>
    <x v="7"/>
    <d v="2024-04-01T00:00:00"/>
    <d v="2024-04-30T00:00:00"/>
    <x v="2"/>
    <x v="60"/>
    <n v="4"/>
    <n v="11"/>
    <n v="1"/>
    <n v="6"/>
    <n v="0"/>
    <n v="18"/>
    <n v="6"/>
    <n v="8"/>
    <n v="0"/>
    <n v="0"/>
    <n v="0"/>
    <n v="0"/>
    <n v="0"/>
    <n v="0"/>
    <n v="0"/>
    <n v="0"/>
    <n v="0"/>
    <n v="7"/>
    <n v="6"/>
    <n v="0"/>
    <n v="0"/>
  </r>
  <r>
    <n v="90"/>
    <d v="2024-01-16T15:36:54"/>
    <d v="2024-01-16T15:39:11"/>
    <s v="vngwira@lighthouse.org.mw"/>
    <s v="Vincent Ngwira"/>
    <x v="11"/>
    <s v="COE"/>
    <x v="0"/>
    <s v="COP_23"/>
    <s v="COP_23"/>
    <s v="Quarter4"/>
    <s v="Quarter1"/>
    <s v="Qtr_1"/>
    <x v="1"/>
    <d v="2023-11-01T00:00:00"/>
    <d v="2023-11-30T00:00:00"/>
    <x v="1"/>
    <x v="43"/>
    <n v="6"/>
    <n v="19"/>
    <n v="3"/>
    <n v="4"/>
    <n v="6"/>
    <n v="32"/>
    <n v="12"/>
    <n v="19"/>
    <n v="2"/>
    <n v="3"/>
    <n v="1"/>
    <n v="18"/>
    <n v="0"/>
    <n v="2"/>
    <n v="0"/>
    <n v="8"/>
    <n v="0"/>
    <n v="11"/>
    <n v="1"/>
    <n v="1"/>
    <n v="0"/>
  </r>
  <r>
    <n v="91"/>
    <d v="2024-01-16T15:39:14"/>
    <d v="2024-01-16T15:42:09"/>
    <s v="vngwira@lighthouse.org.mw"/>
    <s v="Vincent Ngwira"/>
    <x v="11"/>
    <s v="COE"/>
    <x v="0"/>
    <s v="COP_23"/>
    <s v="COP_23"/>
    <s v="Quarter4"/>
    <s v="Quarter1"/>
    <s v="Qtr_1"/>
    <x v="11"/>
    <d v="2023-12-01T00:00:00"/>
    <d v="2023-12-31T00:00:00"/>
    <x v="1"/>
    <x v="65"/>
    <n v="12"/>
    <n v="19"/>
    <n v="0"/>
    <n v="13"/>
    <n v="8"/>
    <n v="40"/>
    <n v="23"/>
    <n v="27"/>
    <n v="1"/>
    <n v="1"/>
    <n v="1"/>
    <n v="23"/>
    <n v="4"/>
    <n v="6"/>
    <n v="0"/>
    <n v="9"/>
    <n v="5"/>
    <n v="12"/>
    <n v="3"/>
    <n v="14"/>
    <n v="1"/>
  </r>
  <r>
    <n v="144"/>
    <d v="2024-02-06T14:59:12"/>
    <d v="2024-02-06T15:02:26"/>
    <s v="vngwira@lighthouse.org.mw"/>
    <s v="Vincent Ngwira"/>
    <x v="11"/>
    <s v="COE"/>
    <x v="1"/>
    <s v="COP_23"/>
    <s v="COP_23"/>
    <s v="Quarter1"/>
    <s v="Quarter2"/>
    <s v="Qtr_2"/>
    <x v="4"/>
    <d v="2024-01-01T00:00:00"/>
    <d v="2024-01-31T00:00:00"/>
    <x v="1"/>
    <x v="108"/>
    <n v="15"/>
    <n v="37"/>
    <n v="0"/>
    <n v="10"/>
    <n v="10"/>
    <n v="54"/>
    <n v="28"/>
    <n v="34"/>
    <n v="1"/>
    <n v="1"/>
    <n v="1"/>
    <n v="33"/>
    <n v="3"/>
    <n v="0"/>
    <n v="0"/>
    <n v="3"/>
    <n v="1"/>
    <n v="7"/>
    <n v="3"/>
    <n v="8"/>
    <n v="1"/>
  </r>
  <r>
    <n v="519"/>
    <d v="2024-06-07T10:56:05"/>
    <d v="2024-06-07T10:58:05"/>
    <s v="vngwira@lighthouse.org.mw"/>
    <s v="Vincent Ngwira"/>
    <x v="11"/>
    <s v="COE"/>
    <x v="1"/>
    <s v="COP_24"/>
    <s v="COP_23"/>
    <s v="Quarter2"/>
    <s v="Quarter3"/>
    <s v="Qtr_3"/>
    <x v="6"/>
    <d v="2024-05-01T00:00:00"/>
    <d v="2024-05-31T00:00:00"/>
    <x v="2"/>
    <x v="81"/>
    <n v="7"/>
    <n v="16"/>
    <n v="4"/>
    <n v="11"/>
    <n v="2"/>
    <n v="31"/>
    <n v="11"/>
    <n v="17"/>
    <n v="0"/>
    <n v="0"/>
    <n v="0"/>
    <n v="0"/>
    <n v="0"/>
    <n v="1"/>
    <n v="0"/>
    <n v="2"/>
    <n v="1"/>
    <n v="9"/>
    <n v="7"/>
    <n v="2"/>
    <n v="0"/>
  </r>
  <r>
    <n v="175"/>
    <d v="2024-03-20T07:58:17"/>
    <d v="2024-03-20T08:03:38"/>
    <s v="vngwira@lighthouse.org.mw"/>
    <s v="Vincent Ngwira"/>
    <x v="11"/>
    <s v="COE"/>
    <x v="1"/>
    <s v="COP_23"/>
    <s v="COP_23"/>
    <s v="Quarter1"/>
    <s v="Quarter2"/>
    <s v="Qtr_2"/>
    <x v="5"/>
    <d v="2024-02-01T00:00:00"/>
    <d v="2024-02-29T00:00:00"/>
    <x v="1"/>
    <x v="10"/>
    <n v="15"/>
    <n v="29"/>
    <n v="1"/>
    <n v="15"/>
    <n v="6"/>
    <n v="49"/>
    <n v="19"/>
    <n v="32"/>
    <n v="2"/>
    <n v="2"/>
    <n v="1"/>
    <n v="32"/>
    <n v="6"/>
    <n v="1"/>
    <n v="0"/>
    <n v="2"/>
    <n v="1"/>
    <n v="11"/>
    <n v="9"/>
    <n v="6"/>
    <n v="0"/>
  </r>
  <r>
    <n v="240"/>
    <d v="2024-04-12T09:20:25"/>
    <d v="2024-04-12T09:22:44"/>
    <s v="vngwira@lighthouse.org.mw"/>
    <s v="Vincent Ngwira"/>
    <x v="11"/>
    <s v="COE"/>
    <x v="1"/>
    <s v="COP_23"/>
    <s v="COP_23"/>
    <s v="Quarter1"/>
    <s v="Quarter2"/>
    <s v="Qtr_2"/>
    <x v="3"/>
    <d v="2024-03-01T00:00:00"/>
    <d v="2024-03-31T00:00:00"/>
    <x v="1"/>
    <x v="40"/>
    <n v="7"/>
    <n v="19"/>
    <n v="5"/>
    <n v="12"/>
    <n v="1"/>
    <n v="37"/>
    <n v="17"/>
    <n v="21"/>
    <n v="0"/>
    <n v="1"/>
    <n v="1"/>
    <n v="20"/>
    <n v="5"/>
    <n v="0"/>
    <n v="0"/>
    <n v="3"/>
    <n v="1"/>
    <n v="6"/>
    <n v="6"/>
    <n v="5"/>
    <n v="0"/>
  </r>
  <r>
    <n v="657"/>
    <d v="2024-07-26T20:08:45"/>
    <d v="2024-07-26T20:24:50"/>
    <s v="vngwira@lighthouse.org.mw"/>
    <s v="Vincent Ngwira"/>
    <x v="11"/>
    <s v="COE"/>
    <x v="1"/>
    <s v="COP_24"/>
    <s v="COP_23"/>
    <s v="Quarter2"/>
    <s v="Quarter3"/>
    <s v="Qtr_3"/>
    <x v="8"/>
    <d v="2024-06-01T00:00:00"/>
    <d v="2024-06-30T00:00:00"/>
    <x v="2"/>
    <x v="17"/>
    <n v="0"/>
    <n v="21"/>
    <n v="0"/>
    <n v="0"/>
    <n v="2"/>
    <n v="23"/>
    <n v="7"/>
    <n v="7"/>
    <n v="1"/>
    <n v="1"/>
    <n v="1"/>
    <n v="0"/>
    <n v="0"/>
    <n v="0"/>
    <n v="0"/>
    <n v="0"/>
    <n v="0"/>
    <n v="7"/>
    <n v="6"/>
    <n v="1"/>
    <n v="1"/>
  </r>
  <r>
    <n v="782"/>
    <d v="2024-08-20T10:11:57"/>
    <d v="2024-08-20T10:15:08"/>
    <s v="vngwira@lighthouse.org.mw"/>
    <s v="Vincent Ngwira"/>
    <x v="11"/>
    <s v="COE"/>
    <x v="1"/>
    <s v="COP_23"/>
    <s v="COP_23"/>
    <s v="Quarter3"/>
    <s v="Quarter4"/>
    <s v="Qtr_4"/>
    <x v="9"/>
    <d v="2024-07-01T00:00:00"/>
    <d v="2024-07-31T00:00:00"/>
    <x v="2"/>
    <x v="34"/>
    <n v="4"/>
    <n v="23"/>
    <n v="0"/>
    <n v="4"/>
    <n v="2"/>
    <n v="29"/>
    <n v="8"/>
    <n v="12"/>
    <n v="0"/>
    <n v="0"/>
    <n v="0"/>
    <n v="0"/>
    <n v="0"/>
    <n v="1"/>
    <n v="1"/>
    <n v="1"/>
    <n v="0"/>
    <n v="7"/>
    <n v="1"/>
    <n v="1"/>
    <n v="0"/>
  </r>
  <r>
    <n v="452"/>
    <d v="2024-05-21T13:37:19"/>
    <d v="2024-05-21T13:43:29"/>
    <s v="vngwira@lighthouse.org.mw"/>
    <s v="Vincent Ngwira"/>
    <x v="11"/>
    <s v="COE"/>
    <x v="1"/>
    <s v="COP_24"/>
    <s v="COP_23"/>
    <s v="Quarter2"/>
    <s v="Quarter3"/>
    <s v="Qtr_3"/>
    <x v="7"/>
    <d v="2024-04-01T00:00:00"/>
    <d v="2024-04-30T00:00:00"/>
    <x v="1"/>
    <x v="48"/>
    <n v="14"/>
    <n v="31"/>
    <n v="1"/>
    <n v="14"/>
    <n v="8"/>
    <n v="53"/>
    <n v="27"/>
    <n v="33"/>
    <n v="0"/>
    <n v="0"/>
    <n v="0"/>
    <n v="15"/>
    <n v="3"/>
    <n v="3"/>
    <n v="0"/>
    <n v="2"/>
    <n v="1"/>
    <n v="16"/>
    <n v="0"/>
    <n v="3"/>
    <n v="0"/>
  </r>
  <r>
    <n v="653"/>
    <d v="2024-07-26T19:55:39"/>
    <d v="2024-07-26T19:56:06"/>
    <s v="vngwira@lighthouse.org.mw"/>
    <s v="Vincent Ngwira"/>
    <x v="11"/>
    <s v="COE"/>
    <x v="1"/>
    <s v="COP_24"/>
    <s v="COP_23"/>
    <s v="Quarter2"/>
    <s v="Quarter3"/>
    <s v="Qtr_3"/>
    <x v="6"/>
    <d v="2024-05-01T00:00:00"/>
    <d v="2024-05-31T00:00:00"/>
    <x v="1"/>
    <x v="50"/>
    <n v="8"/>
    <n v="14"/>
    <n v="7"/>
    <n v="19"/>
    <n v="6"/>
    <n v="46"/>
    <n v="28"/>
    <n v="42"/>
    <n v="1"/>
    <n v="1"/>
    <n v="1"/>
    <n v="0"/>
    <n v="0"/>
    <n v="5"/>
    <n v="0"/>
    <n v="1"/>
    <n v="1"/>
    <n v="24"/>
    <n v="1"/>
    <n v="1"/>
    <n v="1"/>
  </r>
  <r>
    <n v="811"/>
    <d v="2024-09-16T09:12:05"/>
    <d v="2024-09-16T09:14:32"/>
    <s v="vngwira@lighthouse.org.mw"/>
    <s v="Vincent Ngwira"/>
    <x v="11"/>
    <s v="COE"/>
    <x v="1"/>
    <s v="COP_23"/>
    <s v="COP_23"/>
    <s v="Quarter3"/>
    <s v="Quarter4"/>
    <s v="Qtr_4"/>
    <x v="10"/>
    <d v="2024-08-01T00:00:00"/>
    <d v="2024-08-31T00:00:00"/>
    <x v="2"/>
    <x v="56"/>
    <n v="7"/>
    <n v="19"/>
    <n v="0"/>
    <n v="4"/>
    <n v="5"/>
    <n v="26"/>
    <n v="9"/>
    <n v="16"/>
    <n v="1"/>
    <n v="1"/>
    <n v="0"/>
    <n v="6"/>
    <n v="1"/>
    <n v="0"/>
    <n v="0"/>
    <n v="1"/>
    <n v="0"/>
    <n v="12"/>
    <n v="5"/>
    <n v="3"/>
    <n v="0"/>
  </r>
  <r>
    <n v="959"/>
    <d v="2024-10-18T12:41:21"/>
    <d v="2024-10-18T12:45:14"/>
    <s v="vngwira@lighthouse.org.mw"/>
    <s v="Vincent Ngwira"/>
    <x v="11"/>
    <s v="COE"/>
    <x v="1"/>
    <s v="COP_23"/>
    <s v="COP_23"/>
    <s v="Quarter3"/>
    <s v="Quarter4"/>
    <s v="Qtr_4"/>
    <x v="2"/>
    <d v="2024-09-01T00:00:00"/>
    <d v="2024-09-30T00:00:00"/>
    <x v="2"/>
    <x v="56"/>
    <n v="4"/>
    <n v="23"/>
    <n v="0"/>
    <n v="2"/>
    <n v="3"/>
    <n v="28"/>
    <n v="6"/>
    <n v="7"/>
    <n v="0"/>
    <n v="1"/>
    <n v="0"/>
    <n v="7"/>
    <n v="1"/>
    <n v="0"/>
    <n v="0"/>
    <n v="2"/>
    <n v="1"/>
    <n v="4"/>
    <n v="2"/>
    <n v="3"/>
    <n v="0"/>
  </r>
  <r>
    <n v="658"/>
    <d v="2024-07-26T20:24:56"/>
    <d v="2024-07-26T20:30:18"/>
    <s v="vngwira@lighthouse.org.mw"/>
    <s v="Vincent Ngwira"/>
    <x v="11"/>
    <s v="COE"/>
    <x v="1"/>
    <s v="COP_24"/>
    <s v="COP_23"/>
    <s v="Quarter2"/>
    <s v="Quarter3"/>
    <s v="Qtr_3"/>
    <x v="8"/>
    <d v="2024-06-01T00:00:00"/>
    <d v="2024-06-30T00:00:00"/>
    <x v="1"/>
    <x v="64"/>
    <n v="5"/>
    <n v="32"/>
    <n v="1"/>
    <n v="4"/>
    <n v="2"/>
    <n v="36"/>
    <n v="11"/>
    <n v="15"/>
    <n v="0"/>
    <n v="0"/>
    <n v="0"/>
    <n v="0"/>
    <n v="0"/>
    <n v="1"/>
    <n v="1"/>
    <n v="2"/>
    <n v="1"/>
    <n v="15"/>
    <n v="14"/>
    <n v="3"/>
    <n v="0"/>
  </r>
  <r>
    <n v="1071"/>
    <d v="2024-11-15T10:39:59"/>
    <d v="2024-11-15T10:42:04"/>
    <s v="vngwira@lighthouse.org.mw"/>
    <s v="Vincent Ngwira"/>
    <x v="11"/>
    <s v="COE"/>
    <x v="1"/>
    <s v="COP_24"/>
    <s v="COP_24"/>
    <s v="Quarter4"/>
    <s v="Quarter1"/>
    <s v="Qtr_1"/>
    <x v="0"/>
    <d v="2024-10-01T00:00:00"/>
    <d v="2024-10-31T00:00:00"/>
    <x v="2"/>
    <x v="58"/>
    <n v="7"/>
    <n v="25"/>
    <n v="1"/>
    <n v="12"/>
    <n v="0"/>
    <n v="38"/>
    <n v="15"/>
    <n v="19"/>
    <n v="1"/>
    <n v="1"/>
    <n v="0"/>
    <n v="17"/>
    <n v="1"/>
    <n v="3"/>
    <n v="0"/>
    <n v="8"/>
    <n v="0"/>
    <n v="15"/>
    <n v="2"/>
    <n v="2"/>
    <n v="0"/>
  </r>
  <r>
    <n v="781"/>
    <d v="2024-08-20T10:10:23"/>
    <d v="2024-08-20T10:11:35"/>
    <s v="vngwira@lighthouse.org.mw"/>
    <s v="Vincent Ngwira"/>
    <x v="11"/>
    <s v="COE"/>
    <x v="1"/>
    <s v="COP_23"/>
    <s v="COP_23"/>
    <s v="Quarter3"/>
    <s v="Quarter4"/>
    <s v="Qtr_4"/>
    <x v="9"/>
    <d v="2024-07-01T00:00:00"/>
    <d v="2024-07-31T00:00:00"/>
    <x v="1"/>
    <x v="28"/>
    <n v="4"/>
    <n v="20"/>
    <n v="2"/>
    <n v="8"/>
    <n v="1"/>
    <n v="31"/>
    <n v="8"/>
    <n v="31"/>
    <n v="1"/>
    <n v="1"/>
    <n v="1"/>
    <n v="0"/>
    <n v="0"/>
    <n v="5"/>
    <n v="0"/>
    <n v="1"/>
    <n v="1"/>
    <n v="9"/>
    <n v="1"/>
    <n v="1"/>
    <n v="1"/>
  </r>
  <r>
    <n v="809"/>
    <d v="2024-09-16T09:04:41"/>
    <d v="2024-09-16T09:07:29"/>
    <s v="vngwira@lighthouse.org.mw"/>
    <s v="Vincent Ngwira"/>
    <x v="11"/>
    <s v="COE"/>
    <x v="1"/>
    <s v="COP_23"/>
    <s v="COP_23"/>
    <s v="Quarter3"/>
    <s v="Quarter4"/>
    <s v="Qtr_4"/>
    <x v="10"/>
    <d v="2024-08-01T00:00:00"/>
    <d v="2024-08-31T00:00:00"/>
    <x v="1"/>
    <x v="40"/>
    <n v="15"/>
    <n v="17"/>
    <n v="1"/>
    <n v="12"/>
    <n v="7"/>
    <n v="34"/>
    <n v="15"/>
    <n v="26"/>
    <n v="1"/>
    <n v="2"/>
    <n v="0"/>
    <n v="3"/>
    <n v="0"/>
    <n v="0"/>
    <n v="0"/>
    <n v="2"/>
    <n v="0"/>
    <n v="20"/>
    <n v="4"/>
    <n v="5"/>
    <n v="0"/>
  </r>
  <r>
    <n v="957"/>
    <d v="2024-10-18T12:34:09"/>
    <d v="2024-10-18T12:37:33"/>
    <s v="vngwira@lighthouse.org.mw"/>
    <s v="Vincent Ngwira"/>
    <x v="11"/>
    <s v="COE"/>
    <x v="1"/>
    <s v="COP_23"/>
    <s v="COP_23"/>
    <s v="Quarter3"/>
    <s v="Quarter4"/>
    <s v="Qtr_4"/>
    <x v="2"/>
    <d v="2024-09-01T00:00:00"/>
    <d v="2024-09-30T00:00:00"/>
    <x v="1"/>
    <x v="34"/>
    <n v="6"/>
    <n v="20"/>
    <n v="1"/>
    <n v="5"/>
    <n v="3"/>
    <n v="29"/>
    <n v="14"/>
    <n v="22"/>
    <n v="0"/>
    <n v="2"/>
    <n v="0"/>
    <n v="19"/>
    <n v="3"/>
    <n v="0"/>
    <n v="0"/>
    <n v="4"/>
    <n v="3"/>
    <n v="6"/>
    <n v="4"/>
    <n v="5"/>
    <n v="0"/>
  </r>
  <r>
    <n v="956"/>
    <d v="2024-10-18T12:30:45"/>
    <d v="2024-10-18T12:34:04"/>
    <s v="vngwira@lighthouse.org.mw"/>
    <s v="Vincent Ngwira"/>
    <x v="11"/>
    <s v="COE"/>
    <x v="1"/>
    <s v="COP_23"/>
    <s v="COP_23"/>
    <s v="Quarter3"/>
    <s v="Quarter4"/>
    <s v="Qtr_4"/>
    <x v="2"/>
    <d v="2024-09-01T00:00:00"/>
    <d v="2024-09-30T00:00:00"/>
    <x v="5"/>
    <x v="2"/>
    <n v="0"/>
    <n v="29"/>
    <n v="0"/>
    <n v="1"/>
    <n v="0"/>
    <n v="28"/>
    <n v="7"/>
    <n v="14"/>
    <n v="0"/>
    <n v="0"/>
    <n v="0"/>
    <n v="11"/>
    <n v="0"/>
    <n v="0"/>
    <n v="0"/>
    <n v="0"/>
    <n v="0"/>
    <n v="5"/>
    <n v="0"/>
    <n v="0"/>
    <n v="0"/>
  </r>
  <r>
    <n v="958"/>
    <d v="2024-10-18T12:37:37"/>
    <d v="2024-10-18T12:41:18"/>
    <s v="vngwira@lighthouse.org.mw"/>
    <s v="Vincent Ngwira"/>
    <x v="11"/>
    <s v="COE"/>
    <x v="1"/>
    <s v="COP_23"/>
    <s v="COP_23"/>
    <s v="Quarter3"/>
    <s v="Quarter4"/>
    <s v="Qtr_4"/>
    <x v="2"/>
    <d v="2024-09-01T00:00:00"/>
    <d v="2024-09-30T00:00:00"/>
    <x v="6"/>
    <x v="41"/>
    <n v="32"/>
    <n v="0"/>
    <n v="0"/>
    <n v="17"/>
    <n v="17"/>
    <n v="32"/>
    <n v="15"/>
    <n v="32"/>
    <n v="0"/>
    <n v="4"/>
    <n v="0"/>
    <n v="31"/>
    <n v="9"/>
    <n v="1"/>
    <n v="0"/>
    <n v="10"/>
    <n v="6"/>
    <n v="12"/>
    <n v="7"/>
    <n v="11"/>
    <n v="0"/>
  </r>
  <r>
    <n v="960"/>
    <d v="2024-10-18T12:45:17"/>
    <d v="2024-10-18T12:49:05"/>
    <s v="vngwira@lighthouse.org.mw"/>
    <s v="Vincent Ngwira"/>
    <x v="11"/>
    <s v="COE"/>
    <x v="1"/>
    <s v="COP_23"/>
    <s v="COP_23"/>
    <s v="Quarter3"/>
    <s v="Quarter4"/>
    <s v="Qtr_4"/>
    <x v="2"/>
    <d v="2024-09-01T00:00:00"/>
    <d v="2024-09-30T00:00:00"/>
    <x v="3"/>
    <x v="33"/>
    <n v="1"/>
    <n v="4"/>
    <n v="0"/>
    <n v="0"/>
    <n v="0"/>
    <n v="0"/>
    <n v="0"/>
    <n v="4"/>
    <n v="0"/>
    <n v="0"/>
    <n v="0"/>
    <n v="0"/>
    <n v="0"/>
    <n v="0"/>
    <n v="0"/>
    <n v="0"/>
    <n v="0"/>
    <n v="0"/>
    <n v="0"/>
    <n v="0"/>
    <n v="0"/>
  </r>
  <r>
    <n v="961"/>
    <d v="2024-10-18T12:49:08"/>
    <d v="2024-10-18T12:52:50"/>
    <s v="vngwira@lighthouse.org.mw"/>
    <s v="Vincent Ngwira"/>
    <x v="11"/>
    <s v="COE"/>
    <x v="1"/>
    <s v="COP_23"/>
    <s v="COP_23"/>
    <s v="Quarter3"/>
    <s v="Quarter4"/>
    <s v="Qtr_4"/>
    <x v="2"/>
    <d v="2024-09-01T00:00:00"/>
    <d v="2024-09-30T00:00:00"/>
    <x v="4"/>
    <x v="30"/>
    <n v="0"/>
    <n v="2"/>
    <n v="0"/>
    <n v="1"/>
    <n v="0"/>
    <n v="3"/>
    <n v="0"/>
    <n v="1"/>
    <n v="0"/>
    <n v="0"/>
    <n v="0"/>
    <n v="1"/>
    <n v="0"/>
    <n v="0"/>
    <n v="0"/>
    <n v="0"/>
    <n v="0"/>
    <n v="0"/>
    <n v="0"/>
    <n v="0"/>
    <n v="0"/>
  </r>
  <r>
    <n v="962"/>
    <d v="2024-10-18T12:54:20"/>
    <d v="2024-10-18T13:02:03"/>
    <s v="vngwira@lighthouse.org.mw"/>
    <s v="Vincent Ngwira"/>
    <x v="11"/>
    <s v="COE"/>
    <x v="1"/>
    <s v="COP_23"/>
    <s v="COP_23"/>
    <s v="Quarter3"/>
    <s v="Quarter4"/>
    <s v="Qtr_4"/>
    <x v="2"/>
    <d v="2024-09-01T00:00:00"/>
    <d v="2024-09-30T00:00:00"/>
    <x v="0"/>
    <x v="145"/>
    <n v="39"/>
    <n v="73"/>
    <n v="0"/>
    <n v="36"/>
    <n v="21"/>
    <n v="123"/>
    <n v="37"/>
    <n v="75"/>
    <n v="0"/>
    <n v="5"/>
    <n v="0"/>
    <n v="60"/>
    <n v="11"/>
    <n v="1"/>
    <n v="0"/>
    <n v="11"/>
    <n v="4"/>
    <n v="36"/>
    <n v="10"/>
    <n v="14"/>
    <n v="0"/>
  </r>
  <r>
    <n v="1067"/>
    <d v="2024-11-15T10:26:24"/>
    <d v="2024-11-15T10:30:29"/>
    <s v="vngwira@lighthouse.org.mw"/>
    <s v="Vincent Ngwira"/>
    <x v="11"/>
    <s v="COE"/>
    <x v="1"/>
    <s v="COP_24"/>
    <s v="COP_24"/>
    <s v="Quarter4"/>
    <s v="Quarter1"/>
    <s v="Qtr_1"/>
    <x v="0"/>
    <d v="2024-10-01T00:00:00"/>
    <d v="2024-10-31T00:00:00"/>
    <x v="0"/>
    <x v="138"/>
    <n v="68"/>
    <n v="74"/>
    <n v="2"/>
    <n v="90"/>
    <n v="15"/>
    <n v="181"/>
    <n v="61"/>
    <n v="130"/>
    <n v="3"/>
    <n v="7"/>
    <n v="3"/>
    <n v="129"/>
    <n v="14"/>
    <n v="9"/>
    <n v="1"/>
    <n v="27"/>
    <n v="4"/>
    <n v="75"/>
    <n v="9"/>
    <n v="19"/>
    <n v="3"/>
  </r>
  <r>
    <n v="1068"/>
    <d v="2024-11-15T10:30:55"/>
    <d v="2024-11-15T10:35:12"/>
    <s v="vngwira@lighthouse.org.mw"/>
    <s v="Vincent Ngwira"/>
    <x v="11"/>
    <s v="COE"/>
    <x v="1"/>
    <s v="COP_24"/>
    <s v="COP_24"/>
    <s v="Quarter4"/>
    <s v="Quarter1"/>
    <s v="Qtr_1"/>
    <x v="0"/>
    <d v="2024-10-01T00:00:00"/>
    <d v="2024-10-31T00:00:00"/>
    <x v="3"/>
    <x v="30"/>
    <n v="1"/>
    <n v="2"/>
    <n v="0"/>
    <n v="1"/>
    <n v="0"/>
    <n v="0"/>
    <n v="0"/>
    <n v="3"/>
    <n v="0"/>
    <n v="0"/>
    <n v="0"/>
    <n v="3"/>
    <n v="0"/>
    <n v="0"/>
    <n v="0"/>
    <n v="1"/>
    <n v="1"/>
    <n v="3"/>
    <n v="0"/>
    <n v="0"/>
    <n v="0"/>
  </r>
  <r>
    <n v="1069"/>
    <d v="2024-11-15T10:35:14"/>
    <d v="2024-11-15T10:36:54"/>
    <s v="vngwira@lighthouse.org.mw"/>
    <s v="Vincent Ngwira"/>
    <x v="11"/>
    <s v="COE"/>
    <x v="1"/>
    <s v="COP_24"/>
    <s v="COP_24"/>
    <s v="Quarter4"/>
    <s v="Quarter1"/>
    <s v="Qtr_1"/>
    <x v="0"/>
    <d v="2024-10-01T00:00:00"/>
    <d v="2024-10-31T00:00:00"/>
    <x v="4"/>
    <x v="37"/>
    <n v="1"/>
    <n v="2"/>
    <n v="0"/>
    <n v="3"/>
    <n v="1"/>
    <n v="6"/>
    <n v="2"/>
    <n v="5"/>
    <n v="0"/>
    <n v="0"/>
    <n v="0"/>
    <n v="5"/>
    <n v="1"/>
    <n v="0"/>
    <n v="0"/>
    <n v="0"/>
    <n v="0"/>
    <n v="5"/>
    <n v="1"/>
    <n v="2"/>
    <n v="0"/>
  </r>
  <r>
    <n v="1070"/>
    <d v="2024-11-15T10:36:56"/>
    <d v="2024-11-15T10:39:56"/>
    <s v="vngwira@lighthouse.org.mw"/>
    <s v="Vincent Ngwira"/>
    <x v="11"/>
    <s v="COE"/>
    <x v="1"/>
    <s v="COP_24"/>
    <s v="COP_24"/>
    <s v="Quarter4"/>
    <s v="Quarter1"/>
    <s v="Qtr_1"/>
    <x v="0"/>
    <d v="2024-10-01T00:00:00"/>
    <d v="2024-10-31T00:00:00"/>
    <x v="6"/>
    <x v="15"/>
    <n v="60"/>
    <n v="0"/>
    <n v="0"/>
    <n v="55"/>
    <n v="11"/>
    <n v="66"/>
    <n v="25"/>
    <n v="66"/>
    <n v="2"/>
    <n v="5"/>
    <n v="3"/>
    <n v="66"/>
    <n v="10"/>
    <n v="1"/>
    <n v="0"/>
    <n v="6"/>
    <n v="2"/>
    <n v="31"/>
    <n v="7"/>
    <n v="14"/>
    <n v="3"/>
  </r>
  <r>
    <n v="1072"/>
    <d v="2024-11-15T10:42:34"/>
    <d v="2024-11-15T10:44:06"/>
    <s v="vngwira@lighthouse.org.mw"/>
    <s v="Vincent Ngwira"/>
    <x v="11"/>
    <s v="COE"/>
    <x v="1"/>
    <s v="COP_24"/>
    <s v="COP_24"/>
    <s v="Quarter4"/>
    <s v="Quarter1"/>
    <s v="Qtr_1"/>
    <x v="0"/>
    <d v="2024-10-01T00:00:00"/>
    <d v="2024-10-31T00:00:00"/>
    <x v="5"/>
    <x v="16"/>
    <n v="1"/>
    <n v="19"/>
    <n v="0"/>
    <n v="2"/>
    <n v="0"/>
    <n v="21"/>
    <n v="8"/>
    <n v="10"/>
    <n v="0"/>
    <n v="0"/>
    <n v="0"/>
    <n v="10"/>
    <n v="0"/>
    <n v="1"/>
    <n v="0"/>
    <n v="2"/>
    <n v="1"/>
    <n v="6"/>
    <n v="0"/>
    <n v="0"/>
    <n v="0"/>
  </r>
  <r>
    <n v="1088"/>
    <d v="2024-11-21T08:39:56"/>
    <d v="2024-11-21T08:44:30"/>
    <s v="vngwira@lighthouse.org.mw"/>
    <s v="Vincent Ngwira"/>
    <x v="11"/>
    <s v="COE"/>
    <x v="1"/>
    <s v="COP_24"/>
    <s v="COP_24"/>
    <s v="Quarter4"/>
    <s v="Quarter1"/>
    <s v="Qtr_1"/>
    <x v="0"/>
    <d v="2024-10-01T00:00:00"/>
    <d v="2024-10-31T00:00:00"/>
    <x v="1"/>
    <x v="5"/>
    <n v="7"/>
    <n v="26"/>
    <n v="1"/>
    <n v="14"/>
    <n v="3"/>
    <n v="43"/>
    <n v="14"/>
    <n v="28"/>
    <n v="1"/>
    <n v="3"/>
    <n v="2"/>
    <n v="26"/>
    <n v="3"/>
    <n v="3"/>
    <n v="1"/>
    <n v="7"/>
    <n v="1"/>
    <n v="25"/>
    <n v="3"/>
    <n v="5"/>
    <n v="2"/>
  </r>
  <r>
    <n v="1156"/>
    <d v="2024-12-18T08:39:30"/>
    <d v="2024-12-18T08:45:45"/>
    <s v="vngwira@lighthouse.org.mw"/>
    <s v="Vincent Ngwira"/>
    <x v="11"/>
    <s v="COE"/>
    <x v="1"/>
    <s v="COP_24"/>
    <s v="COP_24"/>
    <s v="Quarter4"/>
    <s v="Quarter1"/>
    <s v="Qtr_1"/>
    <x v="1"/>
    <d v="2024-11-01T00:00:00"/>
    <d v="2024-11-30T00:00:00"/>
    <x v="0"/>
    <x v="146"/>
    <n v="56"/>
    <n v="65"/>
    <n v="2"/>
    <n v="72"/>
    <n v="8"/>
    <n v="142"/>
    <n v="45"/>
    <n v="91"/>
    <n v="0"/>
    <n v="4"/>
    <n v="0"/>
    <n v="85"/>
    <n v="6"/>
    <n v="10"/>
    <n v="1"/>
    <n v="17"/>
    <n v="4"/>
    <n v="52"/>
    <n v="7"/>
    <n v="9"/>
    <n v="0"/>
  </r>
  <r>
    <n v="1157"/>
    <d v="2024-12-18T08:45:50"/>
    <d v="2024-12-18T08:49:37"/>
    <s v="vngwira@lighthouse.org.mw"/>
    <s v="Vincent Ngwira"/>
    <x v="11"/>
    <s v="COE"/>
    <x v="1"/>
    <s v="COP_24"/>
    <s v="COP_24"/>
    <s v="Quarter4"/>
    <s v="Quarter1"/>
    <s v="Qtr_1"/>
    <x v="1"/>
    <d v="2024-11-01T00:00:00"/>
    <d v="2024-11-30T00:00:00"/>
    <x v="1"/>
    <x v="81"/>
    <n v="3"/>
    <n v="22"/>
    <n v="1"/>
    <n v="8"/>
    <n v="2"/>
    <n v="32"/>
    <n v="5"/>
    <n v="15"/>
    <n v="0"/>
    <n v="4"/>
    <n v="0"/>
    <n v="13"/>
    <n v="0"/>
    <n v="1"/>
    <n v="0"/>
    <n v="2"/>
    <n v="0"/>
    <n v="8"/>
    <n v="7"/>
    <n v="0"/>
    <n v="0"/>
  </r>
  <r>
    <n v="1158"/>
    <d v="2024-12-18T08:49:48"/>
    <d v="2024-12-18T08:51:26"/>
    <s v="vngwira@lighthouse.org.mw"/>
    <s v="Vincent Ngwira"/>
    <x v="11"/>
    <s v="COE"/>
    <x v="1"/>
    <s v="COP_24"/>
    <s v="COP_24"/>
    <s v="Quarter4"/>
    <s v="Quarter1"/>
    <s v="Qtr_1"/>
    <x v="1"/>
    <d v="2024-11-01T00:00:00"/>
    <d v="2024-11-30T00:00:00"/>
    <x v="3"/>
    <x v="18"/>
    <n v="1"/>
    <n v="0"/>
    <n v="0"/>
    <n v="0"/>
    <n v="1"/>
    <n v="0"/>
    <n v="0"/>
    <n v="1"/>
    <n v="0"/>
    <n v="0"/>
    <n v="0"/>
    <n v="1"/>
    <n v="0"/>
    <n v="0"/>
    <n v="0"/>
    <n v="0"/>
    <n v="0"/>
    <n v="1"/>
    <n v="1"/>
    <n v="1"/>
    <n v="0"/>
  </r>
  <r>
    <n v="1159"/>
    <d v="2024-12-18T08:51:28"/>
    <d v="2024-12-18T08:53:11"/>
    <s v="vngwira@lighthouse.org.mw"/>
    <s v="Vincent Ngwira"/>
    <x v="11"/>
    <s v="COE"/>
    <x v="1"/>
    <s v="COP_24"/>
    <s v="COP_24"/>
    <s v="Quarter4"/>
    <s v="Quarter1"/>
    <s v="Qtr_1"/>
    <x v="1"/>
    <d v="2024-11-01T00:00:00"/>
    <d v="2024-11-30T00:00:00"/>
    <x v="4"/>
    <x v="20"/>
    <n v="0"/>
    <n v="1"/>
    <n v="0"/>
    <n v="1"/>
    <n v="0"/>
    <n v="2"/>
    <n v="0"/>
    <n v="1"/>
    <n v="0"/>
    <n v="0"/>
    <n v="0"/>
    <n v="1"/>
    <n v="0"/>
    <n v="0"/>
    <n v="0"/>
    <n v="0"/>
    <n v="0"/>
    <n v="1"/>
    <n v="0"/>
    <n v="0"/>
    <n v="0"/>
  </r>
  <r>
    <n v="1160"/>
    <d v="2024-12-18T08:53:29"/>
    <d v="2024-12-18T08:55:19"/>
    <s v="vngwira@lighthouse.org.mw"/>
    <s v="Vincent Ngwira"/>
    <x v="11"/>
    <s v="COE"/>
    <x v="1"/>
    <s v="COP_24"/>
    <s v="COP_24"/>
    <s v="Quarter4"/>
    <s v="Quarter1"/>
    <s v="Qtr_1"/>
    <x v="1"/>
    <d v="2024-11-01T00:00:00"/>
    <d v="2024-11-30T00:00:00"/>
    <x v="5"/>
    <x v="61"/>
    <n v="0"/>
    <n v="16"/>
    <n v="0"/>
    <n v="3"/>
    <n v="0"/>
    <n v="19"/>
    <n v="3"/>
    <n v="6"/>
    <n v="0"/>
    <n v="0"/>
    <n v="0"/>
    <n v="6"/>
    <n v="0"/>
    <n v="0"/>
    <n v="0"/>
    <n v="1"/>
    <n v="1"/>
    <n v="4"/>
    <n v="0"/>
    <n v="0"/>
    <n v="0"/>
  </r>
  <r>
    <n v="1161"/>
    <d v="2024-12-18T08:55:56"/>
    <d v="2024-12-18T08:58:52"/>
    <s v="vngwira@lighthouse.org.mw"/>
    <s v="Vincent Ngwira"/>
    <x v="11"/>
    <s v="COE"/>
    <x v="1"/>
    <s v="COP_24"/>
    <s v="COP_24"/>
    <s v="Quarter4"/>
    <s v="Quarter1"/>
    <s v="Qtr_1"/>
    <x v="1"/>
    <d v="2024-11-01T00:00:00"/>
    <d v="2024-11-30T00:00:00"/>
    <x v="2"/>
    <x v="43"/>
    <n v="2"/>
    <n v="22"/>
    <n v="1"/>
    <n v="7"/>
    <n v="2"/>
    <n v="32"/>
    <n v="13"/>
    <n v="4"/>
    <n v="0"/>
    <n v="1"/>
    <n v="0"/>
    <n v="15"/>
    <n v="2"/>
    <n v="2"/>
    <n v="0"/>
    <n v="3"/>
    <n v="1"/>
    <n v="12"/>
    <n v="12"/>
    <n v="3"/>
    <n v="0"/>
  </r>
  <r>
    <n v="1162"/>
    <d v="2024-12-18T08:58:55"/>
    <d v="2024-12-18T09:01:53"/>
    <s v="vngwira@lighthouse.org.mw"/>
    <s v="Vincent Ngwira"/>
    <x v="11"/>
    <s v="COE"/>
    <x v="1"/>
    <s v="COP_24"/>
    <s v="COP_24"/>
    <s v="Quarter4"/>
    <s v="Quarter1"/>
    <s v="Qtr_1"/>
    <x v="1"/>
    <d v="2024-11-01T00:00:00"/>
    <d v="2024-11-30T00:00:00"/>
    <x v="6"/>
    <x v="19"/>
    <n v="40"/>
    <n v="1"/>
    <n v="0"/>
    <n v="39"/>
    <n v="3"/>
    <n v="42"/>
    <n v="20"/>
    <n v="42"/>
    <n v="0"/>
    <n v="2"/>
    <n v="0"/>
    <n v="38"/>
    <n v="4"/>
    <n v="5"/>
    <n v="1"/>
    <n v="5"/>
    <n v="1"/>
    <n v="21"/>
    <n v="6"/>
    <n v="5"/>
    <n v="0"/>
  </r>
  <r>
    <n v="1306"/>
    <d v="2025-01-22T15:02:00"/>
    <d v="2025-01-22T15:08:13"/>
    <s v="vngwira@lighthouse.org.mw"/>
    <s v="Vincent Ngwira"/>
    <x v="11"/>
    <s v="COE"/>
    <x v="1"/>
    <s v="COP_24"/>
    <s v="COP_24"/>
    <s v="Quarter4"/>
    <s v="Quarter1"/>
    <s v="Qtr_1"/>
    <x v="11"/>
    <d v="2024-12-01T00:00:00"/>
    <d v="2024-12-31T00:00:00"/>
    <x v="1"/>
    <x v="2"/>
    <n v="12"/>
    <n v="15"/>
    <n v="1"/>
    <n v="8"/>
    <n v="6"/>
    <n v="30"/>
    <n v="19"/>
    <n v="22"/>
    <n v="0"/>
    <n v="0"/>
    <n v="0"/>
    <n v="21"/>
    <n v="0"/>
    <n v="3"/>
    <n v="0"/>
    <n v="2"/>
    <n v="2"/>
    <n v="18"/>
    <n v="2"/>
    <n v="5"/>
    <n v="0"/>
  </r>
  <r>
    <n v="1307"/>
    <d v="2025-01-22T15:08:18"/>
    <d v="2025-01-22T15:10:19"/>
    <s v="vngwira@lighthouse.org.mw"/>
    <s v="Vincent Ngwira"/>
    <x v="11"/>
    <s v="COE"/>
    <x v="1"/>
    <s v="COP_24"/>
    <s v="COP_24"/>
    <s v="Quarter4"/>
    <s v="Quarter1"/>
    <s v="Qtr_1"/>
    <x v="11"/>
    <d v="2024-12-01T00:00:00"/>
    <d v="2024-12-31T00:00:00"/>
    <x v="3"/>
    <x v="21"/>
    <n v="0"/>
    <n v="0"/>
    <n v="0"/>
    <n v="0"/>
    <n v="0"/>
    <n v="0"/>
    <n v="0"/>
    <n v="0"/>
    <n v="0"/>
    <n v="0"/>
    <n v="0"/>
    <n v="0"/>
    <n v="0"/>
    <n v="0"/>
    <n v="0"/>
    <n v="0"/>
    <n v="0"/>
    <n v="0"/>
    <n v="0"/>
    <n v="0"/>
    <n v="0"/>
  </r>
  <r>
    <n v="1308"/>
    <d v="2025-01-22T15:10:21"/>
    <d v="2025-01-22T15:17:45"/>
    <s v="vngwira@lighthouse.org.mw"/>
    <s v="Vincent Ngwira"/>
    <x v="11"/>
    <s v="COE"/>
    <x v="1"/>
    <s v="COP_24"/>
    <s v="COP_24"/>
    <s v="Quarter4"/>
    <s v="Quarter1"/>
    <s v="Qtr_1"/>
    <x v="11"/>
    <d v="2024-12-01T00:00:00"/>
    <d v="2024-12-31T00:00:00"/>
    <x v="4"/>
    <x v="21"/>
    <n v="0"/>
    <n v="0"/>
    <n v="0"/>
    <n v="0"/>
    <n v="0"/>
    <n v="0"/>
    <n v="0"/>
    <n v="0"/>
    <n v="0"/>
    <n v="0"/>
    <n v="0"/>
    <n v="0"/>
    <n v="0"/>
    <n v="0"/>
    <n v="0"/>
    <n v="0"/>
    <n v="0"/>
    <n v="0"/>
    <n v="0"/>
    <n v="0"/>
    <n v="0"/>
  </r>
  <r>
    <n v="1310"/>
    <d v="2025-01-22T15:18:58"/>
    <d v="2025-01-22T15:21:47"/>
    <s v="vngwira@lighthouse.org.mw"/>
    <s v="Vincent Ngwira"/>
    <x v="11"/>
    <s v="COE"/>
    <x v="1"/>
    <s v="COP_24"/>
    <s v="COP_24"/>
    <s v="Quarter4"/>
    <s v="Quarter1"/>
    <s v="Qtr_1"/>
    <x v="11"/>
    <d v="2024-12-01T00:00:00"/>
    <d v="2024-12-31T00:00:00"/>
    <x v="5"/>
    <x v="42"/>
    <n v="0"/>
    <n v="13"/>
    <n v="0"/>
    <n v="1"/>
    <n v="0"/>
    <n v="14"/>
    <n v="4"/>
    <n v="6"/>
    <n v="0"/>
    <n v="0"/>
    <n v="0"/>
    <n v="6"/>
    <n v="0"/>
    <n v="1"/>
    <n v="0"/>
    <n v="1"/>
    <n v="0"/>
    <n v="5"/>
    <n v="0"/>
    <n v="0"/>
    <n v="0"/>
  </r>
  <r>
    <n v="1311"/>
    <d v="2025-01-22T15:21:49"/>
    <d v="2025-01-22T15:24:05"/>
    <s v="vngwira@lighthouse.org.mw"/>
    <s v="Vincent Ngwira"/>
    <x v="11"/>
    <s v="COE"/>
    <x v="1"/>
    <s v="COP_24"/>
    <s v="COP_24"/>
    <s v="Quarter4"/>
    <s v="Quarter1"/>
    <s v="Qtr_1"/>
    <x v="11"/>
    <d v="2024-12-01T00:00:00"/>
    <d v="2024-12-31T00:00:00"/>
    <x v="2"/>
    <x v="56"/>
    <n v="2"/>
    <n v="25"/>
    <n v="0"/>
    <n v="2"/>
    <n v="1"/>
    <n v="28"/>
    <n v="7"/>
    <n v="9"/>
    <n v="0"/>
    <n v="0"/>
    <n v="0"/>
    <n v="9"/>
    <n v="1"/>
    <n v="0"/>
    <n v="0"/>
    <n v="0"/>
    <n v="0"/>
    <n v="5"/>
    <n v="5"/>
    <n v="0"/>
    <n v="0"/>
  </r>
  <r>
    <n v="1312"/>
    <d v="2025-01-22T15:24:07"/>
    <d v="2025-01-22T15:27:16"/>
    <s v="vngwira@lighthouse.org.mw"/>
    <s v="Vincent Ngwira"/>
    <x v="11"/>
    <s v="COE"/>
    <x v="1"/>
    <s v="COP_24"/>
    <s v="COP_24"/>
    <s v="Quarter4"/>
    <s v="Quarter1"/>
    <s v="Qtr_1"/>
    <x v="11"/>
    <d v="2024-12-01T00:00:00"/>
    <d v="2024-12-31T00:00:00"/>
    <x v="6"/>
    <x v="8"/>
    <n v="44"/>
    <n v="0"/>
    <n v="0"/>
    <n v="30"/>
    <n v="15"/>
    <n v="43"/>
    <n v="25"/>
    <n v="45"/>
    <n v="1"/>
    <n v="3"/>
    <n v="1"/>
    <n v="43"/>
    <n v="9"/>
    <n v="6"/>
    <n v="0"/>
    <n v="2"/>
    <n v="2"/>
    <n v="29"/>
    <n v="11"/>
    <n v="9"/>
    <n v="1"/>
  </r>
  <r>
    <n v="1314"/>
    <d v="2025-01-22T15:27:18"/>
    <d v="2025-01-22T15:41:08"/>
    <s v="vngwira@lighthouse.org.mw"/>
    <s v="Vincent Ngwira"/>
    <x v="11"/>
    <s v="COE"/>
    <x v="1"/>
    <s v="COP_24"/>
    <s v="COP_24"/>
    <s v="Quarter4"/>
    <s v="Quarter1"/>
    <s v="Qtr_1"/>
    <x v="11"/>
    <d v="2024-12-01T00:00:00"/>
    <d v="2024-12-31T00:00:00"/>
    <x v="0"/>
    <x v="147"/>
    <n v="57"/>
    <n v="63"/>
    <n v="3"/>
    <n v="38"/>
    <n v="20"/>
    <n v="121"/>
    <n v="50"/>
    <n v="88"/>
    <n v="2"/>
    <n v="4"/>
    <n v="2"/>
    <n v="84"/>
    <n v="13"/>
    <n v="9"/>
    <n v="0"/>
    <n v="5"/>
    <n v="4"/>
    <n v="54"/>
    <n v="12"/>
    <n v="15"/>
    <n v="3"/>
  </r>
  <r>
    <n v="1553"/>
    <d v="2025-04-29T11:13:49"/>
    <d v="2025-04-29T11:20:09"/>
    <s v="vngwira@lighthouse.org.mw"/>
    <s v="Vincent Ngwira"/>
    <x v="11"/>
    <s v="COE"/>
    <x v="2"/>
    <s v="COP_24"/>
    <s v="COP_24"/>
    <s v="Quarter1"/>
    <s v="Quarter2"/>
    <s v="Qtr_2"/>
    <x v="4"/>
    <d v="2025-01-01T00:00:00"/>
    <d v="2025-01-31T00:00:00"/>
    <x v="0"/>
    <x v="116"/>
    <n v="138"/>
    <n v="74"/>
    <n v="0"/>
    <n v="76"/>
    <n v="13"/>
    <n v="155"/>
    <n v="56"/>
    <n v="99"/>
    <n v="1"/>
    <n v="1"/>
    <n v="1"/>
    <n v="90"/>
    <n v="6"/>
    <n v="6"/>
    <n v="0"/>
    <n v="5"/>
    <n v="4"/>
    <n v="62"/>
    <n v="5"/>
    <n v="10"/>
    <n v="1"/>
  </r>
  <r>
    <n v="1554"/>
    <d v="2025-04-29T11:21:12"/>
    <d v="2025-04-29T11:24:17"/>
    <s v="vngwira@lighthouse.org.mw"/>
    <s v="Vincent Ngwira"/>
    <x v="11"/>
    <s v="COE"/>
    <x v="2"/>
    <s v="COP_24"/>
    <s v="COP_24"/>
    <s v="Quarter1"/>
    <s v="Quarter2"/>
    <s v="Qtr_2"/>
    <x v="4"/>
    <d v="2025-01-01T00:00:00"/>
    <d v="2025-01-31T00:00:00"/>
    <x v="6"/>
    <x v="38"/>
    <n v="32"/>
    <n v="0"/>
    <n v="0"/>
    <n v="30"/>
    <n v="6"/>
    <n v="34"/>
    <n v="17"/>
    <n v="36"/>
    <n v="1"/>
    <n v="1"/>
    <n v="1"/>
    <n v="31"/>
    <n v="3"/>
    <n v="1"/>
    <n v="0"/>
    <n v="0"/>
    <n v="0"/>
    <n v="26"/>
    <n v="4"/>
    <n v="6"/>
    <n v="1"/>
  </r>
  <r>
    <n v="1555"/>
    <d v="2025-04-29T11:24:35"/>
    <d v="2025-04-29T11:26:09"/>
    <s v="vngwira@lighthouse.org.mw"/>
    <s v="Vincent Ngwira"/>
    <x v="11"/>
    <s v="COE"/>
    <x v="2"/>
    <s v="COP_24"/>
    <s v="COP_24"/>
    <s v="Quarter1"/>
    <s v="Quarter2"/>
    <s v="Qtr_2"/>
    <x v="4"/>
    <d v="2025-01-01T00:00:00"/>
    <d v="2025-01-30T00:00:00"/>
    <x v="3"/>
    <x v="20"/>
    <n v="1"/>
    <n v="2"/>
    <n v="0"/>
    <n v="0"/>
    <n v="0"/>
    <n v="0"/>
    <n v="0"/>
    <n v="2"/>
    <n v="0"/>
    <n v="0"/>
    <n v="0"/>
    <n v="2"/>
    <n v="0"/>
    <n v="0"/>
    <n v="0"/>
    <n v="0"/>
    <n v="0"/>
    <n v="1"/>
    <n v="0"/>
    <n v="0"/>
    <n v="0"/>
  </r>
  <r>
    <n v="1556"/>
    <d v="2025-04-29T11:26:39"/>
    <d v="2025-04-29T11:28:07"/>
    <s v="vngwira@lighthouse.org.mw"/>
    <s v="Vincent Ngwira"/>
    <x v="11"/>
    <s v="COE"/>
    <x v="2"/>
    <s v="COP_24"/>
    <s v="COP_24"/>
    <s v="Quarter1"/>
    <s v="Quarter2"/>
    <s v="Qtr_2"/>
    <x v="4"/>
    <d v="2025-01-01T00:00:00"/>
    <d v="2025-01-31T00:00:00"/>
    <x v="4"/>
    <x v="39"/>
    <n v="3"/>
    <n v="4"/>
    <n v="1"/>
    <n v="3"/>
    <n v="0"/>
    <n v="8"/>
    <n v="5"/>
    <n v="7"/>
    <n v="0"/>
    <n v="0"/>
    <n v="0"/>
    <n v="7"/>
    <n v="0"/>
    <n v="0"/>
    <n v="0"/>
    <n v="0"/>
    <n v="0"/>
    <n v="4"/>
    <n v="4"/>
    <n v="0"/>
    <n v="0"/>
  </r>
  <r>
    <n v="1557"/>
    <d v="2025-04-29T11:28:30"/>
    <d v="2025-04-29T11:30:25"/>
    <s v="vngwira@lighthouse.org.mw"/>
    <s v="Vincent Ngwira"/>
    <x v="11"/>
    <s v="COE"/>
    <x v="2"/>
    <s v="COP_24"/>
    <s v="COP_24"/>
    <s v="Quarter1"/>
    <s v="Quarter2"/>
    <s v="Qtr_2"/>
    <x v="4"/>
    <d v="2025-01-01T00:00:00"/>
    <d v="2025-01-31T00:00:00"/>
    <x v="5"/>
    <x v="52"/>
    <n v="1"/>
    <n v="23"/>
    <n v="0"/>
    <n v="0"/>
    <n v="1"/>
    <n v="23"/>
    <n v="10"/>
    <n v="10"/>
    <n v="0"/>
    <n v="0"/>
    <n v="0"/>
    <n v="7"/>
    <n v="0"/>
    <n v="0"/>
    <n v="0"/>
    <n v="0"/>
    <n v="0"/>
    <n v="3"/>
    <n v="2"/>
    <n v="1"/>
    <n v="0"/>
  </r>
  <r>
    <n v="1558"/>
    <d v="2025-04-29T11:30:43"/>
    <d v="2025-04-29T11:32:53"/>
    <s v="vngwira@lighthouse.org.mw"/>
    <s v="Vincent Ngwira"/>
    <x v="11"/>
    <s v="COE"/>
    <x v="2"/>
    <s v="COP_24"/>
    <s v="COP_24"/>
    <s v="Quarter1"/>
    <s v="Quarter2"/>
    <s v="Qtr_2"/>
    <x v="4"/>
    <d v="2025-01-01T00:00:00"/>
    <d v="2025-01-31T00:00:00"/>
    <x v="2"/>
    <x v="41"/>
    <n v="6"/>
    <n v="25"/>
    <n v="0"/>
    <n v="7"/>
    <n v="2"/>
    <n v="32"/>
    <n v="4"/>
    <n v="12"/>
    <n v="0"/>
    <n v="0"/>
    <n v="0"/>
    <n v="11"/>
    <n v="0"/>
    <n v="1"/>
    <n v="0"/>
    <n v="1"/>
    <n v="0"/>
    <n v="4"/>
    <n v="1"/>
    <n v="1"/>
    <n v="0"/>
  </r>
  <r>
    <n v="1559"/>
    <d v="2025-04-29T11:33:12"/>
    <d v="2025-04-29T11:36:32"/>
    <s v="vngwira@lighthouse.org.mw"/>
    <s v="Vincent Ngwira"/>
    <x v="11"/>
    <s v="COE"/>
    <x v="2"/>
    <s v="COP_24"/>
    <s v="COP_24"/>
    <s v="Quarter1"/>
    <s v="Quarter2"/>
    <s v="Qtr_2"/>
    <x v="4"/>
    <d v="2025-01-01T00:00:00"/>
    <d v="2025-01-31T00:00:00"/>
    <x v="1"/>
    <x v="38"/>
    <n v="8"/>
    <n v="22"/>
    <n v="1"/>
    <n v="12"/>
    <n v="1"/>
    <n v="36"/>
    <n v="15"/>
    <n v="0"/>
    <n v="0"/>
    <n v="0"/>
    <n v="0"/>
    <n v="16"/>
    <n v="1"/>
    <n v="2"/>
    <n v="0"/>
    <n v="0"/>
    <n v="0"/>
    <n v="14"/>
    <n v="0"/>
    <n v="1"/>
    <n v="0"/>
  </r>
  <r>
    <n v="1589"/>
    <d v="2025-05-07T08:48:20"/>
    <d v="2025-05-07T09:19:09"/>
    <s v="vngwira@lighthouse.org.mw"/>
    <s v="Vincent Ngwira"/>
    <x v="11"/>
    <s v="COE"/>
    <x v="2"/>
    <s v="COP_24"/>
    <m/>
    <s v="Quarter1"/>
    <s v="Quarter2"/>
    <m/>
    <x v="5"/>
    <d v="2025-02-01T00:00:00"/>
    <d v="2025-02-28T00:00:00"/>
    <x v="0"/>
    <x v="121"/>
    <n v="45"/>
    <n v="56"/>
    <n v="1"/>
    <n v="64"/>
    <n v="13"/>
    <n v="130"/>
    <n v="48"/>
    <n v="63"/>
    <n v="0"/>
    <n v="2"/>
    <n v="1"/>
    <n v="67"/>
    <n v="9"/>
    <n v="9"/>
    <n v="2"/>
    <n v="5"/>
    <n v="3"/>
    <n v="52"/>
    <n v="3"/>
    <n v="13"/>
    <n v="1"/>
  </r>
  <r>
    <n v="1590"/>
    <d v="2025-05-07T09:19:14"/>
    <d v="2025-05-07T09:22:05"/>
    <s v="vngwira@lighthouse.org.mw"/>
    <s v="Vincent Ngwira"/>
    <x v="11"/>
    <s v="COE"/>
    <x v="2"/>
    <s v="COP_24"/>
    <m/>
    <s v="Quarter1"/>
    <s v="Quarter2"/>
    <m/>
    <x v="5"/>
    <d v="2025-02-01T00:00:00"/>
    <d v="2025-02-28T00:00:00"/>
    <x v="6"/>
    <x v="34"/>
    <n v="29"/>
    <n v="0"/>
    <n v="0"/>
    <n v="22"/>
    <n v="7"/>
    <n v="28"/>
    <n v="12"/>
    <n v="29"/>
    <n v="0"/>
    <n v="0"/>
    <n v="0"/>
    <n v="23"/>
    <n v="5"/>
    <n v="0"/>
    <n v="0"/>
    <n v="1"/>
    <n v="1"/>
    <n v="14"/>
    <n v="1"/>
    <n v="6"/>
    <n v="0"/>
  </r>
  <r>
    <n v="1591"/>
    <d v="2025-05-07T09:22:26"/>
    <d v="2025-05-07T09:23:51"/>
    <s v="vngwira@lighthouse.org.mw"/>
    <s v="Vincent Ngwira"/>
    <x v="11"/>
    <s v="COE"/>
    <x v="2"/>
    <s v="COP_24"/>
    <m/>
    <s v="Quarter1"/>
    <s v="Quarter2"/>
    <m/>
    <x v="5"/>
    <d v="2025-02-01T00:00:00"/>
    <d v="2025-02-28T00:00:00"/>
    <x v="3"/>
    <x v="30"/>
    <n v="2"/>
    <n v="1"/>
    <n v="0"/>
    <n v="1"/>
    <n v="1"/>
    <n v="0"/>
    <n v="0"/>
    <n v="3"/>
    <n v="0"/>
    <n v="0"/>
    <n v="0"/>
    <n v="2"/>
    <n v="0"/>
    <n v="0"/>
    <n v="0"/>
    <n v="0"/>
    <n v="0"/>
    <n v="3"/>
    <n v="0"/>
    <n v="0"/>
    <n v="0"/>
  </r>
  <r>
    <n v="1592"/>
    <d v="2025-05-07T09:24:14"/>
    <d v="2025-05-07T09:26:28"/>
    <s v="vngwira@lighthouse.org.mw"/>
    <s v="Vincent Ngwira"/>
    <x v="11"/>
    <s v="COE"/>
    <x v="2"/>
    <s v="COP_24"/>
    <m/>
    <s v="Quarter1"/>
    <s v="Quarter2"/>
    <m/>
    <x v="5"/>
    <d v="2025-02-01T00:00:00"/>
    <d v="2025-02-28T00:00:00"/>
    <x v="4"/>
    <x v="30"/>
    <n v="1"/>
    <n v="1"/>
    <n v="0"/>
    <n v="1"/>
    <n v="1"/>
    <n v="3"/>
    <n v="0"/>
    <n v="1"/>
    <n v="0"/>
    <n v="0"/>
    <n v="0"/>
    <n v="1"/>
    <n v="0"/>
    <n v="0"/>
    <n v="0"/>
    <n v="0"/>
    <n v="0"/>
    <n v="0"/>
    <n v="0"/>
    <n v="0"/>
    <n v="0"/>
  </r>
  <r>
    <n v="1593"/>
    <d v="2025-05-07T09:26:50"/>
    <d v="2025-05-07T09:28:58"/>
    <s v="vngwira@lighthouse.org.mw"/>
    <s v="Vincent Ngwira"/>
    <x v="11"/>
    <s v="COE"/>
    <x v="2"/>
    <s v="COP_24"/>
    <s v="COP_24"/>
    <s v="Quarter1"/>
    <s v="Quarter2"/>
    <s v="Qtr_2"/>
    <x v="5"/>
    <d v="2025-02-01T00:00:00"/>
    <d v="2025-02-28T00:00:00"/>
    <x v="2"/>
    <x v="2"/>
    <n v="3"/>
    <n v="23"/>
    <n v="0"/>
    <n v="6"/>
    <n v="1"/>
    <n v="30"/>
    <n v="7"/>
    <n v="7"/>
    <n v="0"/>
    <n v="0"/>
    <n v="0"/>
    <n v="7"/>
    <n v="1"/>
    <n v="0"/>
    <n v="0"/>
    <n v="0"/>
    <n v="0"/>
    <n v="7"/>
    <n v="0"/>
    <n v="1"/>
    <n v="0"/>
  </r>
  <r>
    <n v="1594"/>
    <d v="2025-05-07T09:29:21"/>
    <d v="2025-05-07T09:32:23"/>
    <s v="vngwira@lighthouse.org.mw"/>
    <s v="Vincent Ngwira"/>
    <x v="11"/>
    <s v="COE"/>
    <x v="2"/>
    <s v="COP_24"/>
    <m/>
    <s v="Quarter1"/>
    <s v="Quarter2"/>
    <m/>
    <x v="5"/>
    <d v="2025-02-01T00:00:00"/>
    <d v="2025-02-28T00:00:00"/>
    <x v="1"/>
    <x v="28"/>
    <n v="9"/>
    <n v="14"/>
    <n v="1"/>
    <n v="13"/>
    <n v="3"/>
    <n v="29"/>
    <n v="18"/>
    <n v="16"/>
    <n v="1"/>
    <n v="5"/>
    <n v="1"/>
    <n v="19"/>
    <n v="3"/>
    <n v="4"/>
    <n v="1"/>
    <n v="2"/>
    <n v="1"/>
    <n v="18"/>
    <n v="16"/>
    <n v="5"/>
    <n v="1"/>
  </r>
  <r>
    <n v="1595"/>
    <d v="2025-05-07T09:33:13"/>
    <d v="2025-05-07T09:36:01"/>
    <s v="vngwira@lighthouse.org.mw"/>
    <s v="Vincent Ngwira"/>
    <x v="11"/>
    <s v="COE"/>
    <x v="2"/>
    <s v="COP_24"/>
    <m/>
    <s v="Quarter1"/>
    <s v="Quarter2"/>
    <m/>
    <x v="5"/>
    <d v="2025-02-01T00:00:00"/>
    <d v="2025-02-28T00:00:00"/>
    <x v="5"/>
    <x v="26"/>
    <n v="0"/>
    <n v="20"/>
    <n v="0"/>
    <n v="1"/>
    <n v="1"/>
    <n v="22"/>
    <n v="6"/>
    <n v="5"/>
    <n v="0"/>
    <n v="0"/>
    <n v="0"/>
    <n v="7"/>
    <n v="1"/>
    <n v="1"/>
    <n v="0"/>
    <n v="1"/>
    <n v="0"/>
    <n v="5"/>
    <n v="0"/>
    <n v="1"/>
    <n v="0"/>
  </r>
  <r>
    <n v="1596"/>
    <d v="2025-05-07T09:36:23"/>
    <d v="2025-05-07T09:44:18"/>
    <s v="vngwira@lighthouse.org.mw"/>
    <s v="Vincent Ngwira"/>
    <x v="11"/>
    <s v="COE"/>
    <x v="2"/>
    <s v="COP_24"/>
    <m/>
    <s v="Quarter1"/>
    <s v="Quarter2"/>
    <m/>
    <x v="3"/>
    <d v="2025-03-01T00:00:00"/>
    <d v="2025-03-31T00:00:00"/>
    <x v="0"/>
    <x v="148"/>
    <n v="69"/>
    <n v="43"/>
    <n v="1"/>
    <n v="72"/>
    <n v="21"/>
    <n v="98"/>
    <n v="28"/>
    <n v="60"/>
    <n v="2"/>
    <n v="2"/>
    <n v="1"/>
    <n v="35"/>
    <n v="6"/>
    <n v="14"/>
    <n v="3"/>
    <n v="8"/>
    <n v="3"/>
    <n v="59"/>
    <n v="8"/>
    <n v="17"/>
    <n v="1"/>
  </r>
  <r>
    <n v="1600"/>
    <d v="2025-05-07T11:28:25"/>
    <d v="2025-05-07T11:28:35"/>
    <s v="vngwira@lighthouse.org.mw"/>
    <s v="Vincent Ngwira"/>
    <x v="11"/>
    <s v="COE"/>
    <x v="2"/>
    <s v="COP_24"/>
    <m/>
    <s v="Quarter1"/>
    <s v="Quarter2"/>
    <m/>
    <x v="3"/>
    <d v="2025-03-01T00:00:00"/>
    <d v="2025-03-31T00:00:00"/>
    <x v="6"/>
    <x v="4"/>
    <n v="48"/>
    <n v="0"/>
    <n v="0"/>
    <n v="34"/>
    <n v="14"/>
    <n v="29"/>
    <n v="11"/>
    <n v="30"/>
    <n v="0"/>
    <n v="0"/>
    <n v="0"/>
    <n v="16"/>
    <n v="1"/>
    <n v="1"/>
    <n v="1"/>
    <n v="4"/>
    <n v="3"/>
    <n v="20"/>
    <n v="6"/>
    <n v="9"/>
    <n v="0"/>
  </r>
  <r>
    <n v="1603"/>
    <d v="2025-05-07T13:19:33"/>
    <d v="2025-05-07T13:20:12"/>
    <s v="vngwira@lighthouse.org.mw"/>
    <s v="Vincent Ngwira"/>
    <x v="11"/>
    <s v="COE"/>
    <x v="2"/>
    <s v="COP_24"/>
    <m/>
    <s v="Quarter1"/>
    <s v="Quarter2"/>
    <m/>
    <x v="3"/>
    <d v="2025-03-01T00:00:00"/>
    <d v="2025-03-31T00:00:00"/>
    <x v="3"/>
    <x v="21"/>
    <n v="0"/>
    <n v="0"/>
    <n v="0"/>
    <n v="0"/>
    <n v="0"/>
    <n v="0"/>
    <n v="0"/>
    <n v="0"/>
    <n v="0"/>
    <n v="0"/>
    <n v="0"/>
    <n v="0"/>
    <n v="0"/>
    <n v="0"/>
    <n v="0"/>
    <n v="0"/>
    <n v="0"/>
    <n v="0"/>
    <n v="0"/>
    <n v="0"/>
    <n v="0"/>
  </r>
  <r>
    <n v="1604"/>
    <d v="2025-05-07T13:20:14"/>
    <d v="2025-05-07T13:22:18"/>
    <s v="vngwira@lighthouse.org.mw"/>
    <s v="Vincent Ngwira"/>
    <x v="11"/>
    <s v="COE"/>
    <x v="2"/>
    <s v="COP_24"/>
    <m/>
    <s v="Quarter1"/>
    <s v="Quarter2"/>
    <m/>
    <x v="3"/>
    <d v="2025-03-01T00:00:00"/>
    <d v="2025-03-31T00:00:00"/>
    <x v="4"/>
    <x v="20"/>
    <n v="2"/>
    <n v="0"/>
    <n v="0"/>
    <n v="2"/>
    <n v="0"/>
    <n v="2"/>
    <n v="1"/>
    <n v="0"/>
    <n v="0"/>
    <n v="0"/>
    <n v="0"/>
    <n v="2"/>
    <n v="0"/>
    <n v="0"/>
    <n v="0"/>
    <n v="0"/>
    <n v="0"/>
    <n v="2"/>
    <n v="2"/>
    <n v="0"/>
    <n v="0"/>
  </r>
  <r>
    <n v="1605"/>
    <d v="2025-05-07T13:23:08"/>
    <d v="2025-05-07T13:25:56"/>
    <s v="vngwira@lighthouse.org.mw"/>
    <s v="Vincent Ngwira"/>
    <x v="11"/>
    <s v="COE"/>
    <x v="2"/>
    <s v="COP_24"/>
    <m/>
    <s v="Quarter1"/>
    <s v="Quarter2"/>
    <m/>
    <x v="3"/>
    <d v="2025-03-01T00:00:00"/>
    <d v="2025-03-31T00:00:00"/>
    <x v="1"/>
    <x v="58"/>
    <n v="15"/>
    <n v="16"/>
    <n v="0"/>
    <n v="15"/>
    <n v="7"/>
    <n v="31"/>
    <n v="14"/>
    <n v="14"/>
    <n v="1"/>
    <n v="1"/>
    <n v="0"/>
    <n v="10"/>
    <n v="1"/>
    <n v="8"/>
    <n v="2"/>
    <n v="4"/>
    <n v="4"/>
    <n v="16"/>
    <n v="1"/>
    <n v="5"/>
    <n v="0"/>
  </r>
  <r>
    <n v="1606"/>
    <d v="2025-05-07T13:26:16"/>
    <d v="2025-05-07T13:27:42"/>
    <s v="vngwira@lighthouse.org.mw"/>
    <s v="Vincent Ngwira"/>
    <x v="11"/>
    <s v="COE"/>
    <x v="2"/>
    <s v="COP_24"/>
    <m/>
    <s v="Quarter1"/>
    <s v="Quarter2"/>
    <m/>
    <x v="3"/>
    <d v="2025-03-01T00:00:00"/>
    <d v="2025-03-31T00:00:00"/>
    <x v="5"/>
    <x v="42"/>
    <n v="2"/>
    <n v="11"/>
    <n v="0"/>
    <n v="3"/>
    <n v="0"/>
    <n v="13"/>
    <n v="0"/>
    <n v="1"/>
    <n v="0"/>
    <n v="0"/>
    <n v="0"/>
    <n v="1"/>
    <n v="1"/>
    <n v="1"/>
    <n v="0"/>
    <n v="0"/>
    <n v="0"/>
    <n v="3"/>
    <n v="0"/>
    <n v="1"/>
    <n v="0"/>
  </r>
  <r>
    <n v="1607"/>
    <d v="2025-05-07T13:28:09"/>
    <d v="2025-05-07T13:29:46"/>
    <s v="vngwira@lighthouse.org.mw"/>
    <s v="Vincent Ngwira"/>
    <x v="11"/>
    <s v="COE"/>
    <x v="2"/>
    <s v="COP_24"/>
    <m/>
    <s v="Quarter1"/>
    <s v="Quarter2"/>
    <m/>
    <x v="3"/>
    <d v="2025-03-01T00:00:00"/>
    <d v="2025-03-31T00:00:00"/>
    <x v="2"/>
    <x v="2"/>
    <n v="2"/>
    <n v="25"/>
    <n v="1"/>
    <n v="3"/>
    <n v="1"/>
    <n v="26"/>
    <n v="3"/>
    <n v="3"/>
    <n v="0"/>
    <n v="0"/>
    <n v="0"/>
    <n v="3"/>
    <n v="1"/>
    <n v="2"/>
    <n v="1"/>
    <n v="0"/>
    <n v="0"/>
    <n v="4"/>
    <n v="0"/>
    <n v="2"/>
    <n v="0"/>
  </r>
  <r>
    <n v="9"/>
    <d v="2023-12-16T12:09:45"/>
    <d v="2023-12-16T13:10:47"/>
    <s v="anhlema@lighthouse.org.mw"/>
    <s v="Angelina Nhlema"/>
    <x v="12"/>
    <s v="COE"/>
    <x v="0"/>
    <s v="COP_22"/>
    <s v="COP_22"/>
    <s v="Quarter3"/>
    <s v="Quarter4"/>
    <s v="Qtr_4"/>
    <x v="2"/>
    <d v="2023-09-01T00:00:00"/>
    <d v="2023-09-30T00:00:00"/>
    <x v="0"/>
    <x v="91"/>
    <n v="79"/>
    <n v="108"/>
    <n v="10"/>
    <n v="29"/>
    <n v="21"/>
    <n v="161"/>
    <n v="54"/>
    <n v="57"/>
    <n v="1"/>
    <n v="3"/>
    <n v="1"/>
    <n v="75"/>
    <n v="18"/>
    <n v="62"/>
    <n v="2"/>
    <n v="63"/>
    <n v="6"/>
    <n v="56"/>
    <n v="1"/>
    <n v="8"/>
    <n v="1"/>
  </r>
  <r>
    <n v="10"/>
    <d v="2023-12-16T13:10:53"/>
    <d v="2023-12-16T13:18:34"/>
    <s v="anhlema@lighthouse.org.mw"/>
    <s v="Angelina Nhlema"/>
    <x v="12"/>
    <s v="COE"/>
    <x v="0"/>
    <s v="COP_22"/>
    <s v="COP_22"/>
    <s v="Quarter3"/>
    <s v="Quarter4"/>
    <s v="Qtr_4"/>
    <x v="2"/>
    <d v="2023-09-01T00:00:00"/>
    <d v="2023-09-30T00:00:00"/>
    <x v="6"/>
    <x v="18"/>
    <n v="1"/>
    <n v="1"/>
    <n v="0"/>
    <n v="0"/>
    <n v="0"/>
    <n v="1"/>
    <n v="1"/>
    <n v="0"/>
    <n v="0"/>
    <n v="0"/>
    <n v="0"/>
    <n v="0"/>
    <n v="0"/>
    <n v="0"/>
    <n v="0"/>
    <n v="0"/>
    <n v="0"/>
    <n v="0"/>
    <n v="0"/>
    <n v="0"/>
    <n v="0"/>
  </r>
  <r>
    <n v="11"/>
    <d v="2023-12-16T13:18:47"/>
    <d v="2023-12-16T14:32:51"/>
    <s v="anhlema@lighthouse.org.mw"/>
    <s v="Angelina Nhlema"/>
    <x v="12"/>
    <s v="COE"/>
    <x v="0"/>
    <s v="COP_23"/>
    <s v="COP_23"/>
    <s v="Quarter4"/>
    <s v="Quarter1"/>
    <s v="Qtr_1"/>
    <x v="0"/>
    <d v="2023-10-01T00:00:00"/>
    <d v="2023-10-31T00:00:00"/>
    <x v="6"/>
    <x v="41"/>
    <n v="32"/>
    <n v="10"/>
    <n v="9"/>
    <n v="11"/>
    <n v="4"/>
    <n v="31"/>
    <n v="13"/>
    <n v="14"/>
    <n v="1"/>
    <n v="5"/>
    <n v="1"/>
    <n v="18"/>
    <n v="7"/>
    <n v="3"/>
    <n v="0"/>
    <n v="6"/>
    <n v="2"/>
    <n v="6"/>
    <n v="1"/>
    <n v="4"/>
    <n v="1"/>
  </r>
  <r>
    <n v="12"/>
    <d v="2023-12-16T15:11:50"/>
    <d v="2023-12-16T15:19:05"/>
    <s v="anhlema@lighthouse.org.mw"/>
    <s v="Angelina Nhlema"/>
    <x v="12"/>
    <s v="COE"/>
    <x v="0"/>
    <s v="COP_23"/>
    <s v="COP_23"/>
    <s v="Quarter4"/>
    <s v="Quarter1"/>
    <s v="Qtr_1"/>
    <x v="0"/>
    <d v="2023-10-01T00:00:00"/>
    <d v="2023-10-31T00:00:00"/>
    <x v="0"/>
    <x v="149"/>
    <n v="58"/>
    <n v="115"/>
    <n v="2"/>
    <n v="40"/>
    <n v="30"/>
    <n v="179"/>
    <n v="49"/>
    <n v="51"/>
    <n v="4"/>
    <n v="5"/>
    <n v="0"/>
    <n v="82"/>
    <n v="15"/>
    <n v="32"/>
    <n v="1"/>
    <n v="48"/>
    <n v="4"/>
    <n v="56"/>
    <n v="1"/>
    <n v="7"/>
    <n v="0"/>
  </r>
  <r>
    <n v="13"/>
    <d v="2023-12-16T15:39:57"/>
    <d v="2023-12-16T15:40:12"/>
    <s v="anhlema@lighthouse.org.mw"/>
    <s v="Angelina Nhlema"/>
    <x v="12"/>
    <s v="COE"/>
    <x v="0"/>
    <s v="COP_23"/>
    <s v="COP_23"/>
    <s v="Quarter4"/>
    <s v="Quarter1"/>
    <s v="Qtr_1"/>
    <x v="1"/>
    <d v="2023-11-01T00:00:00"/>
    <d v="2023-11-30T00:00:00"/>
    <x v="6"/>
    <x v="59"/>
    <n v="26"/>
    <n v="0"/>
    <n v="20"/>
    <n v="3"/>
    <n v="3"/>
    <n v="24"/>
    <n v="9"/>
    <n v="18"/>
    <n v="0"/>
    <n v="4"/>
    <n v="1"/>
    <n v="13"/>
    <n v="2"/>
    <n v="0"/>
    <n v="0"/>
    <n v="1"/>
    <n v="0"/>
    <n v="9"/>
    <n v="0"/>
    <n v="0"/>
    <n v="0"/>
  </r>
  <r>
    <n v="14"/>
    <d v="2023-12-16T15:40:15"/>
    <d v="2023-12-16T15:54:12"/>
    <s v="anhlema@lighthouse.org.mw"/>
    <s v="Angelina Nhlema"/>
    <x v="12"/>
    <s v="COE"/>
    <x v="0"/>
    <s v="COP_23"/>
    <s v="COP_23"/>
    <s v="Quarter4"/>
    <s v="Quarter1"/>
    <s v="Qtr_1"/>
    <x v="1"/>
    <d v="2023-11-01T00:00:00"/>
    <d v="2023-11-30T00:00:00"/>
    <x v="0"/>
    <x v="150"/>
    <n v="75"/>
    <n v="95"/>
    <n v="26"/>
    <n v="38"/>
    <n v="23"/>
    <n v="179"/>
    <n v="46"/>
    <n v="57"/>
    <n v="5"/>
    <n v="13"/>
    <n v="5"/>
    <n v="69"/>
    <n v="7"/>
    <n v="24"/>
    <n v="0"/>
    <n v="40"/>
    <n v="1"/>
    <n v="40"/>
    <n v="1"/>
    <n v="3"/>
    <n v="2"/>
  </r>
  <r>
    <n v="81"/>
    <d v="2024-01-11T15:57:25"/>
    <d v="2024-01-11T16:08:41"/>
    <s v="cdziwe@lighthouse.org.mw"/>
    <s v="Clement Dziwe"/>
    <x v="12"/>
    <s v="COE"/>
    <x v="0"/>
    <s v="COP_23"/>
    <s v="COP_23"/>
    <s v="Quarter4"/>
    <s v="Quarter1"/>
    <s v="Qtr_1"/>
    <x v="11"/>
    <d v="2023-12-01T00:00:00"/>
    <d v="2023-12-31T00:00:00"/>
    <x v="3"/>
    <x v="39"/>
    <n v="5"/>
    <n v="2"/>
    <n v="1"/>
    <n v="3"/>
    <n v="2"/>
    <n v="3"/>
    <n v="0"/>
    <n v="4"/>
    <n v="0"/>
    <n v="0"/>
    <n v="0"/>
    <n v="7"/>
    <n v="2"/>
    <n v="0"/>
    <n v="0"/>
    <n v="0"/>
    <n v="0"/>
    <n v="0"/>
    <n v="0"/>
    <n v="2"/>
    <n v="0"/>
  </r>
  <r>
    <n v="94"/>
    <d v="2024-01-17T14:40:22"/>
    <d v="2024-01-17T15:23:30"/>
    <s v="cdziwe@lighthouse.org.mw"/>
    <s v="Clement Dziwe"/>
    <x v="12"/>
    <s v="COE"/>
    <x v="0"/>
    <s v="COP_23"/>
    <s v="COP_23"/>
    <s v="Quarter4"/>
    <s v="Quarter1"/>
    <s v="Qtr_1"/>
    <x v="11"/>
    <d v="2023-12-01T00:00:00"/>
    <d v="2023-12-31T00:00:00"/>
    <x v="6"/>
    <x v="53"/>
    <n v="20"/>
    <n v="1"/>
    <n v="2"/>
    <n v="17"/>
    <n v="0"/>
    <n v="20"/>
    <n v="7"/>
    <n v="9"/>
    <n v="1"/>
    <n v="1"/>
    <n v="1"/>
    <n v="11"/>
    <n v="1"/>
    <n v="0"/>
    <n v="0"/>
    <n v="0"/>
    <n v="0"/>
    <n v="7"/>
    <n v="0"/>
    <n v="0"/>
    <n v="1"/>
  </r>
  <r>
    <n v="95"/>
    <d v="2024-01-17T15:28:02"/>
    <d v="2024-01-17T15:30:13"/>
    <s v="cdziwe@lighthouse.org.mw"/>
    <s v="Clement Dziwe"/>
    <x v="12"/>
    <s v="COE"/>
    <x v="0"/>
    <s v="COP_23"/>
    <s v="COP_23"/>
    <s v="Quarter4"/>
    <s v="Quarter1"/>
    <s v="Qtr_1"/>
    <x v="11"/>
    <d v="2023-12-01T00:00:00"/>
    <d v="2023-12-31T00:00:00"/>
    <x v="4"/>
    <x v="54"/>
    <n v="2"/>
    <n v="2"/>
    <n v="0"/>
    <n v="1"/>
    <n v="2"/>
    <n v="5"/>
    <n v="2"/>
    <n v="2"/>
    <n v="2"/>
    <n v="2"/>
    <n v="0"/>
    <n v="2"/>
    <n v="0"/>
    <n v="0"/>
    <n v="0"/>
    <n v="0"/>
    <n v="0"/>
    <n v="2"/>
    <n v="0"/>
    <n v="0"/>
    <n v="0"/>
  </r>
  <r>
    <n v="96"/>
    <d v="2024-01-17T15:47:17"/>
    <d v="2024-01-17T15:57:04"/>
    <s v="cdziwe@lighthouse.org.mw"/>
    <s v="Clement Dziwe"/>
    <x v="12"/>
    <s v="COE"/>
    <x v="0"/>
    <s v="COP_23"/>
    <s v="COP_23"/>
    <s v="Quarter4"/>
    <s v="Quarter1"/>
    <s v="Qtr_1"/>
    <x v="11"/>
    <d v="2023-12-01T00:00:00"/>
    <d v="2023-12-31T00:00:00"/>
    <x v="5"/>
    <x v="9"/>
    <n v="1"/>
    <n v="15"/>
    <n v="2"/>
    <n v="7"/>
    <n v="1"/>
    <n v="25"/>
    <n v="2"/>
    <n v="2"/>
    <n v="0"/>
    <n v="0"/>
    <n v="0"/>
    <n v="2"/>
    <n v="0"/>
    <n v="0"/>
    <n v="0"/>
    <n v="0"/>
    <n v="0"/>
    <n v="0"/>
    <n v="0"/>
    <n v="0"/>
    <n v="0"/>
  </r>
  <r>
    <n v="113"/>
    <d v="2024-01-23T16:04:15"/>
    <d v="2024-01-23T16:13:21"/>
    <s v="cdziwe@lighthouse.org.mw"/>
    <s v="Clement Dziwe"/>
    <x v="12"/>
    <s v="COE"/>
    <x v="0"/>
    <s v="COP_23"/>
    <s v="COP_23"/>
    <s v="Quarter4"/>
    <s v="Quarter1"/>
    <s v="Qtr_1"/>
    <x v="0"/>
    <d v="2023-10-01T00:00:00"/>
    <d v="2023-10-31T00:00:00"/>
    <x v="3"/>
    <x v="30"/>
    <n v="2"/>
    <n v="1"/>
    <n v="0"/>
    <n v="1"/>
    <n v="1"/>
    <n v="0"/>
    <n v="0"/>
    <n v="3"/>
    <n v="0"/>
    <n v="0"/>
    <n v="0"/>
    <n v="3"/>
    <n v="1"/>
    <n v="1"/>
    <n v="0"/>
    <n v="1"/>
    <n v="1"/>
    <n v="2"/>
    <n v="1"/>
    <n v="1"/>
    <n v="0"/>
  </r>
  <r>
    <n v="114"/>
    <d v="2024-01-23T16:13:35"/>
    <d v="2024-01-23T16:21:17"/>
    <s v="cdziwe@lighthouse.org.mw"/>
    <s v="Clement Dziwe"/>
    <x v="12"/>
    <s v="COE"/>
    <x v="0"/>
    <s v="COP_23"/>
    <s v="COP_23"/>
    <s v="Quarter4"/>
    <s v="Quarter1"/>
    <s v="Qtr_1"/>
    <x v="1"/>
    <d v="2023-11-01T00:00:00"/>
    <d v="2023-11-30T00:00:00"/>
    <x v="3"/>
    <x v="18"/>
    <n v="0"/>
    <n v="1"/>
    <n v="0"/>
    <n v="0"/>
    <n v="0"/>
    <n v="1"/>
    <n v="0"/>
    <n v="0"/>
    <n v="0"/>
    <n v="0"/>
    <n v="0"/>
    <n v="0"/>
    <n v="0"/>
    <n v="0"/>
    <n v="0"/>
    <n v="0"/>
    <n v="0"/>
    <n v="0"/>
    <n v="0"/>
    <n v="0"/>
    <n v="0"/>
  </r>
  <r>
    <n v="115"/>
    <d v="2024-01-23T16:21:33"/>
    <d v="2024-01-23T16:32:12"/>
    <s v="cdziwe@lighthouse.org.mw"/>
    <s v="Clement Dziwe"/>
    <x v="12"/>
    <s v="COE"/>
    <x v="0"/>
    <s v="COP_23"/>
    <s v="COP_23"/>
    <s v="Quarter4"/>
    <s v="Quarter1"/>
    <s v="Qtr_1"/>
    <x v="0"/>
    <d v="2023-10-01T00:00:00"/>
    <d v="2023-10-31T00:00:00"/>
    <x v="5"/>
    <x v="26"/>
    <n v="0"/>
    <n v="20"/>
    <n v="0"/>
    <n v="0"/>
    <n v="2"/>
    <n v="21"/>
    <n v="5"/>
    <n v="6"/>
    <n v="0"/>
    <n v="0"/>
    <n v="0"/>
    <n v="7"/>
    <n v="0"/>
    <n v="2"/>
    <n v="0"/>
    <n v="2"/>
    <n v="0"/>
    <n v="6"/>
    <n v="0"/>
    <n v="0"/>
    <n v="0"/>
  </r>
  <r>
    <n v="116"/>
    <d v="2024-01-23T16:32:46"/>
    <d v="2024-01-23T16:43:57"/>
    <s v="cdziwe@lighthouse.org.mw"/>
    <s v="Clement Dziwe"/>
    <x v="12"/>
    <s v="COE"/>
    <x v="0"/>
    <s v="COP_23"/>
    <s v="COP_23"/>
    <s v="Quarter4"/>
    <s v="Quarter1"/>
    <s v="Qtr_1"/>
    <x v="1"/>
    <d v="2023-11-01T00:00:00"/>
    <d v="2023-11-30T00:00:00"/>
    <x v="5"/>
    <x v="26"/>
    <n v="2"/>
    <n v="17"/>
    <n v="3"/>
    <n v="1"/>
    <n v="1"/>
    <n v="22"/>
    <n v="7"/>
    <n v="7"/>
    <n v="1"/>
    <n v="1"/>
    <n v="0"/>
    <n v="7"/>
    <n v="0"/>
    <n v="1"/>
    <n v="0"/>
    <n v="2"/>
    <n v="0"/>
    <n v="7"/>
    <n v="0"/>
    <n v="0"/>
    <n v="0"/>
  </r>
  <r>
    <n v="182"/>
    <d v="2024-03-21T10:22:57"/>
    <d v="2024-03-21T11:38:07"/>
    <s v="pchaula@lighthouse.org.mw"/>
    <s v="Pachalo Chaula"/>
    <x v="12"/>
    <s v="COE"/>
    <x v="1"/>
    <s v="COP_23"/>
    <s v="COP_23"/>
    <s v="Quarter1"/>
    <s v="Quarter2"/>
    <s v="Qtr_2"/>
    <x v="5"/>
    <d v="2024-02-01T00:00:00"/>
    <d v="2024-02-29T00:00:00"/>
    <x v="0"/>
    <x v="151"/>
    <n v="30"/>
    <n v="72"/>
    <n v="38"/>
    <n v="75"/>
    <n v="22"/>
    <n v="22"/>
    <n v="44"/>
    <n v="159"/>
    <n v="1"/>
    <n v="159"/>
    <n v="1"/>
    <n v="150"/>
    <n v="3"/>
    <n v="3"/>
    <n v="1"/>
    <n v="207"/>
    <n v="0"/>
    <n v="207"/>
    <n v="6"/>
    <n v="6"/>
    <n v="1"/>
  </r>
  <r>
    <n v="183"/>
    <d v="2024-03-21T11:39:55"/>
    <d v="2024-03-21T11:44:58"/>
    <s v="pchaula@lighthouse.org.mw"/>
    <s v="Pachalo Chaula"/>
    <x v="12"/>
    <s v="COE"/>
    <x v="1"/>
    <s v="COP_23"/>
    <s v="COP_23"/>
    <s v="Quarter1"/>
    <s v="Quarter2"/>
    <s v="Qtr_2"/>
    <x v="5"/>
    <d v="2024-02-01T00:00:00"/>
    <d v="2024-02-29T00:00:00"/>
    <x v="6"/>
    <x v="65"/>
    <n v="40"/>
    <n v="9"/>
    <n v="18"/>
    <n v="11"/>
    <n v="2"/>
    <n v="40"/>
    <n v="12"/>
    <n v="40"/>
    <n v="1"/>
    <n v="40"/>
    <n v="0"/>
    <n v="40"/>
    <n v="3"/>
    <n v="40"/>
    <n v="0"/>
    <n v="40"/>
    <n v="0"/>
    <n v="40"/>
    <n v="2"/>
    <n v="1"/>
    <n v="0"/>
  </r>
  <r>
    <n v="229"/>
    <d v="2024-04-09T09:20:50"/>
    <d v="2024-04-09T09:25:39"/>
    <s v="pchaula@lighthouse.org.mw"/>
    <s v="Pachalo Chaula"/>
    <x v="12"/>
    <s v="COE"/>
    <x v="1"/>
    <s v="COP_23"/>
    <s v="COP_23"/>
    <s v="Quarter1"/>
    <s v="Quarter2"/>
    <s v="Qtr_2"/>
    <x v="3"/>
    <d v="2024-03-01T00:00:00"/>
    <d v="2024-03-31T00:00:00"/>
    <x v="3"/>
    <x v="33"/>
    <n v="4"/>
    <n v="3"/>
    <n v="0"/>
    <n v="0"/>
    <n v="1"/>
    <n v="4"/>
    <n v="0"/>
    <n v="4"/>
    <n v="1"/>
    <n v="1"/>
    <n v="0"/>
    <n v="4"/>
    <n v="1"/>
    <n v="0"/>
    <n v="0"/>
    <n v="0"/>
    <n v="0"/>
    <n v="1"/>
    <n v="0"/>
    <n v="0"/>
    <n v="0"/>
  </r>
  <r>
    <n v="304"/>
    <d v="2024-04-25T07:43:17"/>
    <d v="2024-04-25T07:59:17"/>
    <s v="pchaula@lighthouse.org.mw"/>
    <s v="Pachalo Chaula"/>
    <x v="12"/>
    <s v="COE"/>
    <x v="1"/>
    <s v="COP_23"/>
    <s v="COP_23"/>
    <s v="Quarter1"/>
    <s v="Quarter2"/>
    <s v="Qtr_2"/>
    <x v="4"/>
    <d v="2024-01-01T00:00:00"/>
    <d v="2024-01-31T00:00:00"/>
    <x v="0"/>
    <x v="152"/>
    <n v="56"/>
    <n v="109"/>
    <n v="24"/>
    <n v="54"/>
    <n v="8"/>
    <n v="144"/>
    <n v="51"/>
    <n v="55"/>
    <n v="1"/>
    <n v="5"/>
    <n v="2"/>
    <n v="62"/>
    <n v="10"/>
    <n v="3"/>
    <n v="0"/>
    <n v="7"/>
    <n v="5"/>
    <n v="28"/>
    <n v="3"/>
    <n v="7"/>
    <n v="2"/>
  </r>
  <r>
    <n v="306"/>
    <d v="2024-04-25T08:19:41"/>
    <d v="2024-04-25T08:22:58"/>
    <s v="pchaula@lighthouse.org.mw"/>
    <s v="Pachalo Chaula"/>
    <x v="12"/>
    <s v="COE"/>
    <x v="1"/>
    <s v="COP_23"/>
    <s v="COP_23"/>
    <s v="Quarter1"/>
    <s v="Quarter2"/>
    <s v="Qtr_2"/>
    <x v="4"/>
    <d v="2024-01-01T00:00:00"/>
    <d v="2024-01-31T00:00:00"/>
    <x v="6"/>
    <x v="52"/>
    <n v="24"/>
    <n v="5"/>
    <n v="8"/>
    <n v="10"/>
    <n v="1"/>
    <n v="24"/>
    <n v="10"/>
    <n v="11"/>
    <n v="0"/>
    <n v="1"/>
    <n v="0"/>
    <n v="12"/>
    <n v="3"/>
    <n v="0"/>
    <n v="0"/>
    <n v="0"/>
    <n v="0"/>
    <n v="2"/>
    <n v="0"/>
    <n v="2"/>
    <n v="0"/>
  </r>
  <r>
    <n v="308"/>
    <d v="2024-04-25T08:31:19"/>
    <d v="2024-04-25T08:34:26"/>
    <s v="pchaula@lighthouse.org.mw"/>
    <s v="Pachalo Chaula"/>
    <x v="12"/>
    <s v="COE"/>
    <x v="1"/>
    <s v="COP_23"/>
    <s v="COP_23"/>
    <s v="Quarter1"/>
    <s v="Quarter2"/>
    <s v="Qtr_2"/>
    <x v="4"/>
    <d v="2024-01-01T00:00:00"/>
    <d v="2024-01-31T00:00:00"/>
    <x v="5"/>
    <x v="28"/>
    <n v="0"/>
    <n v="27"/>
    <n v="2"/>
    <n v="2"/>
    <n v="0"/>
    <n v="31"/>
    <n v="3"/>
    <n v="3"/>
    <n v="0"/>
    <n v="0"/>
    <n v="0"/>
    <n v="3"/>
    <n v="0"/>
    <n v="0"/>
    <n v="0"/>
    <n v="0"/>
    <n v="0"/>
    <n v="3"/>
    <n v="0"/>
    <n v="0"/>
    <n v="0"/>
  </r>
  <r>
    <n v="309"/>
    <d v="2024-04-25T08:34:43"/>
    <d v="2024-04-25T08:39:08"/>
    <s v="pchaula@lighthouse.org.mw"/>
    <s v="Pachalo Chaula"/>
    <x v="12"/>
    <s v="COE"/>
    <x v="1"/>
    <s v="COP_23"/>
    <s v="COP_23"/>
    <s v="Quarter1"/>
    <s v="Quarter2"/>
    <s v="Qtr_2"/>
    <x v="4"/>
    <d v="2024-01-01T00:00:00"/>
    <d v="2024-01-31T00:00:00"/>
    <x v="4"/>
    <x v="31"/>
    <n v="0"/>
    <n v="5"/>
    <n v="0"/>
    <n v="2"/>
    <n v="0"/>
    <n v="7"/>
    <n v="0"/>
    <n v="0"/>
    <n v="0"/>
    <n v="0"/>
    <n v="0"/>
    <n v="0"/>
    <n v="0"/>
    <n v="0"/>
    <n v="0"/>
    <n v="0"/>
    <n v="0"/>
    <n v="0"/>
    <n v="0"/>
    <n v="0"/>
    <n v="0"/>
  </r>
  <r>
    <n v="319"/>
    <d v="2024-04-29T14:05:48"/>
    <d v="2024-04-29T14:09:57"/>
    <s v="pchaula@lighthouse.org.mw"/>
    <s v="Pachalo Chaula"/>
    <x v="12"/>
    <s v="COE"/>
    <x v="1"/>
    <s v="COP_23"/>
    <s v="COP_23"/>
    <s v="Quarter1"/>
    <s v="Quarter2"/>
    <s v="Qtr_2"/>
    <x v="5"/>
    <d v="2024-02-01T00:00:00"/>
    <d v="2024-02-29T00:00:00"/>
    <x v="5"/>
    <x v="52"/>
    <n v="0"/>
    <n v="15"/>
    <n v="2"/>
    <n v="7"/>
    <n v="0"/>
    <n v="21"/>
    <n v="1"/>
    <n v="0"/>
    <n v="0"/>
    <n v="4"/>
    <n v="0"/>
    <n v="7"/>
    <n v="3"/>
    <n v="0"/>
    <n v="0"/>
    <n v="0"/>
    <n v="0"/>
    <n v="0"/>
    <n v="0"/>
    <n v="0"/>
    <n v="0"/>
  </r>
  <r>
    <n v="321"/>
    <d v="2024-04-29T14:34:12"/>
    <d v="2024-04-29T14:38:56"/>
    <s v="pchaula@lighthouse.org.mw"/>
    <s v="Pachalo Chaula"/>
    <x v="12"/>
    <s v="COE"/>
    <x v="1"/>
    <s v="COP_23"/>
    <s v="COP_23"/>
    <s v="Quarter1"/>
    <s v="Quarter2"/>
    <s v="Qtr_2"/>
    <x v="5"/>
    <d v="2024-02-01T00:00:00"/>
    <d v="2024-02-29T00:00:00"/>
    <x v="4"/>
    <x v="57"/>
    <n v="3"/>
    <n v="7"/>
    <n v="2"/>
    <n v="4"/>
    <n v="2"/>
    <n v="14"/>
    <n v="2"/>
    <n v="2"/>
    <n v="0"/>
    <n v="2"/>
    <n v="0"/>
    <n v="2"/>
    <n v="0"/>
    <n v="0"/>
    <n v="0"/>
    <n v="0"/>
    <n v="0"/>
    <n v="0"/>
    <n v="0"/>
    <n v="0"/>
    <n v="0"/>
  </r>
  <r>
    <n v="322"/>
    <d v="2024-04-29T14:40:24"/>
    <d v="2024-04-29T14:45:19"/>
    <s v="pchaula@lighthouse.org.mw"/>
    <s v="Pachalo Chaula"/>
    <x v="12"/>
    <s v="COE"/>
    <x v="1"/>
    <s v="COP_23"/>
    <s v="COP_23"/>
    <s v="Quarter1"/>
    <s v="Quarter2"/>
    <s v="Qtr_2"/>
    <x v="5"/>
    <d v="2024-02-01T00:00:00"/>
    <d v="2024-02-29T00:00:00"/>
    <x v="3"/>
    <x v="30"/>
    <n v="0"/>
    <n v="1"/>
    <n v="0"/>
    <n v="2"/>
    <n v="0"/>
    <n v="0"/>
    <n v="0"/>
    <n v="2"/>
    <n v="0"/>
    <n v="0"/>
    <n v="0"/>
    <n v="3"/>
    <n v="2"/>
    <n v="0"/>
    <n v="0"/>
    <n v="0"/>
    <n v="0"/>
    <n v="0"/>
    <n v="0"/>
    <n v="0"/>
    <n v="0"/>
  </r>
  <r>
    <n v="325"/>
    <d v="2024-04-29T15:01:33"/>
    <d v="2024-04-29T15:10:36"/>
    <s v="pchaula@lighthouse.org.mw"/>
    <s v="Pachalo Chaula"/>
    <x v="12"/>
    <s v="COE"/>
    <x v="1"/>
    <s v="COP_23"/>
    <s v="COP_23"/>
    <s v="Quarter1"/>
    <s v="Quarter2"/>
    <s v="Qtr_2"/>
    <x v="3"/>
    <d v="2024-03-01T00:00:00"/>
    <d v="2024-03-31T00:00:00"/>
    <x v="6"/>
    <x v="42"/>
    <n v="14"/>
    <n v="1"/>
    <n v="2"/>
    <n v="2"/>
    <n v="9"/>
    <n v="11"/>
    <n v="6"/>
    <n v="5"/>
    <n v="1"/>
    <n v="0"/>
    <n v="0"/>
    <n v="5"/>
    <n v="2"/>
    <n v="1"/>
    <n v="1"/>
    <n v="2"/>
    <n v="2"/>
    <n v="4"/>
    <n v="1"/>
    <n v="1"/>
    <n v="0"/>
  </r>
  <r>
    <n v="326"/>
    <d v="2024-04-29T15:10:47"/>
    <d v="2024-04-29T15:25:01"/>
    <s v="pchaula@lighthouse.org.mw"/>
    <s v="Pachalo Chaula"/>
    <x v="12"/>
    <s v="COE"/>
    <x v="1"/>
    <s v="COP_23"/>
    <s v="COP_23"/>
    <s v="Quarter1"/>
    <s v="Quarter2"/>
    <s v="Qtr_2"/>
    <x v="3"/>
    <d v="2024-03-01T00:00:00"/>
    <d v="2024-03-31T00:00:00"/>
    <x v="4"/>
    <x v="31"/>
    <n v="2"/>
    <n v="3"/>
    <n v="2"/>
    <n v="0"/>
    <n v="2"/>
    <n v="0"/>
    <n v="3"/>
    <n v="3"/>
    <n v="0"/>
    <n v="3"/>
    <n v="0"/>
    <n v="1"/>
    <n v="1"/>
    <n v="2"/>
    <n v="0"/>
    <n v="0"/>
    <n v="0"/>
    <n v="1"/>
    <n v="0"/>
    <n v="0"/>
    <n v="0"/>
  </r>
  <r>
    <n v="369"/>
    <d v="2024-05-08T11:24:29"/>
    <d v="2024-05-08T11:25:55"/>
    <s v="pchaula@lighthouse.org.mw"/>
    <s v="Pachalo Chaula"/>
    <x v="12"/>
    <s v="COE"/>
    <x v="1"/>
    <s v="COP_23"/>
    <s v="COP_23"/>
    <s v="Quarter1"/>
    <s v="Quarter2"/>
    <s v="Qtr_2"/>
    <x v="4"/>
    <d v="2024-01-01T00:00:00"/>
    <d v="2024-01-31T00:00:00"/>
    <x v="3"/>
    <x v="21"/>
    <n v="0"/>
    <n v="0"/>
    <n v="0"/>
    <n v="0"/>
    <n v="0"/>
    <n v="0"/>
    <n v="0"/>
    <n v="0"/>
    <n v="0"/>
    <n v="0"/>
    <n v="0"/>
    <n v="0"/>
    <n v="0"/>
    <n v="0"/>
    <n v="0"/>
    <n v="0"/>
    <n v="0"/>
    <n v="0"/>
    <n v="0"/>
    <n v="0"/>
    <n v="0"/>
  </r>
  <r>
    <n v="370"/>
    <d v="2024-05-08T11:26:01"/>
    <d v="2024-05-08T11:30:20"/>
    <s v="pchaula@lighthouse.org.mw"/>
    <s v="Pachalo Chaula"/>
    <x v="12"/>
    <s v="COE"/>
    <x v="1"/>
    <s v="COP_23"/>
    <s v="COP_23"/>
    <s v="Quarter1"/>
    <s v="Quarter2"/>
    <s v="Qtr_2"/>
    <x v="3"/>
    <d v="2024-03-01T00:00:00"/>
    <d v="2024-03-31T00:00:00"/>
    <x v="0"/>
    <x v="153"/>
    <n v="30"/>
    <n v="64"/>
    <n v="14"/>
    <n v="44"/>
    <n v="23"/>
    <n v="140"/>
    <n v="40"/>
    <n v="39"/>
    <n v="4"/>
    <n v="4"/>
    <n v="1"/>
    <n v="42"/>
    <n v="9"/>
    <n v="35"/>
    <n v="5"/>
    <n v="44"/>
    <n v="4"/>
    <n v="35"/>
    <n v="6"/>
    <n v="9"/>
    <n v="1"/>
  </r>
  <r>
    <n v="371"/>
    <d v="2024-05-08T11:30:39"/>
    <d v="2024-05-08T11:34:09"/>
    <s v="pchaula@lighthouse.org.mw"/>
    <s v="Pachalo Chaula"/>
    <x v="12"/>
    <s v="COE"/>
    <x v="1"/>
    <s v="COP_23"/>
    <s v="COP_23"/>
    <s v="Quarter1"/>
    <s v="Quarter2"/>
    <s v="Qtr_2"/>
    <x v="3"/>
    <d v="2024-03-01T00:00:00"/>
    <d v="2024-03-31T00:00:00"/>
    <x v="5"/>
    <x v="17"/>
    <n v="3"/>
    <n v="19"/>
    <n v="0"/>
    <n v="2"/>
    <n v="2"/>
    <n v="23"/>
    <n v="5"/>
    <n v="5"/>
    <n v="0"/>
    <n v="0"/>
    <n v="0"/>
    <n v="5"/>
    <n v="1"/>
    <n v="0"/>
    <n v="0"/>
    <n v="0"/>
    <n v="0"/>
    <n v="5"/>
    <n v="0"/>
    <n v="1"/>
    <n v="0"/>
  </r>
  <r>
    <n v="397"/>
    <d v="2024-05-09T14:41:32"/>
    <d v="2024-05-09T14:47:01"/>
    <s v="pchaula@lighthouse.org.mw"/>
    <s v="Pachalo Chaula"/>
    <x v="12"/>
    <s v="COE"/>
    <x v="1"/>
    <s v="COP_24"/>
    <s v="COP_23"/>
    <s v="Quarter2"/>
    <s v="Quarter3"/>
    <s v="Qtr_3"/>
    <x v="7"/>
    <d v="2024-04-01T00:00:00"/>
    <d v="2024-04-30T00:00:00"/>
    <x v="0"/>
    <x v="125"/>
    <n v="37"/>
    <n v="73"/>
    <n v="17"/>
    <n v="37"/>
    <n v="14"/>
    <n v="14"/>
    <n v="62"/>
    <n v="43"/>
    <n v="1"/>
    <n v="2"/>
    <n v="0"/>
    <n v="47"/>
    <n v="5"/>
    <n v="7"/>
    <n v="1"/>
    <n v="15"/>
    <n v="7"/>
    <n v="35"/>
    <n v="5"/>
    <n v="7"/>
    <n v="0"/>
  </r>
  <r>
    <n v="398"/>
    <d v="2024-05-09T14:47:19"/>
    <d v="2024-05-09T14:52:43"/>
    <s v="pchaula@lighthouse.org.mw"/>
    <s v="Pachalo Chaula"/>
    <x v="12"/>
    <s v="COE"/>
    <x v="1"/>
    <s v="COP_24"/>
    <s v="COP_23"/>
    <s v="Quarter2"/>
    <s v="Quarter3"/>
    <s v="Qtr_3"/>
    <x v="7"/>
    <d v="2024-04-01T00:00:00"/>
    <d v="2024-04-30T00:00:00"/>
    <x v="6"/>
    <x v="154"/>
    <n v="63"/>
    <n v="14"/>
    <n v="20"/>
    <n v="25"/>
    <n v="4"/>
    <n v="62"/>
    <n v="24"/>
    <n v="22"/>
    <n v="2"/>
    <n v="4"/>
    <n v="0"/>
    <n v="20"/>
    <n v="3"/>
    <n v="1"/>
    <n v="0"/>
    <n v="4"/>
    <n v="1"/>
    <n v="11"/>
    <n v="2"/>
    <n v="4"/>
    <n v="4"/>
  </r>
  <r>
    <n v="400"/>
    <d v="2024-05-09T14:58:09"/>
    <d v="2024-05-09T15:01:03"/>
    <s v="pchaula@lighthouse.org.mw"/>
    <s v="Pachalo Chaula"/>
    <x v="12"/>
    <s v="COE"/>
    <x v="1"/>
    <s v="COP_24"/>
    <s v="COP_23"/>
    <s v="Quarter2"/>
    <s v="Quarter3"/>
    <s v="Qtr_3"/>
    <x v="7"/>
    <d v="2024-04-01T00:00:00"/>
    <d v="2024-04-30T00:00:00"/>
    <x v="5"/>
    <x v="28"/>
    <n v="0"/>
    <n v="37"/>
    <n v="1"/>
    <n v="1"/>
    <n v="2"/>
    <n v="31"/>
    <n v="5"/>
    <n v="5"/>
    <n v="0"/>
    <n v="0"/>
    <n v="0"/>
    <n v="0"/>
    <n v="0"/>
    <n v="2"/>
    <n v="0"/>
    <n v="3"/>
    <n v="0"/>
    <n v="5"/>
    <n v="0"/>
    <n v="2"/>
    <n v="0"/>
  </r>
  <r>
    <n v="401"/>
    <d v="2024-05-09T15:01:17"/>
    <d v="2024-05-09T15:02:21"/>
    <s v="pchaula@lighthouse.org.mw"/>
    <s v="Pachalo Chaula"/>
    <x v="12"/>
    <s v="COE"/>
    <x v="1"/>
    <s v="COP_24"/>
    <s v="COP_23"/>
    <s v="Quarter2"/>
    <s v="Quarter3"/>
    <s v="Qtr_3"/>
    <x v="7"/>
    <d v="2024-04-01T00:00:00"/>
    <d v="2024-04-30T00:00:00"/>
    <x v="3"/>
    <x v="21"/>
    <n v="0"/>
    <n v="0"/>
    <n v="0"/>
    <n v="0"/>
    <n v="0"/>
    <n v="0"/>
    <n v="0"/>
    <n v="0"/>
    <n v="0"/>
    <n v="0"/>
    <n v="0"/>
    <n v="0"/>
    <n v="0"/>
    <n v="0"/>
    <n v="0"/>
    <n v="0"/>
    <n v="0"/>
    <n v="0"/>
    <n v="0"/>
    <n v="0"/>
    <n v="0"/>
  </r>
  <r>
    <n v="402"/>
    <d v="2024-05-09T15:02:34"/>
    <d v="2024-05-09T15:06:37"/>
    <s v="pchaula@lighthouse.org.mw"/>
    <s v="Pachalo Chaula"/>
    <x v="12"/>
    <s v="COE"/>
    <x v="1"/>
    <s v="COP_24"/>
    <s v="COP_23"/>
    <s v="Quarter2"/>
    <s v="Quarter3"/>
    <s v="Qtr_3"/>
    <x v="7"/>
    <d v="2024-04-01T00:00:00"/>
    <d v="2024-04-30T00:00:00"/>
    <x v="4"/>
    <x v="39"/>
    <n v="0"/>
    <n v="4"/>
    <n v="2"/>
    <n v="2"/>
    <n v="0"/>
    <n v="8"/>
    <n v="2"/>
    <n v="0"/>
    <n v="0"/>
    <n v="0"/>
    <n v="0"/>
    <n v="2"/>
    <n v="0"/>
    <n v="0"/>
    <n v="0"/>
    <n v="0"/>
    <n v="0"/>
    <n v="2"/>
    <n v="0"/>
    <n v="0"/>
    <n v="0"/>
  </r>
  <r>
    <n v="515"/>
    <d v="2024-06-07T10:43:26"/>
    <d v="2024-06-07T10:50:20"/>
    <s v="pchaula@lighthouse.org.mw"/>
    <s v="Pachalo Chaula"/>
    <x v="12"/>
    <s v="COE"/>
    <x v="1"/>
    <s v="COP_24"/>
    <s v="COP_23"/>
    <s v="Quarter2"/>
    <s v="Quarter3"/>
    <s v="Qtr_3"/>
    <x v="6"/>
    <d v="2024-05-01T00:00:00"/>
    <d v="2024-05-31T00:00:00"/>
    <x v="0"/>
    <x v="147"/>
    <n v="24"/>
    <n v="82"/>
    <n v="9"/>
    <n v="17"/>
    <n v="16"/>
    <n v="71"/>
    <n v="20"/>
    <n v="72"/>
    <n v="2"/>
    <n v="3"/>
    <n v="1"/>
    <n v="9"/>
    <n v="0"/>
    <n v="11"/>
    <n v="0"/>
    <n v="4"/>
    <n v="0"/>
    <n v="49"/>
    <n v="4"/>
    <n v="3"/>
    <n v="1"/>
  </r>
  <r>
    <n v="521"/>
    <d v="2024-06-07T10:54:53"/>
    <d v="2024-06-07T11:09:56"/>
    <s v="pchaula@lighthouse.org.mw"/>
    <s v="Pachalo Chaula"/>
    <x v="12"/>
    <s v="COE"/>
    <x v="1"/>
    <s v="COP_24"/>
    <s v="COP_23"/>
    <s v="Quarter2"/>
    <s v="Quarter3"/>
    <s v="Qtr_3"/>
    <x v="6"/>
    <d v="2024-05-01T00:00:00"/>
    <d v="2024-05-31T00:00:00"/>
    <x v="6"/>
    <x v="48"/>
    <n v="54"/>
    <n v="18"/>
    <n v="7"/>
    <n v="14"/>
    <n v="15"/>
    <n v="35"/>
    <n v="10"/>
    <n v="22"/>
    <n v="2"/>
    <n v="2"/>
    <n v="1"/>
    <n v="4"/>
    <n v="1"/>
    <n v="8"/>
    <n v="1"/>
    <n v="11"/>
    <n v="7"/>
    <n v="26"/>
    <n v="6"/>
    <n v="6"/>
    <n v="1"/>
  </r>
  <r>
    <n v="524"/>
    <d v="2024-06-07T11:13:00"/>
    <d v="2024-06-07T11:14:48"/>
    <s v="pchaula@lighthouse.org.mw"/>
    <s v="Pachalo Chaula"/>
    <x v="12"/>
    <s v="COE"/>
    <x v="1"/>
    <s v="COP_24"/>
    <s v="COP_23"/>
    <s v="Quarter2"/>
    <s v="Quarter3"/>
    <s v="Qtr_3"/>
    <x v="6"/>
    <d v="2024-05-01T00:00:00"/>
    <d v="2024-05-31T00:00:00"/>
    <x v="4"/>
    <x v="37"/>
    <n v="1"/>
    <n v="3"/>
    <n v="1"/>
    <n v="1"/>
    <n v="1"/>
    <n v="2"/>
    <n v="1"/>
    <n v="4"/>
    <n v="0"/>
    <n v="1"/>
    <n v="0"/>
    <n v="1"/>
    <n v="0"/>
    <n v="0"/>
    <n v="0"/>
    <n v="0"/>
    <n v="0"/>
    <n v="2"/>
    <n v="0"/>
    <n v="0"/>
    <n v="0"/>
  </r>
  <r>
    <n v="526"/>
    <d v="2024-06-07T11:15:26"/>
    <d v="2024-06-07T11:37:57"/>
    <s v="pchaula@lighthouse.org.mw"/>
    <s v="Pachalo Chaula"/>
    <x v="12"/>
    <s v="COE"/>
    <x v="1"/>
    <s v="COP_24"/>
    <s v="COP_23"/>
    <s v="Quarter2"/>
    <s v="Quarter3"/>
    <s v="Qtr_3"/>
    <x v="6"/>
    <d v="2024-05-01T00:00:00"/>
    <d v="2024-05-31T00:00:00"/>
    <x v="5"/>
    <x v="51"/>
    <n v="1"/>
    <n v="14"/>
    <n v="0"/>
    <n v="2"/>
    <n v="1"/>
    <n v="12"/>
    <n v="2"/>
    <n v="0"/>
    <n v="0"/>
    <n v="0"/>
    <n v="0"/>
    <n v="2"/>
    <n v="0"/>
    <n v="0"/>
    <n v="0"/>
    <n v="0"/>
    <n v="0"/>
    <n v="2"/>
    <n v="0"/>
    <n v="0"/>
    <n v="0"/>
  </r>
  <r>
    <n v="527"/>
    <d v="2024-06-07T15:41:11"/>
    <d v="2024-06-07T15:45:14"/>
    <s v="pchaula@lighthouse.org.mw"/>
    <s v="Pachalo Chaula"/>
    <x v="12"/>
    <s v="COE"/>
    <x v="1"/>
    <s v="COP_24"/>
    <s v="COP_23"/>
    <s v="Quarter2"/>
    <s v="Quarter3"/>
    <s v="Qtr_3"/>
    <x v="6"/>
    <d v="2024-05-01T00:00:00"/>
    <d v="2024-05-31T00:00:00"/>
    <x v="3"/>
    <x v="31"/>
    <n v="1"/>
    <n v="3"/>
    <n v="0"/>
    <n v="2"/>
    <n v="2"/>
    <n v="0"/>
    <n v="0"/>
    <n v="0"/>
    <n v="0"/>
    <n v="0"/>
    <n v="0"/>
    <n v="0"/>
    <n v="0"/>
    <n v="0"/>
    <n v="0"/>
    <n v="0"/>
    <n v="0"/>
    <n v="2"/>
    <n v="1"/>
    <n v="1"/>
    <n v="0"/>
  </r>
  <r>
    <n v="581"/>
    <d v="2024-07-04T13:27:16"/>
    <d v="2024-07-04T13:33:23"/>
    <s v="pchaula@lighthouse.org.mw"/>
    <s v="Pachalo Chaula"/>
    <x v="12"/>
    <s v="COE"/>
    <x v="1"/>
    <s v="COP_24"/>
    <s v="COP_23"/>
    <s v="Quarter2"/>
    <s v="Quarter3"/>
    <s v="Qtr_3"/>
    <x v="8"/>
    <d v="2024-06-01T00:00:00"/>
    <d v="2024-06-30T00:00:00"/>
    <x v="0"/>
    <x v="137"/>
    <n v="46"/>
    <n v="85"/>
    <n v="15"/>
    <n v="36"/>
    <n v="22"/>
    <n v="156"/>
    <n v="42"/>
    <n v="46"/>
    <n v="1"/>
    <n v="5"/>
    <n v="0"/>
    <n v="0"/>
    <n v="0"/>
    <n v="6"/>
    <n v="1"/>
    <n v="15"/>
    <n v="6"/>
    <n v="39"/>
    <n v="6"/>
    <n v="7"/>
    <n v="0"/>
  </r>
  <r>
    <n v="583"/>
    <d v="2024-07-04T13:37:42"/>
    <d v="2024-07-04T13:43:14"/>
    <s v="pchaula@lighthouse.org.mw"/>
    <s v="Pachalo Chaula"/>
    <x v="12"/>
    <s v="COE"/>
    <x v="1"/>
    <s v="COP_24"/>
    <s v="COP_23"/>
    <s v="Quarter2"/>
    <s v="Quarter3"/>
    <s v="Qtr_3"/>
    <x v="8"/>
    <d v="2024-06-01T00:00:00"/>
    <d v="2024-06-30T00:00:00"/>
    <x v="4"/>
    <x v="31"/>
    <n v="3"/>
    <n v="5"/>
    <n v="1"/>
    <n v="0"/>
    <n v="1"/>
    <n v="7"/>
    <n v="1"/>
    <n v="2"/>
    <n v="0"/>
    <n v="0"/>
    <n v="0"/>
    <n v="0"/>
    <n v="0"/>
    <n v="0"/>
    <n v="0"/>
    <n v="0"/>
    <n v="0"/>
    <n v="1"/>
    <n v="0"/>
    <n v="0"/>
    <n v="0"/>
  </r>
  <r>
    <n v="584"/>
    <d v="2024-07-04T13:45:33"/>
    <d v="2024-07-04T14:07:17"/>
    <s v="pchaula@lighthouse.org.mw"/>
    <s v="Pachalo Chaula"/>
    <x v="12"/>
    <s v="COE"/>
    <x v="1"/>
    <s v="COP_24"/>
    <s v="COP_23"/>
    <s v="Quarter2"/>
    <s v="Quarter3"/>
    <s v="Qtr_3"/>
    <x v="8"/>
    <d v="2024-06-01T00:00:00"/>
    <d v="2024-06-30T00:00:00"/>
    <x v="5"/>
    <x v="34"/>
    <n v="4"/>
    <n v="23"/>
    <n v="2"/>
    <n v="1"/>
    <n v="32"/>
    <n v="28"/>
    <n v="7"/>
    <n v="7"/>
    <n v="0"/>
    <n v="1"/>
    <n v="0"/>
    <n v="0"/>
    <n v="0"/>
    <n v="0"/>
    <n v="0"/>
    <n v="0"/>
    <n v="0"/>
    <n v="6"/>
    <n v="1"/>
    <n v="1"/>
    <n v="0"/>
  </r>
  <r>
    <n v="585"/>
    <d v="2024-07-04T14:07:26"/>
    <d v="2024-07-04T14:11:43"/>
    <s v="pchaula@lighthouse.org.mw"/>
    <s v="Pachalo Chaula"/>
    <x v="12"/>
    <s v="COE"/>
    <x v="1"/>
    <s v="COP_24"/>
    <s v="COP_23"/>
    <s v="Quarter2"/>
    <s v="Quarter3"/>
    <s v="Qtr_3"/>
    <x v="8"/>
    <d v="2024-06-01T00:00:00"/>
    <d v="2024-06-30T00:00:00"/>
    <x v="3"/>
    <x v="18"/>
    <n v="0"/>
    <n v="1"/>
    <n v="0"/>
    <n v="0"/>
    <n v="0"/>
    <n v="0"/>
    <n v="0"/>
    <n v="1"/>
    <n v="0"/>
    <n v="0"/>
    <n v="0"/>
    <n v="0"/>
    <n v="0"/>
    <n v="0"/>
    <n v="0"/>
    <n v="0"/>
    <n v="0"/>
    <n v="1"/>
    <n v="0"/>
    <n v="0"/>
    <n v="0"/>
  </r>
  <r>
    <n v="587"/>
    <d v="2024-07-04T14:16:07"/>
    <d v="2024-07-04T14:20:20"/>
    <s v="pchaula@lighthouse.org.mw"/>
    <s v="Pachalo Chaula"/>
    <x v="12"/>
    <s v="COE"/>
    <x v="1"/>
    <s v="COP_24"/>
    <s v="COP_23"/>
    <s v="Quarter2"/>
    <s v="Quarter3"/>
    <s v="Qtr_3"/>
    <x v="8"/>
    <d v="2024-06-01T00:00:00"/>
    <d v="2024-06-30T00:00:00"/>
    <x v="6"/>
    <x v="5"/>
    <n v="44"/>
    <n v="31"/>
    <n v="2"/>
    <n v="9"/>
    <n v="2"/>
    <n v="44"/>
    <n v="16"/>
    <n v="16"/>
    <n v="0"/>
    <n v="2"/>
    <n v="0"/>
    <n v="0"/>
    <n v="0"/>
    <n v="5"/>
    <n v="0"/>
    <n v="7"/>
    <n v="1"/>
    <n v="12"/>
    <n v="1"/>
    <n v="1"/>
    <n v="0"/>
  </r>
  <r>
    <n v="711"/>
    <d v="2024-08-05T13:56:32"/>
    <d v="2024-08-05T14:03:02"/>
    <s v="pchaula@lighthouse.org.mw"/>
    <s v="Pachalo Chaula"/>
    <x v="12"/>
    <s v="COE"/>
    <x v="1"/>
    <s v="COP_23"/>
    <s v="COP_23"/>
    <s v="Quarter3"/>
    <s v="Quarter4"/>
    <s v="Qtr_4"/>
    <x v="9"/>
    <d v="2024-07-01T00:00:00"/>
    <d v="2024-07-31T00:00:00"/>
    <x v="0"/>
    <x v="83"/>
    <n v="33"/>
    <n v="67"/>
    <n v="16"/>
    <n v="36"/>
    <n v="8"/>
    <n v="122"/>
    <n v="37"/>
    <n v="48"/>
    <n v="0"/>
    <n v="5"/>
    <n v="0"/>
    <n v="0"/>
    <n v="0"/>
    <n v="2"/>
    <n v="0"/>
    <n v="19"/>
    <n v="11"/>
    <n v="43"/>
    <n v="0"/>
    <n v="0"/>
    <n v="0"/>
  </r>
  <r>
    <n v="718"/>
    <d v="2024-08-05T15:01:43"/>
    <d v="2024-08-06T08:14:22"/>
    <s v="pchaula@lighthouse.org.mw"/>
    <s v="Pachalo Chaula"/>
    <x v="12"/>
    <s v="COE"/>
    <x v="1"/>
    <s v="COP_23"/>
    <s v="COP_23"/>
    <s v="Quarter3"/>
    <s v="Quarter4"/>
    <s v="Qtr_4"/>
    <x v="9"/>
    <d v="2024-07-01T00:00:00"/>
    <d v="2024-07-31T00:00:00"/>
    <x v="5"/>
    <x v="59"/>
    <n v="0"/>
    <n v="20"/>
    <n v="5"/>
    <n v="1"/>
    <n v="0"/>
    <n v="26"/>
    <n v="6"/>
    <n v="7"/>
    <n v="0"/>
    <n v="0"/>
    <n v="0"/>
    <n v="0"/>
    <n v="0"/>
    <n v="0"/>
    <n v="0"/>
    <n v="1"/>
    <n v="0"/>
    <n v="5"/>
    <n v="0"/>
    <n v="0"/>
    <n v="0"/>
  </r>
  <r>
    <n v="719"/>
    <d v="2024-08-06T08:14:26"/>
    <d v="2024-08-06T08:16:31"/>
    <s v="pchaula@lighthouse.org.mw"/>
    <s v="Pachalo Chaula"/>
    <x v="12"/>
    <s v="COE"/>
    <x v="1"/>
    <s v="COP_23"/>
    <s v="COP_23"/>
    <s v="Quarter3"/>
    <s v="Quarter4"/>
    <s v="Qtr_4"/>
    <x v="9"/>
    <d v="2024-07-01T00:00:00"/>
    <d v="2024-07-31T00:00:00"/>
    <x v="4"/>
    <x v="33"/>
    <n v="0"/>
    <n v="4"/>
    <n v="0"/>
    <n v="0"/>
    <n v="0"/>
    <n v="4"/>
    <n v="0"/>
    <n v="4"/>
    <n v="0"/>
    <n v="4"/>
    <n v="0"/>
    <n v="0"/>
    <n v="0"/>
    <n v="0"/>
    <n v="0"/>
    <n v="0"/>
    <n v="0"/>
    <n v="0"/>
    <n v="0"/>
    <n v="0"/>
    <n v="0"/>
  </r>
  <r>
    <n v="720"/>
    <d v="2024-08-06T08:16:57"/>
    <d v="2024-08-06T08:19:40"/>
    <s v="pchaula@lighthouse.org.mw"/>
    <s v="Pachalo Chaula"/>
    <x v="12"/>
    <s v="COE"/>
    <x v="1"/>
    <s v="COP_23"/>
    <s v="COP_23"/>
    <s v="Quarter3"/>
    <s v="Quarter4"/>
    <s v="Qtr_4"/>
    <x v="9"/>
    <d v="2024-07-01T00:00:00"/>
    <d v="2024-07-31T00:00:00"/>
    <x v="3"/>
    <x v="18"/>
    <n v="1"/>
    <n v="0"/>
    <n v="0"/>
    <n v="0"/>
    <n v="1"/>
    <n v="0"/>
    <n v="0"/>
    <n v="0"/>
    <n v="0"/>
    <n v="0"/>
    <n v="0"/>
    <n v="0"/>
    <n v="0"/>
    <n v="0"/>
    <n v="0"/>
    <n v="0"/>
    <n v="0"/>
    <n v="1"/>
    <n v="1"/>
    <n v="1"/>
    <n v="0"/>
  </r>
  <r>
    <n v="721"/>
    <d v="2024-08-06T08:19:52"/>
    <d v="2024-08-06T08:24:48"/>
    <s v="pchaula@lighthouse.org.mw"/>
    <s v="Pachalo Chaula"/>
    <x v="12"/>
    <s v="COE"/>
    <x v="1"/>
    <s v="COP_23"/>
    <s v="COP_23"/>
    <s v="Quarter3"/>
    <s v="Quarter4"/>
    <s v="Qtr_4"/>
    <x v="9"/>
    <d v="2024-07-01T00:00:00"/>
    <d v="2024-07-31T00:00:00"/>
    <x v="6"/>
    <x v="2"/>
    <n v="30"/>
    <n v="12"/>
    <n v="3"/>
    <n v="8"/>
    <n v="7"/>
    <n v="26"/>
    <n v="7"/>
    <n v="11"/>
    <n v="0"/>
    <n v="2"/>
    <n v="0"/>
    <n v="0"/>
    <n v="0"/>
    <n v="1"/>
    <n v="1"/>
    <n v="2"/>
    <n v="2"/>
    <n v="10"/>
    <n v="3"/>
    <n v="2"/>
    <n v="0"/>
  </r>
  <r>
    <n v="799"/>
    <d v="2024-09-12T08:54:16"/>
    <d v="2024-09-12T08:58:45"/>
    <s v="pchaula@lighthouse.org.mw"/>
    <s v="Pachalo Chaula"/>
    <x v="12"/>
    <s v="COE"/>
    <x v="1"/>
    <s v="COP_23"/>
    <s v="COP_23"/>
    <s v="Quarter3"/>
    <s v="Quarter4"/>
    <s v="Qtr_4"/>
    <x v="10"/>
    <d v="2024-08-01T00:00:00"/>
    <d v="2024-08-31T00:00:00"/>
    <x v="0"/>
    <x v="155"/>
    <n v="38"/>
    <n v="49"/>
    <n v="11"/>
    <n v="30"/>
    <n v="12"/>
    <n v="80"/>
    <n v="20"/>
    <n v="20"/>
    <n v="3"/>
    <n v="3"/>
    <n v="0"/>
    <n v="7"/>
    <n v="1"/>
    <n v="5"/>
    <n v="2"/>
    <n v="17"/>
    <n v="8"/>
    <n v="40"/>
    <n v="8"/>
    <n v="10"/>
    <n v="0"/>
  </r>
  <r>
    <n v="801"/>
    <d v="2024-09-12T09:03:53"/>
    <d v="2024-09-12T09:09:14"/>
    <s v="pchaula@lighthouse.org.mw"/>
    <s v="Pachalo Chaula"/>
    <x v="12"/>
    <s v="COE"/>
    <x v="1"/>
    <s v="COP_23"/>
    <s v="COP_23"/>
    <s v="Quarter3"/>
    <s v="Quarter4"/>
    <s v="Qtr_4"/>
    <x v="10"/>
    <d v="2024-08-31T00:00:00"/>
    <d v="2024-08-31T00:00:00"/>
    <x v="5"/>
    <x v="57"/>
    <n v="2"/>
    <n v="12"/>
    <n v="2"/>
    <n v="0"/>
    <n v="1"/>
    <n v="13"/>
    <n v="2"/>
    <n v="0"/>
    <n v="0"/>
    <n v="0"/>
    <n v="0"/>
    <n v="2"/>
    <n v="0"/>
    <n v="1"/>
    <n v="0"/>
    <n v="1"/>
    <n v="0"/>
    <n v="14"/>
    <n v="1"/>
    <n v="1"/>
    <n v="0"/>
  </r>
  <r>
    <n v="802"/>
    <d v="2024-09-12T09:09:28"/>
    <d v="2024-09-12T09:12:09"/>
    <s v="pchaula@lighthouse.org.mw"/>
    <s v="Pachalo Chaula"/>
    <x v="12"/>
    <s v="COE"/>
    <x v="1"/>
    <s v="COP_23"/>
    <s v="COP_23"/>
    <s v="Quarter3"/>
    <s v="Quarter4"/>
    <s v="Qtr_4"/>
    <x v="10"/>
    <d v="2024-08-01T00:00:00"/>
    <d v="2024-08-31T00:00:00"/>
    <x v="3"/>
    <x v="30"/>
    <n v="1"/>
    <n v="2"/>
    <n v="0"/>
    <n v="1"/>
    <n v="0"/>
    <n v="0"/>
    <n v="0"/>
    <n v="3"/>
    <n v="0"/>
    <n v="0"/>
    <n v="0"/>
    <n v="0"/>
    <n v="0"/>
    <n v="0"/>
    <n v="0"/>
    <n v="0"/>
    <n v="0"/>
    <n v="0"/>
    <n v="0"/>
    <n v="0"/>
    <n v="0"/>
  </r>
  <r>
    <n v="803"/>
    <d v="2024-09-12T09:12:20"/>
    <d v="2024-09-12T09:18:04"/>
    <s v="pchaula@lighthouse.org.mw"/>
    <s v="Pachalo Chaula"/>
    <x v="12"/>
    <s v="COE"/>
    <x v="1"/>
    <s v="COP_23"/>
    <s v="COP_23"/>
    <s v="Quarter3"/>
    <s v="Quarter4"/>
    <s v="Qtr_4"/>
    <x v="10"/>
    <d v="2024-08-01T00:00:00"/>
    <d v="2024-08-31T00:00:00"/>
    <x v="6"/>
    <x v="34"/>
    <n v="29"/>
    <n v="0"/>
    <n v="5"/>
    <n v="21"/>
    <n v="3"/>
    <n v="25"/>
    <n v="7"/>
    <n v="7"/>
    <n v="0"/>
    <n v="0"/>
    <n v="0"/>
    <n v="2"/>
    <n v="0"/>
    <n v="2"/>
    <n v="0"/>
    <n v="4"/>
    <n v="1"/>
    <n v="13"/>
    <n v="1"/>
    <n v="0"/>
    <n v="0"/>
  </r>
  <r>
    <n v="804"/>
    <d v="2024-09-12T09:18:15"/>
    <d v="2024-09-12T09:21:26"/>
    <s v="pchaula@lighthouse.org.mw"/>
    <s v="Pachalo Chaula"/>
    <x v="12"/>
    <s v="COE"/>
    <x v="1"/>
    <s v="COP_23"/>
    <s v="COP_23"/>
    <s v="Quarter3"/>
    <s v="Quarter4"/>
    <s v="Qtr_4"/>
    <x v="10"/>
    <d v="2024-08-01T00:00:00"/>
    <d v="2024-08-31T00:00:00"/>
    <x v="4"/>
    <x v="20"/>
    <n v="1"/>
    <n v="0"/>
    <n v="1"/>
    <n v="1"/>
    <n v="0"/>
    <n v="2"/>
    <n v="1"/>
    <n v="2"/>
    <n v="0"/>
    <n v="1"/>
    <n v="0"/>
    <n v="0"/>
    <n v="0"/>
    <n v="0"/>
    <n v="0"/>
    <n v="0"/>
    <n v="0"/>
    <n v="1"/>
    <n v="0"/>
    <n v="0"/>
    <n v="0"/>
  </r>
  <r>
    <n v="904"/>
    <d v="2024-10-08T15:12:18"/>
    <d v="2024-10-08T15:17:11"/>
    <s v="pchaula@lighthouse.org.mw"/>
    <s v="Pachalo Chaula"/>
    <x v="12"/>
    <s v="COE"/>
    <x v="1"/>
    <s v="COP_23"/>
    <s v="COP_23"/>
    <s v="Quarter3"/>
    <s v="Quarter4"/>
    <s v="Qtr_4"/>
    <x v="2"/>
    <d v="2024-09-01T00:00:00"/>
    <d v="2024-09-30T00:00:00"/>
    <x v="0"/>
    <x v="156"/>
    <n v="52"/>
    <n v="101"/>
    <n v="22"/>
    <n v="42"/>
    <n v="21"/>
    <n v="184"/>
    <n v="51"/>
    <n v="54"/>
    <n v="3"/>
    <n v="3"/>
    <n v="0"/>
    <n v="56"/>
    <n v="4"/>
    <n v="3"/>
    <n v="1"/>
    <n v="12"/>
    <n v="5"/>
    <n v="63"/>
    <n v="8"/>
    <n v="6"/>
    <n v="0"/>
  </r>
  <r>
    <n v="905"/>
    <d v="2024-10-08T15:17:20"/>
    <d v="2024-10-08T15:19:30"/>
    <s v="pchaula@lighthouse.org.mw"/>
    <s v="Pachalo Chaula"/>
    <x v="12"/>
    <s v="COE"/>
    <x v="1"/>
    <s v="COP_23"/>
    <s v="COP_23"/>
    <s v="Quarter3"/>
    <s v="Quarter4"/>
    <s v="Qtr_4"/>
    <x v="2"/>
    <d v="2024-09-01T00:00:00"/>
    <d v="2024-09-30T00:00:00"/>
    <x v="3"/>
    <x v="18"/>
    <n v="0"/>
    <n v="0"/>
    <n v="1"/>
    <n v="0"/>
    <n v="0"/>
    <n v="1"/>
    <n v="1"/>
    <n v="1"/>
    <n v="0"/>
    <n v="1"/>
    <n v="0"/>
    <n v="1"/>
    <n v="0"/>
    <n v="0"/>
    <n v="0"/>
    <n v="0"/>
    <n v="0"/>
    <n v="1"/>
    <n v="0"/>
    <n v="0"/>
    <n v="0"/>
  </r>
  <r>
    <n v="906"/>
    <d v="2024-10-08T15:19:37"/>
    <d v="2024-10-08T15:22:30"/>
    <s v="pchaula@lighthouse.org.mw"/>
    <s v="Pachalo Chaula"/>
    <x v="12"/>
    <s v="COE"/>
    <x v="1"/>
    <s v="COP_23"/>
    <s v="COP_23"/>
    <s v="Quarter3"/>
    <s v="Quarter4"/>
    <s v="Qtr_4"/>
    <x v="2"/>
    <d v="2024-09-01T00:00:00"/>
    <d v="2024-09-30T00:00:00"/>
    <x v="6"/>
    <x v="62"/>
    <n v="27"/>
    <n v="7"/>
    <n v="5"/>
    <n v="9"/>
    <n v="6"/>
    <n v="27"/>
    <n v="11"/>
    <n v="12"/>
    <n v="2"/>
    <n v="2"/>
    <n v="0"/>
    <n v="14"/>
    <n v="0"/>
    <n v="3"/>
    <n v="0"/>
    <n v="6"/>
    <n v="1"/>
    <n v="15"/>
    <n v="4"/>
    <n v="2"/>
    <n v="0"/>
  </r>
  <r>
    <n v="908"/>
    <d v="2024-10-08T15:26:49"/>
    <d v="2024-10-08T15:29:30"/>
    <s v="pchaula@lighthouse.org.mw"/>
    <s v="Pachalo Chaula"/>
    <x v="12"/>
    <s v="COE"/>
    <x v="1"/>
    <s v="COP_23"/>
    <s v="COP_23"/>
    <s v="Quarter3"/>
    <s v="Quarter4"/>
    <s v="Qtr_4"/>
    <x v="2"/>
    <d v="2024-09-01T00:00:00"/>
    <d v="2024-09-30T00:00:00"/>
    <x v="4"/>
    <x v="37"/>
    <n v="0"/>
    <n v="4"/>
    <n v="1"/>
    <n v="1"/>
    <n v="0"/>
    <n v="6"/>
    <n v="1"/>
    <n v="1"/>
    <n v="0"/>
    <n v="0"/>
    <n v="0"/>
    <n v="1"/>
    <n v="0"/>
    <n v="0"/>
    <n v="0"/>
    <n v="1"/>
    <n v="0"/>
    <n v="2"/>
    <n v="0"/>
    <n v="0"/>
    <n v="0"/>
  </r>
  <r>
    <n v="909"/>
    <d v="2024-10-08T15:29:43"/>
    <d v="2024-10-08T15:35:29"/>
    <s v="pchaula@lighthouse.org.mw"/>
    <s v="Pachalo Chaula"/>
    <x v="12"/>
    <s v="COE"/>
    <x v="1"/>
    <s v="COP_23"/>
    <s v="COP_23"/>
    <s v="Quarter3"/>
    <s v="Quarter4"/>
    <s v="Qtr_4"/>
    <x v="2"/>
    <d v="2024-09-01T00:00:00"/>
    <d v="2024-09-30T00:00:00"/>
    <x v="5"/>
    <x v="62"/>
    <n v="4"/>
    <n v="21"/>
    <n v="2"/>
    <n v="2"/>
    <n v="2"/>
    <n v="27"/>
    <n v="6"/>
    <n v="9"/>
    <n v="0"/>
    <n v="0"/>
    <n v="0"/>
    <n v="6"/>
    <n v="0"/>
    <n v="1"/>
    <n v="0"/>
    <n v="0"/>
    <n v="0"/>
    <n v="13"/>
    <n v="3"/>
    <n v="2"/>
    <n v="0"/>
  </r>
  <r>
    <n v="80"/>
    <d v="2024-01-11T15:34:00"/>
    <d v="2024-01-11T15:56:34"/>
    <s v="cdziwe@lighthouse.org.mw"/>
    <s v="Clement Dziwe"/>
    <x v="12"/>
    <s v="COE"/>
    <x v="0"/>
    <s v="COP_23"/>
    <s v="COP_23"/>
    <s v="Quarter4"/>
    <s v="Quarter1"/>
    <s v="Qtr_1"/>
    <x v="11"/>
    <d v="2023-12-01T00:00:00"/>
    <d v="2023-12-31T00:00:00"/>
    <x v="1"/>
    <x v="28"/>
    <n v="8"/>
    <n v="12"/>
    <n v="12"/>
    <n v="5"/>
    <n v="2"/>
    <n v="30"/>
    <n v="16"/>
    <n v="16"/>
    <n v="1"/>
    <n v="1"/>
    <n v="0"/>
    <n v="16"/>
    <n v="2"/>
    <n v="0"/>
    <n v="0"/>
    <n v="0"/>
    <n v="0"/>
    <n v="8"/>
    <n v="0"/>
    <n v="2"/>
    <n v="0"/>
  </r>
  <r>
    <n v="79"/>
    <d v="2024-01-11T15:14:34"/>
    <d v="2024-01-11T15:30:41"/>
    <s v="cdziwe@lighthouse.org.mw"/>
    <s v="Clement Dziwe"/>
    <x v="12"/>
    <s v="COE"/>
    <x v="0"/>
    <s v="COP_23"/>
    <s v="COP_23"/>
    <s v="Quarter4"/>
    <s v="Quarter1"/>
    <s v="Qtr_1"/>
    <x v="11"/>
    <d v="2023-12-01T00:00:00"/>
    <d v="2023-12-31T00:00:00"/>
    <x v="2"/>
    <x v="31"/>
    <n v="2"/>
    <n v="2"/>
    <n v="1"/>
    <n v="2"/>
    <n v="2"/>
    <n v="7"/>
    <n v="3"/>
    <n v="3"/>
    <n v="0"/>
    <n v="0"/>
    <n v="0"/>
    <n v="4"/>
    <n v="0"/>
    <n v="2"/>
    <n v="0"/>
    <n v="1"/>
    <n v="0"/>
    <n v="3"/>
    <n v="0"/>
    <n v="0"/>
    <n v="0"/>
  </r>
  <r>
    <n v="446"/>
    <d v="2024-05-21T12:36:10"/>
    <d v="2024-05-21T12:37:23"/>
    <s v="pchaula@lighthouse.org.mw"/>
    <s v="Pachalo Chaula"/>
    <x v="12"/>
    <s v="COE"/>
    <x v="1"/>
    <s v="COP_23"/>
    <s v="COP_23"/>
    <s v="Quarter1"/>
    <s v="Quarter2"/>
    <s v="Qtr_2"/>
    <x v="4"/>
    <d v="2024-02-01T00:00:00"/>
    <d v="2024-01-31T00:00:00"/>
    <x v="1"/>
    <x v="65"/>
    <n v="7"/>
    <n v="19"/>
    <n v="8"/>
    <n v="9"/>
    <n v="4"/>
    <n v="40"/>
    <n v="18"/>
    <n v="18"/>
    <n v="0"/>
    <n v="0"/>
    <n v="0"/>
    <n v="18"/>
    <n v="3"/>
    <n v="0"/>
    <n v="0"/>
    <n v="0"/>
    <n v="0"/>
    <n v="18"/>
    <n v="0"/>
    <n v="3"/>
    <n v="0"/>
  </r>
  <r>
    <n v="447"/>
    <d v="2024-05-21T12:37:35"/>
    <d v="2024-05-21T12:42:34"/>
    <s v="pchaula@lighthouse.org.mw"/>
    <s v="Pachalo Chaula"/>
    <x v="12"/>
    <s v="COE"/>
    <x v="1"/>
    <s v="COP_23"/>
    <s v="COP_23"/>
    <s v="Quarter1"/>
    <s v="Quarter2"/>
    <s v="Qtr_2"/>
    <x v="5"/>
    <d v="2024-02-01T00:00:00"/>
    <d v="2024-02-29T00:00:00"/>
    <x v="1"/>
    <x v="123"/>
    <n v="13"/>
    <n v="36"/>
    <n v="6"/>
    <n v="5"/>
    <n v="2"/>
    <n v="49"/>
    <n v="16"/>
    <n v="16"/>
    <n v="1"/>
    <n v="16"/>
    <n v="0"/>
    <n v="16"/>
    <n v="2"/>
    <n v="2"/>
    <n v="2"/>
    <n v="1"/>
    <n v="1"/>
    <n v="16"/>
    <n v="0"/>
    <n v="2"/>
    <n v="0"/>
  </r>
  <r>
    <n v="231"/>
    <d v="2024-04-09T09:42:35"/>
    <d v="2024-04-09T09:49:33"/>
    <s v="pchaula@lighthouse.org.mw"/>
    <s v="Pachalo Chaula"/>
    <x v="12"/>
    <s v="COE"/>
    <x v="1"/>
    <s v="COP_23"/>
    <s v="COP_23"/>
    <s v="Quarter1"/>
    <s v="Quarter2"/>
    <s v="Qtr_2"/>
    <x v="3"/>
    <d v="2024-03-01T00:00:00"/>
    <d v="2024-03-31T00:00:00"/>
    <x v="2"/>
    <x v="36"/>
    <n v="2"/>
    <n v="7"/>
    <n v="0"/>
    <n v="4"/>
    <n v="0"/>
    <n v="11"/>
    <n v="4"/>
    <n v="4"/>
    <n v="1"/>
    <n v="1"/>
    <n v="0"/>
    <n v="4"/>
    <n v="1"/>
    <n v="0"/>
    <n v="0"/>
    <n v="3"/>
    <n v="0"/>
    <n v="4"/>
    <n v="0"/>
    <n v="1"/>
    <n v="0"/>
  </r>
  <r>
    <n v="307"/>
    <d v="2024-04-25T08:23:09"/>
    <d v="2024-04-25T08:30:17"/>
    <s v="pchaula@lighthouse.org.mw"/>
    <s v="Pachalo Chaula"/>
    <x v="12"/>
    <s v="COE"/>
    <x v="1"/>
    <s v="COP_23"/>
    <s v="COP_23"/>
    <s v="Quarter1"/>
    <s v="Quarter2"/>
    <s v="Qtr_2"/>
    <x v="4"/>
    <d v="2024-01-01T00:00:00"/>
    <d v="2024-01-31T00:00:00"/>
    <x v="2"/>
    <x v="37"/>
    <n v="0"/>
    <n v="3"/>
    <n v="1"/>
    <n v="2"/>
    <n v="0"/>
    <n v="1"/>
    <n v="1"/>
    <n v="0"/>
    <n v="0"/>
    <n v="0"/>
    <n v="0"/>
    <n v="0"/>
    <n v="0"/>
    <n v="0"/>
    <n v="0"/>
    <n v="0"/>
    <n v="0"/>
    <n v="0"/>
    <n v="0"/>
    <n v="0"/>
    <n v="0"/>
  </r>
  <r>
    <n v="448"/>
    <d v="2024-05-21T12:43:03"/>
    <d v="2024-05-21T12:47:19"/>
    <s v="pchaula@lighthouse.org.mw"/>
    <s v="Pachalo Chaula"/>
    <x v="12"/>
    <s v="COE"/>
    <x v="1"/>
    <s v="COP_23"/>
    <s v="COP_23"/>
    <s v="Quarter1"/>
    <s v="Quarter2"/>
    <s v="Qtr_2"/>
    <x v="3"/>
    <d v="2024-03-01T00:00:00"/>
    <d v="2024-03-31T00:00:00"/>
    <x v="1"/>
    <x v="32"/>
    <n v="17"/>
    <n v="16"/>
    <n v="5"/>
    <n v="7"/>
    <n v="14"/>
    <n v="42"/>
    <n v="8"/>
    <n v="12"/>
    <n v="3"/>
    <n v="2"/>
    <n v="0"/>
    <n v="12"/>
    <n v="4"/>
    <n v="9"/>
    <n v="4"/>
    <n v="2"/>
    <n v="2"/>
    <n v="6"/>
    <n v="1"/>
    <n v="4"/>
    <n v="0"/>
  </r>
  <r>
    <n v="517"/>
    <d v="2024-06-07T10:50:30"/>
    <d v="2024-06-07T10:54:47"/>
    <s v="pchaula@lighthouse.org.mw"/>
    <s v="Pachalo Chaula"/>
    <x v="12"/>
    <s v="COE"/>
    <x v="1"/>
    <s v="COP_24"/>
    <s v="COP_23"/>
    <s v="Quarter2"/>
    <s v="Quarter3"/>
    <s v="Qtr_3"/>
    <x v="6"/>
    <d v="2024-05-01T00:00:00"/>
    <d v="2024-05-31T00:00:00"/>
    <x v="1"/>
    <x v="48"/>
    <n v="11"/>
    <n v="32"/>
    <n v="8"/>
    <n v="9"/>
    <n v="5"/>
    <n v="24"/>
    <n v="8"/>
    <n v="37"/>
    <n v="2"/>
    <n v="2"/>
    <n v="1"/>
    <n v="5"/>
    <n v="0"/>
    <n v="3"/>
    <n v="1"/>
    <n v="3"/>
    <n v="1"/>
    <n v="31"/>
    <n v="2"/>
    <n v="2"/>
    <n v="1"/>
  </r>
  <r>
    <n v="323"/>
    <d v="2024-04-29T14:46:21"/>
    <d v="2024-04-29T14:49:08"/>
    <s v="pchaula@lighthouse.org.mw"/>
    <s v="Pachalo Chaula"/>
    <x v="12"/>
    <s v="COE"/>
    <x v="1"/>
    <s v="COP_23"/>
    <s v="COP_23"/>
    <s v="Quarter1"/>
    <s v="Quarter2"/>
    <s v="Qtr_2"/>
    <x v="5"/>
    <d v="2024-02-02T00:00:00"/>
    <d v="2024-02-29T00:00:00"/>
    <x v="2"/>
    <x v="36"/>
    <n v="0"/>
    <n v="3"/>
    <n v="1"/>
    <n v="3"/>
    <n v="4"/>
    <n v="11"/>
    <n v="3"/>
    <n v="1"/>
    <n v="0"/>
    <n v="1"/>
    <n v="0"/>
    <n v="1"/>
    <n v="0"/>
    <n v="0"/>
    <n v="0"/>
    <n v="2"/>
    <n v="0"/>
    <n v="0"/>
    <n v="0"/>
    <n v="0"/>
    <n v="0"/>
  </r>
  <r>
    <n v="582"/>
    <d v="2024-07-04T13:33:32"/>
    <d v="2024-07-04T13:37:32"/>
    <s v="pchaula@lighthouse.org.mw"/>
    <s v="Pachalo Chaula"/>
    <x v="12"/>
    <s v="COE"/>
    <x v="1"/>
    <s v="COP_24"/>
    <s v="COP_23"/>
    <s v="Quarter2"/>
    <s v="Quarter3"/>
    <s v="Qtr_3"/>
    <x v="8"/>
    <d v="2024-06-01T00:00:00"/>
    <d v="2024-06-30T00:00:00"/>
    <x v="1"/>
    <x v="28"/>
    <n v="6"/>
    <n v="21"/>
    <n v="3"/>
    <n v="6"/>
    <n v="0"/>
    <n v="30"/>
    <n v="15"/>
    <n v="18"/>
    <n v="1"/>
    <n v="30"/>
    <n v="0"/>
    <n v="0"/>
    <n v="0"/>
    <n v="1"/>
    <n v="0"/>
    <n v="1"/>
    <n v="0"/>
    <n v="14"/>
    <n v="4"/>
    <n v="3"/>
    <n v="0"/>
  </r>
  <r>
    <n v="699"/>
    <d v="2024-07-31T12:46:13"/>
    <d v="2024-07-31T12:51:15"/>
    <s v="pchaula@lighthouse.org.mw"/>
    <s v="Pachalo Chaula"/>
    <x v="12"/>
    <s v="COE"/>
    <x v="1"/>
    <s v="COP_24"/>
    <s v="COP_23"/>
    <s v="Quarter2"/>
    <s v="Quarter3"/>
    <s v="Qtr_3"/>
    <x v="7"/>
    <d v="2024-04-01T00:00:00"/>
    <d v="2024-04-30T00:00:00"/>
    <x v="1"/>
    <x v="0"/>
    <n v="11"/>
    <n v="19"/>
    <n v="10"/>
    <n v="6"/>
    <n v="0"/>
    <n v="34"/>
    <n v="12"/>
    <n v="13"/>
    <n v="1"/>
    <n v="1"/>
    <n v="0"/>
    <n v="14"/>
    <n v="2"/>
    <n v="1"/>
    <n v="0"/>
    <n v="2"/>
    <n v="1"/>
    <n v="11"/>
    <n v="1"/>
    <n v="2"/>
    <n v="0"/>
  </r>
  <r>
    <n v="712"/>
    <d v="2024-08-05T14:03:08"/>
    <d v="2024-08-05T14:10:07"/>
    <s v="pchaula@lighthouse.org.mw"/>
    <s v="Pachalo Chaula"/>
    <x v="12"/>
    <s v="COE"/>
    <x v="1"/>
    <s v="COP_23"/>
    <s v="COP_23"/>
    <s v="Quarter3"/>
    <s v="Quarter4"/>
    <s v="Qtr_4"/>
    <x v="9"/>
    <d v="2024-07-01T00:00:00"/>
    <d v="2024-07-31T00:00:00"/>
    <x v="1"/>
    <x v="81"/>
    <n v="10"/>
    <n v="18"/>
    <n v="3"/>
    <n v="8"/>
    <n v="4"/>
    <n v="33"/>
    <n v="9"/>
    <n v="13"/>
    <n v="0"/>
    <n v="0"/>
    <n v="0"/>
    <n v="0"/>
    <n v="0"/>
    <n v="1"/>
    <n v="0"/>
    <n v="1"/>
    <n v="1"/>
    <n v="11"/>
    <n v="1"/>
    <n v="1"/>
    <n v="0"/>
  </r>
  <r>
    <n v="911"/>
    <d v="2024-10-08T15:37:19"/>
    <d v="2024-10-08T15:39:54"/>
    <s v="pchaula@lighthouse.org.mw"/>
    <s v="Pachalo Chaula"/>
    <x v="12"/>
    <s v="COE"/>
    <x v="1"/>
    <s v="COP_23"/>
    <s v="COP_23"/>
    <s v="Quarter3"/>
    <s v="Quarter4"/>
    <s v="Qtr_4"/>
    <x v="2"/>
    <d v="2024-09-01T00:00:00"/>
    <d v="2024-09-30T00:00:00"/>
    <x v="1"/>
    <x v="10"/>
    <n v="12"/>
    <n v="30"/>
    <n v="10"/>
    <n v="8"/>
    <n v="3"/>
    <n v="51"/>
    <n v="14"/>
    <n v="15"/>
    <n v="1"/>
    <n v="1"/>
    <n v="0"/>
    <n v="14"/>
    <n v="1"/>
    <n v="1"/>
    <n v="0"/>
    <n v="5"/>
    <n v="0"/>
    <n v="13"/>
    <n v="3"/>
    <n v="2"/>
    <n v="0"/>
  </r>
  <r>
    <n v="399"/>
    <d v="2024-05-09T14:53:04"/>
    <d v="2024-05-09T14:57:49"/>
    <s v="pchaula@lighthouse.org.mw"/>
    <s v="Pachalo Chaula"/>
    <x v="12"/>
    <s v="COE"/>
    <x v="1"/>
    <s v="COP_24"/>
    <s v="COP_23"/>
    <s v="Quarter2"/>
    <s v="Quarter3"/>
    <s v="Qtr_3"/>
    <x v="7"/>
    <d v="2024-04-01T00:00:00"/>
    <d v="2024-04-30T00:00:00"/>
    <x v="2"/>
    <x v="37"/>
    <n v="1"/>
    <n v="5"/>
    <n v="0"/>
    <n v="0"/>
    <n v="0"/>
    <n v="6"/>
    <n v="3"/>
    <n v="3"/>
    <n v="0"/>
    <n v="6"/>
    <n v="0"/>
    <n v="3"/>
    <n v="1"/>
    <n v="2"/>
    <n v="0"/>
    <n v="0"/>
    <n v="0"/>
    <n v="3"/>
    <n v="0"/>
    <n v="1"/>
    <n v="0"/>
  </r>
  <r>
    <n v="963"/>
    <d v="2024-10-18T15:39:52"/>
    <d v="2024-10-18T15:43:16"/>
    <s v="pchaula@lighthouse.org.mw"/>
    <s v="Pachalo Chaula"/>
    <x v="12"/>
    <s v="COE"/>
    <x v="1"/>
    <s v="COP_23"/>
    <s v="COP_23"/>
    <s v="Quarter3"/>
    <s v="Quarter4"/>
    <s v="Qtr_4"/>
    <x v="10"/>
    <d v="2024-08-01T00:00:00"/>
    <d v="2024-08-31T00:00:00"/>
    <x v="1"/>
    <x v="0"/>
    <n v="11"/>
    <n v="19"/>
    <n v="7"/>
    <n v="8"/>
    <n v="1"/>
    <n v="24"/>
    <n v="10"/>
    <n v="21"/>
    <n v="1"/>
    <n v="2"/>
    <n v="0"/>
    <n v="4"/>
    <n v="1"/>
    <n v="1"/>
    <n v="0"/>
    <n v="3"/>
    <n v="1"/>
    <n v="16"/>
    <n v="2"/>
    <n v="1"/>
    <n v="0"/>
  </r>
  <r>
    <n v="523"/>
    <d v="2024-06-07T11:10:01"/>
    <d v="2024-06-07T11:12:39"/>
    <s v="pchaula@lighthouse.org.mw"/>
    <s v="Pachalo Chaula"/>
    <x v="12"/>
    <s v="COE"/>
    <x v="1"/>
    <s v="COP_24"/>
    <s v="COP_23"/>
    <s v="Quarter2"/>
    <s v="Quarter3"/>
    <s v="Qtr_3"/>
    <x v="6"/>
    <d v="2024-05-01T00:00:00"/>
    <d v="2024-05-31T00:00:00"/>
    <x v="2"/>
    <x v="54"/>
    <n v="1"/>
    <n v="3"/>
    <n v="0"/>
    <n v="0"/>
    <n v="2"/>
    <n v="3"/>
    <n v="1"/>
    <n v="4"/>
    <n v="0"/>
    <n v="0"/>
    <n v="0"/>
    <n v="1"/>
    <n v="0"/>
    <n v="0"/>
    <n v="0"/>
    <n v="0"/>
    <n v="0"/>
    <n v="1"/>
    <n v="0"/>
    <n v="0"/>
    <n v="0"/>
  </r>
  <r>
    <n v="586"/>
    <d v="2024-07-04T14:11:55"/>
    <d v="2024-07-04T14:15:33"/>
    <s v="pchaula@lighthouse.org.mw"/>
    <s v="Pachalo Chaula"/>
    <x v="12"/>
    <s v="COE"/>
    <x v="1"/>
    <s v="COP_24"/>
    <s v="COP_23"/>
    <s v="Quarter2"/>
    <s v="Quarter3"/>
    <s v="Qtr_3"/>
    <x v="8"/>
    <d v="2024-06-01T00:00:00"/>
    <d v="2024-06-30T00:00:00"/>
    <x v="2"/>
    <x v="25"/>
    <n v="1"/>
    <n v="6"/>
    <n v="1"/>
    <n v="1"/>
    <n v="1"/>
    <n v="9"/>
    <n v="1"/>
    <n v="1"/>
    <n v="0"/>
    <n v="0"/>
    <n v="0"/>
    <n v="0"/>
    <n v="0"/>
    <n v="0"/>
    <n v="0"/>
    <n v="0"/>
    <n v="0"/>
    <n v="1"/>
    <n v="0"/>
    <n v="0"/>
    <n v="0"/>
  </r>
  <r>
    <n v="1034"/>
    <d v="2024-11-07T09:16:06"/>
    <d v="2024-11-07T09:37:32"/>
    <s v="pchaula@lighthouse.org.mw"/>
    <s v="Pachalo Chaula"/>
    <x v="12"/>
    <s v="COE"/>
    <x v="1"/>
    <s v="COP_24"/>
    <s v="COP_24"/>
    <s v="Quarter4"/>
    <s v="Quarter1"/>
    <s v="Qtr_1"/>
    <x v="0"/>
    <d v="2024-10-01T00:00:00"/>
    <d v="2024-10-31T00:00:00"/>
    <x v="1"/>
    <x v="52"/>
    <n v="7"/>
    <n v="13"/>
    <n v="5"/>
    <n v="4"/>
    <n v="2"/>
    <n v="22"/>
    <n v="7"/>
    <n v="9"/>
    <n v="1"/>
    <n v="1"/>
    <n v="0"/>
    <n v="8"/>
    <n v="0"/>
    <n v="2"/>
    <n v="0"/>
    <n v="4"/>
    <n v="2"/>
    <n v="9"/>
    <n v="0"/>
    <n v="0"/>
    <n v="0"/>
  </r>
  <r>
    <n v="713"/>
    <d v="2024-08-05T14:10:26"/>
    <d v="2024-08-05T14:16:14"/>
    <s v="pchaula@lighthouse.org.mw"/>
    <s v="Pachalo Chaula"/>
    <x v="12"/>
    <s v="COE"/>
    <x v="1"/>
    <s v="COP_23"/>
    <s v="COP_23"/>
    <s v="Quarter3"/>
    <s v="Quarter4"/>
    <s v="Qtr_4"/>
    <x v="9"/>
    <d v="2024-07-01T00:00:00"/>
    <d v="2024-07-31T00:00:00"/>
    <x v="2"/>
    <x v="36"/>
    <n v="5"/>
    <n v="4"/>
    <n v="2"/>
    <n v="4"/>
    <n v="1"/>
    <n v="9"/>
    <n v="5"/>
    <n v="6"/>
    <n v="0"/>
    <n v="1"/>
    <n v="0"/>
    <n v="0"/>
    <n v="0"/>
    <n v="1"/>
    <n v="0"/>
    <n v="1"/>
    <n v="1"/>
    <n v="6"/>
    <n v="1"/>
    <n v="0"/>
    <n v="0"/>
  </r>
  <r>
    <n v="800"/>
    <d v="2024-09-12T08:59:15"/>
    <d v="2024-09-12T09:03:25"/>
    <s v="pchaula@lighthouse.org.mw"/>
    <s v="Pachalo Chaula"/>
    <x v="12"/>
    <s v="COE"/>
    <x v="1"/>
    <s v="COP_23"/>
    <s v="COP_23"/>
    <s v="Quarter3"/>
    <s v="Quarter4"/>
    <s v="Qtr_4"/>
    <x v="10"/>
    <d v="2024-08-01T00:00:00"/>
    <d v="2024-08-31T00:00:00"/>
    <x v="2"/>
    <x v="33"/>
    <n v="2"/>
    <n v="0"/>
    <n v="0"/>
    <n v="4"/>
    <n v="0"/>
    <n v="3"/>
    <n v="0"/>
    <n v="4"/>
    <n v="0"/>
    <n v="0"/>
    <n v="0"/>
    <n v="0"/>
    <n v="0"/>
    <n v="0"/>
    <n v="0"/>
    <n v="1"/>
    <n v="1"/>
    <n v="1"/>
    <n v="0"/>
    <n v="0"/>
    <n v="0"/>
  </r>
  <r>
    <n v="907"/>
    <d v="2024-10-08T15:22:38"/>
    <d v="2024-10-08T15:25:05"/>
    <s v="pchaula@lighthouse.org.mw"/>
    <s v="Pachalo Chaula"/>
    <x v="12"/>
    <s v="COE"/>
    <x v="1"/>
    <s v="COP_23"/>
    <s v="COP_23"/>
    <s v="Quarter3"/>
    <s v="Quarter4"/>
    <s v="Qtr_4"/>
    <x v="2"/>
    <d v="2024-09-01T00:00:00"/>
    <d v="2024-09-30T00:00:00"/>
    <x v="2"/>
    <x v="49"/>
    <n v="4"/>
    <n v="5"/>
    <n v="0"/>
    <n v="2"/>
    <n v="3"/>
    <n v="9"/>
    <n v="5"/>
    <n v="5"/>
    <n v="1"/>
    <n v="1"/>
    <n v="0"/>
    <n v="6"/>
    <n v="0"/>
    <n v="1"/>
    <n v="1"/>
    <n v="2"/>
    <n v="0"/>
    <n v="6"/>
    <n v="2"/>
    <n v="2"/>
    <n v="0"/>
  </r>
  <r>
    <n v="1039"/>
    <d v="2024-11-07T09:53:41"/>
    <d v="2024-11-07T09:56:25"/>
    <s v="pchaula@lighthouse.org.mw"/>
    <s v="Pachalo Chaula"/>
    <x v="12"/>
    <s v="COE"/>
    <x v="1"/>
    <s v="COP_24"/>
    <s v="COP_24"/>
    <s v="Quarter4"/>
    <s v="Quarter1"/>
    <s v="Qtr_1"/>
    <x v="0"/>
    <d v="2024-10-01T00:00:00"/>
    <d v="2024-10-31T00:00:00"/>
    <x v="2"/>
    <x v="23"/>
    <n v="3"/>
    <n v="6"/>
    <n v="2"/>
    <n v="5"/>
    <n v="0"/>
    <n v="13"/>
    <n v="4"/>
    <n v="5"/>
    <n v="3"/>
    <n v="3"/>
    <n v="0"/>
    <n v="6"/>
    <n v="0"/>
    <n v="1"/>
    <n v="0"/>
    <n v="2"/>
    <n v="0"/>
    <n v="4"/>
    <n v="0"/>
    <n v="0"/>
    <n v="0"/>
  </r>
  <r>
    <n v="1033"/>
    <d v="2024-11-07T09:08:45"/>
    <d v="2024-11-07T09:15:44"/>
    <s v="pchaula@lighthouse.org.mw"/>
    <s v="Pachalo Chaula"/>
    <x v="12"/>
    <s v="COE"/>
    <x v="1"/>
    <s v="COP_24"/>
    <s v="COP_24"/>
    <s v="Quarter4"/>
    <s v="Quarter1"/>
    <s v="Qtr_1"/>
    <x v="0"/>
    <d v="2024-10-01T00:00:00"/>
    <d v="2024-10-31T00:00:00"/>
    <x v="0"/>
    <x v="146"/>
    <n v="67"/>
    <n v="71"/>
    <n v="14"/>
    <n v="47"/>
    <n v="15"/>
    <n v="132"/>
    <n v="32"/>
    <n v="53"/>
    <n v="6"/>
    <n v="6"/>
    <n v="0"/>
    <n v="68"/>
    <n v="4"/>
    <n v="10"/>
    <n v="0"/>
    <n v="14"/>
    <n v="2"/>
    <n v="48"/>
    <n v="2"/>
    <n v="5"/>
    <n v="0"/>
  </r>
  <r>
    <n v="1035"/>
    <d v="2024-11-07T09:39:47"/>
    <d v="2024-11-07T09:43:51"/>
    <s v="pchaula@lighthouse.org.mw"/>
    <s v="Pachalo Chaula"/>
    <x v="12"/>
    <s v="COE"/>
    <x v="1"/>
    <s v="COP_24"/>
    <s v="COP_24"/>
    <s v="Quarter4"/>
    <s v="Quarter1"/>
    <s v="Qtr_1"/>
    <x v="0"/>
    <d v="2024-10-01T00:00:00"/>
    <d v="2024-10-31T00:00:00"/>
    <x v="4"/>
    <x v="31"/>
    <n v="3"/>
    <n v="4"/>
    <n v="0"/>
    <n v="2"/>
    <n v="1"/>
    <n v="6"/>
    <n v="1"/>
    <n v="4"/>
    <n v="0"/>
    <n v="0"/>
    <n v="0"/>
    <n v="3"/>
    <n v="0"/>
    <n v="0"/>
    <n v="0"/>
    <n v="0"/>
    <n v="0"/>
    <n v="2"/>
    <n v="0"/>
    <n v="0"/>
    <n v="0"/>
  </r>
  <r>
    <n v="1036"/>
    <d v="2024-11-07T09:44:00"/>
    <d v="2024-11-07T09:46:40"/>
    <s v="pchaula@lighthouse.org.mw"/>
    <s v="Pachalo Chaula"/>
    <x v="12"/>
    <s v="COE"/>
    <x v="1"/>
    <s v="COP_24"/>
    <s v="COP_24"/>
    <s v="Quarter4"/>
    <s v="Quarter1"/>
    <s v="Qtr_1"/>
    <x v="0"/>
    <d v="2024-10-01T00:00:00"/>
    <d v="2024-10-31T00:00:00"/>
    <x v="3"/>
    <x v="20"/>
    <n v="1"/>
    <n v="1"/>
    <n v="0"/>
    <n v="0"/>
    <n v="1"/>
    <n v="0"/>
    <n v="0"/>
    <n v="2"/>
    <n v="0"/>
    <n v="0"/>
    <n v="0"/>
    <n v="1"/>
    <n v="1"/>
    <n v="0"/>
    <n v="0"/>
    <n v="1"/>
    <n v="0"/>
    <n v="1"/>
    <n v="0"/>
    <n v="0"/>
    <n v="0"/>
  </r>
  <r>
    <n v="1037"/>
    <d v="2024-11-07T09:46:51"/>
    <d v="2024-11-07T09:49:06"/>
    <s v="pchaula@lighthouse.org.mw"/>
    <s v="Pachalo Chaula"/>
    <x v="12"/>
    <s v="COE"/>
    <x v="1"/>
    <s v="COP_24"/>
    <s v="COP_24"/>
    <s v="Quarter4"/>
    <s v="Quarter1"/>
    <s v="Qtr_1"/>
    <x v="0"/>
    <d v="2024-10-01T00:00:00"/>
    <d v="2024-10-31T00:00:00"/>
    <x v="6"/>
    <x v="17"/>
    <n v="23"/>
    <n v="4"/>
    <n v="11"/>
    <n v="6"/>
    <n v="2"/>
    <n v="13"/>
    <n v="4"/>
    <n v="6"/>
    <n v="0"/>
    <n v="0"/>
    <n v="0"/>
    <n v="12"/>
    <n v="0"/>
    <n v="4"/>
    <n v="0"/>
    <n v="8"/>
    <n v="0"/>
    <n v="7"/>
    <n v="0"/>
    <n v="0"/>
    <n v="0"/>
  </r>
  <r>
    <n v="1038"/>
    <d v="2024-11-07T09:49:43"/>
    <d v="2024-11-07T09:53:19"/>
    <s v="pchaula@lighthouse.org.mw"/>
    <s v="Pachalo Chaula"/>
    <x v="12"/>
    <s v="COE"/>
    <x v="1"/>
    <s v="COP_24"/>
    <s v="COP_24"/>
    <s v="Quarter4"/>
    <s v="Quarter1"/>
    <s v="Qtr_1"/>
    <x v="0"/>
    <d v="2024-10-01T00:00:00"/>
    <d v="2024-10-31T00:00:00"/>
    <x v="5"/>
    <x v="60"/>
    <n v="1"/>
    <n v="17"/>
    <n v="0"/>
    <n v="0"/>
    <n v="1"/>
    <n v="16"/>
    <n v="3"/>
    <n v="7"/>
    <n v="0"/>
    <n v="0"/>
    <n v="0"/>
    <n v="6"/>
    <n v="0"/>
    <n v="1"/>
    <n v="0"/>
    <n v="1"/>
    <n v="0"/>
    <n v="7"/>
    <n v="0"/>
    <n v="0"/>
    <n v="0"/>
  </r>
  <r>
    <n v="1124"/>
    <d v="2024-12-06T10:30:11"/>
    <d v="2024-12-10T13:03:32"/>
    <s v="pchaula@lighthouse.org.mw"/>
    <s v="Pachalo Chaula"/>
    <x v="12"/>
    <s v="COE"/>
    <x v="1"/>
    <s v="COP_24"/>
    <s v="COP_24"/>
    <s v="Quarter4"/>
    <s v="Quarter1"/>
    <s v="Qtr_1"/>
    <x v="1"/>
    <d v="2024-11-01T00:00:00"/>
    <d v="2024-11-30T00:00:00"/>
    <x v="1"/>
    <x v="64"/>
    <n v="12"/>
    <n v="17"/>
    <n v="7"/>
    <n v="11"/>
    <n v="4"/>
    <n v="39"/>
    <n v="14"/>
    <n v="14"/>
    <n v="0"/>
    <n v="0"/>
    <n v="0"/>
    <n v="14"/>
    <n v="3"/>
    <n v="3"/>
    <n v="1"/>
    <n v="6"/>
    <n v="5"/>
    <n v="11"/>
    <n v="2"/>
    <n v="4"/>
    <n v="0"/>
  </r>
  <r>
    <n v="1125"/>
    <d v="2024-12-10T13:05:48"/>
    <d v="2024-12-10T13:09:47"/>
    <s v="pchaula@lighthouse.org.mw"/>
    <s v="Pachalo Chaula"/>
    <x v="12"/>
    <s v="COE"/>
    <x v="1"/>
    <s v="COP_24"/>
    <s v="COP_24"/>
    <s v="Quarter4"/>
    <s v="Quarter1"/>
    <s v="Qtr_1"/>
    <x v="1"/>
    <d v="2024-11-01T00:00:00"/>
    <d v="2024-11-30T00:00:00"/>
    <x v="5"/>
    <x v="55"/>
    <n v="3"/>
    <n v="34"/>
    <n v="3"/>
    <n v="3"/>
    <n v="1"/>
    <n v="0"/>
    <n v="8"/>
    <n v="8"/>
    <n v="0"/>
    <n v="0"/>
    <n v="0"/>
    <n v="8"/>
    <n v="0"/>
    <n v="1"/>
    <n v="0"/>
    <n v="4"/>
    <n v="0"/>
    <n v="31"/>
    <n v="0"/>
    <n v="0"/>
    <n v="0"/>
  </r>
  <r>
    <n v="1126"/>
    <d v="2024-12-10T13:10:00"/>
    <d v="2024-12-10T13:14:56"/>
    <s v="pchaula@lighthouse.org.mw"/>
    <s v="Pachalo Chaula"/>
    <x v="12"/>
    <s v="COE"/>
    <x v="1"/>
    <s v="COP_24"/>
    <s v="COP_24"/>
    <s v="Quarter4"/>
    <s v="Quarter1"/>
    <s v="Qtr_1"/>
    <x v="1"/>
    <d v="2024-11-01T00:00:00"/>
    <d v="2024-11-30T00:00:00"/>
    <x v="4"/>
    <x v="49"/>
    <n v="2"/>
    <n v="4"/>
    <n v="0"/>
    <n v="5"/>
    <n v="1"/>
    <n v="10"/>
    <n v="5"/>
    <n v="5"/>
    <n v="0"/>
    <n v="0"/>
    <n v="0"/>
    <n v="6"/>
    <n v="1"/>
    <n v="0"/>
    <n v="0"/>
    <n v="0"/>
    <n v="0"/>
    <n v="7"/>
    <n v="0"/>
    <n v="1"/>
    <n v="0"/>
  </r>
  <r>
    <n v="1127"/>
    <d v="2024-12-10T13:15:29"/>
    <d v="2024-12-10T13:27:50"/>
    <s v="pchaula@lighthouse.org.mw"/>
    <s v="Pachalo Chaula"/>
    <x v="12"/>
    <s v="COE"/>
    <x v="1"/>
    <s v="COP_24"/>
    <s v="COP_24"/>
    <s v="Quarter4"/>
    <s v="Quarter1"/>
    <s v="Qtr_1"/>
    <x v="1"/>
    <d v="2024-11-01T00:00:00"/>
    <d v="2024-11-30T00:00:00"/>
    <x v="3"/>
    <x v="18"/>
    <n v="1"/>
    <n v="0"/>
    <n v="1"/>
    <n v="0"/>
    <n v="0"/>
    <n v="1"/>
    <n v="0"/>
    <n v="1"/>
    <n v="0"/>
    <n v="0"/>
    <n v="0"/>
    <n v="1"/>
    <n v="0"/>
    <n v="0"/>
    <n v="0"/>
    <n v="0"/>
    <n v="0"/>
    <n v="1"/>
    <n v="0"/>
    <n v="0"/>
    <n v="0"/>
  </r>
  <r>
    <n v="1128"/>
    <d v="2024-12-10T13:28:05"/>
    <d v="2024-12-10T13:32:04"/>
    <s v="pchaula@lighthouse.org.mw"/>
    <s v="Pachalo Chaula"/>
    <x v="12"/>
    <s v="COE"/>
    <x v="1"/>
    <s v="COP_24"/>
    <s v="COP_24"/>
    <s v="Quarter4"/>
    <s v="Quarter1"/>
    <s v="Qtr_1"/>
    <x v="1"/>
    <d v="2024-11-01T00:00:00"/>
    <d v="2024-11-30T00:00:00"/>
    <x v="6"/>
    <x v="41"/>
    <n v="34"/>
    <n v="8"/>
    <n v="12"/>
    <n v="9"/>
    <n v="5"/>
    <n v="33"/>
    <n v="15"/>
    <n v="1"/>
    <n v="0"/>
    <n v="1"/>
    <n v="0"/>
    <n v="18"/>
    <n v="2"/>
    <n v="4"/>
    <n v="1"/>
    <n v="12"/>
    <n v="3"/>
    <n v="15"/>
    <n v="0"/>
    <n v="2"/>
    <n v="0"/>
  </r>
  <r>
    <n v="1129"/>
    <d v="2024-12-10T13:32:14"/>
    <d v="2024-12-10T13:35:55"/>
    <s v="pchaula@lighthouse.org.mw"/>
    <s v="Pachalo Chaula"/>
    <x v="12"/>
    <s v="COE"/>
    <x v="1"/>
    <s v="COP_24"/>
    <s v="COP_24"/>
    <s v="Quarter4"/>
    <s v="Quarter1"/>
    <s v="Qtr_1"/>
    <x v="1"/>
    <d v="2024-11-01T00:00:00"/>
    <d v="2024-11-30T00:00:00"/>
    <x v="2"/>
    <x v="61"/>
    <n v="2"/>
    <n v="11"/>
    <n v="5"/>
    <n v="2"/>
    <n v="1"/>
    <n v="19"/>
    <n v="5"/>
    <n v="6"/>
    <n v="2"/>
    <n v="2"/>
    <n v="0"/>
    <n v="5"/>
    <n v="0"/>
    <n v="0"/>
    <n v="0"/>
    <n v="2"/>
    <n v="0"/>
    <n v="6"/>
    <n v="0"/>
    <n v="0"/>
    <n v="0"/>
  </r>
  <r>
    <n v="1130"/>
    <d v="2024-12-12T14:05:38"/>
    <d v="2024-12-12T14:05:53"/>
    <s v="pchaula@lighthouse.org.mw"/>
    <s v="Pachalo Chaula"/>
    <x v="12"/>
    <s v="COE"/>
    <x v="1"/>
    <s v="COP_24"/>
    <s v="COP_24"/>
    <s v="Quarter4"/>
    <s v="Quarter1"/>
    <s v="Qtr_1"/>
    <x v="1"/>
    <d v="2024-11-01T00:00:00"/>
    <d v="2024-11-30T00:00:00"/>
    <x v="0"/>
    <x v="82"/>
    <n v="43"/>
    <n v="87"/>
    <n v="27"/>
    <n v="40"/>
    <n v="11"/>
    <n v="164"/>
    <n v="49"/>
    <n v="51"/>
    <n v="3"/>
    <n v="3"/>
    <n v="0"/>
    <n v="51"/>
    <n v="1"/>
    <n v="3"/>
    <n v="0"/>
    <n v="12"/>
    <n v="3"/>
    <n v="66"/>
    <n v="1"/>
    <n v="1"/>
    <n v="0"/>
  </r>
  <r>
    <n v="1276"/>
    <d v="2025-01-14T15:45:39"/>
    <d v="2025-01-14T15:47:07"/>
    <s v="pchaula@lighthouse.org.mw"/>
    <s v="Pachalo Chaula"/>
    <x v="12"/>
    <s v="COE"/>
    <x v="1"/>
    <s v="COP_24"/>
    <s v="COP_24"/>
    <s v="Quarter4"/>
    <s v="Quarter1"/>
    <s v="Qtr_1"/>
    <x v="11"/>
    <d v="2024-12-01T00:00:00"/>
    <d v="2024-12-31T00:00:00"/>
    <x v="3"/>
    <x v="21"/>
    <n v="0"/>
    <n v="0"/>
    <n v="0"/>
    <n v="0"/>
    <n v="0"/>
    <n v="0"/>
    <n v="0"/>
    <n v="0"/>
    <n v="0"/>
    <n v="0"/>
    <n v="0"/>
    <n v="0"/>
    <n v="0"/>
    <n v="0"/>
    <n v="0"/>
    <n v="0"/>
    <n v="0"/>
    <n v="0"/>
    <n v="0"/>
    <n v="0"/>
    <n v="0"/>
  </r>
  <r>
    <n v="1289"/>
    <d v="2025-01-16T10:35:44"/>
    <d v="2025-01-16T10:36:20"/>
    <s v="pchaula@lighthouse.org.mw"/>
    <s v="Pachalo Chaula"/>
    <x v="12"/>
    <s v="COE"/>
    <x v="1"/>
    <s v="COP_24"/>
    <s v="COP_24"/>
    <s v="Quarter4"/>
    <s v="Quarter1"/>
    <s v="Qtr_1"/>
    <x v="11"/>
    <d v="2024-12-01T00:00:00"/>
    <d v="2024-12-31T00:00:00"/>
    <x v="4"/>
    <x v="31"/>
    <n v="4"/>
    <n v="4"/>
    <n v="1"/>
    <n v="2"/>
    <n v="0"/>
    <n v="7"/>
    <n v="3"/>
    <n v="2"/>
    <n v="0"/>
    <n v="2"/>
    <n v="0"/>
    <n v="3"/>
    <n v="0"/>
    <n v="0"/>
    <n v="0"/>
    <n v="0"/>
    <n v="0"/>
    <n v="2"/>
    <n v="0"/>
    <n v="0"/>
    <n v="0"/>
  </r>
  <r>
    <n v="1292"/>
    <d v="2025-01-16T10:36:24"/>
    <d v="2025-01-16T10:40:24"/>
    <s v="pchaula@lighthouse.org.mw"/>
    <s v="Pachalo Chaula"/>
    <x v="12"/>
    <s v="COE"/>
    <x v="1"/>
    <s v="COP_24"/>
    <s v="COP_24"/>
    <s v="Quarter4"/>
    <s v="Quarter1"/>
    <s v="Qtr_1"/>
    <x v="11"/>
    <d v="2024-12-01T00:00:00"/>
    <d v="2024-12-31T00:00:00"/>
    <x v="0"/>
    <x v="116"/>
    <n v="78"/>
    <n v="72"/>
    <n v="10"/>
    <n v="62"/>
    <n v="19"/>
    <n v="157"/>
    <n v="43"/>
    <n v="47"/>
    <n v="2"/>
    <n v="6"/>
    <n v="0"/>
    <n v="49"/>
    <n v="4"/>
    <n v="17"/>
    <n v="0"/>
    <n v="27"/>
    <n v="14"/>
    <n v="63"/>
    <n v="9"/>
    <n v="7"/>
    <n v="0"/>
  </r>
  <r>
    <n v="1293"/>
    <d v="2025-01-16T10:40:40"/>
    <d v="2025-01-16T10:43:49"/>
    <s v="pchaula@lighthouse.org.mw"/>
    <s v="Pachalo Chaula"/>
    <x v="12"/>
    <s v="COE"/>
    <x v="1"/>
    <s v="COP_24"/>
    <s v="COP_24"/>
    <s v="Quarter4"/>
    <s v="Quarter1"/>
    <s v="Qtr_1"/>
    <x v="11"/>
    <d v="2024-12-01T00:00:00"/>
    <d v="2024-12-31T00:00:00"/>
    <x v="2"/>
    <x v="36"/>
    <n v="2"/>
    <n v="6"/>
    <n v="0"/>
    <n v="3"/>
    <n v="2"/>
    <n v="11"/>
    <n v="6"/>
    <n v="5"/>
    <n v="0"/>
    <n v="1"/>
    <n v="0"/>
    <n v="4"/>
    <n v="0"/>
    <n v="1"/>
    <n v="0"/>
    <n v="0"/>
    <n v="0"/>
    <n v="6"/>
    <n v="1"/>
    <n v="0"/>
    <n v="0"/>
  </r>
  <r>
    <n v="1294"/>
    <d v="2025-01-16T10:45:58"/>
    <d v="2025-01-16T11:19:12"/>
    <s v="pchaula@lighthouse.org.mw"/>
    <s v="Pachalo Chaula"/>
    <x v="12"/>
    <s v="COE"/>
    <x v="1"/>
    <s v="COP_24"/>
    <s v="COP_24"/>
    <s v="Quarter4"/>
    <s v="Quarter1"/>
    <s v="Qtr_1"/>
    <x v="11"/>
    <d v="2024-12-01T00:00:00"/>
    <d v="2024-12-31T00:00:00"/>
    <x v="5"/>
    <x v="52"/>
    <n v="4"/>
    <n v="21"/>
    <n v="0"/>
    <n v="2"/>
    <n v="1"/>
    <n v="23"/>
    <n v="5"/>
    <n v="4"/>
    <n v="1"/>
    <n v="1"/>
    <n v="0"/>
    <n v="4"/>
    <n v="0"/>
    <n v="0"/>
    <n v="0"/>
    <n v="0"/>
    <n v="0"/>
    <n v="6"/>
    <n v="1"/>
    <n v="1"/>
    <n v="0"/>
  </r>
  <r>
    <n v="1295"/>
    <d v="2025-01-16T12:08:42"/>
    <d v="2025-01-16T12:13:49"/>
    <s v="pchaula@lighthouse.org.mw"/>
    <s v="Pachalo Chaula"/>
    <x v="12"/>
    <s v="COE"/>
    <x v="1"/>
    <s v="COP_24"/>
    <s v="COP_24"/>
    <s v="Quarter4"/>
    <s v="Quarter1"/>
    <s v="Qtr_1"/>
    <x v="11"/>
    <d v="2024-12-01T00:00:00"/>
    <d v="2024-12-31T00:00:00"/>
    <x v="1"/>
    <x v="56"/>
    <n v="6"/>
    <n v="16"/>
    <n v="3"/>
    <n v="7"/>
    <n v="2"/>
    <n v="28"/>
    <n v="9"/>
    <n v="9"/>
    <n v="0"/>
    <n v="3"/>
    <n v="0"/>
    <n v="8"/>
    <n v="2"/>
    <n v="2"/>
    <n v="0"/>
    <n v="1"/>
    <n v="1"/>
    <n v="10"/>
    <n v="1"/>
    <n v="0"/>
    <n v="0"/>
  </r>
  <r>
    <n v="1309"/>
    <d v="2025-01-22T15:20:49"/>
    <d v="2025-01-22T15:20:59"/>
    <s v="pchaula@lighthouse.org.mw"/>
    <s v="Pachalo Chaula"/>
    <x v="12"/>
    <s v="COE"/>
    <x v="1"/>
    <s v="COP_24"/>
    <s v="COP_24"/>
    <s v="Quarter4"/>
    <s v="Quarter1"/>
    <s v="Qtr_1"/>
    <x v="11"/>
    <d v="2025-01-01T00:00:00"/>
    <d v="2024-12-31T00:00:00"/>
    <x v="6"/>
    <x v="62"/>
    <n v="23"/>
    <n v="14"/>
    <n v="0"/>
    <n v="9"/>
    <n v="4"/>
    <n v="25"/>
    <n v="8"/>
    <n v="9"/>
    <n v="1"/>
    <n v="2"/>
    <n v="0"/>
    <n v="6"/>
    <n v="1"/>
    <n v="1"/>
    <n v="0"/>
    <n v="6"/>
    <n v="3"/>
    <n v="10"/>
    <n v="0"/>
    <n v="2"/>
    <n v="0"/>
  </r>
  <r>
    <n v="1313"/>
    <d v="2025-01-22T15:21:02"/>
    <d v="2025-01-22T15:35:48"/>
    <s v="pchaula@lighthouse.org.mw"/>
    <s v="Pachalo Chaula"/>
    <x v="12"/>
    <s v="COE"/>
    <x v="1"/>
    <s v="COP_24"/>
    <s v="COP_24"/>
    <s v="Quarter4"/>
    <s v="Quarter1"/>
    <s v="Qtr_1"/>
    <x v="11"/>
    <d v="2024-12-01T00:00:00"/>
    <d v="2024-12-31T00:00:00"/>
    <x v="6"/>
    <x v="62"/>
    <n v="23"/>
    <n v="14"/>
    <n v="0"/>
    <n v="9"/>
    <n v="4"/>
    <n v="25"/>
    <n v="8"/>
    <n v="9"/>
    <n v="1"/>
    <n v="2"/>
    <n v="0"/>
    <n v="6"/>
    <n v="1"/>
    <n v="1"/>
    <n v="0"/>
    <n v="3"/>
    <n v="3"/>
    <n v="10"/>
    <n v="0"/>
    <n v="2"/>
    <n v="0"/>
  </r>
  <r>
    <n v="1399"/>
    <d v="2025-03-11T10:16:52"/>
    <d v="2025-03-11T10:32:17"/>
    <s v="pchaula@lighthouse.org.mw"/>
    <s v="Pachalo Chaula"/>
    <x v="12"/>
    <s v="COE"/>
    <x v="2"/>
    <s v="COP_24"/>
    <s v="COP_24"/>
    <s v="Quarter1"/>
    <s v="Quarter2"/>
    <s v="Qtr_2"/>
    <x v="5"/>
    <d v="2025-02-01T00:00:00"/>
    <d v="2025-02-28T00:00:00"/>
    <x v="0"/>
    <x v="157"/>
    <n v="43"/>
    <n v="44"/>
    <n v="19"/>
    <n v="32"/>
    <n v="9"/>
    <n v="101"/>
    <n v="29"/>
    <n v="0"/>
    <n v="0"/>
    <n v="0"/>
    <n v="0"/>
    <n v="27"/>
    <n v="0"/>
    <n v="0"/>
    <n v="0"/>
    <n v="3"/>
    <n v="2"/>
    <n v="33"/>
    <n v="1"/>
    <n v="1"/>
    <n v="0"/>
  </r>
  <r>
    <n v="1400"/>
    <d v="2025-03-11T10:32:30"/>
    <d v="2025-03-11T10:35:49"/>
    <s v="pchaula@lighthouse.org.mw"/>
    <s v="Pachalo Chaula"/>
    <x v="12"/>
    <s v="COE"/>
    <x v="2"/>
    <s v="COP_24"/>
    <s v="COP_24"/>
    <s v="Quarter1"/>
    <s v="Quarter2"/>
    <s v="Qtr_2"/>
    <x v="5"/>
    <d v="2025-02-01T00:00:00"/>
    <d v="2025-02-28T00:00:00"/>
    <x v="6"/>
    <x v="25"/>
    <n v="9"/>
    <n v="0"/>
    <n v="6"/>
    <n v="3"/>
    <n v="0"/>
    <n v="9"/>
    <n v="3"/>
    <n v="0"/>
    <n v="0"/>
    <n v="0"/>
    <n v="0"/>
    <n v="2"/>
    <n v="0"/>
    <n v="0"/>
    <n v="0"/>
    <n v="0"/>
    <n v="0"/>
    <n v="3"/>
    <n v="0"/>
    <n v="0"/>
    <n v="0"/>
  </r>
  <r>
    <n v="1401"/>
    <d v="2025-03-11T10:36:33"/>
    <d v="2025-03-11T10:42:30"/>
    <s v="pchaula@lighthouse.org.mw"/>
    <s v="Pachalo Chaula"/>
    <x v="12"/>
    <s v="COE"/>
    <x v="2"/>
    <s v="COP_24"/>
    <s v="COP_24"/>
    <s v="Quarter1"/>
    <s v="Quarter2"/>
    <s v="Qtr_2"/>
    <x v="5"/>
    <d v="2025-02-01T00:00:00"/>
    <d v="2025-02-28T00:00:00"/>
    <x v="5"/>
    <x v="39"/>
    <n v="2"/>
    <n v="6"/>
    <n v="2"/>
    <n v="0"/>
    <n v="0"/>
    <n v="8"/>
    <n v="4"/>
    <n v="0"/>
    <n v="0"/>
    <n v="0"/>
    <n v="0"/>
    <n v="2"/>
    <n v="0"/>
    <n v="0"/>
    <n v="0"/>
    <n v="0"/>
    <n v="0"/>
    <n v="6"/>
    <n v="0"/>
    <n v="0"/>
    <n v="0"/>
  </r>
  <r>
    <n v="1402"/>
    <d v="2025-03-11T10:42:38"/>
    <d v="2025-03-11T10:44:50"/>
    <s v="pchaula@lighthouse.org.mw"/>
    <s v="Pachalo Chaula"/>
    <x v="12"/>
    <s v="COE"/>
    <x v="2"/>
    <s v="COP_24"/>
    <s v="COP_24"/>
    <s v="Quarter1"/>
    <s v="Quarter2"/>
    <s v="Qtr_2"/>
    <x v="5"/>
    <d v="2025-02-01T00:00:00"/>
    <d v="2025-02-28T00:00:00"/>
    <x v="2"/>
    <x v="42"/>
    <n v="4"/>
    <n v="8"/>
    <n v="3"/>
    <n v="3"/>
    <n v="0"/>
    <n v="13"/>
    <n v="6"/>
    <n v="0"/>
    <n v="0"/>
    <n v="0"/>
    <n v="0"/>
    <n v="3"/>
    <n v="0"/>
    <n v="0"/>
    <n v="0"/>
    <n v="0"/>
    <n v="0"/>
    <n v="7"/>
    <n v="0"/>
    <n v="0"/>
    <n v="0"/>
  </r>
  <r>
    <n v="1403"/>
    <d v="2025-03-11T10:44:59"/>
    <d v="2025-03-11T10:47:49"/>
    <s v="pchaula@lighthouse.org.mw"/>
    <s v="Pachalo Chaula"/>
    <x v="12"/>
    <s v="COE"/>
    <x v="2"/>
    <s v="COP_24"/>
    <s v="COP_24"/>
    <s v="Quarter1"/>
    <s v="Quarter2"/>
    <s v="Qtr_2"/>
    <x v="5"/>
    <d v="2025-02-01T00:00:00"/>
    <d v="2025-02-28T00:00:00"/>
    <x v="4"/>
    <x v="20"/>
    <n v="1"/>
    <n v="0"/>
    <n v="2"/>
    <n v="0"/>
    <n v="0"/>
    <n v="2"/>
    <n v="2"/>
    <n v="0"/>
    <n v="0"/>
    <n v="0"/>
    <n v="0"/>
    <n v="1"/>
    <n v="0"/>
    <n v="0"/>
    <n v="0"/>
    <n v="0"/>
    <n v="0"/>
    <n v="2"/>
    <n v="0"/>
    <n v="0"/>
    <n v="0"/>
  </r>
  <r>
    <n v="1404"/>
    <d v="2025-03-11T10:48:01"/>
    <d v="2025-03-11T10:50:38"/>
    <s v="pchaula@lighthouse.org.mw"/>
    <s v="Pachalo Chaula"/>
    <x v="12"/>
    <s v="COE"/>
    <x v="2"/>
    <s v="COP_24"/>
    <s v="COP_24"/>
    <s v="Quarter1"/>
    <s v="Quarter2"/>
    <s v="Qtr_2"/>
    <x v="5"/>
    <d v="2025-03-01T00:00:00"/>
    <d v="2025-02-28T00:00:00"/>
    <x v="3"/>
    <x v="18"/>
    <n v="1"/>
    <n v="0"/>
    <n v="0"/>
    <n v="1"/>
    <n v="0"/>
    <n v="0"/>
    <n v="0"/>
    <n v="0"/>
    <n v="0"/>
    <n v="0"/>
    <n v="0"/>
    <n v="0"/>
    <n v="0"/>
    <n v="0"/>
    <n v="0"/>
    <n v="0"/>
    <n v="0"/>
    <n v="0"/>
    <n v="0"/>
    <n v="0"/>
    <n v="0"/>
  </r>
  <r>
    <n v="1405"/>
    <d v="2025-03-11T10:51:17"/>
    <d v="2025-03-11T10:56:20"/>
    <s v="pchaula@lighthouse.org.mw"/>
    <s v="Pachalo Chaula"/>
    <x v="12"/>
    <s v="COE"/>
    <x v="2"/>
    <s v="COP_24"/>
    <s v="COP_24"/>
    <s v="Quarter1"/>
    <s v="Quarter2"/>
    <s v="Qtr_2"/>
    <x v="5"/>
    <d v="2025-02-01T00:00:00"/>
    <d v="2025-02-28T00:00:00"/>
    <x v="1"/>
    <x v="61"/>
    <n v="6"/>
    <n v="12"/>
    <n v="7"/>
    <n v="0"/>
    <n v="0"/>
    <n v="19"/>
    <n v="8"/>
    <n v="0"/>
    <n v="0"/>
    <n v="0"/>
    <n v="0"/>
    <n v="0"/>
    <n v="0"/>
    <n v="0"/>
    <n v="0"/>
    <n v="0"/>
    <n v="0"/>
    <n v="8"/>
    <n v="0"/>
    <n v="0"/>
    <n v="0"/>
  </r>
  <r>
    <n v="1426"/>
    <d v="2025-03-14T10:49:03"/>
    <d v="2025-03-14T10:58:39"/>
    <s v="pchaula@lighthouse.org.mw"/>
    <s v="Pachalo Chaula"/>
    <x v="12"/>
    <s v="COE"/>
    <x v="2"/>
    <s v="COP_24"/>
    <s v="COP_24"/>
    <s v="Quarter1"/>
    <s v="Quarter2"/>
    <s v="Qtr_2"/>
    <x v="4"/>
    <d v="2025-01-01T00:00:00"/>
    <d v="2025-01-31T00:00:00"/>
    <x v="5"/>
    <x v="17"/>
    <n v="0"/>
    <n v="19"/>
    <n v="3"/>
    <n v="1"/>
    <n v="0"/>
    <n v="19"/>
    <n v="11"/>
    <n v="0"/>
    <n v="0"/>
    <n v="1"/>
    <n v="0"/>
    <n v="3"/>
    <n v="0"/>
    <n v="0"/>
    <n v="0"/>
    <n v="0"/>
    <n v="0"/>
    <n v="17"/>
    <n v="0"/>
    <n v="0"/>
    <n v="0"/>
  </r>
  <r>
    <n v="1427"/>
    <d v="2025-03-14T10:58:49"/>
    <d v="2025-03-14T11:01:23"/>
    <s v="pchaula@lighthouse.org.mw"/>
    <s v="Pachalo Chaula"/>
    <x v="12"/>
    <s v="COE"/>
    <x v="2"/>
    <s v="COP_24"/>
    <s v="COP_24"/>
    <s v="Quarter1"/>
    <s v="Quarter2"/>
    <s v="Qtr_2"/>
    <x v="4"/>
    <d v="2025-01-01T00:00:00"/>
    <d v="2025-01-31T00:00:00"/>
    <x v="2"/>
    <x v="39"/>
    <n v="2"/>
    <n v="2"/>
    <n v="3"/>
    <n v="2"/>
    <n v="1"/>
    <n v="7"/>
    <n v="1"/>
    <n v="0"/>
    <n v="0"/>
    <n v="0"/>
    <n v="0"/>
    <n v="2"/>
    <n v="1"/>
    <n v="1"/>
    <n v="1"/>
    <n v="1"/>
    <n v="1"/>
    <n v="4"/>
    <n v="1"/>
    <n v="1"/>
    <n v="0"/>
  </r>
  <r>
    <n v="1428"/>
    <d v="2025-03-14T11:06:54"/>
    <d v="2025-03-14T11:07:20"/>
    <s v="pchaula@lighthouse.org.mw"/>
    <s v="Pachalo Chaula"/>
    <x v="12"/>
    <s v="COE"/>
    <x v="2"/>
    <s v="COP_24"/>
    <s v="COP_24"/>
    <s v="Quarter1"/>
    <s v="Quarter2"/>
    <s v="Qtr_2"/>
    <x v="4"/>
    <d v="2025-01-01T00:00:00"/>
    <d v="2025-01-31T00:00:00"/>
    <x v="3"/>
    <x v="20"/>
    <n v="0"/>
    <n v="0"/>
    <n v="0"/>
    <n v="2"/>
    <n v="0"/>
    <n v="0"/>
    <n v="0"/>
    <n v="1"/>
    <n v="0"/>
    <n v="0"/>
    <n v="0"/>
    <n v="1"/>
    <n v="0"/>
    <n v="0"/>
    <n v="0"/>
    <n v="0"/>
    <n v="0"/>
    <n v="0"/>
    <n v="0"/>
    <n v="0"/>
    <n v="0"/>
  </r>
  <r>
    <n v="1429"/>
    <d v="2025-03-14T11:07:25"/>
    <d v="2025-03-14T11:26:11"/>
    <s v="pchaula@lighthouse.org.mw"/>
    <s v="Pachalo Chaula"/>
    <x v="12"/>
    <s v="COE"/>
    <x v="2"/>
    <s v="COP_24"/>
    <s v="COP_24"/>
    <s v="Quarter1"/>
    <s v="Quarter2"/>
    <s v="Qtr_2"/>
    <x v="4"/>
    <d v="2025-01-01T00:00:00"/>
    <d v="2025-01-31T00:00:00"/>
    <x v="4"/>
    <x v="61"/>
    <n v="7"/>
    <n v="10"/>
    <n v="4"/>
    <n v="4"/>
    <n v="1"/>
    <n v="15"/>
    <n v="2"/>
    <n v="0"/>
    <n v="0"/>
    <n v="0"/>
    <n v="0"/>
    <n v="5"/>
    <n v="0"/>
    <n v="1"/>
    <n v="0"/>
    <n v="1"/>
    <n v="0"/>
    <n v="11"/>
    <n v="0"/>
    <n v="0"/>
    <n v="0"/>
  </r>
  <r>
    <n v="1430"/>
    <d v="2025-03-14T11:26:22"/>
    <d v="2025-03-14T11:28:30"/>
    <s v="pchaula@lighthouse.org.mw"/>
    <s v="Pachalo Chaula"/>
    <x v="12"/>
    <s v="COE"/>
    <x v="2"/>
    <s v="COP_24"/>
    <s v="COP_24"/>
    <s v="Quarter1"/>
    <s v="Quarter2"/>
    <s v="Qtr_2"/>
    <x v="4"/>
    <d v="2025-01-01T00:00:00"/>
    <d v="2025-01-31T00:00:00"/>
    <x v="6"/>
    <x v="30"/>
    <n v="3"/>
    <n v="1"/>
    <n v="0"/>
    <n v="2"/>
    <n v="0"/>
    <n v="3"/>
    <n v="2"/>
    <n v="0"/>
    <n v="0"/>
    <n v="0"/>
    <n v="0"/>
    <n v="2"/>
    <n v="0"/>
    <n v="0"/>
    <n v="0"/>
    <n v="0"/>
    <n v="0"/>
    <n v="1"/>
    <n v="0"/>
    <n v="0"/>
    <n v="0"/>
  </r>
  <r>
    <n v="1466"/>
    <d v="2025-03-24T13:09:10"/>
    <d v="2025-03-24T13:13:33"/>
    <s v="pchaula@lighthouse.org.mw"/>
    <s v="Pachalo Chaula"/>
    <x v="12"/>
    <s v="COE"/>
    <x v="2"/>
    <s v="COP_24"/>
    <s v="COP_24"/>
    <s v="Quarter1"/>
    <s v="Quarter2"/>
    <s v="Qtr_2"/>
    <x v="4"/>
    <d v="2025-01-01T00:00:00"/>
    <d v="2025-01-31T00:00:00"/>
    <x v="0"/>
    <x v="71"/>
    <n v="61"/>
    <n v="96"/>
    <n v="23"/>
    <n v="44"/>
    <n v="8"/>
    <n v="152"/>
    <n v="40"/>
    <n v="16"/>
    <n v="1"/>
    <n v="4"/>
    <n v="1"/>
    <n v="59"/>
    <n v="5"/>
    <n v="9"/>
    <n v="1"/>
    <n v="10"/>
    <n v="2"/>
    <n v="69"/>
    <n v="2"/>
    <n v="5"/>
    <n v="1"/>
  </r>
  <r>
    <n v="1511"/>
    <d v="2025-04-07T14:33:43"/>
    <d v="2025-04-07T14:41:15"/>
    <s v="pchaula@lighthouse.org.mw"/>
    <s v="Pachalo Chaula"/>
    <x v="12"/>
    <s v="COE"/>
    <x v="2"/>
    <s v="COP_24"/>
    <s v="COP_24"/>
    <s v="Quarter1"/>
    <s v="Quarter2"/>
    <s v="Qtr_2"/>
    <x v="3"/>
    <d v="2025-03-01T00:00:00"/>
    <d v="2025-03-31T00:00:00"/>
    <x v="4"/>
    <x v="31"/>
    <n v="4"/>
    <n v="2"/>
    <n v="1"/>
    <n v="4"/>
    <n v="0"/>
    <n v="7"/>
    <n v="1"/>
    <n v="1"/>
    <n v="0"/>
    <n v="0"/>
    <n v="0"/>
    <n v="2"/>
    <n v="0"/>
    <n v="0"/>
    <n v="0"/>
    <n v="1"/>
    <n v="1"/>
    <n v="1"/>
    <n v="0"/>
    <n v="0"/>
    <n v="0"/>
  </r>
  <r>
    <n v="1512"/>
    <d v="2025-04-07T14:41:20"/>
    <d v="2025-04-07T14:44:58"/>
    <s v="pchaula@lighthouse.org.mw"/>
    <s v="Pachalo Chaula"/>
    <x v="12"/>
    <s v="COE"/>
    <x v="2"/>
    <s v="COP_24"/>
    <s v="COP_24"/>
    <s v="Quarter1"/>
    <s v="Quarter2"/>
    <s v="Qtr_2"/>
    <x v="3"/>
    <d v="2025-03-01T00:00:00"/>
    <d v="2025-03-31T00:00:00"/>
    <x v="6"/>
    <x v="40"/>
    <n v="37"/>
    <n v="8"/>
    <n v="10"/>
    <n v="11"/>
    <n v="8"/>
    <n v="37"/>
    <n v="20"/>
    <n v="4"/>
    <n v="0"/>
    <n v="0"/>
    <n v="0"/>
    <n v="19"/>
    <n v="2"/>
    <n v="4"/>
    <n v="1"/>
    <n v="11"/>
    <n v="3"/>
    <n v="20"/>
    <n v="3"/>
    <n v="6"/>
    <n v="0"/>
  </r>
  <r>
    <n v="1513"/>
    <d v="2025-04-07T14:45:22"/>
    <d v="2025-04-07T14:50:07"/>
    <s v="pchaula@lighthouse.org.mw"/>
    <s v="Pachalo Chaula"/>
    <x v="12"/>
    <s v="COE"/>
    <x v="2"/>
    <s v="COP_24"/>
    <s v="COP_24"/>
    <s v="Quarter1"/>
    <s v="Quarter2"/>
    <s v="Qtr_2"/>
    <x v="3"/>
    <d v="2025-03-01T00:00:00"/>
    <d v="2025-03-31T00:00:00"/>
    <x v="5"/>
    <x v="9"/>
    <n v="2"/>
    <n v="20"/>
    <n v="1"/>
    <n v="3"/>
    <n v="1"/>
    <n v="24"/>
    <n v="4"/>
    <n v="1"/>
    <n v="0"/>
    <n v="0"/>
    <n v="0"/>
    <n v="6"/>
    <n v="1"/>
    <n v="1"/>
    <n v="0"/>
    <n v="4"/>
    <n v="0"/>
    <n v="19"/>
    <n v="1"/>
    <n v="1"/>
    <n v="0"/>
  </r>
  <r>
    <n v="1514"/>
    <d v="2025-04-07T14:50:34"/>
    <d v="2025-04-07T14:52:47"/>
    <s v="pchaula@lighthouse.org.mw"/>
    <s v="Pachalo Chaula"/>
    <x v="12"/>
    <s v="COE"/>
    <x v="2"/>
    <s v="COP_24"/>
    <s v="COP_24"/>
    <s v="Quarter1"/>
    <s v="Quarter2"/>
    <s v="Qtr_2"/>
    <x v="3"/>
    <d v="2025-03-01T00:00:00"/>
    <d v="2025-03-31T00:00:00"/>
    <x v="2"/>
    <x v="29"/>
    <n v="6"/>
    <n v="5"/>
    <n v="2"/>
    <n v="3"/>
    <n v="2"/>
    <n v="12"/>
    <n v="3"/>
    <n v="0"/>
    <n v="0"/>
    <n v="0"/>
    <n v="0"/>
    <n v="3"/>
    <n v="0"/>
    <n v="0"/>
    <n v="0"/>
    <n v="4"/>
    <n v="0"/>
    <n v="4"/>
    <n v="0"/>
    <n v="0"/>
    <n v="0"/>
  </r>
  <r>
    <n v="1515"/>
    <d v="2025-04-07T14:53:08"/>
    <d v="2025-04-07T14:55:17"/>
    <s v="pchaula@lighthouse.org.mw"/>
    <s v="Pachalo Chaula"/>
    <x v="12"/>
    <s v="COE"/>
    <x v="2"/>
    <s v="COP_24"/>
    <s v="COP_24"/>
    <s v="Quarter1"/>
    <s v="Quarter2"/>
    <s v="Qtr_2"/>
    <x v="3"/>
    <m/>
    <d v="2025-03-31T00:00:00"/>
    <x v="3"/>
    <x v="20"/>
    <n v="1"/>
    <n v="0"/>
    <n v="0"/>
    <n v="2"/>
    <n v="0"/>
    <n v="0"/>
    <n v="0"/>
    <n v="0"/>
    <n v="0"/>
    <n v="0"/>
    <n v="0"/>
    <n v="2"/>
    <n v="1"/>
    <n v="1"/>
    <n v="0"/>
    <n v="1"/>
    <n v="0"/>
    <n v="1"/>
    <n v="1"/>
    <n v="1"/>
    <n v="0"/>
  </r>
  <r>
    <n v="1516"/>
    <d v="2025-04-07T15:24:34"/>
    <d v="2025-04-07T15:27:37"/>
    <s v="pchaula@lighthouse.org.mw"/>
    <s v="Pachalo Chaula"/>
    <x v="12"/>
    <s v="COE"/>
    <x v="2"/>
    <s v="COP_24"/>
    <s v="COP_24"/>
    <s v="Quarter1"/>
    <s v="Quarter2"/>
    <s v="Qtr_2"/>
    <x v="3"/>
    <d v="2025-03-01T00:00:00"/>
    <d v="2025-03-31T00:00:00"/>
    <x v="1"/>
    <x v="58"/>
    <n v="13"/>
    <n v="16"/>
    <n v="9"/>
    <n v="7"/>
    <n v="6"/>
    <n v="38"/>
    <n v="20"/>
    <n v="6"/>
    <n v="0"/>
    <n v="1"/>
    <n v="0"/>
    <n v="19"/>
    <n v="2"/>
    <n v="1"/>
    <n v="0"/>
    <n v="7"/>
    <n v="1"/>
    <n v="19"/>
    <n v="2"/>
    <n v="2"/>
    <n v="0"/>
  </r>
  <r>
    <n v="1531"/>
    <d v="2025-04-11T13:59:36"/>
    <d v="2025-04-11T14:02:51"/>
    <s v="pchaula@lighthouse.org.mw"/>
    <s v="Pachalo Chaula"/>
    <x v="12"/>
    <s v="COE"/>
    <x v="2"/>
    <s v="COP_24"/>
    <s v="COP_24"/>
    <s v="Quarter1"/>
    <s v="Quarter2"/>
    <s v="Qtr_2"/>
    <x v="4"/>
    <d v="2025-01-01T00:00:00"/>
    <d v="2025-01-31T00:00:00"/>
    <x v="1"/>
    <x v="40"/>
    <n v="3"/>
    <n v="24"/>
    <n v="2"/>
    <n v="10"/>
    <n v="1"/>
    <n v="31"/>
    <n v="9"/>
    <n v="6"/>
    <n v="1"/>
    <n v="1"/>
    <n v="1"/>
    <n v="14"/>
    <n v="1"/>
    <n v="3"/>
    <n v="0"/>
    <n v="4"/>
    <n v="1"/>
    <n v="16"/>
    <n v="1"/>
    <n v="0"/>
    <n v="0"/>
  </r>
  <r>
    <n v="15"/>
    <d v="2023-12-16T15:54:17"/>
    <d v="2023-12-16T16:10:46"/>
    <s v="anhlema@lighthouse.org.mw"/>
    <s v="Angelina Nhlema"/>
    <x v="13"/>
    <s v="COE"/>
    <x v="0"/>
    <s v="COP_22"/>
    <s v="COP_22"/>
    <s v="Quarter3"/>
    <s v="Quarter4"/>
    <s v="Qtr_4"/>
    <x v="2"/>
    <d v="2023-09-01T00:00:00"/>
    <d v="2023-09-30T00:00:00"/>
    <x v="6"/>
    <x v="44"/>
    <n v="11"/>
    <n v="1"/>
    <n v="0"/>
    <n v="7"/>
    <n v="8"/>
    <n v="16"/>
    <n v="8"/>
    <n v="14"/>
    <n v="0"/>
    <n v="14"/>
    <n v="0"/>
    <n v="12"/>
    <n v="0"/>
    <n v="0"/>
    <n v="0"/>
    <n v="1"/>
    <n v="1"/>
    <n v="2"/>
    <n v="1"/>
    <n v="3"/>
    <n v="0"/>
  </r>
  <r>
    <n v="22"/>
    <d v="2023-12-16T17:12:47"/>
    <d v="2023-12-16T17:16:18"/>
    <s v="anhlema@lighthouse.org.mw"/>
    <s v="Angelina Nhlema"/>
    <x v="13"/>
    <s v="COE"/>
    <x v="0"/>
    <s v="COP_23"/>
    <s v="COP_23"/>
    <s v="Quarter4"/>
    <s v="Quarter1"/>
    <s v="Qtr_1"/>
    <x v="1"/>
    <d v="2023-11-01T00:00:00"/>
    <d v="2023-11-30T00:00:00"/>
    <x v="0"/>
    <x v="158"/>
    <n v="0"/>
    <n v="154"/>
    <n v="57"/>
    <n v="14"/>
    <n v="9"/>
    <n v="239"/>
    <n v="58"/>
    <n v="63"/>
    <n v="3"/>
    <n v="3"/>
    <n v="0"/>
    <n v="61"/>
    <n v="1"/>
    <n v="0"/>
    <n v="0"/>
    <n v="0"/>
    <n v="0"/>
    <n v="21"/>
    <n v="0"/>
    <n v="3"/>
    <n v="3"/>
  </r>
  <r>
    <n v="25"/>
    <d v="2023-12-16T18:58:28"/>
    <d v="2023-12-16T19:07:43"/>
    <s v="anhlema@lighthouse.org.mw"/>
    <s v="Angelina Nhlema"/>
    <x v="13"/>
    <s v="COE"/>
    <x v="0"/>
    <s v="COP_22"/>
    <s v="COP_22"/>
    <s v="Quarter3"/>
    <s v="Quarter4"/>
    <s v="Qtr_4"/>
    <x v="2"/>
    <d v="2023-09-01T00:00:00"/>
    <d v="2023-09-30T00:00:00"/>
    <x v="0"/>
    <x v="144"/>
    <n v="17"/>
    <n v="44"/>
    <n v="11"/>
    <n v="9"/>
    <n v="4"/>
    <n v="68"/>
    <n v="29"/>
    <n v="32"/>
    <n v="4"/>
    <n v="4"/>
    <n v="0"/>
    <n v="36"/>
    <n v="0"/>
    <n v="0"/>
    <n v="0"/>
    <n v="0"/>
    <n v="0"/>
    <n v="2"/>
    <n v="0"/>
    <n v="2"/>
    <n v="0"/>
  </r>
  <r>
    <n v="28"/>
    <d v="2023-12-18T08:48:14"/>
    <d v="2023-12-18T09:37:49"/>
    <s v="amakweti@lighthouse.org.mw"/>
    <s v="Alphat Makweti"/>
    <x v="13"/>
    <s v="COE"/>
    <x v="0"/>
    <s v="COP_23"/>
    <s v="COP_23"/>
    <s v="Quarter4"/>
    <s v="Quarter1"/>
    <s v="Qtr_1"/>
    <x v="0"/>
    <d v="2023-10-01T00:00:00"/>
    <d v="2023-10-31T00:00:00"/>
    <x v="0"/>
    <x v="159"/>
    <n v="2"/>
    <n v="150"/>
    <n v="79"/>
    <n v="22"/>
    <n v="4"/>
    <n v="255"/>
    <n v="79"/>
    <n v="85"/>
    <n v="0"/>
    <n v="0"/>
    <n v="0"/>
    <n v="87"/>
    <n v="3"/>
    <n v="0"/>
    <n v="0"/>
    <n v="0"/>
    <n v="0"/>
    <n v="62"/>
    <n v="0"/>
    <n v="2"/>
    <n v="0"/>
  </r>
  <r>
    <n v="31"/>
    <d v="2023-12-18T09:51:14"/>
    <d v="2023-12-18T09:57:54"/>
    <s v="amakweti@lighthouse.org.mw"/>
    <s v="Alphat Makweti"/>
    <x v="13"/>
    <s v="COE"/>
    <x v="0"/>
    <s v="COP_23"/>
    <s v="COP_23"/>
    <s v="Quarter4"/>
    <s v="Quarter1"/>
    <s v="Qtr_1"/>
    <x v="1"/>
    <d v="2023-11-01T00:00:00"/>
    <d v="2023-11-30T00:00:00"/>
    <x v="6"/>
    <x v="160"/>
    <n v="136"/>
    <n v="10"/>
    <n v="22"/>
    <n v="112"/>
    <n v="68"/>
    <n v="200"/>
    <n v="76"/>
    <n v="85"/>
    <n v="3"/>
    <n v="4"/>
    <n v="2"/>
    <n v="79"/>
    <n v="14"/>
    <n v="0"/>
    <n v="0"/>
    <n v="1"/>
    <n v="0"/>
    <n v="3"/>
    <n v="0"/>
    <n v="17"/>
    <n v="3"/>
  </r>
  <r>
    <n v="32"/>
    <d v="2023-12-18T09:58:06"/>
    <d v="2023-12-18T10:02:07"/>
    <s v="amakweti@lighthouse.org.mw"/>
    <s v="Alphat Makweti"/>
    <x v="13"/>
    <s v="COE"/>
    <x v="0"/>
    <s v="COP_23"/>
    <s v="COP_23"/>
    <s v="Quarter4"/>
    <s v="Quarter1"/>
    <s v="Qtr_1"/>
    <x v="0"/>
    <d v="2023-10-01T00:00:00"/>
    <d v="2023-10-31T00:00:00"/>
    <x v="6"/>
    <x v="161"/>
    <n v="23"/>
    <n v="8"/>
    <n v="0"/>
    <n v="185"/>
    <n v="13"/>
    <n v="198"/>
    <n v="65"/>
    <n v="79"/>
    <n v="2"/>
    <n v="0"/>
    <n v="0"/>
    <n v="82"/>
    <n v="10"/>
    <n v="9"/>
    <n v="0"/>
    <n v="2"/>
    <n v="2"/>
    <n v="14"/>
    <n v="0"/>
    <n v="11"/>
    <n v="0"/>
  </r>
  <r>
    <n v="83"/>
    <d v="2024-01-12T15:17:39"/>
    <d v="2024-01-12T15:28:49"/>
    <s v="amakweti@lighthouse.org.mw"/>
    <s v="Alphat Makweti"/>
    <x v="13"/>
    <s v="COE"/>
    <x v="0"/>
    <s v="COP_23"/>
    <s v="COP_23"/>
    <s v="Quarter4"/>
    <s v="Quarter1"/>
    <s v="Qtr_1"/>
    <x v="11"/>
    <d v="2023-12-01T00:00:00"/>
    <d v="2023-12-31T00:00:00"/>
    <x v="0"/>
    <x v="162"/>
    <n v="0"/>
    <n v="142"/>
    <n v="68"/>
    <n v="10"/>
    <n v="8"/>
    <n v="228"/>
    <n v="75"/>
    <n v="81"/>
    <n v="4"/>
    <n v="0"/>
    <n v="0"/>
    <n v="75"/>
    <n v="2"/>
    <n v="0"/>
    <n v="0"/>
    <n v="0"/>
    <n v="0"/>
    <n v="65"/>
    <n v="6"/>
    <n v="10"/>
    <n v="0"/>
  </r>
  <r>
    <n v="84"/>
    <d v="2024-01-12T15:33:56"/>
    <d v="2024-01-12T15:40:06"/>
    <s v="amakweti@lighthouse.org.mw"/>
    <s v="Alphat Makweti"/>
    <x v="13"/>
    <s v="COE"/>
    <x v="0"/>
    <s v="COP_23"/>
    <s v="COP_23"/>
    <s v="Quarter4"/>
    <s v="Quarter1"/>
    <s v="Qtr_1"/>
    <x v="11"/>
    <d v="2023-12-01T00:00:00"/>
    <d v="2023-12-31T00:00:00"/>
    <x v="6"/>
    <x v="137"/>
    <n v="108"/>
    <n v="32"/>
    <n v="24"/>
    <n v="47"/>
    <n v="55"/>
    <n v="151"/>
    <n v="60"/>
    <n v="68"/>
    <n v="2"/>
    <n v="0"/>
    <n v="0"/>
    <n v="45"/>
    <n v="8"/>
    <n v="2"/>
    <n v="2"/>
    <n v="5"/>
    <n v="5"/>
    <n v="1"/>
    <n v="1"/>
    <n v="15"/>
    <n v="3"/>
  </r>
  <r>
    <n v="127"/>
    <d v="2024-01-26T13:19:07"/>
    <d v="2024-01-26T13:20:49"/>
    <s v="chbanda@lighthouse.org.mw"/>
    <s v="Chipiliro Banda"/>
    <x v="13"/>
    <s v="COE"/>
    <x v="0"/>
    <s v="COP_23"/>
    <s v="COP_23"/>
    <s v="Quarter4"/>
    <s v="Quarter1"/>
    <s v="Qtr_1"/>
    <x v="0"/>
    <d v="2023-10-01T00:00:00"/>
    <d v="2023-10-31T00:00:00"/>
    <x v="3"/>
    <x v="21"/>
    <n v="0"/>
    <n v="0"/>
    <n v="0"/>
    <n v="0"/>
    <n v="0"/>
    <n v="0"/>
    <n v="0"/>
    <n v="0"/>
    <n v="0"/>
    <n v="0"/>
    <n v="0"/>
    <n v="0"/>
    <n v="0"/>
    <n v="0"/>
    <n v="0"/>
    <n v="0"/>
    <n v="0"/>
    <n v="0"/>
    <n v="0"/>
    <n v="0"/>
    <n v="0"/>
  </r>
  <r>
    <n v="128"/>
    <d v="2024-01-26T13:21:17"/>
    <d v="2024-01-26T13:25:50"/>
    <s v="chbanda@lighthouse.org.mw"/>
    <s v="Chipiliro Banda"/>
    <x v="13"/>
    <s v="COE"/>
    <x v="0"/>
    <s v="COP_23"/>
    <s v="COP_23"/>
    <s v="Quarter4"/>
    <s v="Quarter1"/>
    <s v="Qtr_1"/>
    <x v="0"/>
    <d v="2023-10-01T00:00:00"/>
    <d v="2024-10-31T00:00:00"/>
    <x v="5"/>
    <x v="66"/>
    <n v="0"/>
    <n v="51"/>
    <n v="18"/>
    <n v="19"/>
    <n v="2"/>
    <n v="82"/>
    <n v="22"/>
    <n v="28"/>
    <n v="1"/>
    <n v="0"/>
    <n v="0"/>
    <n v="22"/>
    <n v="1"/>
    <n v="0"/>
    <n v="0"/>
    <n v="0"/>
    <n v="0"/>
    <n v="28"/>
    <n v="0"/>
    <n v="1"/>
    <n v="0"/>
  </r>
  <r>
    <n v="130"/>
    <d v="2024-01-26T13:29:48"/>
    <d v="2024-01-26T13:31:23"/>
    <s v="chbanda@lighthouse.org.mw"/>
    <s v="Chipiliro Banda"/>
    <x v="13"/>
    <s v="COE"/>
    <x v="0"/>
    <s v="COP_23"/>
    <s v="COP_23"/>
    <s v="Quarter4"/>
    <s v="Quarter1"/>
    <s v="Qtr_1"/>
    <x v="1"/>
    <d v="2024-11-01T00:00:00"/>
    <d v="2024-11-30T00:00:00"/>
    <x v="3"/>
    <x v="18"/>
    <n v="0"/>
    <n v="1"/>
    <n v="0"/>
    <n v="0"/>
    <n v="0"/>
    <n v="1"/>
    <n v="0"/>
    <n v="0"/>
    <n v="0"/>
    <n v="0"/>
    <n v="0"/>
    <n v="0"/>
    <n v="0"/>
    <n v="0"/>
    <n v="0"/>
    <n v="0"/>
    <n v="0"/>
    <n v="0"/>
    <n v="0"/>
    <n v="0"/>
    <n v="0"/>
  </r>
  <r>
    <n v="132"/>
    <d v="2024-01-26T13:34:54"/>
    <d v="2024-01-26T13:38:03"/>
    <s v="chbanda@lighthouse.org.mw"/>
    <s v="Chipiliro Banda"/>
    <x v="13"/>
    <s v="COE"/>
    <x v="0"/>
    <s v="COP_23"/>
    <s v="COP_23"/>
    <s v="Quarter4"/>
    <s v="Quarter1"/>
    <s v="Qtr_1"/>
    <x v="1"/>
    <d v="2024-11-01T00:00:00"/>
    <d v="2024-11-30T00:00:00"/>
    <x v="5"/>
    <x v="94"/>
    <n v="0"/>
    <n v="84"/>
    <n v="19"/>
    <n v="2"/>
    <n v="0"/>
    <n v="105"/>
    <n v="17"/>
    <n v="18"/>
    <n v="0"/>
    <n v="0"/>
    <n v="0"/>
    <n v="18"/>
    <n v="0"/>
    <n v="0"/>
    <n v="0"/>
    <n v="0"/>
    <n v="0"/>
    <n v="18"/>
    <n v="0"/>
    <n v="0"/>
    <n v="0"/>
  </r>
  <r>
    <n v="134"/>
    <d v="2024-01-26T13:40:57"/>
    <d v="2024-01-26T13:43:59"/>
    <s v="chbanda@lighthouse.org.mw"/>
    <s v="Chipiliro Banda"/>
    <x v="13"/>
    <s v="COE"/>
    <x v="0"/>
    <s v="COP_23"/>
    <s v="COP_23"/>
    <s v="Quarter4"/>
    <s v="Quarter1"/>
    <s v="Qtr_1"/>
    <x v="11"/>
    <d v="2024-12-01T00:00:00"/>
    <d v="2024-12-31T00:00:00"/>
    <x v="5"/>
    <x v="163"/>
    <n v="0"/>
    <n v="60"/>
    <n v="27"/>
    <n v="6"/>
    <n v="1"/>
    <n v="94"/>
    <n v="29"/>
    <n v="36"/>
    <n v="1"/>
    <n v="1"/>
    <n v="0"/>
    <n v="38"/>
    <n v="3"/>
    <n v="0"/>
    <n v="0"/>
    <n v="0"/>
    <n v="0"/>
    <n v="35"/>
    <n v="0"/>
    <n v="0"/>
    <n v="0"/>
  </r>
  <r>
    <n v="135"/>
    <d v="2024-01-26T13:44:05"/>
    <d v="2024-01-26T13:45:32"/>
    <s v="chbanda@lighthouse.org.mw"/>
    <s v="Chipiliro Banda"/>
    <x v="13"/>
    <s v="COE"/>
    <x v="0"/>
    <s v="COP_23"/>
    <s v="COP_23"/>
    <s v="Quarter4"/>
    <s v="Quarter1"/>
    <s v="Qtr_1"/>
    <x v="11"/>
    <d v="2024-12-01T00:00:00"/>
    <d v="2024-12-31T00:00:00"/>
    <x v="3"/>
    <x v="18"/>
    <n v="0"/>
    <n v="0"/>
    <n v="0"/>
    <n v="1"/>
    <n v="0"/>
    <n v="0"/>
    <n v="0"/>
    <n v="0"/>
    <n v="0"/>
    <n v="0"/>
    <n v="0"/>
    <n v="0"/>
    <n v="0"/>
    <n v="0"/>
    <n v="0"/>
    <n v="0"/>
    <n v="0"/>
    <n v="0"/>
    <n v="0"/>
    <n v="0"/>
    <n v="0"/>
  </r>
  <r>
    <n v="153"/>
    <d v="2024-02-13T11:55:18"/>
    <d v="2024-02-13T11:59:34"/>
    <s v="amakweti@lighthouse.org.mw"/>
    <s v="Alphat Makweti"/>
    <x v="13"/>
    <s v="COE"/>
    <x v="1"/>
    <s v="COP_23"/>
    <s v="COP_23"/>
    <s v="Quarter1"/>
    <s v="Quarter2"/>
    <s v="Qtr_2"/>
    <x v="4"/>
    <d v="2024-01-01T00:00:00"/>
    <d v="2024-01-31T00:00:00"/>
    <x v="6"/>
    <x v="113"/>
    <n v="168"/>
    <n v="59"/>
    <n v="39"/>
    <n v="34"/>
    <n v="87"/>
    <n v="209"/>
    <n v="79"/>
    <n v="98"/>
    <n v="2"/>
    <n v="0"/>
    <n v="0"/>
    <n v="82"/>
    <n v="8"/>
    <n v="0"/>
    <n v="0"/>
    <n v="0"/>
    <n v="0"/>
    <n v="1"/>
    <n v="1"/>
    <n v="11"/>
    <n v="3"/>
  </r>
  <r>
    <n v="154"/>
    <d v="2024-02-13T12:07:58"/>
    <d v="2024-02-13T12:13:07"/>
    <s v="amakweti@lighthouse.org.mw"/>
    <s v="Alphat Makweti"/>
    <x v="13"/>
    <s v="COE"/>
    <x v="1"/>
    <s v="COP_23"/>
    <s v="COP_23"/>
    <s v="Quarter1"/>
    <s v="Quarter2"/>
    <s v="Qtr_2"/>
    <x v="4"/>
    <d v="2024-01-01T00:00:00"/>
    <d v="2024-01-31T00:00:00"/>
    <x v="0"/>
    <x v="164"/>
    <n v="0"/>
    <n v="190"/>
    <n v="110"/>
    <n v="13"/>
    <n v="14"/>
    <n v="327"/>
    <n v="95"/>
    <n v="122"/>
    <n v="8"/>
    <n v="7"/>
    <n v="2"/>
    <n v="18"/>
    <n v="8"/>
    <n v="0"/>
    <n v="0"/>
    <n v="0"/>
    <n v="0"/>
    <n v="95"/>
    <n v="8"/>
    <n v="8"/>
    <n v="1"/>
  </r>
  <r>
    <n v="156"/>
    <d v="2024-02-13T12:18:40"/>
    <d v="2024-02-13T12:22:27"/>
    <s v="amakweti@lighthouse.org.mw"/>
    <s v="Alphat Makweti"/>
    <x v="13"/>
    <s v="COE"/>
    <x v="1"/>
    <s v="COP_23"/>
    <s v="COP_23"/>
    <s v="Quarter1"/>
    <s v="Quarter2"/>
    <s v="Qtr_2"/>
    <x v="4"/>
    <d v="2024-01-01T00:00:00"/>
    <d v="2024-01-31T00:00:00"/>
    <x v="5"/>
    <x v="92"/>
    <n v="0"/>
    <n v="70"/>
    <n v="27"/>
    <n v="1"/>
    <n v="5"/>
    <n v="102"/>
    <n v="34"/>
    <n v="34"/>
    <n v="0"/>
    <n v="0"/>
    <n v="0"/>
    <n v="34"/>
    <n v="0"/>
    <n v="0"/>
    <n v="0"/>
    <n v="0"/>
    <n v="0"/>
    <n v="34"/>
    <n v="0"/>
    <n v="0"/>
    <n v="0"/>
  </r>
  <r>
    <n v="157"/>
    <d v="2024-02-14T08:04:24"/>
    <d v="2024-02-14T08:06:37"/>
    <s v="amakweti@lighthouse.org.mw"/>
    <s v="Alphat Makweti"/>
    <x v="13"/>
    <s v="COE"/>
    <x v="1"/>
    <s v="COP_23"/>
    <s v="COP_23"/>
    <s v="Quarter1"/>
    <s v="Quarter2"/>
    <s v="Qtr_2"/>
    <x v="4"/>
    <d v="2024-01-01T00:00:00"/>
    <d v="2024-01-31T00:00:00"/>
    <x v="3"/>
    <x v="33"/>
    <n v="0"/>
    <n v="4"/>
    <n v="0"/>
    <n v="0"/>
    <n v="0"/>
    <n v="0"/>
    <n v="0"/>
    <n v="4"/>
    <n v="0"/>
    <n v="0"/>
    <n v="0"/>
    <n v="0"/>
    <n v="0"/>
    <n v="0"/>
    <n v="0"/>
    <n v="0"/>
    <n v="0"/>
    <n v="0"/>
    <n v="0"/>
    <n v="0"/>
    <n v="0"/>
  </r>
  <r>
    <n v="163"/>
    <d v="2024-03-08T14:13:19"/>
    <d v="2024-03-08T14:22:11"/>
    <s v="chbanda@lighthouse.org.mw"/>
    <s v="Chipiliro Banda"/>
    <x v="13"/>
    <s v="COE"/>
    <x v="1"/>
    <s v="COP_23"/>
    <s v="COP_23"/>
    <s v="Quarter1"/>
    <s v="Quarter2"/>
    <s v="Qtr_2"/>
    <x v="5"/>
    <d v="2024-02-01T00:00:00"/>
    <d v="2024-02-29T00:00:00"/>
    <x v="0"/>
    <x v="165"/>
    <n v="142"/>
    <n v="237"/>
    <n v="105"/>
    <n v="78"/>
    <n v="118"/>
    <n v="314"/>
    <n v="152"/>
    <n v="154"/>
    <n v="4"/>
    <n v="3"/>
    <n v="0"/>
    <n v="129"/>
    <n v="12"/>
    <n v="2"/>
    <n v="2"/>
    <n v="0"/>
    <n v="0"/>
    <n v="63"/>
    <n v="8"/>
    <n v="18"/>
    <n v="3"/>
  </r>
  <r>
    <n v="217"/>
    <d v="2024-04-08T11:30:07"/>
    <d v="2024-04-08T11:45:00"/>
    <s v="chbanda@lighthouse.org.mw"/>
    <s v="Chipiliro Banda"/>
    <x v="13"/>
    <s v="COE"/>
    <x v="1"/>
    <s v="COP_23"/>
    <s v="COP_23"/>
    <s v="Quarter1"/>
    <s v="Quarter2"/>
    <s v="Qtr_2"/>
    <x v="3"/>
    <d v="2024-03-01T00:00:00"/>
    <d v="2024-03-31T00:00:00"/>
    <x v="5"/>
    <x v="166"/>
    <n v="0"/>
    <n v="69"/>
    <n v="22"/>
    <n v="5"/>
    <n v="1"/>
    <n v="97"/>
    <n v="23"/>
    <n v="23"/>
    <n v="0"/>
    <n v="0"/>
    <n v="0"/>
    <n v="22"/>
    <n v="1"/>
    <n v="0"/>
    <n v="0"/>
    <n v="0"/>
    <n v="0"/>
    <n v="22"/>
    <n v="2"/>
    <n v="2"/>
    <n v="0"/>
  </r>
  <r>
    <n v="220"/>
    <d v="2024-04-08T11:52:54"/>
    <d v="2024-04-08T11:59:02"/>
    <s v="chbanda@lighthouse.org.mw"/>
    <s v="Chipiliro Banda"/>
    <x v="13"/>
    <s v="COE"/>
    <x v="1"/>
    <s v="COP_23"/>
    <s v="COP_23"/>
    <s v="Quarter1"/>
    <s v="Quarter2"/>
    <s v="Qtr_2"/>
    <x v="3"/>
    <d v="2024-02-29T00:00:00"/>
    <d v="2024-03-31T00:00:00"/>
    <x v="0"/>
    <x v="167"/>
    <n v="0"/>
    <n v="191"/>
    <n v="101"/>
    <n v="28"/>
    <n v="13"/>
    <n v="317"/>
    <n v="77"/>
    <n v="87"/>
    <n v="1"/>
    <n v="2"/>
    <n v="1"/>
    <n v="84"/>
    <n v="3"/>
    <n v="0"/>
    <n v="0"/>
    <n v="0"/>
    <n v="0"/>
    <n v="71"/>
    <n v="9"/>
    <n v="14"/>
    <n v="1"/>
  </r>
  <r>
    <n v="221"/>
    <d v="2024-04-08T11:59:15"/>
    <d v="2024-04-08T12:02:03"/>
    <s v="chbanda@lighthouse.org.mw"/>
    <s v="Chipiliro Banda"/>
    <x v="13"/>
    <s v="COE"/>
    <x v="1"/>
    <s v="COP_23"/>
    <s v="COP_23"/>
    <s v="Quarter1"/>
    <s v="Quarter2"/>
    <s v="Qtr_2"/>
    <x v="3"/>
    <d v="2024-03-01T00:00:00"/>
    <d v="2024-03-31T00:00:00"/>
    <x v="3"/>
    <x v="39"/>
    <n v="0"/>
    <n v="8"/>
    <n v="0"/>
    <n v="0"/>
    <n v="0"/>
    <n v="0"/>
    <n v="0"/>
    <n v="8"/>
    <n v="0"/>
    <n v="0"/>
    <n v="0"/>
    <n v="8"/>
    <n v="0"/>
    <n v="0"/>
    <n v="0"/>
    <n v="0"/>
    <n v="0"/>
    <n v="0"/>
    <n v="0"/>
    <n v="0"/>
    <n v="0"/>
  </r>
  <r>
    <n v="243"/>
    <d v="2024-04-12T14:33:27"/>
    <d v="2024-04-12T14:40:37"/>
    <s v="chbanda@lighthouse.org.mw"/>
    <s v="Chipiliro Banda"/>
    <x v="13"/>
    <s v="COE"/>
    <x v="1"/>
    <s v="COP_23"/>
    <s v="COP_23"/>
    <s v="Quarter1"/>
    <s v="Quarter2"/>
    <s v="Qtr_2"/>
    <x v="3"/>
    <d v="2024-03-01T00:00:00"/>
    <d v="2024-03-31T00:00:00"/>
    <x v="6"/>
    <x v="168"/>
    <n v="154"/>
    <n v="42"/>
    <n v="44"/>
    <n v="51"/>
    <n v="61"/>
    <n v="185"/>
    <n v="74"/>
    <n v="85"/>
    <n v="6"/>
    <n v="5"/>
    <n v="2"/>
    <n v="53"/>
    <n v="6"/>
    <n v="0"/>
    <n v="0"/>
    <n v="0"/>
    <n v="0"/>
    <n v="5"/>
    <n v="3"/>
    <n v="8"/>
    <n v="6"/>
  </r>
  <r>
    <n v="263"/>
    <d v="2024-04-22T10:01:41"/>
    <d v="2024-04-22T10:07:16"/>
    <s v="chbanda@lighthouse.org.mw"/>
    <s v="Chipiliro Banda"/>
    <x v="13"/>
    <s v="COE"/>
    <x v="1"/>
    <s v="COP_23"/>
    <s v="COP_23"/>
    <s v="Quarter1"/>
    <s v="Quarter2"/>
    <s v="Qtr_2"/>
    <x v="5"/>
    <d v="2024-02-01T00:00:00"/>
    <d v="2024-02-29T00:00:00"/>
    <x v="6"/>
    <x v="169"/>
    <n v="142"/>
    <n v="38"/>
    <n v="29"/>
    <n v="44"/>
    <n v="103"/>
    <n v="208"/>
    <n v="71"/>
    <n v="71"/>
    <n v="2"/>
    <n v="0"/>
    <n v="0"/>
    <n v="52"/>
    <n v="8"/>
    <n v="2"/>
    <n v="2"/>
    <n v="2"/>
    <n v="2"/>
    <n v="2"/>
    <n v="2"/>
    <n v="6"/>
    <n v="1"/>
  </r>
  <r>
    <n v="284"/>
    <d v="2024-04-24T09:20:47"/>
    <d v="2024-04-24T09:23:03"/>
    <s v="chbanda@lighthouse.org.mw"/>
    <s v="Chipiliro Banda"/>
    <x v="13"/>
    <s v="COE"/>
    <x v="1"/>
    <s v="COP_23"/>
    <s v="COP_23"/>
    <s v="Quarter1"/>
    <s v="Quarter2"/>
    <s v="Qtr_2"/>
    <x v="5"/>
    <d v="2024-02-01T00:00:00"/>
    <d v="2024-02-29T00:00:00"/>
    <x v="3"/>
    <x v="21"/>
    <m/>
    <n v="0"/>
    <n v="0"/>
    <n v="0"/>
    <n v="0"/>
    <n v="0"/>
    <n v="0"/>
    <n v="0"/>
    <n v="0"/>
    <n v="0"/>
    <n v="0"/>
    <n v="0"/>
    <n v="0"/>
    <n v="0"/>
    <n v="0"/>
    <n v="0"/>
    <n v="0"/>
    <n v="0"/>
    <n v="0"/>
    <n v="0"/>
    <n v="0"/>
  </r>
  <r>
    <n v="286"/>
    <d v="2024-04-24T09:30:28"/>
    <d v="2024-04-24T09:38:00"/>
    <s v="chbanda@lighthouse.org.mw"/>
    <s v="Chipiliro Banda"/>
    <x v="13"/>
    <s v="COE"/>
    <x v="1"/>
    <s v="COP_23"/>
    <s v="COP_23"/>
    <s v="Quarter1"/>
    <s v="Quarter2"/>
    <s v="Qtr_2"/>
    <x v="5"/>
    <d v="2024-02-01T00:00:00"/>
    <d v="2024-02-29T00:00:00"/>
    <x v="5"/>
    <x v="170"/>
    <n v="0"/>
    <n v="64"/>
    <n v="23"/>
    <n v="5"/>
    <n v="3"/>
    <n v="95"/>
    <n v="23"/>
    <n v="23"/>
    <n v="1"/>
    <n v="0"/>
    <n v="0"/>
    <n v="22"/>
    <n v="0"/>
    <n v="0"/>
    <n v="0"/>
    <n v="0"/>
    <n v="0"/>
    <n v="21"/>
    <n v="1"/>
    <n v="1"/>
    <n v="0"/>
  </r>
  <r>
    <n v="289"/>
    <d v="2024-04-24T09:55:51"/>
    <d v="2024-04-24T10:19:54"/>
    <s v="chbanda@lighthouse.org.mw"/>
    <s v="Chipiliro Banda"/>
    <x v="13"/>
    <s v="COE"/>
    <x v="1"/>
    <s v="COP_23"/>
    <s v="COP_23"/>
    <s v="Quarter1"/>
    <s v="Quarter2"/>
    <s v="Qtr_2"/>
    <x v="3"/>
    <d v="2024-03-01T00:00:00"/>
    <d v="2024-03-31T00:00:00"/>
    <x v="4"/>
    <x v="39"/>
    <n v="0"/>
    <n v="7"/>
    <n v="1"/>
    <n v="0"/>
    <n v="0"/>
    <n v="8"/>
    <n v="2"/>
    <n v="0"/>
    <n v="0"/>
    <n v="0"/>
    <n v="0"/>
    <n v="2"/>
    <n v="0"/>
    <n v="0"/>
    <n v="0"/>
    <n v="0"/>
    <n v="0"/>
    <n v="2"/>
    <n v="0"/>
    <n v="0"/>
    <n v="0"/>
  </r>
  <r>
    <n v="290"/>
    <d v="2024-04-24T10:21:24"/>
    <d v="2024-04-24T10:23:00"/>
    <s v="chbanda@lighthouse.org.mw"/>
    <s v="Chipiliro Banda"/>
    <x v="13"/>
    <s v="COE"/>
    <x v="1"/>
    <s v="COP_23"/>
    <s v="COP_23"/>
    <s v="Quarter1"/>
    <s v="Quarter2"/>
    <s v="Qtr_2"/>
    <x v="4"/>
    <d v="2024-01-01T00:00:00"/>
    <d v="2024-01-31T00:00:00"/>
    <x v="4"/>
    <x v="61"/>
    <n v="0"/>
    <n v="13"/>
    <n v="4"/>
    <n v="2"/>
    <n v="0"/>
    <n v="19"/>
    <n v="3"/>
    <n v="2"/>
    <n v="0"/>
    <n v="0"/>
    <n v="0"/>
    <n v="2"/>
    <n v="0"/>
    <n v="0"/>
    <n v="0"/>
    <n v="0"/>
    <n v="0"/>
    <n v="2"/>
    <n v="0"/>
    <n v="0"/>
    <n v="0"/>
  </r>
  <r>
    <n v="295"/>
    <d v="2024-04-24T10:52:46"/>
    <d v="2024-04-24T10:55:03"/>
    <s v="chbanda@lighthouse.org.mw"/>
    <s v="Chipiliro Banda"/>
    <x v="13"/>
    <s v="COE"/>
    <x v="1"/>
    <s v="COP_23"/>
    <s v="COP_23"/>
    <s v="Quarter1"/>
    <s v="Quarter2"/>
    <s v="Qtr_2"/>
    <x v="5"/>
    <d v="2024-01-01T00:00:00"/>
    <d v="2024-01-31T00:00:00"/>
    <x v="4"/>
    <x v="61"/>
    <n v="0"/>
    <n v="13"/>
    <n v="4"/>
    <n v="2"/>
    <n v="0"/>
    <n v="19"/>
    <n v="3"/>
    <n v="0"/>
    <n v="0"/>
    <n v="0"/>
    <n v="0"/>
    <n v="2"/>
    <n v="0"/>
    <n v="0"/>
    <n v="0"/>
    <n v="0"/>
    <n v="0"/>
    <n v="2"/>
    <n v="0"/>
    <n v="0"/>
    <n v="0"/>
  </r>
  <r>
    <n v="403"/>
    <d v="2024-05-15T09:47:58"/>
    <d v="2024-05-15T10:02:34"/>
    <s v="chbanda@lighthouse.org.mw"/>
    <s v="Chipiliro Banda"/>
    <x v="13"/>
    <s v="COE"/>
    <x v="1"/>
    <s v="COP_24"/>
    <s v="COP_23"/>
    <s v="Quarter2"/>
    <s v="Quarter3"/>
    <s v="Qtr_3"/>
    <x v="7"/>
    <d v="2024-04-01T00:00:00"/>
    <d v="2024-04-30T00:00:00"/>
    <x v="0"/>
    <x v="171"/>
    <n v="0"/>
    <n v="208"/>
    <n v="55"/>
    <n v="18"/>
    <n v="8"/>
    <n v="256"/>
    <n v="69"/>
    <n v="101"/>
    <n v="2"/>
    <n v="12"/>
    <n v="1"/>
    <n v="23"/>
    <n v="1"/>
    <n v="0"/>
    <n v="0"/>
    <n v="0"/>
    <n v="0"/>
    <n v="66"/>
    <n v="10"/>
    <n v="13"/>
    <n v="0"/>
  </r>
  <r>
    <n v="405"/>
    <d v="2024-05-15T10:13:41"/>
    <d v="2024-05-15T10:16:22"/>
    <s v="chbanda@lighthouse.org.mw"/>
    <s v="Chipiliro Banda"/>
    <x v="13"/>
    <s v="COE"/>
    <x v="1"/>
    <s v="COP_24"/>
    <s v="COP_23"/>
    <s v="Quarter2"/>
    <s v="Quarter3"/>
    <s v="Qtr_3"/>
    <x v="7"/>
    <d v="2024-04-01T00:00:00"/>
    <d v="2024-04-30T00:00:00"/>
    <x v="5"/>
    <x v="155"/>
    <n v="0"/>
    <n v="81"/>
    <n v="18"/>
    <n v="3"/>
    <n v="0"/>
    <n v="92"/>
    <n v="20"/>
    <n v="20"/>
    <n v="0"/>
    <n v="0"/>
    <n v="0"/>
    <n v="20"/>
    <n v="2"/>
    <n v="0"/>
    <n v="0"/>
    <n v="0"/>
    <n v="0"/>
    <n v="15"/>
    <n v="2"/>
    <n v="2"/>
    <n v="0"/>
  </r>
  <r>
    <n v="463"/>
    <d v="2024-05-27T11:14:02"/>
    <d v="2024-05-27T11:59:23"/>
    <s v="chbanda@lighthouse.org.mw"/>
    <s v="Chipiliro Banda"/>
    <x v="13"/>
    <s v="COE"/>
    <x v="1"/>
    <s v="COP_24"/>
    <s v="COP_23"/>
    <s v="Quarter2"/>
    <s v="Quarter3"/>
    <s v="Qtr_3"/>
    <x v="7"/>
    <d v="2024-04-01T00:00:00"/>
    <d v="2024-04-30T00:00:00"/>
    <x v="3"/>
    <x v="54"/>
    <n v="0"/>
    <n v="3"/>
    <n v="0"/>
    <n v="0"/>
    <n v="0"/>
    <n v="0"/>
    <n v="0"/>
    <n v="0"/>
    <n v="0"/>
    <n v="0"/>
    <n v="0"/>
    <n v="3"/>
    <n v="1"/>
    <n v="0"/>
    <n v="0"/>
    <n v="0"/>
    <n v="0"/>
    <n v="0"/>
    <n v="0"/>
    <n v="1"/>
    <n v="0"/>
  </r>
  <r>
    <n v="464"/>
    <d v="2024-05-27T12:02:24"/>
    <d v="2024-05-27T12:04:00"/>
    <s v="chbanda@lighthouse.org.mw"/>
    <s v="Chipiliro Banda"/>
    <x v="13"/>
    <s v="COE"/>
    <x v="1"/>
    <s v="COP_24"/>
    <s v="COP_23"/>
    <s v="Quarter2"/>
    <s v="Quarter3"/>
    <s v="Qtr_3"/>
    <x v="7"/>
    <d v="2024-04-01T00:00:00"/>
    <d v="2024-04-30T00:00:00"/>
    <x v="4"/>
    <x v="42"/>
    <n v="0"/>
    <n v="12"/>
    <n v="1"/>
    <n v="1"/>
    <n v="0"/>
    <n v="13"/>
    <n v="0"/>
    <n v="0"/>
    <n v="0"/>
    <n v="0"/>
    <n v="0"/>
    <n v="0"/>
    <n v="0"/>
    <n v="0"/>
    <n v="0"/>
    <n v="0"/>
    <n v="0"/>
    <n v="0"/>
    <n v="0"/>
    <n v="0"/>
    <n v="0"/>
  </r>
  <r>
    <n v="547"/>
    <d v="2024-06-12T08:27:35"/>
    <d v="2024-06-12T08:32:55"/>
    <s v="chbanda@lighthouse.org.mw"/>
    <s v="Chipiliro Banda"/>
    <x v="13"/>
    <s v="COE"/>
    <x v="1"/>
    <s v="COP_24"/>
    <s v="COP_23"/>
    <s v="Quarter2"/>
    <s v="Quarter3"/>
    <s v="Qtr_3"/>
    <x v="6"/>
    <d v="2024-05-01T00:00:00"/>
    <d v="2024-05-31T00:00:00"/>
    <x v="0"/>
    <x v="172"/>
    <n v="0"/>
    <n v="214"/>
    <n v="56"/>
    <n v="33"/>
    <n v="12"/>
    <n v="303"/>
    <n v="86"/>
    <n v="1"/>
    <n v="0"/>
    <n v="0"/>
    <n v="0"/>
    <n v="6"/>
    <n v="0"/>
    <n v="0"/>
    <n v="0"/>
    <n v="0"/>
    <n v="0"/>
    <n v="86"/>
    <n v="15"/>
    <n v="15"/>
    <n v="0"/>
  </r>
  <r>
    <n v="548"/>
    <d v="2024-06-12T08:33:45"/>
    <d v="2024-06-12T08:35:33"/>
    <s v="chbanda@lighthouse.org.mw"/>
    <s v="Chipiliro Banda"/>
    <x v="13"/>
    <s v="COE"/>
    <x v="1"/>
    <s v="COP_24"/>
    <s v="COP_23"/>
    <s v="Quarter2"/>
    <s v="Quarter3"/>
    <s v="Qtr_3"/>
    <x v="6"/>
    <d v="2024-05-01T00:00:00"/>
    <d v="2024-05-31T00:00:00"/>
    <x v="3"/>
    <x v="39"/>
    <n v="0"/>
    <n v="4"/>
    <n v="3"/>
    <n v="1"/>
    <n v="0"/>
    <n v="2"/>
    <n v="2"/>
    <n v="0"/>
    <n v="0"/>
    <n v="0"/>
    <n v="0"/>
    <n v="5"/>
    <n v="0"/>
    <n v="0"/>
    <n v="0"/>
    <n v="0"/>
    <n v="0"/>
    <n v="0"/>
    <n v="0"/>
    <n v="0"/>
    <n v="0"/>
  </r>
  <r>
    <n v="549"/>
    <d v="2024-06-12T09:06:06"/>
    <d v="2024-06-12T09:09:34"/>
    <s v="chbanda@lighthouse.org.mw"/>
    <s v="Chipiliro Banda"/>
    <x v="13"/>
    <s v="COE"/>
    <x v="1"/>
    <s v="COP_24"/>
    <s v="COP_23"/>
    <s v="Quarter2"/>
    <s v="Quarter3"/>
    <s v="Qtr_3"/>
    <x v="6"/>
    <d v="2024-05-01T00:00:00"/>
    <d v="2024-05-31T00:00:00"/>
    <x v="4"/>
    <x v="44"/>
    <n v="0"/>
    <n v="11"/>
    <n v="2"/>
    <n v="2"/>
    <n v="1"/>
    <n v="14"/>
    <n v="3"/>
    <n v="4"/>
    <n v="0"/>
    <n v="0"/>
    <n v="0"/>
    <n v="1"/>
    <n v="0"/>
    <n v="0"/>
    <n v="0"/>
    <n v="0"/>
    <n v="0"/>
    <n v="0"/>
    <n v="4"/>
    <n v="0"/>
    <n v="0"/>
  </r>
  <r>
    <n v="552"/>
    <d v="2024-06-12T09:54:22"/>
    <d v="2024-06-12T10:17:31"/>
    <s v="chbanda@lighthouse.org.mw"/>
    <s v="Chipiliro Banda"/>
    <x v="13"/>
    <s v="COE"/>
    <x v="1"/>
    <s v="COP_24"/>
    <s v="COP_23"/>
    <s v="Quarter2"/>
    <s v="Quarter3"/>
    <s v="Qtr_3"/>
    <x v="6"/>
    <d v="2024-05-01T00:00:00"/>
    <d v="2024-05-31T00:00:00"/>
    <x v="5"/>
    <x v="122"/>
    <n v="0"/>
    <n v="71"/>
    <n v="20"/>
    <n v="4"/>
    <n v="3"/>
    <n v="96"/>
    <n v="29"/>
    <n v="29"/>
    <n v="0"/>
    <n v="0"/>
    <n v="0"/>
    <n v="0"/>
    <n v="0"/>
    <n v="0"/>
    <n v="0"/>
    <n v="0"/>
    <n v="0"/>
    <n v="31"/>
    <n v="4"/>
    <n v="4"/>
    <n v="0"/>
  </r>
  <r>
    <n v="553"/>
    <d v="2024-06-14T09:54:26"/>
    <d v="2024-06-14T09:56:31"/>
    <s v="chbanda@lighthouse.org.mw"/>
    <s v="Chipiliro Banda"/>
    <x v="13"/>
    <s v="COE"/>
    <x v="1"/>
    <s v="COP_24"/>
    <s v="COP_23"/>
    <s v="Quarter2"/>
    <s v="Quarter3"/>
    <s v="Qtr_3"/>
    <x v="6"/>
    <d v="2024-05-01T00:00:00"/>
    <d v="2024-05-31T00:00:00"/>
    <x v="6"/>
    <x v="173"/>
    <n v="166"/>
    <n v="29"/>
    <n v="56"/>
    <n v="44"/>
    <n v="58"/>
    <n v="184"/>
    <n v="80"/>
    <n v="0"/>
    <n v="0"/>
    <n v="0"/>
    <n v="0"/>
    <n v="0"/>
    <n v="0"/>
    <n v="0"/>
    <n v="0"/>
    <n v="0"/>
    <n v="0"/>
    <n v="0"/>
    <n v="0"/>
    <n v="0"/>
    <n v="8"/>
  </r>
  <r>
    <n v="646"/>
    <d v="2024-07-18T09:11:19"/>
    <d v="2024-07-18T09:17:16"/>
    <s v="chbanda@lighthouse.org.mw"/>
    <s v="Chipiliro Banda"/>
    <x v="13"/>
    <s v="COE"/>
    <x v="1"/>
    <s v="COP_24"/>
    <s v="COP_23"/>
    <s v="Quarter2"/>
    <s v="Quarter3"/>
    <s v="Qtr_3"/>
    <x v="8"/>
    <d v="2024-06-01T00:00:00"/>
    <d v="2024-06-30T00:00:00"/>
    <x v="6"/>
    <x v="174"/>
    <n v="135"/>
    <n v="38"/>
    <n v="48"/>
    <n v="26"/>
    <n v="52"/>
    <n v="170"/>
    <n v="80"/>
    <n v="0"/>
    <n v="0"/>
    <n v="0"/>
    <n v="0"/>
    <n v="0"/>
    <n v="0"/>
    <n v="0"/>
    <n v="0"/>
    <n v="0"/>
    <n v="0"/>
    <n v="0"/>
    <n v="0"/>
    <n v="5"/>
    <n v="20"/>
  </r>
  <r>
    <n v="647"/>
    <d v="2024-07-18T12:18:03"/>
    <d v="2024-07-18T12:20:40"/>
    <s v="chbanda@lighthouse.org.mw"/>
    <s v="Chipiliro Banda"/>
    <x v="13"/>
    <s v="COE"/>
    <x v="1"/>
    <s v="COP_24"/>
    <s v="COP_23"/>
    <s v="Quarter2"/>
    <s v="Quarter3"/>
    <s v="Qtr_3"/>
    <x v="8"/>
    <d v="2024-06-01T00:00:00"/>
    <d v="2024-06-30T00:00:00"/>
    <x v="0"/>
    <x v="175"/>
    <n v="135"/>
    <n v="223"/>
    <n v="97"/>
    <n v="53"/>
    <n v="80"/>
    <n v="2"/>
    <n v="159"/>
    <n v="165"/>
    <n v="8"/>
    <n v="1"/>
    <n v="1"/>
    <n v="0"/>
    <n v="0"/>
    <n v="0"/>
    <n v="0"/>
    <n v="0"/>
    <n v="0"/>
    <n v="79"/>
    <n v="12"/>
    <n v="17"/>
    <n v="20"/>
  </r>
  <r>
    <n v="648"/>
    <d v="2024-07-18T13:43:22"/>
    <d v="2024-07-18T13:43:31"/>
    <s v="chbanda@lighthouse.org.mw"/>
    <s v="Chipiliro Banda"/>
    <x v="13"/>
    <s v="COE"/>
    <x v="1"/>
    <s v="COP_24"/>
    <s v="COP_23"/>
    <s v="Quarter2"/>
    <s v="Quarter3"/>
    <s v="Qtr_3"/>
    <x v="8"/>
    <d v="2024-06-01T00:00:00"/>
    <d v="2024-06-30T00:00:00"/>
    <x v="5"/>
    <x v="22"/>
    <n v="0"/>
    <n v="93"/>
    <n v="21"/>
    <n v="7"/>
    <n v="2"/>
    <n v="122"/>
    <n v="32"/>
    <n v="32"/>
    <n v="1"/>
    <n v="0"/>
    <n v="0"/>
    <n v="0"/>
    <n v="0"/>
    <n v="0"/>
    <n v="0"/>
    <n v="0"/>
    <n v="0"/>
    <n v="33"/>
    <n v="2"/>
    <n v="2"/>
    <n v="0"/>
  </r>
  <r>
    <n v="649"/>
    <d v="2024-07-18T13:43:36"/>
    <d v="2024-07-18T13:45:26"/>
    <s v="chbanda@lighthouse.org.mw"/>
    <s v="Chipiliro Banda"/>
    <x v="13"/>
    <s v="COE"/>
    <x v="1"/>
    <s v="COP_24"/>
    <s v="COP_23"/>
    <s v="Quarter2"/>
    <s v="Quarter3"/>
    <s v="Qtr_3"/>
    <x v="8"/>
    <d v="2024-06-01T00:00:00"/>
    <d v="2024-06-30T00:00:00"/>
    <x v="4"/>
    <x v="17"/>
    <n v="0"/>
    <n v="15"/>
    <n v="5"/>
    <n v="1"/>
    <n v="2"/>
    <n v="23"/>
    <n v="3"/>
    <n v="3"/>
    <n v="0"/>
    <n v="0"/>
    <n v="0"/>
    <n v="0"/>
    <n v="0"/>
    <n v="0"/>
    <n v="0"/>
    <n v="0"/>
    <n v="0"/>
    <n v="3"/>
    <n v="0"/>
    <n v="0"/>
    <n v="0"/>
  </r>
  <r>
    <n v="650"/>
    <d v="2024-07-18T13:45:29"/>
    <d v="2024-07-18T13:47:01"/>
    <s v="chbanda@lighthouse.org.mw"/>
    <s v="Chipiliro Banda"/>
    <x v="13"/>
    <s v="COE"/>
    <x v="1"/>
    <s v="COP_24"/>
    <s v="COP_23"/>
    <s v="Quarter2"/>
    <s v="Quarter3"/>
    <s v="Qtr_3"/>
    <x v="8"/>
    <d v="2024-06-01T00:00:00"/>
    <d v="2024-06-30T00:00:00"/>
    <x v="3"/>
    <x v="49"/>
    <n v="1"/>
    <n v="0"/>
    <n v="1"/>
    <n v="0"/>
    <n v="0"/>
    <n v="0"/>
    <n v="0"/>
    <n v="1"/>
    <n v="0"/>
    <n v="0"/>
    <n v="0"/>
    <n v="0"/>
    <n v="0"/>
    <n v="0"/>
    <n v="0"/>
    <n v="0"/>
    <n v="0"/>
    <n v="0"/>
    <n v="0"/>
    <n v="0"/>
    <n v="0"/>
  </r>
  <r>
    <n v="780"/>
    <d v="2024-08-19T18:02:29"/>
    <d v="2024-08-19T18:07:22"/>
    <s v="anhlema@lighthouse.org.mw"/>
    <s v="Angelina Nhlema"/>
    <x v="13"/>
    <s v="COE"/>
    <x v="1"/>
    <s v="COP_24"/>
    <s v="COP_23"/>
    <s v="Quarter2"/>
    <s v="Quarter3"/>
    <s v="Qtr_3"/>
    <x v="7"/>
    <d v="2024-04-01T00:00:00"/>
    <d v="2024-04-30T00:00:00"/>
    <x v="6"/>
    <x v="176"/>
    <n v="26"/>
    <n v="43"/>
    <n v="44"/>
    <n v="30"/>
    <n v="26"/>
    <n v="133"/>
    <n v="40"/>
    <n v="48"/>
    <n v="3"/>
    <n v="0"/>
    <n v="0"/>
    <n v="14"/>
    <n v="0"/>
    <n v="0"/>
    <n v="0"/>
    <n v="0"/>
    <n v="0"/>
    <n v="0"/>
    <n v="0"/>
    <n v="0"/>
    <n v="0"/>
  </r>
  <r>
    <n v="968"/>
    <d v="2024-10-21T11:17:06"/>
    <d v="2024-10-21T11:18:35"/>
    <s v="chbanda@lighthouse.org.mw"/>
    <s v="Chipiliro Banda"/>
    <x v="13"/>
    <s v="COE"/>
    <x v="1"/>
    <s v="COP_23"/>
    <s v="COP_23"/>
    <s v="Quarter3"/>
    <s v="Quarter4"/>
    <s v="Qtr_4"/>
    <x v="10"/>
    <d v="2024-08-01T00:00:00"/>
    <d v="2024-08-31T00:00:00"/>
    <x v="6"/>
    <x v="132"/>
    <n v="102"/>
    <n v="11"/>
    <n v="47"/>
    <n v="36"/>
    <n v="22"/>
    <n v="113"/>
    <n v="54"/>
    <n v="58"/>
    <n v="4"/>
    <n v="1"/>
    <n v="0"/>
    <n v="4"/>
    <n v="1"/>
    <n v="0"/>
    <n v="0"/>
    <n v="0"/>
    <n v="0"/>
    <n v="1"/>
    <n v="0"/>
    <n v="2"/>
    <n v="1"/>
  </r>
  <r>
    <n v="969"/>
    <d v="2024-10-21T11:21:06"/>
    <d v="2024-10-21T11:29:17"/>
    <s v="chbanda@lighthouse.org.mw"/>
    <s v="Chipiliro Banda"/>
    <x v="13"/>
    <s v="COE"/>
    <x v="1"/>
    <s v="COP_23"/>
    <s v="COP_23"/>
    <s v="Quarter3"/>
    <s v="Quarter4"/>
    <s v="Qtr_4"/>
    <x v="10"/>
    <d v="2024-08-01T00:00:00"/>
    <d v="2024-08-31T00:00:00"/>
    <x v="0"/>
    <x v="177"/>
    <n v="107"/>
    <n v="159"/>
    <n v="103"/>
    <n v="70"/>
    <n v="45"/>
    <n v="367"/>
    <n v="120"/>
    <n v="132"/>
    <n v="8"/>
    <n v="1"/>
    <n v="0"/>
    <n v="25"/>
    <n v="1"/>
    <n v="0"/>
    <n v="0"/>
    <n v="0"/>
    <n v="0"/>
    <n v="63"/>
    <n v="14"/>
    <n v="16"/>
    <n v="1"/>
  </r>
  <r>
    <n v="972"/>
    <d v="2024-10-21T11:54:58"/>
    <d v="2024-10-21T11:56:38"/>
    <s v="chbanda@lighthouse.org.mw"/>
    <s v="Chipiliro Banda"/>
    <x v="13"/>
    <s v="COE"/>
    <x v="1"/>
    <s v="COP_23"/>
    <s v="COP_23"/>
    <s v="Quarter3"/>
    <s v="Quarter4"/>
    <s v="Qtr_4"/>
    <x v="10"/>
    <d v="2024-08-01T00:00:00"/>
    <d v="2024-08-31T00:00:00"/>
    <x v="3"/>
    <x v="20"/>
    <n v="0"/>
    <n v="0"/>
    <n v="2"/>
    <n v="0"/>
    <n v="0"/>
    <n v="0"/>
    <n v="0"/>
    <n v="2"/>
    <n v="0"/>
    <n v="0"/>
    <n v="0"/>
    <n v="0"/>
    <n v="0"/>
    <n v="0"/>
    <n v="0"/>
    <n v="0"/>
    <n v="0"/>
    <n v="0"/>
    <n v="0"/>
    <n v="0"/>
    <n v="0"/>
  </r>
  <r>
    <n v="973"/>
    <d v="2024-10-21T12:00:06"/>
    <d v="2024-10-21T12:02:27"/>
    <s v="chbanda@lighthouse.org.mw"/>
    <s v="Chipiliro Banda"/>
    <x v="13"/>
    <s v="COE"/>
    <x v="1"/>
    <s v="COP_23"/>
    <s v="COP_23"/>
    <s v="Quarter3"/>
    <s v="Quarter4"/>
    <s v="Qtr_4"/>
    <x v="10"/>
    <d v="2024-08-01T00:00:00"/>
    <d v="2024-08-31T00:00:00"/>
    <x v="4"/>
    <x v="29"/>
    <n v="0"/>
    <n v="7"/>
    <n v="4"/>
    <n v="1"/>
    <n v="0"/>
    <n v="12"/>
    <n v="3"/>
    <n v="0"/>
    <n v="0"/>
    <n v="0"/>
    <n v="0"/>
    <n v="0"/>
    <n v="0"/>
    <n v="0"/>
    <n v="0"/>
    <n v="0"/>
    <n v="0"/>
    <n v="0"/>
    <n v="0"/>
    <n v="0"/>
    <n v="0"/>
  </r>
  <r>
    <n v="974"/>
    <d v="2024-10-21T12:26:11"/>
    <d v="2024-10-21T12:26:18"/>
    <s v="chbanda@lighthouse.org.mw"/>
    <s v="Chipiliro Banda"/>
    <x v="13"/>
    <s v="COE"/>
    <x v="1"/>
    <s v="COP_23"/>
    <s v="COP_23"/>
    <s v="Quarter3"/>
    <s v="Quarter4"/>
    <s v="Qtr_4"/>
    <x v="10"/>
    <d v="2024-08-01T00:00:00"/>
    <d v="2024-08-31T00:00:00"/>
    <x v="5"/>
    <x v="66"/>
    <n v="0"/>
    <n v="66"/>
    <n v="14"/>
    <n v="2"/>
    <n v="0"/>
    <n v="81"/>
    <n v="18"/>
    <n v="18"/>
    <n v="0"/>
    <n v="0"/>
    <n v="0"/>
    <n v="7"/>
    <n v="0"/>
    <n v="0"/>
    <n v="0"/>
    <n v="0"/>
    <n v="0"/>
    <n v="18"/>
    <n v="2"/>
    <n v="2"/>
    <n v="0"/>
  </r>
  <r>
    <n v="981"/>
    <d v="2024-10-23T13:08:08"/>
    <d v="2024-10-23T13:21:44"/>
    <s v="chbanda@lighthouse.org.mw"/>
    <s v="Chipiliro Banda"/>
    <x v="13"/>
    <s v="COE"/>
    <x v="1"/>
    <s v="COP_23"/>
    <s v="COP_23"/>
    <s v="Quarter3"/>
    <s v="Quarter4"/>
    <s v="Qtr_4"/>
    <x v="9"/>
    <d v="2024-07-01T00:00:00"/>
    <d v="2024-07-31T00:00:00"/>
    <x v="0"/>
    <x v="178"/>
    <n v="157"/>
    <n v="309"/>
    <n v="116"/>
    <n v="67"/>
    <n v="65"/>
    <n v="534"/>
    <n v="168"/>
    <n v="189"/>
    <n v="5"/>
    <n v="0"/>
    <n v="0"/>
    <n v="0"/>
    <n v="0"/>
    <n v="0"/>
    <n v="0"/>
    <n v="0"/>
    <n v="0"/>
    <n v="79"/>
    <n v="7"/>
    <n v="12"/>
    <n v="0"/>
  </r>
  <r>
    <n v="983"/>
    <d v="2024-10-23T14:15:47"/>
    <d v="2024-10-23T14:16:26"/>
    <s v="chbanda@lighthouse.org.mw"/>
    <s v="Chipiliro Banda"/>
    <x v="13"/>
    <s v="COE"/>
    <x v="1"/>
    <s v="COP_23"/>
    <s v="COP_23"/>
    <s v="Quarter3"/>
    <s v="Quarter4"/>
    <s v="Qtr_4"/>
    <x v="9"/>
    <d v="2024-07-01T00:00:00"/>
    <d v="2024-07-31T00:00:00"/>
    <x v="5"/>
    <x v="102"/>
    <n v="0"/>
    <n v="125"/>
    <n v="18"/>
    <n v="4"/>
    <n v="1"/>
    <n v="128"/>
    <n v="30"/>
    <n v="41"/>
    <n v="1"/>
    <n v="0"/>
    <n v="0"/>
    <n v="0"/>
    <n v="0"/>
    <n v="0"/>
    <n v="0"/>
    <n v="0"/>
    <n v="0"/>
    <n v="28"/>
    <n v="5"/>
    <n v="5"/>
    <n v="0"/>
  </r>
  <r>
    <n v="984"/>
    <d v="2024-10-23T14:16:32"/>
    <d v="2024-10-23T14:18:44"/>
    <s v="chbanda@lighthouse.org.mw"/>
    <s v="Chipiliro Banda"/>
    <x v="13"/>
    <s v="COE"/>
    <x v="1"/>
    <s v="COP_23"/>
    <s v="COP_23"/>
    <s v="Quarter3"/>
    <s v="Quarter4"/>
    <s v="Qtr_4"/>
    <x v="9"/>
    <d v="2024-07-01T00:00:00"/>
    <d v="2024-07-31T00:00:00"/>
    <x v="4"/>
    <x v="17"/>
    <n v="0"/>
    <n v="18"/>
    <n v="1"/>
    <n v="4"/>
    <n v="0"/>
    <n v="20"/>
    <n v="4"/>
    <n v="7"/>
    <n v="0"/>
    <n v="0"/>
    <n v="0"/>
    <n v="0"/>
    <n v="0"/>
    <n v="0"/>
    <n v="0"/>
    <n v="0"/>
    <n v="0"/>
    <n v="4"/>
    <n v="0"/>
    <n v="0"/>
    <n v="0"/>
  </r>
  <r>
    <n v="989"/>
    <d v="2024-10-24T15:22:21"/>
    <d v="2024-10-24T15:23:54"/>
    <s v="chbanda@lighthouse.org.mw"/>
    <s v="Chipiliro Banda"/>
    <x v="13"/>
    <s v="COE"/>
    <x v="1"/>
    <s v="COP_23"/>
    <s v="COP_23"/>
    <s v="Quarter3"/>
    <s v="Quarter4"/>
    <s v="Qtr_4"/>
    <x v="2"/>
    <d v="2024-09-01T00:00:00"/>
    <d v="2024-09-30T00:00:00"/>
    <x v="4"/>
    <x v="51"/>
    <n v="0"/>
    <n v="8"/>
    <n v="4"/>
    <n v="5"/>
    <n v="0"/>
    <n v="17"/>
    <n v="4"/>
    <n v="4"/>
    <n v="0"/>
    <n v="0"/>
    <n v="0"/>
    <n v="4"/>
    <n v="0"/>
    <n v="0"/>
    <n v="0"/>
    <n v="0"/>
    <n v="0"/>
    <n v="3"/>
    <n v="0"/>
    <n v="0"/>
    <n v="0"/>
  </r>
  <r>
    <n v="991"/>
    <d v="2024-10-24T15:26:15"/>
    <d v="2024-10-24T15:28:17"/>
    <s v="chbanda@lighthouse.org.mw"/>
    <s v="Chipiliro Banda"/>
    <x v="13"/>
    <s v="COE"/>
    <x v="1"/>
    <s v="COP_23"/>
    <s v="COP_23"/>
    <s v="Quarter3"/>
    <s v="Quarter4"/>
    <s v="Qtr_4"/>
    <x v="2"/>
    <d v="2024-09-01T00:00:00"/>
    <d v="2024-09-30T00:00:00"/>
    <x v="5"/>
    <x v="179"/>
    <n v="0"/>
    <n v="77"/>
    <n v="11"/>
    <n v="3"/>
    <n v="0"/>
    <n v="91"/>
    <n v="19"/>
    <n v="19"/>
    <n v="1"/>
    <n v="1"/>
    <n v="0"/>
    <n v="19"/>
    <n v="1"/>
    <n v="0"/>
    <n v="0"/>
    <n v="0"/>
    <n v="0"/>
    <n v="19"/>
    <n v="1"/>
    <n v="1"/>
    <n v="0"/>
  </r>
  <r>
    <n v="992"/>
    <d v="2024-10-24T15:28:47"/>
    <d v="2024-10-24T15:29:55"/>
    <s v="chbanda@lighthouse.org.mw"/>
    <s v="Chipiliro Banda"/>
    <x v="13"/>
    <s v="COE"/>
    <x v="1"/>
    <s v="COP_23"/>
    <s v="COP_23"/>
    <s v="Quarter3"/>
    <s v="Quarter4"/>
    <s v="Qtr_4"/>
    <x v="2"/>
    <d v="2024-09-01T00:00:00"/>
    <d v="2024-09-30T00:00:00"/>
    <x v="3"/>
    <x v="18"/>
    <n v="0"/>
    <n v="0"/>
    <n v="0"/>
    <n v="1"/>
    <n v="0"/>
    <n v="0"/>
    <n v="0"/>
    <n v="1"/>
    <n v="0"/>
    <n v="0"/>
    <n v="0"/>
    <n v="0"/>
    <n v="0"/>
    <n v="0"/>
    <n v="0"/>
    <n v="0"/>
    <n v="0"/>
    <n v="0"/>
    <n v="0"/>
    <n v="0"/>
    <n v="0"/>
  </r>
  <r>
    <n v="993"/>
    <d v="2024-10-24T15:30:44"/>
    <d v="2024-10-24T15:32:36"/>
    <s v="chbanda@lighthouse.org.mw"/>
    <s v="Chipiliro Banda"/>
    <x v="13"/>
    <s v="COE"/>
    <x v="1"/>
    <s v="COP_23"/>
    <s v="COP_23"/>
    <s v="Quarter3"/>
    <s v="Quarter4"/>
    <s v="Qtr_4"/>
    <x v="9"/>
    <d v="2024-07-01T00:00:00"/>
    <d v="2024-07-31T00:00:00"/>
    <x v="6"/>
    <x v="180"/>
    <n v="157"/>
    <n v="41"/>
    <n v="67"/>
    <n v="39"/>
    <n v="49"/>
    <n v="196"/>
    <n v="80"/>
    <n v="78"/>
    <n v="2"/>
    <n v="0"/>
    <n v="0"/>
    <n v="0"/>
    <n v="0"/>
    <n v="0"/>
    <n v="0"/>
    <n v="0"/>
    <n v="0"/>
    <n v="0"/>
    <n v="0"/>
    <n v="5"/>
    <n v="0"/>
  </r>
  <r>
    <n v="996"/>
    <d v="2024-10-30T13:19:25"/>
    <d v="2024-10-30T13:21:38"/>
    <s v="chbanda@lighthouse.org.mw"/>
    <s v="Chipiliro Banda"/>
    <x v="13"/>
    <s v="COE"/>
    <x v="1"/>
    <s v="COP_23"/>
    <s v="COP_23"/>
    <s v="Quarter3"/>
    <s v="Quarter4"/>
    <s v="Qtr_4"/>
    <x v="9"/>
    <d v="2024-07-01T00:00:00"/>
    <d v="2024-07-31T00:00:00"/>
    <x v="3"/>
    <x v="53"/>
    <n v="0"/>
    <n v="15"/>
    <n v="2"/>
    <n v="2"/>
    <n v="1"/>
    <n v="0"/>
    <n v="0"/>
    <n v="20"/>
    <n v="0"/>
    <n v="0"/>
    <n v="0"/>
    <n v="0"/>
    <n v="0"/>
    <n v="0"/>
    <n v="0"/>
    <n v="0"/>
    <n v="0"/>
    <n v="0"/>
    <n v="0"/>
    <n v="0"/>
    <n v="0"/>
  </r>
  <r>
    <n v="998"/>
    <d v="2024-10-30T13:32:22"/>
    <d v="2024-10-30T13:36:06"/>
    <s v="chbanda@lighthouse.org.mw"/>
    <s v="Chipiliro Banda"/>
    <x v="13"/>
    <s v="COE"/>
    <x v="1"/>
    <s v="COP_23"/>
    <s v="COP_23"/>
    <s v="Quarter3"/>
    <s v="Quarter4"/>
    <s v="Qtr_4"/>
    <x v="2"/>
    <d v="2024-09-01T00:00:00"/>
    <d v="2024-09-30T00:00:00"/>
    <x v="6"/>
    <x v="148"/>
    <n v="118"/>
    <n v="29"/>
    <n v="59"/>
    <n v="31"/>
    <n v="18"/>
    <n v="125"/>
    <n v="10"/>
    <n v="8"/>
    <n v="3"/>
    <n v="0"/>
    <n v="0"/>
    <n v="34"/>
    <n v="8"/>
    <n v="0"/>
    <n v="0"/>
    <n v="0"/>
    <n v="0"/>
    <n v="0"/>
    <n v="0"/>
    <n v="8"/>
    <n v="1"/>
  </r>
  <r>
    <n v="129"/>
    <d v="2024-01-26T13:26:08"/>
    <d v="2024-01-26T13:29:29"/>
    <s v="chbanda@lighthouse.org.mw"/>
    <s v="Chipiliro Banda"/>
    <x v="13"/>
    <s v="COE"/>
    <x v="0"/>
    <s v="COP_23"/>
    <s v="COP_23"/>
    <s v="Quarter4"/>
    <s v="Quarter1"/>
    <s v="Qtr_1"/>
    <x v="0"/>
    <d v="2023-10-01T00:00:00"/>
    <d v="2024-10-31T00:00:00"/>
    <x v="1"/>
    <x v="111"/>
    <n v="76"/>
    <n v="45"/>
    <n v="23"/>
    <n v="8"/>
    <n v="9"/>
    <n v="76"/>
    <n v="27"/>
    <n v="30"/>
    <n v="0"/>
    <n v="0"/>
    <n v="0"/>
    <n v="30"/>
    <n v="2"/>
    <n v="0"/>
    <n v="0"/>
    <n v="0"/>
    <n v="0"/>
    <n v="30"/>
    <n v="0"/>
    <n v="2"/>
    <n v="0"/>
  </r>
  <r>
    <n v="131"/>
    <d v="2024-01-26T13:31:28"/>
    <d v="2024-01-26T13:34:47"/>
    <s v="chbanda@lighthouse.org.mw"/>
    <s v="Chipiliro Banda"/>
    <x v="13"/>
    <s v="COE"/>
    <x v="0"/>
    <s v="COP_23"/>
    <s v="COP_23"/>
    <s v="Quarter4"/>
    <s v="Quarter1"/>
    <s v="Qtr_1"/>
    <x v="1"/>
    <d v="2024-11-01T00:00:00"/>
    <d v="2024-11-30T00:00:00"/>
    <x v="1"/>
    <x v="7"/>
    <n v="56"/>
    <n v="38"/>
    <n v="9"/>
    <n v="6"/>
    <n v="3"/>
    <n v="56"/>
    <n v="21"/>
    <n v="30"/>
    <n v="1"/>
    <n v="1"/>
    <n v="1"/>
    <n v="30"/>
    <n v="1"/>
    <n v="0"/>
    <n v="0"/>
    <n v="0"/>
    <n v="0"/>
    <n v="30"/>
    <n v="0"/>
    <n v="1"/>
    <n v="1"/>
  </r>
  <r>
    <n v="133"/>
    <d v="2024-01-26T13:38:15"/>
    <d v="2024-01-26T13:40:51"/>
    <s v="chbanda@lighthouse.org.mw"/>
    <s v="Chipiliro Banda"/>
    <x v="13"/>
    <s v="COE"/>
    <x v="0"/>
    <s v="COP_23"/>
    <s v="COP_23"/>
    <s v="Quarter4"/>
    <s v="Quarter1"/>
    <s v="Qtr_1"/>
    <x v="11"/>
    <d v="2024-12-01T00:00:00"/>
    <d v="2024-12-31T00:00:00"/>
    <x v="1"/>
    <x v="123"/>
    <n v="0"/>
    <n v="37"/>
    <n v="20"/>
    <n v="0"/>
    <n v="2"/>
    <n v="49"/>
    <n v="23"/>
    <n v="25"/>
    <n v="0"/>
    <n v="0"/>
    <n v="0"/>
    <n v="25"/>
    <n v="0"/>
    <n v="0"/>
    <n v="0"/>
    <n v="0"/>
    <n v="0"/>
    <n v="25"/>
    <n v="2"/>
    <n v="2"/>
    <n v="0"/>
  </r>
  <r>
    <n v="155"/>
    <d v="2024-02-13T12:13:50"/>
    <d v="2024-02-13T12:18:34"/>
    <s v="amakweti@lighthouse.org.mw"/>
    <s v="Alphat Makweti"/>
    <x v="13"/>
    <s v="COE"/>
    <x v="1"/>
    <s v="COP_23"/>
    <s v="COP_23"/>
    <s v="Quarter1"/>
    <s v="Quarter2"/>
    <s v="Qtr_2"/>
    <x v="4"/>
    <d v="2024-01-01T00:00:00"/>
    <d v="2024-01-31T00:00:00"/>
    <x v="1"/>
    <x v="47"/>
    <n v="0"/>
    <n v="46"/>
    <n v="18"/>
    <n v="4"/>
    <n v="6"/>
    <n v="74"/>
    <n v="31"/>
    <n v="34"/>
    <n v="1"/>
    <n v="0"/>
    <n v="0"/>
    <n v="34"/>
    <n v="3"/>
    <n v="0"/>
    <n v="0"/>
    <n v="0"/>
    <n v="0"/>
    <n v="34"/>
    <n v="3"/>
    <n v="3"/>
    <n v="0"/>
  </r>
  <r>
    <n v="218"/>
    <d v="2024-04-08T11:45:31"/>
    <d v="2024-04-08T11:49:46"/>
    <s v="chbanda@lighthouse.org.mw"/>
    <s v="Chipiliro Banda"/>
    <x v="13"/>
    <s v="COE"/>
    <x v="1"/>
    <s v="COP_23"/>
    <s v="COP_23"/>
    <s v="Quarter1"/>
    <s v="Quarter2"/>
    <s v="Qtr_2"/>
    <x v="3"/>
    <d v="2024-03-01T00:00:00"/>
    <d v="2024-03-31T00:00:00"/>
    <x v="1"/>
    <x v="69"/>
    <n v="0"/>
    <n v="46"/>
    <n v="20"/>
    <n v="7"/>
    <n v="4"/>
    <n v="74"/>
    <n v="24"/>
    <n v="22"/>
    <n v="0"/>
    <n v="0"/>
    <n v="0"/>
    <n v="22"/>
    <n v="0"/>
    <n v="0"/>
    <n v="0"/>
    <n v="0"/>
    <n v="0"/>
    <n v="77"/>
    <n v="6"/>
    <n v="7"/>
    <n v="0"/>
  </r>
  <r>
    <n v="285"/>
    <d v="2024-04-24T09:23:30"/>
    <d v="2024-04-24T09:30:09"/>
    <s v="chbanda@lighthouse.org.mw"/>
    <s v="Chipiliro Banda"/>
    <x v="13"/>
    <s v="COE"/>
    <x v="1"/>
    <s v="COP_23"/>
    <s v="COP_23"/>
    <s v="Quarter1"/>
    <s v="Quarter2"/>
    <s v="Qtr_2"/>
    <x v="5"/>
    <d v="2024-02-01T00:00:00"/>
    <d v="2024-02-29T00:00:00"/>
    <x v="1"/>
    <x v="70"/>
    <s v="y"/>
    <n v="56"/>
    <n v="12"/>
    <n v="8"/>
    <n v="5"/>
    <n v="81"/>
    <n v="22"/>
    <n v="22"/>
    <n v="0"/>
    <n v="0"/>
    <n v="0"/>
    <n v="20"/>
    <n v="2"/>
    <n v="0"/>
    <n v="0"/>
    <n v="0"/>
    <n v="0"/>
    <n v="23"/>
    <n v="3"/>
    <n v="5"/>
    <n v="0"/>
  </r>
  <r>
    <n v="219"/>
    <d v="2024-04-08T11:49:50"/>
    <d v="2024-04-08T11:52:50"/>
    <s v="chbanda@lighthouse.org.mw"/>
    <s v="Chipiliro Banda"/>
    <x v="13"/>
    <s v="COE"/>
    <x v="1"/>
    <s v="COP_23"/>
    <s v="COP_23"/>
    <s v="Quarter1"/>
    <s v="Quarter2"/>
    <s v="Qtr_2"/>
    <x v="3"/>
    <d v="2024-03-01T00:00:00"/>
    <d v="2024-03-31T00:00:00"/>
    <x v="2"/>
    <x v="5"/>
    <n v="0"/>
    <n v="31"/>
    <n v="12"/>
    <n v="1"/>
    <n v="0"/>
    <n v="44"/>
    <n v="10"/>
    <n v="11"/>
    <n v="0"/>
    <n v="0"/>
    <n v="0"/>
    <n v="11"/>
    <n v="0"/>
    <n v="0"/>
    <n v="0"/>
    <n v="0"/>
    <n v="0"/>
    <n v="11"/>
    <n v="11"/>
    <n v="0"/>
    <n v="0"/>
  </r>
  <r>
    <n v="404"/>
    <d v="2024-05-15T10:05:28"/>
    <d v="2024-05-15T10:13:33"/>
    <s v="chbanda@lighthouse.org.mw"/>
    <s v="Chipiliro Banda"/>
    <x v="13"/>
    <s v="COE"/>
    <x v="1"/>
    <s v="COP_24"/>
    <s v="COP_23"/>
    <s v="Quarter2"/>
    <s v="Quarter3"/>
    <s v="Qtr_3"/>
    <x v="7"/>
    <d v="2024-05-01T00:00:00"/>
    <d v="2024-04-30T00:00:00"/>
    <x v="1"/>
    <x v="181"/>
    <n v="0"/>
    <n v="50"/>
    <n v="17"/>
    <n v="11"/>
    <n v="7"/>
    <n v="75"/>
    <n v="36"/>
    <n v="42"/>
    <n v="0"/>
    <n v="30"/>
    <n v="0"/>
    <n v="32"/>
    <n v="6"/>
    <n v="0"/>
    <n v="0"/>
    <n v="0"/>
    <n v="0"/>
    <n v="30"/>
    <n v="6"/>
    <n v="6"/>
    <n v="0"/>
  </r>
  <r>
    <n v="287"/>
    <d v="2024-04-24T09:39:08"/>
    <d v="2024-04-24T09:42:59"/>
    <s v="chbanda@lighthouse.org.mw"/>
    <s v="Chipiliro Banda"/>
    <x v="13"/>
    <s v="COE"/>
    <x v="1"/>
    <s v="COP_23"/>
    <s v="COP_23"/>
    <s v="Quarter1"/>
    <s v="Quarter2"/>
    <s v="Qtr_2"/>
    <x v="5"/>
    <d v="2024-02-01T00:00:00"/>
    <d v="2024-02-29T00:00:00"/>
    <x v="2"/>
    <x v="38"/>
    <n v="0"/>
    <n v="23"/>
    <n v="10"/>
    <n v="2"/>
    <n v="1"/>
    <n v="36"/>
    <n v="10"/>
    <n v="10"/>
    <n v="0"/>
    <n v="0"/>
    <n v="0"/>
    <n v="10"/>
    <n v="0"/>
    <n v="0"/>
    <n v="0"/>
    <n v="0"/>
    <n v="0"/>
    <n v="10"/>
    <n v="0"/>
    <n v="0"/>
    <n v="0"/>
  </r>
  <r>
    <n v="551"/>
    <d v="2024-06-12T09:54:03"/>
    <d v="2024-06-12T09:54:13"/>
    <s v="chbanda@lighthouse.org.mw"/>
    <s v="Chipiliro Banda"/>
    <x v="13"/>
    <s v="COE"/>
    <x v="1"/>
    <s v="COP_24"/>
    <s v="COP_23"/>
    <s v="Quarter2"/>
    <s v="Quarter3"/>
    <s v="Qtr_3"/>
    <x v="6"/>
    <d v="2024-05-01T00:00:00"/>
    <d v="2024-05-31T00:00:00"/>
    <x v="1"/>
    <x v="155"/>
    <n v="0"/>
    <n v="48"/>
    <n v="27"/>
    <n v="14"/>
    <n v="3"/>
    <n v="87"/>
    <n v="37"/>
    <n v="47"/>
    <n v="1"/>
    <n v="0"/>
    <n v="0"/>
    <n v="0"/>
    <n v="0"/>
    <n v="0"/>
    <n v="0"/>
    <n v="0"/>
    <n v="0"/>
    <n v="28"/>
    <n v="5"/>
    <n v="5"/>
    <n v="0"/>
  </r>
  <r>
    <n v="294"/>
    <d v="2024-04-24T10:50:38"/>
    <d v="2024-04-24T10:52:38"/>
    <s v="chbanda@lighthouse.org.mw"/>
    <s v="Chipiliro Banda"/>
    <x v="13"/>
    <s v="COE"/>
    <x v="1"/>
    <s v="COP_23"/>
    <s v="COP_23"/>
    <s v="Quarter1"/>
    <s v="Quarter2"/>
    <s v="Qtr_2"/>
    <x v="4"/>
    <d v="2024-01-01T00:00:00"/>
    <d v="2024-01-31T00:00:00"/>
    <x v="2"/>
    <x v="42"/>
    <n v="0"/>
    <n v="10"/>
    <n v="4"/>
    <n v="0"/>
    <n v="0"/>
    <n v="14"/>
    <n v="3"/>
    <n v="2"/>
    <n v="0"/>
    <n v="0"/>
    <n v="0"/>
    <n v="2"/>
    <n v="0"/>
    <n v="0"/>
    <n v="0"/>
    <n v="0"/>
    <n v="0"/>
    <n v="2"/>
    <n v="0"/>
    <n v="0"/>
    <n v="0"/>
  </r>
  <r>
    <n v="777"/>
    <d v="2024-08-19T12:33:08"/>
    <d v="2024-08-19T12:35:58"/>
    <s v="chbanda@lighthouse.org.mw"/>
    <s v="Chipiliro Banda"/>
    <x v="13"/>
    <s v="COE"/>
    <x v="1"/>
    <s v="COP_24"/>
    <s v="COP_23"/>
    <s v="Quarter2"/>
    <s v="Quarter3"/>
    <s v="Qtr_3"/>
    <x v="8"/>
    <d v="2024-06-01T00:00:00"/>
    <d v="2024-06-30T00:00:00"/>
    <x v="1"/>
    <x v="98"/>
    <n v="15"/>
    <n v="38"/>
    <n v="16"/>
    <n v="12"/>
    <n v="6"/>
    <n v="72"/>
    <n v="38"/>
    <n v="40"/>
    <n v="2"/>
    <n v="1"/>
    <n v="1"/>
    <n v="0"/>
    <n v="0"/>
    <n v="0"/>
    <n v="0"/>
    <n v="0"/>
    <n v="0"/>
    <n v="41"/>
    <n v="6"/>
    <n v="7"/>
    <n v="1"/>
  </r>
  <r>
    <n v="970"/>
    <d v="2024-10-21T11:33:46"/>
    <d v="2024-10-21T11:38:27"/>
    <s v="chbanda@lighthouse.org.mw"/>
    <s v="Chipiliro Banda"/>
    <x v="13"/>
    <s v="COE"/>
    <x v="1"/>
    <s v="COP_23"/>
    <s v="COP_23"/>
    <s v="Quarter3"/>
    <s v="Quarter4"/>
    <s v="Qtr_4"/>
    <x v="10"/>
    <d v="2024-08-01T00:00:00"/>
    <d v="2024-08-31T00:00:00"/>
    <x v="1"/>
    <x v="70"/>
    <n v="14"/>
    <n v="37"/>
    <n v="24"/>
    <n v="14"/>
    <n v="6"/>
    <n v="74"/>
    <n v="30"/>
    <n v="32"/>
    <n v="2"/>
    <n v="0"/>
    <n v="0"/>
    <n v="8"/>
    <n v="0"/>
    <n v="0"/>
    <n v="0"/>
    <n v="0"/>
    <n v="0"/>
    <n v="21"/>
    <n v="5"/>
    <n v="15"/>
    <n v="0"/>
  </r>
  <r>
    <n v="465"/>
    <d v="2024-05-27T12:04:12"/>
    <d v="2024-05-27T12:12:58"/>
    <s v="chbanda@lighthouse.org.mw"/>
    <s v="Chipiliro Banda"/>
    <x v="13"/>
    <s v="COE"/>
    <x v="1"/>
    <s v="COP_24"/>
    <s v="COP_23"/>
    <s v="Quarter2"/>
    <s v="Quarter3"/>
    <s v="Qtr_3"/>
    <x v="7"/>
    <d v="2024-04-01T00:00:00"/>
    <d v="2024-04-30T00:00:00"/>
    <x v="2"/>
    <x v="11"/>
    <n v="0"/>
    <n v="31"/>
    <n v="6"/>
    <n v="1"/>
    <n v="0"/>
    <n v="37"/>
    <n v="7"/>
    <n v="8"/>
    <n v="1"/>
    <n v="0"/>
    <n v="0"/>
    <n v="0"/>
    <n v="0"/>
    <n v="0"/>
    <n v="0"/>
    <n v="0"/>
    <n v="0"/>
    <n v="8"/>
    <n v="0"/>
    <n v="0"/>
    <n v="0"/>
  </r>
  <r>
    <n v="994"/>
    <d v="2024-10-30T13:00:51"/>
    <d v="2024-10-30T13:01:11"/>
    <s v="chbanda@lighthouse.org.mw"/>
    <s v="Chipiliro Banda"/>
    <x v="13"/>
    <s v="COE"/>
    <x v="1"/>
    <s v="COP_23"/>
    <s v="COP_23"/>
    <s v="Quarter3"/>
    <s v="Quarter4"/>
    <s v="Qtr_4"/>
    <x v="2"/>
    <d v="2024-09-01T00:00:00"/>
    <d v="2024-09-30T00:00:00"/>
    <x v="1"/>
    <x v="182"/>
    <n v="13"/>
    <n v="37"/>
    <n v="17"/>
    <n v="8"/>
    <n v="6"/>
    <n v="65"/>
    <n v="36"/>
    <n v="35"/>
    <n v="3"/>
    <n v="1"/>
    <n v="0"/>
    <n v="29"/>
    <n v="5"/>
    <n v="0"/>
    <n v="0"/>
    <n v="0"/>
    <n v="0"/>
    <n v="23"/>
    <n v="6"/>
    <n v="10"/>
    <n v="1"/>
  </r>
  <r>
    <n v="550"/>
    <d v="2024-06-12T09:09:50"/>
    <d v="2024-06-12T09:18:41"/>
    <s v="chbanda@lighthouse.org.mw"/>
    <s v="Chipiliro Banda"/>
    <x v="13"/>
    <s v="COE"/>
    <x v="1"/>
    <s v="COP_24"/>
    <s v="COP_23"/>
    <s v="Quarter2"/>
    <s v="Quarter3"/>
    <s v="Qtr_3"/>
    <x v="6"/>
    <d v="2024-05-01T00:00:00"/>
    <d v="2024-05-31T00:00:00"/>
    <x v="2"/>
    <x v="35"/>
    <n v="0"/>
    <n v="35"/>
    <n v="6"/>
    <n v="1"/>
    <n v="1"/>
    <n v="42"/>
    <n v="8"/>
    <n v="11"/>
    <n v="0"/>
    <n v="0"/>
    <n v="0"/>
    <n v="0"/>
    <n v="0"/>
    <n v="0"/>
    <n v="0"/>
    <n v="0"/>
    <n v="0"/>
    <n v="12"/>
    <n v="1"/>
    <n v="1"/>
    <n v="0"/>
  </r>
  <r>
    <n v="652"/>
    <d v="2024-07-18T13:50:18"/>
    <d v="2024-07-18T14:10:56"/>
    <s v="chbanda@lighthouse.org.mw"/>
    <s v="Chipiliro Banda"/>
    <x v="13"/>
    <s v="COE"/>
    <x v="1"/>
    <s v="COP_24"/>
    <s v="COP_23"/>
    <s v="Quarter2"/>
    <s v="Quarter3"/>
    <s v="Qtr_3"/>
    <x v="8"/>
    <d v="2024-06-01T00:00:00"/>
    <d v="2024-06-30T00:00:00"/>
    <x v="2"/>
    <x v="8"/>
    <n v="0"/>
    <n v="34"/>
    <n v="7"/>
    <n v="4"/>
    <n v="0"/>
    <n v="45"/>
    <n v="11"/>
    <n v="0"/>
    <n v="0"/>
    <n v="0"/>
    <n v="0"/>
    <n v="0"/>
    <n v="0"/>
    <n v="0"/>
    <n v="0"/>
    <n v="0"/>
    <n v="0"/>
    <n v="11"/>
    <n v="0"/>
    <n v="0"/>
    <n v="0"/>
  </r>
  <r>
    <n v="1000"/>
    <d v="2024-10-31T10:24:05"/>
    <d v="2024-10-31T10:29:12"/>
    <s v="chbanda@lighthouse.org.mw"/>
    <s v="Chipiliro Banda"/>
    <x v="13"/>
    <s v="COE"/>
    <x v="1"/>
    <s v="COP_23"/>
    <s v="COP_23"/>
    <s v="Quarter3"/>
    <s v="Quarter4"/>
    <s v="Qtr_4"/>
    <x v="9"/>
    <d v="2024-07-01T00:00:00"/>
    <d v="2024-07-31T00:00:00"/>
    <x v="1"/>
    <x v="183"/>
    <n v="11"/>
    <n v="62"/>
    <n v="20"/>
    <n v="16"/>
    <n v="3"/>
    <n v="98"/>
    <n v="39"/>
    <n v="42"/>
    <n v="1"/>
    <n v="0"/>
    <n v="0"/>
    <n v="0"/>
    <n v="0"/>
    <n v="1"/>
    <n v="1"/>
    <n v="0"/>
    <n v="0"/>
    <n v="0"/>
    <n v="0"/>
    <n v="2"/>
    <n v="1"/>
  </r>
  <r>
    <n v="1066"/>
    <d v="2024-11-14T09:06:53"/>
    <d v="2024-11-14T09:13:15"/>
    <s v="chbanda@lighthouse.org.mw"/>
    <s v="Chipiliro Banda"/>
    <x v="13"/>
    <s v="COE"/>
    <x v="1"/>
    <s v="COP_24"/>
    <s v="COP_24"/>
    <s v="Quarter4"/>
    <s v="Quarter1"/>
    <s v="Qtr_1"/>
    <x v="0"/>
    <d v="2024-10-01T00:00:00"/>
    <d v="2024-10-31T00:00:00"/>
    <x v="6"/>
    <x v="82"/>
    <n v="134"/>
    <n v="36"/>
    <n v="44"/>
    <n v="36"/>
    <n v="49"/>
    <n v="156"/>
    <n v="58"/>
    <n v="60"/>
    <n v="6"/>
    <n v="0"/>
    <n v="0"/>
    <n v="43"/>
    <n v="4"/>
    <n v="0"/>
    <n v="0"/>
    <n v="0"/>
    <n v="0"/>
    <n v="0"/>
    <n v="0"/>
    <n v="3"/>
    <n v="1"/>
  </r>
  <r>
    <n v="971"/>
    <d v="2024-10-21T11:43:30"/>
    <d v="2024-10-21T11:50:19"/>
    <s v="chbanda@lighthouse.org.mw"/>
    <s v="Chipiliro Banda"/>
    <x v="13"/>
    <s v="COE"/>
    <x v="1"/>
    <s v="COP_23"/>
    <s v="COP_23"/>
    <s v="Quarter3"/>
    <s v="Quarter4"/>
    <s v="Qtr_4"/>
    <x v="10"/>
    <d v="2024-08-01T00:00:00"/>
    <d v="2024-08-31T00:00:00"/>
    <x v="2"/>
    <x v="5"/>
    <n v="0"/>
    <n v="32"/>
    <n v="9"/>
    <n v="1"/>
    <n v="2"/>
    <n v="44"/>
    <n v="11"/>
    <n v="11"/>
    <n v="0"/>
    <n v="0"/>
    <n v="0"/>
    <n v="2"/>
    <n v="0"/>
    <n v="0"/>
    <n v="0"/>
    <n v="0"/>
    <n v="0"/>
    <n v="11"/>
    <n v="2"/>
    <n v="2"/>
    <n v="0"/>
  </r>
  <r>
    <n v="988"/>
    <d v="2024-10-24T15:15:28"/>
    <d v="2024-10-24T15:21:07"/>
    <s v="chbanda@lighthouse.org.mw"/>
    <s v="Chipiliro Banda"/>
    <x v="13"/>
    <s v="COE"/>
    <x v="1"/>
    <s v="COP_23"/>
    <s v="COP_23"/>
    <s v="Quarter3"/>
    <s v="Quarter4"/>
    <s v="Qtr_4"/>
    <x v="2"/>
    <d v="2024-09-01T00:00:00"/>
    <d v="2024-09-30T00:00:00"/>
    <x v="2"/>
    <x v="4"/>
    <n v="0"/>
    <n v="37"/>
    <n v="7"/>
    <n v="3"/>
    <n v="1"/>
    <n v="48"/>
    <n v="20"/>
    <n v="20"/>
    <n v="2"/>
    <n v="0"/>
    <n v="0"/>
    <n v="20"/>
    <n v="2"/>
    <n v="0"/>
    <n v="0"/>
    <n v="0"/>
    <n v="0"/>
    <n v="20"/>
    <n v="2"/>
    <n v="2"/>
    <n v="0"/>
  </r>
  <r>
    <n v="995"/>
    <d v="2024-10-30T13:17:42"/>
    <d v="2024-10-30T13:19:13"/>
    <s v="chbanda@lighthouse.org.mw"/>
    <s v="Chipiliro Banda"/>
    <x v="13"/>
    <s v="COE"/>
    <x v="1"/>
    <s v="COP_23"/>
    <s v="COP_23"/>
    <s v="Quarter3"/>
    <s v="Quarter4"/>
    <s v="Qtr_4"/>
    <x v="9"/>
    <d v="2024-07-01T00:00:00"/>
    <d v="2024-07-31T00:00:00"/>
    <x v="2"/>
    <x v="46"/>
    <n v="0"/>
    <n v="53"/>
    <n v="8"/>
    <n v="2"/>
    <n v="1"/>
    <n v="64"/>
    <n v="17"/>
    <n v="16"/>
    <n v="1"/>
    <n v="0"/>
    <n v="0"/>
    <n v="0"/>
    <n v="0"/>
    <n v="0"/>
    <n v="0"/>
    <n v="0"/>
    <n v="0"/>
    <n v="17"/>
    <n v="0"/>
    <n v="0"/>
    <n v="0"/>
  </r>
  <r>
    <n v="1181"/>
    <d v="2025-01-06T09:12:38"/>
    <d v="2025-01-06T09:27:13"/>
    <s v="chbanda@lighthouse.org.mw"/>
    <s v="Chipiliro Banda"/>
    <x v="13"/>
    <s v="COE"/>
    <x v="1"/>
    <s v="COP_24"/>
    <s v="COP_24"/>
    <s v="Quarter4"/>
    <s v="Quarter1"/>
    <s v="Qtr_1"/>
    <x v="0"/>
    <d v="2024-10-01T00:00:00"/>
    <d v="2024-10-31T00:00:00"/>
    <x v="5"/>
    <x v="130"/>
    <n v="0"/>
    <n v="73"/>
    <n v="8"/>
    <n v="5"/>
    <n v="1"/>
    <n v="83"/>
    <n v="18"/>
    <n v="24"/>
    <n v="0"/>
    <n v="0"/>
    <n v="0"/>
    <n v="20"/>
    <n v="1"/>
    <n v="0"/>
    <n v="0"/>
    <n v="0"/>
    <n v="0"/>
    <n v="14"/>
    <n v="1"/>
    <n v="4"/>
    <n v="0"/>
  </r>
  <r>
    <n v="1182"/>
    <d v="2025-01-06T10:23:13"/>
    <d v="2025-01-06T10:25:23"/>
    <s v="chbanda@lighthouse.org.mw"/>
    <s v="Chipiliro Banda"/>
    <x v="13"/>
    <s v="COE"/>
    <x v="1"/>
    <s v="COP_24"/>
    <s v="COP_24"/>
    <s v="Quarter4"/>
    <s v="Quarter1"/>
    <s v="Qtr_1"/>
    <x v="0"/>
    <d v="2024-10-01T00:00:00"/>
    <d v="2024-10-31T00:00:00"/>
    <x v="0"/>
    <x v="184"/>
    <n v="134"/>
    <n v="228"/>
    <n v="92"/>
    <n v="64"/>
    <n v="56"/>
    <n v="419"/>
    <n v="119"/>
    <n v="127"/>
    <n v="11"/>
    <n v="3"/>
    <n v="0"/>
    <n v="102"/>
    <n v="7"/>
    <n v="0"/>
    <n v="0"/>
    <n v="0"/>
    <n v="0"/>
    <n v="67"/>
    <n v="13"/>
    <n v="16"/>
    <n v="1"/>
  </r>
  <r>
    <n v="1183"/>
    <d v="2025-01-06T10:25:28"/>
    <d v="2025-01-06T10:30:47"/>
    <s v="chbanda@lighthouse.org.mw"/>
    <s v="Chipiliro Banda"/>
    <x v="13"/>
    <s v="COE"/>
    <x v="1"/>
    <s v="COP_24"/>
    <s v="COP_24"/>
    <s v="Quarter4"/>
    <s v="Quarter1"/>
    <s v="Qtr_1"/>
    <x v="0"/>
    <d v="2024-10-01T00:00:00"/>
    <d v="2024-10-31T00:00:00"/>
    <x v="2"/>
    <x v="55"/>
    <n v="0"/>
    <n v="32"/>
    <n v="4"/>
    <n v="3"/>
    <n v="2"/>
    <n v="41"/>
    <n v="11"/>
    <n v="11"/>
    <n v="0"/>
    <n v="0"/>
    <n v="0"/>
    <n v="11"/>
    <n v="1"/>
    <n v="0"/>
    <n v="0"/>
    <n v="0"/>
    <n v="0"/>
    <n v="11"/>
    <n v="1"/>
    <n v="1"/>
    <n v="0"/>
  </r>
  <r>
    <n v="1184"/>
    <d v="2025-01-06T10:32:53"/>
    <d v="2025-01-06T10:35:18"/>
    <s v="chbanda@lighthouse.org.mw"/>
    <s v="Chipiliro Banda"/>
    <x v="13"/>
    <s v="COE"/>
    <x v="1"/>
    <s v="COP_24"/>
    <s v="COP_24"/>
    <s v="Quarter4"/>
    <s v="Quarter1"/>
    <s v="Qtr_1"/>
    <x v="0"/>
    <d v="2024-10-01T00:00:00"/>
    <d v="2024-10-31T00:00:00"/>
    <x v="3"/>
    <x v="25"/>
    <n v="0"/>
    <n v="4"/>
    <n v="0"/>
    <n v="3"/>
    <n v="2"/>
    <n v="0"/>
    <n v="0"/>
    <n v="9"/>
    <n v="0"/>
    <n v="0"/>
    <n v="0"/>
    <n v="9"/>
    <n v="1"/>
    <n v="0"/>
    <n v="0"/>
    <n v="0"/>
    <n v="0"/>
    <n v="0"/>
    <n v="0"/>
    <n v="1"/>
    <n v="0"/>
  </r>
  <r>
    <n v="1185"/>
    <d v="2025-01-06T10:37:25"/>
    <d v="2025-01-06T10:39:02"/>
    <s v="chbanda@lighthouse.org.mw"/>
    <s v="Chipiliro Banda"/>
    <x v="13"/>
    <s v="COE"/>
    <x v="1"/>
    <s v="COP_24"/>
    <s v="COP_24"/>
    <s v="Quarter4"/>
    <s v="Quarter1"/>
    <s v="Qtr_1"/>
    <x v="0"/>
    <d v="2024-10-01T00:00:00"/>
    <d v="2024-10-31T00:00:00"/>
    <x v="4"/>
    <x v="49"/>
    <n v="0"/>
    <n v="7"/>
    <n v="2"/>
    <n v="1"/>
    <n v="0"/>
    <n v="10"/>
    <n v="2"/>
    <n v="2"/>
    <n v="0"/>
    <n v="0"/>
    <n v="0"/>
    <n v="2"/>
    <n v="0"/>
    <n v="0"/>
    <n v="0"/>
    <n v="0"/>
    <n v="0"/>
    <n v="2"/>
    <n v="0"/>
    <n v="0"/>
    <n v="0"/>
  </r>
  <r>
    <n v="1186"/>
    <d v="2025-01-06T10:41:51"/>
    <d v="2025-01-06T11:10:13"/>
    <s v="chbanda@lighthouse.org.mw"/>
    <s v="Chipiliro Banda"/>
    <x v="13"/>
    <s v="COE"/>
    <x v="1"/>
    <s v="COP_24"/>
    <s v="COP_24"/>
    <s v="Quarter4"/>
    <s v="Quarter1"/>
    <s v="Qtr_1"/>
    <x v="0"/>
    <d v="2024-10-01T00:00:00"/>
    <d v="2024-10-31T00:00:00"/>
    <x v="1"/>
    <x v="185"/>
    <n v="12"/>
    <n v="49"/>
    <n v="20"/>
    <n v="13"/>
    <n v="4"/>
    <n v="82"/>
    <n v="28"/>
    <n v="30"/>
    <n v="4"/>
    <n v="3"/>
    <n v="0"/>
    <n v="24"/>
    <n v="2"/>
    <n v="0"/>
    <n v="0"/>
    <n v="0"/>
    <n v="0"/>
    <n v="21"/>
    <n v="5"/>
    <n v="6"/>
    <n v="0"/>
  </r>
  <r>
    <n v="1192"/>
    <d v="2025-01-06T13:31:31"/>
    <d v="2025-01-06T13:31:36"/>
    <s v="chbanda@lighthouse.org.mw"/>
    <s v="Chipiliro Banda"/>
    <x v="13"/>
    <s v="COE"/>
    <x v="1"/>
    <s v="COP_24"/>
    <s v="COP_24"/>
    <s v="Quarter4"/>
    <s v="Quarter1"/>
    <s v="Qtr_1"/>
    <x v="1"/>
    <d v="2024-11-01T00:00:00"/>
    <d v="2024-11-30T00:00:00"/>
    <x v="0"/>
    <x v="186"/>
    <n v="170"/>
    <n v="227"/>
    <n v="100"/>
    <n v="89"/>
    <n v="62"/>
    <n v="465"/>
    <n v="140"/>
    <n v="155"/>
    <n v="7"/>
    <n v="1"/>
    <n v="0"/>
    <n v="127"/>
    <n v="12"/>
    <n v="0"/>
    <n v="0"/>
    <n v="1"/>
    <n v="1"/>
    <n v="185"/>
    <n v="7"/>
    <n v="16"/>
    <n v="1"/>
  </r>
  <r>
    <n v="1195"/>
    <d v="2025-01-06T13:34:42"/>
    <d v="2025-01-06T13:38:17"/>
    <s v="chbanda@lighthouse.org.mw"/>
    <s v="Chipiliro Banda"/>
    <x v="13"/>
    <s v="COE"/>
    <x v="1"/>
    <s v="COP_24"/>
    <s v="COP_24"/>
    <s v="Quarter4"/>
    <s v="Quarter1"/>
    <s v="Qtr_1"/>
    <x v="1"/>
    <d v="2024-11-01T00:00:00"/>
    <d v="2024-11-30T00:00:00"/>
    <x v="6"/>
    <x v="168"/>
    <n v="170"/>
    <n v="32"/>
    <n v="51"/>
    <n v="64"/>
    <n v="51"/>
    <n v="191"/>
    <n v="65"/>
    <n v="0"/>
    <n v="0"/>
    <n v="0"/>
    <n v="0"/>
    <n v="59"/>
    <n v="9"/>
    <n v="0"/>
    <n v="0"/>
    <n v="0"/>
    <n v="0"/>
    <n v="0"/>
    <n v="0"/>
    <n v="7"/>
    <n v="1"/>
  </r>
  <r>
    <n v="1196"/>
    <d v="2025-01-06T14:21:17"/>
    <d v="2025-01-06T14:25:08"/>
    <s v="chbanda@lighthouse.org.mw"/>
    <s v="Chipiliro Banda"/>
    <x v="13"/>
    <s v="COE"/>
    <x v="1"/>
    <s v="COP_24"/>
    <s v="COP_24"/>
    <s v="Quarter4"/>
    <s v="Quarter1"/>
    <s v="Qtr_1"/>
    <x v="1"/>
    <d v="2024-11-01T00:00:00"/>
    <d v="2024-11-30T00:00:00"/>
    <x v="1"/>
    <x v="74"/>
    <n v="11"/>
    <n v="67"/>
    <n v="18"/>
    <n v="13"/>
    <n v="9"/>
    <n v="105"/>
    <n v="43"/>
    <n v="45"/>
    <n v="1"/>
    <n v="0"/>
    <n v="0"/>
    <n v="41"/>
    <n v="4"/>
    <n v="0"/>
    <n v="0"/>
    <n v="1"/>
    <n v="1"/>
    <n v="32"/>
    <n v="6"/>
    <n v="9"/>
    <n v="0"/>
  </r>
  <r>
    <n v="1197"/>
    <d v="2025-01-06T14:35:37"/>
    <d v="2025-01-06T14:35:44"/>
    <s v="chbanda@lighthouse.org.mw"/>
    <s v="Chipiliro Banda"/>
    <x v="13"/>
    <s v="COE"/>
    <x v="1"/>
    <s v="COP_24"/>
    <s v="COP_24"/>
    <s v="Quarter4"/>
    <s v="Quarter1"/>
    <s v="Qtr_1"/>
    <x v="1"/>
    <d v="2024-11-01T00:00:00"/>
    <d v="2024-11-30T00:00:00"/>
    <x v="3"/>
    <x v="18"/>
    <n v="0"/>
    <n v="0"/>
    <n v="0"/>
    <n v="0"/>
    <n v="1"/>
    <n v="0"/>
    <n v="0"/>
    <n v="0"/>
    <n v="0"/>
    <n v="0"/>
    <n v="0"/>
    <n v="0"/>
    <n v="0"/>
    <n v="0"/>
    <n v="0"/>
    <n v="0"/>
    <n v="0"/>
    <n v="0"/>
    <n v="0"/>
    <n v="0"/>
    <n v="0"/>
  </r>
  <r>
    <n v="1198"/>
    <d v="2025-01-06T14:35:48"/>
    <d v="2025-01-06T14:38:18"/>
    <s v="chbanda@lighthouse.org.mw"/>
    <s v="Chipiliro Banda"/>
    <x v="13"/>
    <s v="COE"/>
    <x v="1"/>
    <s v="COP_24"/>
    <s v="COP_24"/>
    <s v="Quarter4"/>
    <s v="Quarter1"/>
    <s v="Qtr_1"/>
    <x v="1"/>
    <d v="2024-11-01T00:00:00"/>
    <d v="2024-11-30T00:00:00"/>
    <x v="4"/>
    <x v="36"/>
    <n v="0"/>
    <n v="5"/>
    <n v="3"/>
    <n v="1"/>
    <n v="2"/>
    <n v="11"/>
    <n v="2"/>
    <n v="2"/>
    <n v="0"/>
    <n v="0"/>
    <n v="0"/>
    <n v="2"/>
    <n v="0"/>
    <n v="0"/>
    <n v="0"/>
    <n v="0"/>
    <n v="0"/>
    <n v="0"/>
    <n v="0"/>
    <n v="0"/>
    <n v="0"/>
  </r>
  <r>
    <n v="1199"/>
    <d v="2025-01-06T14:42:22"/>
    <d v="2025-01-06T14:48:03"/>
    <s v="chbanda@lighthouse.org.mw"/>
    <s v="Chipiliro Banda"/>
    <x v="13"/>
    <s v="COE"/>
    <x v="1"/>
    <s v="COP_24"/>
    <s v="COP_24"/>
    <s v="Quarter4"/>
    <s v="Quarter1"/>
    <s v="Qtr_1"/>
    <x v="1"/>
    <d v="2024-11-01T00:00:00"/>
    <d v="2024-11-30T00:00:00"/>
    <x v="2"/>
    <x v="34"/>
    <n v="0"/>
    <n v="21"/>
    <n v="6"/>
    <n v="2"/>
    <n v="0"/>
    <n v="29"/>
    <n v="5"/>
    <n v="5"/>
    <n v="0"/>
    <n v="0"/>
    <n v="0"/>
    <n v="5"/>
    <n v="0"/>
    <n v="0"/>
    <n v="0"/>
    <n v="0"/>
    <n v="0"/>
    <n v="5"/>
    <n v="0"/>
    <n v="0"/>
    <n v="0"/>
  </r>
  <r>
    <n v="1201"/>
    <d v="2025-01-06T14:49:07"/>
    <d v="2025-01-06T14:52:22"/>
    <s v="chbanda@lighthouse.org.mw"/>
    <s v="Chipiliro Banda"/>
    <x v="13"/>
    <s v="COE"/>
    <x v="1"/>
    <s v="COP_24"/>
    <s v="COP_24"/>
    <s v="Quarter4"/>
    <s v="Quarter1"/>
    <s v="Qtr_1"/>
    <x v="1"/>
    <d v="2024-11-01T00:00:00"/>
    <d v="2024-11-30T00:00:00"/>
    <x v="5"/>
    <x v="112"/>
    <n v="0"/>
    <n v="71"/>
    <n v="7"/>
    <n v="6"/>
    <n v="0"/>
    <n v="81"/>
    <n v="25"/>
    <n v="26"/>
    <n v="1"/>
    <n v="1"/>
    <n v="0"/>
    <n v="24"/>
    <n v="0"/>
    <n v="0"/>
    <n v="0"/>
    <n v="0"/>
    <n v="0"/>
    <n v="24"/>
    <n v="1"/>
    <n v="1"/>
    <n v="0"/>
  </r>
  <r>
    <n v="1205"/>
    <d v="2025-01-06T14:56:24"/>
    <d v="2025-01-06T14:58:51"/>
    <s v="chbanda@lighthouse.org.mw"/>
    <s v="Chipiliro Banda"/>
    <x v="13"/>
    <s v="COE"/>
    <x v="1"/>
    <s v="COP_24"/>
    <s v="COP_24"/>
    <s v="Quarter4"/>
    <s v="Quarter1"/>
    <s v="Qtr_1"/>
    <x v="11"/>
    <d v="2024-12-01T00:00:00"/>
    <d v="2024-12-31T00:00:00"/>
    <x v="6"/>
    <x v="187"/>
    <n v="120"/>
    <n v="25"/>
    <n v="32"/>
    <n v="49"/>
    <n v="29"/>
    <n v="127"/>
    <n v="42"/>
    <n v="47"/>
    <n v="3"/>
    <n v="0"/>
    <n v="0"/>
    <n v="36"/>
    <n v="10"/>
    <n v="0"/>
    <n v="0"/>
    <n v="0"/>
    <n v="0"/>
    <n v="0"/>
    <n v="0"/>
    <n v="6"/>
    <n v="0"/>
  </r>
  <r>
    <n v="1233"/>
    <d v="2025-01-13T09:02:19"/>
    <d v="2025-01-13T09:06:37"/>
    <s v="chbanda@lighthouse.org.mw"/>
    <s v="Chipiliro Banda"/>
    <x v="13"/>
    <s v="COE"/>
    <x v="1"/>
    <s v="COP_24"/>
    <s v="COP_24"/>
    <s v="Quarter4"/>
    <s v="Quarter1"/>
    <s v="Qtr_1"/>
    <x v="11"/>
    <d v="2024-12-01T00:00:00"/>
    <d v="2024-12-31T00:00:00"/>
    <x v="0"/>
    <x v="175"/>
    <n v="150"/>
    <n v="219"/>
    <n v="99"/>
    <n v="87"/>
    <n v="48"/>
    <n v="440"/>
    <n v="139"/>
    <n v="149"/>
    <n v="7"/>
    <n v="4"/>
    <n v="2"/>
    <n v="124"/>
    <n v="14"/>
    <n v="0"/>
    <n v="0"/>
    <n v="0"/>
    <n v="0"/>
    <n v="91"/>
    <n v="13"/>
    <n v="23"/>
    <n v="2"/>
  </r>
  <r>
    <n v="1234"/>
    <d v="2025-01-13T09:07:16"/>
    <d v="2025-01-13T09:13:31"/>
    <s v="chbanda@lighthouse.org.mw"/>
    <s v="Chipiliro Banda"/>
    <x v="13"/>
    <s v="COE"/>
    <x v="1"/>
    <s v="COP_24"/>
    <s v="COP_24"/>
    <s v="Quarter4"/>
    <s v="Quarter1"/>
    <s v="Qtr_1"/>
    <x v="11"/>
    <d v="2024-12-01T00:00:00"/>
    <d v="2024-12-31T00:00:00"/>
    <x v="4"/>
    <x v="42"/>
    <n v="0"/>
    <n v="12"/>
    <n v="1"/>
    <n v="1"/>
    <n v="0"/>
    <n v="14"/>
    <n v="2"/>
    <n v="2"/>
    <n v="0"/>
    <n v="0"/>
    <n v="0"/>
    <n v="2"/>
    <n v="0"/>
    <n v="0"/>
    <n v="0"/>
    <n v="0"/>
    <n v="0"/>
    <n v="2"/>
    <n v="0"/>
    <n v="0"/>
    <n v="0"/>
  </r>
  <r>
    <n v="1235"/>
    <d v="2025-01-13T09:13:36"/>
    <d v="2025-01-13T09:16:24"/>
    <s v="chbanda@lighthouse.org.mw"/>
    <s v="Chipiliro Banda"/>
    <x v="13"/>
    <s v="COE"/>
    <x v="1"/>
    <s v="COP_24"/>
    <s v="COP_24"/>
    <s v="Quarter4"/>
    <s v="Quarter1"/>
    <s v="Qtr_1"/>
    <x v="11"/>
    <d v="2024-12-01T00:00:00"/>
    <d v="2024-12-31T00:00:00"/>
    <x v="1"/>
    <x v="157"/>
    <n v="19"/>
    <n v="61"/>
    <n v="19"/>
    <n v="15"/>
    <n v="9"/>
    <n v="101"/>
    <n v="40"/>
    <n v="43"/>
    <n v="2"/>
    <n v="1"/>
    <n v="0"/>
    <n v="43"/>
    <n v="5"/>
    <n v="0"/>
    <n v="0"/>
    <n v="0"/>
    <n v="0"/>
    <n v="31"/>
    <n v="6"/>
    <n v="9"/>
    <n v="0"/>
  </r>
  <r>
    <n v="1236"/>
    <d v="2025-01-13T09:16:43"/>
    <d v="2025-01-13T09:20:21"/>
    <s v="chbanda@lighthouse.org.mw"/>
    <s v="Chipiliro Banda"/>
    <x v="13"/>
    <s v="COE"/>
    <x v="1"/>
    <s v="COP_24"/>
    <s v="COP_24"/>
    <s v="Quarter4"/>
    <s v="Quarter1"/>
    <s v="Qtr_1"/>
    <x v="11"/>
    <d v="2024-12-01T00:00:00"/>
    <d v="2024-12-31T00:00:00"/>
    <x v="3"/>
    <x v="30"/>
    <n v="0"/>
    <n v="1"/>
    <n v="1"/>
    <n v="1"/>
    <n v="0"/>
    <n v="1"/>
    <n v="0"/>
    <n v="2"/>
    <n v="0"/>
    <n v="0"/>
    <n v="0"/>
    <n v="1"/>
    <n v="0"/>
    <n v="0"/>
    <n v="0"/>
    <n v="0"/>
    <n v="0"/>
    <n v="0"/>
    <n v="0"/>
    <n v="0"/>
    <n v="0"/>
  </r>
  <r>
    <n v="1237"/>
    <d v="2025-01-13T09:20:35"/>
    <d v="2025-01-13T09:24:01"/>
    <s v="chbanda@lighthouse.org.mw"/>
    <s v="Chipiliro Banda"/>
    <x v="13"/>
    <s v="COE"/>
    <x v="1"/>
    <s v="COP_24"/>
    <s v="COP_24"/>
    <s v="Quarter4"/>
    <s v="Quarter1"/>
    <s v="Qtr_1"/>
    <x v="11"/>
    <d v="2024-12-01T00:00:00"/>
    <d v="2024-12-31T00:00:00"/>
    <x v="2"/>
    <x v="11"/>
    <n v="0"/>
    <n v="37"/>
    <n v="7"/>
    <n v="3"/>
    <n v="3"/>
    <n v="50"/>
    <n v="16"/>
    <n v="16"/>
    <n v="1"/>
    <n v="1"/>
    <n v="0"/>
    <n v="16"/>
    <n v="3"/>
    <n v="0"/>
    <n v="0"/>
    <n v="0"/>
    <n v="0"/>
    <n v="13"/>
    <n v="4"/>
    <n v="7"/>
    <n v="0"/>
  </r>
  <r>
    <n v="1238"/>
    <d v="2025-01-13T09:24:30"/>
    <d v="2025-01-13T09:48:07"/>
    <s v="chbanda@lighthouse.org.mw"/>
    <s v="Chipiliro Banda"/>
    <x v="13"/>
    <s v="COE"/>
    <x v="1"/>
    <s v="COP_24"/>
    <s v="COP_24"/>
    <s v="Quarter4"/>
    <s v="Quarter1"/>
    <s v="Qtr_1"/>
    <x v="11"/>
    <d v="2024-12-01T00:00:00"/>
    <d v="2024-12-31T00:00:00"/>
    <x v="5"/>
    <x v="47"/>
    <n v="0"/>
    <n v="59"/>
    <n v="10"/>
    <n v="4"/>
    <n v="1"/>
    <n v="74"/>
    <n v="23"/>
    <n v="23"/>
    <n v="2"/>
    <n v="2"/>
    <n v="1"/>
    <n v="23"/>
    <n v="1"/>
    <n v="0"/>
    <n v="0"/>
    <n v="0"/>
    <n v="0"/>
    <n v="23"/>
    <n v="0"/>
    <n v="1"/>
    <n v="1"/>
  </r>
  <r>
    <n v="1543"/>
    <d v="2025-04-23T14:14:29"/>
    <d v="2025-04-23T14:21:28"/>
    <s v="chbanda@lighthouse.org.mw"/>
    <s v="Chipiliro Banda"/>
    <x v="13"/>
    <s v="COE"/>
    <x v="2"/>
    <s v="COP_24"/>
    <s v="COP_24"/>
    <s v="Quarter1"/>
    <s v="Quarter2"/>
    <s v="Qtr_2"/>
    <x v="5"/>
    <d v="2025-02-01T00:00:00"/>
    <d v="2025-02-28T00:00:00"/>
    <x v="3"/>
    <x v="21"/>
    <n v="0"/>
    <n v="0"/>
    <n v="0"/>
    <n v="0"/>
    <n v="0"/>
    <n v="0"/>
    <n v="0"/>
    <n v="0"/>
    <n v="0"/>
    <n v="0"/>
    <n v="0"/>
    <n v="0"/>
    <n v="0"/>
    <n v="0"/>
    <n v="0"/>
    <n v="0"/>
    <n v="0"/>
    <n v="0"/>
    <n v="0"/>
    <n v="0"/>
    <n v="0"/>
  </r>
  <r>
    <n v="1544"/>
    <d v="2025-04-23T14:21:45"/>
    <d v="2025-04-23T14:25:22"/>
    <s v="chbanda@lighthouse.org.mw"/>
    <s v="Chipiliro Banda"/>
    <x v="13"/>
    <s v="COE"/>
    <x v="2"/>
    <s v="COP_24"/>
    <s v="COP_24"/>
    <s v="Quarter1"/>
    <s v="Quarter2"/>
    <s v="Qtr_2"/>
    <x v="5"/>
    <d v="2025-02-01T00:00:00"/>
    <d v="2025-02-28T00:00:00"/>
    <x v="0"/>
    <x v="174"/>
    <n v="14"/>
    <n v="89"/>
    <n v="35"/>
    <n v="28"/>
    <n v="18"/>
    <n v="164"/>
    <n v="50"/>
    <n v="51"/>
    <n v="6"/>
    <n v="6"/>
    <n v="1"/>
    <n v="46"/>
    <n v="2"/>
    <n v="0"/>
    <n v="0"/>
    <n v="0"/>
    <n v="0"/>
    <n v="50"/>
    <n v="3"/>
    <n v="5"/>
    <n v="1"/>
  </r>
  <r>
    <n v="1545"/>
    <d v="2025-04-23T14:27:32"/>
    <d v="2025-04-23T14:29:42"/>
    <s v="chbanda@lighthouse.org.mw"/>
    <s v="Chipiliro Banda"/>
    <x v="13"/>
    <s v="COE"/>
    <x v="2"/>
    <s v="COP_24"/>
    <s v="COP_24"/>
    <s v="Quarter1"/>
    <s v="Quarter2"/>
    <s v="Qtr_2"/>
    <x v="5"/>
    <d v="2025-02-01T00:00:00"/>
    <d v="2025-02-28T00:00:00"/>
    <x v="5"/>
    <x v="43"/>
    <n v="0"/>
    <n v="22"/>
    <n v="5"/>
    <n v="1"/>
    <n v="4"/>
    <n v="32"/>
    <n v="10"/>
    <n v="10"/>
    <n v="3"/>
    <n v="3"/>
    <n v="0"/>
    <n v="10"/>
    <n v="0"/>
    <n v="0"/>
    <n v="0"/>
    <n v="0"/>
    <n v="0"/>
    <n v="10"/>
    <n v="0"/>
    <n v="0"/>
    <n v="0"/>
  </r>
  <r>
    <n v="1546"/>
    <d v="2025-04-23T14:36:27"/>
    <d v="2025-04-23T14:38:51"/>
    <s v="chbanda@lighthouse.org.mw"/>
    <s v="Chipiliro Banda"/>
    <x v="13"/>
    <s v="COE"/>
    <x v="2"/>
    <s v="COP_24"/>
    <s v="COP_24"/>
    <s v="Quarter1"/>
    <s v="Quarter2"/>
    <s v="Qtr_2"/>
    <x v="5"/>
    <d v="2025-02-01T00:00:00"/>
    <d v="2025-02-28T00:00:00"/>
    <x v="4"/>
    <x v="31"/>
    <n v="0"/>
    <n v="4"/>
    <n v="1"/>
    <n v="1"/>
    <n v="1"/>
    <n v="7"/>
    <n v="2"/>
    <n v="2"/>
    <n v="0"/>
    <n v="0"/>
    <n v="0"/>
    <n v="2"/>
    <n v="0"/>
    <n v="0"/>
    <n v="0"/>
    <n v="0"/>
    <n v="0"/>
    <n v="2"/>
    <n v="0"/>
    <n v="0"/>
    <n v="0"/>
  </r>
  <r>
    <n v="1547"/>
    <d v="2025-04-23T14:39:06"/>
    <d v="2025-04-23T14:43:51"/>
    <s v="chbanda@lighthouse.org.mw"/>
    <s v="Chipiliro Banda"/>
    <x v="13"/>
    <s v="COE"/>
    <x v="2"/>
    <s v="COP_24"/>
    <s v="COP_24"/>
    <s v="Quarter1"/>
    <s v="Quarter2"/>
    <s v="Qtr_2"/>
    <x v="5"/>
    <d v="2025-02-01T00:00:00"/>
    <d v="2025-02-28T00:00:00"/>
    <x v="2"/>
    <x v="59"/>
    <n v="0"/>
    <n v="22"/>
    <n v="1"/>
    <n v="2"/>
    <n v="1"/>
    <n v="26"/>
    <n v="5"/>
    <n v="5"/>
    <n v="1"/>
    <n v="0"/>
    <n v="0"/>
    <n v="5"/>
    <n v="0"/>
    <n v="0"/>
    <n v="0"/>
    <n v="0"/>
    <n v="0"/>
    <n v="0"/>
    <n v="0"/>
    <n v="0"/>
    <n v="0"/>
  </r>
  <r>
    <n v="1548"/>
    <d v="2025-04-23T14:44:27"/>
    <d v="2025-04-23T14:48:10"/>
    <s v="chbanda@lighthouse.org.mw"/>
    <s v="Chipiliro Banda"/>
    <x v="13"/>
    <s v="COE"/>
    <x v="2"/>
    <s v="COP_24"/>
    <s v="COP_24"/>
    <s v="Quarter1"/>
    <s v="Quarter2"/>
    <s v="Qtr_2"/>
    <x v="4"/>
    <d v="2025-01-01T00:00:00"/>
    <d v="2025-01-31T00:00:00"/>
    <x v="0"/>
    <x v="188"/>
    <n v="7"/>
    <n v="161"/>
    <n v="44"/>
    <n v="29"/>
    <n v="13"/>
    <n v="233"/>
    <n v="71"/>
    <n v="93"/>
    <n v="5"/>
    <n v="4"/>
    <n v="3"/>
    <n v="74"/>
    <n v="3"/>
    <n v="0"/>
    <n v="0"/>
    <n v="0"/>
    <n v="0"/>
    <n v="74"/>
    <n v="3"/>
    <n v="6"/>
    <n v="3"/>
  </r>
  <r>
    <n v="1549"/>
    <d v="2025-04-23T14:48:19"/>
    <d v="2025-04-23T14:50:36"/>
    <s v="chbanda@lighthouse.org.mw"/>
    <s v="Chipiliro Banda"/>
    <x v="13"/>
    <s v="COE"/>
    <x v="2"/>
    <s v="COP_24"/>
    <s v="COP_24"/>
    <s v="Quarter1"/>
    <s v="Quarter2"/>
    <s v="Qtr_2"/>
    <x v="4"/>
    <d v="2025-01-01T00:00:00"/>
    <d v="2025-01-31T00:00:00"/>
    <x v="4"/>
    <x v="31"/>
    <n v="0"/>
    <n v="4"/>
    <n v="1"/>
    <n v="1"/>
    <n v="1"/>
    <n v="7"/>
    <n v="2"/>
    <n v="2"/>
    <n v="0"/>
    <n v="0"/>
    <n v="0"/>
    <n v="2"/>
    <n v="0"/>
    <n v="0"/>
    <n v="0"/>
    <n v="0"/>
    <n v="0"/>
    <n v="0"/>
    <n v="0"/>
    <n v="0"/>
    <n v="0"/>
  </r>
  <r>
    <n v="1550"/>
    <d v="2025-04-23T14:50:54"/>
    <d v="2025-04-23T14:53:49"/>
    <s v="chbanda@lighthouse.org.mw"/>
    <s v="Chipiliro Banda"/>
    <x v="13"/>
    <s v="COE"/>
    <x v="2"/>
    <s v="COP_24"/>
    <s v="COP_24"/>
    <s v="Quarter1"/>
    <s v="Quarter2"/>
    <s v="Qtr_2"/>
    <x v="4"/>
    <d v="2025-01-01T00:00:00"/>
    <d v="2025-01-31T00:00:00"/>
    <x v="3"/>
    <x v="39"/>
    <n v="0"/>
    <n v="5"/>
    <n v="0"/>
    <n v="2"/>
    <n v="1"/>
    <n v="0"/>
    <n v="0"/>
    <n v="8"/>
    <n v="0"/>
    <n v="0"/>
    <n v="0"/>
    <n v="4"/>
    <n v="1"/>
    <n v="0"/>
    <n v="0"/>
    <n v="0"/>
    <n v="0"/>
    <n v="0"/>
    <n v="0"/>
    <n v="1"/>
    <n v="0"/>
  </r>
  <r>
    <n v="1551"/>
    <d v="2025-04-23T15:08:35"/>
    <d v="2025-04-23T15:11:02"/>
    <s v="chbanda@lighthouse.org.mw"/>
    <s v="Chipiliro Banda"/>
    <x v="13"/>
    <s v="COE"/>
    <x v="2"/>
    <s v="COP_24"/>
    <s v="COP_24"/>
    <s v="Quarter1"/>
    <s v="Quarter2"/>
    <s v="Qtr_2"/>
    <x v="4"/>
    <d v="2025-01-01T00:00:00"/>
    <d v="2025-01-31T00:00:00"/>
    <x v="2"/>
    <x v="5"/>
    <n v="0"/>
    <n v="34"/>
    <n v="5"/>
    <n v="3"/>
    <n v="2"/>
    <n v="44"/>
    <n v="9"/>
    <n v="9"/>
    <n v="2"/>
    <n v="2"/>
    <n v="1"/>
    <n v="9"/>
    <n v="1"/>
    <n v="0"/>
    <n v="0"/>
    <n v="0"/>
    <n v="0"/>
    <n v="8"/>
    <n v="1"/>
    <n v="2"/>
    <n v="1"/>
  </r>
  <r>
    <n v="1552"/>
    <d v="2025-04-25T15:31:39"/>
    <d v="2025-04-25T15:36:23"/>
    <s v="chbanda@lighthouse.org.mw"/>
    <s v="Chipiliro Banda"/>
    <x v="13"/>
    <s v="COE"/>
    <x v="2"/>
    <s v="COP_24"/>
    <s v="COP_24"/>
    <s v="Quarter1"/>
    <s v="Quarter2"/>
    <s v="Qtr_2"/>
    <x v="3"/>
    <d v="2025-03-01T00:00:00"/>
    <d v="2025-03-31T00:00:00"/>
    <x v="0"/>
    <x v="189"/>
    <n v="151"/>
    <n v="204"/>
    <n v="89"/>
    <n v="96"/>
    <n v="40"/>
    <n v="423"/>
    <n v="122"/>
    <n v="116"/>
    <n v="6"/>
    <n v="6"/>
    <n v="2"/>
    <n v="111"/>
    <n v="6"/>
    <n v="0"/>
    <n v="0"/>
    <n v="0"/>
    <n v="0"/>
    <n v="0"/>
    <n v="0"/>
    <n v="2"/>
    <n v="2"/>
  </r>
  <r>
    <n v="1560"/>
    <d v="2025-05-05T09:35:02"/>
    <d v="2025-05-05T09:40:48"/>
    <s v="chbanda@lighthouse.org.mw"/>
    <s v="Chipiliro Banda"/>
    <x v="13"/>
    <s v="COE"/>
    <x v="2"/>
    <s v="COP_24"/>
    <s v="COP_24"/>
    <s v="Quarter1"/>
    <s v="Quarter2"/>
    <s v="Qtr_2"/>
    <x v="3"/>
    <d v="2025-03-01T00:00:00"/>
    <d v="2025-03-31T00:00:00"/>
    <x v="5"/>
    <x v="123"/>
    <n v="0"/>
    <n v="32"/>
    <n v="10"/>
    <n v="6"/>
    <n v="1"/>
    <n v="48"/>
    <n v="12"/>
    <n v="13"/>
    <n v="0"/>
    <n v="0"/>
    <n v="0"/>
    <n v="13"/>
    <n v="0"/>
    <n v="0"/>
    <n v="0"/>
    <n v="0"/>
    <n v="0"/>
    <n v="12"/>
    <n v="0"/>
    <n v="0"/>
    <n v="0"/>
  </r>
  <r>
    <n v="1561"/>
    <d v="2025-05-05T09:42:54"/>
    <d v="2025-05-05T10:03:53"/>
    <s v="chbanda@lighthouse.org.mw"/>
    <s v="Chipiliro Banda"/>
    <x v="13"/>
    <s v="COE"/>
    <x v="2"/>
    <s v="COP_24"/>
    <s v="COP_24"/>
    <s v="Quarter1"/>
    <s v="Quarter2"/>
    <s v="Qtr_2"/>
    <x v="3"/>
    <d v="2025-03-01T00:00:00"/>
    <d v="2025-03-31T00:00:00"/>
    <x v="4"/>
    <x v="60"/>
    <n v="0"/>
    <n v="9"/>
    <n v="5"/>
    <n v="3"/>
    <n v="1"/>
    <n v="17"/>
    <n v="2"/>
    <n v="18"/>
    <n v="2"/>
    <n v="0"/>
    <n v="0"/>
    <n v="3"/>
    <n v="0"/>
    <n v="0"/>
    <n v="0"/>
    <n v="0"/>
    <n v="0"/>
    <n v="2"/>
    <n v="0"/>
    <n v="0"/>
    <n v="0"/>
  </r>
  <r>
    <n v="1563"/>
    <d v="2025-05-05T11:05:22"/>
    <d v="2025-05-05T11:07:05"/>
    <s v="chbanda@lighthouse.org.mw"/>
    <s v="Chipiliro Banda"/>
    <x v="13"/>
    <s v="COE"/>
    <x v="2"/>
    <s v="COP_24"/>
    <s v="COP_24"/>
    <s v="Quarter1"/>
    <s v="Quarter2"/>
    <s v="Qtr_2"/>
    <x v="3"/>
    <d v="2025-03-01T00:00:00"/>
    <d v="2025-03-31T00:00:00"/>
    <x v="3"/>
    <x v="30"/>
    <n v="0"/>
    <n v="1"/>
    <n v="0"/>
    <n v="0"/>
    <n v="2"/>
    <n v="0"/>
    <n v="0"/>
    <n v="3"/>
    <n v="0"/>
    <n v="0"/>
    <n v="0"/>
    <n v="3"/>
    <n v="1"/>
    <n v="0"/>
    <n v="0"/>
    <n v="0"/>
    <n v="0"/>
    <n v="0"/>
    <n v="0"/>
    <n v="1"/>
    <n v="0"/>
  </r>
  <r>
    <n v="1564"/>
    <d v="2025-05-05T11:07:20"/>
    <d v="2025-05-05T11:14:53"/>
    <s v="chbanda@lighthouse.org.mw"/>
    <s v="Chipiliro Banda"/>
    <x v="13"/>
    <s v="COE"/>
    <x v="2"/>
    <s v="COP_24"/>
    <s v="COP_24"/>
    <s v="Quarter1"/>
    <s v="Quarter2"/>
    <s v="Qtr_2"/>
    <x v="3"/>
    <d v="2025-03-01T00:00:00"/>
    <d v="2025-03-31T00:00:00"/>
    <x v="2"/>
    <x v="52"/>
    <n v="0"/>
    <n v="14"/>
    <n v="6"/>
    <n v="4"/>
    <n v="0"/>
    <n v="24"/>
    <n v="4"/>
    <n v="4"/>
    <n v="0"/>
    <n v="0"/>
    <n v="0"/>
    <n v="4"/>
    <n v="1"/>
    <n v="0"/>
    <n v="0"/>
    <n v="0"/>
    <n v="0"/>
    <n v="3"/>
    <n v="1"/>
    <n v="2"/>
    <n v="0"/>
  </r>
  <r>
    <n v="1565"/>
    <d v="2025-05-05T11:15:42"/>
    <d v="2025-05-05T11:20:19"/>
    <s v="chbanda@lighthouse.org.mw"/>
    <s v="Chipiliro Banda"/>
    <x v="13"/>
    <s v="COE"/>
    <x v="2"/>
    <s v="COP_24"/>
    <s v="COP_24"/>
    <s v="Quarter1"/>
    <s v="Quarter2"/>
    <s v="Qtr_2"/>
    <x v="3"/>
    <d v="2025-03-01T00:00:00"/>
    <d v="2025-03-31T00:00:00"/>
    <x v="1"/>
    <x v="68"/>
    <n v="0"/>
    <n v="40"/>
    <n v="12"/>
    <n v="4"/>
    <n v="5"/>
    <n v="59"/>
    <n v="19"/>
    <n v="19"/>
    <n v="0"/>
    <n v="0"/>
    <n v="0"/>
    <n v="20"/>
    <n v="2"/>
    <n v="0"/>
    <n v="0"/>
    <n v="0"/>
    <n v="0"/>
    <n v="16"/>
    <n v="1"/>
    <n v="3"/>
    <n v="0"/>
  </r>
  <r>
    <n v="1566"/>
    <d v="2025-05-05T12:16:49"/>
    <d v="2025-05-05T12:16:54"/>
    <s v="chbanda@lighthouse.org.mw"/>
    <s v="Chipiliro Banda"/>
    <x v="13"/>
    <s v="COE"/>
    <x v="2"/>
    <s v="COP_24"/>
    <s v="COP_24"/>
    <s v="Quarter1"/>
    <s v="Quarter2"/>
    <s v="Qtr_2"/>
    <x v="4"/>
    <d v="2025-01-01T00:00:00"/>
    <d v="2025-01-31T00:00:00"/>
    <x v="6"/>
    <x v="156"/>
    <n v="168"/>
    <n v="16"/>
    <n v="42"/>
    <n v="86"/>
    <n v="42"/>
    <n v="179"/>
    <n v="68"/>
    <n v="71"/>
    <n v="6"/>
    <n v="0"/>
    <n v="0"/>
    <n v="54"/>
    <n v="10"/>
    <n v="0"/>
    <n v="0"/>
    <n v="0"/>
    <n v="0"/>
    <n v="0"/>
    <n v="0"/>
    <n v="10"/>
    <n v="0"/>
  </r>
  <r>
    <n v="1573"/>
    <d v="2025-05-06T10:44:34"/>
    <d v="2025-05-06T10:46:33"/>
    <s v="chbanda@lighthouse.org.mw"/>
    <s v="Chipiliro Banda"/>
    <x v="13"/>
    <s v="COE"/>
    <x v="2"/>
    <s v="COP_24"/>
    <s v="COP_24"/>
    <s v="Quarter1"/>
    <s v="Quarter2"/>
    <s v="Qtr_2"/>
    <x v="4"/>
    <d v="2025-01-01T00:00:00"/>
    <d v="2025-01-31T00:00:00"/>
    <x v="1"/>
    <x v="48"/>
    <n v="0"/>
    <n v="28"/>
    <n v="11"/>
    <n v="10"/>
    <n v="5"/>
    <n v="51"/>
    <n v="24"/>
    <n v="26"/>
    <n v="1"/>
    <n v="1"/>
    <n v="1"/>
    <n v="26"/>
    <n v="2"/>
    <n v="0"/>
    <n v="0"/>
    <n v="0"/>
    <n v="0"/>
    <n v="22"/>
    <n v="2"/>
    <n v="4"/>
    <n v="1"/>
  </r>
  <r>
    <n v="1581"/>
    <d v="2025-05-06T14:14:39"/>
    <d v="2025-05-06T14:15:08"/>
    <s v="chbanda@lighthouse.org.mw"/>
    <s v="Chipiliro Banda"/>
    <x v="13"/>
    <s v="COE"/>
    <x v="2"/>
    <s v="COP_24"/>
    <s v="COP_24"/>
    <s v="Quarter1"/>
    <s v="Quarter2"/>
    <s v="Qtr_2"/>
    <x v="5"/>
    <d v="2025-02-01T00:00:00"/>
    <d v="2025-02-28T00:00:00"/>
    <x v="1"/>
    <x v="32"/>
    <n v="0"/>
    <n v="23"/>
    <n v="9"/>
    <n v="7"/>
    <n v="3"/>
    <n v="42"/>
    <n v="15"/>
    <n v="15"/>
    <n v="1"/>
    <n v="1"/>
    <n v="0"/>
    <n v="14"/>
    <n v="0"/>
    <n v="0"/>
    <n v="0"/>
    <n v="0"/>
    <n v="0"/>
    <n v="14"/>
    <n v="1"/>
    <n v="0"/>
    <n v="0"/>
  </r>
  <r>
    <n v="1582"/>
    <d v="2025-05-06T16:10:56"/>
    <d v="2025-05-06T16:13:16"/>
    <s v="chbanda@lighthouse.org.mw"/>
    <s v="Chipiliro Banda"/>
    <x v="13"/>
    <s v="COE"/>
    <x v="2"/>
    <s v="COP_24"/>
    <m/>
    <s v="Quarter1"/>
    <s v="Quarter2"/>
    <m/>
    <x v="4"/>
    <d v="2025-01-01T00:00:00"/>
    <d v="2025-01-31T00:00:00"/>
    <x v="5"/>
    <x v="170"/>
    <n v="0"/>
    <n v="81"/>
    <n v="8"/>
    <n v="6"/>
    <n v="0"/>
    <n v="92"/>
    <n v="31"/>
    <n v="37"/>
    <n v="1"/>
    <n v="1"/>
    <n v="0"/>
    <n v="35"/>
    <n v="0"/>
    <n v="0"/>
    <n v="0"/>
    <n v="0"/>
    <n v="0"/>
    <n v="24"/>
    <n v="1"/>
    <n v="1"/>
    <n v="0"/>
  </r>
  <r>
    <n v="1597"/>
    <d v="2025-05-07T10:01:24"/>
    <d v="2025-05-07T10:02:13"/>
    <s v="chbanda@lighthouse.org.mw"/>
    <s v="Chipiliro Banda"/>
    <x v="13"/>
    <s v="COE"/>
    <x v="2"/>
    <s v="COP_24"/>
    <m/>
    <s v="Quarter1"/>
    <s v="Quarter2"/>
    <m/>
    <x v="5"/>
    <d v="2025-02-01T00:00:00"/>
    <d v="2025-02-28T00:00:00"/>
    <x v="6"/>
    <x v="21"/>
    <n v="0"/>
    <n v="0"/>
    <n v="0"/>
    <n v="0"/>
    <n v="0"/>
    <n v="0"/>
    <n v="0"/>
    <n v="0"/>
    <n v="0"/>
    <n v="0"/>
    <n v="0"/>
    <n v="0"/>
    <n v="0"/>
    <n v="0"/>
    <n v="0"/>
    <n v="0"/>
    <n v="0"/>
    <n v="0"/>
    <n v="0"/>
    <n v="0"/>
    <n v="0"/>
  </r>
  <r>
    <n v="1598"/>
    <d v="2025-05-07T10:02:15"/>
    <d v="2025-05-07T10:02:59"/>
    <s v="chbanda@lighthouse.org.mw"/>
    <s v="Chipiliro Banda"/>
    <x v="13"/>
    <s v="COE"/>
    <x v="2"/>
    <s v="COP_24"/>
    <m/>
    <s v="Quarter1"/>
    <s v="Quarter2"/>
    <m/>
    <x v="3"/>
    <d v="2025-03-01T00:00:00"/>
    <d v="2025-03-31T00:00:00"/>
    <x v="6"/>
    <x v="21"/>
    <n v="0"/>
    <n v="0"/>
    <n v="0"/>
    <n v="0"/>
    <n v="0"/>
    <n v="0"/>
    <n v="0"/>
    <n v="0"/>
    <n v="0"/>
    <n v="0"/>
    <n v="0"/>
    <n v="0"/>
    <n v="0"/>
    <n v="0"/>
    <n v="0"/>
    <n v="0"/>
    <n v="0"/>
    <n v="0"/>
    <n v="0"/>
    <n v="0"/>
    <n v="0"/>
  </r>
  <r>
    <n v="1601"/>
    <d v="2025-05-07T12:11:46"/>
    <d v="2025-05-07T12:13:15"/>
    <s v="anhlema@lighthouse.org.mw"/>
    <s v="Angelina Nhlema"/>
    <x v="13"/>
    <s v="COE"/>
    <x v="2"/>
    <s v="COP_24"/>
    <m/>
    <s v="Quarter1"/>
    <s v="Quarter2"/>
    <m/>
    <x v="5"/>
    <m/>
    <m/>
    <x v="6"/>
    <x v="21"/>
    <n v="0"/>
    <n v="0"/>
    <n v="0"/>
    <n v="0"/>
    <n v="0"/>
    <n v="0"/>
    <n v="0"/>
    <n v="0"/>
    <n v="0"/>
    <n v="0"/>
    <n v="0"/>
    <n v="0"/>
    <n v="0"/>
    <n v="0"/>
    <n v="0"/>
    <n v="0"/>
    <n v="0"/>
    <n v="0"/>
    <n v="0"/>
    <n v="0"/>
    <n v="0"/>
  </r>
  <r>
    <n v="1602"/>
    <d v="2025-05-07T12:15:00"/>
    <d v="2025-05-07T12:20:34"/>
    <s v="anhlema@lighthouse.org.mw"/>
    <s v="Angelina Nhlema"/>
    <x v="13"/>
    <s v="COE"/>
    <x v="2"/>
    <s v="COP_24"/>
    <m/>
    <s v="Quarter1"/>
    <s v="Quarter2"/>
    <m/>
    <x v="3"/>
    <m/>
    <m/>
    <x v="6"/>
    <x v="21"/>
    <n v="0"/>
    <n v="0"/>
    <n v="0"/>
    <n v="0"/>
    <n v="0"/>
    <n v="0"/>
    <n v="0"/>
    <n v="0"/>
    <n v="0"/>
    <n v="0"/>
    <n v="0"/>
    <n v="0"/>
    <n v="0"/>
    <n v="0"/>
    <n v="0"/>
    <n v="0"/>
    <n v="0"/>
    <n v="0"/>
    <n v="0"/>
    <n v="0"/>
    <n v="0"/>
  </r>
  <r>
    <n v="1665"/>
    <d v="2025-06-10T08:31:06"/>
    <d v="2025-06-10T09:02:22"/>
    <s v="chbanda@lighthouse.org.mw"/>
    <s v="Chipiliro Banda"/>
    <x v="13"/>
    <s v="COE"/>
    <x v="2"/>
    <s v="COP_24"/>
    <m/>
    <s v="Quarter2"/>
    <s v="Quarter3"/>
    <m/>
    <x v="7"/>
    <d v="2025-04-01T00:00:00"/>
    <d v="2025-04-30T00:00:00"/>
    <x v="0"/>
    <x v="190"/>
    <n v="216"/>
    <n v="315"/>
    <n v="69"/>
    <n v="85"/>
    <n v="59"/>
    <n v="501"/>
    <n v="160"/>
    <n v="186"/>
    <n v="9"/>
    <n v="2"/>
    <n v="0"/>
    <n v="134"/>
    <n v="20"/>
    <n v="0"/>
    <n v="0"/>
    <n v="0"/>
    <n v="0"/>
    <n v="142"/>
    <n v="6"/>
    <n v="27"/>
    <n v="2"/>
  </r>
  <r>
    <n v="1666"/>
    <d v="2025-06-10T09:03:04"/>
    <d v="2025-06-10T09:06:18"/>
    <s v="chbanda@lighthouse.org.mw"/>
    <s v="Chipiliro Banda"/>
    <x v="13"/>
    <s v="COE"/>
    <x v="2"/>
    <s v="COP_24"/>
    <m/>
    <s v="Quarter2"/>
    <s v="Quarter3"/>
    <m/>
    <x v="7"/>
    <d v="2025-04-01T00:00:00"/>
    <d v="2025-04-30T00:00:00"/>
    <x v="6"/>
    <x v="132"/>
    <n v="112"/>
    <n v="12"/>
    <n v="15"/>
    <n v="51"/>
    <n v="38"/>
    <n v="107"/>
    <n v="40"/>
    <n v="44"/>
    <n v="4"/>
    <n v="0"/>
    <n v="0"/>
    <n v="24"/>
    <n v="6"/>
    <n v="0"/>
    <n v="0"/>
    <n v="0"/>
    <n v="0"/>
    <n v="0"/>
    <n v="0"/>
    <n v="7"/>
    <n v="2"/>
  </r>
  <r>
    <n v="1667"/>
    <d v="2025-06-10T09:34:58"/>
    <d v="2025-06-10T09:35:13"/>
    <s v="chbanda@lighthouse.org.mw"/>
    <s v="Chipiliro Banda"/>
    <x v="13"/>
    <s v="COE"/>
    <x v="2"/>
    <s v="COP_24"/>
    <m/>
    <s v="Quarter2"/>
    <s v="Quarter3"/>
    <m/>
    <x v="7"/>
    <d v="2025-04-01T00:00:00"/>
    <d v="2025-04-30T00:00:00"/>
    <x v="4"/>
    <x v="36"/>
    <n v="0"/>
    <n v="8"/>
    <n v="3"/>
    <n v="0"/>
    <n v="0"/>
    <n v="11"/>
    <n v="1"/>
    <n v="1"/>
    <n v="0"/>
    <n v="0"/>
    <n v="0"/>
    <n v="1"/>
    <n v="0"/>
    <n v="0"/>
    <n v="0"/>
    <n v="0"/>
    <n v="0"/>
    <n v="1"/>
    <n v="0"/>
    <n v="0"/>
    <n v="0"/>
  </r>
  <r>
    <n v="1668"/>
    <d v="2025-06-10T09:37:00"/>
    <d v="2025-06-10T09:41:57"/>
    <s v="chbanda@lighthouse.org.mw"/>
    <s v="Chipiliro Banda"/>
    <x v="13"/>
    <s v="COE"/>
    <x v="2"/>
    <s v="COP_24"/>
    <m/>
    <s v="Quarter2"/>
    <s v="Quarter3"/>
    <m/>
    <x v="7"/>
    <d v="2025-04-01T00:00:00"/>
    <d v="2025-04-30T00:00:00"/>
    <x v="3"/>
    <x v="23"/>
    <n v="0"/>
    <n v="8"/>
    <n v="2"/>
    <n v="1"/>
    <n v="2"/>
    <n v="0"/>
    <n v="0"/>
    <n v="12"/>
    <n v="0"/>
    <n v="0"/>
    <n v="0"/>
    <n v="11"/>
    <n v="0"/>
    <n v="0"/>
    <n v="0"/>
    <n v="0"/>
    <n v="0"/>
    <n v="0"/>
    <n v="0"/>
    <n v="1"/>
    <n v="0"/>
  </r>
  <r>
    <n v="1669"/>
    <d v="2025-06-10T09:42:17"/>
    <d v="2025-06-10T09:44:44"/>
    <s v="chbanda@lighthouse.org.mw"/>
    <s v="Chipiliro Banda"/>
    <x v="13"/>
    <s v="COE"/>
    <x v="2"/>
    <s v="COP_24"/>
    <m/>
    <s v="Quarter2"/>
    <s v="Quarter3"/>
    <m/>
    <x v="7"/>
    <d v="2025-04-01T00:00:00"/>
    <d v="2025-04-30T00:00:00"/>
    <x v="2"/>
    <x v="0"/>
    <n v="0"/>
    <n v="30"/>
    <n v="1"/>
    <n v="4"/>
    <n v="0"/>
    <n v="34"/>
    <n v="6"/>
    <n v="6"/>
    <n v="0"/>
    <n v="0"/>
    <n v="0"/>
    <n v="6"/>
    <n v="0"/>
    <n v="0"/>
    <n v="0"/>
    <n v="0"/>
    <n v="0"/>
    <n v="6"/>
    <n v="0"/>
    <n v="1"/>
    <n v="0"/>
  </r>
  <r>
    <n v="1670"/>
    <d v="2025-06-10T09:44:58"/>
    <d v="2025-06-10T09:48:13"/>
    <s v="chbanda@lighthouse.org.mw"/>
    <s v="Chipiliro Banda"/>
    <x v="13"/>
    <s v="COE"/>
    <x v="2"/>
    <s v="COP_24"/>
    <m/>
    <s v="Quarter2"/>
    <s v="Quarter3"/>
    <m/>
    <x v="7"/>
    <d v="2025-04-01T00:00:00"/>
    <d v="2025-04-30T00:00:00"/>
    <x v="5"/>
    <x v="163"/>
    <n v="0"/>
    <n v="69"/>
    <n v="7"/>
    <n v="4"/>
    <n v="2"/>
    <n v="68"/>
    <n v="16"/>
    <n v="20"/>
    <n v="1"/>
    <n v="0"/>
    <n v="0"/>
    <n v="16"/>
    <n v="0"/>
    <n v="0"/>
    <n v="0"/>
    <n v="0"/>
    <n v="0"/>
    <n v="14"/>
    <n v="1"/>
    <n v="1"/>
    <n v="0"/>
  </r>
  <r>
    <n v="1677"/>
    <d v="2025-06-17T08:44:39"/>
    <d v="2025-06-17T08:48:59"/>
    <s v="chbanda@lighthouse.org.mw"/>
    <s v="Chipiliro Banda"/>
    <x v="13"/>
    <s v="COE"/>
    <x v="2"/>
    <s v="COP_24"/>
    <m/>
    <s v="Quarter2"/>
    <s v="Quarter3"/>
    <m/>
    <x v="7"/>
    <d v="2025-04-01T00:00:00"/>
    <d v="2025-04-30T00:00:00"/>
    <x v="1"/>
    <x v="45"/>
    <n v="4"/>
    <n v="59"/>
    <n v="15"/>
    <n v="5"/>
    <n v="2"/>
    <n v="77"/>
    <n v="31"/>
    <n v="35"/>
    <n v="1"/>
    <n v="1"/>
    <n v="0"/>
    <n v="35"/>
    <n v="4"/>
    <n v="0"/>
    <n v="0"/>
    <n v="0"/>
    <n v="0"/>
    <n v="33"/>
    <n v="4"/>
    <n v="8"/>
    <n v="0"/>
  </r>
  <r>
    <n v="1678"/>
    <d v="2025-06-17T08:51:44"/>
    <d v="2025-06-17T09:00:18"/>
    <s v="chbanda@lighthouse.org.mw"/>
    <s v="Chipiliro Banda"/>
    <x v="13"/>
    <s v="COE"/>
    <x v="2"/>
    <s v="COP_24"/>
    <m/>
    <s v="Quarter2"/>
    <s v="Quarter3"/>
    <m/>
    <x v="6"/>
    <d v="2025-05-01T00:00:00"/>
    <d v="2025-05-31T00:00:00"/>
    <x v="6"/>
    <x v="150"/>
    <n v="136"/>
    <n v="31"/>
    <n v="44"/>
    <n v="49"/>
    <n v="58"/>
    <n v="174"/>
    <n v="70"/>
    <n v="0"/>
    <n v="0"/>
    <n v="0"/>
    <n v="0"/>
    <n v="22"/>
    <n v="2"/>
    <n v="0"/>
    <n v="0"/>
    <n v="0"/>
    <n v="0"/>
    <n v="0"/>
    <n v="0"/>
    <n v="5"/>
    <n v="0"/>
  </r>
  <r>
    <n v="1679"/>
    <d v="2025-06-17T09:11:34"/>
    <d v="2025-06-17T09:14:07"/>
    <s v="chbanda@lighthouse.org.mw"/>
    <s v="Chipiliro Banda"/>
    <x v="13"/>
    <s v="COE"/>
    <x v="2"/>
    <s v="COP_24"/>
    <m/>
    <s v="Quarter2"/>
    <s v="Quarter3"/>
    <m/>
    <x v="6"/>
    <d v="2025-05-01T00:00:00"/>
    <d v="2025-05-31T00:00:00"/>
    <x v="3"/>
    <x v="31"/>
    <n v="0"/>
    <n v="2"/>
    <n v="1"/>
    <n v="2"/>
    <n v="2"/>
    <n v="0"/>
    <n v="0"/>
    <n v="7"/>
    <n v="1"/>
    <n v="0"/>
    <n v="0"/>
    <n v="4"/>
    <n v="0"/>
    <n v="0"/>
    <n v="0"/>
    <n v="0"/>
    <n v="0"/>
    <n v="0"/>
    <n v="0"/>
    <n v="0"/>
    <n v="0"/>
  </r>
  <r>
    <n v="1680"/>
    <d v="2025-06-17T11:02:30"/>
    <d v="2025-06-17T11:02:36"/>
    <s v="chbanda@lighthouse.org.mw"/>
    <s v="Chipiliro Banda"/>
    <x v="13"/>
    <s v="COE"/>
    <x v="2"/>
    <s v="COP_24"/>
    <m/>
    <s v="Quarter2"/>
    <s v="Quarter3"/>
    <m/>
    <x v="6"/>
    <d v="2025-05-01T00:00:00"/>
    <d v="2025-05-31T00:00:00"/>
    <x v="4"/>
    <x v="23"/>
    <n v="0"/>
    <n v="12"/>
    <n v="1"/>
    <n v="0"/>
    <n v="0"/>
    <n v="13"/>
    <n v="2"/>
    <n v="2"/>
    <n v="0"/>
    <n v="0"/>
    <n v="0"/>
    <n v="2"/>
    <n v="0"/>
    <n v="0"/>
    <n v="0"/>
    <n v="0"/>
    <n v="0"/>
    <n v="2"/>
    <n v="0"/>
    <n v="0"/>
    <n v="0"/>
  </r>
  <r>
    <n v="1681"/>
    <d v="2025-06-17T11:04:09"/>
    <d v="2025-06-17T11:08:46"/>
    <s v="chbanda@lighthouse.org.mw"/>
    <s v="Chipiliro Banda"/>
    <x v="13"/>
    <s v="COE"/>
    <x v="2"/>
    <s v="COP_24"/>
    <m/>
    <s v="Quarter2"/>
    <s v="Quarter3"/>
    <m/>
    <x v="6"/>
    <d v="2025-05-01T00:00:00"/>
    <d v="2025-05-31T00:00:00"/>
    <x v="2"/>
    <x v="182"/>
    <n v="0"/>
    <n v="30"/>
    <n v="4"/>
    <n v="2"/>
    <n v="0"/>
    <n v="35"/>
    <n v="2"/>
    <n v="3"/>
    <n v="0"/>
    <n v="0"/>
    <n v="0"/>
    <n v="3"/>
    <n v="0"/>
    <n v="0"/>
    <n v="0"/>
    <n v="0"/>
    <n v="0"/>
    <n v="2"/>
    <n v="0"/>
    <n v="0"/>
    <n v="0"/>
  </r>
  <r>
    <n v="1682"/>
    <d v="2025-06-17T13:11:20"/>
    <d v="2025-06-17T13:11:25"/>
    <s v="chbanda@lighthouse.org.mw"/>
    <s v="Chipiliro Banda"/>
    <x v="13"/>
    <s v="COE"/>
    <x v="2"/>
    <s v="COP_24"/>
    <m/>
    <s v="Quarter2"/>
    <s v="Quarter3"/>
    <m/>
    <x v="6"/>
    <d v="2025-05-01T00:00:00"/>
    <d v="2025-05-31T00:00:00"/>
    <x v="5"/>
    <x v="45"/>
    <n v="0"/>
    <n v="62"/>
    <n v="3"/>
    <n v="6"/>
    <n v="1"/>
    <n v="71"/>
    <n v="24"/>
    <n v="22"/>
    <n v="0"/>
    <n v="0"/>
    <n v="0"/>
    <n v="23"/>
    <n v="2"/>
    <n v="0"/>
    <n v="0"/>
    <n v="0"/>
    <n v="0"/>
    <n v="20"/>
    <n v="1"/>
    <n v="3"/>
    <n v="0"/>
  </r>
  <r>
    <n v="1684"/>
    <d v="2025-06-17T14:01:12"/>
    <d v="2025-06-17T14:03:57"/>
    <s v="chbanda@lighthouse.org.mw"/>
    <s v="Chipiliro Banda"/>
    <x v="13"/>
    <s v="COE"/>
    <x v="2"/>
    <s v="COP_24"/>
    <m/>
    <s v="Quarter2"/>
    <s v="Quarter3"/>
    <m/>
    <x v="6"/>
    <d v="2025-05-01T00:00:00"/>
    <d v="2025-05-31T00:00:00"/>
    <x v="0"/>
    <x v="191"/>
    <n v="173"/>
    <n v="236"/>
    <n v="74"/>
    <n v="85"/>
    <n v="76"/>
    <n v="449"/>
    <n v="147"/>
    <n v="86"/>
    <n v="5"/>
    <n v="1"/>
    <n v="0"/>
    <n v="106"/>
    <n v="8"/>
    <n v="0"/>
    <n v="0"/>
    <n v="0"/>
    <n v="0"/>
    <n v="54"/>
    <n v="2"/>
    <n v="14"/>
    <n v="0"/>
  </r>
  <r>
    <n v="1685"/>
    <d v="2025-06-17T14:24:27"/>
    <d v="2025-06-17T14:24:33"/>
    <s v="chbanda@lighthouse.org.mw"/>
    <s v="Chipiliro Banda"/>
    <x v="13"/>
    <s v="COE"/>
    <x v="2"/>
    <s v="COP_24"/>
    <m/>
    <s v="Quarter2"/>
    <s v="Quarter3"/>
    <m/>
    <x v="6"/>
    <d v="2025-05-01T00:00:00"/>
    <d v="2025-05-31T00:00:00"/>
    <x v="1"/>
    <x v="124"/>
    <n v="0"/>
    <n v="47"/>
    <n v="23"/>
    <n v="20"/>
    <n v="9"/>
    <n v="93"/>
    <n v="46"/>
    <n v="51"/>
    <n v="3"/>
    <n v="1"/>
    <n v="0"/>
    <n v="37"/>
    <n v="3"/>
    <n v="0"/>
    <n v="0"/>
    <n v="0"/>
    <n v="0"/>
    <n v="0"/>
    <n v="0"/>
    <n v="5"/>
    <n v="0"/>
  </r>
  <r>
    <n v="1777"/>
    <d v="2025-07-09T14:41:02"/>
    <d v="2025-07-09T14:44:40"/>
    <s v="chbanda@lighthouse.org.mw"/>
    <s v="Chipiliro Banda"/>
    <x v="13"/>
    <s v="COE"/>
    <x v="2"/>
    <s v="COP_24"/>
    <m/>
    <s v="Quarter2"/>
    <s v="Quarter3"/>
    <m/>
    <x v="8"/>
    <d v="2025-06-01T00:00:00"/>
    <d v="2025-06-30T00:00:00"/>
    <x v="6"/>
    <x v="116"/>
    <n v="136"/>
    <n v="16"/>
    <n v="33"/>
    <n v="56"/>
    <n v="58"/>
    <n v="156"/>
    <n v="58"/>
    <n v="62"/>
    <n v="2"/>
    <n v="0"/>
    <n v="0"/>
    <n v="43"/>
    <n v="10"/>
    <n v="0"/>
    <n v="0"/>
    <n v="0"/>
    <n v="0"/>
    <n v="0"/>
    <n v="0"/>
    <n v="6"/>
    <n v="0"/>
  </r>
  <r>
    <n v="1805"/>
    <d v="2025-07-14T12:37:58"/>
    <d v="2025-07-14T12:59:36"/>
    <s v="tsatumba@lighthouse.org.mw"/>
    <s v="Thomas Satumba"/>
    <x v="4"/>
    <s v="Prototype"/>
    <x v="2"/>
    <s v="COP_24"/>
    <m/>
    <s v="Quarter2"/>
    <s v="Quarter3"/>
    <m/>
    <x v="7"/>
    <d v="2025-04-01T00:00:00"/>
    <d v="2025-04-30T00:00:00"/>
    <x v="1"/>
    <x v="54"/>
    <n v="0"/>
    <n v="4"/>
    <n v="0"/>
    <n v="0"/>
    <n v="0"/>
    <n v="4"/>
    <n v="1"/>
    <n v="1"/>
    <n v="0"/>
    <n v="0"/>
    <n v="0"/>
    <n v="0"/>
    <n v="0"/>
    <n v="0"/>
    <n v="0"/>
    <n v="0"/>
    <n v="0"/>
    <n v="0"/>
    <n v="0"/>
    <n v="0"/>
    <n v="0"/>
  </r>
  <r>
    <n v="1806"/>
    <d v="2025-07-14T12:59:41"/>
    <d v="2025-07-14T13:01:28"/>
    <s v="tsatumba@lighthouse.org.mw"/>
    <s v="Thomas Satumba"/>
    <x v="4"/>
    <s v="Prototype"/>
    <x v="2"/>
    <s v="COP_24"/>
    <m/>
    <s v="Quarter2"/>
    <s v="Quarter3"/>
    <m/>
    <x v="7"/>
    <d v="2025-04-01T00:00:00"/>
    <d v="2025-04-30T00:00:00"/>
    <x v="3"/>
    <x v="21"/>
    <n v="0"/>
    <n v="0"/>
    <n v="0"/>
    <n v="0"/>
    <n v="0"/>
    <n v="0"/>
    <n v="0"/>
    <n v="0"/>
    <n v="0"/>
    <n v="0"/>
    <n v="0"/>
    <n v="0"/>
    <n v="0"/>
    <n v="0"/>
    <n v="0"/>
    <n v="0"/>
    <n v="0"/>
    <n v="0"/>
    <n v="0"/>
    <n v="0"/>
    <n v="0"/>
  </r>
  <r>
    <n v="1807"/>
    <d v="2025-07-14T13:01:30"/>
    <d v="2025-07-14T13:02:42"/>
    <s v="tsatumba@lighthouse.org.mw"/>
    <s v="Thomas Satumba"/>
    <x v="4"/>
    <s v="Prototype"/>
    <x v="2"/>
    <s v="COP_24"/>
    <m/>
    <s v="Quarter2"/>
    <s v="Quarter3"/>
    <m/>
    <x v="7"/>
    <d v="2025-04-01T00:00:00"/>
    <d v="2025-04-30T00:00:00"/>
    <x v="4"/>
    <x v="21"/>
    <n v="0"/>
    <n v="0"/>
    <n v="0"/>
    <n v="0"/>
    <n v="0"/>
    <n v="0"/>
    <n v="0"/>
    <n v="0"/>
    <n v="0"/>
    <n v="0"/>
    <n v="0"/>
    <n v="0"/>
    <n v="0"/>
    <n v="0"/>
    <n v="0"/>
    <n v="0"/>
    <n v="0"/>
    <n v="0"/>
    <n v="0"/>
    <n v="0"/>
    <n v="0"/>
  </r>
  <r>
    <n v="1808"/>
    <d v="2025-07-14T13:02:45"/>
    <d v="2025-07-14T13:04:57"/>
    <s v="tsatumba@lighthouse.org.mw"/>
    <s v="Thomas Satumba"/>
    <x v="4"/>
    <s v="Prototype"/>
    <x v="2"/>
    <s v="COP_24"/>
    <m/>
    <s v="Quarter2"/>
    <s v="Quarter3"/>
    <m/>
    <x v="7"/>
    <d v="2025-04-01T00:00:00"/>
    <d v="2025-04-30T00:00:00"/>
    <x v="2"/>
    <x v="21"/>
    <n v="0"/>
    <n v="0"/>
    <n v="0"/>
    <n v="0"/>
    <n v="0"/>
    <n v="0"/>
    <n v="0"/>
    <n v="0"/>
    <n v="0"/>
    <n v="0"/>
    <n v="0"/>
    <n v="0"/>
    <n v="0"/>
    <n v="0"/>
    <n v="0"/>
    <n v="0"/>
    <n v="0"/>
    <n v="0"/>
    <n v="0"/>
    <n v="0"/>
    <n v="0"/>
  </r>
  <r>
    <n v="1809"/>
    <d v="2025-07-14T13:05:01"/>
    <d v="2025-07-14T13:07:16"/>
    <s v="tsatumba@lighthouse.org.mw"/>
    <s v="Thomas Satumba"/>
    <x v="4"/>
    <s v="Prototype"/>
    <x v="2"/>
    <s v="COP_24"/>
    <m/>
    <s v="Quarter2"/>
    <s v="Quarter3"/>
    <m/>
    <x v="7"/>
    <d v="2025-04-01T00:00:00"/>
    <d v="2025-04-30T00:00:00"/>
    <x v="6"/>
    <x v="21"/>
    <n v="0"/>
    <n v="0"/>
    <n v="0"/>
    <n v="0"/>
    <n v="0"/>
    <n v="0"/>
    <n v="0"/>
    <n v="0"/>
    <n v="0"/>
    <n v="0"/>
    <n v="0"/>
    <n v="0"/>
    <n v="0"/>
    <n v="0"/>
    <n v="0"/>
    <n v="0"/>
    <n v="0"/>
    <n v="0"/>
    <n v="0"/>
    <n v="0"/>
    <n v="0"/>
  </r>
  <r>
    <n v="1810"/>
    <d v="2025-07-14T13:07:22"/>
    <d v="2025-07-14T13:12:22"/>
    <s v="tsatumba@lighthouse.org.mw"/>
    <s v="Thomas Satumba"/>
    <x v="4"/>
    <s v="Prototype"/>
    <x v="2"/>
    <s v="COP_24"/>
    <m/>
    <s v="Quarter2"/>
    <s v="Quarter3"/>
    <m/>
    <x v="7"/>
    <d v="2025-04-01T00:00:00"/>
    <d v="2025-04-30T00:00:00"/>
    <x v="0"/>
    <x v="54"/>
    <n v="1"/>
    <n v="4"/>
    <n v="0"/>
    <n v="0"/>
    <n v="1"/>
    <n v="5"/>
    <n v="2"/>
    <n v="2"/>
    <n v="0"/>
    <n v="0"/>
    <n v="0"/>
    <n v="2"/>
    <n v="1"/>
    <n v="0"/>
    <n v="0"/>
    <n v="0"/>
    <n v="0"/>
    <n v="1"/>
    <n v="0"/>
    <n v="1"/>
    <n v="0"/>
  </r>
  <r>
    <n v="1811"/>
    <d v="2025-07-14T13:14:09"/>
    <d v="2025-07-14T13:16:51"/>
    <s v="tsatumba@lighthouse.org.mw"/>
    <s v="Thomas Satumba"/>
    <x v="4"/>
    <s v="Prototype"/>
    <x v="2"/>
    <s v="COP_24"/>
    <m/>
    <s v="Quarter2"/>
    <s v="Quarter3"/>
    <m/>
    <x v="6"/>
    <d v="2025-05-01T00:00:00"/>
    <d v="2025-05-31T00:00:00"/>
    <x v="1"/>
    <x v="29"/>
    <n v="1"/>
    <n v="2"/>
    <n v="0"/>
    <n v="4"/>
    <n v="0"/>
    <n v="6"/>
    <n v="3"/>
    <n v="3"/>
    <n v="1"/>
    <n v="1"/>
    <n v="1"/>
    <n v="3"/>
    <n v="0"/>
    <n v="0"/>
    <n v="0"/>
    <n v="0"/>
    <n v="0"/>
    <n v="1"/>
    <n v="0"/>
    <n v="0"/>
    <n v="1"/>
  </r>
  <r>
    <n v="1812"/>
    <d v="2025-07-14T13:21:09"/>
    <d v="2025-07-14T13:22:32"/>
    <s v="tsatumba@lighthouse.org.mw"/>
    <s v="Thomas Satumba"/>
    <x v="4"/>
    <s v="Prototype"/>
    <x v="2"/>
    <s v="COP_24"/>
    <m/>
    <s v="Quarter2"/>
    <s v="Quarter3"/>
    <m/>
    <x v="6"/>
    <d v="2025-05-01T00:00:00"/>
    <d v="2025-05-31T00:00:00"/>
    <x v="3"/>
    <x v="21"/>
    <n v="0"/>
    <n v="0"/>
    <n v="0"/>
    <n v="0"/>
    <n v="0"/>
    <n v="0"/>
    <n v="0"/>
    <n v="0"/>
    <n v="0"/>
    <n v="0"/>
    <n v="0"/>
    <n v="0"/>
    <n v="0"/>
    <n v="0"/>
    <n v="0"/>
    <n v="0"/>
    <n v="0"/>
    <n v="0"/>
    <n v="0"/>
    <n v="0"/>
    <n v="0"/>
  </r>
  <r>
    <n v="1813"/>
    <d v="2025-07-14T13:22:35"/>
    <d v="2025-07-14T13:23:40"/>
    <s v="tsatumba@lighthouse.org.mw"/>
    <s v="Thomas Satumba"/>
    <x v="4"/>
    <s v="Prototype"/>
    <x v="2"/>
    <s v="COP_24"/>
    <m/>
    <s v="Quarter2"/>
    <s v="Quarter3"/>
    <m/>
    <x v="6"/>
    <d v="2025-05-01T00:00:00"/>
    <d v="2025-05-31T00:00:00"/>
    <x v="4"/>
    <x v="21"/>
    <n v="0"/>
    <n v="0"/>
    <n v="0"/>
    <n v="0"/>
    <n v="0"/>
    <n v="0"/>
    <n v="0"/>
    <n v="0"/>
    <n v="0"/>
    <n v="0"/>
    <n v="0"/>
    <n v="0"/>
    <n v="0"/>
    <n v="0"/>
    <n v="0"/>
    <n v="0"/>
    <n v="0"/>
    <n v="0"/>
    <n v="0"/>
    <n v="0"/>
    <n v="0"/>
  </r>
  <r>
    <n v="1814"/>
    <d v="2025-07-14T13:23:46"/>
    <d v="2025-07-14T13:25:05"/>
    <s v="tsatumba@lighthouse.org.mw"/>
    <s v="Thomas Satumba"/>
    <x v="4"/>
    <s v="Prototype"/>
    <x v="2"/>
    <s v="COP_24"/>
    <m/>
    <s v="Quarter2"/>
    <s v="Quarter3"/>
    <m/>
    <x v="6"/>
    <d v="2025-05-01T00:00:00"/>
    <d v="2025-05-31T00:00:00"/>
    <x v="5"/>
    <x v="21"/>
    <n v="0"/>
    <n v="0"/>
    <n v="0"/>
    <n v="0"/>
    <n v="0"/>
    <n v="0"/>
    <n v="0"/>
    <n v="0"/>
    <n v="0"/>
    <n v="0"/>
    <n v="0"/>
    <n v="0"/>
    <n v="0"/>
    <n v="0"/>
    <n v="0"/>
    <n v="0"/>
    <n v="0"/>
    <n v="0"/>
    <n v="0"/>
    <n v="0"/>
    <n v="0"/>
  </r>
  <r>
    <n v="1815"/>
    <d v="2025-07-14T13:25:10"/>
    <d v="2025-07-14T13:26:33"/>
    <s v="tsatumba@lighthouse.org.mw"/>
    <s v="Thomas Satumba"/>
    <x v="4"/>
    <s v="Prototype"/>
    <x v="2"/>
    <s v="COP_24"/>
    <m/>
    <s v="Quarter2"/>
    <s v="Quarter3"/>
    <m/>
    <x v="6"/>
    <d v="2025-05-01T00:00:00"/>
    <d v="2025-05-31T00:00:00"/>
    <x v="2"/>
    <x v="21"/>
    <n v="0"/>
    <n v="0"/>
    <n v="0"/>
    <n v="0"/>
    <n v="0"/>
    <n v="0"/>
    <n v="0"/>
    <n v="0"/>
    <n v="0"/>
    <n v="0"/>
    <n v="0"/>
    <n v="0"/>
    <n v="0"/>
    <n v="0"/>
    <n v="0"/>
    <n v="0"/>
    <n v="0"/>
    <n v="0"/>
    <n v="0"/>
    <n v="0"/>
    <n v="0"/>
  </r>
  <r>
    <n v="1816"/>
    <d v="2025-07-14T13:26:35"/>
    <d v="2025-07-14T13:27:58"/>
    <s v="tsatumba@lighthouse.org.mw"/>
    <s v="Thomas Satumba"/>
    <x v="4"/>
    <s v="Prototype"/>
    <x v="2"/>
    <s v="COP_24"/>
    <m/>
    <s v="Quarter2"/>
    <s v="Quarter3"/>
    <m/>
    <x v="6"/>
    <d v="2025-05-01T00:00:00"/>
    <d v="2025-05-31T00:00:00"/>
    <x v="6"/>
    <x v="21"/>
    <n v="0"/>
    <n v="0"/>
    <n v="0"/>
    <n v="0"/>
    <n v="0"/>
    <n v="0"/>
    <n v="0"/>
    <n v="0"/>
    <n v="0"/>
    <n v="0"/>
    <n v="0"/>
    <n v="0"/>
    <n v="0"/>
    <n v="0"/>
    <n v="0"/>
    <n v="0"/>
    <n v="0"/>
    <n v="0"/>
    <n v="0"/>
    <n v="0"/>
    <n v="0"/>
  </r>
  <r>
    <n v="1817"/>
    <d v="2025-07-14T13:28:02"/>
    <d v="2025-07-14T13:34:39"/>
    <s v="tsatumba@lighthouse.org.mw"/>
    <s v="Thomas Satumba"/>
    <x v="4"/>
    <s v="Prototype"/>
    <x v="2"/>
    <s v="COP_24"/>
    <m/>
    <s v="Quarter2"/>
    <s v="Quarter3"/>
    <m/>
    <x v="6"/>
    <d v="2025-05-01T00:00:00"/>
    <d v="2025-05-31T00:00:00"/>
    <x v="0"/>
    <x v="37"/>
    <n v="1"/>
    <n v="2"/>
    <n v="0"/>
    <n v="4"/>
    <n v="0"/>
    <n v="6"/>
    <n v="3"/>
    <n v="3"/>
    <n v="1"/>
    <n v="1"/>
    <n v="1"/>
    <n v="3"/>
    <n v="0"/>
    <n v="0"/>
    <n v="0"/>
    <n v="0"/>
    <n v="0"/>
    <n v="1"/>
    <n v="0"/>
    <n v="0"/>
    <n v="1"/>
  </r>
  <r>
    <n v="1818"/>
    <d v="2025-07-14T13:38:27"/>
    <d v="2025-07-14T13:43:09"/>
    <s v="tsatumba@lighthouse.org.mw"/>
    <s v="Thomas Satumba"/>
    <x v="4"/>
    <s v="Prototype"/>
    <x v="2"/>
    <s v="COP_24"/>
    <m/>
    <s v="Quarter2"/>
    <s v="Quarter3"/>
    <m/>
    <x v="8"/>
    <d v="2025-06-01T00:00:00"/>
    <d v="2025-06-30T00:00:00"/>
    <x v="0"/>
    <x v="31"/>
    <n v="4"/>
    <n v="2"/>
    <n v="1"/>
    <n v="2"/>
    <n v="2"/>
    <n v="7"/>
    <n v="5"/>
    <n v="6"/>
    <n v="1"/>
    <n v="1"/>
    <n v="0"/>
    <n v="6"/>
    <n v="1"/>
    <n v="0"/>
    <n v="0"/>
    <n v="0"/>
    <n v="0"/>
    <n v="6"/>
    <n v="0"/>
    <n v="1"/>
    <n v="0"/>
  </r>
  <r>
    <n v="1819"/>
    <d v="2025-07-14T13:43:12"/>
    <d v="2025-07-14T13:46:39"/>
    <s v="tsatumba@lighthouse.org.mw"/>
    <s v="Thomas Satumba"/>
    <x v="4"/>
    <s v="Prototype"/>
    <x v="2"/>
    <s v="COP_24"/>
    <m/>
    <s v="Quarter2"/>
    <s v="Quarter3"/>
    <m/>
    <x v="8"/>
    <d v="2025-06-01T00:00:00"/>
    <d v="2025-06-30T00:00:00"/>
    <x v="1"/>
    <x v="57"/>
    <n v="3"/>
    <n v="1"/>
    <n v="1"/>
    <n v="1"/>
    <n v="2"/>
    <n v="5"/>
    <n v="4"/>
    <n v="5"/>
    <n v="1"/>
    <n v="1"/>
    <n v="0"/>
    <n v="5"/>
    <n v="1"/>
    <n v="0"/>
    <n v="0"/>
    <n v="0"/>
    <n v="0"/>
    <n v="5"/>
    <n v="0"/>
    <n v="1"/>
    <n v="0"/>
  </r>
  <r>
    <n v="1820"/>
    <d v="2025-07-14T13:47:28"/>
    <d v="2025-07-14T13:48:39"/>
    <s v="tsatumba@lighthouse.org.mw"/>
    <s v="Thomas Satumba"/>
    <x v="4"/>
    <s v="Prototype"/>
    <x v="2"/>
    <s v="COP_24"/>
    <m/>
    <s v="Quarter2"/>
    <s v="Quarter3"/>
    <m/>
    <x v="8"/>
    <d v="2025-06-01T00:00:00"/>
    <d v="2025-06-30T00:00:00"/>
    <x v="3"/>
    <x v="21"/>
    <n v="0"/>
    <n v="0"/>
    <n v="0"/>
    <n v="0"/>
    <n v="0"/>
    <n v="0"/>
    <n v="0"/>
    <n v="0"/>
    <n v="0"/>
    <n v="0"/>
    <n v="0"/>
    <n v="0"/>
    <n v="0"/>
    <n v="0"/>
    <n v="0"/>
    <n v="0"/>
    <n v="0"/>
    <n v="0"/>
    <n v="0"/>
    <n v="0"/>
    <n v="0"/>
  </r>
  <r>
    <n v="1821"/>
    <d v="2025-07-14T13:48:42"/>
    <d v="2025-07-14T13:49:53"/>
    <s v="tsatumba@lighthouse.org.mw"/>
    <s v="Thomas Satumba"/>
    <x v="4"/>
    <s v="Prototype"/>
    <x v="2"/>
    <s v="COP_24"/>
    <m/>
    <s v="Quarter2"/>
    <s v="Quarter3"/>
    <m/>
    <x v="8"/>
    <d v="2025-06-01T00:00:00"/>
    <d v="2025-06-30T00:00:00"/>
    <x v="4"/>
    <x v="21"/>
    <n v="0"/>
    <n v="0"/>
    <n v="0"/>
    <n v="0"/>
    <n v="0"/>
    <n v="0"/>
    <n v="0"/>
    <n v="0"/>
    <n v="0"/>
    <n v="0"/>
    <n v="0"/>
    <n v="0"/>
    <n v="0"/>
    <n v="0"/>
    <n v="0"/>
    <n v="0"/>
    <n v="0"/>
    <n v="0"/>
    <n v="0"/>
    <n v="0"/>
    <n v="0"/>
  </r>
  <r>
    <n v="1822"/>
    <d v="2025-07-14T13:49:58"/>
    <d v="2025-07-14T13:52:11"/>
    <s v="tsatumba@lighthouse.org.mw"/>
    <s v="Thomas Satumba"/>
    <x v="4"/>
    <s v="Prototype"/>
    <x v="2"/>
    <s v="COP_24"/>
    <m/>
    <s v="Quarter2"/>
    <s v="Quarter3"/>
    <m/>
    <x v="8"/>
    <d v="2025-06-01T00:00:00"/>
    <d v="2025-06-30T00:00:00"/>
    <x v="2"/>
    <x v="21"/>
    <n v="0"/>
    <n v="0"/>
    <n v="0"/>
    <n v="0"/>
    <n v="0"/>
    <n v="0"/>
    <n v="0"/>
    <n v="0"/>
    <n v="0"/>
    <n v="0"/>
    <n v="0"/>
    <n v="0"/>
    <n v="0"/>
    <n v="0"/>
    <n v="0"/>
    <n v="0"/>
    <n v="0"/>
    <n v="0"/>
    <n v="0"/>
    <n v="0"/>
    <n v="0"/>
  </r>
  <r>
    <n v="1823"/>
    <d v="2025-07-14T13:52:14"/>
    <d v="2025-07-14T13:53:41"/>
    <s v="tsatumba@lighthouse.org.mw"/>
    <s v="Thomas Satumba"/>
    <x v="4"/>
    <s v="Prototype"/>
    <x v="2"/>
    <s v="COP_24"/>
    <m/>
    <s v="Quarter2"/>
    <s v="Quarter3"/>
    <m/>
    <x v="8"/>
    <d v="2025-06-01T00:00:00"/>
    <d v="2025-06-30T00:00:00"/>
    <x v="6"/>
    <x v="21"/>
    <n v="0"/>
    <n v="0"/>
    <n v="0"/>
    <n v="0"/>
    <n v="0"/>
    <n v="0"/>
    <n v="0"/>
    <n v="0"/>
    <n v="0"/>
    <n v="0"/>
    <n v="0"/>
    <n v="0"/>
    <n v="0"/>
    <n v="0"/>
    <n v="0"/>
    <n v="0"/>
    <n v="0"/>
    <n v="0"/>
    <n v="0"/>
    <n v="0"/>
    <n v="0"/>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3"/>
    <m/>
    <m/>
    <x v="7"/>
    <x v="192"/>
    <m/>
    <m/>
    <m/>
    <m/>
    <m/>
    <m/>
    <m/>
    <m/>
    <m/>
    <m/>
    <m/>
    <m/>
    <m/>
    <m/>
    <m/>
    <m/>
    <m/>
    <m/>
    <m/>
    <m/>
    <m/>
  </r>
  <r>
    <m/>
    <m/>
    <m/>
    <m/>
    <m/>
    <x v="14"/>
    <m/>
    <x v="3"/>
    <m/>
    <m/>
    <m/>
    <m/>
    <m/>
    <x v="12"/>
    <m/>
    <m/>
    <x v="7"/>
    <x v="193"/>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m/>
    <m/>
    <m/>
    <m/>
    <x v="14"/>
    <m/>
    <x v="3"/>
    <m/>
    <m/>
    <m/>
    <m/>
    <m/>
    <x v="12"/>
    <m/>
    <m/>
    <x v="7"/>
    <x v="192"/>
    <m/>
    <m/>
    <m/>
    <m/>
    <m/>
    <m/>
    <m/>
    <m/>
    <m/>
    <m/>
    <m/>
    <m/>
    <m/>
    <m/>
    <m/>
    <m/>
    <m/>
    <m/>
    <m/>
    <m/>
    <m/>
  </r>
  <r>
    <m/>
    <d v="2025-03-06T08:07:31"/>
    <m/>
    <m/>
    <m/>
    <x v="14"/>
    <m/>
    <x v="3"/>
    <m/>
    <m/>
    <m/>
    <m/>
    <m/>
    <x v="12"/>
    <m/>
    <m/>
    <x v="7"/>
    <x v="192"/>
    <m/>
    <m/>
    <m/>
    <m/>
    <m/>
    <m/>
    <m/>
    <m/>
    <m/>
    <m/>
    <m/>
    <m/>
    <m/>
    <m/>
    <m/>
    <m/>
    <m/>
    <m/>
    <m/>
    <m/>
    <m/>
  </r>
  <r>
    <m/>
    <m/>
    <m/>
    <m/>
    <m/>
    <x v="14"/>
    <m/>
    <x v="3"/>
    <m/>
    <m/>
    <m/>
    <m/>
    <m/>
    <x v="12"/>
    <m/>
    <m/>
    <x v="7"/>
    <x v="192"/>
    <m/>
    <m/>
    <m/>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20">
  <r>
    <n v="5"/>
    <d v="2023-12-15T12:13:28"/>
    <d v="2023-12-15T12:31:37"/>
    <s v="mchirwa@lighthouse.org.mw"/>
    <s v="Margaret Chirwa"/>
    <x v="0"/>
    <s v="Prototype"/>
    <x v="0"/>
    <s v="COP_23"/>
    <x v="0"/>
    <x v="0"/>
    <s v="Quarter1"/>
    <x v="0"/>
    <x v="0"/>
    <d v="2023-10-01T00:00:00"/>
    <d v="2023-10-31T00:00:00"/>
    <x v="0"/>
    <n v="35"/>
    <n v="0"/>
    <n v="12"/>
    <n v="2"/>
    <n v="1"/>
    <n v="1"/>
    <n v="16"/>
    <n v="3"/>
    <n v="1"/>
    <n v="0"/>
    <n v="0"/>
    <n v="0"/>
    <n v="2"/>
    <n v="0"/>
    <n v="0"/>
    <n v="0"/>
    <n v="0"/>
    <n v="0"/>
    <n v="1"/>
    <n v="0"/>
    <n v="1"/>
    <n v="0"/>
    <n v="0"/>
    <n v="0"/>
  </r>
  <r>
    <n v="7"/>
    <d v="2023-12-15T12:31:51"/>
    <d v="2023-12-15T12:39:44"/>
    <s v="mchirwa@lighthouse.org.mw"/>
    <s v="Margaret Chirwa"/>
    <x v="0"/>
    <s v="Prototype"/>
    <x v="0"/>
    <s v="COP_23"/>
    <x v="0"/>
    <x v="0"/>
    <s v="Quarter1"/>
    <x v="0"/>
    <x v="1"/>
    <d v="2023-11-01T00:00:00"/>
    <d v="2023-11-30T00:00:00"/>
    <x v="0"/>
    <n v="55"/>
    <n v="0"/>
    <n v="38"/>
    <n v="1"/>
    <n v="1"/>
    <n v="1"/>
    <n v="41"/>
    <n v="7"/>
    <n v="6"/>
    <n v="0"/>
    <n v="0"/>
    <n v="0"/>
    <n v="1"/>
    <n v="0"/>
    <n v="0"/>
    <n v="0"/>
    <n v="0"/>
    <n v="0"/>
    <n v="0"/>
    <n v="0"/>
    <n v="0"/>
    <n v="0"/>
    <n v="0"/>
    <n v="1"/>
  </r>
  <r>
    <n v="8"/>
    <d v="2023-12-15T13:15:02"/>
    <d v="2023-12-15T13:15:53"/>
    <s v="mchirwa@lighthouse.org.mw"/>
    <s v="Margaret Chirwa"/>
    <x v="0"/>
    <s v="Prototype"/>
    <x v="0"/>
    <s v="COP_22"/>
    <x v="1"/>
    <x v="1"/>
    <s v="Quarter4"/>
    <x v="1"/>
    <x v="2"/>
    <d v="2023-09-01T00:00:00"/>
    <d v="2023-09-30T00:00:00"/>
    <x v="0"/>
    <n v="35"/>
    <n v="1"/>
    <n v="35"/>
    <n v="2"/>
    <n v="1"/>
    <n v="1"/>
    <n v="39"/>
    <n v="8"/>
    <n v="10"/>
    <n v="0"/>
    <n v="8"/>
    <n v="0"/>
    <n v="8"/>
    <n v="0"/>
    <n v="1"/>
    <n v="1"/>
    <n v="0"/>
    <n v="0"/>
    <n v="0"/>
    <n v="0"/>
    <n v="2"/>
    <n v="0"/>
    <n v="0"/>
    <n v="1"/>
  </r>
  <r>
    <n v="232"/>
    <d v="2024-04-09T13:21:04"/>
    <d v="2024-04-09T13:33:06"/>
    <s v="mchirwa@lighthouse.org.mw"/>
    <s v="Margaret Chirwa"/>
    <x v="0"/>
    <s v="Prototype"/>
    <x v="1"/>
    <s v="COP_23"/>
    <x v="0"/>
    <x v="2"/>
    <s v="Quarter2"/>
    <x v="2"/>
    <x v="3"/>
    <d v="2024-03-01T00:00:00"/>
    <d v="2024-03-31T00:00:00"/>
    <x v="1"/>
    <n v="30"/>
    <n v="0"/>
    <n v="17"/>
    <n v="0"/>
    <n v="1"/>
    <n v="0"/>
    <n v="3"/>
    <n v="0"/>
    <n v="1"/>
    <n v="0"/>
    <n v="0"/>
    <n v="0"/>
    <n v="1"/>
    <n v="1"/>
    <n v="0"/>
    <n v="0"/>
    <n v="0"/>
    <n v="0"/>
    <n v="0"/>
    <n v="0"/>
    <n v="1"/>
    <n v="0"/>
    <n v="0"/>
    <n v="0"/>
  </r>
  <r>
    <n v="280"/>
    <d v="2024-04-24T08:10:55"/>
    <d v="2024-04-24T08:31:59"/>
    <s v="mchirwa@lighthouse.org.mw"/>
    <s v="Margaret Chirwa"/>
    <x v="0"/>
    <s v="Prototype"/>
    <x v="1"/>
    <s v="COP_23"/>
    <x v="0"/>
    <x v="2"/>
    <s v="Quarter2"/>
    <x v="2"/>
    <x v="4"/>
    <d v="2024-01-01T00:00:00"/>
    <d v="2024-01-31T00:00:00"/>
    <x v="1"/>
    <n v="53"/>
    <n v="0"/>
    <n v="39"/>
    <n v="2"/>
    <n v="0"/>
    <n v="0"/>
    <n v="11"/>
    <n v="3"/>
    <n v="0"/>
    <n v="0"/>
    <n v="0"/>
    <n v="0"/>
    <n v="1"/>
    <n v="0"/>
    <n v="0"/>
    <n v="0"/>
    <n v="0"/>
    <n v="0"/>
    <n v="0"/>
    <n v="0"/>
    <n v="0"/>
    <n v="0"/>
    <n v="0"/>
    <n v="0"/>
  </r>
  <r>
    <n v="328"/>
    <d v="2024-04-30T08:55:55"/>
    <d v="2024-04-30T09:18:36"/>
    <s v="mchirwa@lighthouse.org.mw"/>
    <s v="Margaret Chirwa"/>
    <x v="0"/>
    <s v="Prototype"/>
    <x v="1"/>
    <s v="COP_23"/>
    <x v="0"/>
    <x v="2"/>
    <s v="Quarter2"/>
    <x v="2"/>
    <x v="5"/>
    <d v="2024-02-01T00:00:00"/>
    <d v="2024-02-29T00:00:00"/>
    <x v="1"/>
    <n v="48"/>
    <n v="0"/>
    <n v="47"/>
    <n v="24"/>
    <n v="0"/>
    <n v="0"/>
    <n v="24"/>
    <n v="3"/>
    <n v="2"/>
    <n v="0"/>
    <n v="0"/>
    <n v="0"/>
    <n v="2"/>
    <n v="0"/>
    <n v="0"/>
    <n v="0"/>
    <n v="0"/>
    <n v="0"/>
    <n v="0"/>
    <n v="0"/>
    <n v="0"/>
    <n v="0"/>
    <n v="0"/>
    <n v="0"/>
  </r>
  <r>
    <n v="599"/>
    <d v="2024-07-12T08:34:30"/>
    <d v="2024-07-12T09:07:02"/>
    <s v="mchirwa@lighthouse.org.mw"/>
    <s v="Margaret Chirwa"/>
    <x v="0"/>
    <s v="Prototype"/>
    <x v="1"/>
    <s v="COP_23"/>
    <x v="0"/>
    <x v="3"/>
    <s v="Quarter3"/>
    <x v="3"/>
    <x v="6"/>
    <d v="2024-05-01T00:00:00"/>
    <d v="2024-05-31T00:00:00"/>
    <x v="1"/>
    <n v="44"/>
    <n v="0"/>
    <n v="37"/>
    <n v="0"/>
    <n v="0"/>
    <n v="0"/>
    <n v="18"/>
    <n v="0"/>
    <n v="0"/>
    <n v="0"/>
    <n v="0"/>
    <n v="0"/>
    <n v="0"/>
    <n v="0"/>
    <n v="0"/>
    <n v="0"/>
    <n v="0"/>
    <n v="0"/>
    <n v="0"/>
    <n v="0"/>
    <n v="0"/>
    <n v="0"/>
    <n v="0"/>
    <n v="0"/>
  </r>
  <r>
    <n v="606"/>
    <d v="2024-07-12T09:24:45"/>
    <d v="2024-07-12T09:27:40"/>
    <s v="mchirwa@lighthouse.org.mw"/>
    <s v="Margaret Chirwa"/>
    <x v="0"/>
    <s v="Prototype"/>
    <x v="1"/>
    <s v="COP_23"/>
    <x v="0"/>
    <x v="3"/>
    <s v="Quarter3"/>
    <x v="3"/>
    <x v="7"/>
    <d v="2024-04-01T00:00:00"/>
    <d v="2024-04-30T00:00:00"/>
    <x v="1"/>
    <n v="70"/>
    <n v="0"/>
    <n v="57"/>
    <n v="0"/>
    <n v="0"/>
    <n v="0"/>
    <n v="29"/>
    <n v="9"/>
    <n v="9"/>
    <n v="0"/>
    <n v="0"/>
    <n v="0"/>
    <n v="0"/>
    <n v="0"/>
    <n v="0"/>
    <n v="0"/>
    <n v="0"/>
    <n v="0"/>
    <n v="0"/>
    <n v="0"/>
    <n v="0"/>
    <n v="0"/>
    <n v="0"/>
    <n v="0"/>
  </r>
  <r>
    <n v="709"/>
    <d v="2024-08-05T13:37:37"/>
    <d v="2024-08-05T13:42:43"/>
    <s v="mchirwa@lighthouse.org.mw"/>
    <s v="Margaret Chirwa"/>
    <x v="0"/>
    <s v="Prototype"/>
    <x v="1"/>
    <s v="COP_23"/>
    <x v="0"/>
    <x v="3"/>
    <s v="Quarter3"/>
    <x v="3"/>
    <x v="8"/>
    <d v="2024-06-01T00:00:00"/>
    <d v="2024-06-30T00:00:00"/>
    <x v="1"/>
    <n v="30"/>
    <n v="0"/>
    <n v="27"/>
    <n v="2"/>
    <n v="0"/>
    <n v="0"/>
    <n v="27"/>
    <n v="3"/>
    <n v="3"/>
    <n v="0"/>
    <n v="0"/>
    <n v="0"/>
    <n v="1"/>
    <n v="0"/>
    <n v="0"/>
    <n v="0"/>
    <n v="0"/>
    <n v="0"/>
    <n v="0"/>
    <n v="0"/>
    <n v="0"/>
    <n v="0"/>
    <n v="0"/>
    <n v="0"/>
  </r>
  <r>
    <n v="926"/>
    <d v="2024-10-16T09:49:01"/>
    <d v="2024-10-16T09:53:51"/>
    <s v="mchirwa@lighthouse.org.mw"/>
    <s v="Margaret Chirwa"/>
    <x v="0"/>
    <s v="Prototype"/>
    <x v="1"/>
    <s v="COP_23"/>
    <x v="0"/>
    <x v="1"/>
    <s v="Quarter4"/>
    <x v="1"/>
    <x v="9"/>
    <d v="2024-07-01T00:00:00"/>
    <d v="2024-08-31T00:00:00"/>
    <x v="1"/>
    <n v="56"/>
    <n v="1"/>
    <n v="46"/>
    <n v="2"/>
    <n v="1"/>
    <n v="0"/>
    <n v="35"/>
    <n v="2"/>
    <n v="3"/>
    <n v="0"/>
    <n v="0"/>
    <n v="0"/>
    <n v="1"/>
    <n v="0"/>
    <n v="1"/>
    <n v="0"/>
    <n v="0"/>
    <n v="0"/>
    <n v="0"/>
    <n v="0"/>
    <n v="0"/>
    <n v="0"/>
    <n v="0"/>
    <n v="0"/>
  </r>
  <r>
    <n v="933"/>
    <d v="2024-10-16T10:06:15"/>
    <d v="2024-10-16T10:08:19"/>
    <s v="mchirwa@lighthouse.org.mw"/>
    <s v="Margaret Chirwa"/>
    <x v="0"/>
    <s v="Prototype"/>
    <x v="1"/>
    <s v="COP_23"/>
    <x v="0"/>
    <x v="1"/>
    <s v="Quarter4"/>
    <x v="1"/>
    <x v="10"/>
    <d v="2024-08-01T00:00:00"/>
    <d v="2024-08-31T00:00:00"/>
    <x v="1"/>
    <n v="45"/>
    <n v="0"/>
    <n v="41"/>
    <n v="0"/>
    <n v="0"/>
    <n v="1"/>
    <n v="38"/>
    <n v="9"/>
    <n v="5"/>
    <n v="0"/>
    <n v="0"/>
    <n v="0"/>
    <n v="1"/>
    <n v="0"/>
    <n v="0"/>
    <n v="0"/>
    <n v="0"/>
    <n v="0"/>
    <n v="0"/>
    <n v="0"/>
    <n v="0"/>
    <n v="0"/>
    <n v="0"/>
    <n v="0"/>
  </r>
  <r>
    <n v="64"/>
    <d v="2024-01-10T09:05:40"/>
    <d v="2024-01-10T09:20:16"/>
    <s v="mchirwa@lighthouse.org.mw"/>
    <s v="Margaret Chirwa"/>
    <x v="0"/>
    <s v="Prototype"/>
    <x v="0"/>
    <s v="COP_23"/>
    <x v="0"/>
    <x v="0"/>
    <s v="Quarter1"/>
    <x v="0"/>
    <x v="11"/>
    <d v="2023-12-01T00:00:00"/>
    <d v="2023-12-31T00:00:00"/>
    <x v="0"/>
    <n v="25"/>
    <n v="1"/>
    <n v="23"/>
    <n v="0"/>
    <n v="0"/>
    <n v="2"/>
    <n v="21"/>
    <n v="1"/>
    <n v="1"/>
    <n v="0"/>
    <n v="0"/>
    <n v="0"/>
    <n v="1"/>
    <n v="1"/>
    <n v="0"/>
    <n v="0"/>
    <n v="0"/>
    <n v="0"/>
    <n v="0"/>
    <n v="0"/>
    <n v="1"/>
    <n v="0"/>
    <n v="0"/>
    <n v="1"/>
  </r>
  <r>
    <n v="332"/>
    <d v="2024-04-30T10:35:18"/>
    <d v="2024-04-30T10:44:18"/>
    <s v="mchirwa@lighthouse.org.mw"/>
    <s v="Margaret Chirwa"/>
    <x v="0"/>
    <s v="Prototype"/>
    <x v="1"/>
    <s v="COP_23"/>
    <x v="0"/>
    <x v="2"/>
    <s v="Quarter2"/>
    <x v="2"/>
    <x v="5"/>
    <d v="2024-02-01T00:00:00"/>
    <d v="2024-02-29T00:00:00"/>
    <x v="2"/>
    <n v="53"/>
    <n v="2"/>
    <n v="0"/>
    <n v="1"/>
    <n v="0"/>
    <n v="1"/>
    <n v="0"/>
    <n v="0"/>
    <n v="1"/>
    <n v="0"/>
    <n v="0"/>
    <n v="0"/>
    <n v="1"/>
    <n v="1"/>
    <n v="0"/>
    <n v="0"/>
    <n v="0"/>
    <n v="0"/>
    <n v="0"/>
    <n v="0"/>
    <n v="1"/>
    <n v="0"/>
    <n v="0"/>
    <n v="0"/>
  </r>
  <r>
    <n v="335"/>
    <d v="2024-04-30T10:56:07"/>
    <d v="2024-04-30T10:57:28"/>
    <s v="mchirwa@lighthouse.org.mw"/>
    <s v="Margaret Chirwa"/>
    <x v="0"/>
    <s v="Prototype"/>
    <x v="1"/>
    <s v="COP_23"/>
    <x v="0"/>
    <x v="2"/>
    <s v="Quarter2"/>
    <x v="2"/>
    <x v="4"/>
    <d v="2024-01-01T00:00:00"/>
    <d v="2024-01-31T00:00:00"/>
    <x v="2"/>
    <n v="51"/>
    <n v="0"/>
    <n v="0"/>
    <n v="0"/>
    <n v="0"/>
    <n v="0"/>
    <n v="0"/>
    <n v="0"/>
    <n v="0"/>
    <n v="0"/>
    <n v="0"/>
    <n v="0"/>
    <n v="0"/>
    <n v="0"/>
    <n v="0"/>
    <n v="0"/>
    <n v="0"/>
    <n v="0"/>
    <n v="0"/>
    <n v="0"/>
    <n v="0"/>
    <n v="0"/>
    <n v="0"/>
    <n v="0"/>
  </r>
  <r>
    <n v="342"/>
    <d v="2024-04-30T11:34:52"/>
    <d v="2024-04-30T11:36:07"/>
    <s v="mchirwa@lighthouse.org.mw"/>
    <s v="Margaret Chirwa"/>
    <x v="0"/>
    <s v="Prototype"/>
    <x v="1"/>
    <s v="COP_23"/>
    <x v="0"/>
    <x v="2"/>
    <s v="Quarter2"/>
    <x v="2"/>
    <x v="3"/>
    <d v="2024-03-01T00:00:00"/>
    <d v="2024-03-31T00:00:00"/>
    <x v="2"/>
    <n v="50"/>
    <n v="1"/>
    <n v="4"/>
    <n v="0"/>
    <n v="0"/>
    <n v="0"/>
    <n v="0"/>
    <n v="0"/>
    <n v="1"/>
    <n v="0"/>
    <n v="0"/>
    <n v="0"/>
    <n v="1"/>
    <n v="0"/>
    <n v="0"/>
    <n v="0"/>
    <n v="0"/>
    <n v="0"/>
    <n v="0"/>
    <n v="0"/>
    <n v="0"/>
    <n v="0"/>
    <n v="0"/>
    <n v="0"/>
  </r>
  <r>
    <n v="594"/>
    <d v="2024-07-11T10:21:59"/>
    <d v="2024-07-11T10:23:33"/>
    <s v="mchirwa@lighthouse.org.mw"/>
    <s v="Margaret Chirwa"/>
    <x v="0"/>
    <s v="Prototype"/>
    <x v="1"/>
    <s v="COP_23"/>
    <x v="0"/>
    <x v="3"/>
    <s v="Quarter3"/>
    <x v="3"/>
    <x v="8"/>
    <d v="2024-06-01T00:00:00"/>
    <d v="2024-06-30T00:00:00"/>
    <x v="2"/>
    <n v="62"/>
    <n v="0"/>
    <n v="1"/>
    <n v="1"/>
    <n v="0"/>
    <n v="0"/>
    <n v="2"/>
    <n v="1"/>
    <n v="1"/>
    <n v="0"/>
    <n v="0"/>
    <n v="0"/>
    <n v="0"/>
    <n v="0"/>
    <n v="0"/>
    <n v="0"/>
    <n v="0"/>
    <n v="0"/>
    <n v="0"/>
    <n v="0"/>
    <n v="0"/>
    <n v="0"/>
    <n v="0"/>
    <n v="0"/>
  </r>
  <r>
    <n v="940"/>
    <d v="2024-10-16T10:19:52"/>
    <d v="2024-10-16T10:29:57"/>
    <s v="mchirwa@lighthouse.org.mw"/>
    <s v="Margaret Chirwa"/>
    <x v="0"/>
    <s v="Prototype"/>
    <x v="1"/>
    <s v="COP_23"/>
    <x v="0"/>
    <x v="1"/>
    <s v="Quarter4"/>
    <x v="1"/>
    <x v="2"/>
    <d v="2024-09-01T00:00:00"/>
    <d v="2024-09-30T00:00:00"/>
    <x v="1"/>
    <n v="52"/>
    <n v="0"/>
    <n v="42"/>
    <n v="0"/>
    <n v="0"/>
    <n v="0"/>
    <n v="35"/>
    <n v="8"/>
    <n v="8"/>
    <n v="0"/>
    <n v="0"/>
    <n v="0"/>
    <n v="7"/>
    <n v="0"/>
    <n v="0"/>
    <n v="0"/>
    <n v="0"/>
    <n v="0"/>
    <n v="0"/>
    <n v="0"/>
    <n v="0"/>
    <n v="0"/>
    <n v="0"/>
    <n v="0"/>
  </r>
  <r>
    <n v="603"/>
    <d v="2024-07-12T09:20:33"/>
    <d v="2024-07-12T09:21:20"/>
    <s v="mchirwa@lighthouse.org.mw"/>
    <s v="Margaret Chirwa"/>
    <x v="0"/>
    <s v="Prototype"/>
    <x v="1"/>
    <s v="COP_23"/>
    <x v="0"/>
    <x v="3"/>
    <s v="Quarter3"/>
    <x v="3"/>
    <x v="6"/>
    <d v="2024-05-01T00:00:00"/>
    <d v="2024-05-31T00:00:00"/>
    <x v="2"/>
    <n v="58"/>
    <n v="0"/>
    <n v="5"/>
    <n v="0"/>
    <n v="0"/>
    <n v="0"/>
    <n v="5"/>
    <n v="2"/>
    <n v="1"/>
    <n v="0"/>
    <n v="0"/>
    <n v="0"/>
    <n v="0"/>
    <n v="0"/>
    <n v="0"/>
    <n v="0"/>
    <n v="0"/>
    <n v="0"/>
    <n v="0"/>
    <n v="0"/>
    <n v="0"/>
    <n v="0"/>
    <n v="0"/>
    <n v="0"/>
  </r>
  <r>
    <n v="611"/>
    <d v="2024-07-12T10:16:00"/>
    <d v="2024-07-12T10:18:14"/>
    <s v="mchirwa@lighthouse.org.mw"/>
    <s v="Margaret Chirwa"/>
    <x v="0"/>
    <s v="Prototype"/>
    <x v="1"/>
    <s v="COP_23"/>
    <x v="0"/>
    <x v="3"/>
    <s v="Quarter3"/>
    <x v="3"/>
    <x v="7"/>
    <d v="2024-04-01T00:00:00"/>
    <d v="2024-04-30T00:00:00"/>
    <x v="2"/>
    <n v="66"/>
    <n v="0"/>
    <n v="2"/>
    <n v="0"/>
    <n v="2"/>
    <n v="0"/>
    <n v="4"/>
    <n v="1"/>
    <n v="2"/>
    <n v="0"/>
    <n v="0"/>
    <n v="0"/>
    <n v="2"/>
    <n v="1"/>
    <n v="0"/>
    <n v="0"/>
    <n v="0"/>
    <n v="0"/>
    <n v="0"/>
    <n v="0"/>
    <n v="1"/>
    <n v="0"/>
    <n v="0"/>
    <n v="0"/>
  </r>
  <r>
    <n v="930"/>
    <d v="2024-10-16T09:58:22"/>
    <d v="2024-10-16T10:02:04"/>
    <s v="mchirwa@lighthouse.org.mw"/>
    <s v="Margaret Chirwa"/>
    <x v="0"/>
    <s v="Prototype"/>
    <x v="1"/>
    <s v="COP_23"/>
    <x v="0"/>
    <x v="1"/>
    <s v="Quarter4"/>
    <x v="1"/>
    <x v="9"/>
    <d v="2024-07-01T00:00:00"/>
    <d v="2024-07-31T00:00:00"/>
    <x v="2"/>
    <n v="21"/>
    <n v="1"/>
    <n v="15"/>
    <n v="0"/>
    <n v="0"/>
    <n v="0"/>
    <n v="7"/>
    <n v="3"/>
    <n v="4"/>
    <n v="0"/>
    <n v="0"/>
    <n v="0"/>
    <n v="0"/>
    <n v="0"/>
    <n v="0"/>
    <n v="0"/>
    <n v="0"/>
    <n v="0"/>
    <n v="0"/>
    <n v="0"/>
    <n v="0"/>
    <n v="0"/>
    <n v="0"/>
    <n v="0"/>
  </r>
  <r>
    <n v="944"/>
    <d v="2024-10-16T10:50:30"/>
    <d v="2024-10-16T10:51:08"/>
    <s v="mchirwa@lighthouse.org.mw"/>
    <s v="Margaret Chirwa"/>
    <x v="0"/>
    <s v="Prototype"/>
    <x v="1"/>
    <s v="COP_23"/>
    <x v="0"/>
    <x v="1"/>
    <s v="Quarter4"/>
    <x v="1"/>
    <x v="2"/>
    <d v="2024-09-01T00:00:00"/>
    <d v="2024-09-30T00:00:00"/>
    <x v="2"/>
    <n v="23"/>
    <n v="0"/>
    <n v="23"/>
    <n v="0"/>
    <n v="0"/>
    <n v="0"/>
    <n v="3"/>
    <n v="0"/>
    <n v="0"/>
    <n v="0"/>
    <n v="0"/>
    <n v="0"/>
    <n v="0"/>
    <n v="0"/>
    <n v="0"/>
    <n v="0"/>
    <n v="0"/>
    <n v="0"/>
    <n v="0"/>
    <n v="0"/>
    <n v="0"/>
    <n v="0"/>
    <n v="0"/>
    <n v="0"/>
  </r>
  <r>
    <n v="281"/>
    <d v="2024-04-24T08:32:56"/>
    <d v="2024-04-24T08:34:17"/>
    <s v="mchirwa@lighthouse.org.mw"/>
    <s v="Margaret Chirwa"/>
    <x v="0"/>
    <s v="Prototype"/>
    <x v="1"/>
    <s v="COP_23"/>
    <x v="0"/>
    <x v="2"/>
    <s v="Quarter2"/>
    <x v="2"/>
    <x v="4"/>
    <d v="2024-01-01T00:00:00"/>
    <d v="2024-01-31T00:00:00"/>
    <x v="3"/>
    <n v="1"/>
    <n v="0"/>
    <n v="0"/>
    <n v="1"/>
    <n v="0"/>
    <n v="0"/>
    <n v="0"/>
    <n v="0"/>
    <n v="0"/>
    <n v="0"/>
    <n v="0"/>
    <n v="0"/>
    <n v="0"/>
    <n v="0"/>
    <n v="0"/>
    <n v="0"/>
    <n v="0"/>
    <n v="0"/>
    <n v="0"/>
    <n v="0"/>
    <n v="0"/>
    <n v="0"/>
    <n v="0"/>
    <n v="0"/>
  </r>
  <r>
    <n v="282"/>
    <d v="2024-04-24T08:34:28"/>
    <d v="2024-04-24T08:45:07"/>
    <s v="mchirwa@lighthouse.org.mw"/>
    <s v="Margaret Chirwa"/>
    <x v="0"/>
    <s v="Prototype"/>
    <x v="1"/>
    <s v="COP_23"/>
    <x v="0"/>
    <x v="2"/>
    <s v="Quarter2"/>
    <x v="2"/>
    <x v="4"/>
    <d v="2024-01-01T00:00:00"/>
    <d v="2024-01-31T00:00:00"/>
    <x v="4"/>
    <n v="1"/>
    <n v="0"/>
    <n v="0"/>
    <n v="0"/>
    <n v="0"/>
    <n v="1"/>
    <n v="1"/>
    <n v="1"/>
    <n v="1"/>
    <n v="0"/>
    <n v="0"/>
    <n v="0"/>
    <n v="1"/>
    <n v="1"/>
    <n v="0"/>
    <n v="0"/>
    <n v="0"/>
    <n v="0"/>
    <n v="0"/>
    <n v="0"/>
    <n v="1"/>
    <n v="0"/>
    <n v="0"/>
    <n v="0"/>
  </r>
  <r>
    <n v="283"/>
    <d v="2024-04-24T08:45:13"/>
    <d v="2024-04-24T08:56:35"/>
    <s v="mchirwa@lighthouse.org.mw"/>
    <s v="Margaret Chirwa"/>
    <x v="0"/>
    <s v="Prototype"/>
    <x v="1"/>
    <s v="COP_23"/>
    <x v="0"/>
    <x v="2"/>
    <s v="Quarter2"/>
    <x v="2"/>
    <x v="4"/>
    <d v="2024-01-01T00:00:00"/>
    <d v="2024-01-31T00:00:00"/>
    <x v="0"/>
    <n v="43"/>
    <n v="39"/>
    <n v="3"/>
    <n v="0"/>
    <n v="1"/>
    <n v="12"/>
    <n v="4"/>
    <n v="1"/>
    <n v="0"/>
    <n v="0"/>
    <n v="0"/>
    <n v="0"/>
    <n v="2"/>
    <n v="1"/>
    <n v="0"/>
    <n v="0"/>
    <n v="0"/>
    <n v="0"/>
    <n v="0"/>
    <n v="0"/>
    <n v="1"/>
    <n v="0"/>
    <n v="0"/>
    <n v="0"/>
  </r>
  <r>
    <n v="329"/>
    <d v="2024-04-30T10:22:37"/>
    <d v="2024-04-30T10:22:58"/>
    <s v="mchirwa@lighthouse.org.mw"/>
    <s v="Margaret Chirwa"/>
    <x v="0"/>
    <s v="Prototype"/>
    <x v="1"/>
    <s v="COP_23"/>
    <x v="0"/>
    <x v="2"/>
    <s v="Quarter2"/>
    <x v="2"/>
    <x v="5"/>
    <d v="2024-01-01T00:00:00"/>
    <d v="2024-02-29T00:00:00"/>
    <x v="3"/>
    <n v="2"/>
    <n v="0"/>
    <n v="0"/>
    <n v="0"/>
    <n v="0"/>
    <n v="0"/>
    <n v="0"/>
    <n v="0"/>
    <n v="0"/>
    <n v="0"/>
    <n v="0"/>
    <n v="0"/>
    <n v="0"/>
    <n v="0"/>
    <n v="0"/>
    <n v="0"/>
    <n v="0"/>
    <n v="0"/>
    <n v="0"/>
    <n v="0"/>
    <n v="0"/>
    <n v="0"/>
    <n v="0"/>
    <n v="0"/>
  </r>
  <r>
    <n v="330"/>
    <d v="2024-04-30T10:23:03"/>
    <d v="2024-04-30T10:24:55"/>
    <s v="mchirwa@lighthouse.org.mw"/>
    <s v="Margaret Chirwa"/>
    <x v="0"/>
    <s v="Prototype"/>
    <x v="1"/>
    <s v="COP_23"/>
    <x v="0"/>
    <x v="2"/>
    <s v="Quarter2"/>
    <x v="2"/>
    <x v="5"/>
    <d v="2024-02-01T00:00:00"/>
    <d v="2024-02-29T00:00:00"/>
    <x v="4"/>
    <n v="2"/>
    <n v="0"/>
    <n v="1"/>
    <n v="0"/>
    <n v="0"/>
    <n v="0"/>
    <n v="0"/>
    <n v="0"/>
    <n v="0"/>
    <n v="0"/>
    <n v="0"/>
    <n v="0"/>
    <n v="0"/>
    <n v="0"/>
    <n v="0"/>
    <n v="0"/>
    <n v="0"/>
    <n v="0"/>
    <n v="0"/>
    <n v="0"/>
    <n v="0"/>
    <n v="0"/>
    <n v="0"/>
    <n v="0"/>
  </r>
  <r>
    <n v="331"/>
    <d v="2024-04-30T10:25:03"/>
    <d v="2024-04-30T10:35:15"/>
    <s v="mchirwa@lighthouse.org.mw"/>
    <s v="Margaret Chirwa"/>
    <x v="0"/>
    <s v="Prototype"/>
    <x v="1"/>
    <s v="COP_23"/>
    <x v="0"/>
    <x v="2"/>
    <s v="Quarter2"/>
    <x v="2"/>
    <x v="5"/>
    <d v="2024-02-01T00:00:00"/>
    <d v="2024-02-29T00:00:00"/>
    <x v="5"/>
    <n v="0"/>
    <n v="0"/>
    <n v="0"/>
    <n v="0"/>
    <n v="0"/>
    <n v="0"/>
    <n v="0"/>
    <n v="0"/>
    <n v="0"/>
    <n v="0"/>
    <n v="0"/>
    <n v="0"/>
    <n v="0"/>
    <n v="0"/>
    <n v="0"/>
    <n v="0"/>
    <n v="0"/>
    <n v="0"/>
    <n v="0"/>
    <n v="0"/>
    <n v="0"/>
    <n v="0"/>
    <n v="0"/>
    <n v="0"/>
  </r>
  <r>
    <n v="333"/>
    <d v="2024-04-30T10:44:37"/>
    <d v="2024-04-30T10:54:10"/>
    <s v="mchirwa@lighthouse.org.mw"/>
    <s v="Margaret Chirwa"/>
    <x v="0"/>
    <s v="Prototype"/>
    <x v="1"/>
    <s v="COP_23"/>
    <x v="0"/>
    <x v="2"/>
    <s v="Quarter2"/>
    <x v="2"/>
    <x v="5"/>
    <d v="2024-02-01T00:00:00"/>
    <d v="2024-02-29T00:00:00"/>
    <x v="0"/>
    <n v="123"/>
    <n v="2"/>
    <n v="48"/>
    <n v="1"/>
    <n v="0"/>
    <n v="1"/>
    <n v="24"/>
    <n v="3"/>
    <n v="3"/>
    <n v="0"/>
    <n v="0"/>
    <n v="0"/>
    <n v="3"/>
    <n v="1"/>
    <n v="0"/>
    <n v="0"/>
    <n v="0"/>
    <n v="0"/>
    <n v="0"/>
    <n v="0"/>
    <n v="1"/>
    <n v="0"/>
    <n v="0"/>
    <n v="0"/>
  </r>
  <r>
    <n v="334"/>
    <d v="2024-04-30T10:54:28"/>
    <d v="2024-04-30T10:56:03"/>
    <s v="mchirwa@lighthouse.org.mw"/>
    <s v="Margaret Chirwa"/>
    <x v="0"/>
    <s v="Prototype"/>
    <x v="1"/>
    <s v="COP_23"/>
    <x v="0"/>
    <x v="2"/>
    <s v="Quarter2"/>
    <x v="2"/>
    <x v="4"/>
    <d v="2024-01-01T00:00:00"/>
    <d v="2024-01-31T00:00:00"/>
    <x v="5"/>
    <n v="13"/>
    <n v="0"/>
    <n v="0"/>
    <n v="0"/>
    <n v="0"/>
    <n v="0"/>
    <n v="0"/>
    <n v="0"/>
    <n v="0"/>
    <n v="0"/>
    <n v="0"/>
    <n v="0"/>
    <n v="0"/>
    <n v="0"/>
    <n v="0"/>
    <n v="0"/>
    <n v="0"/>
    <n v="0"/>
    <n v="0"/>
    <n v="0"/>
    <n v="0"/>
    <n v="0"/>
    <n v="0"/>
    <n v="0"/>
  </r>
  <r>
    <n v="336"/>
    <d v="2024-04-30T10:57:31"/>
    <d v="2024-04-30T10:59:25"/>
    <s v="mchirwa@lighthouse.org.mw"/>
    <s v="Margaret Chirwa"/>
    <x v="0"/>
    <s v="Prototype"/>
    <x v="1"/>
    <s v="COP_23"/>
    <x v="0"/>
    <x v="2"/>
    <s v="Quarter2"/>
    <x v="2"/>
    <x v="4"/>
    <d v="2024-01-01T00:00:00"/>
    <d v="2024-01-31T00:00:00"/>
    <x v="0"/>
    <n v="120"/>
    <n v="0"/>
    <n v="39"/>
    <n v="3"/>
    <n v="0"/>
    <n v="1"/>
    <n v="12"/>
    <n v="4"/>
    <n v="1"/>
    <n v="0"/>
    <n v="0"/>
    <n v="0"/>
    <n v="2"/>
    <n v="1"/>
    <n v="0"/>
    <n v="0"/>
    <n v="0"/>
    <n v="0"/>
    <n v="0"/>
    <n v="0"/>
    <n v="1"/>
    <n v="0"/>
    <n v="0"/>
    <n v="0"/>
  </r>
  <r>
    <n v="337"/>
    <d v="2024-04-30T11:25:38"/>
    <d v="2024-04-30T11:26:26"/>
    <s v="mchirwa@lighthouse.org.mw"/>
    <s v="Margaret Chirwa"/>
    <x v="0"/>
    <s v="Prototype"/>
    <x v="1"/>
    <s v="COP_23"/>
    <x v="0"/>
    <x v="2"/>
    <s v="Quarter2"/>
    <x v="2"/>
    <x v="3"/>
    <d v="2024-03-01T00:00:00"/>
    <d v="2024-03-31T00:00:00"/>
    <x v="3"/>
    <n v="2"/>
    <n v="0"/>
    <n v="0"/>
    <n v="0"/>
    <n v="0"/>
    <n v="0"/>
    <n v="0"/>
    <n v="0"/>
    <n v="0"/>
    <n v="0"/>
    <n v="0"/>
    <n v="0"/>
    <n v="0"/>
    <n v="0"/>
    <n v="0"/>
    <n v="0"/>
    <n v="0"/>
    <n v="0"/>
    <n v="0"/>
    <n v="0"/>
    <n v="0"/>
    <n v="0"/>
    <n v="0"/>
    <n v="0"/>
  </r>
  <r>
    <n v="338"/>
    <d v="2024-04-30T11:26:30"/>
    <d v="2024-04-30T11:28:40"/>
    <s v="mchirwa@lighthouse.org.mw"/>
    <s v="Margaret Chirwa"/>
    <x v="0"/>
    <s v="Prototype"/>
    <x v="1"/>
    <s v="COP_23"/>
    <x v="0"/>
    <x v="2"/>
    <s v="Quarter2"/>
    <x v="2"/>
    <x v="3"/>
    <d v="2024-03-01T00:00:00"/>
    <d v="2024-03-31T00:00:00"/>
    <x v="4"/>
    <n v="9"/>
    <n v="0"/>
    <n v="0"/>
    <n v="0"/>
    <n v="0"/>
    <n v="0"/>
    <n v="0"/>
    <n v="0"/>
    <n v="0"/>
    <n v="0"/>
    <n v="0"/>
    <n v="0"/>
    <n v="0"/>
    <n v="0"/>
    <n v="0"/>
    <n v="0"/>
    <n v="0"/>
    <n v="0"/>
    <n v="0"/>
    <n v="0"/>
    <n v="0"/>
    <n v="0"/>
    <n v="0"/>
    <n v="0"/>
  </r>
  <r>
    <n v="339"/>
    <d v="2024-04-30T11:28:43"/>
    <d v="2024-04-30T11:30:51"/>
    <s v="mchirwa@lighthouse.org.mw"/>
    <s v="Margaret Chirwa"/>
    <x v="0"/>
    <s v="Prototype"/>
    <x v="1"/>
    <s v="COP_23"/>
    <x v="0"/>
    <x v="2"/>
    <s v="Quarter2"/>
    <x v="2"/>
    <x v="3"/>
    <d v="2024-03-01T00:00:00"/>
    <d v="2024-03-31T00:00:00"/>
    <x v="5"/>
    <n v="22"/>
    <n v="0"/>
    <n v="0"/>
    <n v="0"/>
    <n v="0"/>
    <n v="0"/>
    <n v="0"/>
    <n v="0"/>
    <n v="0"/>
    <n v="0"/>
    <n v="0"/>
    <n v="0"/>
    <n v="0"/>
    <n v="0"/>
    <n v="0"/>
    <n v="0"/>
    <n v="0"/>
    <n v="0"/>
    <n v="0"/>
    <n v="0"/>
    <n v="0"/>
    <n v="0"/>
    <n v="0"/>
    <n v="0"/>
  </r>
  <r>
    <n v="340"/>
    <d v="2024-04-30T11:31:11"/>
    <d v="2024-04-30T11:32:38"/>
    <s v="mchirwa@lighthouse.org.mw"/>
    <s v="Margaret Chirwa"/>
    <x v="0"/>
    <s v="Prototype"/>
    <x v="1"/>
    <s v="COP_23"/>
    <x v="0"/>
    <x v="2"/>
    <s v="Quarter2"/>
    <x v="2"/>
    <x v="3"/>
    <d v="2024-03-01T00:00:00"/>
    <d v="2024-03-31T00:00:00"/>
    <x v="0"/>
    <n v="113"/>
    <n v="1"/>
    <n v="21"/>
    <n v="0"/>
    <n v="1"/>
    <n v="0"/>
    <n v="3"/>
    <n v="0"/>
    <n v="2"/>
    <n v="0"/>
    <n v="0"/>
    <n v="0"/>
    <n v="2"/>
    <n v="0"/>
    <n v="0"/>
    <n v="0"/>
    <n v="2"/>
    <n v="1"/>
    <n v="0"/>
    <n v="0"/>
    <n v="1"/>
    <n v="0"/>
    <n v="0"/>
    <n v="0"/>
  </r>
  <r>
    <n v="595"/>
    <d v="2024-07-11T10:23:46"/>
    <d v="2024-07-11T10:25:56"/>
    <s v="mchirwa@lighthouse.org.mw"/>
    <s v="Margaret Chirwa"/>
    <x v="0"/>
    <s v="Prototype"/>
    <x v="1"/>
    <s v="COP_23"/>
    <x v="0"/>
    <x v="3"/>
    <s v="Quarter3"/>
    <x v="3"/>
    <x v="8"/>
    <d v="2024-07-01T00:00:00"/>
    <d v="2024-06-30T00:00:00"/>
    <x v="0"/>
    <n v="31"/>
    <n v="0"/>
    <n v="28"/>
    <n v="3"/>
    <n v="0"/>
    <n v="0"/>
    <n v="29"/>
    <n v="4"/>
    <n v="4"/>
    <n v="0"/>
    <n v="0"/>
    <n v="0"/>
    <n v="1"/>
    <n v="0"/>
    <n v="0"/>
    <n v="0"/>
    <n v="0"/>
    <n v="0"/>
    <n v="0"/>
    <n v="0"/>
    <n v="0"/>
    <n v="0"/>
    <n v="0"/>
    <n v="0"/>
  </r>
  <r>
    <n v="596"/>
    <d v="2024-07-12T08:19:26"/>
    <d v="2024-07-12T08:30:34"/>
    <s v="mchirwa@lighthouse.org.mw"/>
    <s v="Margaret Chirwa"/>
    <x v="0"/>
    <s v="Prototype"/>
    <x v="1"/>
    <s v="COP_23"/>
    <x v="0"/>
    <x v="3"/>
    <s v="Quarter3"/>
    <x v="3"/>
    <x v="8"/>
    <d v="2024-06-01T00:00:00"/>
    <d v="2024-06-30T00:00:00"/>
    <x v="5"/>
    <n v="12"/>
    <n v="0"/>
    <n v="0"/>
    <n v="0"/>
    <n v="0"/>
    <n v="0"/>
    <n v="0"/>
    <n v="0"/>
    <n v="0"/>
    <n v="0"/>
    <n v="0"/>
    <n v="0"/>
    <n v="0"/>
    <n v="0"/>
    <n v="0"/>
    <n v="0"/>
    <n v="0"/>
    <n v="0"/>
    <n v="0"/>
    <n v="0"/>
    <n v="0"/>
    <n v="0"/>
    <n v="0"/>
    <n v="0"/>
  </r>
  <r>
    <n v="597"/>
    <d v="2024-07-12T08:31:19"/>
    <d v="2024-07-12T08:33:14"/>
    <s v="mchirwa@lighthouse.org.mw"/>
    <s v="Margaret Chirwa"/>
    <x v="0"/>
    <s v="Prototype"/>
    <x v="1"/>
    <s v="COP_23"/>
    <x v="0"/>
    <x v="3"/>
    <s v="Quarter3"/>
    <x v="3"/>
    <x v="8"/>
    <d v="2024-06-01T00:00:00"/>
    <d v="2024-06-30T00:00:00"/>
    <x v="4"/>
    <n v="3"/>
    <n v="0"/>
    <n v="0"/>
    <n v="0"/>
    <n v="0"/>
    <n v="0"/>
    <n v="0"/>
    <n v="0"/>
    <n v="0"/>
    <n v="0"/>
    <n v="0"/>
    <n v="0"/>
    <n v="0"/>
    <n v="0"/>
    <n v="0"/>
    <n v="0"/>
    <n v="0"/>
    <n v="0"/>
    <n v="0"/>
    <n v="0"/>
    <n v="0"/>
    <n v="0"/>
    <n v="0"/>
    <n v="0"/>
  </r>
  <r>
    <n v="598"/>
    <d v="2024-07-12T08:33:18"/>
    <d v="2024-07-12T08:34:16"/>
    <s v="mchirwa@lighthouse.org.mw"/>
    <s v="Margaret Chirwa"/>
    <x v="0"/>
    <s v="Prototype"/>
    <x v="1"/>
    <s v="COP_23"/>
    <x v="0"/>
    <x v="3"/>
    <s v="Quarter3"/>
    <x v="3"/>
    <x v="8"/>
    <d v="2024-06-01T00:00:00"/>
    <d v="2024-06-30T00:00:00"/>
    <x v="3"/>
    <n v="2"/>
    <n v="0"/>
    <n v="0"/>
    <n v="2"/>
    <n v="0"/>
    <n v="0"/>
    <n v="0"/>
    <n v="0"/>
    <n v="0"/>
    <n v="0"/>
    <n v="0"/>
    <n v="0"/>
    <n v="0"/>
    <n v="0"/>
    <n v="0"/>
    <n v="0"/>
    <n v="0"/>
    <n v="0"/>
    <n v="0"/>
    <n v="0"/>
    <n v="0"/>
    <n v="0"/>
    <n v="0"/>
    <n v="0"/>
  </r>
  <r>
    <n v="600"/>
    <d v="2024-07-12T09:07:11"/>
    <d v="2024-07-12T09:11:37"/>
    <s v="mchirwa@lighthouse.org.mw"/>
    <s v="Margaret Chirwa"/>
    <x v="0"/>
    <s v="Prototype"/>
    <x v="1"/>
    <s v="COP_23"/>
    <x v="0"/>
    <x v="3"/>
    <s v="Quarter3"/>
    <x v="3"/>
    <x v="6"/>
    <d v="2024-05-01T00:00:00"/>
    <d v="2024-05-31T00:00:00"/>
    <x v="3"/>
    <n v="1"/>
    <n v="0"/>
    <n v="0"/>
    <n v="0"/>
    <n v="0"/>
    <n v="0"/>
    <n v="0"/>
    <n v="0"/>
    <n v="0"/>
    <n v="0"/>
    <n v="0"/>
    <n v="0"/>
    <n v="0"/>
    <n v="0"/>
    <n v="0"/>
    <n v="0"/>
    <n v="0"/>
    <n v="0"/>
    <n v="0"/>
    <n v="0"/>
    <n v="0"/>
    <n v="0"/>
    <n v="0"/>
    <n v="0"/>
  </r>
  <r>
    <n v="601"/>
    <d v="2024-07-12T09:11:44"/>
    <d v="2024-07-12T09:13:50"/>
    <s v="mchirwa@lighthouse.org.mw"/>
    <s v="Margaret Chirwa"/>
    <x v="0"/>
    <s v="Prototype"/>
    <x v="1"/>
    <s v="COP_23"/>
    <x v="0"/>
    <x v="3"/>
    <s v="Quarter3"/>
    <x v="3"/>
    <x v="6"/>
    <d v="2024-05-01T00:00:00"/>
    <d v="2024-05-31T00:00:00"/>
    <x v="4"/>
    <n v="2"/>
    <n v="0"/>
    <n v="0"/>
    <n v="0"/>
    <n v="0"/>
    <n v="0"/>
    <n v="0"/>
    <n v="0"/>
    <n v="0"/>
    <n v="0"/>
    <n v="0"/>
    <n v="0"/>
    <n v="0"/>
    <n v="0"/>
    <n v="0"/>
    <n v="0"/>
    <n v="0"/>
    <n v="0"/>
    <n v="0"/>
    <n v="0"/>
    <n v="0"/>
    <n v="0"/>
    <n v="0"/>
    <n v="0"/>
  </r>
  <r>
    <n v="602"/>
    <d v="2024-07-12T09:14:06"/>
    <d v="2024-07-12T09:16:46"/>
    <s v="mchirwa@lighthouse.org.mw"/>
    <s v="Margaret Chirwa"/>
    <x v="0"/>
    <s v="Prototype"/>
    <x v="1"/>
    <s v="COP_23"/>
    <x v="0"/>
    <x v="3"/>
    <s v="Quarter3"/>
    <x v="3"/>
    <x v="6"/>
    <d v="2024-05-01T00:00:00"/>
    <d v="2024-05-31T00:00:00"/>
    <x v="5"/>
    <n v="7"/>
    <n v="0"/>
    <n v="0"/>
    <n v="0"/>
    <n v="0"/>
    <n v="0"/>
    <n v="0"/>
    <n v="0"/>
    <n v="0"/>
    <n v="0"/>
    <n v="0"/>
    <n v="0"/>
    <n v="0"/>
    <n v="0"/>
    <n v="0"/>
    <n v="0"/>
    <n v="0"/>
    <n v="0"/>
    <n v="0"/>
    <n v="0"/>
    <n v="0"/>
    <n v="0"/>
    <n v="0"/>
    <n v="0"/>
  </r>
  <r>
    <n v="604"/>
    <d v="2024-07-12T09:21:26"/>
    <d v="2024-07-12T09:22:21"/>
    <s v="mchirwa@lighthouse.org.mw"/>
    <s v="Margaret Chirwa"/>
    <x v="0"/>
    <s v="Prototype"/>
    <x v="1"/>
    <s v="COP_23"/>
    <x v="0"/>
    <x v="3"/>
    <s v="Quarter3"/>
    <x v="3"/>
    <x v="6"/>
    <d v="2024-05-01T00:00:00"/>
    <d v="2024-05-31T00:00:00"/>
    <x v="6"/>
    <n v="0"/>
    <n v="0"/>
    <n v="0"/>
    <n v="0"/>
    <n v="0"/>
    <n v="0"/>
    <n v="0"/>
    <n v="0"/>
    <n v="0"/>
    <n v="0"/>
    <n v="0"/>
    <n v="0"/>
    <n v="0"/>
    <n v="0"/>
    <n v="0"/>
    <n v="0"/>
    <n v="0"/>
    <n v="0"/>
    <n v="0"/>
    <n v="0"/>
    <n v="0"/>
    <n v="0"/>
    <n v="0"/>
    <n v="0"/>
  </r>
  <r>
    <n v="605"/>
    <d v="2024-07-12T09:23:19"/>
    <d v="2024-07-12T09:24:20"/>
    <s v="mchirwa@lighthouse.org.mw"/>
    <s v="Margaret Chirwa"/>
    <x v="0"/>
    <s v="Prototype"/>
    <x v="1"/>
    <s v="COP_23"/>
    <x v="0"/>
    <x v="3"/>
    <s v="Quarter3"/>
    <x v="3"/>
    <x v="6"/>
    <d v="2024-05-01T00:00:00"/>
    <d v="2024-05-31T00:00:00"/>
    <x v="0"/>
    <n v="42"/>
    <n v="0"/>
    <n v="42"/>
    <n v="0"/>
    <n v="0"/>
    <n v="0"/>
    <n v="23"/>
    <n v="2"/>
    <n v="1"/>
    <n v="0"/>
    <n v="0"/>
    <n v="0"/>
    <n v="0"/>
    <n v="0"/>
    <n v="0"/>
    <n v="0"/>
    <n v="0"/>
    <n v="0"/>
    <n v="0"/>
    <n v="0"/>
    <n v="0"/>
    <n v="0"/>
    <n v="0"/>
    <n v="0"/>
  </r>
  <r>
    <n v="607"/>
    <d v="2024-07-12T09:28:21"/>
    <d v="2024-07-12T10:03:39"/>
    <s v="mchirwa@lighthouse.org.mw"/>
    <s v="Margaret Chirwa"/>
    <x v="0"/>
    <s v="Prototype"/>
    <x v="1"/>
    <s v="COP_23"/>
    <x v="0"/>
    <x v="3"/>
    <s v="Quarter3"/>
    <x v="3"/>
    <x v="7"/>
    <d v="2024-05-01T00:00:00"/>
    <d v="2024-05-31T00:00:00"/>
    <x v="3"/>
    <n v="1"/>
    <n v="0"/>
    <n v="0"/>
    <n v="0"/>
    <n v="1"/>
    <n v="0"/>
    <n v="0"/>
    <n v="0"/>
    <n v="0"/>
    <n v="0"/>
    <n v="0"/>
    <n v="0"/>
    <n v="0"/>
    <n v="0"/>
    <n v="0"/>
    <n v="0"/>
    <n v="0"/>
    <n v="0"/>
    <n v="0"/>
    <n v="0"/>
    <n v="0"/>
    <n v="0"/>
    <n v="0"/>
    <n v="0"/>
  </r>
  <r>
    <n v="608"/>
    <d v="2024-07-12T10:03:50"/>
    <d v="2024-07-12T10:06:31"/>
    <s v="mchirwa@lighthouse.org.mw"/>
    <s v="Margaret Chirwa"/>
    <x v="0"/>
    <s v="Prototype"/>
    <x v="1"/>
    <s v="COP_23"/>
    <x v="0"/>
    <x v="3"/>
    <s v="Quarter3"/>
    <x v="3"/>
    <x v="7"/>
    <d v="2024-04-01T00:00:00"/>
    <d v="2024-04-30T00:00:00"/>
    <x v="4"/>
    <n v="3"/>
    <n v="0"/>
    <n v="0"/>
    <n v="0"/>
    <n v="0"/>
    <n v="0"/>
    <n v="0"/>
    <n v="0"/>
    <n v="0"/>
    <n v="0"/>
    <n v="0"/>
    <n v="0"/>
    <n v="0"/>
    <n v="0"/>
    <n v="0"/>
    <n v="0"/>
    <n v="0"/>
    <n v="0"/>
    <n v="0"/>
    <n v="0"/>
    <n v="0"/>
    <n v="0"/>
    <n v="0"/>
    <n v="0"/>
  </r>
  <r>
    <n v="610"/>
    <d v="2024-07-12T10:13:55"/>
    <d v="2024-07-12T10:15:56"/>
    <s v="mchirwa@lighthouse.org.mw"/>
    <s v="Margaret Chirwa"/>
    <x v="0"/>
    <s v="Prototype"/>
    <x v="1"/>
    <s v="COP_23"/>
    <x v="0"/>
    <x v="3"/>
    <s v="Quarter3"/>
    <x v="3"/>
    <x v="7"/>
    <d v="2024-04-01T00:00:00"/>
    <d v="2024-04-30T00:00:00"/>
    <x v="5"/>
    <n v="4"/>
    <n v="0"/>
    <n v="1"/>
    <n v="0"/>
    <n v="1"/>
    <n v="0"/>
    <n v="2"/>
    <n v="1"/>
    <n v="2"/>
    <n v="1"/>
    <n v="0"/>
    <n v="0"/>
    <n v="2"/>
    <n v="1"/>
    <n v="0"/>
    <n v="0"/>
    <n v="0"/>
    <n v="0"/>
    <n v="0"/>
    <n v="0"/>
    <n v="1"/>
    <n v="0"/>
    <n v="0"/>
    <n v="0"/>
  </r>
  <r>
    <n v="612"/>
    <d v="2024-07-12T10:18:56"/>
    <d v="2024-07-12T10:19:45"/>
    <s v="mchirwa@lighthouse.org.mw"/>
    <s v="Margaret Chirwa"/>
    <x v="0"/>
    <s v="Prototype"/>
    <x v="1"/>
    <s v="COP_23"/>
    <x v="0"/>
    <x v="3"/>
    <s v="Quarter3"/>
    <x v="3"/>
    <x v="7"/>
    <d v="2024-04-01T00:00:00"/>
    <d v="2024-04-30T00:00:00"/>
    <x v="6"/>
    <n v="0"/>
    <n v="0"/>
    <n v="0"/>
    <n v="0"/>
    <n v="0"/>
    <n v="0"/>
    <n v="0"/>
    <n v="0"/>
    <n v="0"/>
    <n v="0"/>
    <n v="0"/>
    <n v="0"/>
    <n v="0"/>
    <n v="0"/>
    <n v="0"/>
    <n v="0"/>
    <n v="0"/>
    <n v="0"/>
    <n v="0"/>
    <n v="0"/>
    <n v="0"/>
    <n v="0"/>
    <n v="0"/>
    <n v="0"/>
  </r>
  <r>
    <n v="769"/>
    <d v="2024-08-19T10:24:28"/>
    <d v="2024-08-19T10:33:16"/>
    <s v="mchirwa@lighthouse.org.mw"/>
    <s v="Margaret Chirwa"/>
    <x v="0"/>
    <s v="Prototype"/>
    <x v="1"/>
    <s v="COP_23"/>
    <x v="0"/>
    <x v="3"/>
    <s v="Quarter3"/>
    <x v="3"/>
    <x v="7"/>
    <d v="2024-04-01T00:00:00"/>
    <d v="2024-04-30T00:00:00"/>
    <x v="0"/>
    <n v="62"/>
    <n v="0"/>
    <n v="59"/>
    <n v="0"/>
    <n v="3"/>
    <n v="0"/>
    <n v="34"/>
    <n v="10"/>
    <n v="0"/>
    <n v="12"/>
    <n v="0"/>
    <n v="0"/>
    <n v="15"/>
    <n v="3"/>
    <n v="0"/>
    <n v="0"/>
    <n v="0"/>
    <n v="0"/>
    <n v="0"/>
    <n v="0"/>
    <n v="3"/>
    <n v="0"/>
    <n v="0"/>
    <n v="0"/>
  </r>
  <r>
    <n v="927"/>
    <d v="2024-10-16T09:53:57"/>
    <d v="2024-10-16T09:55:15"/>
    <s v="mchirwa@lighthouse.org.mw"/>
    <s v="Margaret Chirwa"/>
    <x v="0"/>
    <s v="Prototype"/>
    <x v="1"/>
    <s v="COP_23"/>
    <x v="0"/>
    <x v="1"/>
    <s v="Quarter4"/>
    <x v="1"/>
    <x v="9"/>
    <d v="2024-07-01T00:00:00"/>
    <d v="2024-07-31T00:00:00"/>
    <x v="3"/>
    <n v="0"/>
    <n v="0"/>
    <n v="0"/>
    <n v="0"/>
    <n v="0"/>
    <n v="0"/>
    <n v="0"/>
    <n v="0"/>
    <n v="0"/>
    <n v="0"/>
    <n v="0"/>
    <n v="0"/>
    <n v="0"/>
    <n v="0"/>
    <n v="0"/>
    <n v="0"/>
    <n v="0"/>
    <n v="0"/>
    <n v="0"/>
    <n v="0"/>
    <n v="0"/>
    <n v="0"/>
    <n v="0"/>
    <n v="0"/>
  </r>
  <r>
    <n v="928"/>
    <d v="2024-10-16T09:55:18"/>
    <d v="2024-10-16T09:56:27"/>
    <s v="mchirwa@lighthouse.org.mw"/>
    <s v="Margaret Chirwa"/>
    <x v="0"/>
    <s v="Prototype"/>
    <x v="1"/>
    <s v="COP_23"/>
    <x v="0"/>
    <x v="1"/>
    <s v="Quarter4"/>
    <x v="1"/>
    <x v="9"/>
    <d v="2024-07-01T00:00:00"/>
    <d v="2024-07-31T00:00:00"/>
    <x v="4"/>
    <n v="3"/>
    <n v="0"/>
    <n v="0"/>
    <n v="0"/>
    <n v="0"/>
    <n v="0"/>
    <n v="0"/>
    <n v="0"/>
    <n v="0"/>
    <n v="0"/>
    <n v="0"/>
    <n v="0"/>
    <n v="0"/>
    <n v="0"/>
    <n v="0"/>
    <n v="0"/>
    <n v="0"/>
    <n v="0"/>
    <n v="0"/>
    <n v="0"/>
    <n v="0"/>
    <n v="0"/>
    <n v="0"/>
    <n v="0"/>
  </r>
  <r>
    <n v="929"/>
    <d v="2024-10-16T09:56:34"/>
    <d v="2024-10-16T09:58:10"/>
    <s v="mchirwa@lighthouse.org.mw"/>
    <s v="Margaret Chirwa"/>
    <x v="0"/>
    <s v="Prototype"/>
    <x v="1"/>
    <s v="COP_23"/>
    <x v="0"/>
    <x v="1"/>
    <s v="Quarter4"/>
    <x v="1"/>
    <x v="9"/>
    <d v="2024-07-01T00:00:00"/>
    <d v="2024-07-31T00:00:00"/>
    <x v="5"/>
    <n v="29"/>
    <n v="0"/>
    <n v="4"/>
    <n v="0"/>
    <n v="0"/>
    <n v="0"/>
    <n v="1"/>
    <n v="0"/>
    <n v="1"/>
    <n v="0"/>
    <n v="0"/>
    <n v="0"/>
    <n v="0"/>
    <n v="0"/>
    <n v="0"/>
    <n v="0"/>
    <n v="0"/>
    <n v="0"/>
    <n v="0"/>
    <n v="0"/>
    <n v="0"/>
    <n v="0"/>
    <n v="0"/>
    <n v="0"/>
  </r>
  <r>
    <n v="931"/>
    <d v="2024-10-16T10:02:10"/>
    <d v="2024-10-16T10:03:03"/>
    <s v="mchirwa@lighthouse.org.mw"/>
    <s v="Margaret Chirwa"/>
    <x v="0"/>
    <s v="Prototype"/>
    <x v="1"/>
    <s v="COP_23"/>
    <x v="0"/>
    <x v="1"/>
    <s v="Quarter4"/>
    <x v="1"/>
    <x v="9"/>
    <d v="2024-07-01T00:00:00"/>
    <d v="2024-07-31T00:00:00"/>
    <x v="6"/>
    <n v="0"/>
    <n v="0"/>
    <n v="0"/>
    <n v="0"/>
    <n v="0"/>
    <n v="0"/>
    <n v="0"/>
    <n v="0"/>
    <n v="0"/>
    <n v="0"/>
    <n v="0"/>
    <n v="0"/>
    <n v="0"/>
    <n v="0"/>
    <n v="0"/>
    <n v="0"/>
    <n v="0"/>
    <n v="0"/>
    <n v="0"/>
    <n v="0"/>
    <n v="0"/>
    <n v="0"/>
    <n v="0"/>
    <n v="0"/>
  </r>
  <r>
    <n v="932"/>
    <d v="2024-10-16T10:03:13"/>
    <d v="2024-10-16T10:06:06"/>
    <s v="mchirwa@lighthouse.org.mw"/>
    <s v="Margaret Chirwa"/>
    <x v="0"/>
    <s v="Prototype"/>
    <x v="1"/>
    <s v="COP_23"/>
    <x v="0"/>
    <x v="1"/>
    <s v="Quarter4"/>
    <x v="1"/>
    <x v="9"/>
    <d v="2024-07-01T00:00:00"/>
    <d v="2024-07-31T00:00:00"/>
    <x v="0"/>
    <n v="67"/>
    <n v="3"/>
    <n v="63"/>
    <n v="2"/>
    <n v="2"/>
    <n v="0"/>
    <n v="42"/>
    <n v="5"/>
    <n v="7"/>
    <n v="0"/>
    <n v="1"/>
    <n v="0"/>
    <n v="1"/>
    <n v="0"/>
    <n v="0"/>
    <n v="0"/>
    <n v="0"/>
    <n v="0"/>
    <n v="0"/>
    <n v="0"/>
    <n v="0"/>
    <n v="0"/>
    <n v="0"/>
    <n v="0"/>
  </r>
  <r>
    <n v="934"/>
    <d v="2024-10-16T10:08:22"/>
    <d v="2024-10-16T10:09:29"/>
    <s v="mchirwa@lighthouse.org.mw"/>
    <s v="Margaret Chirwa"/>
    <x v="0"/>
    <s v="Prototype"/>
    <x v="1"/>
    <s v="COP_23"/>
    <x v="0"/>
    <x v="1"/>
    <s v="Quarter4"/>
    <x v="1"/>
    <x v="10"/>
    <d v="2024-08-01T00:00:00"/>
    <d v="2024-08-31T00:00:00"/>
    <x v="3"/>
    <n v="2"/>
    <n v="0"/>
    <n v="1"/>
    <n v="0"/>
    <n v="0"/>
    <n v="0"/>
    <n v="0"/>
    <n v="0"/>
    <n v="0"/>
    <n v="0"/>
    <n v="0"/>
    <n v="0"/>
    <n v="0"/>
    <n v="0"/>
    <n v="0"/>
    <n v="0"/>
    <n v="0"/>
    <n v="0"/>
    <n v="0"/>
    <n v="0"/>
    <n v="0"/>
    <n v="0"/>
    <n v="0"/>
    <n v="0"/>
  </r>
  <r>
    <n v="935"/>
    <d v="2024-10-16T10:09:31"/>
    <d v="2024-10-16T10:10:41"/>
    <s v="mchirwa@lighthouse.org.mw"/>
    <s v="Margaret Chirwa"/>
    <x v="0"/>
    <s v="Prototype"/>
    <x v="1"/>
    <s v="COP_23"/>
    <x v="0"/>
    <x v="1"/>
    <s v="Quarter4"/>
    <x v="1"/>
    <x v="10"/>
    <d v="2024-08-01T00:00:00"/>
    <d v="2024-08-31T00:00:00"/>
    <x v="4"/>
    <n v="2"/>
    <n v="0"/>
    <n v="0"/>
    <n v="0"/>
    <n v="0"/>
    <n v="0"/>
    <n v="0"/>
    <n v="0"/>
    <n v="0"/>
    <n v="0"/>
    <n v="0"/>
    <n v="0"/>
    <n v="0"/>
    <n v="0"/>
    <n v="0"/>
    <n v="0"/>
    <n v="0"/>
    <n v="0"/>
    <n v="0"/>
    <n v="0"/>
    <n v="0"/>
    <n v="0"/>
    <n v="0"/>
    <n v="0"/>
  </r>
  <r>
    <n v="936"/>
    <d v="2024-10-16T10:11:26"/>
    <d v="2024-10-16T10:14:05"/>
    <s v="mchirwa@lighthouse.org.mw"/>
    <s v="Margaret Chirwa"/>
    <x v="0"/>
    <s v="Prototype"/>
    <x v="1"/>
    <s v="COP_23"/>
    <x v="0"/>
    <x v="1"/>
    <s v="Quarter4"/>
    <x v="1"/>
    <x v="10"/>
    <d v="2024-08-01T00:00:00"/>
    <d v="2024-08-31T00:00:00"/>
    <x v="5"/>
    <n v="23"/>
    <n v="1"/>
    <n v="7"/>
    <n v="0"/>
    <n v="1"/>
    <n v="0"/>
    <n v="8"/>
    <n v="2"/>
    <n v="2"/>
    <n v="0"/>
    <n v="0"/>
    <n v="0"/>
    <n v="0"/>
    <n v="0"/>
    <n v="0"/>
    <n v="0"/>
    <n v="0"/>
    <n v="0"/>
    <n v="0"/>
    <n v="0"/>
    <n v="0"/>
    <n v="0"/>
    <n v="0"/>
    <n v="0"/>
  </r>
  <r>
    <n v="937"/>
    <d v="2024-10-16T10:14:08"/>
    <d v="2024-10-16T10:16:10"/>
    <s v="mchirwa@lighthouse.org.mw"/>
    <s v="Margaret Chirwa"/>
    <x v="0"/>
    <s v="Prototype"/>
    <x v="1"/>
    <s v="COP_23"/>
    <x v="0"/>
    <x v="1"/>
    <s v="Quarter4"/>
    <x v="1"/>
    <x v="10"/>
    <d v="2024-08-01T00:00:00"/>
    <d v="2024-08-31T00:00:00"/>
    <x v="6"/>
    <n v="11"/>
    <n v="0"/>
    <n v="3"/>
    <n v="0"/>
    <n v="0"/>
    <n v="0"/>
    <n v="3"/>
    <n v="0"/>
    <n v="0"/>
    <n v="0"/>
    <n v="0"/>
    <n v="0"/>
    <n v="1"/>
    <n v="0"/>
    <n v="0"/>
    <n v="0"/>
    <n v="0"/>
    <n v="0"/>
    <n v="0"/>
    <n v="0"/>
    <n v="0"/>
    <n v="0"/>
    <n v="0"/>
    <n v="0"/>
  </r>
  <r>
    <n v="938"/>
    <d v="2024-10-16T10:16:43"/>
    <d v="2024-10-16T10:17:47"/>
    <s v="mchirwa@lighthouse.org.mw"/>
    <s v="Margaret Chirwa"/>
    <x v="0"/>
    <s v="Prototype"/>
    <x v="1"/>
    <s v="COP_23"/>
    <x v="0"/>
    <x v="1"/>
    <s v="Quarter4"/>
    <x v="1"/>
    <x v="10"/>
    <d v="2024-08-01T00:00:00"/>
    <d v="2024-08-31T00:00:00"/>
    <x v="6"/>
    <n v="0"/>
    <n v="0"/>
    <n v="0"/>
    <n v="0"/>
    <n v="0"/>
    <n v="0"/>
    <n v="0"/>
    <n v="0"/>
    <n v="0"/>
    <n v="0"/>
    <n v="0"/>
    <n v="0"/>
    <n v="0"/>
    <n v="0"/>
    <n v="0"/>
    <n v="0"/>
    <n v="0"/>
    <n v="0"/>
    <n v="0"/>
    <n v="0"/>
    <n v="0"/>
    <n v="0"/>
    <n v="0"/>
    <n v="0"/>
  </r>
  <r>
    <n v="939"/>
    <d v="2024-10-16T10:17:55"/>
    <d v="2024-10-16T10:19:07"/>
    <s v="mchirwa@lighthouse.org.mw"/>
    <s v="Margaret Chirwa"/>
    <x v="0"/>
    <s v="Prototype"/>
    <x v="1"/>
    <s v="COP_23"/>
    <x v="0"/>
    <x v="1"/>
    <s v="Quarter4"/>
    <x v="1"/>
    <x v="10"/>
    <d v="2024-08-01T00:00:00"/>
    <d v="2024-08-31T00:00:00"/>
    <x v="0"/>
    <n v="55"/>
    <n v="1"/>
    <n v="53"/>
    <n v="0"/>
    <n v="1"/>
    <n v="1"/>
    <n v="51"/>
    <n v="11"/>
    <n v="7"/>
    <n v="0"/>
    <n v="0"/>
    <n v="0"/>
    <n v="1"/>
    <n v="0"/>
    <n v="0"/>
    <n v="0"/>
    <n v="0"/>
    <n v="0"/>
    <n v="0"/>
    <n v="0"/>
    <n v="0"/>
    <n v="0"/>
    <n v="0"/>
    <n v="0"/>
  </r>
  <r>
    <n v="941"/>
    <d v="2024-10-16T10:30:05"/>
    <d v="2024-10-16T10:38:08"/>
    <s v="mchirwa@lighthouse.org.mw"/>
    <s v="Margaret Chirwa"/>
    <x v="0"/>
    <s v="Prototype"/>
    <x v="1"/>
    <s v="COP_23"/>
    <x v="0"/>
    <x v="1"/>
    <s v="Quarter4"/>
    <x v="1"/>
    <x v="2"/>
    <d v="2024-09-01T00:00:00"/>
    <d v="2024-09-30T00:00:00"/>
    <x v="3"/>
    <n v="1"/>
    <n v="0"/>
    <n v="1"/>
    <n v="0"/>
    <n v="0"/>
    <n v="0"/>
    <n v="0"/>
    <n v="0"/>
    <n v="0"/>
    <n v="0"/>
    <n v="0"/>
    <n v="0"/>
    <n v="0"/>
    <n v="0"/>
    <n v="0"/>
    <n v="0"/>
    <n v="0"/>
    <n v="0"/>
    <n v="0"/>
    <n v="0"/>
    <n v="0"/>
    <n v="0"/>
    <n v="0"/>
    <n v="0"/>
  </r>
  <r>
    <n v="942"/>
    <d v="2024-10-16T10:38:12"/>
    <d v="2024-10-16T10:41:08"/>
    <s v="mchirwa@lighthouse.org.mw"/>
    <s v="Margaret Chirwa"/>
    <x v="0"/>
    <s v="Prototype"/>
    <x v="1"/>
    <s v="COP_23"/>
    <x v="0"/>
    <x v="1"/>
    <s v="Quarter4"/>
    <x v="1"/>
    <x v="2"/>
    <d v="2024-09-01T00:00:00"/>
    <d v="2024-09-30T00:00:00"/>
    <x v="4"/>
    <n v="2"/>
    <n v="0"/>
    <n v="2"/>
    <n v="0"/>
    <n v="0"/>
    <n v="0"/>
    <n v="2"/>
    <n v="0"/>
    <n v="1"/>
    <n v="0"/>
    <n v="0"/>
    <n v="0"/>
    <n v="1"/>
    <n v="0"/>
    <n v="0"/>
    <n v="0"/>
    <n v="0"/>
    <n v="0"/>
    <n v="0"/>
    <n v="0"/>
    <n v="0"/>
    <n v="0"/>
    <n v="0"/>
    <n v="0"/>
  </r>
  <r>
    <n v="943"/>
    <d v="2024-10-16T10:41:31"/>
    <d v="2024-10-16T10:42:34"/>
    <s v="mchirwa@lighthouse.org.mw"/>
    <s v="Margaret Chirwa"/>
    <x v="0"/>
    <s v="Prototype"/>
    <x v="1"/>
    <s v="COP_23"/>
    <x v="0"/>
    <x v="1"/>
    <s v="Quarter4"/>
    <x v="1"/>
    <x v="2"/>
    <d v="2024-09-01T00:00:00"/>
    <d v="2024-09-30T00:00:00"/>
    <x v="5"/>
    <n v="6"/>
    <n v="0"/>
    <n v="1"/>
    <n v="0"/>
    <n v="0"/>
    <n v="0"/>
    <n v="1"/>
    <n v="0"/>
    <n v="0"/>
    <n v="0"/>
    <n v="0"/>
    <n v="0"/>
    <n v="0"/>
    <n v="0"/>
    <n v="0"/>
    <n v="0"/>
    <n v="0"/>
    <n v="0"/>
    <n v="0"/>
    <n v="0"/>
    <n v="0"/>
    <n v="0"/>
    <n v="0"/>
    <n v="0"/>
  </r>
  <r>
    <n v="945"/>
    <d v="2024-10-16T10:51:11"/>
    <d v="2024-10-16T10:52:17"/>
    <s v="mchirwa@lighthouse.org.mw"/>
    <s v="Margaret Chirwa"/>
    <x v="0"/>
    <s v="Prototype"/>
    <x v="1"/>
    <s v="COP_23"/>
    <x v="0"/>
    <x v="1"/>
    <s v="Quarter4"/>
    <x v="1"/>
    <x v="2"/>
    <d v="2024-09-01T00:00:00"/>
    <d v="2024-09-30T00:00:00"/>
    <x v="6"/>
    <n v="0"/>
    <n v="0"/>
    <n v="0"/>
    <n v="0"/>
    <n v="0"/>
    <n v="0"/>
    <n v="0"/>
    <n v="0"/>
    <n v="0"/>
    <n v="0"/>
    <n v="0"/>
    <n v="0"/>
    <n v="0"/>
    <n v="0"/>
    <n v="0"/>
    <n v="0"/>
    <n v="0"/>
    <n v="0"/>
    <n v="0"/>
    <n v="0"/>
    <n v="0"/>
    <n v="0"/>
    <n v="0"/>
    <n v="0"/>
  </r>
  <r>
    <n v="946"/>
    <d v="2024-10-16T10:52:34"/>
    <d v="2024-10-16T10:56:48"/>
    <s v="mchirwa@lighthouse.org.mw"/>
    <s v="Margaret Chirwa"/>
    <x v="0"/>
    <s v="Prototype"/>
    <x v="1"/>
    <s v="COP_23"/>
    <x v="0"/>
    <x v="1"/>
    <s v="Quarter4"/>
    <x v="1"/>
    <x v="2"/>
    <d v="2024-09-01T00:00:00"/>
    <d v="2024-09-30T00:00:00"/>
    <x v="0"/>
    <n v="66"/>
    <n v="0"/>
    <n v="66"/>
    <n v="0"/>
    <n v="0"/>
    <n v="0"/>
    <n v="59"/>
    <n v="11"/>
    <n v="11"/>
    <n v="0"/>
    <n v="0"/>
    <n v="0"/>
    <n v="10"/>
    <n v="0"/>
    <n v="0"/>
    <n v="0"/>
    <n v="0"/>
    <n v="0"/>
    <n v="0"/>
    <n v="0"/>
    <n v="0"/>
    <n v="0"/>
    <n v="0"/>
    <n v="0"/>
  </r>
  <r>
    <n v="1169"/>
    <d v="2025-01-02T14:20:19"/>
    <d v="2025-01-02T14:33:56"/>
    <s v="mchirwa@lighthouse.org.mw"/>
    <s v="Margaret Chirwa"/>
    <x v="0"/>
    <s v="Prototype"/>
    <x v="1"/>
    <s v="COP_24"/>
    <x v="2"/>
    <x v="0"/>
    <s v="Quarter1"/>
    <x v="0"/>
    <x v="0"/>
    <d v="2024-10-01T00:00:00"/>
    <d v="2024-10-31T00:00:00"/>
    <x v="1"/>
    <n v="36"/>
    <n v="0"/>
    <n v="28"/>
    <n v="0"/>
    <n v="0"/>
    <n v="0"/>
    <n v="9"/>
    <n v="2"/>
    <n v="0"/>
    <n v="0"/>
    <n v="0"/>
    <n v="0"/>
    <n v="1"/>
    <n v="0"/>
    <n v="0"/>
    <n v="0"/>
    <n v="0"/>
    <n v="0"/>
    <n v="0"/>
    <n v="0"/>
    <n v="0"/>
    <n v="0"/>
    <n v="0"/>
    <n v="0"/>
  </r>
  <r>
    <n v="1170"/>
    <d v="2025-01-02T14:34:17"/>
    <d v="2025-01-02T14:37:00"/>
    <s v="mchirwa@lighthouse.org.mw"/>
    <s v="Margaret Chirwa"/>
    <x v="0"/>
    <s v="Prototype"/>
    <x v="1"/>
    <s v="COP_24"/>
    <x v="2"/>
    <x v="0"/>
    <s v="Quarter1"/>
    <x v="0"/>
    <x v="0"/>
    <d v="2024-10-01T00:00:00"/>
    <d v="2024-10-31T00:00:00"/>
    <x v="3"/>
    <n v="0"/>
    <n v="0"/>
    <n v="0"/>
    <n v="0"/>
    <n v="0"/>
    <n v="0"/>
    <n v="0"/>
    <n v="0"/>
    <n v="0"/>
    <n v="0"/>
    <n v="0"/>
    <n v="0"/>
    <n v="0"/>
    <n v="0"/>
    <n v="0"/>
    <n v="0"/>
    <n v="0"/>
    <n v="0"/>
    <n v="0"/>
    <n v="0"/>
    <n v="0"/>
    <n v="0"/>
    <n v="0"/>
    <n v="0"/>
  </r>
  <r>
    <n v="1171"/>
    <d v="2025-01-02T14:37:09"/>
    <d v="2025-01-02T14:38:43"/>
    <s v="mchirwa@lighthouse.org.mw"/>
    <s v="Margaret Chirwa"/>
    <x v="0"/>
    <s v="Prototype"/>
    <x v="1"/>
    <s v="COP_24"/>
    <x v="2"/>
    <x v="0"/>
    <s v="Quarter1"/>
    <x v="0"/>
    <x v="0"/>
    <d v="2024-10-01T00:00:00"/>
    <d v="2024-10-31T00:00:00"/>
    <x v="4"/>
    <n v="1"/>
    <n v="0"/>
    <n v="1"/>
    <n v="0"/>
    <n v="0"/>
    <n v="0"/>
    <n v="0"/>
    <n v="0"/>
    <n v="0"/>
    <n v="0"/>
    <n v="0"/>
    <n v="0"/>
    <n v="0"/>
    <n v="0"/>
    <n v="0"/>
    <n v="0"/>
    <n v="0"/>
    <n v="0"/>
    <n v="0"/>
    <n v="0"/>
    <n v="0"/>
    <n v="0"/>
    <n v="0"/>
    <n v="0"/>
  </r>
  <r>
    <n v="1172"/>
    <d v="2025-01-02T14:38:50"/>
    <d v="2025-01-02T14:44:14"/>
    <s v="mchirwa@lighthouse.org.mw"/>
    <s v="Margaret Chirwa"/>
    <x v="0"/>
    <s v="Prototype"/>
    <x v="1"/>
    <s v="COP_24"/>
    <x v="2"/>
    <x v="0"/>
    <s v="Quarter1"/>
    <x v="0"/>
    <x v="0"/>
    <d v="2024-10-01T00:00:00"/>
    <d v="2024-10-31T00:00:00"/>
    <x v="5"/>
    <n v="0"/>
    <n v="0"/>
    <n v="0"/>
    <n v="0"/>
    <n v="0"/>
    <n v="0"/>
    <n v="0"/>
    <n v="0"/>
    <n v="0"/>
    <n v="0"/>
    <n v="0"/>
    <n v="0"/>
    <n v="0"/>
    <n v="0"/>
    <n v="0"/>
    <n v="0"/>
    <n v="0"/>
    <n v="0"/>
    <n v="0"/>
    <n v="0"/>
    <n v="0"/>
    <n v="0"/>
    <n v="0"/>
    <n v="0"/>
  </r>
  <r>
    <n v="1173"/>
    <d v="2025-01-02T14:44:17"/>
    <d v="2025-01-02T14:51:02"/>
    <s v="mchirwa@lighthouse.org.mw"/>
    <s v="Margaret Chirwa"/>
    <x v="0"/>
    <s v="Prototype"/>
    <x v="1"/>
    <s v="COP_24"/>
    <x v="2"/>
    <x v="0"/>
    <s v="Quarter1"/>
    <x v="0"/>
    <x v="0"/>
    <d v="2024-10-01T00:00:00"/>
    <d v="2024-10-31T00:00:00"/>
    <x v="2"/>
    <n v="8"/>
    <n v="0"/>
    <n v="8"/>
    <n v="0"/>
    <n v="0"/>
    <n v="0"/>
    <n v="8"/>
    <n v="0"/>
    <n v="1"/>
    <n v="0"/>
    <n v="0"/>
    <n v="0"/>
    <n v="0"/>
    <n v="0"/>
    <n v="0"/>
    <n v="0"/>
    <n v="0"/>
    <n v="0"/>
    <n v="0"/>
    <n v="0"/>
    <n v="0"/>
    <n v="0"/>
    <n v="0"/>
    <n v="0"/>
  </r>
  <r>
    <n v="1174"/>
    <d v="2025-01-02T14:51:15"/>
    <d v="2025-01-02T14:54:08"/>
    <s v="mchirwa@lighthouse.org.mw"/>
    <s v="Margaret Chirwa"/>
    <x v="0"/>
    <s v="Prototype"/>
    <x v="1"/>
    <s v="COP_24"/>
    <x v="2"/>
    <x v="0"/>
    <s v="Quarter1"/>
    <x v="0"/>
    <x v="0"/>
    <d v="2024-10-01T00:00:00"/>
    <d v="2024-10-31T00:00:00"/>
    <x v="0"/>
    <n v="37"/>
    <n v="0"/>
    <n v="37"/>
    <n v="0"/>
    <n v="0"/>
    <n v="0"/>
    <n v="17"/>
    <n v="2"/>
    <n v="1"/>
    <n v="0"/>
    <n v="0"/>
    <n v="0"/>
    <n v="1"/>
    <n v="0"/>
    <n v="0"/>
    <n v="0"/>
    <n v="0"/>
    <n v="0"/>
    <n v="0"/>
    <n v="0"/>
    <n v="0"/>
    <n v="0"/>
    <n v="0"/>
    <n v="0"/>
  </r>
  <r>
    <n v="1175"/>
    <d v="2025-01-02T14:55:54"/>
    <d v="2025-01-02T14:58:23"/>
    <s v="mchirwa@lighthouse.org.mw"/>
    <s v="Margaret Chirwa"/>
    <x v="0"/>
    <s v="Prototype"/>
    <x v="1"/>
    <s v="COP_24"/>
    <x v="2"/>
    <x v="0"/>
    <s v="Quarter1"/>
    <x v="0"/>
    <x v="1"/>
    <d v="2024-11-01T00:00:00"/>
    <d v="2024-11-30T00:00:00"/>
    <x v="1"/>
    <n v="35"/>
    <n v="0"/>
    <n v="32"/>
    <n v="1"/>
    <n v="1"/>
    <n v="0"/>
    <n v="24"/>
    <n v="4"/>
    <n v="4"/>
    <n v="0"/>
    <n v="0"/>
    <n v="0"/>
    <n v="4"/>
    <n v="0"/>
    <n v="0"/>
    <n v="0"/>
    <n v="0"/>
    <n v="0"/>
    <n v="0"/>
    <n v="0"/>
    <n v="0"/>
    <n v="0"/>
    <n v="0"/>
    <n v="0"/>
  </r>
  <r>
    <n v="1176"/>
    <d v="2025-01-02T14:58:26"/>
    <d v="2025-01-02T14:59:43"/>
    <s v="mchirwa@lighthouse.org.mw"/>
    <s v="Margaret Chirwa"/>
    <x v="0"/>
    <s v="Prototype"/>
    <x v="1"/>
    <s v="COP_24"/>
    <x v="2"/>
    <x v="0"/>
    <s v="Quarter1"/>
    <x v="0"/>
    <x v="1"/>
    <d v="2024-11-01T00:00:00"/>
    <d v="2024-11-30T00:00:00"/>
    <x v="3"/>
    <n v="0"/>
    <n v="0"/>
    <n v="0"/>
    <n v="0"/>
    <n v="0"/>
    <n v="0"/>
    <n v="0"/>
    <n v="0"/>
    <n v="0"/>
    <n v="0"/>
    <n v="0"/>
    <n v="0"/>
    <n v="0"/>
    <n v="0"/>
    <n v="0"/>
    <n v="0"/>
    <n v="0"/>
    <n v="0"/>
    <n v="0"/>
    <n v="0"/>
    <n v="0"/>
    <n v="0"/>
    <n v="0"/>
    <n v="0"/>
  </r>
  <r>
    <n v="1177"/>
    <d v="2025-01-02T14:59:54"/>
    <d v="2025-01-02T15:00:52"/>
    <s v="mchirwa@lighthouse.org.mw"/>
    <s v="Margaret Chirwa"/>
    <x v="0"/>
    <s v="Prototype"/>
    <x v="1"/>
    <s v="COP_24"/>
    <x v="2"/>
    <x v="0"/>
    <s v="Quarter1"/>
    <x v="0"/>
    <x v="1"/>
    <d v="2024-11-01T00:00:00"/>
    <d v="2024-11-30T00:00:00"/>
    <x v="4"/>
    <n v="1"/>
    <n v="0"/>
    <n v="1"/>
    <n v="0"/>
    <n v="0"/>
    <n v="0"/>
    <n v="0"/>
    <n v="0"/>
    <n v="0"/>
    <n v="0"/>
    <n v="0"/>
    <n v="0"/>
    <n v="0"/>
    <n v="0"/>
    <n v="0"/>
    <n v="0"/>
    <n v="0"/>
    <n v="0"/>
    <n v="0"/>
    <n v="0"/>
    <n v="0"/>
    <n v="0"/>
    <n v="0"/>
    <n v="0"/>
  </r>
  <r>
    <n v="1178"/>
    <d v="2025-01-02T15:00:56"/>
    <d v="2025-01-02T15:04:13"/>
    <s v="mchirwa@lighthouse.org.mw"/>
    <s v="Margaret Chirwa"/>
    <x v="0"/>
    <s v="Prototype"/>
    <x v="1"/>
    <s v="COP_24"/>
    <x v="2"/>
    <x v="0"/>
    <s v="Quarter1"/>
    <x v="0"/>
    <x v="1"/>
    <d v="2024-11-01T00:00:00"/>
    <d v="2024-11-30T00:00:00"/>
    <x v="5"/>
    <n v="0"/>
    <n v="0"/>
    <n v="0"/>
    <n v="0"/>
    <n v="0"/>
    <n v="0"/>
    <n v="0"/>
    <n v="0"/>
    <n v="0"/>
    <n v="0"/>
    <n v="0"/>
    <n v="0"/>
    <n v="0"/>
    <n v="0"/>
    <n v="0"/>
    <n v="0"/>
    <n v="0"/>
    <n v="0"/>
    <n v="0"/>
    <n v="0"/>
    <n v="0"/>
    <n v="0"/>
    <n v="0"/>
    <n v="0"/>
  </r>
  <r>
    <n v="1179"/>
    <d v="2025-01-02T15:04:17"/>
    <d v="2025-01-02T15:06:25"/>
    <s v="mchirwa@lighthouse.org.mw"/>
    <s v="Margaret Chirwa"/>
    <x v="0"/>
    <s v="Prototype"/>
    <x v="1"/>
    <s v="COP_24"/>
    <x v="2"/>
    <x v="0"/>
    <s v="Quarter1"/>
    <x v="0"/>
    <x v="1"/>
    <d v="2024-11-01T00:00:00"/>
    <d v="2024-11-30T00:00:00"/>
    <x v="2"/>
    <n v="11"/>
    <n v="0"/>
    <n v="9"/>
    <n v="2"/>
    <n v="0"/>
    <n v="0"/>
    <n v="11"/>
    <n v="6"/>
    <n v="6"/>
    <n v="0"/>
    <n v="0"/>
    <n v="0"/>
    <n v="6"/>
    <n v="0"/>
    <n v="0"/>
    <n v="0"/>
    <n v="0"/>
    <n v="0"/>
    <n v="0"/>
    <n v="0"/>
    <n v="0"/>
    <n v="0"/>
    <n v="0"/>
    <n v="0"/>
  </r>
  <r>
    <n v="1180"/>
    <d v="2025-01-02T15:22:07"/>
    <d v="2025-01-02T15:22:39"/>
    <s v="mchirwa@lighthouse.org.mw"/>
    <s v="Margaret Chirwa"/>
    <x v="0"/>
    <s v="Prototype"/>
    <x v="1"/>
    <s v="COP_24"/>
    <x v="2"/>
    <x v="0"/>
    <s v="Quarter1"/>
    <x v="0"/>
    <x v="1"/>
    <d v="2024-11-01T00:00:00"/>
    <d v="2024-11-30T00:00:00"/>
    <x v="0"/>
    <n v="45"/>
    <n v="0"/>
    <n v="41"/>
    <n v="3"/>
    <n v="1"/>
    <n v="0"/>
    <n v="35"/>
    <n v="10"/>
    <n v="10"/>
    <n v="0"/>
    <n v="0"/>
    <n v="0"/>
    <n v="10"/>
    <n v="0"/>
    <n v="0"/>
    <n v="0"/>
    <n v="0"/>
    <n v="0"/>
    <n v="0"/>
    <n v="0"/>
    <n v="0"/>
    <n v="0"/>
    <n v="0"/>
    <n v="0"/>
  </r>
  <r>
    <n v="1261"/>
    <d v="2025-01-14T11:47:53"/>
    <d v="2025-01-14T11:51:28"/>
    <s v="mchirwa@lighthouse.org.mw"/>
    <s v="Margaret Chirwa"/>
    <x v="0"/>
    <s v="Prototype"/>
    <x v="1"/>
    <s v="COP_24"/>
    <x v="2"/>
    <x v="0"/>
    <s v="Quarter1"/>
    <x v="0"/>
    <x v="11"/>
    <d v="2024-12-01T00:00:00"/>
    <d v="2023-12-31T00:00:00"/>
    <x v="1"/>
    <n v="36"/>
    <n v="0"/>
    <n v="33"/>
    <n v="1"/>
    <n v="2"/>
    <n v="0"/>
    <n v="17"/>
    <n v="1"/>
    <n v="1"/>
    <n v="0"/>
    <n v="0"/>
    <n v="0"/>
    <n v="1"/>
    <n v="0"/>
    <n v="0"/>
    <n v="0"/>
    <n v="0"/>
    <n v="0"/>
    <n v="0"/>
    <n v="0"/>
    <n v="0"/>
    <n v="0"/>
    <n v="0"/>
    <n v="0"/>
  </r>
  <r>
    <n v="1263"/>
    <d v="2025-01-14T11:51:35"/>
    <d v="2025-01-14T11:53:58"/>
    <s v="mchirwa@lighthouse.org.mw"/>
    <s v="Margaret Chirwa"/>
    <x v="0"/>
    <s v="Prototype"/>
    <x v="1"/>
    <s v="COP_24"/>
    <x v="2"/>
    <x v="0"/>
    <s v="Quarter1"/>
    <x v="0"/>
    <x v="11"/>
    <d v="2024-12-01T00:00:00"/>
    <d v="2024-12-31T00:00:00"/>
    <x v="3"/>
    <n v="1"/>
    <n v="0"/>
    <n v="0"/>
    <n v="0"/>
    <n v="1"/>
    <n v="0"/>
    <n v="0"/>
    <n v="0"/>
    <n v="0"/>
    <n v="0"/>
    <n v="0"/>
    <n v="0"/>
    <n v="0"/>
    <n v="0"/>
    <n v="0"/>
    <n v="0"/>
    <n v="0"/>
    <n v="0"/>
    <n v="0"/>
    <n v="0"/>
    <n v="0"/>
    <n v="0"/>
    <n v="0"/>
    <n v="0"/>
  </r>
  <r>
    <n v="1265"/>
    <d v="2025-01-14T11:54:02"/>
    <d v="2025-01-14T11:58:51"/>
    <s v="mchirwa@lighthouse.org.mw"/>
    <s v="Margaret Chirwa"/>
    <x v="0"/>
    <s v="Prototype"/>
    <x v="1"/>
    <s v="COP_24"/>
    <x v="2"/>
    <x v="0"/>
    <s v="Quarter1"/>
    <x v="0"/>
    <x v="11"/>
    <d v="2024-12-01T00:00:00"/>
    <d v="2024-12-31T00:00:00"/>
    <x v="4"/>
    <n v="0"/>
    <n v="0"/>
    <n v="0"/>
    <n v="0"/>
    <n v="0"/>
    <n v="0"/>
    <n v="0"/>
    <n v="0"/>
    <n v="0"/>
    <n v="0"/>
    <n v="0"/>
    <n v="0"/>
    <n v="0"/>
    <n v="0"/>
    <n v="0"/>
    <n v="0"/>
    <n v="0"/>
    <n v="0"/>
    <n v="0"/>
    <n v="0"/>
    <n v="0"/>
    <n v="0"/>
    <n v="0"/>
    <n v="0"/>
  </r>
  <r>
    <n v="1266"/>
    <d v="2025-01-14T11:58:55"/>
    <d v="2025-01-14T12:11:47"/>
    <s v="mchirwa@lighthouse.org.mw"/>
    <s v="Margaret Chirwa"/>
    <x v="0"/>
    <s v="Prototype"/>
    <x v="1"/>
    <s v="COP_24"/>
    <x v="2"/>
    <x v="0"/>
    <s v="Quarter1"/>
    <x v="0"/>
    <x v="11"/>
    <d v="2024-12-01T00:00:00"/>
    <d v="2024-12-31T00:00:00"/>
    <x v="5"/>
    <n v="1"/>
    <n v="0"/>
    <n v="0"/>
    <n v="0"/>
    <n v="1"/>
    <n v="0"/>
    <n v="0"/>
    <n v="0"/>
    <n v="0"/>
    <n v="0"/>
    <n v="0"/>
    <n v="0"/>
    <n v="0"/>
    <n v="0"/>
    <n v="0"/>
    <n v="0"/>
    <n v="0"/>
    <n v="0"/>
    <n v="0"/>
    <n v="0"/>
    <n v="0"/>
    <n v="0"/>
    <n v="0"/>
    <n v="0"/>
  </r>
  <r>
    <n v="1267"/>
    <d v="2025-01-14T12:11:51"/>
    <d v="2025-01-14T12:19:52"/>
    <s v="mchirwa@lighthouse.org.mw"/>
    <s v="Margaret Chirwa"/>
    <x v="0"/>
    <s v="Prototype"/>
    <x v="1"/>
    <s v="COP_24"/>
    <x v="2"/>
    <x v="0"/>
    <s v="Quarter1"/>
    <x v="0"/>
    <x v="11"/>
    <d v="2024-12-01T00:00:00"/>
    <d v="2024-12-31T00:00:00"/>
    <x v="2"/>
    <n v="2"/>
    <n v="0"/>
    <n v="1"/>
    <n v="1"/>
    <n v="0"/>
    <n v="0"/>
    <n v="0"/>
    <n v="0"/>
    <n v="2"/>
    <n v="0"/>
    <n v="0"/>
    <n v="0"/>
    <n v="2"/>
    <n v="0"/>
    <n v="0"/>
    <n v="0"/>
    <n v="0"/>
    <n v="0"/>
    <n v="0"/>
    <n v="0"/>
    <n v="0"/>
    <n v="0"/>
    <n v="0"/>
    <n v="0"/>
  </r>
  <r>
    <n v="1268"/>
    <d v="2025-01-14T12:19:57"/>
    <d v="2025-01-14T12:27:10"/>
    <s v="mchirwa@lighthouse.org.mw"/>
    <s v="Margaret Chirwa"/>
    <x v="0"/>
    <s v="Prototype"/>
    <x v="1"/>
    <s v="COP_24"/>
    <x v="2"/>
    <x v="0"/>
    <s v="Quarter1"/>
    <x v="0"/>
    <x v="11"/>
    <d v="2024-12-01T00:00:00"/>
    <d v="2024-12-31T00:00:00"/>
    <x v="0"/>
    <n v="36"/>
    <n v="0"/>
    <n v="0"/>
    <n v="33"/>
    <n v="1"/>
    <n v="2"/>
    <n v="18"/>
    <n v="1"/>
    <n v="3"/>
    <n v="0"/>
    <n v="0"/>
    <n v="0"/>
    <n v="3"/>
    <n v="0"/>
    <n v="0"/>
    <n v="0"/>
    <n v="0"/>
    <n v="0"/>
    <n v="0"/>
    <n v="0"/>
    <n v="0"/>
    <n v="0"/>
    <n v="0"/>
    <n v="0"/>
  </r>
  <r>
    <n v="1269"/>
    <d v="2025-01-14T12:27:58"/>
    <d v="2025-01-14T12:30:49"/>
    <s v="mchirwa@lighthouse.org.mw"/>
    <s v="Margaret Chirwa"/>
    <x v="0"/>
    <s v="Prototype"/>
    <x v="1"/>
    <s v="COP_24"/>
    <x v="2"/>
    <x v="0"/>
    <s v="Quarter1"/>
    <x v="0"/>
    <x v="11"/>
    <d v="2024-12-01T00:00:00"/>
    <d v="2024-12-31T00:00:00"/>
    <x v="2"/>
    <n v="2"/>
    <n v="0"/>
    <n v="1"/>
    <n v="1"/>
    <n v="0"/>
    <n v="0"/>
    <n v="0"/>
    <n v="0"/>
    <n v="2"/>
    <n v="0"/>
    <n v="0"/>
    <n v="0"/>
    <n v="2"/>
    <n v="0"/>
    <n v="0"/>
    <n v="0"/>
    <n v="0"/>
    <n v="0"/>
    <n v="0"/>
    <n v="0"/>
    <n v="0"/>
    <n v="0"/>
    <n v="0"/>
    <n v="0"/>
  </r>
  <r>
    <n v="1432"/>
    <d v="2025-03-19T08:14:19"/>
    <d v="2025-03-19T08:25:42"/>
    <s v="mchirwa@lighthouse.org.mw"/>
    <s v="Margaret Chirwa"/>
    <x v="0"/>
    <s v="Prototype"/>
    <x v="2"/>
    <s v="COP_22"/>
    <x v="2"/>
    <x v="2"/>
    <s v="Quarter2"/>
    <x v="2"/>
    <x v="4"/>
    <d v="2025-01-01T00:00:00"/>
    <d v="2025-01-31T00:00:00"/>
    <x v="1"/>
    <n v="35"/>
    <n v="1"/>
    <n v="26"/>
    <n v="2"/>
    <n v="0"/>
    <n v="1"/>
    <n v="0"/>
    <n v="0"/>
    <n v="1"/>
    <n v="0"/>
    <n v="0"/>
    <n v="0"/>
    <n v="1"/>
    <n v="0"/>
    <n v="0"/>
    <n v="0"/>
    <n v="0"/>
    <n v="0"/>
    <n v="0"/>
    <n v="0"/>
    <n v="0"/>
    <n v="0"/>
    <n v="0"/>
    <n v="0"/>
  </r>
  <r>
    <n v="1433"/>
    <d v="2025-03-19T08:25:45"/>
    <d v="2025-03-19T08:27:38"/>
    <s v="mchirwa@lighthouse.org.mw"/>
    <s v="Margaret Chirwa"/>
    <x v="0"/>
    <s v="Prototype"/>
    <x v="2"/>
    <s v="COP_23"/>
    <x v="2"/>
    <x v="2"/>
    <s v="Quarter2"/>
    <x v="2"/>
    <x v="4"/>
    <d v="2025-01-01T00:00:00"/>
    <d v="2025-01-31T00:00:00"/>
    <x v="3"/>
    <n v="3"/>
    <n v="0"/>
    <n v="2"/>
    <n v="0"/>
    <n v="0"/>
    <n v="1"/>
    <n v="0"/>
    <n v="0"/>
    <n v="0"/>
    <n v="0"/>
    <n v="0"/>
    <n v="0"/>
    <n v="0"/>
    <n v="0"/>
    <n v="0"/>
    <n v="0"/>
    <n v="0"/>
    <n v="0"/>
    <n v="0"/>
    <n v="0"/>
    <n v="0"/>
    <n v="0"/>
    <n v="0"/>
    <n v="0"/>
  </r>
  <r>
    <n v="1434"/>
    <d v="2025-03-19T08:27:48"/>
    <d v="2025-03-19T08:30:46"/>
    <s v="mchirwa@lighthouse.org.mw"/>
    <s v="Margaret Chirwa"/>
    <x v="0"/>
    <s v="Prototype"/>
    <x v="2"/>
    <s v="COP_23"/>
    <x v="2"/>
    <x v="2"/>
    <s v="Quarter2"/>
    <x v="2"/>
    <x v="4"/>
    <d v="2025-01-01T00:00:00"/>
    <d v="2025-01-31T00:00:00"/>
    <x v="4"/>
    <n v="0"/>
    <n v="0"/>
    <n v="0"/>
    <n v="0"/>
    <n v="0"/>
    <n v="0"/>
    <n v="0"/>
    <n v="0"/>
    <n v="0"/>
    <n v="0"/>
    <n v="0"/>
    <n v="0"/>
    <n v="0"/>
    <n v="0"/>
    <n v="0"/>
    <n v="0"/>
    <n v="0"/>
    <n v="0"/>
    <n v="0"/>
    <n v="0"/>
    <n v="0"/>
    <n v="0"/>
    <n v="0"/>
    <n v="0"/>
  </r>
  <r>
    <n v="1435"/>
    <d v="2025-03-19T08:31:04"/>
    <d v="2025-03-19T08:31:58"/>
    <s v="mchirwa@lighthouse.org.mw"/>
    <s v="Margaret Chirwa"/>
    <x v="0"/>
    <s v="Prototype"/>
    <x v="2"/>
    <s v="COP_23"/>
    <x v="2"/>
    <x v="2"/>
    <s v="Quarter2"/>
    <x v="2"/>
    <x v="4"/>
    <d v="2025-01-01T00:00:00"/>
    <d v="2025-01-31T00:00:00"/>
    <x v="5"/>
    <n v="0"/>
    <n v="0"/>
    <n v="0"/>
    <n v="0"/>
    <n v="0"/>
    <n v="0"/>
    <n v="0"/>
    <n v="0"/>
    <n v="0"/>
    <n v="0"/>
    <n v="0"/>
    <n v="0"/>
    <n v="0"/>
    <n v="0"/>
    <n v="0"/>
    <n v="0"/>
    <n v="0"/>
    <n v="0"/>
    <n v="0"/>
    <n v="0"/>
    <n v="0"/>
    <n v="0"/>
    <n v="0"/>
    <n v="0"/>
  </r>
  <r>
    <n v="1436"/>
    <d v="2025-03-19T08:33:35"/>
    <d v="2025-03-19T08:36:52"/>
    <s v="mchirwa@lighthouse.org.mw"/>
    <s v="Margaret Chirwa"/>
    <x v="0"/>
    <s v="Prototype"/>
    <x v="2"/>
    <s v="COP_23"/>
    <x v="2"/>
    <x v="2"/>
    <s v="Quarter2"/>
    <x v="2"/>
    <x v="4"/>
    <d v="2025-01-01T00:00:00"/>
    <d v="2025-01-31T00:00:00"/>
    <x v="6"/>
    <n v="0"/>
    <n v="0"/>
    <n v="0"/>
    <n v="0"/>
    <n v="0"/>
    <n v="0"/>
    <n v="0"/>
    <n v="0"/>
    <n v="0"/>
    <n v="0"/>
    <n v="0"/>
    <n v="0"/>
    <n v="0"/>
    <n v="0"/>
    <n v="0"/>
    <n v="0"/>
    <n v="0"/>
    <n v="0"/>
    <n v="0"/>
    <n v="0"/>
    <n v="0"/>
    <n v="0"/>
    <n v="0"/>
    <n v="0"/>
  </r>
  <r>
    <n v="1437"/>
    <d v="2025-03-19T08:37:24"/>
    <d v="2025-03-19T08:42:54"/>
    <s v="mchirwa@lighthouse.org.mw"/>
    <s v="Margaret Chirwa"/>
    <x v="0"/>
    <s v="Prototype"/>
    <x v="2"/>
    <s v="COP_23"/>
    <x v="2"/>
    <x v="2"/>
    <s v="Quarter2"/>
    <x v="2"/>
    <x v="4"/>
    <d v="2025-01-01T00:00:00"/>
    <d v="2025-01-31T00:00:00"/>
    <x v="0"/>
    <n v="30"/>
    <n v="1"/>
    <n v="27"/>
    <n v="2"/>
    <n v="0"/>
    <n v="1"/>
    <n v="0"/>
    <n v="0"/>
    <n v="1"/>
    <n v="0"/>
    <n v="0"/>
    <n v="0"/>
    <n v="1"/>
    <n v="0"/>
    <n v="0"/>
    <n v="0"/>
    <n v="0"/>
    <n v="0"/>
    <n v="0"/>
    <n v="0"/>
    <n v="0"/>
    <n v="0"/>
    <n v="0"/>
    <n v="0"/>
  </r>
  <r>
    <n v="1438"/>
    <d v="2025-03-19T08:43:08"/>
    <d v="2025-03-19T08:49:56"/>
    <s v="mchirwa@lighthouse.org.mw"/>
    <s v="Margaret Chirwa"/>
    <x v="0"/>
    <s v="Prototype"/>
    <x v="2"/>
    <s v="COP_23"/>
    <x v="2"/>
    <x v="2"/>
    <s v="Quarter2"/>
    <x v="2"/>
    <x v="5"/>
    <d v="2025-02-01T00:00:00"/>
    <d v="2025-02-28T00:00:00"/>
    <x v="1"/>
    <n v="34"/>
    <n v="0"/>
    <n v="13"/>
    <n v="1"/>
    <n v="0"/>
    <n v="0"/>
    <n v="0"/>
    <n v="0"/>
    <n v="0"/>
    <n v="0"/>
    <n v="0"/>
    <n v="0"/>
    <n v="0"/>
    <n v="0"/>
    <n v="0"/>
    <n v="0"/>
    <n v="0"/>
    <n v="0"/>
    <n v="0"/>
    <n v="0"/>
    <n v="0"/>
    <n v="0"/>
    <n v="0"/>
    <n v="0"/>
  </r>
  <r>
    <n v="1439"/>
    <d v="2025-03-19T08:50:50"/>
    <d v="2025-03-19T08:53:12"/>
    <s v="mchirwa@lighthouse.org.mw"/>
    <s v="Margaret Chirwa"/>
    <x v="0"/>
    <s v="Prototype"/>
    <x v="2"/>
    <s v="COP_23"/>
    <x v="2"/>
    <x v="2"/>
    <s v="Quarter2"/>
    <x v="2"/>
    <x v="5"/>
    <d v="2025-02-01T00:00:00"/>
    <d v="2025-02-28T00:00:00"/>
    <x v="3"/>
    <n v="0"/>
    <n v="0"/>
    <n v="0"/>
    <n v="0"/>
    <n v="0"/>
    <n v="0"/>
    <n v="0"/>
    <n v="0"/>
    <n v="0"/>
    <n v="0"/>
    <n v="0"/>
    <n v="0"/>
    <n v="0"/>
    <n v="0"/>
    <n v="0"/>
    <n v="0"/>
    <n v="0"/>
    <n v="0"/>
    <n v="0"/>
    <n v="0"/>
    <n v="0"/>
    <n v="0"/>
    <n v="0"/>
    <n v="0"/>
  </r>
  <r>
    <n v="1440"/>
    <d v="2025-03-19T08:53:25"/>
    <d v="2025-03-19T08:55:16"/>
    <s v="mchirwa@lighthouse.org.mw"/>
    <s v="Margaret Chirwa"/>
    <x v="0"/>
    <s v="Prototype"/>
    <x v="2"/>
    <s v="COP_23"/>
    <x v="2"/>
    <x v="2"/>
    <s v="Quarter2"/>
    <x v="2"/>
    <x v="5"/>
    <d v="2025-02-01T00:00:00"/>
    <d v="2025-02-28T00:00:00"/>
    <x v="4"/>
    <n v="0"/>
    <n v="0"/>
    <n v="0"/>
    <n v="0"/>
    <n v="0"/>
    <n v="0"/>
    <n v="0"/>
    <n v="0"/>
    <n v="0"/>
    <n v="0"/>
    <n v="0"/>
    <n v="0"/>
    <n v="0"/>
    <n v="0"/>
    <n v="0"/>
    <n v="0"/>
    <n v="0"/>
    <n v="0"/>
    <n v="0"/>
    <n v="0"/>
    <n v="0"/>
    <n v="0"/>
    <n v="0"/>
    <n v="0"/>
  </r>
  <r>
    <n v="1441"/>
    <d v="2025-03-19T08:55:21"/>
    <d v="2025-03-19T08:56:16"/>
    <s v="mchirwa@lighthouse.org.mw"/>
    <s v="Margaret Chirwa"/>
    <x v="0"/>
    <s v="Prototype"/>
    <x v="2"/>
    <s v="COP_23"/>
    <x v="2"/>
    <x v="2"/>
    <s v="Quarter2"/>
    <x v="2"/>
    <x v="5"/>
    <d v="2025-02-01T00:00:00"/>
    <d v="2025-02-28T00:00:00"/>
    <x v="5"/>
    <n v="0"/>
    <n v="0"/>
    <n v="0"/>
    <n v="0"/>
    <n v="0"/>
    <n v="0"/>
    <n v="0"/>
    <n v="0"/>
    <n v="0"/>
    <n v="0"/>
    <n v="0"/>
    <n v="0"/>
    <n v="0"/>
    <n v="0"/>
    <n v="0"/>
    <n v="0"/>
    <n v="0"/>
    <n v="0"/>
    <n v="0"/>
    <n v="0"/>
    <n v="0"/>
    <n v="0"/>
    <n v="0"/>
    <n v="0"/>
  </r>
  <r>
    <n v="1442"/>
    <d v="2025-03-19T08:56:46"/>
    <d v="2025-03-19T08:57:31"/>
    <s v="mchirwa@lighthouse.org.mw"/>
    <s v="Margaret Chirwa"/>
    <x v="0"/>
    <s v="Prototype"/>
    <x v="2"/>
    <s v="COP_23"/>
    <x v="2"/>
    <x v="2"/>
    <s v="Quarter2"/>
    <x v="2"/>
    <x v="5"/>
    <d v="2025-02-01T00:00:00"/>
    <d v="2025-02-28T00:00:00"/>
    <x v="2"/>
    <n v="0"/>
    <n v="0"/>
    <n v="0"/>
    <n v="0"/>
    <n v="0"/>
    <n v="0"/>
    <n v="0"/>
    <n v="0"/>
    <n v="0"/>
    <n v="0"/>
    <n v="0"/>
    <n v="0"/>
    <n v="0"/>
    <n v="0"/>
    <n v="0"/>
    <n v="0"/>
    <n v="0"/>
    <n v="0"/>
    <n v="0"/>
    <n v="0"/>
    <n v="0"/>
    <n v="0"/>
    <n v="0"/>
    <n v="0"/>
  </r>
  <r>
    <n v="1443"/>
    <d v="2025-03-19T08:57:33"/>
    <d v="2025-03-19T08:58:40"/>
    <s v="mchirwa@lighthouse.org.mw"/>
    <s v="Margaret Chirwa"/>
    <x v="0"/>
    <s v="Prototype"/>
    <x v="2"/>
    <s v="COP_23"/>
    <x v="2"/>
    <x v="2"/>
    <s v="Quarter2"/>
    <x v="2"/>
    <x v="5"/>
    <d v="2025-02-01T00:00:00"/>
    <d v="2025-02-28T00:00:00"/>
    <x v="6"/>
    <n v="0"/>
    <n v="0"/>
    <n v="0"/>
    <n v="0"/>
    <n v="0"/>
    <n v="0"/>
    <n v="0"/>
    <n v="0"/>
    <n v="0"/>
    <n v="0"/>
    <n v="0"/>
    <n v="0"/>
    <n v="0"/>
    <n v="0"/>
    <n v="0"/>
    <n v="0"/>
    <n v="0"/>
    <n v="0"/>
    <n v="0"/>
    <n v="0"/>
    <n v="0"/>
    <n v="0"/>
    <n v="0"/>
    <n v="0"/>
  </r>
  <r>
    <n v="1444"/>
    <d v="2025-03-19T08:59:02"/>
    <d v="2025-03-19T09:00:36"/>
    <s v="mchirwa@lighthouse.org.mw"/>
    <s v="Margaret Chirwa"/>
    <x v="0"/>
    <s v="Prototype"/>
    <x v="2"/>
    <s v="COP_23"/>
    <x v="2"/>
    <x v="2"/>
    <s v="Quarter2"/>
    <x v="2"/>
    <x v="5"/>
    <d v="2025-02-01T00:00:00"/>
    <d v="2025-02-28T00:00:00"/>
    <x v="0"/>
    <n v="14"/>
    <n v="0"/>
    <n v="13"/>
    <n v="1"/>
    <n v="0"/>
    <n v="0"/>
    <n v="0"/>
    <n v="0"/>
    <n v="0"/>
    <n v="0"/>
    <n v="0"/>
    <n v="0"/>
    <n v="0"/>
    <n v="0"/>
    <n v="0"/>
    <n v="0"/>
    <n v="0"/>
    <n v="0"/>
    <n v="0"/>
    <n v="0"/>
    <n v="0"/>
    <n v="0"/>
    <n v="0"/>
    <n v="0"/>
  </r>
  <r>
    <n v="1504"/>
    <d v="2025-04-04T10:38:39"/>
    <d v="2025-04-04T10:45:55"/>
    <s v="mchirwa@lighthouse.org.mw"/>
    <s v="Margaret Chirwa"/>
    <x v="0"/>
    <s v="Prototype"/>
    <x v="2"/>
    <s v="COP_23"/>
    <x v="2"/>
    <x v="2"/>
    <s v="Quarter2"/>
    <x v="2"/>
    <x v="3"/>
    <d v="2025-03-01T00:00:00"/>
    <d v="2025-03-31T00:00:00"/>
    <x v="1"/>
    <n v="32"/>
    <n v="0"/>
    <n v="32"/>
    <n v="0"/>
    <n v="0"/>
    <n v="0"/>
    <n v="17"/>
    <n v="3"/>
    <n v="0"/>
    <n v="0"/>
    <n v="0"/>
    <n v="0"/>
    <n v="3"/>
    <n v="0"/>
    <n v="0"/>
    <n v="0"/>
    <n v="0"/>
    <n v="0"/>
    <n v="0"/>
    <n v="0"/>
    <n v="0"/>
    <n v="0"/>
    <n v="0"/>
    <n v="0"/>
  </r>
  <r>
    <n v="1505"/>
    <d v="2025-04-04T10:46:00"/>
    <d v="2025-04-04T10:52:56"/>
    <s v="mchirwa@lighthouse.org.mw"/>
    <s v="Margaret Chirwa"/>
    <x v="0"/>
    <s v="Prototype"/>
    <x v="2"/>
    <s v="COP_23"/>
    <x v="2"/>
    <x v="2"/>
    <s v="Quarter2"/>
    <x v="2"/>
    <x v="3"/>
    <d v="2025-03-01T00:00:00"/>
    <d v="2025-03-31T00:00:00"/>
    <x v="3"/>
    <n v="3"/>
    <n v="0"/>
    <n v="3"/>
    <n v="0"/>
    <n v="0"/>
    <n v="0"/>
    <n v="0"/>
    <n v="0"/>
    <n v="0"/>
    <n v="0"/>
    <n v="0"/>
    <n v="0"/>
    <n v="0"/>
    <n v="0"/>
    <n v="0"/>
    <n v="0"/>
    <n v="0"/>
    <n v="0"/>
    <n v="0"/>
    <n v="0"/>
    <n v="0"/>
    <n v="0"/>
    <n v="0"/>
    <n v="0"/>
  </r>
  <r>
    <n v="1506"/>
    <d v="2025-04-04T10:53:00"/>
    <d v="2025-04-04T10:55:21"/>
    <s v="mchirwa@lighthouse.org.mw"/>
    <s v="Margaret Chirwa"/>
    <x v="0"/>
    <s v="Prototype"/>
    <x v="2"/>
    <s v="COP_23"/>
    <x v="2"/>
    <x v="2"/>
    <s v="Quarter2"/>
    <x v="2"/>
    <x v="3"/>
    <d v="2025-03-01T00:00:00"/>
    <d v="2025-03-31T00:00:00"/>
    <x v="4"/>
    <n v="0"/>
    <n v="0"/>
    <n v="0"/>
    <n v="0"/>
    <n v="0"/>
    <n v="0"/>
    <n v="0"/>
    <n v="0"/>
    <n v="0"/>
    <n v="0"/>
    <n v="0"/>
    <n v="0"/>
    <n v="0"/>
    <n v="0"/>
    <n v="0"/>
    <n v="0"/>
    <n v="0"/>
    <n v="0"/>
    <n v="0"/>
    <n v="0"/>
    <n v="0"/>
    <n v="0"/>
    <n v="0"/>
    <n v="0"/>
  </r>
  <r>
    <n v="1507"/>
    <d v="2025-04-04T10:55:31"/>
    <d v="2025-04-04T10:58:34"/>
    <s v="mchirwa@lighthouse.org.mw"/>
    <s v="Margaret Chirwa"/>
    <x v="0"/>
    <s v="Prototype"/>
    <x v="2"/>
    <s v="COP_23"/>
    <x v="2"/>
    <x v="2"/>
    <s v="Quarter2"/>
    <x v="2"/>
    <x v="3"/>
    <d v="2025-03-01T00:00:00"/>
    <d v="2025-03-31T00:00:00"/>
    <x v="5"/>
    <n v="1"/>
    <n v="0"/>
    <n v="1"/>
    <n v="0"/>
    <n v="0"/>
    <n v="0"/>
    <n v="0"/>
    <n v="1"/>
    <n v="0"/>
    <n v="0"/>
    <n v="0"/>
    <n v="0"/>
    <n v="1"/>
    <n v="0"/>
    <n v="0"/>
    <n v="0"/>
    <n v="0"/>
    <n v="0"/>
    <n v="0"/>
    <n v="0"/>
    <n v="0"/>
    <n v="0"/>
    <n v="0"/>
    <n v="0"/>
  </r>
  <r>
    <n v="1508"/>
    <d v="2025-04-04T11:11:58"/>
    <d v="2025-04-04T11:25:58"/>
    <s v="mchirwa@lighthouse.org.mw"/>
    <s v="Margaret Chirwa"/>
    <x v="0"/>
    <s v="Prototype"/>
    <x v="2"/>
    <s v="COP_23"/>
    <x v="2"/>
    <x v="2"/>
    <s v="Quarter2"/>
    <x v="2"/>
    <x v="3"/>
    <d v="2025-03-01T00:00:00"/>
    <d v="2025-03-31T00:00:00"/>
    <x v="2"/>
    <n v="9"/>
    <n v="0"/>
    <n v="7"/>
    <n v="1"/>
    <n v="0"/>
    <n v="1"/>
    <n v="7"/>
    <n v="1"/>
    <n v="0"/>
    <n v="0"/>
    <n v="0"/>
    <n v="0"/>
    <n v="1"/>
    <n v="1"/>
    <n v="0"/>
    <n v="0"/>
    <n v="0"/>
    <n v="0"/>
    <n v="0"/>
    <n v="0"/>
    <n v="1"/>
    <n v="0"/>
    <n v="0"/>
    <n v="0"/>
  </r>
  <r>
    <n v="1509"/>
    <d v="2025-04-04T11:27:05"/>
    <d v="2025-04-04T11:30:09"/>
    <s v="mchirwa@lighthouse.org.mw"/>
    <s v="Margaret Chirwa"/>
    <x v="0"/>
    <s v="Prototype"/>
    <x v="2"/>
    <s v="COP_23"/>
    <x v="2"/>
    <x v="2"/>
    <s v="Quarter2"/>
    <x v="2"/>
    <x v="3"/>
    <d v="2025-03-01T00:00:00"/>
    <d v="2025-03-31T00:00:00"/>
    <x v="6"/>
    <n v="0"/>
    <n v="0"/>
    <n v="0"/>
    <n v="0"/>
    <n v="0"/>
    <n v="0"/>
    <n v="0"/>
    <n v="0"/>
    <n v="0"/>
    <n v="0"/>
    <n v="0"/>
    <n v="0"/>
    <n v="0"/>
    <n v="0"/>
    <n v="0"/>
    <n v="0"/>
    <n v="0"/>
    <n v="0"/>
    <n v="0"/>
    <n v="0"/>
    <n v="0"/>
    <n v="0"/>
    <n v="0"/>
    <n v="0"/>
  </r>
  <r>
    <n v="1510"/>
    <d v="2025-04-04T11:30:30"/>
    <d v="2025-04-04T11:31:36"/>
    <s v="mchirwa@lighthouse.org.mw"/>
    <s v="Margaret Chirwa"/>
    <x v="0"/>
    <s v="Prototype"/>
    <x v="2"/>
    <s v="COP_23"/>
    <x v="2"/>
    <x v="2"/>
    <s v="Quarter2"/>
    <x v="2"/>
    <x v="3"/>
    <d v="2025-03-01T00:00:00"/>
    <d v="2025-03-31T00:00:00"/>
    <x v="0"/>
    <n v="44"/>
    <n v="1"/>
    <n v="41"/>
    <n v="1"/>
    <n v="0"/>
    <n v="1"/>
    <n v="27"/>
    <n v="5"/>
    <n v="0"/>
    <n v="0"/>
    <n v="0"/>
    <n v="0"/>
    <n v="5"/>
    <n v="1"/>
    <n v="0"/>
    <n v="0"/>
    <n v="0"/>
    <n v="0"/>
    <n v="0"/>
    <n v="0"/>
    <n v="1"/>
    <n v="0"/>
    <n v="0"/>
    <n v="0"/>
  </r>
  <r>
    <n v="1583"/>
    <d v="2025-05-07T08:22:33"/>
    <d v="2025-05-07T08:42:57"/>
    <s v="mchirwa@lighthouse.org.mw"/>
    <s v="Margaret Chirwa"/>
    <x v="0"/>
    <s v="Prototype"/>
    <x v="2"/>
    <s v="COP_23"/>
    <x v="3"/>
    <x v="1"/>
    <s v="Quarter3"/>
    <x v="4"/>
    <x v="7"/>
    <d v="2025-04-01T00:00:00"/>
    <d v="2025-04-30T00:00:00"/>
    <x v="1"/>
    <n v="32"/>
    <n v="32"/>
    <n v="31"/>
    <n v="1"/>
    <n v="0"/>
    <n v="0"/>
    <n v="32"/>
    <n v="6"/>
    <n v="8"/>
    <n v="0"/>
    <n v="0"/>
    <n v="0"/>
    <n v="8"/>
    <n v="0"/>
    <n v="0"/>
    <n v="0"/>
    <n v="0"/>
    <n v="0"/>
    <n v="0"/>
    <n v="0"/>
    <n v="0"/>
    <n v="0"/>
    <n v="0"/>
    <n v="0"/>
  </r>
  <r>
    <n v="1584"/>
    <d v="2025-05-07T08:43:36"/>
    <d v="2025-05-07T08:45:57"/>
    <s v="mchirwa@lighthouse.org.mw"/>
    <s v="Margaret Chirwa"/>
    <x v="0"/>
    <s v="Prototype"/>
    <x v="2"/>
    <s v="COP_23"/>
    <x v="3"/>
    <x v="1"/>
    <s v="Quarter3"/>
    <x v="4"/>
    <x v="7"/>
    <d v="2025-04-01T00:00:00"/>
    <d v="2025-04-30T00:00:00"/>
    <x v="3"/>
    <n v="0"/>
    <n v="0"/>
    <n v="0"/>
    <n v="0"/>
    <n v="0"/>
    <n v="0"/>
    <n v="0"/>
    <n v="0"/>
    <n v="0"/>
    <n v="0"/>
    <n v="0"/>
    <n v="0"/>
    <n v="0"/>
    <n v="0"/>
    <n v="0"/>
    <n v="0"/>
    <n v="0"/>
    <n v="0"/>
    <n v="0"/>
    <n v="0"/>
    <n v="0"/>
    <n v="0"/>
    <n v="0"/>
    <n v="0"/>
  </r>
  <r>
    <n v="1585"/>
    <d v="2025-05-07T08:46:02"/>
    <d v="2025-05-07T08:48:04"/>
    <s v="mchirwa@lighthouse.org.mw"/>
    <s v="Margaret Chirwa"/>
    <x v="0"/>
    <s v="Prototype"/>
    <x v="2"/>
    <s v="COP_23"/>
    <x v="3"/>
    <x v="3"/>
    <s v="Quarter3"/>
    <x v="4"/>
    <x v="7"/>
    <d v="2025-04-01T00:00:00"/>
    <d v="2025-04-30T00:00:00"/>
    <x v="4"/>
    <n v="2"/>
    <n v="0"/>
    <n v="2"/>
    <n v="0"/>
    <n v="0"/>
    <n v="0"/>
    <n v="2"/>
    <n v="0"/>
    <n v="0"/>
    <n v="0"/>
    <n v="0"/>
    <n v="0"/>
    <n v="0"/>
    <n v="0"/>
    <n v="0"/>
    <n v="0"/>
    <n v="0"/>
    <n v="0"/>
    <n v="0"/>
    <n v="0"/>
    <n v="0"/>
    <n v="0"/>
    <n v="0"/>
    <n v="0"/>
  </r>
  <r>
    <n v="1586"/>
    <d v="2025-05-07T08:48:09"/>
    <d v="2025-05-07T08:56:40"/>
    <s v="mchirwa@lighthouse.org.mw"/>
    <s v="Margaret Chirwa"/>
    <x v="0"/>
    <s v="Prototype"/>
    <x v="2"/>
    <s v="COP_23"/>
    <x v="3"/>
    <x v="3"/>
    <s v="Quarter3"/>
    <x v="4"/>
    <x v="7"/>
    <d v="2025-04-01T00:00:00"/>
    <d v="2025-04-30T00:00:00"/>
    <x v="5"/>
    <n v="16"/>
    <n v="0"/>
    <n v="1"/>
    <n v="0"/>
    <n v="0"/>
    <n v="0"/>
    <n v="1"/>
    <n v="0"/>
    <n v="0"/>
    <n v="0"/>
    <n v="0"/>
    <n v="0"/>
    <n v="0"/>
    <n v="0"/>
    <n v="0"/>
    <n v="0"/>
    <n v="0"/>
    <n v="0"/>
    <n v="0"/>
    <n v="0"/>
    <n v="0"/>
    <n v="0"/>
    <n v="0"/>
    <n v="0"/>
  </r>
  <r>
    <n v="1588"/>
    <d v="2025-05-07T09:02:49"/>
    <d v="2025-05-07T09:13:02"/>
    <s v="mchirwa@lighthouse.org.mw"/>
    <s v="Margaret Chirwa"/>
    <x v="0"/>
    <s v="Prototype"/>
    <x v="2"/>
    <s v="COP_23"/>
    <x v="3"/>
    <x v="3"/>
    <s v="Quarter3"/>
    <x v="4"/>
    <x v="7"/>
    <d v="2025-04-01T00:00:00"/>
    <d v="2025-04-30T00:00:00"/>
    <x v="0"/>
    <n v="42"/>
    <n v="0"/>
    <n v="40"/>
    <n v="2"/>
    <n v="0"/>
    <n v="0"/>
    <n v="42"/>
    <n v="9"/>
    <n v="10"/>
    <n v="0"/>
    <n v="0"/>
    <n v="0"/>
    <n v="10"/>
    <n v="0"/>
    <n v="0"/>
    <n v="0"/>
    <n v="0"/>
    <n v="0"/>
    <n v="0"/>
    <n v="0"/>
    <n v="0"/>
    <n v="0"/>
    <n v="0"/>
    <n v="0"/>
  </r>
  <r>
    <n v="1671"/>
    <d v="2025-06-11T08:23:40"/>
    <d v="2025-06-11T09:08:00"/>
    <s v="mchirwa@lighthouse.org.mw"/>
    <s v="Margaret Chirwa"/>
    <x v="0"/>
    <s v="Prototype"/>
    <x v="2"/>
    <s v="COP_23"/>
    <x v="3"/>
    <x v="3"/>
    <s v="Quarter3"/>
    <x v="4"/>
    <x v="6"/>
    <d v="2025-05-01T00:00:00"/>
    <d v="2025-05-31T00:00:00"/>
    <x v="1"/>
    <n v="55"/>
    <n v="1"/>
    <n v="48"/>
    <n v="5"/>
    <n v="1"/>
    <n v="0"/>
    <n v="53"/>
    <n v="8"/>
    <n v="8"/>
    <n v="0"/>
    <n v="0"/>
    <n v="0"/>
    <n v="8"/>
    <n v="0"/>
    <n v="0"/>
    <n v="0"/>
    <n v="0"/>
    <n v="0"/>
    <n v="0"/>
    <n v="0"/>
    <n v="1"/>
    <n v="0"/>
    <n v="0"/>
    <n v="0"/>
  </r>
  <r>
    <n v="1672"/>
    <d v="2025-06-11T09:08:07"/>
    <d v="2025-06-11T09:10:14"/>
    <s v="mchirwa@lighthouse.org.mw"/>
    <s v="Margaret Chirwa"/>
    <x v="0"/>
    <s v="Prototype"/>
    <x v="2"/>
    <s v="COP_23"/>
    <x v="3"/>
    <x v="3"/>
    <s v="Quarter3"/>
    <x v="4"/>
    <x v="6"/>
    <d v="2025-05-01T00:00:00"/>
    <d v="2025-05-31T00:00:00"/>
    <x v="3"/>
    <n v="1"/>
    <n v="0"/>
    <n v="1"/>
    <n v="0"/>
    <n v="0"/>
    <n v="0"/>
    <n v="0"/>
    <n v="0"/>
    <n v="0"/>
    <n v="0"/>
    <n v="0"/>
    <n v="0"/>
    <n v="0"/>
    <n v="0"/>
    <n v="0"/>
    <n v="0"/>
    <n v="0"/>
    <n v="0"/>
    <n v="0"/>
    <n v="0"/>
    <n v="0"/>
    <n v="0"/>
    <n v="0"/>
    <n v="0"/>
  </r>
  <r>
    <n v="1673"/>
    <d v="2025-06-11T09:10:34"/>
    <d v="2025-06-11T09:12:47"/>
    <s v="mchirwa@lighthouse.org.mw"/>
    <s v="Margaret Chirwa"/>
    <x v="0"/>
    <s v="Prototype"/>
    <x v="1"/>
    <s v="COP_23"/>
    <x v="3"/>
    <x v="3"/>
    <s v="Quarter3"/>
    <x v="4"/>
    <x v="6"/>
    <d v="2025-05-01T00:00:00"/>
    <d v="2025-05-31T00:00:00"/>
    <x v="4"/>
    <n v="2"/>
    <n v="0"/>
    <n v="0"/>
    <n v="0"/>
    <n v="0"/>
    <n v="0"/>
    <n v="0"/>
    <n v="0"/>
    <n v="0"/>
    <n v="0"/>
    <n v="0"/>
    <n v="0"/>
    <n v="0"/>
    <n v="0"/>
    <n v="0"/>
    <n v="0"/>
    <n v="0"/>
    <n v="0"/>
    <n v="0"/>
    <n v="0"/>
    <n v="0"/>
    <n v="0"/>
    <n v="0"/>
    <n v="0"/>
  </r>
  <r>
    <n v="1674"/>
    <d v="2025-06-11T09:13:33"/>
    <d v="2025-06-11T09:14:49"/>
    <s v="mchirwa@lighthouse.org.mw"/>
    <s v="Margaret Chirwa"/>
    <x v="0"/>
    <s v="Prototype"/>
    <x v="2"/>
    <s v="COP_23"/>
    <x v="3"/>
    <x v="3"/>
    <s v="Quarter3"/>
    <x v="4"/>
    <x v="6"/>
    <d v="2025-05-01T00:00:00"/>
    <d v="2025-05-31T00:00:00"/>
    <x v="5"/>
    <n v="6"/>
    <n v="0"/>
    <n v="0"/>
    <n v="0"/>
    <n v="0"/>
    <n v="0"/>
    <n v="0"/>
    <n v="0"/>
    <n v="0"/>
    <n v="0"/>
    <n v="0"/>
    <n v="0"/>
    <n v="0"/>
    <n v="0"/>
    <n v="0"/>
    <n v="0"/>
    <n v="0"/>
    <n v="0"/>
    <n v="0"/>
    <n v="0"/>
    <n v="0"/>
    <n v="0"/>
    <n v="0"/>
    <n v="0"/>
  </r>
  <r>
    <n v="1675"/>
    <d v="2025-06-11T09:15:08"/>
    <d v="2025-06-11T09:16:39"/>
    <s v="mchirwa@lighthouse.org.mw"/>
    <s v="Margaret Chirwa"/>
    <x v="0"/>
    <s v="Prototype"/>
    <x v="2"/>
    <s v="COP_23"/>
    <x v="3"/>
    <x v="3"/>
    <s v="Quarter3"/>
    <x v="4"/>
    <x v="6"/>
    <d v="2025-05-01T00:00:00"/>
    <d v="2025-05-31T00:00:00"/>
    <x v="2"/>
    <n v="88"/>
    <n v="0"/>
    <n v="8"/>
    <n v="0"/>
    <n v="0"/>
    <n v="0"/>
    <n v="8"/>
    <n v="3"/>
    <n v="3"/>
    <n v="0"/>
    <n v="0"/>
    <n v="0"/>
    <n v="3"/>
    <n v="0"/>
    <n v="0"/>
    <n v="0"/>
    <n v="0"/>
    <n v="0"/>
    <n v="0"/>
    <n v="0"/>
    <n v="0"/>
    <n v="0"/>
    <n v="0"/>
    <n v="0"/>
  </r>
  <r>
    <n v="1676"/>
    <d v="2025-06-11T09:16:53"/>
    <d v="2025-06-11T09:19:06"/>
    <s v="mchirwa@lighthouse.org.mw"/>
    <s v="Margaret Chirwa"/>
    <x v="0"/>
    <s v="Prototype"/>
    <x v="2"/>
    <s v="COP_23"/>
    <x v="3"/>
    <x v="3"/>
    <s v="Quarter3"/>
    <x v="4"/>
    <x v="6"/>
    <d v="2025-05-01T00:00:00"/>
    <d v="2025-05-31T00:00:00"/>
    <x v="0"/>
    <n v="64"/>
    <n v="1"/>
    <n v="58"/>
    <n v="5"/>
    <n v="1"/>
    <n v="0"/>
    <n v="63"/>
    <n v="10"/>
    <n v="10"/>
    <n v="0"/>
    <n v="0"/>
    <n v="0"/>
    <n v="10"/>
    <n v="0"/>
    <n v="0"/>
    <n v="0"/>
    <n v="0"/>
    <n v="0"/>
    <n v="0"/>
    <n v="0"/>
    <n v="1"/>
    <n v="0"/>
    <n v="0"/>
    <n v="0"/>
  </r>
  <r>
    <n v="1770"/>
    <d v="2025-07-09T14:15:25"/>
    <d v="2025-07-09T14:19:13"/>
    <s v="mchirwa@lighthouse.org.mw"/>
    <s v="Margaret Chirwa"/>
    <x v="0"/>
    <s v="Prototype"/>
    <x v="2"/>
    <s v="COP_23"/>
    <x v="3"/>
    <x v="1"/>
    <s v="Quarter2"/>
    <x v="4"/>
    <x v="8"/>
    <d v="2025-06-01T00:00:00"/>
    <d v="2025-06-30T00:00:00"/>
    <x v="1"/>
    <n v="37"/>
    <n v="0"/>
    <n v="32"/>
    <n v="3"/>
    <n v="2"/>
    <n v="0"/>
    <n v="37"/>
    <n v="8"/>
    <n v="8"/>
    <n v="1"/>
    <n v="0"/>
    <n v="0"/>
    <n v="8"/>
    <n v="2"/>
    <n v="0"/>
    <n v="0"/>
    <n v="0"/>
    <n v="0"/>
    <n v="0"/>
    <n v="0"/>
    <n v="2"/>
    <n v="0"/>
    <n v="0"/>
    <n v="0"/>
  </r>
  <r>
    <n v="1771"/>
    <d v="2025-07-09T14:19:23"/>
    <d v="2025-07-09T14:20:47"/>
    <s v="mchirwa@lighthouse.org.mw"/>
    <s v="Margaret Chirwa"/>
    <x v="0"/>
    <s v="Prototype"/>
    <x v="2"/>
    <s v="COP_23"/>
    <x v="3"/>
    <x v="3"/>
    <s v="Quarter3"/>
    <x v="4"/>
    <x v="8"/>
    <d v="2025-06-01T00:00:00"/>
    <d v="2025-06-30T00:00:00"/>
    <x v="3"/>
    <n v="0"/>
    <n v="0"/>
    <n v="0"/>
    <n v="0"/>
    <n v="0"/>
    <n v="0"/>
    <n v="0"/>
    <n v="0"/>
    <n v="0"/>
    <n v="0"/>
    <n v="0"/>
    <n v="0"/>
    <n v="0"/>
    <n v="0"/>
    <n v="0"/>
    <n v="0"/>
    <n v="0"/>
    <n v="0"/>
    <n v="0"/>
    <n v="0"/>
    <n v="0"/>
    <n v="0"/>
    <n v="0"/>
    <n v="0"/>
  </r>
  <r>
    <n v="1772"/>
    <d v="2025-07-09T14:20:56"/>
    <d v="2025-07-09T14:21:56"/>
    <s v="mchirwa@lighthouse.org.mw"/>
    <s v="Margaret Chirwa"/>
    <x v="0"/>
    <s v="Prototype"/>
    <x v="2"/>
    <s v="COP_23"/>
    <x v="3"/>
    <x v="3"/>
    <s v="Quarter3"/>
    <x v="4"/>
    <x v="8"/>
    <d v="2025-06-01T00:00:00"/>
    <d v="2025-06-30T00:00:00"/>
    <x v="4"/>
    <n v="2"/>
    <n v="0"/>
    <n v="0"/>
    <n v="0"/>
    <n v="0"/>
    <n v="0"/>
    <n v="0"/>
    <n v="0"/>
    <n v="0"/>
    <n v="0"/>
    <n v="0"/>
    <n v="0"/>
    <n v="0"/>
    <n v="0"/>
    <n v="0"/>
    <n v="0"/>
    <n v="0"/>
    <n v="0"/>
    <n v="0"/>
    <n v="0"/>
    <n v="0"/>
    <n v="0"/>
    <n v="0"/>
    <n v="0"/>
  </r>
  <r>
    <n v="1773"/>
    <d v="2025-07-09T14:22:01"/>
    <d v="2025-07-09T14:24:10"/>
    <s v="mchirwa@lighthouse.org.mw"/>
    <s v="Margaret Chirwa"/>
    <x v="0"/>
    <s v="Prototype"/>
    <x v="2"/>
    <s v="COP_23"/>
    <x v="3"/>
    <x v="3"/>
    <s v="Quarter3"/>
    <x v="4"/>
    <x v="8"/>
    <d v="2025-06-01T00:00:00"/>
    <d v="2025-06-30T00:00:00"/>
    <x v="4"/>
    <n v="2"/>
    <n v="0"/>
    <n v="2"/>
    <n v="0"/>
    <n v="0"/>
    <n v="0"/>
    <n v="2"/>
    <n v="0"/>
    <n v="0"/>
    <n v="0"/>
    <n v="0"/>
    <n v="0"/>
    <n v="2"/>
    <n v="0"/>
    <n v="0"/>
    <n v="0"/>
    <n v="0"/>
    <n v="0"/>
    <n v="0"/>
    <n v="0"/>
    <n v="0"/>
    <n v="0"/>
    <n v="0"/>
    <n v="0"/>
  </r>
  <r>
    <n v="1774"/>
    <d v="2025-07-09T14:24:20"/>
    <d v="2025-07-09T14:25:26"/>
    <s v="mchirwa@lighthouse.org.mw"/>
    <s v="Margaret Chirwa"/>
    <x v="0"/>
    <s v="Prototype"/>
    <x v="2"/>
    <s v="COP_23"/>
    <x v="3"/>
    <x v="3"/>
    <s v="Quarter3"/>
    <x v="4"/>
    <x v="8"/>
    <d v="2025-06-01T00:00:00"/>
    <d v="2025-06-30T00:00:00"/>
    <x v="5"/>
    <n v="6"/>
    <n v="0"/>
    <n v="0"/>
    <n v="0"/>
    <n v="0"/>
    <n v="0"/>
    <n v="0"/>
    <n v="0"/>
    <n v="0"/>
    <n v="0"/>
    <n v="0"/>
    <n v="0"/>
    <n v="0"/>
    <n v="0"/>
    <n v="0"/>
    <n v="0"/>
    <n v="0"/>
    <n v="0"/>
    <n v="0"/>
    <n v="0"/>
    <n v="0"/>
    <n v="0"/>
    <n v="0"/>
    <n v="0"/>
  </r>
  <r>
    <n v="1775"/>
    <d v="2025-07-09T14:25:36"/>
    <d v="2025-07-09T14:30:45"/>
    <s v="mchirwa@lighthouse.org.mw"/>
    <s v="Margaret Chirwa"/>
    <x v="0"/>
    <s v="Prototype"/>
    <x v="2"/>
    <s v="COP_23"/>
    <x v="3"/>
    <x v="3"/>
    <s v="Quarter3"/>
    <x v="4"/>
    <x v="8"/>
    <d v="2025-06-01T00:00:00"/>
    <d v="2025-06-30T00:00:00"/>
    <x v="2"/>
    <n v="74"/>
    <n v="0"/>
    <n v="16"/>
    <n v="0"/>
    <n v="1"/>
    <n v="16"/>
    <n v="3"/>
    <n v="4"/>
    <n v="0"/>
    <n v="0"/>
    <n v="0"/>
    <n v="0"/>
    <n v="4"/>
    <n v="0"/>
    <n v="0"/>
    <n v="0"/>
    <n v="0"/>
    <n v="0"/>
    <n v="0"/>
    <n v="0"/>
    <n v="0"/>
    <n v="0"/>
    <n v="0"/>
    <n v="0"/>
  </r>
  <r>
    <n v="1776"/>
    <d v="2025-07-09T14:30:52"/>
    <d v="2025-07-09T14:33:07"/>
    <s v="mchirwa@lighthouse.org.mw"/>
    <s v="Margaret Chirwa"/>
    <x v="0"/>
    <s v="Prototype"/>
    <x v="2"/>
    <s v="COP_23"/>
    <x v="3"/>
    <x v="3"/>
    <s v="Quarter3"/>
    <x v="4"/>
    <x v="8"/>
    <d v="2025-06-01T00:00:00"/>
    <d v="2025-06-30T00:00:00"/>
    <x v="0"/>
    <n v="54"/>
    <n v="1"/>
    <n v="48"/>
    <n v="3"/>
    <n v="3"/>
    <n v="0"/>
    <n v="53"/>
    <n v="10"/>
    <n v="11"/>
    <n v="1"/>
    <n v="0"/>
    <n v="0"/>
    <n v="11"/>
    <n v="2"/>
    <n v="0"/>
    <n v="0"/>
    <n v="0"/>
    <n v="0"/>
    <n v="0"/>
    <n v="0"/>
    <n v="2"/>
    <n v="0"/>
    <n v="0"/>
    <n v="0"/>
  </r>
  <r>
    <n v="43"/>
    <d v="2023-12-20T11:23:15"/>
    <d v="2023-12-20T11:36:38"/>
    <s v="bchirwa@lighthouse.org.mw"/>
    <s v="Bethsheba Chirwa"/>
    <x v="1"/>
    <s v="Prototype"/>
    <x v="0"/>
    <s v="COP_23"/>
    <x v="1"/>
    <x v="1"/>
    <s v="Quarter4"/>
    <x v="1"/>
    <x v="2"/>
    <d v="2023-09-01T00:00:00"/>
    <d v="2023-09-30T00:00:00"/>
    <x v="0"/>
    <n v="21"/>
    <n v="0"/>
    <n v="1"/>
    <n v="1"/>
    <n v="0"/>
    <n v="0"/>
    <n v="2"/>
    <n v="0"/>
    <n v="0"/>
    <n v="0"/>
    <n v="0"/>
    <n v="0"/>
    <n v="0"/>
    <n v="0"/>
    <n v="0"/>
    <n v="0"/>
    <n v="0"/>
    <n v="0"/>
    <n v="0"/>
    <n v="0"/>
    <n v="0"/>
    <n v="0"/>
    <n v="0"/>
    <n v="0"/>
  </r>
  <r>
    <n v="45"/>
    <d v="2023-12-20T11:36:46"/>
    <d v="2023-12-20T11:43:52"/>
    <s v="bchirwa@lighthouse.org.mw"/>
    <s v="Bethsheba Chirwa"/>
    <x v="1"/>
    <s v="Prototype"/>
    <x v="0"/>
    <s v="COP_23"/>
    <x v="0"/>
    <x v="0"/>
    <s v="Quarter1"/>
    <x v="0"/>
    <x v="0"/>
    <d v="2023-10-01T00:00:00"/>
    <d v="2023-10-31T00:00:00"/>
    <x v="0"/>
    <n v="10"/>
    <n v="0"/>
    <n v="10"/>
    <n v="0"/>
    <n v="0"/>
    <n v="0"/>
    <n v="0"/>
    <n v="2"/>
    <n v="2"/>
    <n v="0"/>
    <n v="0"/>
    <n v="0"/>
    <n v="2"/>
    <n v="0"/>
    <n v="0"/>
    <n v="0"/>
    <n v="0"/>
    <n v="0"/>
    <n v="0"/>
    <n v="0"/>
    <n v="0"/>
    <n v="0"/>
    <n v="0"/>
    <n v="0"/>
  </r>
  <r>
    <n v="48"/>
    <d v="2023-12-20T11:44:15"/>
    <d v="2023-12-20T11:56:48"/>
    <s v="bchirwa@lighthouse.org.mw"/>
    <s v="Bethsheba Chirwa"/>
    <x v="1"/>
    <s v="Prototype"/>
    <x v="0"/>
    <s v="COP_23"/>
    <x v="0"/>
    <x v="0"/>
    <s v="Quarter1"/>
    <x v="0"/>
    <x v="1"/>
    <d v="2023-11-01T00:00:00"/>
    <d v="2023-11-30T00:00:00"/>
    <x v="0"/>
    <n v="13"/>
    <n v="0"/>
    <n v="9"/>
    <n v="0"/>
    <n v="0"/>
    <n v="0"/>
    <n v="0"/>
    <n v="0"/>
    <n v="0"/>
    <n v="0"/>
    <n v="0"/>
    <n v="0"/>
    <n v="0"/>
    <n v="0"/>
    <n v="0"/>
    <n v="0"/>
    <n v="0"/>
    <n v="0"/>
    <n v="0"/>
    <n v="0"/>
    <n v="0"/>
    <n v="0"/>
    <n v="0"/>
    <n v="0"/>
  </r>
  <r>
    <n v="63"/>
    <d v="2024-01-09T10:50:23"/>
    <d v="2024-01-09T11:52:20"/>
    <s v="bchirwa@lighthouse.org.mw"/>
    <s v="Bethsheba Chirwa"/>
    <x v="1"/>
    <s v="Prototype"/>
    <x v="0"/>
    <s v="COP_23"/>
    <x v="0"/>
    <x v="0"/>
    <s v="Quarter1"/>
    <x v="0"/>
    <x v="11"/>
    <d v="2023-12-01T00:00:00"/>
    <d v="2023-12-31T00:00:00"/>
    <x v="0"/>
    <n v="13"/>
    <n v="0"/>
    <n v="7"/>
    <n v="4"/>
    <n v="0"/>
    <n v="0"/>
    <n v="8"/>
    <n v="0"/>
    <n v="0"/>
    <n v="0"/>
    <n v="0"/>
    <n v="0"/>
    <n v="0"/>
    <n v="0"/>
    <n v="0"/>
    <n v="0"/>
    <n v="0"/>
    <n v="0"/>
    <n v="0"/>
    <n v="0"/>
    <n v="0"/>
    <n v="0"/>
    <n v="0"/>
    <n v="0"/>
  </r>
  <r>
    <n v="109"/>
    <d v="2024-01-23T10:27:28"/>
    <d v="2024-01-23T10:31:57"/>
    <s v="bchirwa@lighthouse.org.mw"/>
    <s v="Bethsheba Chirwa"/>
    <x v="1"/>
    <s v="Prototype"/>
    <x v="0"/>
    <s v="COP_23"/>
    <x v="0"/>
    <x v="0"/>
    <s v="Quarter1"/>
    <x v="0"/>
    <x v="11"/>
    <d v="2023-12-01T00:00:00"/>
    <d v="2023-12-31T00:00:00"/>
    <x v="1"/>
    <n v="11"/>
    <n v="0"/>
    <n v="7"/>
    <n v="4"/>
    <n v="0"/>
    <n v="0"/>
    <n v="11"/>
    <n v="0"/>
    <n v="0"/>
    <n v="0"/>
    <n v="0"/>
    <n v="0"/>
    <n v="0"/>
    <n v="0"/>
    <n v="0"/>
    <n v="0"/>
    <n v="0"/>
    <n v="0"/>
    <n v="0"/>
    <n v="0"/>
    <n v="0"/>
    <n v="0"/>
    <n v="0"/>
    <n v="0"/>
  </r>
  <r>
    <n v="188"/>
    <d v="2024-04-04T12:26:15"/>
    <d v="2024-04-04T12:41:39"/>
    <s v="bchirwa@lighthouse.org.mw"/>
    <s v="Bethsheba Chirwa"/>
    <x v="1"/>
    <s v="Prototype"/>
    <x v="1"/>
    <s v="COP_23"/>
    <x v="0"/>
    <x v="2"/>
    <s v="Quarter2"/>
    <x v="2"/>
    <x v="4"/>
    <d v="2024-01-01T00:00:00"/>
    <d v="2024-01-31T00:00:00"/>
    <x v="1"/>
    <n v="46"/>
    <n v="1"/>
    <n v="9"/>
    <n v="2"/>
    <n v="1"/>
    <n v="0"/>
    <n v="12"/>
    <n v="2"/>
    <n v="2"/>
    <n v="0"/>
    <n v="0"/>
    <n v="0"/>
    <n v="2"/>
    <n v="0"/>
    <n v="0"/>
    <n v="0"/>
    <n v="0"/>
    <n v="0"/>
    <n v="0"/>
    <n v="0"/>
    <n v="0"/>
    <n v="0"/>
    <n v="0"/>
    <n v="0"/>
  </r>
  <r>
    <n v="190"/>
    <d v="2024-04-04T12:55:07"/>
    <d v="2024-04-04T13:01:30"/>
    <s v="bchirwa@lighthouse.org.mw"/>
    <s v="Bethsheba Chirwa"/>
    <x v="1"/>
    <s v="Prototype"/>
    <x v="1"/>
    <s v="COP_23"/>
    <x v="0"/>
    <x v="2"/>
    <s v="Quarter2"/>
    <x v="2"/>
    <x v="5"/>
    <d v="2024-02-01T00:00:00"/>
    <d v="2024-02-29T00:00:00"/>
    <x v="1"/>
    <n v="17"/>
    <n v="0"/>
    <n v="15"/>
    <n v="2"/>
    <n v="0"/>
    <n v="0"/>
    <n v="17"/>
    <n v="5"/>
    <n v="5"/>
    <n v="0"/>
    <n v="0"/>
    <n v="0"/>
    <n v="5"/>
    <n v="0"/>
    <n v="0"/>
    <n v="0"/>
    <n v="0"/>
    <n v="0"/>
    <n v="0"/>
    <n v="0"/>
    <n v="0"/>
    <n v="0"/>
    <n v="0"/>
    <n v="0"/>
  </r>
  <r>
    <n v="195"/>
    <d v="2024-04-04T13:21:37"/>
    <d v="2024-04-04T13:30:59"/>
    <s v="bchirwa@lighthouse.org.mw"/>
    <s v="Bethsheba Chirwa"/>
    <x v="1"/>
    <s v="Prototype"/>
    <x v="1"/>
    <s v="COP_23"/>
    <x v="0"/>
    <x v="2"/>
    <s v="Quarter2"/>
    <x v="2"/>
    <x v="3"/>
    <d v="2024-03-01T00:00:00"/>
    <d v="2024-03-31T00:00:00"/>
    <x v="1"/>
    <n v="17"/>
    <n v="0"/>
    <n v="5"/>
    <n v="0"/>
    <n v="0"/>
    <n v="0"/>
    <n v="5"/>
    <n v="2"/>
    <n v="2"/>
    <n v="0"/>
    <n v="0"/>
    <n v="0"/>
    <n v="2"/>
    <n v="0"/>
    <n v="0"/>
    <n v="0"/>
    <n v="0"/>
    <n v="0"/>
    <n v="0"/>
    <n v="0"/>
    <n v="0"/>
    <n v="0"/>
    <n v="0"/>
    <n v="0"/>
  </r>
  <r>
    <n v="352"/>
    <d v="2024-05-07T14:24:28"/>
    <d v="2024-05-07T14:42:47"/>
    <s v="bchirwa@lighthouse.org.mw"/>
    <s v="Bethsheba Chirwa"/>
    <x v="1"/>
    <s v="Prototype"/>
    <x v="1"/>
    <s v="COP_23"/>
    <x v="0"/>
    <x v="3"/>
    <s v="Quarter3"/>
    <x v="3"/>
    <x v="7"/>
    <d v="2024-04-01T00:00:00"/>
    <d v="2024-04-30T00:00:00"/>
    <x v="1"/>
    <n v="8"/>
    <n v="0"/>
    <n v="8"/>
    <n v="0"/>
    <n v="0"/>
    <n v="0"/>
    <n v="8"/>
    <n v="1"/>
    <n v="2"/>
    <n v="0"/>
    <n v="0"/>
    <n v="0"/>
    <n v="2"/>
    <n v="1"/>
    <n v="0"/>
    <n v="0"/>
    <n v="0"/>
    <n v="0"/>
    <n v="0"/>
    <n v="0"/>
    <n v="0"/>
    <n v="0"/>
    <n v="0"/>
    <n v="0"/>
  </r>
  <r>
    <n v="490"/>
    <d v="2024-06-05T15:02:41"/>
    <d v="2024-06-05T15:41:54"/>
    <s v="bchirwa@lighthouse.org.mw"/>
    <s v="Bethsheba Chirwa"/>
    <x v="1"/>
    <s v="Prototype"/>
    <x v="1"/>
    <s v="COP_23"/>
    <x v="0"/>
    <x v="3"/>
    <s v="Quarter3"/>
    <x v="3"/>
    <x v="6"/>
    <d v="2024-05-01T00:00:00"/>
    <d v="2024-05-31T00:00:00"/>
    <x v="1"/>
    <n v="17"/>
    <n v="0"/>
    <n v="17"/>
    <n v="0"/>
    <n v="0"/>
    <n v="0"/>
    <n v="17"/>
    <n v="2"/>
    <n v="2"/>
    <n v="0"/>
    <n v="0"/>
    <n v="0"/>
    <n v="0"/>
    <n v="0"/>
    <n v="0"/>
    <n v="0"/>
    <n v="0"/>
    <n v="0"/>
    <n v="0"/>
    <n v="0"/>
    <n v="0"/>
    <n v="0"/>
    <n v="0"/>
    <n v="0"/>
  </r>
  <r>
    <n v="554"/>
    <d v="2024-07-02T10:07:57"/>
    <d v="2024-07-02T10:36:58"/>
    <s v="bchirwa@lighthouse.org.mw"/>
    <s v="Bethsheba Chirwa"/>
    <x v="1"/>
    <s v="Prototype"/>
    <x v="1"/>
    <s v="COP_23"/>
    <x v="0"/>
    <x v="3"/>
    <s v="Quarter3"/>
    <x v="3"/>
    <x v="8"/>
    <d v="2024-06-01T00:00:00"/>
    <d v="2024-06-30T00:00:00"/>
    <x v="1"/>
    <n v="12"/>
    <n v="1"/>
    <n v="10"/>
    <n v="1"/>
    <n v="1"/>
    <n v="0"/>
    <n v="12"/>
    <n v="1"/>
    <n v="1"/>
    <n v="0"/>
    <n v="0"/>
    <n v="0"/>
    <n v="0"/>
    <n v="0"/>
    <n v="0"/>
    <n v="0"/>
    <n v="0"/>
    <n v="0"/>
    <n v="0"/>
    <n v="0"/>
    <n v="0"/>
    <n v="0"/>
    <n v="0"/>
    <n v="0"/>
  </r>
  <r>
    <n v="791"/>
    <d v="2024-09-10T10:19:21"/>
    <d v="2024-09-10T10:49:54"/>
    <s v="bchirwa@lighthouse.org.mw"/>
    <s v="Bethsheba Chirwa"/>
    <x v="1"/>
    <s v="Prototype"/>
    <x v="1"/>
    <s v="COP_23"/>
    <x v="0"/>
    <x v="1"/>
    <s v="Quarter4"/>
    <x v="1"/>
    <x v="9"/>
    <d v="2024-07-01T00:00:00"/>
    <d v="2024-07-31T00:00:00"/>
    <x v="1"/>
    <n v="17"/>
    <n v="0"/>
    <n v="14"/>
    <n v="2"/>
    <n v="1"/>
    <n v="0"/>
    <n v="15"/>
    <n v="1"/>
    <n v="1"/>
    <n v="0"/>
    <n v="0"/>
    <n v="0"/>
    <n v="0"/>
    <n v="0"/>
    <n v="0"/>
    <n v="0"/>
    <n v="0"/>
    <n v="0"/>
    <n v="0"/>
    <n v="0"/>
    <n v="0"/>
    <n v="0"/>
    <n v="0"/>
    <n v="0"/>
  </r>
  <r>
    <n v="792"/>
    <d v="2024-09-10T10:50:12"/>
    <d v="2024-09-10T11:04:46"/>
    <s v="bchirwa@lighthouse.org.mw"/>
    <s v="Bethsheba Chirwa"/>
    <x v="1"/>
    <s v="Prototype"/>
    <x v="1"/>
    <s v="COP_23"/>
    <x v="0"/>
    <x v="1"/>
    <s v="Quarter4"/>
    <x v="1"/>
    <x v="10"/>
    <d v="2024-08-01T00:00:00"/>
    <d v="2024-08-31T00:00:00"/>
    <x v="1"/>
    <n v="13"/>
    <n v="0"/>
    <n v="5"/>
    <n v="0"/>
    <n v="0"/>
    <n v="0"/>
    <n v="5"/>
    <n v="0"/>
    <n v="0"/>
    <n v="0"/>
    <n v="0"/>
    <n v="0"/>
    <n v="0"/>
    <n v="0"/>
    <n v="0"/>
    <n v="0"/>
    <n v="0"/>
    <n v="0"/>
    <n v="0"/>
    <n v="0"/>
    <n v="0"/>
    <n v="0"/>
    <n v="0"/>
    <n v="0"/>
  </r>
  <r>
    <n v="898"/>
    <d v="2024-10-07T09:31:25"/>
    <d v="2024-10-07T09:50:10"/>
    <s v="bchirwa@lighthouse.org.mw"/>
    <s v="Bethsheba Chirwa"/>
    <x v="1"/>
    <s v="Prototype"/>
    <x v="1"/>
    <s v="COP_23"/>
    <x v="0"/>
    <x v="1"/>
    <s v="Quarter4"/>
    <x v="1"/>
    <x v="2"/>
    <d v="2024-09-01T00:00:00"/>
    <d v="2024-09-30T00:00:00"/>
    <x v="1"/>
    <n v="24"/>
    <n v="0"/>
    <n v="5"/>
    <n v="0"/>
    <n v="1"/>
    <n v="0"/>
    <n v="6"/>
    <n v="0"/>
    <n v="6"/>
    <n v="0"/>
    <n v="0"/>
    <n v="0"/>
    <n v="6"/>
    <n v="1"/>
    <n v="0"/>
    <n v="0"/>
    <n v="0"/>
    <n v="0"/>
    <n v="0"/>
    <n v="0"/>
    <n v="0"/>
    <n v="0"/>
    <n v="0"/>
    <n v="0"/>
  </r>
  <r>
    <n v="191"/>
    <d v="2024-04-04T13:01:42"/>
    <d v="2024-04-04T13:04:53"/>
    <s v="bchirwa@lighthouse.org.mw"/>
    <s v="Bethsheba Chirwa"/>
    <x v="1"/>
    <s v="Prototype"/>
    <x v="1"/>
    <s v="COP_23"/>
    <x v="0"/>
    <x v="2"/>
    <s v="Quarter2"/>
    <x v="2"/>
    <x v="5"/>
    <d v="2024-02-01T00:00:00"/>
    <d v="2024-02-29T00:00:00"/>
    <x v="3"/>
    <n v="1"/>
    <n v="0"/>
    <n v="0"/>
    <n v="1"/>
    <n v="0"/>
    <n v="0"/>
    <n v="1"/>
    <n v="1"/>
    <n v="1"/>
    <n v="0"/>
    <n v="0"/>
    <n v="0"/>
    <n v="1"/>
    <n v="0"/>
    <n v="0"/>
    <n v="0"/>
    <n v="0"/>
    <n v="0"/>
    <n v="0"/>
    <n v="0"/>
    <n v="0"/>
    <n v="0"/>
    <n v="0"/>
    <n v="0"/>
  </r>
  <r>
    <n v="193"/>
    <d v="2024-04-04T13:13:27"/>
    <d v="2024-04-04T13:17:35"/>
    <s v="bchirwa@lighthouse.org.mw"/>
    <s v="Bethsheba Chirwa"/>
    <x v="1"/>
    <s v="Prototype"/>
    <x v="1"/>
    <s v="COP_23"/>
    <x v="0"/>
    <x v="2"/>
    <s v="Quarter2"/>
    <x v="2"/>
    <x v="5"/>
    <d v="2024-02-01T00:00:00"/>
    <d v="2024-02-29T00:00:00"/>
    <x v="0"/>
    <n v="21"/>
    <n v="0"/>
    <n v="18"/>
    <n v="3"/>
    <n v="0"/>
    <n v="0"/>
    <n v="21"/>
    <n v="5"/>
    <n v="5"/>
    <n v="0"/>
    <n v="0"/>
    <n v="0"/>
    <n v="5"/>
    <n v="0"/>
    <n v="0"/>
    <n v="0"/>
    <n v="0"/>
    <n v="0"/>
    <n v="0"/>
    <n v="0"/>
    <n v="0"/>
    <n v="0"/>
    <n v="0"/>
    <n v="0"/>
  </r>
  <r>
    <n v="194"/>
    <d v="2024-04-04T13:17:52"/>
    <d v="2024-04-04T13:20:24"/>
    <s v="bchirwa@lighthouse.org.mw"/>
    <s v="Bethsheba Chirwa"/>
    <x v="1"/>
    <s v="Prototype"/>
    <x v="1"/>
    <s v="COP_23"/>
    <x v="0"/>
    <x v="2"/>
    <s v="Quarter2"/>
    <x v="2"/>
    <x v="4"/>
    <d v="2024-01-01T00:00:00"/>
    <d v="2024-01-31T00:00:00"/>
    <x v="5"/>
    <n v="3"/>
    <n v="0"/>
    <n v="1"/>
    <n v="0"/>
    <n v="0"/>
    <n v="0"/>
    <n v="3"/>
    <n v="0"/>
    <n v="0"/>
    <n v="0"/>
    <n v="0"/>
    <n v="0"/>
    <n v="0"/>
    <n v="0"/>
    <n v="0"/>
    <n v="0"/>
    <n v="0"/>
    <n v="0"/>
    <n v="0"/>
    <n v="0"/>
    <n v="0"/>
    <n v="0"/>
    <n v="0"/>
    <n v="0"/>
  </r>
  <r>
    <n v="192"/>
    <d v="2024-04-04T13:08:19"/>
    <d v="2024-04-04T13:13:25"/>
    <s v="bchirwa@lighthouse.org.mw"/>
    <s v="Bethsheba Chirwa"/>
    <x v="1"/>
    <s v="Prototype"/>
    <x v="1"/>
    <s v="COP_23"/>
    <x v="0"/>
    <x v="2"/>
    <s v="Quarter2"/>
    <x v="2"/>
    <x v="5"/>
    <d v="2024-02-01T00:00:00"/>
    <d v="2024-02-29T00:00:00"/>
    <x v="2"/>
    <n v="4"/>
    <n v="0"/>
    <n v="4"/>
    <n v="0"/>
    <n v="0"/>
    <n v="0"/>
    <n v="4"/>
    <n v="0"/>
    <n v="0"/>
    <n v="0"/>
    <n v="0"/>
    <n v="0"/>
    <n v="0"/>
    <n v="0"/>
    <n v="0"/>
    <n v="0"/>
    <n v="0"/>
    <n v="0"/>
    <n v="0"/>
    <n v="0"/>
    <n v="0"/>
    <n v="0"/>
    <n v="0"/>
    <n v="0"/>
  </r>
  <r>
    <n v="197"/>
    <d v="2024-04-04T14:18:35"/>
    <d v="2024-04-04T14:24:16"/>
    <s v="bchirwa@lighthouse.org.mw"/>
    <s v="Bethsheba Chirwa"/>
    <x v="1"/>
    <s v="Prototype"/>
    <x v="1"/>
    <s v="COP_23"/>
    <x v="0"/>
    <x v="2"/>
    <s v="Quarter2"/>
    <x v="2"/>
    <x v="3"/>
    <d v="2024-03-01T00:00:00"/>
    <d v="2024-03-31T00:00:00"/>
    <x v="3"/>
    <n v="0"/>
    <n v="0"/>
    <n v="1"/>
    <n v="0"/>
    <n v="0"/>
    <n v="0"/>
    <n v="0"/>
    <n v="0"/>
    <n v="1"/>
    <n v="0"/>
    <n v="0"/>
    <n v="0"/>
    <n v="1"/>
    <n v="0"/>
    <n v="0"/>
    <n v="0"/>
    <n v="0"/>
    <n v="0"/>
    <n v="0"/>
    <n v="0"/>
    <n v="0"/>
    <n v="0"/>
    <n v="0"/>
    <n v="0"/>
  </r>
  <r>
    <n v="198"/>
    <d v="2024-04-04T14:24:25"/>
    <d v="2024-04-04T14:25:57"/>
    <s v="bchirwa@lighthouse.org.mw"/>
    <s v="Bethsheba Chirwa"/>
    <x v="1"/>
    <s v="Prototype"/>
    <x v="1"/>
    <s v="COP_23"/>
    <x v="0"/>
    <x v="2"/>
    <s v="Quarter2"/>
    <x v="2"/>
    <x v="5"/>
    <d v="2024-02-01T00:00:00"/>
    <d v="2024-02-29T00:00:00"/>
    <x v="4"/>
    <n v="1"/>
    <n v="0"/>
    <n v="0"/>
    <n v="1"/>
    <n v="0"/>
    <n v="0"/>
    <n v="1"/>
    <n v="0"/>
    <n v="0"/>
    <n v="0"/>
    <n v="0"/>
    <n v="0"/>
    <n v="1"/>
    <n v="0"/>
    <n v="0"/>
    <n v="0"/>
    <n v="0"/>
    <n v="0"/>
    <n v="0"/>
    <n v="0"/>
    <n v="0"/>
    <n v="0"/>
    <n v="0"/>
    <n v="0"/>
  </r>
  <r>
    <n v="196"/>
    <d v="2024-04-04T13:31:15"/>
    <d v="2024-04-04T13:35:05"/>
    <s v="bchirwa@lighthouse.org.mw"/>
    <s v="Bethsheba Chirwa"/>
    <x v="1"/>
    <s v="Prototype"/>
    <x v="1"/>
    <s v="COP_23"/>
    <x v="0"/>
    <x v="2"/>
    <s v="Quarter2"/>
    <x v="2"/>
    <x v="3"/>
    <d v="2024-03-01T00:00:00"/>
    <d v="2024-03-31T00:00:00"/>
    <x v="2"/>
    <n v="2"/>
    <n v="0"/>
    <n v="2"/>
    <n v="0"/>
    <n v="0"/>
    <n v="0"/>
    <n v="2"/>
    <n v="1"/>
    <n v="1"/>
    <n v="0"/>
    <n v="0"/>
    <n v="0"/>
    <n v="1"/>
    <n v="0"/>
    <n v="0"/>
    <n v="0"/>
    <n v="0"/>
    <n v="0"/>
    <n v="0"/>
    <n v="0"/>
    <n v="0"/>
    <n v="0"/>
    <n v="0"/>
    <n v="0"/>
  </r>
  <r>
    <n v="271"/>
    <d v="2024-04-23T11:00:57"/>
    <d v="2024-04-23T11:09:14"/>
    <s v="bchirwa@lighthouse.org.mw"/>
    <s v="Bethsheba Chirwa"/>
    <x v="1"/>
    <s v="Prototype"/>
    <x v="1"/>
    <s v="COP_23"/>
    <x v="0"/>
    <x v="2"/>
    <s v="Quarter2"/>
    <x v="2"/>
    <x v="4"/>
    <d v="2024-01-01T00:00:00"/>
    <d v="2024-01-31T00:00:00"/>
    <x v="2"/>
    <n v="2"/>
    <n v="0"/>
    <n v="2"/>
    <n v="0"/>
    <n v="0"/>
    <n v="0"/>
    <n v="0"/>
    <n v="0"/>
    <n v="0"/>
    <n v="0"/>
    <n v="0"/>
    <n v="0"/>
    <n v="0"/>
    <n v="0"/>
    <n v="0"/>
    <n v="0"/>
    <n v="0"/>
    <n v="0"/>
    <n v="0"/>
    <n v="0"/>
    <n v="0"/>
    <n v="0"/>
    <n v="0"/>
    <n v="0"/>
  </r>
  <r>
    <n v="356"/>
    <d v="2024-05-07T14:57:00"/>
    <d v="2024-05-07T15:13:03"/>
    <s v="bchirwa@lighthouse.org.mw"/>
    <s v="Bethsheba Chirwa"/>
    <x v="1"/>
    <s v="Prototype"/>
    <x v="1"/>
    <s v="COP_24"/>
    <x v="0"/>
    <x v="3"/>
    <s v="Quarter3"/>
    <x v="3"/>
    <x v="7"/>
    <d v="2024-04-01T00:00:00"/>
    <d v="2024-04-30T00:00:00"/>
    <x v="2"/>
    <n v="6"/>
    <n v="0"/>
    <n v="6"/>
    <n v="0"/>
    <n v="0"/>
    <n v="0"/>
    <n v="4"/>
    <n v="1"/>
    <n v="1"/>
    <n v="0"/>
    <n v="0"/>
    <n v="0"/>
    <n v="1"/>
    <n v="0"/>
    <n v="0"/>
    <n v="0"/>
    <n v="0"/>
    <n v="0"/>
    <n v="0"/>
    <n v="0"/>
    <n v="0"/>
    <n v="0"/>
    <n v="0"/>
    <n v="0"/>
  </r>
  <r>
    <n v="498"/>
    <d v="2024-06-06T08:48:17"/>
    <d v="2024-06-06T09:04:13"/>
    <s v="bchirwa@lighthouse.org.mw"/>
    <s v="Bethsheba Chirwa"/>
    <x v="1"/>
    <s v="Prototype"/>
    <x v="1"/>
    <s v="COP_24"/>
    <x v="0"/>
    <x v="3"/>
    <s v="Quarter3"/>
    <x v="3"/>
    <x v="6"/>
    <d v="2024-05-01T00:00:00"/>
    <d v="2024-05-31T00:00:00"/>
    <x v="2"/>
    <n v="9"/>
    <n v="0"/>
    <n v="9"/>
    <n v="0"/>
    <n v="0"/>
    <n v="0"/>
    <n v="9"/>
    <n v="0"/>
    <n v="0"/>
    <n v="0"/>
    <n v="0"/>
    <n v="0"/>
    <n v="0"/>
    <n v="0"/>
    <n v="0"/>
    <n v="0"/>
    <n v="0"/>
    <n v="0"/>
    <n v="0"/>
    <n v="0"/>
    <n v="0"/>
    <n v="0"/>
    <n v="0"/>
    <n v="0"/>
  </r>
  <r>
    <n v="558"/>
    <d v="2024-07-02T11:18:58"/>
    <d v="2024-07-02T11:28:38"/>
    <s v="bchirwa@lighthouse.org.mw"/>
    <s v="Bethsheba Chirwa"/>
    <x v="1"/>
    <s v="Prototype"/>
    <x v="1"/>
    <s v="COP_24"/>
    <x v="0"/>
    <x v="3"/>
    <s v="Quarter3"/>
    <x v="3"/>
    <x v="8"/>
    <d v="2024-06-01T00:00:00"/>
    <d v="2024-06-30T00:00:00"/>
    <x v="2"/>
    <n v="13"/>
    <n v="0"/>
    <n v="8"/>
    <n v="0"/>
    <n v="0"/>
    <n v="0"/>
    <n v="8"/>
    <n v="2"/>
    <n v="2"/>
    <n v="0"/>
    <n v="0"/>
    <n v="0"/>
    <n v="0"/>
    <n v="0"/>
    <n v="0"/>
    <n v="0"/>
    <n v="0"/>
    <n v="0"/>
    <n v="0"/>
    <n v="0"/>
    <n v="0"/>
    <n v="0"/>
    <n v="0"/>
    <n v="0"/>
  </r>
  <r>
    <n v="786"/>
    <d v="2024-09-10T10:00:30"/>
    <d v="2024-09-10T10:07:19"/>
    <s v="bchirwa@lighthouse.org.mw"/>
    <s v="Bethsheba Chirwa"/>
    <x v="1"/>
    <s v="Prototype"/>
    <x v="1"/>
    <s v="COP_22"/>
    <x v="0"/>
    <x v="1"/>
    <s v="Quarter4"/>
    <x v="1"/>
    <x v="9"/>
    <d v="2024-07-01T00:00:00"/>
    <d v="2024-07-31T00:00:00"/>
    <x v="2"/>
    <n v="7"/>
    <n v="0"/>
    <n v="7"/>
    <n v="0"/>
    <n v="0"/>
    <n v="0"/>
    <n v="0"/>
    <n v="0"/>
    <n v="0"/>
    <n v="0"/>
    <n v="0"/>
    <n v="0"/>
    <n v="0"/>
    <n v="0"/>
    <n v="0"/>
    <n v="0"/>
    <n v="0"/>
    <n v="0"/>
    <n v="0"/>
    <n v="0"/>
    <n v="0"/>
    <n v="0"/>
    <n v="0"/>
    <n v="0"/>
  </r>
  <r>
    <n v="797"/>
    <d v="2024-09-10T11:39:32"/>
    <d v="2024-09-10T11:48:32"/>
    <s v="bchirwa@lighthouse.org.mw"/>
    <s v="Bethsheba Chirwa"/>
    <x v="1"/>
    <s v="Prototype"/>
    <x v="1"/>
    <s v="COP_22"/>
    <x v="0"/>
    <x v="1"/>
    <s v="Quarter4"/>
    <x v="1"/>
    <x v="10"/>
    <d v="2024-08-01T00:00:00"/>
    <d v="2024-08-31T00:00:00"/>
    <x v="2"/>
    <n v="24"/>
    <n v="0"/>
    <n v="0"/>
    <n v="0"/>
    <n v="0"/>
    <n v="0"/>
    <n v="0"/>
    <n v="0"/>
    <n v="0"/>
    <n v="0"/>
    <n v="0"/>
    <n v="0"/>
    <n v="0"/>
    <n v="0"/>
    <n v="0"/>
    <n v="0"/>
    <n v="0"/>
    <n v="0"/>
    <n v="0"/>
    <n v="0"/>
    <n v="0"/>
    <n v="0"/>
    <n v="0"/>
    <n v="0"/>
  </r>
  <r>
    <n v="902"/>
    <d v="2024-10-07T10:08:01"/>
    <d v="2024-10-07T10:20:37"/>
    <s v="bchirwa@lighthouse.org.mw"/>
    <s v="Bethsheba Chirwa"/>
    <x v="1"/>
    <s v="Prototype"/>
    <x v="1"/>
    <s v="COP_22"/>
    <x v="0"/>
    <x v="1"/>
    <s v="Quarter4"/>
    <x v="1"/>
    <x v="2"/>
    <d v="2024-09-01T00:00:00"/>
    <d v="2024-09-30T00:00:00"/>
    <x v="2"/>
    <n v="16"/>
    <n v="0"/>
    <n v="0"/>
    <n v="0"/>
    <n v="0"/>
    <n v="0"/>
    <n v="0"/>
    <n v="0"/>
    <n v="0"/>
    <n v="0"/>
    <n v="0"/>
    <n v="0"/>
    <n v="0"/>
    <n v="0"/>
    <n v="0"/>
    <n v="0"/>
    <n v="0"/>
    <n v="0"/>
    <n v="0"/>
    <n v="0"/>
    <n v="0"/>
    <n v="0"/>
    <n v="0"/>
    <n v="0"/>
  </r>
  <r>
    <n v="270"/>
    <d v="2024-04-23T10:45:57"/>
    <d v="2024-04-23T11:00:34"/>
    <s v="bchirwa@lighthouse.org.mw"/>
    <s v="Bethsheba Chirwa"/>
    <x v="1"/>
    <s v="Prototype"/>
    <x v="1"/>
    <s v="COP_24"/>
    <x v="0"/>
    <x v="2"/>
    <s v="Quarter2"/>
    <x v="2"/>
    <x v="4"/>
    <d v="2024-01-01T00:00:00"/>
    <d v="2024-01-31T00:00:00"/>
    <x v="4"/>
    <n v="0"/>
    <n v="0"/>
    <n v="0"/>
    <n v="0"/>
    <n v="0"/>
    <n v="0"/>
    <n v="0"/>
    <n v="0"/>
    <n v="0"/>
    <n v="0"/>
    <n v="0"/>
    <n v="0"/>
    <n v="0"/>
    <n v="0"/>
    <n v="0"/>
    <n v="0"/>
    <n v="0"/>
    <n v="0"/>
    <n v="0"/>
    <n v="0"/>
    <n v="0"/>
    <n v="0"/>
    <n v="0"/>
    <n v="0"/>
  </r>
  <r>
    <n v="274"/>
    <d v="2024-04-23T11:18:06"/>
    <d v="2024-04-23T11:21:55"/>
    <s v="bchirwa@lighthouse.org.mw"/>
    <s v="Bethsheba Chirwa"/>
    <x v="1"/>
    <s v="Prototype"/>
    <x v="1"/>
    <s v="COP_24"/>
    <x v="0"/>
    <x v="2"/>
    <s v="Quarter2"/>
    <x v="2"/>
    <x v="5"/>
    <d v="2024-02-01T00:00:00"/>
    <d v="2024-02-29T00:00:00"/>
    <x v="5"/>
    <n v="2"/>
    <n v="0"/>
    <n v="2"/>
    <n v="0"/>
    <n v="0"/>
    <n v="0"/>
    <n v="2"/>
    <n v="0"/>
    <n v="0"/>
    <n v="0"/>
    <n v="0"/>
    <n v="0"/>
    <n v="0"/>
    <n v="0"/>
    <n v="0"/>
    <n v="0"/>
    <n v="0"/>
    <n v="0"/>
    <n v="0"/>
    <n v="0"/>
    <n v="0"/>
    <n v="0"/>
    <n v="0"/>
    <n v="0"/>
  </r>
  <r>
    <n v="276"/>
    <d v="2024-04-23T11:25:27"/>
    <d v="2024-04-23T11:27:30"/>
    <s v="bchirwa@lighthouse.org.mw"/>
    <s v="Bethsheba Chirwa"/>
    <x v="1"/>
    <s v="Prototype"/>
    <x v="1"/>
    <s v="COP_24"/>
    <x v="0"/>
    <x v="2"/>
    <s v="Quarter2"/>
    <x v="2"/>
    <x v="3"/>
    <d v="2024-03-08T00:00:00"/>
    <d v="2024-03-31T00:00:00"/>
    <x v="4"/>
    <n v="0"/>
    <n v="0"/>
    <n v="0"/>
    <n v="0"/>
    <n v="0"/>
    <n v="0"/>
    <n v="0"/>
    <n v="0"/>
    <n v="0"/>
    <n v="0"/>
    <n v="0"/>
    <n v="0"/>
    <n v="0"/>
    <n v="0"/>
    <n v="0"/>
    <n v="0"/>
    <n v="0"/>
    <n v="0"/>
    <n v="0"/>
    <n v="0"/>
    <n v="0"/>
    <n v="0"/>
    <n v="0"/>
    <n v="0"/>
  </r>
  <r>
    <n v="277"/>
    <d v="2024-04-23T11:27:51"/>
    <d v="2024-04-23T11:30:00"/>
    <s v="bchirwa@lighthouse.org.mw"/>
    <s v="Bethsheba Chirwa"/>
    <x v="1"/>
    <s v="Prototype"/>
    <x v="1"/>
    <s v="COP_24"/>
    <x v="0"/>
    <x v="2"/>
    <s v="Quarter2"/>
    <x v="2"/>
    <x v="3"/>
    <d v="2024-04-01T00:00:00"/>
    <d v="2024-03-31T00:00:00"/>
    <x v="5"/>
    <n v="2"/>
    <n v="0"/>
    <n v="2"/>
    <n v="0"/>
    <n v="0"/>
    <n v="0"/>
    <n v="0"/>
    <n v="0"/>
    <n v="0"/>
    <n v="0"/>
    <n v="0"/>
    <n v="0"/>
    <n v="0"/>
    <n v="0"/>
    <n v="0"/>
    <n v="0"/>
    <n v="0"/>
    <n v="0"/>
    <n v="0"/>
    <n v="0"/>
    <n v="0"/>
    <n v="0"/>
    <n v="0"/>
    <n v="0"/>
  </r>
  <r>
    <n v="279"/>
    <d v="2024-04-23T11:33:11"/>
    <d v="2024-04-23T11:36:01"/>
    <s v="bchirwa@lighthouse.org.mw"/>
    <s v="Bethsheba Chirwa"/>
    <x v="1"/>
    <s v="Prototype"/>
    <x v="1"/>
    <s v="COP_24"/>
    <x v="0"/>
    <x v="2"/>
    <s v="Quarter2"/>
    <x v="2"/>
    <x v="3"/>
    <d v="2024-03-01T00:00:00"/>
    <d v="2024-03-31T00:00:00"/>
    <x v="0"/>
    <n v="7"/>
    <n v="0"/>
    <n v="7"/>
    <n v="0"/>
    <n v="0"/>
    <n v="0"/>
    <n v="7"/>
    <n v="3"/>
    <n v="3"/>
    <n v="0"/>
    <n v="0"/>
    <n v="0"/>
    <n v="3"/>
    <n v="0"/>
    <n v="0"/>
    <n v="0"/>
    <n v="0"/>
    <n v="0"/>
    <n v="0"/>
    <n v="0"/>
    <n v="0"/>
    <n v="0"/>
    <n v="0"/>
    <n v="0"/>
  </r>
  <r>
    <n v="353"/>
    <d v="2024-05-07T14:42:54"/>
    <d v="2024-05-07T14:45:19"/>
    <s v="bchirwa@lighthouse.org.mw"/>
    <s v="Bethsheba Chirwa"/>
    <x v="1"/>
    <s v="Prototype"/>
    <x v="1"/>
    <s v="COP_24"/>
    <x v="0"/>
    <x v="3"/>
    <s v="Quarter3"/>
    <x v="3"/>
    <x v="7"/>
    <d v="2024-05-01T00:00:00"/>
    <d v="2024-04-30T00:00:00"/>
    <x v="3"/>
    <n v="1"/>
    <n v="0"/>
    <n v="1"/>
    <n v="0"/>
    <n v="0"/>
    <n v="0"/>
    <n v="0"/>
    <n v="0"/>
    <n v="1"/>
    <n v="0"/>
    <n v="0"/>
    <n v="0"/>
    <n v="1"/>
    <n v="0"/>
    <n v="0"/>
    <n v="0"/>
    <n v="0"/>
    <n v="0"/>
    <n v="0"/>
    <n v="0"/>
    <n v="0"/>
    <n v="0"/>
    <n v="0"/>
    <n v="0"/>
  </r>
  <r>
    <n v="354"/>
    <d v="2024-05-07T14:45:42"/>
    <d v="2024-05-07T14:48:32"/>
    <s v="bchirwa@lighthouse.org.mw"/>
    <s v="Bethsheba Chirwa"/>
    <x v="1"/>
    <s v="Prototype"/>
    <x v="1"/>
    <s v="COP_24"/>
    <x v="0"/>
    <x v="3"/>
    <s v="Quarter3"/>
    <x v="3"/>
    <x v="7"/>
    <d v="2024-04-01T00:00:00"/>
    <d v="2024-04-30T00:00:00"/>
    <x v="4"/>
    <n v="1"/>
    <n v="0"/>
    <n v="1"/>
    <n v="0"/>
    <n v="0"/>
    <n v="0"/>
    <n v="1"/>
    <n v="0"/>
    <n v="1"/>
    <n v="0"/>
    <n v="0"/>
    <n v="0"/>
    <n v="1"/>
    <n v="0"/>
    <n v="0"/>
    <n v="0"/>
    <n v="0"/>
    <n v="0"/>
    <n v="0"/>
    <n v="0"/>
    <n v="0"/>
    <n v="0"/>
    <n v="0"/>
    <n v="0"/>
  </r>
  <r>
    <n v="355"/>
    <d v="2024-05-07T14:49:09"/>
    <d v="2024-05-07T14:56:19"/>
    <s v="bchirwa@lighthouse.org.mw"/>
    <s v="Bethsheba Chirwa"/>
    <x v="1"/>
    <s v="Prototype"/>
    <x v="1"/>
    <s v="COP_24"/>
    <x v="0"/>
    <x v="3"/>
    <s v="Quarter3"/>
    <x v="3"/>
    <x v="7"/>
    <d v="2024-04-01T00:00:00"/>
    <d v="2024-04-30T00:00:00"/>
    <x v="5"/>
    <n v="1"/>
    <n v="0"/>
    <n v="1"/>
    <n v="0"/>
    <n v="0"/>
    <n v="0"/>
    <n v="1"/>
    <n v="0"/>
    <n v="0"/>
    <n v="0"/>
    <n v="0"/>
    <n v="0"/>
    <n v="0"/>
    <n v="0"/>
    <n v="0"/>
    <n v="0"/>
    <n v="0"/>
    <n v="0"/>
    <n v="0"/>
    <n v="0"/>
    <n v="0"/>
    <n v="0"/>
    <n v="0"/>
    <n v="0"/>
  </r>
  <r>
    <n v="357"/>
    <d v="2024-05-07T15:13:21"/>
    <d v="2024-05-07T15:16:10"/>
    <s v="bchirwa@lighthouse.org.mw"/>
    <s v="Bethsheba Chirwa"/>
    <x v="1"/>
    <s v="Prototype"/>
    <x v="1"/>
    <s v="COP_24"/>
    <x v="0"/>
    <x v="3"/>
    <s v="Quarter3"/>
    <x v="3"/>
    <x v="7"/>
    <d v="2024-04-01T00:00:00"/>
    <d v="2024-04-30T00:00:00"/>
    <x v="5"/>
    <n v="1"/>
    <n v="0"/>
    <n v="1"/>
    <n v="0"/>
    <n v="0"/>
    <n v="0"/>
    <n v="1"/>
    <n v="0"/>
    <n v="0"/>
    <n v="0"/>
    <n v="0"/>
    <n v="0"/>
    <n v="0"/>
    <n v="0"/>
    <n v="0"/>
    <n v="0"/>
    <n v="0"/>
    <n v="0"/>
    <n v="0"/>
    <n v="0"/>
    <n v="0"/>
    <n v="0"/>
    <n v="0"/>
    <n v="0"/>
  </r>
  <r>
    <n v="360"/>
    <d v="2024-05-07T15:18:21"/>
    <d v="2024-05-07T15:20:57"/>
    <s v="bchirwa@lighthouse.org.mw"/>
    <s v="Bethsheba Chirwa"/>
    <x v="1"/>
    <s v="Prototype"/>
    <x v="1"/>
    <s v="COP_24"/>
    <x v="0"/>
    <x v="3"/>
    <s v="Quarter3"/>
    <x v="3"/>
    <x v="7"/>
    <d v="2024-04-01T00:00:00"/>
    <d v="2024-04-30T00:00:00"/>
    <x v="0"/>
    <n v="20"/>
    <n v="0"/>
    <n v="20"/>
    <n v="0"/>
    <n v="0"/>
    <n v="0"/>
    <n v="4"/>
    <n v="4"/>
    <n v="4"/>
    <n v="0"/>
    <n v="0"/>
    <n v="0"/>
    <n v="4"/>
    <n v="1"/>
    <n v="0"/>
    <n v="0"/>
    <n v="0"/>
    <n v="0"/>
    <n v="0"/>
    <n v="0"/>
    <n v="0"/>
    <n v="0"/>
    <n v="0"/>
    <n v="0"/>
  </r>
  <r>
    <n v="363"/>
    <d v="2024-05-07T15:24:58"/>
    <d v="2024-05-07T15:26:15"/>
    <s v="bchirwa@lighthouse.org.mw"/>
    <s v="Bethsheba Chirwa"/>
    <x v="1"/>
    <s v="Prototype"/>
    <x v="1"/>
    <s v="COP_24"/>
    <x v="0"/>
    <x v="2"/>
    <s v="Quarter2"/>
    <x v="2"/>
    <x v="4"/>
    <d v="2024-01-01T00:00:00"/>
    <d v="2024-01-31T00:00:00"/>
    <x v="3"/>
    <n v="0"/>
    <n v="0"/>
    <n v="0"/>
    <n v="0"/>
    <n v="0"/>
    <n v="0"/>
    <n v="0"/>
    <n v="0"/>
    <n v="0"/>
    <n v="0"/>
    <n v="0"/>
    <n v="0"/>
    <n v="0"/>
    <n v="0"/>
    <n v="0"/>
    <n v="0"/>
    <n v="0"/>
    <n v="0"/>
    <n v="0"/>
    <n v="0"/>
    <n v="0"/>
    <n v="0"/>
    <n v="0"/>
    <n v="0"/>
  </r>
  <r>
    <n v="364"/>
    <d v="2024-05-07T15:26:17"/>
    <d v="2024-05-07T15:28:07"/>
    <s v="bchirwa@lighthouse.org.mw"/>
    <s v="Bethsheba Chirwa"/>
    <x v="1"/>
    <s v="Prototype"/>
    <x v="1"/>
    <s v="COP_24"/>
    <x v="0"/>
    <x v="2"/>
    <s v="Quarter2"/>
    <x v="2"/>
    <x v="4"/>
    <d v="2024-01-01T00:00:00"/>
    <d v="2024-01-31T00:00:00"/>
    <x v="0"/>
    <n v="13"/>
    <n v="0"/>
    <n v="13"/>
    <n v="0"/>
    <n v="0"/>
    <n v="0"/>
    <n v="13"/>
    <n v="2"/>
    <n v="2"/>
    <n v="0"/>
    <n v="0"/>
    <n v="0"/>
    <n v="2"/>
    <n v="0"/>
    <n v="0"/>
    <n v="0"/>
    <n v="0"/>
    <n v="0"/>
    <n v="0"/>
    <n v="0"/>
    <n v="0"/>
    <n v="0"/>
    <n v="0"/>
    <n v="0"/>
  </r>
  <r>
    <n v="493"/>
    <d v="2024-06-05T15:42:11"/>
    <d v="2024-06-05T15:48:08"/>
    <s v="bchirwa@lighthouse.org.mw"/>
    <s v="Bethsheba Chirwa"/>
    <x v="1"/>
    <s v="Prototype"/>
    <x v="1"/>
    <s v="COP_22"/>
    <x v="0"/>
    <x v="3"/>
    <s v="Quarter3"/>
    <x v="3"/>
    <x v="6"/>
    <d v="2024-05-01T00:00:00"/>
    <d v="2024-05-31T00:00:00"/>
    <x v="3"/>
    <n v="1"/>
    <n v="0"/>
    <n v="1"/>
    <n v="0"/>
    <n v="0"/>
    <n v="0"/>
    <n v="0"/>
    <n v="0"/>
    <n v="1"/>
    <n v="0"/>
    <n v="0"/>
    <n v="0"/>
    <n v="0"/>
    <n v="0"/>
    <n v="0"/>
    <n v="0"/>
    <n v="0"/>
    <n v="0"/>
    <n v="0"/>
    <n v="0"/>
    <n v="0"/>
    <n v="0"/>
    <n v="0"/>
    <n v="0"/>
  </r>
  <r>
    <n v="495"/>
    <d v="2024-06-05T15:48:36"/>
    <d v="2024-06-05T15:53:59"/>
    <s v="bchirwa@lighthouse.org.mw"/>
    <s v="Bethsheba Chirwa"/>
    <x v="1"/>
    <s v="Prototype"/>
    <x v="1"/>
    <s v="COP_23"/>
    <x v="0"/>
    <x v="3"/>
    <s v="Quarter3"/>
    <x v="3"/>
    <x v="6"/>
    <d v="2024-05-01T00:00:00"/>
    <d v="2024-05-31T00:00:00"/>
    <x v="4"/>
    <n v="3"/>
    <n v="0"/>
    <n v="1"/>
    <n v="0"/>
    <n v="0"/>
    <n v="0"/>
    <n v="3"/>
    <n v="0"/>
    <n v="0"/>
    <n v="0"/>
    <n v="0"/>
    <n v="0"/>
    <n v="0"/>
    <n v="0"/>
    <n v="0"/>
    <n v="0"/>
    <n v="0"/>
    <n v="0"/>
    <n v="0"/>
    <n v="0"/>
    <n v="0"/>
    <n v="0"/>
    <n v="0"/>
    <n v="0"/>
  </r>
  <r>
    <n v="497"/>
    <d v="2024-06-06T08:46:07"/>
    <d v="2024-06-06T08:48:06"/>
    <s v="bchirwa@lighthouse.org.mw"/>
    <s v="Bethsheba Chirwa"/>
    <x v="1"/>
    <s v="Prototype"/>
    <x v="1"/>
    <s v="COP_23"/>
    <x v="0"/>
    <x v="3"/>
    <s v="Quarter3"/>
    <x v="3"/>
    <x v="6"/>
    <d v="2024-05-01T00:00:00"/>
    <d v="2024-05-31T00:00:00"/>
    <x v="5"/>
    <n v="4"/>
    <n v="0"/>
    <n v="4"/>
    <n v="0"/>
    <n v="0"/>
    <n v="0"/>
    <n v="4"/>
    <n v="1"/>
    <n v="0"/>
    <n v="0"/>
    <n v="0"/>
    <n v="0"/>
    <n v="0"/>
    <n v="0"/>
    <n v="0"/>
    <n v="0"/>
    <n v="0"/>
    <n v="0"/>
    <n v="0"/>
    <n v="0"/>
    <n v="0"/>
    <n v="0"/>
    <n v="0"/>
    <n v="0"/>
  </r>
  <r>
    <n v="503"/>
    <d v="2024-06-06T09:14:15"/>
    <d v="2024-06-06T09:41:59"/>
    <s v="bchirwa@lighthouse.org.mw"/>
    <s v="Bethsheba Chirwa"/>
    <x v="1"/>
    <s v="Prototype"/>
    <x v="1"/>
    <s v="COP_23"/>
    <x v="0"/>
    <x v="3"/>
    <s v="Quarter3"/>
    <x v="3"/>
    <x v="6"/>
    <d v="2024-05-01T00:00:00"/>
    <d v="2024-05-31T00:00:00"/>
    <x v="0"/>
    <n v="30"/>
    <n v="0"/>
    <n v="28"/>
    <n v="2"/>
    <n v="0"/>
    <n v="0"/>
    <n v="30"/>
    <n v="6"/>
    <n v="6"/>
    <n v="0"/>
    <n v="0"/>
    <n v="0"/>
    <n v="0"/>
    <n v="0"/>
    <n v="0"/>
    <n v="0"/>
    <n v="0"/>
    <n v="0"/>
    <n v="0"/>
    <n v="0"/>
    <n v="0"/>
    <n v="0"/>
    <n v="0"/>
    <n v="0"/>
  </r>
  <r>
    <n v="555"/>
    <d v="2024-07-02T10:49:07"/>
    <d v="2024-07-02T10:58:05"/>
    <s v="bchirwa@lighthouse.org.mw"/>
    <s v="Bethsheba Chirwa"/>
    <x v="1"/>
    <s v="Prototype"/>
    <x v="1"/>
    <s v="COP_23"/>
    <x v="0"/>
    <x v="3"/>
    <s v="Quarter3"/>
    <x v="3"/>
    <x v="8"/>
    <d v="2024-06-01T00:00:00"/>
    <d v="2024-06-30T00:00:00"/>
    <x v="3"/>
    <n v="0"/>
    <n v="0"/>
    <n v="0"/>
    <n v="0"/>
    <n v="0"/>
    <n v="0"/>
    <n v="0"/>
    <n v="0"/>
    <n v="0"/>
    <n v="0"/>
    <n v="0"/>
    <n v="0"/>
    <n v="0"/>
    <n v="0"/>
    <n v="0"/>
    <n v="0"/>
    <n v="0"/>
    <n v="0"/>
    <n v="0"/>
    <n v="0"/>
    <n v="0"/>
    <n v="0"/>
    <n v="0"/>
    <n v="0"/>
  </r>
  <r>
    <n v="556"/>
    <d v="2024-07-02T10:58:20"/>
    <d v="2024-07-02T11:01:46"/>
    <s v="bchirwa@lighthouse.org.mw"/>
    <s v="Bethsheba Chirwa"/>
    <x v="1"/>
    <s v="Prototype"/>
    <x v="1"/>
    <s v="COP_23"/>
    <x v="0"/>
    <x v="3"/>
    <s v="Quarter3"/>
    <x v="3"/>
    <x v="8"/>
    <d v="2024-06-01T00:00:00"/>
    <d v="2024-06-30T00:00:00"/>
    <x v="4"/>
    <n v="0"/>
    <n v="0"/>
    <n v="0"/>
    <n v="0"/>
    <n v="0"/>
    <n v="0"/>
    <n v="0"/>
    <n v="0"/>
    <n v="0"/>
    <n v="0"/>
    <n v="0"/>
    <n v="0"/>
    <n v="0"/>
    <n v="0"/>
    <n v="0"/>
    <n v="0"/>
    <n v="0"/>
    <n v="0"/>
    <n v="0"/>
    <n v="0"/>
    <n v="0"/>
    <n v="0"/>
    <n v="0"/>
    <n v="0"/>
  </r>
  <r>
    <n v="557"/>
    <d v="2024-07-02T11:01:55"/>
    <d v="2024-07-02T11:16:26"/>
    <s v="bchirwa@lighthouse.org.mw"/>
    <s v="Bethsheba Chirwa"/>
    <x v="1"/>
    <s v="Prototype"/>
    <x v="1"/>
    <s v="COP_23"/>
    <x v="0"/>
    <x v="3"/>
    <s v="Quarter3"/>
    <x v="3"/>
    <x v="8"/>
    <d v="2024-06-01T00:00:00"/>
    <d v="2024-06-30T00:00:00"/>
    <x v="5"/>
    <n v="0"/>
    <n v="0"/>
    <n v="0"/>
    <n v="0"/>
    <n v="0"/>
    <n v="0"/>
    <n v="0"/>
    <n v="0"/>
    <n v="0"/>
    <n v="0"/>
    <n v="0"/>
    <n v="0"/>
    <n v="0"/>
    <n v="0"/>
    <n v="0"/>
    <n v="0"/>
    <n v="0"/>
    <n v="0"/>
    <n v="0"/>
    <n v="0"/>
    <n v="0"/>
    <n v="0"/>
    <n v="0"/>
    <n v="0"/>
  </r>
  <r>
    <n v="560"/>
    <d v="2024-07-02T11:32:29"/>
    <d v="2024-07-02T11:37:20"/>
    <s v="bchirwa@lighthouse.org.mw"/>
    <s v="Bethsheba Chirwa"/>
    <x v="1"/>
    <s v="Prototype"/>
    <x v="1"/>
    <s v="COP_23"/>
    <x v="0"/>
    <x v="3"/>
    <s v="Quarter3"/>
    <x v="3"/>
    <x v="8"/>
    <d v="2024-06-01T00:00:00"/>
    <d v="2024-06-30T00:00:00"/>
    <x v="0"/>
    <n v="23"/>
    <n v="1"/>
    <n v="20"/>
    <n v="2"/>
    <n v="1"/>
    <n v="0"/>
    <n v="23"/>
    <n v="3"/>
    <n v="3"/>
    <n v="0"/>
    <n v="0"/>
    <n v="0"/>
    <n v="0"/>
    <n v="0"/>
    <n v="0"/>
    <n v="0"/>
    <n v="0"/>
    <n v="0"/>
    <n v="0"/>
    <n v="0"/>
    <n v="0"/>
    <n v="0"/>
    <n v="0"/>
    <n v="0"/>
  </r>
  <r>
    <n v="785"/>
    <d v="2024-09-10T09:50:32"/>
    <d v="2024-09-10T10:00:24"/>
    <s v="bchirwa@lighthouse.org.mw"/>
    <s v="Bethsheba Chirwa"/>
    <x v="1"/>
    <s v="Prototype"/>
    <x v="1"/>
    <s v="COP_23"/>
    <x v="0"/>
    <x v="1"/>
    <s v="Quarter4"/>
    <x v="1"/>
    <x v="9"/>
    <d v="2024-07-01T00:00:00"/>
    <d v="2024-07-31T00:00:00"/>
    <x v="0"/>
    <n v="25"/>
    <n v="0"/>
    <n v="22"/>
    <n v="2"/>
    <n v="1"/>
    <n v="0"/>
    <n v="23"/>
    <n v="1"/>
    <n v="1"/>
    <n v="0"/>
    <n v="0"/>
    <n v="0"/>
    <n v="0"/>
    <n v="0"/>
    <n v="0"/>
    <n v="0"/>
    <n v="0"/>
    <n v="0"/>
    <n v="0"/>
    <n v="0"/>
    <n v="0"/>
    <n v="0"/>
    <n v="0"/>
    <n v="0"/>
  </r>
  <r>
    <n v="787"/>
    <d v="2024-09-10T10:07:24"/>
    <d v="2024-09-10T10:10:57"/>
    <s v="bchirwa@lighthouse.org.mw"/>
    <s v="Bethsheba Chirwa"/>
    <x v="1"/>
    <s v="Prototype"/>
    <x v="1"/>
    <s v="COP_23"/>
    <x v="0"/>
    <x v="1"/>
    <s v="Quarter4"/>
    <x v="1"/>
    <x v="9"/>
    <d v="2024-07-01T00:00:00"/>
    <d v="2024-07-31T00:00:00"/>
    <x v="5"/>
    <n v="1"/>
    <n v="0"/>
    <n v="1"/>
    <n v="0"/>
    <n v="0"/>
    <n v="0"/>
    <n v="1"/>
    <n v="0"/>
    <n v="0"/>
    <n v="0"/>
    <n v="0"/>
    <n v="0"/>
    <n v="0"/>
    <n v="0"/>
    <n v="0"/>
    <n v="0"/>
    <n v="0"/>
    <n v="0"/>
    <n v="0"/>
    <n v="0"/>
    <n v="0"/>
    <n v="0"/>
    <n v="0"/>
    <n v="0"/>
  </r>
  <r>
    <n v="788"/>
    <d v="2024-09-10T10:11:02"/>
    <d v="2024-09-10T10:13:12"/>
    <s v="bchirwa@lighthouse.org.mw"/>
    <s v="Bethsheba Chirwa"/>
    <x v="1"/>
    <s v="Prototype"/>
    <x v="1"/>
    <s v="COP_23"/>
    <x v="0"/>
    <x v="1"/>
    <s v="Quarter4"/>
    <x v="1"/>
    <x v="9"/>
    <d v="2024-07-01T00:00:00"/>
    <d v="2024-07-31T00:00:00"/>
    <x v="4"/>
    <n v="0"/>
    <n v="0"/>
    <n v="0"/>
    <n v="0"/>
    <n v="0"/>
    <n v="0"/>
    <n v="0"/>
    <n v="0"/>
    <n v="0"/>
    <n v="0"/>
    <n v="0"/>
    <n v="0"/>
    <n v="0"/>
    <n v="0"/>
    <n v="0"/>
    <n v="0"/>
    <n v="0"/>
    <n v="0"/>
    <n v="0"/>
    <n v="0"/>
    <n v="0"/>
    <n v="0"/>
    <n v="0"/>
    <n v="0"/>
  </r>
  <r>
    <n v="789"/>
    <d v="2024-09-10T10:13:34"/>
    <d v="2024-09-10T10:15:46"/>
    <s v="bchirwa@lighthouse.org.mw"/>
    <s v="Bethsheba Chirwa"/>
    <x v="1"/>
    <s v="Prototype"/>
    <x v="1"/>
    <s v="COP_23"/>
    <x v="0"/>
    <x v="1"/>
    <s v="Quarter4"/>
    <x v="1"/>
    <x v="9"/>
    <d v="2024-07-01T00:00:00"/>
    <d v="2024-07-31T00:00:00"/>
    <x v="3"/>
    <n v="0"/>
    <n v="0"/>
    <n v="0"/>
    <n v="0"/>
    <n v="0"/>
    <n v="0"/>
    <n v="0"/>
    <n v="0"/>
    <n v="0"/>
    <n v="0"/>
    <n v="0"/>
    <n v="0"/>
    <n v="0"/>
    <n v="0"/>
    <n v="0"/>
    <n v="0"/>
    <n v="0"/>
    <n v="0"/>
    <n v="0"/>
    <n v="0"/>
    <n v="0"/>
    <n v="0"/>
    <n v="0"/>
    <n v="0"/>
  </r>
  <r>
    <n v="793"/>
    <d v="2024-09-10T11:07:04"/>
    <d v="2024-09-10T11:11:11"/>
    <s v="bchirwa@lighthouse.org.mw"/>
    <s v="Bethsheba Chirwa"/>
    <x v="1"/>
    <s v="Prototype"/>
    <x v="1"/>
    <s v="COP_23"/>
    <x v="0"/>
    <x v="1"/>
    <s v="Quarter4"/>
    <x v="1"/>
    <x v="10"/>
    <d v="2024-08-01T00:00:00"/>
    <d v="2024-08-31T00:00:00"/>
    <x v="3"/>
    <n v="0"/>
    <n v="0"/>
    <n v="0"/>
    <n v="0"/>
    <n v="0"/>
    <n v="0"/>
    <n v="0"/>
    <n v="0"/>
    <n v="0"/>
    <n v="0"/>
    <n v="0"/>
    <n v="0"/>
    <n v="0"/>
    <n v="0"/>
    <n v="0"/>
    <n v="0"/>
    <n v="0"/>
    <n v="0"/>
    <n v="0"/>
    <n v="0"/>
    <n v="0"/>
    <n v="0"/>
    <n v="0"/>
    <n v="0"/>
  </r>
  <r>
    <n v="795"/>
    <d v="2024-09-10T11:15:16"/>
    <d v="2024-09-10T11:28:02"/>
    <s v="bchirwa@lighthouse.org.mw"/>
    <s v="Bethsheba Chirwa"/>
    <x v="1"/>
    <s v="Prototype"/>
    <x v="1"/>
    <s v="COP_23"/>
    <x v="0"/>
    <x v="1"/>
    <s v="Quarter4"/>
    <x v="1"/>
    <x v="10"/>
    <d v="2024-08-01T00:00:00"/>
    <d v="2024-08-31T00:00:00"/>
    <x v="4"/>
    <n v="1"/>
    <n v="0"/>
    <n v="1"/>
    <n v="0"/>
    <n v="0"/>
    <n v="0"/>
    <n v="0"/>
    <n v="0"/>
    <n v="0"/>
    <n v="0"/>
    <n v="0"/>
    <n v="0"/>
    <n v="0"/>
    <n v="0"/>
    <n v="0"/>
    <n v="0"/>
    <n v="0"/>
    <n v="0"/>
    <n v="0"/>
    <n v="0"/>
    <n v="0"/>
    <n v="0"/>
    <n v="0"/>
    <n v="0"/>
  </r>
  <r>
    <n v="796"/>
    <d v="2024-09-10T11:28:09"/>
    <d v="2024-09-10T11:39:27"/>
    <s v="bchirwa@lighthouse.org.mw"/>
    <s v="Bethsheba Chirwa"/>
    <x v="1"/>
    <s v="Prototype"/>
    <x v="1"/>
    <s v="COP_23"/>
    <x v="0"/>
    <x v="1"/>
    <s v="Quarter4"/>
    <x v="1"/>
    <x v="10"/>
    <d v="2024-08-01T00:00:00"/>
    <d v="2024-08-31T00:00:00"/>
    <x v="5"/>
    <n v="5"/>
    <n v="0"/>
    <n v="0"/>
    <n v="0"/>
    <n v="0"/>
    <n v="0"/>
    <n v="0"/>
    <n v="0"/>
    <n v="0"/>
    <n v="0"/>
    <n v="0"/>
    <n v="0"/>
    <n v="0"/>
    <n v="0"/>
    <n v="0"/>
    <n v="0"/>
    <n v="0"/>
    <n v="0"/>
    <n v="0"/>
    <n v="0"/>
    <n v="0"/>
    <n v="0"/>
    <n v="0"/>
    <n v="0"/>
  </r>
  <r>
    <n v="798"/>
    <d v="2024-09-10T11:49:23"/>
    <d v="2024-09-10T11:54:28"/>
    <s v="bchirwa@lighthouse.org.mw"/>
    <s v="Bethsheba Chirwa"/>
    <x v="1"/>
    <s v="Prototype"/>
    <x v="1"/>
    <s v="COP_23"/>
    <x v="0"/>
    <x v="1"/>
    <s v="Quarter4"/>
    <x v="1"/>
    <x v="10"/>
    <d v="2024-08-01T00:00:00"/>
    <d v="2024-08-31T00:00:00"/>
    <x v="0"/>
    <n v="41"/>
    <n v="0"/>
    <n v="5"/>
    <n v="0"/>
    <n v="0"/>
    <n v="0"/>
    <n v="5"/>
    <n v="0"/>
    <n v="0"/>
    <n v="0"/>
    <n v="0"/>
    <n v="0"/>
    <n v="0"/>
    <n v="0"/>
    <n v="0"/>
    <n v="0"/>
    <n v="0"/>
    <n v="0"/>
    <n v="0"/>
    <n v="0"/>
    <n v="0"/>
    <n v="0"/>
    <n v="0"/>
    <n v="0"/>
  </r>
  <r>
    <n v="899"/>
    <d v="2024-10-07T09:50:21"/>
    <d v="2024-10-07T09:56:56"/>
    <s v="bchirwa@lighthouse.org.mw"/>
    <s v="Bethsheba Chirwa"/>
    <x v="1"/>
    <s v="Prototype"/>
    <x v="1"/>
    <s v="COP_23"/>
    <x v="0"/>
    <x v="1"/>
    <s v="Quarter4"/>
    <x v="1"/>
    <x v="2"/>
    <d v="2024-09-01T00:00:00"/>
    <d v="2024-09-30T00:00:00"/>
    <x v="3"/>
    <n v="1"/>
    <n v="0"/>
    <n v="1"/>
    <n v="0"/>
    <n v="0"/>
    <n v="0"/>
    <n v="0"/>
    <n v="0"/>
    <n v="1"/>
    <n v="0"/>
    <n v="0"/>
    <n v="0"/>
    <n v="1"/>
    <n v="0"/>
    <n v="0"/>
    <n v="0"/>
    <n v="0"/>
    <n v="0"/>
    <n v="0"/>
    <n v="0"/>
    <n v="0"/>
    <n v="0"/>
    <n v="0"/>
    <n v="0"/>
  </r>
  <r>
    <n v="900"/>
    <d v="2024-10-07T09:57:00"/>
    <d v="2024-10-07T09:59:17"/>
    <s v="bchirwa@lighthouse.org.mw"/>
    <s v="Bethsheba Chirwa"/>
    <x v="1"/>
    <s v="Prototype"/>
    <x v="1"/>
    <s v="COP_23"/>
    <x v="0"/>
    <x v="1"/>
    <s v="Quarter4"/>
    <x v="1"/>
    <x v="2"/>
    <d v="2024-09-01T00:00:00"/>
    <d v="2024-09-30T00:00:00"/>
    <x v="4"/>
    <n v="0"/>
    <n v="0"/>
    <n v="0"/>
    <n v="0"/>
    <n v="0"/>
    <n v="0"/>
    <n v="0"/>
    <n v="0"/>
    <n v="0"/>
    <n v="0"/>
    <n v="0"/>
    <n v="0"/>
    <n v="0"/>
    <n v="0"/>
    <n v="0"/>
    <n v="0"/>
    <n v="0"/>
    <n v="0"/>
    <n v="0"/>
    <n v="0"/>
    <n v="0"/>
    <n v="0"/>
    <n v="0"/>
    <n v="0"/>
  </r>
  <r>
    <n v="901"/>
    <d v="2024-10-07T09:59:41"/>
    <d v="2024-10-07T10:07:52"/>
    <s v="bchirwa@lighthouse.org.mw"/>
    <s v="Bethsheba Chirwa"/>
    <x v="1"/>
    <s v="Prototype"/>
    <x v="1"/>
    <s v="COP_23"/>
    <x v="0"/>
    <x v="1"/>
    <s v="Quarter4"/>
    <x v="1"/>
    <x v="2"/>
    <d v="2024-09-01T00:00:00"/>
    <d v="2024-09-30T00:00:00"/>
    <x v="5"/>
    <n v="6"/>
    <n v="0"/>
    <n v="6"/>
    <n v="0"/>
    <n v="0"/>
    <n v="0"/>
    <n v="0"/>
    <n v="0"/>
    <n v="0"/>
    <n v="0"/>
    <n v="0"/>
    <n v="0"/>
    <n v="0"/>
    <n v="0"/>
    <n v="0"/>
    <n v="0"/>
    <n v="0"/>
    <n v="0"/>
    <n v="0"/>
    <n v="0"/>
    <n v="0"/>
    <n v="0"/>
    <n v="0"/>
    <n v="0"/>
  </r>
  <r>
    <n v="903"/>
    <d v="2024-10-07T10:20:49"/>
    <d v="2024-10-07T10:39:13"/>
    <s v="bchirwa@lighthouse.org.mw"/>
    <s v="Bethsheba Chirwa"/>
    <x v="1"/>
    <s v="Prototype"/>
    <x v="1"/>
    <s v="COP_23"/>
    <x v="0"/>
    <x v="1"/>
    <s v="Quarter4"/>
    <x v="1"/>
    <x v="2"/>
    <d v="2024-09-01T00:00:00"/>
    <d v="2024-09-30T00:00:00"/>
    <x v="0"/>
    <n v="28"/>
    <n v="0"/>
    <n v="27"/>
    <n v="0"/>
    <n v="1"/>
    <n v="0"/>
    <n v="0"/>
    <n v="0"/>
    <n v="6"/>
    <n v="0"/>
    <n v="0"/>
    <n v="0"/>
    <n v="6"/>
    <n v="0"/>
    <n v="0"/>
    <n v="0"/>
    <n v="0"/>
    <n v="0"/>
    <n v="0"/>
    <n v="0"/>
    <n v="0"/>
    <n v="0"/>
    <n v="0"/>
    <n v="0"/>
  </r>
  <r>
    <n v="1089"/>
    <d v="2024-11-26T10:38:24"/>
    <d v="2024-11-26T10:53:29"/>
    <s v="bchirwa@lighthouse.org.mw"/>
    <s v="Bethsheba Chirwa"/>
    <x v="1"/>
    <s v="Prototype"/>
    <x v="1"/>
    <s v="COP_23"/>
    <x v="2"/>
    <x v="0"/>
    <s v="Quarter1"/>
    <x v="0"/>
    <x v="0"/>
    <d v="2024-10-01T00:00:00"/>
    <d v="2024-10-31T00:00:00"/>
    <x v="1"/>
    <n v="13"/>
    <n v="0"/>
    <n v="12"/>
    <n v="1"/>
    <n v="0"/>
    <n v="0"/>
    <n v="0"/>
    <n v="0"/>
    <n v="0"/>
    <n v="0"/>
    <n v="0"/>
    <n v="0"/>
    <n v="1"/>
    <n v="0"/>
    <n v="0"/>
    <n v="0"/>
    <n v="0"/>
    <n v="0"/>
    <n v="0"/>
    <n v="0"/>
    <n v="0"/>
    <n v="0"/>
    <n v="0"/>
    <n v="0"/>
  </r>
  <r>
    <n v="1090"/>
    <d v="2024-11-26T10:53:47"/>
    <d v="2024-11-26T10:57:59"/>
    <s v="bchirwa@lighthouse.org.mw"/>
    <s v="Bethsheba Chirwa"/>
    <x v="1"/>
    <s v="Prototype"/>
    <x v="1"/>
    <s v="COP_23"/>
    <x v="2"/>
    <x v="0"/>
    <s v="Quarter1"/>
    <x v="0"/>
    <x v="0"/>
    <d v="2024-10-01T00:00:00"/>
    <d v="2024-10-31T00:00:00"/>
    <x v="3"/>
    <n v="0"/>
    <n v="0"/>
    <n v="0"/>
    <n v="0"/>
    <n v="0"/>
    <n v="0"/>
    <n v="0"/>
    <n v="0"/>
    <n v="0"/>
    <n v="0"/>
    <n v="0"/>
    <n v="0"/>
    <n v="0"/>
    <n v="0"/>
    <n v="0"/>
    <n v="0"/>
    <n v="0"/>
    <n v="0"/>
    <n v="0"/>
    <n v="0"/>
    <n v="0"/>
    <n v="0"/>
    <n v="0"/>
    <n v="0"/>
  </r>
  <r>
    <n v="1091"/>
    <d v="2024-11-26T10:59:18"/>
    <d v="2024-11-26T11:05:07"/>
    <s v="bchirwa@lighthouse.org.mw"/>
    <s v="Bethsheba Chirwa"/>
    <x v="1"/>
    <s v="Prototype"/>
    <x v="1"/>
    <s v="COP_23"/>
    <x v="2"/>
    <x v="0"/>
    <s v="Quarter1"/>
    <x v="0"/>
    <x v="0"/>
    <d v="2024-10-01T00:00:00"/>
    <d v="2024-10-31T00:00:00"/>
    <x v="4"/>
    <n v="0"/>
    <n v="0"/>
    <n v="0"/>
    <n v="0"/>
    <n v="0"/>
    <n v="0"/>
    <n v="0"/>
    <n v="0"/>
    <n v="0"/>
    <n v="0"/>
    <n v="0"/>
    <n v="0"/>
    <n v="0"/>
    <n v="0"/>
    <n v="0"/>
    <n v="0"/>
    <n v="0"/>
    <n v="0"/>
    <n v="0"/>
    <n v="0"/>
    <n v="0"/>
    <n v="0"/>
    <n v="0"/>
    <n v="0"/>
  </r>
  <r>
    <n v="1092"/>
    <d v="2024-11-26T11:06:16"/>
    <d v="2024-11-26T11:14:52"/>
    <s v="bchirwa@lighthouse.org.mw"/>
    <s v="Bethsheba Chirwa"/>
    <x v="1"/>
    <s v="Prototype"/>
    <x v="1"/>
    <s v="COP_23"/>
    <x v="2"/>
    <x v="0"/>
    <s v="Quarter1"/>
    <x v="0"/>
    <x v="0"/>
    <d v="2024-10-01T00:00:00"/>
    <d v="2024-10-31T00:00:00"/>
    <x v="5"/>
    <n v="1"/>
    <n v="0"/>
    <n v="0"/>
    <n v="0"/>
    <n v="0"/>
    <n v="0"/>
    <n v="0"/>
    <n v="0"/>
    <n v="0"/>
    <n v="0"/>
    <n v="0"/>
    <n v="0"/>
    <n v="0"/>
    <n v="0"/>
    <n v="0"/>
    <n v="0"/>
    <n v="0"/>
    <n v="0"/>
    <n v="0"/>
    <n v="0"/>
    <n v="0"/>
    <n v="0"/>
    <n v="0"/>
    <n v="0"/>
  </r>
  <r>
    <n v="1093"/>
    <d v="2024-11-26T11:15:19"/>
    <d v="2024-11-26T11:18:13"/>
    <s v="bchirwa@lighthouse.org.mw"/>
    <s v="Bethsheba Chirwa"/>
    <x v="1"/>
    <s v="Prototype"/>
    <x v="1"/>
    <s v="COP_23"/>
    <x v="2"/>
    <x v="0"/>
    <s v="Quarter1"/>
    <x v="0"/>
    <x v="0"/>
    <d v="2024-10-01T00:00:00"/>
    <d v="2024-10-31T00:00:00"/>
    <x v="2"/>
    <n v="1"/>
    <n v="1"/>
    <n v="1"/>
    <n v="0"/>
    <n v="0"/>
    <n v="0"/>
    <n v="0"/>
    <n v="0"/>
    <n v="0"/>
    <n v="0"/>
    <n v="0"/>
    <n v="0"/>
    <n v="1"/>
    <n v="0"/>
    <n v="0"/>
    <n v="0"/>
    <n v="0"/>
    <n v="0"/>
    <n v="0"/>
    <n v="0"/>
    <n v="0"/>
    <n v="0"/>
    <n v="0"/>
    <n v="0"/>
  </r>
  <r>
    <n v="1094"/>
    <d v="2024-11-26T11:19:24"/>
    <d v="2024-11-26T11:22:12"/>
    <s v="bchirwa@lighthouse.org.mw"/>
    <s v="Bethsheba Chirwa"/>
    <x v="1"/>
    <s v="Prototype"/>
    <x v="1"/>
    <s v="COP_24"/>
    <x v="2"/>
    <x v="0"/>
    <s v="Quarter1"/>
    <x v="0"/>
    <x v="0"/>
    <d v="2024-10-01T00:00:00"/>
    <d v="2024-10-31T00:00:00"/>
    <x v="0"/>
    <n v="15"/>
    <n v="0"/>
    <n v="14"/>
    <n v="1"/>
    <n v="0"/>
    <n v="0"/>
    <n v="0"/>
    <n v="0"/>
    <n v="0"/>
    <n v="0"/>
    <n v="0"/>
    <n v="0"/>
    <n v="2"/>
    <n v="0"/>
    <n v="0"/>
    <n v="0"/>
    <n v="0"/>
    <n v="0"/>
    <n v="0"/>
    <n v="0"/>
    <n v="0"/>
    <n v="0"/>
    <n v="0"/>
    <n v="0"/>
  </r>
  <r>
    <n v="1215"/>
    <d v="2025-01-08T14:05:55"/>
    <d v="2025-01-08T14:14:23"/>
    <s v="bchirwa@lighthouse.org.mw"/>
    <s v="Bethsheba Chirwa"/>
    <x v="1"/>
    <s v="Prototype"/>
    <x v="1"/>
    <s v="COP_23"/>
    <x v="2"/>
    <x v="0"/>
    <s v="Quarter1"/>
    <x v="0"/>
    <x v="1"/>
    <d v="2024-11-01T00:00:00"/>
    <d v="2024-11-30T00:00:00"/>
    <x v="1"/>
    <n v="4"/>
    <n v="0"/>
    <n v="4"/>
    <n v="0"/>
    <n v="0"/>
    <n v="0"/>
    <n v="0"/>
    <n v="0"/>
    <n v="0"/>
    <n v="0"/>
    <n v="0"/>
    <n v="0"/>
    <n v="0"/>
    <n v="0"/>
    <n v="0"/>
    <n v="0"/>
    <n v="0"/>
    <n v="0"/>
    <n v="0"/>
    <n v="0"/>
    <n v="0"/>
    <n v="0"/>
    <n v="0"/>
    <n v="0"/>
  </r>
  <r>
    <n v="1216"/>
    <d v="2025-01-08T14:14:31"/>
    <d v="2025-01-08T14:16:18"/>
    <s v="bchirwa@lighthouse.org.mw"/>
    <s v="Bethsheba Chirwa"/>
    <x v="1"/>
    <s v="Prototype"/>
    <x v="1"/>
    <s v="COP_23"/>
    <x v="2"/>
    <x v="0"/>
    <s v="Quarter1"/>
    <x v="0"/>
    <x v="1"/>
    <d v="2024-11-01T00:00:00"/>
    <d v="2024-11-30T00:00:00"/>
    <x v="3"/>
    <n v="0"/>
    <n v="0"/>
    <n v="0"/>
    <n v="0"/>
    <n v="0"/>
    <n v="0"/>
    <n v="0"/>
    <n v="0"/>
    <n v="0"/>
    <n v="0"/>
    <n v="0"/>
    <n v="0"/>
    <n v="0"/>
    <n v="0"/>
    <n v="0"/>
    <n v="0"/>
    <n v="0"/>
    <n v="0"/>
    <n v="0"/>
    <n v="0"/>
    <n v="0"/>
    <n v="0"/>
    <n v="0"/>
    <n v="0"/>
  </r>
  <r>
    <n v="1217"/>
    <d v="2025-01-08T14:16:20"/>
    <d v="2025-01-08T14:17:39"/>
    <s v="bchirwa@lighthouse.org.mw"/>
    <s v="Bethsheba Chirwa"/>
    <x v="1"/>
    <s v="Prototype"/>
    <x v="1"/>
    <s v="COP_23"/>
    <x v="2"/>
    <x v="0"/>
    <s v="Quarter1"/>
    <x v="0"/>
    <x v="1"/>
    <d v="2024-11-01T00:00:00"/>
    <d v="2024-11-30T00:00:00"/>
    <x v="4"/>
    <n v="0"/>
    <n v="0"/>
    <n v="0"/>
    <n v="0"/>
    <n v="0"/>
    <n v="0"/>
    <n v="0"/>
    <n v="0"/>
    <n v="0"/>
    <n v="0"/>
    <n v="0"/>
    <n v="0"/>
    <n v="0"/>
    <n v="0"/>
    <n v="0"/>
    <n v="0"/>
    <n v="0"/>
    <n v="0"/>
    <n v="0"/>
    <n v="0"/>
    <n v="0"/>
    <n v="0"/>
    <n v="0"/>
    <n v="0"/>
  </r>
  <r>
    <n v="1218"/>
    <d v="2025-01-08T14:17:46"/>
    <d v="2025-01-08T14:20:24"/>
    <s v="bchirwa@lighthouse.org.mw"/>
    <s v="Bethsheba Chirwa"/>
    <x v="1"/>
    <s v="Prototype"/>
    <x v="1"/>
    <s v="COP_23"/>
    <x v="2"/>
    <x v="0"/>
    <s v="Quarter1"/>
    <x v="0"/>
    <x v="1"/>
    <d v="2024-11-01T00:00:00"/>
    <d v="2024-11-30T00:00:00"/>
    <x v="5"/>
    <n v="2"/>
    <n v="0"/>
    <n v="2"/>
    <n v="0"/>
    <n v="0"/>
    <n v="0"/>
    <n v="0"/>
    <n v="0"/>
    <n v="0"/>
    <n v="0"/>
    <n v="0"/>
    <n v="0"/>
    <n v="0"/>
    <n v="0"/>
    <n v="0"/>
    <n v="0"/>
    <n v="0"/>
    <n v="0"/>
    <n v="0"/>
    <n v="0"/>
    <n v="0"/>
    <n v="0"/>
    <n v="0"/>
    <n v="0"/>
  </r>
  <r>
    <n v="1219"/>
    <d v="2025-01-08T14:20:27"/>
    <d v="2025-01-08T14:22:11"/>
    <s v="bchirwa@lighthouse.org.mw"/>
    <s v="Bethsheba Chirwa"/>
    <x v="1"/>
    <s v="Prototype"/>
    <x v="1"/>
    <s v="COP_23"/>
    <x v="2"/>
    <x v="0"/>
    <s v="Quarter1"/>
    <x v="0"/>
    <x v="1"/>
    <d v="2024-11-01T00:00:00"/>
    <d v="2024-11-30T00:00:00"/>
    <x v="0"/>
    <n v="6"/>
    <n v="0"/>
    <n v="6"/>
    <n v="0"/>
    <n v="0"/>
    <n v="0"/>
    <n v="0"/>
    <n v="0"/>
    <n v="0"/>
    <n v="0"/>
    <n v="0"/>
    <n v="0"/>
    <n v="0"/>
    <n v="0"/>
    <n v="0"/>
    <n v="0"/>
    <n v="0"/>
    <n v="0"/>
    <n v="0"/>
    <n v="0"/>
    <n v="0"/>
    <n v="0"/>
    <n v="0"/>
    <n v="0"/>
  </r>
  <r>
    <n v="1220"/>
    <d v="2025-01-08T14:22:17"/>
    <d v="2025-01-08T14:26:24"/>
    <s v="bchirwa@lighthouse.org.mw"/>
    <s v="Bethsheba Chirwa"/>
    <x v="1"/>
    <s v="Prototype"/>
    <x v="1"/>
    <s v="COP_23"/>
    <x v="2"/>
    <x v="0"/>
    <s v="Quarter1"/>
    <x v="0"/>
    <x v="11"/>
    <d v="2024-12-01T00:00:00"/>
    <d v="2024-12-31T00:00:00"/>
    <x v="1"/>
    <n v="4"/>
    <n v="0"/>
    <n v="3"/>
    <n v="1"/>
    <n v="0"/>
    <n v="0"/>
    <n v="0"/>
    <n v="0"/>
    <n v="0"/>
    <n v="0"/>
    <n v="0"/>
    <n v="0"/>
    <n v="0"/>
    <n v="0"/>
    <n v="0"/>
    <n v="0"/>
    <n v="0"/>
    <n v="0"/>
    <n v="0"/>
    <n v="0"/>
    <n v="0"/>
    <n v="0"/>
    <n v="0"/>
    <n v="0"/>
  </r>
  <r>
    <n v="1221"/>
    <d v="2025-01-08T14:26:32"/>
    <d v="2025-01-08T14:29:03"/>
    <s v="bchirwa@lighthouse.org.mw"/>
    <s v="Bethsheba Chirwa"/>
    <x v="1"/>
    <s v="Prototype"/>
    <x v="1"/>
    <s v="COP_23"/>
    <x v="2"/>
    <x v="0"/>
    <s v="Quarter1"/>
    <x v="0"/>
    <x v="11"/>
    <d v="2024-12-01T00:00:00"/>
    <d v="2024-12-31T00:00:00"/>
    <x v="3"/>
    <n v="0"/>
    <n v="0"/>
    <n v="0"/>
    <n v="0"/>
    <n v="0"/>
    <n v="0"/>
    <n v="0"/>
    <n v="0"/>
    <n v="0"/>
    <n v="0"/>
    <n v="0"/>
    <n v="0"/>
    <n v="0"/>
    <n v="0"/>
    <n v="0"/>
    <n v="0"/>
    <n v="0"/>
    <n v="0"/>
    <n v="0"/>
    <n v="0"/>
    <n v="0"/>
    <n v="0"/>
    <n v="0"/>
    <n v="0"/>
  </r>
  <r>
    <n v="1222"/>
    <d v="2025-01-08T14:29:13"/>
    <d v="2025-01-08T14:30:15"/>
    <s v="bchirwa@lighthouse.org.mw"/>
    <s v="Bethsheba Chirwa"/>
    <x v="1"/>
    <s v="Prototype"/>
    <x v="1"/>
    <s v="COP_23"/>
    <x v="2"/>
    <x v="0"/>
    <s v="Quarter1"/>
    <x v="0"/>
    <x v="11"/>
    <d v="2024-12-01T00:00:00"/>
    <d v="2024-12-31T00:00:00"/>
    <x v="4"/>
    <n v="0"/>
    <n v="0"/>
    <n v="0"/>
    <n v="0"/>
    <n v="0"/>
    <n v="0"/>
    <n v="0"/>
    <n v="0"/>
    <n v="0"/>
    <n v="0"/>
    <n v="0"/>
    <n v="0"/>
    <n v="0"/>
    <n v="0"/>
    <n v="0"/>
    <n v="0"/>
    <n v="0"/>
    <n v="0"/>
    <n v="0"/>
    <n v="0"/>
    <n v="0"/>
    <n v="0"/>
    <n v="0"/>
    <n v="0"/>
  </r>
  <r>
    <n v="1223"/>
    <d v="2025-01-08T14:30:20"/>
    <d v="2025-01-08T14:33:56"/>
    <s v="bchirwa@lighthouse.org.mw"/>
    <s v="Bethsheba Chirwa"/>
    <x v="1"/>
    <s v="Prototype"/>
    <x v="1"/>
    <s v="COP_23"/>
    <x v="2"/>
    <x v="0"/>
    <s v="Quarter1"/>
    <x v="0"/>
    <x v="11"/>
    <d v="2024-12-01T00:00:00"/>
    <d v="2024-12-31T00:00:00"/>
    <x v="5"/>
    <n v="1"/>
    <n v="0"/>
    <n v="0"/>
    <n v="0"/>
    <n v="0"/>
    <n v="0"/>
    <n v="0"/>
    <n v="0"/>
    <n v="0"/>
    <n v="0"/>
    <n v="0"/>
    <n v="0"/>
    <n v="0"/>
    <n v="0"/>
    <n v="0"/>
    <n v="0"/>
    <n v="0"/>
    <n v="0"/>
    <n v="0"/>
    <n v="0"/>
    <n v="0"/>
    <n v="0"/>
    <n v="0"/>
    <n v="0"/>
  </r>
  <r>
    <n v="1224"/>
    <d v="2025-01-08T14:34:12"/>
    <d v="2025-01-08T14:40:28"/>
    <s v="bchirwa@lighthouse.org.mw"/>
    <s v="Bethsheba Chirwa"/>
    <x v="1"/>
    <s v="Prototype"/>
    <x v="1"/>
    <s v="COP_23"/>
    <x v="2"/>
    <x v="0"/>
    <s v="Quarter1"/>
    <x v="0"/>
    <x v="11"/>
    <d v="2024-12-01T00:00:00"/>
    <d v="2024-12-31T00:00:00"/>
    <x v="0"/>
    <n v="6"/>
    <n v="0"/>
    <n v="5"/>
    <n v="1"/>
    <n v="0"/>
    <n v="0"/>
    <n v="0"/>
    <n v="0"/>
    <n v="0"/>
    <n v="0"/>
    <n v="0"/>
    <n v="0"/>
    <n v="0"/>
    <n v="0"/>
    <n v="0"/>
    <n v="0"/>
    <n v="0"/>
    <n v="0"/>
    <n v="0"/>
    <n v="0"/>
    <n v="0"/>
    <n v="0"/>
    <n v="0"/>
    <n v="0"/>
  </r>
  <r>
    <n v="1262"/>
    <d v="2025-01-14T11:37:18"/>
    <d v="2025-01-14T11:51:35"/>
    <s v="bchirwa@lighthouse.org.mw"/>
    <s v="Bethsheba Chirwa"/>
    <x v="1"/>
    <s v="Prototype"/>
    <x v="1"/>
    <s v="COP_23"/>
    <x v="2"/>
    <x v="0"/>
    <s v="Quarter1"/>
    <x v="0"/>
    <x v="1"/>
    <d v="2025-11-01T00:00:00"/>
    <d v="2024-11-30T00:00:00"/>
    <x v="2"/>
    <n v="43"/>
    <n v="0"/>
    <n v="0"/>
    <n v="0"/>
    <n v="0"/>
    <n v="0"/>
    <n v="0"/>
    <n v="0"/>
    <n v="0"/>
    <n v="0"/>
    <n v="0"/>
    <n v="0"/>
    <n v="0"/>
    <n v="0"/>
    <n v="0"/>
    <n v="0"/>
    <n v="0"/>
    <n v="0"/>
    <n v="0"/>
    <n v="0"/>
    <n v="0"/>
    <n v="0"/>
    <n v="0"/>
    <n v="0"/>
  </r>
  <r>
    <n v="1264"/>
    <d v="2025-01-14T11:51:40"/>
    <d v="2025-01-14T11:56:16"/>
    <s v="bchirwa@lighthouse.org.mw"/>
    <s v="Bethsheba Chirwa"/>
    <x v="1"/>
    <s v="Prototype"/>
    <x v="1"/>
    <s v="COP_23"/>
    <x v="2"/>
    <x v="0"/>
    <s v="Quarter1"/>
    <x v="0"/>
    <x v="11"/>
    <d v="2024-12-01T00:00:00"/>
    <d v="2024-12-31T00:00:00"/>
    <x v="2"/>
    <n v="38"/>
    <n v="0"/>
    <n v="1"/>
    <n v="0"/>
    <n v="0"/>
    <n v="0"/>
    <n v="1"/>
    <n v="0"/>
    <n v="0"/>
    <n v="0"/>
    <n v="0"/>
    <n v="0"/>
    <n v="0"/>
    <n v="0"/>
    <n v="0"/>
    <n v="0"/>
    <n v="0"/>
    <n v="0"/>
    <n v="0"/>
    <n v="0"/>
    <n v="0"/>
    <n v="0"/>
    <n v="0"/>
    <n v="0"/>
  </r>
  <r>
    <n v="1361"/>
    <d v="2025-03-06T10:04:21"/>
    <d v="2025-03-06T10:14:34"/>
    <s v="bchirwa@lighthouse.org.mw"/>
    <s v="Bethsheba Chirwa"/>
    <x v="1"/>
    <s v="Prototype"/>
    <x v="2"/>
    <s v="COP_23"/>
    <x v="2"/>
    <x v="2"/>
    <s v="Quarter2"/>
    <x v="2"/>
    <x v="4"/>
    <d v="2025-01-01T00:00:00"/>
    <d v="2025-01-31T00:00:00"/>
    <x v="1"/>
    <n v="12"/>
    <n v="0"/>
    <n v="11"/>
    <n v="0"/>
    <n v="0"/>
    <n v="0"/>
    <n v="11"/>
    <n v="0"/>
    <n v="0"/>
    <n v="0"/>
    <n v="0"/>
    <n v="0"/>
    <n v="0"/>
    <n v="0"/>
    <n v="0"/>
    <n v="0"/>
    <n v="0"/>
    <n v="0"/>
    <n v="0"/>
    <n v="0"/>
    <n v="0"/>
    <n v="0"/>
    <n v="0"/>
    <n v="0"/>
  </r>
  <r>
    <n v="1362"/>
    <d v="2025-03-06T10:14:38"/>
    <d v="2025-03-06T10:16:37"/>
    <s v="bchirwa@lighthouse.org.mw"/>
    <s v="Bethsheba Chirwa"/>
    <x v="1"/>
    <s v="Prototype"/>
    <x v="2"/>
    <s v="COP_23"/>
    <x v="2"/>
    <x v="2"/>
    <s v="Quarter2"/>
    <x v="2"/>
    <x v="4"/>
    <d v="2025-01-01T00:00:00"/>
    <d v="2025-01-31T00:00:00"/>
    <x v="3"/>
    <n v="0"/>
    <n v="0"/>
    <n v="0"/>
    <n v="0"/>
    <n v="0"/>
    <n v="0"/>
    <n v="0"/>
    <n v="0"/>
    <n v="0"/>
    <n v="0"/>
    <n v="0"/>
    <n v="0"/>
    <n v="0"/>
    <n v="0"/>
    <n v="0"/>
    <n v="0"/>
    <n v="0"/>
    <n v="0"/>
    <n v="0"/>
    <n v="0"/>
    <n v="0"/>
    <n v="0"/>
    <n v="0"/>
    <n v="0"/>
  </r>
  <r>
    <n v="1363"/>
    <d v="2025-03-06T10:16:41"/>
    <d v="2025-03-06T10:22:26"/>
    <s v="bchirwa@lighthouse.org.mw"/>
    <s v="Bethsheba Chirwa"/>
    <x v="1"/>
    <s v="Prototype"/>
    <x v="2"/>
    <s v="COP_23"/>
    <x v="2"/>
    <x v="2"/>
    <s v="Quarter2"/>
    <x v="2"/>
    <x v="4"/>
    <d v="2025-01-01T00:00:00"/>
    <d v="2025-01-31T00:00:00"/>
    <x v="4"/>
    <n v="0"/>
    <n v="0"/>
    <n v="0"/>
    <n v="0"/>
    <n v="0"/>
    <n v="0"/>
    <n v="0"/>
    <n v="0"/>
    <n v="0"/>
    <n v="0"/>
    <n v="0"/>
    <n v="0"/>
    <n v="0"/>
    <n v="0"/>
    <n v="0"/>
    <n v="0"/>
    <n v="0"/>
    <n v="0"/>
    <n v="0"/>
    <n v="0"/>
    <n v="0"/>
    <n v="0"/>
    <n v="0"/>
    <n v="0"/>
  </r>
  <r>
    <n v="1367"/>
    <d v="2025-03-06T10:22:30"/>
    <d v="2025-03-06T10:38:42"/>
    <s v="bchirwa@lighthouse.org.mw"/>
    <s v="Bethsheba Chirwa"/>
    <x v="1"/>
    <s v="Prototype"/>
    <x v="2"/>
    <s v="COP_23"/>
    <x v="2"/>
    <x v="2"/>
    <s v="Quarter2"/>
    <x v="2"/>
    <x v="4"/>
    <d v="2025-01-01T00:00:00"/>
    <d v="2025-01-31T00:00:00"/>
    <x v="5"/>
    <n v="4"/>
    <n v="0"/>
    <n v="1"/>
    <n v="0"/>
    <n v="0"/>
    <n v="0"/>
    <n v="1"/>
    <n v="0"/>
    <n v="0"/>
    <n v="0"/>
    <n v="0"/>
    <n v="0"/>
    <n v="1"/>
    <n v="0"/>
    <n v="0"/>
    <n v="0"/>
    <n v="0"/>
    <n v="0"/>
    <n v="0"/>
    <n v="0"/>
    <n v="0"/>
    <n v="0"/>
    <n v="0"/>
    <n v="0"/>
  </r>
  <r>
    <n v="1371"/>
    <d v="2025-03-06T10:40:47"/>
    <d v="2025-03-06T10:57:01"/>
    <s v="bchirwa@lighthouse.org.mw"/>
    <s v="Bethsheba Chirwa"/>
    <x v="1"/>
    <s v="Prototype"/>
    <x v="2"/>
    <s v="COP_23"/>
    <x v="2"/>
    <x v="2"/>
    <s v="Quarter2"/>
    <x v="2"/>
    <x v="4"/>
    <d v="2025-01-01T00:00:00"/>
    <d v="2025-01-31T00:00:00"/>
    <x v="2"/>
    <n v="30"/>
    <n v="0"/>
    <n v="1"/>
    <n v="0"/>
    <n v="0"/>
    <n v="0"/>
    <n v="0"/>
    <n v="0"/>
    <n v="0"/>
    <n v="0"/>
    <n v="0"/>
    <n v="0"/>
    <n v="0"/>
    <n v="0"/>
    <n v="0"/>
    <n v="0"/>
    <n v="0"/>
    <n v="0"/>
    <n v="0"/>
    <n v="0"/>
    <n v="0"/>
    <n v="0"/>
    <n v="0"/>
    <n v="0"/>
  </r>
  <r>
    <n v="1372"/>
    <d v="2025-03-06T10:57:05"/>
    <d v="2025-03-06T11:04:05"/>
    <s v="bchirwa@lighthouse.org.mw"/>
    <s v="Bethsheba Chirwa"/>
    <x v="1"/>
    <s v="Prototype"/>
    <x v="2"/>
    <s v="COP_23"/>
    <x v="2"/>
    <x v="2"/>
    <s v="Quarter2"/>
    <x v="2"/>
    <x v="5"/>
    <d v="2025-01-01T00:00:00"/>
    <d v="2025-01-31T00:00:00"/>
    <x v="0"/>
    <n v="13"/>
    <n v="0"/>
    <n v="13"/>
    <n v="0"/>
    <n v="0"/>
    <n v="0"/>
    <n v="1"/>
    <n v="0"/>
    <n v="0"/>
    <n v="0"/>
    <n v="0"/>
    <n v="0"/>
    <n v="1"/>
    <n v="0"/>
    <n v="0"/>
    <n v="0"/>
    <n v="0"/>
    <n v="0"/>
    <n v="0"/>
    <n v="0"/>
    <n v="0"/>
    <n v="0"/>
    <n v="0"/>
    <n v="0"/>
  </r>
  <r>
    <n v="1373"/>
    <d v="2025-03-06T11:04:37"/>
    <d v="2025-03-06T11:15:22"/>
    <s v="bchirwa@lighthouse.org.mw"/>
    <s v="Bethsheba Chirwa"/>
    <x v="1"/>
    <s v="Prototype"/>
    <x v="2"/>
    <s v="COP_23"/>
    <x v="2"/>
    <x v="2"/>
    <s v="Quarter2"/>
    <x v="2"/>
    <x v="5"/>
    <d v="2025-02-01T00:00:00"/>
    <d v="2025-02-28T00:00:00"/>
    <x v="1"/>
    <n v="4"/>
    <n v="0"/>
    <n v="4"/>
    <n v="0"/>
    <n v="0"/>
    <n v="0"/>
    <n v="0"/>
    <n v="0"/>
    <n v="0"/>
    <n v="0"/>
    <n v="0"/>
    <n v="0"/>
    <n v="0"/>
    <n v="0"/>
    <n v="0"/>
    <n v="0"/>
    <n v="0"/>
    <n v="0"/>
    <n v="0"/>
    <n v="0"/>
    <n v="0"/>
    <n v="0"/>
    <n v="0"/>
    <n v="0"/>
  </r>
  <r>
    <n v="1374"/>
    <d v="2025-03-06T11:15:35"/>
    <d v="2025-03-06T11:17:15"/>
    <s v="bchirwa@lighthouse.org.mw"/>
    <s v="Bethsheba Chirwa"/>
    <x v="1"/>
    <s v="Prototype"/>
    <x v="2"/>
    <s v="COP_23"/>
    <x v="2"/>
    <x v="2"/>
    <s v="Quarter2"/>
    <x v="2"/>
    <x v="5"/>
    <d v="2025-02-01T00:00:00"/>
    <d v="2025-02-28T00:00:00"/>
    <x v="3"/>
    <n v="0"/>
    <n v="0"/>
    <n v="0"/>
    <n v="0"/>
    <n v="0"/>
    <n v="0"/>
    <n v="0"/>
    <n v="0"/>
    <n v="0"/>
    <n v="0"/>
    <n v="0"/>
    <n v="0"/>
    <n v="0"/>
    <n v="0"/>
    <n v="0"/>
    <n v="0"/>
    <n v="0"/>
    <n v="0"/>
    <n v="0"/>
    <n v="0"/>
    <n v="0"/>
    <n v="0"/>
    <n v="0"/>
    <n v="0"/>
  </r>
  <r>
    <n v="1375"/>
    <d v="2025-03-06T11:17:21"/>
    <d v="2025-03-06T11:19:13"/>
    <s v="bchirwa@lighthouse.org.mw"/>
    <s v="Bethsheba Chirwa"/>
    <x v="1"/>
    <s v="Prototype"/>
    <x v="2"/>
    <s v="COP_23"/>
    <x v="2"/>
    <x v="2"/>
    <s v="Quarter2"/>
    <x v="2"/>
    <x v="5"/>
    <d v="2025-02-01T00:00:00"/>
    <d v="2025-02-28T00:00:00"/>
    <x v="4"/>
    <n v="0"/>
    <n v="0"/>
    <n v="0"/>
    <n v="0"/>
    <n v="0"/>
    <n v="0"/>
    <n v="0"/>
    <n v="0"/>
    <n v="0"/>
    <n v="0"/>
    <n v="0"/>
    <n v="0"/>
    <n v="0"/>
    <n v="0"/>
    <n v="0"/>
    <n v="0"/>
    <n v="0"/>
    <n v="0"/>
    <n v="0"/>
    <n v="0"/>
    <n v="0"/>
    <n v="0"/>
    <n v="0"/>
    <n v="0"/>
  </r>
  <r>
    <n v="1376"/>
    <d v="2025-03-06T11:19:29"/>
    <d v="2025-03-06T11:21:13"/>
    <s v="bchirwa@lighthouse.org.mw"/>
    <s v="Bethsheba Chirwa"/>
    <x v="1"/>
    <s v="Prototype"/>
    <x v="2"/>
    <s v="COP_23"/>
    <x v="2"/>
    <x v="2"/>
    <s v="Quarter2"/>
    <x v="2"/>
    <x v="5"/>
    <d v="2025-02-01T00:00:00"/>
    <d v="2025-02-28T00:00:00"/>
    <x v="5"/>
    <n v="0"/>
    <n v="0"/>
    <n v="0"/>
    <n v="0"/>
    <n v="0"/>
    <n v="0"/>
    <n v="0"/>
    <n v="0"/>
    <n v="0"/>
    <n v="0"/>
    <n v="0"/>
    <n v="0"/>
    <n v="0"/>
    <n v="0"/>
    <n v="0"/>
    <n v="0"/>
    <n v="0"/>
    <n v="0"/>
    <n v="0"/>
    <n v="0"/>
    <n v="0"/>
    <n v="0"/>
    <n v="0"/>
    <n v="0"/>
  </r>
  <r>
    <n v="1377"/>
    <d v="2025-03-06T11:21:17"/>
    <d v="2025-03-06T11:27:15"/>
    <s v="bchirwa@lighthouse.org.mw"/>
    <s v="Bethsheba Chirwa"/>
    <x v="1"/>
    <s v="Prototype"/>
    <x v="2"/>
    <s v="COP_23"/>
    <x v="2"/>
    <x v="2"/>
    <s v="Quarter2"/>
    <x v="2"/>
    <x v="5"/>
    <d v="2025-02-01T00:00:00"/>
    <d v="2025-02-28T00:00:00"/>
    <x v="2"/>
    <n v="26"/>
    <n v="0"/>
    <n v="1"/>
    <n v="0"/>
    <n v="0"/>
    <n v="0"/>
    <n v="1"/>
    <n v="0"/>
    <n v="0"/>
    <n v="0"/>
    <n v="0"/>
    <n v="0"/>
    <n v="0"/>
    <n v="0"/>
    <n v="0"/>
    <n v="0"/>
    <n v="0"/>
    <n v="0"/>
    <n v="0"/>
    <n v="0"/>
    <n v="0"/>
    <n v="0"/>
    <n v="0"/>
    <n v="0"/>
  </r>
  <r>
    <n v="1378"/>
    <d v="2025-03-06T11:27:26"/>
    <d v="2025-03-06T11:28:56"/>
    <s v="bchirwa@lighthouse.org.mw"/>
    <s v="Bethsheba Chirwa"/>
    <x v="1"/>
    <s v="Prototype"/>
    <x v="2"/>
    <s v="COP_23"/>
    <x v="2"/>
    <x v="2"/>
    <s v="Quarter2"/>
    <x v="2"/>
    <x v="5"/>
    <d v="2025-02-01T00:00:00"/>
    <d v="2025-02-28T00:00:00"/>
    <x v="0"/>
    <n v="5"/>
    <n v="0"/>
    <n v="5"/>
    <n v="0"/>
    <n v="0"/>
    <n v="0"/>
    <n v="5"/>
    <n v="0"/>
    <n v="0"/>
    <n v="0"/>
    <n v="0"/>
    <n v="0"/>
    <n v="0"/>
    <n v="0"/>
    <n v="0"/>
    <n v="0"/>
    <n v="0"/>
    <n v="0"/>
    <n v="0"/>
    <n v="0"/>
    <n v="0"/>
    <n v="0"/>
    <n v="0"/>
    <n v="0"/>
  </r>
  <r>
    <n v="1488"/>
    <d v="2025-04-03T10:17:24"/>
    <d v="2025-04-03T10:24:44"/>
    <s v="bchirwa@lighthouse.org.mw"/>
    <s v="Bethsheba Chirwa"/>
    <x v="1"/>
    <s v="Prototype"/>
    <x v="2"/>
    <s v="COP_23"/>
    <x v="2"/>
    <x v="2"/>
    <s v="Quarter2"/>
    <x v="2"/>
    <x v="3"/>
    <d v="2025-03-01T00:00:00"/>
    <d v="2025-03-31T00:00:00"/>
    <x v="1"/>
    <n v="6"/>
    <n v="0"/>
    <n v="5"/>
    <n v="1"/>
    <n v="0"/>
    <n v="0"/>
    <n v="6"/>
    <n v="1"/>
    <n v="1"/>
    <n v="0"/>
    <n v="0"/>
    <n v="0"/>
    <n v="1"/>
    <n v="0"/>
    <n v="0"/>
    <n v="0"/>
    <n v="0"/>
    <n v="0"/>
    <n v="0"/>
    <n v="0"/>
    <n v="0"/>
    <n v="0"/>
    <n v="0"/>
    <n v="0"/>
  </r>
  <r>
    <n v="1489"/>
    <d v="2025-04-03T10:24:54"/>
    <d v="2025-04-03T10:34:39"/>
    <s v="bchirwa@lighthouse.org.mw"/>
    <s v="Bethsheba Chirwa"/>
    <x v="1"/>
    <s v="Prototype"/>
    <x v="2"/>
    <s v="COP_23"/>
    <x v="2"/>
    <x v="2"/>
    <s v="Quarter2"/>
    <x v="2"/>
    <x v="3"/>
    <d v="2025-03-01T00:00:00"/>
    <d v="2025-03-31T00:00:00"/>
    <x v="3"/>
    <n v="0"/>
    <n v="0"/>
    <n v="0"/>
    <n v="0"/>
    <n v="0"/>
    <n v="0"/>
    <n v="0"/>
    <n v="0"/>
    <n v="0"/>
    <n v="0"/>
    <n v="0"/>
    <n v="0"/>
    <n v="0"/>
    <n v="0"/>
    <n v="0"/>
    <n v="0"/>
    <n v="0"/>
    <n v="0"/>
    <n v="0"/>
    <n v="0"/>
    <n v="0"/>
    <n v="0"/>
    <n v="0"/>
    <n v="0"/>
  </r>
  <r>
    <n v="1490"/>
    <d v="2025-04-03T10:34:54"/>
    <d v="2025-04-03T10:37:12"/>
    <s v="bchirwa@lighthouse.org.mw"/>
    <s v="Bethsheba Chirwa"/>
    <x v="1"/>
    <s v="Prototype"/>
    <x v="2"/>
    <s v="COP_23"/>
    <x v="2"/>
    <x v="2"/>
    <s v="Quarter2"/>
    <x v="2"/>
    <x v="3"/>
    <d v="2025-03-01T00:00:00"/>
    <d v="2025-03-31T00:00:00"/>
    <x v="4"/>
    <n v="0"/>
    <n v="0"/>
    <n v="0"/>
    <n v="0"/>
    <n v="0"/>
    <n v="0"/>
    <n v="0"/>
    <n v="0"/>
    <n v="0"/>
    <n v="0"/>
    <n v="0"/>
    <n v="0"/>
    <n v="0"/>
    <n v="0"/>
    <n v="0"/>
    <n v="0"/>
    <n v="0"/>
    <n v="0"/>
    <n v="0"/>
    <n v="0"/>
    <n v="0"/>
    <n v="0"/>
    <n v="0"/>
    <n v="0"/>
  </r>
  <r>
    <n v="1491"/>
    <d v="2025-04-03T10:37:56"/>
    <d v="2025-04-03T10:45:14"/>
    <s v="bchirwa@lighthouse.org.mw"/>
    <s v="Bethsheba Chirwa"/>
    <x v="1"/>
    <s v="Prototype"/>
    <x v="2"/>
    <s v="COP_23"/>
    <x v="2"/>
    <x v="2"/>
    <s v="Quarter2"/>
    <x v="2"/>
    <x v="3"/>
    <d v="2025-03-01T00:00:00"/>
    <d v="2025-03-31T00:00:00"/>
    <x v="5"/>
    <n v="6"/>
    <n v="0"/>
    <n v="0"/>
    <n v="0"/>
    <n v="0"/>
    <n v="0"/>
    <n v="0"/>
    <n v="0"/>
    <n v="0"/>
    <n v="0"/>
    <n v="0"/>
    <n v="0"/>
    <n v="0"/>
    <n v="0"/>
    <n v="0"/>
    <n v="0"/>
    <n v="0"/>
    <n v="0"/>
    <n v="0"/>
    <n v="0"/>
    <n v="0"/>
    <n v="0"/>
    <n v="0"/>
    <n v="0"/>
  </r>
  <r>
    <n v="1492"/>
    <d v="2025-04-03T10:47:45"/>
    <d v="2025-04-03T10:57:12"/>
    <s v="bchirwa@lighthouse.org.mw"/>
    <s v="Bethsheba Chirwa"/>
    <x v="1"/>
    <s v="Prototype"/>
    <x v="2"/>
    <s v="COP_23"/>
    <x v="2"/>
    <x v="2"/>
    <s v="Quarter2"/>
    <x v="2"/>
    <x v="3"/>
    <d v="2025-03-01T00:00:00"/>
    <d v="2025-03-31T00:00:00"/>
    <x v="2"/>
    <n v="17"/>
    <n v="0"/>
    <n v="0"/>
    <n v="0"/>
    <n v="0"/>
    <n v="0"/>
    <n v="0"/>
    <n v="0"/>
    <n v="0"/>
    <n v="0"/>
    <n v="0"/>
    <n v="0"/>
    <n v="0"/>
    <n v="0"/>
    <n v="0"/>
    <n v="0"/>
    <n v="0"/>
    <n v="0"/>
    <n v="0"/>
    <n v="0"/>
    <n v="0"/>
    <n v="0"/>
    <n v="0"/>
    <n v="0"/>
  </r>
  <r>
    <n v="1503"/>
    <d v="2025-04-04T10:36:27"/>
    <d v="2025-04-04T10:45:08"/>
    <s v="bchirwa@lighthouse.org.mw"/>
    <s v="Bethsheba Chirwa"/>
    <x v="1"/>
    <s v="Prototype"/>
    <x v="2"/>
    <s v="COP_23"/>
    <x v="2"/>
    <x v="2"/>
    <s v="Quarter2"/>
    <x v="2"/>
    <x v="3"/>
    <d v="2025-03-01T00:00:00"/>
    <d v="2025-03-31T00:00:00"/>
    <x v="0"/>
    <n v="23"/>
    <n v="0"/>
    <n v="5"/>
    <n v="1"/>
    <n v="0"/>
    <n v="0"/>
    <n v="0"/>
    <n v="1"/>
    <n v="1"/>
    <n v="0"/>
    <n v="0"/>
    <n v="0"/>
    <n v="1"/>
    <n v="0"/>
    <n v="0"/>
    <n v="0"/>
    <n v="0"/>
    <n v="0"/>
    <n v="0"/>
    <n v="0"/>
    <n v="0"/>
    <n v="0"/>
    <n v="0"/>
    <n v="0"/>
  </r>
  <r>
    <n v="1737"/>
    <d v="2025-07-08T12:22:55"/>
    <d v="2025-07-08T12:49:12"/>
    <s v="bchirwa@lighthouse.org.mw"/>
    <s v="Bethsheba Chirwa"/>
    <x v="1"/>
    <s v="Prototype"/>
    <x v="2"/>
    <s v="COP_23"/>
    <x v="3"/>
    <x v="1"/>
    <s v="Quarter3"/>
    <x v="4"/>
    <x v="7"/>
    <d v="2025-04-01T00:00:00"/>
    <d v="2025-04-30T00:00:00"/>
    <x v="1"/>
    <n v="18"/>
    <n v="0"/>
    <n v="4"/>
    <n v="14"/>
    <n v="0"/>
    <n v="0"/>
    <n v="18"/>
    <n v="3"/>
    <n v="0"/>
    <n v="0"/>
    <n v="0"/>
    <n v="0"/>
    <n v="0"/>
    <n v="0"/>
    <n v="0"/>
    <n v="0"/>
    <n v="0"/>
    <n v="0"/>
    <n v="0"/>
    <n v="0"/>
    <n v="0"/>
    <n v="0"/>
    <n v="0"/>
    <n v="0"/>
  </r>
  <r>
    <n v="1738"/>
    <d v="2025-07-08T12:49:45"/>
    <d v="2025-07-08T12:58:43"/>
    <s v="bchirwa@lighthouse.org.mw"/>
    <s v="Bethsheba Chirwa"/>
    <x v="1"/>
    <s v="Prototype"/>
    <x v="2"/>
    <s v="COP_23"/>
    <x v="3"/>
    <x v="1"/>
    <s v="Quarter3"/>
    <x v="4"/>
    <x v="7"/>
    <d v="2025-04-01T00:00:00"/>
    <d v="2025-04-30T00:00:00"/>
    <x v="3"/>
    <n v="1"/>
    <n v="0"/>
    <n v="1"/>
    <n v="0"/>
    <n v="0"/>
    <n v="0"/>
    <n v="0"/>
    <n v="0"/>
    <n v="0"/>
    <n v="0"/>
    <n v="0"/>
    <n v="0"/>
    <n v="0"/>
    <n v="0"/>
    <n v="0"/>
    <n v="0"/>
    <n v="0"/>
    <n v="0"/>
    <n v="0"/>
    <n v="0"/>
    <n v="0"/>
    <n v="0"/>
    <n v="0"/>
    <n v="0"/>
  </r>
  <r>
    <n v="1739"/>
    <d v="2025-07-08T12:58:47"/>
    <d v="2025-07-08T13:00:56"/>
    <s v="bchirwa@lighthouse.org.mw"/>
    <s v="Bethsheba Chirwa"/>
    <x v="1"/>
    <s v="Prototype"/>
    <x v="2"/>
    <s v="COP_23"/>
    <x v="3"/>
    <x v="1"/>
    <s v="Quarter3"/>
    <x v="4"/>
    <x v="7"/>
    <d v="2025-04-01T00:00:00"/>
    <d v="2025-04-30T00:00:00"/>
    <x v="4"/>
    <n v="0"/>
    <n v="0"/>
    <n v="0"/>
    <n v="0"/>
    <n v="0"/>
    <n v="0"/>
    <n v="0"/>
    <n v="0"/>
    <n v="0"/>
    <n v="0"/>
    <n v="0"/>
    <n v="0"/>
    <n v="0"/>
    <n v="0"/>
    <n v="0"/>
    <n v="0"/>
    <n v="0"/>
    <n v="0"/>
    <n v="0"/>
    <n v="0"/>
    <n v="0"/>
    <n v="0"/>
    <n v="0"/>
    <n v="0"/>
  </r>
  <r>
    <n v="1740"/>
    <d v="2025-07-09T09:40:36"/>
    <d v="2025-07-09T09:52:50"/>
    <s v="bchirwa@lighthouse.org.mw"/>
    <s v="Bethsheba Chirwa"/>
    <x v="1"/>
    <s v="Prototype"/>
    <x v="2"/>
    <s v="COP_23"/>
    <x v="3"/>
    <x v="1"/>
    <s v="Quarter3"/>
    <x v="4"/>
    <x v="7"/>
    <d v="2025-04-01T00:00:00"/>
    <d v="2025-04-30T00:00:00"/>
    <x v="5"/>
    <n v="1"/>
    <n v="0"/>
    <n v="1"/>
    <n v="0"/>
    <n v="0"/>
    <n v="0"/>
    <n v="1"/>
    <n v="0"/>
    <n v="0"/>
    <n v="0"/>
    <n v="0"/>
    <n v="0"/>
    <n v="0"/>
    <n v="0"/>
    <n v="0"/>
    <n v="0"/>
    <n v="0"/>
    <n v="0"/>
    <n v="0"/>
    <n v="0"/>
    <n v="0"/>
    <n v="0"/>
    <n v="0"/>
    <n v="0"/>
  </r>
  <r>
    <n v="1742"/>
    <d v="2025-07-09T09:54:13"/>
    <d v="2025-07-09T10:15:01"/>
    <s v="bchirwa@lighthouse.org.mw"/>
    <s v="Bethsheba Chirwa"/>
    <x v="1"/>
    <s v="Prototype"/>
    <x v="2"/>
    <s v="COP_23"/>
    <x v="3"/>
    <x v="1"/>
    <s v="Quarter3"/>
    <x v="4"/>
    <x v="7"/>
    <d v="2025-04-01T00:00:00"/>
    <d v="2025-04-30T00:00:00"/>
    <x v="2"/>
    <n v="18"/>
    <n v="0"/>
    <n v="1"/>
    <n v="0"/>
    <n v="0"/>
    <n v="0"/>
    <n v="1"/>
    <n v="0"/>
    <n v="0"/>
    <n v="0"/>
    <n v="0"/>
    <n v="0"/>
    <n v="0"/>
    <n v="0"/>
    <n v="0"/>
    <n v="0"/>
    <n v="0"/>
    <n v="0"/>
    <n v="0"/>
    <n v="0"/>
    <n v="0"/>
    <n v="0"/>
    <n v="0"/>
    <n v="0"/>
  </r>
  <r>
    <n v="1743"/>
    <d v="2025-07-09T10:15:14"/>
    <d v="2025-07-09T10:20:19"/>
    <s v="bchirwa@lighthouse.org.mw"/>
    <s v="Bethsheba Chirwa"/>
    <x v="1"/>
    <s v="Prototype"/>
    <x v="2"/>
    <s v="COP_23"/>
    <x v="3"/>
    <x v="1"/>
    <s v="Quarter3"/>
    <x v="4"/>
    <x v="7"/>
    <d v="2025-04-01T00:00:00"/>
    <d v="2025-04-30T00:00:00"/>
    <x v="0"/>
    <n v="18"/>
    <n v="3"/>
    <n v="15"/>
    <n v="3"/>
    <n v="0"/>
    <n v="0"/>
    <n v="0"/>
    <n v="0"/>
    <n v="0"/>
    <n v="0"/>
    <n v="0"/>
    <n v="0"/>
    <n v="0"/>
    <n v="0"/>
    <n v="0"/>
    <n v="0"/>
    <n v="0"/>
    <n v="0"/>
    <n v="0"/>
    <n v="0"/>
    <n v="0"/>
    <n v="0"/>
    <n v="0"/>
    <n v="0"/>
  </r>
  <r>
    <n v="1746"/>
    <d v="2025-07-09T10:20:48"/>
    <d v="2025-07-09T10:24:29"/>
    <s v="bchirwa@lighthouse.org.mw"/>
    <s v="Bethsheba Chirwa"/>
    <x v="1"/>
    <s v="Prototype"/>
    <x v="2"/>
    <s v="COP_24"/>
    <x v="3"/>
    <x v="1"/>
    <s v="Quarter3"/>
    <x v="4"/>
    <x v="7"/>
    <d v="2025-04-01T00:00:00"/>
    <d v="2025-04-30T00:00:00"/>
    <x v="0"/>
    <n v="18"/>
    <n v="0"/>
    <n v="15"/>
    <n v="3"/>
    <n v="0"/>
    <n v="0"/>
    <n v="17"/>
    <n v="3"/>
    <n v="0"/>
    <n v="0"/>
    <n v="0"/>
    <n v="0"/>
    <n v="0"/>
    <n v="0"/>
    <n v="0"/>
    <n v="0"/>
    <n v="0"/>
    <n v="0"/>
    <n v="0"/>
    <n v="0"/>
    <n v="0"/>
    <n v="0"/>
    <n v="0"/>
    <n v="0"/>
  </r>
  <r>
    <n v="1751"/>
    <d v="2025-07-09T10:25:37"/>
    <d v="2025-07-09T10:39:44"/>
    <s v="bchirwa@lighthouse.org.mw"/>
    <s v="Bethsheba Chirwa"/>
    <x v="1"/>
    <s v="Prototype"/>
    <x v="2"/>
    <s v="COP_24"/>
    <x v="3"/>
    <x v="1"/>
    <s v="Quarter3"/>
    <x v="4"/>
    <x v="6"/>
    <d v="2025-05-01T00:00:00"/>
    <d v="2025-05-31T00:00:00"/>
    <x v="1"/>
    <n v="12"/>
    <n v="0"/>
    <n v="7"/>
    <n v="0"/>
    <n v="1"/>
    <n v="0"/>
    <n v="7"/>
    <n v="0"/>
    <n v="1"/>
    <n v="0"/>
    <n v="0"/>
    <n v="0"/>
    <n v="1"/>
    <n v="1"/>
    <n v="0"/>
    <n v="0"/>
    <n v="0"/>
    <n v="0"/>
    <n v="0"/>
    <n v="0"/>
    <n v="1"/>
    <n v="0"/>
    <n v="0"/>
    <n v="0"/>
  </r>
  <r>
    <n v="1752"/>
    <d v="2025-07-09T10:42:53"/>
    <d v="2025-07-09T10:43:06"/>
    <s v="bchirwa@lighthouse.org.mw"/>
    <s v="Bethsheba Chirwa"/>
    <x v="1"/>
    <s v="Prototype"/>
    <x v="1"/>
    <s v="COP_24"/>
    <x v="3"/>
    <x v="1"/>
    <s v="Quarter3"/>
    <x v="4"/>
    <x v="6"/>
    <d v="2025-05-01T00:00:00"/>
    <d v="2025-05-31T00:00:00"/>
    <x v="3"/>
    <n v="0"/>
    <n v="0"/>
    <n v="0"/>
    <n v="0"/>
    <n v="0"/>
    <n v="0"/>
    <n v="0"/>
    <n v="0"/>
    <n v="0"/>
    <n v="0"/>
    <n v="0"/>
    <n v="0"/>
    <n v="0"/>
    <n v="0"/>
    <n v="0"/>
    <n v="0"/>
    <n v="0"/>
    <n v="0"/>
    <n v="0"/>
    <n v="0"/>
    <n v="0"/>
    <n v="0"/>
    <n v="0"/>
    <n v="0"/>
  </r>
  <r>
    <n v="1753"/>
    <d v="2025-07-09T10:43:09"/>
    <d v="2025-07-09T10:49:32"/>
    <s v="bchirwa@lighthouse.org.mw"/>
    <s v="Bethsheba Chirwa"/>
    <x v="1"/>
    <s v="Prototype"/>
    <x v="2"/>
    <s v="COP_24"/>
    <x v="3"/>
    <x v="1"/>
    <s v="Quarter3"/>
    <x v="4"/>
    <x v="6"/>
    <d v="2025-05-01T00:00:00"/>
    <d v="2025-05-31T00:00:00"/>
    <x v="4"/>
    <n v="0"/>
    <n v="0"/>
    <n v="0"/>
    <n v="0"/>
    <n v="0"/>
    <n v="0"/>
    <n v="0"/>
    <n v="0"/>
    <n v="0"/>
    <n v="0"/>
    <n v="0"/>
    <n v="0"/>
    <n v="0"/>
    <n v="0"/>
    <n v="0"/>
    <n v="0"/>
    <n v="0"/>
    <n v="0"/>
    <n v="0"/>
    <n v="0"/>
    <n v="0"/>
    <n v="0"/>
    <n v="0"/>
    <n v="0"/>
  </r>
  <r>
    <n v="1754"/>
    <d v="2025-07-09T10:49:38"/>
    <d v="2025-07-09T10:53:58"/>
    <s v="bchirwa@lighthouse.org.mw"/>
    <s v="Bethsheba Chirwa"/>
    <x v="1"/>
    <s v="Prototype"/>
    <x v="2"/>
    <s v="COP_24"/>
    <x v="3"/>
    <x v="1"/>
    <s v="Quarter3"/>
    <x v="4"/>
    <x v="6"/>
    <d v="2025-05-01T00:00:00"/>
    <d v="2025-05-31T00:00:00"/>
    <x v="5"/>
    <n v="5"/>
    <n v="0"/>
    <n v="0"/>
    <n v="0"/>
    <n v="0"/>
    <n v="0"/>
    <n v="0"/>
    <n v="0"/>
    <n v="0"/>
    <n v="0"/>
    <n v="0"/>
    <n v="0"/>
    <n v="0"/>
    <n v="0"/>
    <n v="0"/>
    <n v="0"/>
    <n v="0"/>
    <n v="0"/>
    <n v="0"/>
    <n v="0"/>
    <n v="0"/>
    <n v="0"/>
    <n v="0"/>
    <n v="0"/>
  </r>
  <r>
    <n v="1755"/>
    <d v="2025-07-09T10:54:01"/>
    <d v="2025-07-09T10:55:27"/>
    <s v="bchirwa@lighthouse.org.mw"/>
    <s v="Bethsheba Chirwa"/>
    <x v="1"/>
    <s v="Prototype"/>
    <x v="2"/>
    <s v="COP_24"/>
    <x v="3"/>
    <x v="1"/>
    <s v="Quarter3"/>
    <x v="4"/>
    <x v="6"/>
    <d v="2025-05-01T00:00:00"/>
    <d v="2025-05-31T00:00:00"/>
    <x v="2"/>
    <n v="15"/>
    <n v="0"/>
    <n v="0"/>
    <n v="0"/>
    <n v="0"/>
    <n v="0"/>
    <n v="0"/>
    <n v="0"/>
    <n v="0"/>
    <n v="0"/>
    <n v="0"/>
    <n v="0"/>
    <n v="0"/>
    <n v="0"/>
    <n v="0"/>
    <n v="0"/>
    <n v="0"/>
    <n v="0"/>
    <n v="0"/>
    <n v="0"/>
    <n v="0"/>
    <n v="0"/>
    <n v="0"/>
    <n v="0"/>
  </r>
  <r>
    <n v="1756"/>
    <d v="2025-07-09T10:55:30"/>
    <d v="2025-07-09T11:03:28"/>
    <s v="bchirwa@lighthouse.org.mw"/>
    <s v="Bethsheba Chirwa"/>
    <x v="1"/>
    <s v="Prototype"/>
    <x v="2"/>
    <s v="COP_24"/>
    <x v="3"/>
    <x v="1"/>
    <s v="Quarter3"/>
    <x v="4"/>
    <x v="6"/>
    <d v="2025-05-01T00:00:00"/>
    <d v="2025-05-31T00:00:00"/>
    <x v="0"/>
    <n v="8"/>
    <n v="0"/>
    <n v="7"/>
    <n v="0"/>
    <n v="1"/>
    <n v="0"/>
    <n v="0"/>
    <n v="7"/>
    <n v="1"/>
    <n v="0"/>
    <n v="0"/>
    <n v="0"/>
    <n v="1"/>
    <n v="1"/>
    <n v="0"/>
    <n v="0"/>
    <n v="0"/>
    <n v="0"/>
    <n v="0"/>
    <n v="0"/>
    <n v="1"/>
    <n v="0"/>
    <n v="0"/>
    <n v="0"/>
  </r>
  <r>
    <n v="1757"/>
    <d v="2025-07-09T11:06:57"/>
    <d v="2025-07-09T11:23:49"/>
    <s v="bchirwa@lighthouse.org.mw"/>
    <s v="Bethsheba Chirwa"/>
    <x v="1"/>
    <s v="Prototype"/>
    <x v="2"/>
    <s v="COP_24"/>
    <x v="3"/>
    <x v="1"/>
    <s v="Quarter3"/>
    <x v="4"/>
    <x v="8"/>
    <d v="2025-06-01T00:00:00"/>
    <d v="2025-06-30T00:00:00"/>
    <x v="1"/>
    <n v="16"/>
    <n v="0"/>
    <n v="14"/>
    <n v="1"/>
    <n v="0"/>
    <n v="0"/>
    <n v="15"/>
    <n v="0"/>
    <n v="0"/>
    <n v="0"/>
    <n v="0"/>
    <n v="0"/>
    <n v="0"/>
    <n v="0"/>
    <n v="0"/>
    <n v="0"/>
    <n v="0"/>
    <n v="0"/>
    <n v="0"/>
    <n v="0"/>
    <n v="0"/>
    <n v="0"/>
    <n v="0"/>
    <n v="0"/>
  </r>
  <r>
    <n v="1759"/>
    <d v="2025-07-09T11:23:52"/>
    <d v="2025-07-09T11:26:27"/>
    <s v="bchirwa@lighthouse.org.mw"/>
    <s v="Bethsheba Chirwa"/>
    <x v="1"/>
    <s v="Prototype"/>
    <x v="2"/>
    <s v="COP_24"/>
    <x v="3"/>
    <x v="1"/>
    <s v="Quarter3"/>
    <x v="4"/>
    <x v="8"/>
    <d v="2025-06-01T00:00:00"/>
    <d v="2025-06-30T00:00:00"/>
    <x v="3"/>
    <n v="0"/>
    <n v="0"/>
    <n v="0"/>
    <n v="0"/>
    <n v="0"/>
    <n v="0"/>
    <n v="0"/>
    <n v="0"/>
    <n v="0"/>
    <n v="0"/>
    <n v="0"/>
    <n v="0"/>
    <n v="0"/>
    <n v="0"/>
    <n v="0"/>
    <n v="0"/>
    <n v="0"/>
    <n v="0"/>
    <n v="0"/>
    <n v="0"/>
    <n v="0"/>
    <n v="0"/>
    <n v="0"/>
    <n v="0"/>
  </r>
  <r>
    <n v="1760"/>
    <d v="2025-07-09T11:26:33"/>
    <d v="2025-07-09T11:27:48"/>
    <s v="bchirwa@lighthouse.org.mw"/>
    <s v="Bethsheba Chirwa"/>
    <x v="1"/>
    <s v="Prototype"/>
    <x v="2"/>
    <s v="COP_24"/>
    <x v="3"/>
    <x v="1"/>
    <s v="Quarter3"/>
    <x v="4"/>
    <x v="8"/>
    <d v="2025-06-01T00:00:00"/>
    <d v="2025-06-30T00:00:00"/>
    <x v="4"/>
    <n v="0"/>
    <n v="0"/>
    <n v="0"/>
    <n v="0"/>
    <n v="0"/>
    <n v="0"/>
    <n v="0"/>
    <n v="0"/>
    <n v="0"/>
    <n v="0"/>
    <n v="0"/>
    <n v="0"/>
    <n v="0"/>
    <n v="0"/>
    <n v="0"/>
    <n v="0"/>
    <n v="0"/>
    <n v="0"/>
    <n v="0"/>
    <n v="0"/>
    <n v="0"/>
    <n v="0"/>
    <n v="0"/>
    <n v="0"/>
  </r>
  <r>
    <n v="1761"/>
    <d v="2025-07-09T11:27:51"/>
    <d v="2025-07-09T11:30:31"/>
    <s v="bchirwa@lighthouse.org.mw"/>
    <s v="Bethsheba Chirwa"/>
    <x v="1"/>
    <s v="Prototype"/>
    <x v="2"/>
    <s v="COP_24"/>
    <x v="3"/>
    <x v="1"/>
    <s v="Quarter3"/>
    <x v="4"/>
    <x v="8"/>
    <d v="2025-06-01T00:00:00"/>
    <d v="2025-06-30T00:00:00"/>
    <x v="5"/>
    <n v="0"/>
    <n v="0"/>
    <n v="0"/>
    <n v="0"/>
    <n v="0"/>
    <n v="0"/>
    <n v="0"/>
    <n v="0"/>
    <n v="0"/>
    <n v="0"/>
    <n v="0"/>
    <n v="0"/>
    <n v="0"/>
    <n v="0"/>
    <n v="0"/>
    <n v="0"/>
    <n v="0"/>
    <n v="0"/>
    <n v="0"/>
    <n v="0"/>
    <n v="0"/>
    <n v="0"/>
    <n v="0"/>
    <n v="0"/>
  </r>
  <r>
    <n v="1762"/>
    <d v="2025-07-09T11:30:36"/>
    <d v="2025-07-09T11:37:24"/>
    <s v="bchirwa@lighthouse.org.mw"/>
    <s v="Bethsheba Chirwa"/>
    <x v="1"/>
    <s v="Prototype"/>
    <x v="2"/>
    <s v="COP_24"/>
    <x v="3"/>
    <x v="1"/>
    <s v="Quarter3"/>
    <x v="4"/>
    <x v="8"/>
    <d v="2025-06-01T00:00:00"/>
    <d v="2025-06-30T00:00:00"/>
    <x v="2"/>
    <n v="19"/>
    <n v="0"/>
    <n v="1"/>
    <n v="0"/>
    <n v="0"/>
    <n v="0"/>
    <n v="1"/>
    <n v="1"/>
    <n v="1"/>
    <n v="0"/>
    <n v="0"/>
    <n v="0"/>
    <n v="1"/>
    <n v="0"/>
    <n v="0"/>
    <n v="0"/>
    <n v="0"/>
    <n v="0"/>
    <n v="0"/>
    <n v="0"/>
    <n v="0"/>
    <n v="0"/>
    <n v="0"/>
    <n v="0"/>
  </r>
  <r>
    <n v="1802"/>
    <d v="2025-07-11T11:20:02"/>
    <d v="2025-07-11T11:31:23"/>
    <s v="bchirwa@lighthouse.org.mw"/>
    <s v="Bethsheba Chirwa"/>
    <x v="1"/>
    <s v="Prototype"/>
    <x v="2"/>
    <s v="COP_24"/>
    <x v="3"/>
    <x v="1"/>
    <s v="Quarter3"/>
    <x v="4"/>
    <x v="8"/>
    <d v="2025-06-01T00:00:00"/>
    <d v="2025-06-30T00:00:00"/>
    <x v="0"/>
    <n v="17"/>
    <n v="0"/>
    <n v="17"/>
    <n v="1"/>
    <n v="0"/>
    <n v="0"/>
    <n v="17"/>
    <n v="1"/>
    <n v="1"/>
    <n v="0"/>
    <n v="0"/>
    <n v="0"/>
    <n v="1"/>
    <n v="0"/>
    <n v="0"/>
    <n v="0"/>
    <n v="0"/>
    <n v="0"/>
    <n v="0"/>
    <n v="0"/>
    <n v="0"/>
    <n v="0"/>
    <n v="0"/>
    <n v="0"/>
  </r>
  <r>
    <n v="85"/>
    <d v="2024-01-12T17:49:19"/>
    <d v="2024-01-12T18:00:04"/>
    <s v="tnyauti@lighthouse.org.mw"/>
    <s v="Tamala nyauti"/>
    <x v="2"/>
    <s v="Prototype"/>
    <x v="0"/>
    <s v="COP_22"/>
    <x v="1"/>
    <x v="1"/>
    <s v="Quarter4"/>
    <x v="1"/>
    <x v="2"/>
    <d v="2023-09-01T00:00:00"/>
    <d v="2023-09-29T00:00:00"/>
    <x v="1"/>
    <n v="18"/>
    <n v="0"/>
    <n v="17"/>
    <n v="0"/>
    <n v="1"/>
    <n v="0"/>
    <n v="18"/>
    <n v="1"/>
    <n v="1"/>
    <n v="0"/>
    <n v="0"/>
    <n v="0"/>
    <n v="2"/>
    <n v="0"/>
    <n v="1"/>
    <n v="0"/>
    <n v="0"/>
    <n v="0"/>
    <n v="0"/>
    <n v="0"/>
    <n v="0"/>
    <n v="0"/>
    <n v="0"/>
    <n v="0"/>
  </r>
  <r>
    <n v="86"/>
    <d v="2024-01-12T18:02:56"/>
    <d v="2024-01-12T21:11:35"/>
    <s v="tnyauti@lighthouse.org.mw"/>
    <s v="Tamala nyauti"/>
    <x v="2"/>
    <s v="Prototype"/>
    <x v="0"/>
    <s v="COP_24"/>
    <x v="0"/>
    <x v="0"/>
    <s v="Quarter1"/>
    <x v="0"/>
    <x v="0"/>
    <d v="2023-10-02T00:00:00"/>
    <d v="2023-10-31T00:00:00"/>
    <x v="1"/>
    <n v="17"/>
    <n v="1"/>
    <n v="16"/>
    <n v="0"/>
    <n v="1"/>
    <n v="0"/>
    <n v="15"/>
    <n v="1"/>
    <n v="1"/>
    <n v="0"/>
    <n v="0"/>
    <n v="0"/>
    <n v="2"/>
    <n v="0"/>
    <n v="0"/>
    <n v="0"/>
    <n v="0"/>
    <n v="0"/>
    <n v="0"/>
    <n v="0"/>
    <n v="0"/>
    <n v="0"/>
    <n v="0"/>
    <n v="0"/>
  </r>
  <r>
    <n v="87"/>
    <d v="2024-01-12T21:11:47"/>
    <d v="2024-01-12T21:33:45"/>
    <s v="tnyauti@lighthouse.org.mw"/>
    <s v="Tamala nyauti"/>
    <x v="2"/>
    <s v="Prototype"/>
    <x v="0"/>
    <s v="COP_24"/>
    <x v="0"/>
    <x v="0"/>
    <s v="Quarter1"/>
    <x v="0"/>
    <x v="1"/>
    <d v="2023-11-01T00:00:00"/>
    <d v="2023-11-30T00:00:00"/>
    <x v="1"/>
    <n v="23"/>
    <n v="0"/>
    <n v="22"/>
    <n v="1"/>
    <n v="0"/>
    <n v="0"/>
    <n v="23"/>
    <n v="0"/>
    <n v="0"/>
    <n v="0"/>
    <n v="0"/>
    <n v="0"/>
    <n v="0"/>
    <n v="0"/>
    <n v="0"/>
    <n v="0"/>
    <n v="0"/>
    <n v="0"/>
    <n v="0"/>
    <n v="0"/>
    <n v="0"/>
    <n v="0"/>
    <n v="0"/>
    <n v="0"/>
  </r>
  <r>
    <n v="88"/>
    <d v="2024-01-12T21:33:51"/>
    <d v="2024-01-12T22:03:54"/>
    <s v="tnyauti@lighthouse.org.mw"/>
    <s v="Tamala nyauti"/>
    <x v="2"/>
    <s v="Prototype"/>
    <x v="0"/>
    <s v="COP_24"/>
    <x v="0"/>
    <x v="0"/>
    <s v="Quarter1"/>
    <x v="0"/>
    <x v="11"/>
    <d v="2023-12-01T00:00:00"/>
    <d v="2023-12-29T00:00:00"/>
    <x v="1"/>
    <n v="15"/>
    <n v="0"/>
    <n v="15"/>
    <n v="0"/>
    <n v="0"/>
    <n v="0"/>
    <n v="15"/>
    <n v="2"/>
    <n v="0"/>
    <n v="0"/>
    <n v="2"/>
    <n v="0"/>
    <n v="2"/>
    <n v="0"/>
    <n v="0"/>
    <n v="0"/>
    <n v="0"/>
    <n v="0"/>
    <n v="0"/>
    <n v="0"/>
    <n v="0"/>
    <n v="0"/>
    <n v="0"/>
    <n v="0"/>
  </r>
  <r>
    <n v="423"/>
    <d v="2024-05-20T09:27:02"/>
    <d v="2024-05-20T09:37:18"/>
    <s v="tnyauti@lighthouse.org.mw"/>
    <s v="Tamala nyauti"/>
    <x v="2"/>
    <s v="Prototype"/>
    <x v="1"/>
    <s v="COP_22"/>
    <x v="0"/>
    <x v="2"/>
    <s v="Quarter2"/>
    <x v="2"/>
    <x v="4"/>
    <d v="2024-01-01T00:00:00"/>
    <d v="2024-01-31T00:00:00"/>
    <x v="1"/>
    <n v="18"/>
    <n v="2"/>
    <n v="16"/>
    <n v="0"/>
    <n v="0"/>
    <n v="2"/>
    <n v="18"/>
    <n v="2"/>
    <n v="0"/>
    <n v="0"/>
    <n v="0"/>
    <n v="0"/>
    <n v="2"/>
    <n v="2"/>
    <n v="2"/>
    <n v="2"/>
    <n v="0"/>
    <n v="0"/>
    <n v="0"/>
    <n v="0"/>
    <n v="0"/>
    <n v="0"/>
    <n v="0"/>
    <n v="0"/>
  </r>
  <r>
    <n v="429"/>
    <d v="2024-05-20T09:56:29"/>
    <d v="2024-05-20T10:01:49"/>
    <s v="tnyauti@lighthouse.org.mw"/>
    <s v="Tamala nyauti"/>
    <x v="2"/>
    <s v="Prototype"/>
    <x v="1"/>
    <s v="COP_23"/>
    <x v="0"/>
    <x v="2"/>
    <s v="Quarter2"/>
    <x v="2"/>
    <x v="5"/>
    <d v="2024-02-01T00:00:00"/>
    <d v="2024-02-29T00:00:00"/>
    <x v="1"/>
    <n v="24"/>
    <n v="0"/>
    <n v="24"/>
    <n v="0"/>
    <n v="0"/>
    <n v="0"/>
    <n v="24"/>
    <n v="6"/>
    <n v="5"/>
    <n v="0"/>
    <n v="0"/>
    <n v="0"/>
    <n v="2"/>
    <n v="1"/>
    <n v="0"/>
    <n v="0"/>
    <n v="0"/>
    <n v="0"/>
    <n v="0"/>
    <n v="0"/>
    <n v="0"/>
    <n v="0"/>
    <n v="0"/>
    <n v="0"/>
  </r>
  <r>
    <n v="439"/>
    <d v="2024-05-20T11:17:42"/>
    <d v="2024-05-20T11:21:57"/>
    <s v="tnyauti@lighthouse.org.mw"/>
    <s v="Tamala nyauti"/>
    <x v="2"/>
    <s v="Prototype"/>
    <x v="1"/>
    <s v="COP_22"/>
    <x v="0"/>
    <x v="2"/>
    <s v="Quarter2"/>
    <x v="2"/>
    <x v="3"/>
    <d v="2024-03-01T00:00:00"/>
    <d v="2024-03-31T00:00:00"/>
    <x v="1"/>
    <n v="18"/>
    <n v="0"/>
    <n v="15"/>
    <n v="3"/>
    <n v="0"/>
    <n v="0"/>
    <n v="18"/>
    <n v="6"/>
    <n v="3"/>
    <n v="0"/>
    <n v="0"/>
    <n v="0"/>
    <n v="8"/>
    <n v="1"/>
    <n v="0"/>
    <n v="0"/>
    <n v="0"/>
    <n v="0"/>
    <n v="0"/>
    <n v="0"/>
    <n v="1"/>
    <n v="0"/>
    <n v="0"/>
    <n v="0"/>
  </r>
  <r>
    <n v="442"/>
    <d v="2024-05-20T11:38:59"/>
    <d v="2024-05-20T11:43:30"/>
    <s v="tnyauti@lighthouse.org.mw"/>
    <s v="Tamala nyauti"/>
    <x v="2"/>
    <s v="Prototype"/>
    <x v="1"/>
    <s v="COP_23"/>
    <x v="0"/>
    <x v="3"/>
    <s v="Quarter3"/>
    <x v="3"/>
    <x v="7"/>
    <d v="2024-04-01T00:00:00"/>
    <d v="2024-04-30T00:00:00"/>
    <x v="1"/>
    <n v="23"/>
    <n v="2"/>
    <n v="19"/>
    <n v="2"/>
    <n v="2"/>
    <n v="0"/>
    <n v="23"/>
    <n v="9"/>
    <n v="8"/>
    <n v="0"/>
    <n v="0"/>
    <n v="0"/>
    <n v="11"/>
    <n v="2"/>
    <n v="0"/>
    <n v="0"/>
    <n v="0"/>
    <n v="0"/>
    <n v="0"/>
    <n v="0"/>
    <n v="1"/>
    <n v="0"/>
    <n v="0"/>
    <n v="0"/>
  </r>
  <r>
    <n v="542"/>
    <d v="2024-06-11T08:18:40"/>
    <d v="2024-06-11T08:27:57"/>
    <s v="tnyauti@lighthouse.org.mw"/>
    <s v="Tamala nyauti"/>
    <x v="2"/>
    <s v="Prototype"/>
    <x v="1"/>
    <s v="COP_23"/>
    <x v="0"/>
    <x v="3"/>
    <s v="Quarter3"/>
    <x v="3"/>
    <x v="6"/>
    <d v="2024-05-01T00:00:00"/>
    <d v="2024-05-31T00:00:00"/>
    <x v="1"/>
    <n v="20"/>
    <n v="2"/>
    <n v="17"/>
    <n v="0"/>
    <n v="3"/>
    <n v="0"/>
    <n v="20"/>
    <n v="4"/>
    <n v="0"/>
    <n v="0"/>
    <n v="0"/>
    <n v="0"/>
    <n v="4"/>
    <n v="1"/>
    <n v="0"/>
    <n v="0"/>
    <n v="0"/>
    <n v="0"/>
    <n v="0"/>
    <n v="0"/>
    <n v="1"/>
    <n v="0"/>
    <n v="0"/>
    <n v="0"/>
  </r>
  <r>
    <n v="641"/>
    <d v="2024-07-17T09:59:31"/>
    <d v="2024-07-17T10:01:24"/>
    <s v="tnyauti@lighthouse.org.mw"/>
    <s v="Tamala nyauti"/>
    <x v="2"/>
    <s v="Prototype"/>
    <x v="1"/>
    <s v="COP_23"/>
    <x v="0"/>
    <x v="3"/>
    <s v="Quarter3"/>
    <x v="3"/>
    <x v="8"/>
    <d v="2024-06-01T00:00:00"/>
    <d v="2024-06-30T00:00:00"/>
    <x v="1"/>
    <n v="14"/>
    <n v="0"/>
    <n v="14"/>
    <n v="0"/>
    <n v="0"/>
    <n v="0"/>
    <n v="1"/>
    <n v="0"/>
    <n v="1"/>
    <n v="0"/>
    <n v="0"/>
    <n v="0"/>
    <n v="1"/>
    <n v="0"/>
    <n v="0"/>
    <n v="0"/>
    <n v="0"/>
    <n v="0"/>
    <n v="0"/>
    <n v="0"/>
    <n v="0"/>
    <n v="0"/>
    <n v="0"/>
    <n v="0"/>
  </r>
  <r>
    <n v="1002"/>
    <d v="2024-10-31T10:56:54"/>
    <d v="2024-10-31T11:15:19"/>
    <s v="tnyauti@lighthouse.org.mw"/>
    <s v="Tamala nyauti"/>
    <x v="2"/>
    <s v="Prototype"/>
    <x v="1"/>
    <s v="COP_23"/>
    <x v="0"/>
    <x v="1"/>
    <s v="Quarter4"/>
    <x v="1"/>
    <x v="9"/>
    <d v="2024-07-01T00:00:00"/>
    <d v="2024-07-31T00:00:00"/>
    <x v="1"/>
    <n v="12"/>
    <n v="1"/>
    <n v="10"/>
    <n v="2"/>
    <n v="0"/>
    <n v="0"/>
    <n v="12"/>
    <n v="1"/>
    <n v="1"/>
    <n v="0"/>
    <n v="0"/>
    <n v="0"/>
    <n v="0"/>
    <n v="0"/>
    <n v="0"/>
    <n v="0"/>
    <n v="0"/>
    <n v="0"/>
    <n v="0"/>
    <n v="0"/>
    <n v="0"/>
    <n v="0"/>
    <n v="0"/>
    <n v="0"/>
  </r>
  <r>
    <n v="1008"/>
    <d v="2024-10-31T11:43:23"/>
    <d v="2024-10-31T11:45:31"/>
    <s v="tnyauti@lighthouse.org.mw"/>
    <s v="Tamala nyauti"/>
    <x v="2"/>
    <s v="Prototype"/>
    <x v="1"/>
    <s v="COP_23"/>
    <x v="0"/>
    <x v="1"/>
    <s v="Quarter4"/>
    <x v="1"/>
    <x v="10"/>
    <d v="2024-08-01T00:00:00"/>
    <d v="2024-08-31T00:00:00"/>
    <x v="1"/>
    <n v="14"/>
    <n v="0"/>
    <n v="12"/>
    <n v="2"/>
    <n v="0"/>
    <n v="0"/>
    <n v="14"/>
    <n v="4"/>
    <n v="4"/>
    <n v="0"/>
    <n v="0"/>
    <n v="0"/>
    <n v="2"/>
    <n v="0"/>
    <n v="0"/>
    <n v="0"/>
    <n v="0"/>
    <n v="0"/>
    <n v="0"/>
    <n v="0"/>
    <n v="0"/>
    <n v="0"/>
    <n v="0"/>
    <n v="0"/>
  </r>
  <r>
    <n v="1014"/>
    <d v="2024-10-31T12:51:34"/>
    <d v="2024-10-31T12:53:38"/>
    <s v="tnyauti@lighthouse.org.mw"/>
    <s v="Tamala nyauti"/>
    <x v="2"/>
    <s v="Prototype"/>
    <x v="1"/>
    <s v="COP_23"/>
    <x v="0"/>
    <x v="1"/>
    <s v="Quarter4"/>
    <x v="1"/>
    <x v="2"/>
    <d v="2024-09-01T00:00:00"/>
    <d v="2024-09-30T00:00:00"/>
    <x v="1"/>
    <n v="16"/>
    <n v="0"/>
    <n v="16"/>
    <n v="0"/>
    <n v="0"/>
    <n v="0"/>
    <n v="16"/>
    <n v="0"/>
    <n v="0"/>
    <n v="0"/>
    <n v="0"/>
    <n v="0"/>
    <n v="0"/>
    <n v="0"/>
    <n v="0"/>
    <n v="0"/>
    <n v="0"/>
    <n v="0"/>
    <n v="0"/>
    <n v="0"/>
    <n v="0"/>
    <n v="0"/>
    <n v="0"/>
    <n v="0"/>
  </r>
  <r>
    <n v="1015"/>
    <d v="2024-10-31T12:53:59"/>
    <d v="2024-10-31T13:13:55"/>
    <s v="tnyauti@lighthouse.org.mw"/>
    <s v="Tamala nyauti"/>
    <x v="2"/>
    <s v="Prototype"/>
    <x v="1"/>
    <s v="COP_23"/>
    <x v="0"/>
    <x v="1"/>
    <s v="Quarter4"/>
    <x v="1"/>
    <x v="2"/>
    <d v="2024-09-01T00:00:00"/>
    <d v="2024-09-30T00:00:00"/>
    <x v="1"/>
    <n v="16"/>
    <n v="0"/>
    <n v="16"/>
    <n v="0"/>
    <n v="0"/>
    <n v="0"/>
    <n v="16"/>
    <n v="0"/>
    <n v="0"/>
    <n v="0"/>
    <n v="0"/>
    <n v="0"/>
    <n v="0"/>
    <n v="0"/>
    <n v="0"/>
    <n v="0"/>
    <n v="0"/>
    <n v="0"/>
    <n v="0"/>
    <n v="0"/>
    <n v="0"/>
    <n v="0"/>
    <n v="0"/>
    <n v="0"/>
  </r>
  <r>
    <n v="158"/>
    <d v="2024-02-19T14:58:23"/>
    <d v="2024-02-19T15:38:14"/>
    <s v="tnyauti@lighthouse.org.mw"/>
    <s v="Tamala nyauti"/>
    <x v="2"/>
    <s v="Prototype"/>
    <x v="1"/>
    <s v="COP_23"/>
    <x v="0"/>
    <x v="2"/>
    <s v="Quarter2"/>
    <x v="2"/>
    <x v="4"/>
    <d v="2024-01-01T00:00:00"/>
    <d v="2024-01-31T00:00:00"/>
    <x v="0"/>
    <n v="18"/>
    <n v="2"/>
    <n v="16"/>
    <n v="0"/>
    <n v="0"/>
    <n v="2"/>
    <n v="18"/>
    <n v="2"/>
    <n v="2"/>
    <n v="0"/>
    <n v="0"/>
    <n v="0"/>
    <n v="2"/>
    <n v="2"/>
    <n v="2"/>
    <n v="2"/>
    <n v="0"/>
    <n v="0"/>
    <n v="0"/>
    <n v="0"/>
    <n v="0"/>
    <n v="0"/>
    <n v="0"/>
    <n v="0"/>
  </r>
  <r>
    <n v="345"/>
    <d v="2024-04-30T12:02:10"/>
    <d v="2024-04-30T12:45:25"/>
    <s v="tnyauti@lighthouse.org.mw"/>
    <s v="Tamala nyauti"/>
    <x v="2"/>
    <s v="Prototype"/>
    <x v="1"/>
    <s v="COP_23"/>
    <x v="0"/>
    <x v="2"/>
    <s v="Quarter2"/>
    <x v="2"/>
    <x v="3"/>
    <d v="2024-03-01T00:00:00"/>
    <d v="2024-03-27T00:00:00"/>
    <x v="2"/>
    <n v="9"/>
    <n v="1"/>
    <n v="6"/>
    <n v="1"/>
    <n v="1"/>
    <n v="1"/>
    <n v="9"/>
    <n v="3"/>
    <n v="3"/>
    <n v="0"/>
    <n v="0"/>
    <n v="0"/>
    <n v="3"/>
    <n v="1"/>
    <n v="0"/>
    <n v="0"/>
    <n v="0"/>
    <n v="0"/>
    <n v="0"/>
    <n v="0"/>
    <n v="1"/>
    <n v="0"/>
    <n v="0"/>
    <n v="0"/>
  </r>
  <r>
    <n v="426"/>
    <d v="2024-05-20T09:41:37"/>
    <d v="2024-05-20T09:44:11"/>
    <s v="tnyauti@lighthouse.org.mw"/>
    <s v="Tamala nyauti"/>
    <x v="2"/>
    <s v="Prototype"/>
    <x v="1"/>
    <s v="COP_23"/>
    <x v="0"/>
    <x v="2"/>
    <s v="Quarter2"/>
    <x v="2"/>
    <x v="4"/>
    <d v="2024-01-01T00:00:00"/>
    <d v="2024-01-31T00:00:00"/>
    <x v="2"/>
    <n v="0"/>
    <n v="0"/>
    <n v="0"/>
    <n v="0"/>
    <n v="0"/>
    <n v="0"/>
    <n v="0"/>
    <n v="0"/>
    <n v="0"/>
    <n v="0"/>
    <n v="0"/>
    <n v="0"/>
    <n v="0"/>
    <n v="0"/>
    <n v="0"/>
    <n v="0"/>
    <n v="0"/>
    <n v="0"/>
    <n v="0"/>
    <n v="0"/>
    <n v="0"/>
    <n v="0"/>
    <n v="0"/>
    <n v="0"/>
  </r>
  <r>
    <n v="428"/>
    <d v="2024-05-20T09:50:24"/>
    <d v="2024-05-20T09:56:26"/>
    <s v="tnyauti@lighthouse.org.mw"/>
    <s v="Tamala nyauti"/>
    <x v="2"/>
    <s v="Prototype"/>
    <x v="1"/>
    <s v="COP_23"/>
    <x v="0"/>
    <x v="2"/>
    <s v="Quarter2"/>
    <x v="2"/>
    <x v="5"/>
    <d v="2024-02-01T00:00:00"/>
    <d v="2024-02-29T00:00:00"/>
    <x v="2"/>
    <n v="1"/>
    <n v="0"/>
    <n v="1"/>
    <n v="0"/>
    <n v="0"/>
    <n v="0"/>
    <n v="1"/>
    <n v="1"/>
    <n v="1"/>
    <n v="0"/>
    <n v="1"/>
    <n v="0"/>
    <n v="1"/>
    <n v="0"/>
    <n v="0"/>
    <n v="0"/>
    <n v="0"/>
    <n v="0"/>
    <n v="0"/>
    <n v="0"/>
    <n v="0"/>
    <n v="0"/>
    <n v="0"/>
    <n v="0"/>
  </r>
  <r>
    <n v="436"/>
    <d v="2024-05-20T10:34:48"/>
    <d v="2024-05-20T11:10:25"/>
    <s v="tnyauti@lighthouse.org.mw"/>
    <s v="Tamala nyauti"/>
    <x v="2"/>
    <s v="Prototype"/>
    <x v="1"/>
    <s v="COP_24"/>
    <x v="0"/>
    <x v="2"/>
    <s v="Quarter2"/>
    <x v="2"/>
    <x v="3"/>
    <d v="2024-03-01T00:00:00"/>
    <d v="2024-03-31T00:00:00"/>
    <x v="2"/>
    <n v="10"/>
    <n v="1"/>
    <n v="7"/>
    <n v="1"/>
    <n v="1"/>
    <n v="1"/>
    <n v="9"/>
    <n v="3"/>
    <n v="0"/>
    <n v="0"/>
    <n v="0"/>
    <n v="0"/>
    <n v="3"/>
    <n v="1"/>
    <n v="0"/>
    <n v="0"/>
    <n v="0"/>
    <n v="0"/>
    <n v="0"/>
    <n v="0"/>
    <n v="1"/>
    <n v="0"/>
    <n v="0"/>
    <n v="1"/>
  </r>
  <r>
    <n v="443"/>
    <d v="2024-05-20T11:43:35"/>
    <d v="2024-05-20T11:49:06"/>
    <s v="tnyauti@lighthouse.org.mw"/>
    <s v="Tamala nyauti"/>
    <x v="2"/>
    <s v="Prototype"/>
    <x v="1"/>
    <s v="COP_23"/>
    <x v="0"/>
    <x v="3"/>
    <s v="Quarter3"/>
    <x v="3"/>
    <x v="7"/>
    <d v="2024-04-01T00:00:00"/>
    <d v="2024-04-30T00:00:00"/>
    <x v="2"/>
    <n v="19"/>
    <n v="1"/>
    <n v="19"/>
    <n v="0"/>
    <n v="0"/>
    <n v="0"/>
    <n v="19"/>
    <n v="1"/>
    <n v="0"/>
    <n v="0"/>
    <n v="0"/>
    <n v="0"/>
    <n v="1"/>
    <n v="0"/>
    <n v="0"/>
    <n v="0"/>
    <n v="0"/>
    <n v="0"/>
    <n v="0"/>
    <n v="0"/>
    <n v="0"/>
    <n v="0"/>
    <n v="0"/>
    <n v="0"/>
  </r>
  <r>
    <n v="543"/>
    <d v="2024-06-11T08:28:26"/>
    <d v="2024-06-11T08:52:31"/>
    <s v="tnyauti@lighthouse.org.mw"/>
    <s v="Tamala nyauti"/>
    <x v="2"/>
    <s v="Prototype"/>
    <x v="1"/>
    <s v="COP_23"/>
    <x v="0"/>
    <x v="3"/>
    <s v="Quarter3"/>
    <x v="3"/>
    <x v="6"/>
    <d v="2024-05-01T00:00:00"/>
    <d v="2024-05-31T00:00:00"/>
    <x v="2"/>
    <n v="9"/>
    <n v="0"/>
    <n v="7"/>
    <n v="1"/>
    <n v="1"/>
    <n v="0"/>
    <n v="9"/>
    <n v="1"/>
    <n v="1"/>
    <n v="0"/>
    <n v="0"/>
    <n v="0"/>
    <n v="1"/>
    <n v="0"/>
    <n v="0"/>
    <n v="0"/>
    <n v="0"/>
    <n v="0"/>
    <n v="0"/>
    <n v="0"/>
    <n v="0"/>
    <n v="0"/>
    <n v="0"/>
    <n v="0"/>
  </r>
  <r>
    <n v="642"/>
    <d v="2024-07-17T10:01:40"/>
    <d v="2024-07-17T10:03:38"/>
    <s v="tnyauti@lighthouse.org.mw"/>
    <s v="Tamala nyauti"/>
    <x v="2"/>
    <s v="Prototype"/>
    <x v="1"/>
    <s v="COP_23"/>
    <x v="0"/>
    <x v="3"/>
    <s v="Quarter3"/>
    <x v="3"/>
    <x v="8"/>
    <d v="2024-06-01T00:00:00"/>
    <d v="2024-06-30T00:00:00"/>
    <x v="2"/>
    <n v="2"/>
    <n v="1"/>
    <n v="1"/>
    <n v="0"/>
    <n v="0"/>
    <n v="1"/>
    <n v="2"/>
    <n v="1"/>
    <n v="1"/>
    <n v="0"/>
    <n v="0"/>
    <n v="0"/>
    <n v="1"/>
    <n v="0"/>
    <n v="0"/>
    <n v="0"/>
    <n v="0"/>
    <n v="0"/>
    <n v="0"/>
    <n v="0"/>
    <n v="0"/>
    <n v="0"/>
    <n v="0"/>
    <n v="1"/>
  </r>
  <r>
    <n v="1003"/>
    <d v="2024-10-31T11:15:26"/>
    <d v="2024-10-31T11:17:47"/>
    <s v="tnyauti@lighthouse.org.mw"/>
    <s v="Tamala nyauti"/>
    <x v="2"/>
    <s v="Prototype"/>
    <x v="1"/>
    <s v="COP_23"/>
    <x v="0"/>
    <x v="1"/>
    <s v="Quarter4"/>
    <x v="1"/>
    <x v="9"/>
    <d v="2024-07-01T00:00:00"/>
    <d v="2024-07-31T00:00:00"/>
    <x v="2"/>
    <n v="10"/>
    <n v="1"/>
    <n v="9"/>
    <n v="0"/>
    <n v="1"/>
    <n v="0"/>
    <n v="10"/>
    <n v="2"/>
    <n v="2"/>
    <n v="0"/>
    <n v="0"/>
    <n v="0"/>
    <n v="0"/>
    <n v="0"/>
    <n v="0"/>
    <n v="0"/>
    <n v="0"/>
    <n v="0"/>
    <n v="0"/>
    <n v="0"/>
    <n v="0"/>
    <n v="0"/>
    <n v="0"/>
    <n v="0"/>
  </r>
  <r>
    <n v="1009"/>
    <d v="2024-10-31T11:45:49"/>
    <d v="2024-10-31T11:50:47"/>
    <s v="tnyauti@lighthouse.org.mw"/>
    <s v="Tamala nyauti"/>
    <x v="2"/>
    <s v="Prototype"/>
    <x v="1"/>
    <s v="COP_23"/>
    <x v="0"/>
    <x v="1"/>
    <s v="Quarter4"/>
    <x v="1"/>
    <x v="10"/>
    <d v="2024-08-01T00:00:00"/>
    <d v="2024-08-31T00:00:00"/>
    <x v="2"/>
    <n v="13"/>
    <n v="0"/>
    <n v="13"/>
    <n v="0"/>
    <n v="0"/>
    <n v="0"/>
    <n v="13"/>
    <n v="0"/>
    <n v="1"/>
    <n v="0"/>
    <n v="0"/>
    <n v="0"/>
    <n v="0"/>
    <n v="0"/>
    <n v="0"/>
    <n v="0"/>
    <n v="0"/>
    <n v="0"/>
    <n v="0"/>
    <n v="0"/>
    <n v="0"/>
    <n v="0"/>
    <n v="0"/>
    <n v="0"/>
  </r>
  <r>
    <n v="1016"/>
    <d v="2024-10-31T13:14:04"/>
    <d v="2024-10-31T13:19:04"/>
    <s v="tnyauti@lighthouse.org.mw"/>
    <s v="Tamala nyauti"/>
    <x v="2"/>
    <s v="Prototype"/>
    <x v="1"/>
    <s v="COP_23"/>
    <x v="0"/>
    <x v="1"/>
    <s v="Quarter4"/>
    <x v="1"/>
    <x v="2"/>
    <d v="2024-09-01T00:00:00"/>
    <d v="2024-09-30T00:00:00"/>
    <x v="2"/>
    <n v="14"/>
    <n v="0"/>
    <n v="14"/>
    <n v="0"/>
    <n v="0"/>
    <n v="0"/>
    <n v="12"/>
    <n v="2"/>
    <n v="2"/>
    <n v="0"/>
    <n v="0"/>
    <n v="0"/>
    <n v="0"/>
    <n v="0"/>
    <n v="0"/>
    <n v="0"/>
    <n v="0"/>
    <n v="0"/>
    <n v="0"/>
    <n v="0"/>
    <n v="0"/>
    <n v="0"/>
    <n v="0"/>
    <n v="0"/>
  </r>
  <r>
    <n v="1083"/>
    <d v="2024-11-20T12:35:38"/>
    <d v="2024-11-20T12:46:50"/>
    <s v="tnyauti@lighthouse.org.mw"/>
    <s v="Tamala nyauti"/>
    <x v="2"/>
    <s v="Prototype"/>
    <x v="1"/>
    <s v="COP_23"/>
    <x v="2"/>
    <x v="0"/>
    <s v="Quarter1"/>
    <x v="0"/>
    <x v="0"/>
    <d v="2024-10-01T00:00:00"/>
    <d v="2024-10-31T00:00:00"/>
    <x v="2"/>
    <n v="9"/>
    <n v="0"/>
    <n v="8"/>
    <n v="0"/>
    <n v="1"/>
    <n v="0"/>
    <n v="8"/>
    <n v="5"/>
    <n v="5"/>
    <n v="0"/>
    <n v="0"/>
    <n v="0"/>
    <n v="5"/>
    <n v="1"/>
    <n v="0"/>
    <n v="0"/>
    <n v="0"/>
    <n v="0"/>
    <n v="0"/>
    <n v="0"/>
    <n v="1"/>
    <n v="0"/>
    <n v="0"/>
    <n v="0"/>
  </r>
  <r>
    <n v="344"/>
    <d v="2024-04-30T11:36:36"/>
    <d v="2024-04-30T12:01:22"/>
    <s v="tnyauti@lighthouse.org.mw"/>
    <s v="Tamala nyauti"/>
    <x v="2"/>
    <s v="Prototype"/>
    <x v="1"/>
    <s v="COP_23"/>
    <x v="0"/>
    <x v="2"/>
    <s v="Quarter2"/>
    <x v="2"/>
    <x v="3"/>
    <d v="2024-03-01T00:00:00"/>
    <d v="2024-03-27T00:00:00"/>
    <x v="3"/>
    <n v="1"/>
    <n v="0"/>
    <n v="1"/>
    <n v="0"/>
    <n v="0"/>
    <n v="0"/>
    <n v="1"/>
    <n v="1"/>
    <n v="0"/>
    <n v="0"/>
    <n v="0"/>
    <n v="0"/>
    <n v="1"/>
    <n v="0"/>
    <n v="0"/>
    <n v="0"/>
    <n v="0"/>
    <n v="0"/>
    <n v="0"/>
    <n v="0"/>
    <n v="0"/>
    <n v="0"/>
    <n v="0"/>
    <n v="0"/>
  </r>
  <r>
    <n v="346"/>
    <d v="2024-04-30T12:45:37"/>
    <d v="2024-04-30T13:00:39"/>
    <s v="tnyauti@lighthouse.org.mw"/>
    <s v="Tamala nyauti"/>
    <x v="2"/>
    <s v="Prototype"/>
    <x v="1"/>
    <s v="COP_23"/>
    <x v="0"/>
    <x v="2"/>
    <s v="Quarter2"/>
    <x v="2"/>
    <x v="3"/>
    <d v="2024-03-01T00:00:00"/>
    <d v="2024-03-27T00:00:00"/>
    <x v="0"/>
    <n v="29"/>
    <n v="1"/>
    <n v="24"/>
    <n v="4"/>
    <n v="1"/>
    <n v="0"/>
    <n v="28"/>
    <n v="10"/>
    <n v="6"/>
    <n v="0"/>
    <n v="0"/>
    <n v="0"/>
    <n v="10"/>
    <n v="2"/>
    <n v="0"/>
    <n v="0"/>
    <n v="0"/>
    <n v="0"/>
    <n v="0"/>
    <n v="0"/>
    <n v="2"/>
    <n v="0"/>
    <n v="0"/>
    <n v="1"/>
  </r>
  <r>
    <n v="422"/>
    <d v="2024-05-20T09:22:19"/>
    <d v="2024-05-20T09:26:49"/>
    <s v="tnyauti@lighthouse.org.mw"/>
    <s v="Tamala nyauti"/>
    <x v="2"/>
    <s v="Prototype"/>
    <x v="1"/>
    <s v="COP_23"/>
    <x v="0"/>
    <x v="2"/>
    <s v="Quarter2"/>
    <x v="2"/>
    <x v="4"/>
    <d v="2024-01-01T00:00:00"/>
    <d v="2024-01-31T00:00:00"/>
    <x v="5"/>
    <n v="0"/>
    <n v="0"/>
    <n v="0"/>
    <n v="0"/>
    <n v="0"/>
    <n v="0"/>
    <n v="0"/>
    <n v="0"/>
    <n v="0"/>
    <n v="0"/>
    <n v="0"/>
    <n v="0"/>
    <n v="0"/>
    <n v="0"/>
    <n v="0"/>
    <n v="0"/>
    <n v="0"/>
    <n v="0"/>
    <n v="0"/>
    <n v="0"/>
    <n v="0"/>
    <n v="0"/>
    <n v="0"/>
    <n v="0"/>
  </r>
  <r>
    <n v="424"/>
    <d v="2024-05-20T09:37:23"/>
    <d v="2024-05-20T09:39:36"/>
    <s v="tnyauti@lighthouse.org.mw"/>
    <s v="Tamala nyauti"/>
    <x v="2"/>
    <s v="Prototype"/>
    <x v="1"/>
    <s v="COP_23"/>
    <x v="0"/>
    <x v="2"/>
    <s v="Quarter2"/>
    <x v="2"/>
    <x v="4"/>
    <d v="2024-01-01T00:00:00"/>
    <d v="2024-01-31T00:00:00"/>
    <x v="4"/>
    <n v="0"/>
    <n v="0"/>
    <n v="0"/>
    <n v="0"/>
    <n v="0"/>
    <n v="0"/>
    <n v="0"/>
    <n v="0"/>
    <n v="0"/>
    <n v="0"/>
    <n v="0"/>
    <n v="0"/>
    <n v="0"/>
    <n v="0"/>
    <n v="0"/>
    <n v="0"/>
    <n v="0"/>
    <n v="0"/>
    <n v="0"/>
    <n v="0"/>
    <n v="0"/>
    <n v="0"/>
    <n v="0"/>
    <n v="0"/>
  </r>
  <r>
    <n v="425"/>
    <d v="2024-05-20T09:39:38"/>
    <d v="2024-05-20T09:41:28"/>
    <s v="tnyauti@lighthouse.org.mw"/>
    <s v="Tamala nyauti"/>
    <x v="2"/>
    <s v="Prototype"/>
    <x v="1"/>
    <s v="COP_23"/>
    <x v="0"/>
    <x v="2"/>
    <s v="Quarter2"/>
    <x v="2"/>
    <x v="4"/>
    <d v="2024-01-01T00:00:00"/>
    <d v="2024-01-31T00:00:00"/>
    <x v="3"/>
    <n v="0"/>
    <n v="0"/>
    <n v="0"/>
    <n v="0"/>
    <n v="0"/>
    <n v="0"/>
    <n v="0"/>
    <n v="0"/>
    <n v="0"/>
    <n v="0"/>
    <n v="0"/>
    <n v="0"/>
    <n v="0"/>
    <n v="0"/>
    <n v="0"/>
    <n v="0"/>
    <n v="0"/>
    <n v="0"/>
    <n v="0"/>
    <n v="0"/>
    <n v="0"/>
    <n v="0"/>
    <n v="0"/>
    <n v="0"/>
  </r>
  <r>
    <n v="427"/>
    <d v="2024-05-20T09:44:38"/>
    <d v="2024-05-20T09:50:18"/>
    <s v="tnyauti@lighthouse.org.mw"/>
    <s v="Tamala nyauti"/>
    <x v="2"/>
    <s v="Prototype"/>
    <x v="1"/>
    <s v="COP_23"/>
    <x v="0"/>
    <x v="2"/>
    <s v="Quarter2"/>
    <x v="2"/>
    <x v="5"/>
    <d v="2024-02-01T00:00:00"/>
    <d v="2024-02-29T00:00:00"/>
    <x v="0"/>
    <n v="25"/>
    <n v="0"/>
    <n v="25"/>
    <n v="0"/>
    <n v="0"/>
    <n v="0"/>
    <n v="25"/>
    <n v="7"/>
    <n v="6"/>
    <n v="0"/>
    <n v="1"/>
    <n v="0"/>
    <n v="8"/>
    <n v="2"/>
    <n v="0"/>
    <n v="0"/>
    <n v="0"/>
    <n v="0"/>
    <n v="0"/>
    <n v="0"/>
    <n v="0"/>
    <n v="0"/>
    <n v="0"/>
    <n v="0"/>
  </r>
  <r>
    <n v="430"/>
    <d v="2024-05-20T10:02:55"/>
    <d v="2024-05-20T10:04:45"/>
    <s v="tnyauti@lighthouse.org.mw"/>
    <s v="Tamala nyauti"/>
    <x v="2"/>
    <s v="Prototype"/>
    <x v="1"/>
    <s v="COP_23"/>
    <x v="0"/>
    <x v="2"/>
    <s v="Quarter2"/>
    <x v="2"/>
    <x v="5"/>
    <d v="2024-02-01T00:00:00"/>
    <d v="2024-02-29T00:00:00"/>
    <x v="3"/>
    <n v="0"/>
    <n v="0"/>
    <n v="0"/>
    <n v="0"/>
    <n v="0"/>
    <n v="0"/>
    <n v="0"/>
    <n v="0"/>
    <n v="0"/>
    <n v="0"/>
    <n v="0"/>
    <n v="0"/>
    <n v="0"/>
    <n v="0"/>
    <n v="0"/>
    <n v="0"/>
    <n v="0"/>
    <n v="0"/>
    <n v="0"/>
    <n v="0"/>
    <n v="0"/>
    <n v="0"/>
    <n v="0"/>
    <n v="0"/>
  </r>
  <r>
    <n v="431"/>
    <d v="2024-05-20T10:04:55"/>
    <d v="2024-05-20T10:06:29"/>
    <s v="tnyauti@lighthouse.org.mw"/>
    <s v="Tamala nyauti"/>
    <x v="2"/>
    <s v="Prototype"/>
    <x v="1"/>
    <s v="COP_23"/>
    <x v="0"/>
    <x v="2"/>
    <s v="Quarter2"/>
    <x v="2"/>
    <x v="5"/>
    <d v="2024-02-01T00:00:00"/>
    <d v="2024-02-29T00:00:00"/>
    <x v="4"/>
    <n v="0"/>
    <n v="0"/>
    <n v="0"/>
    <n v="0"/>
    <n v="0"/>
    <n v="0"/>
    <n v="0"/>
    <n v="0"/>
    <n v="0"/>
    <n v="0"/>
    <n v="0"/>
    <n v="0"/>
    <n v="0"/>
    <n v="0"/>
    <n v="0"/>
    <n v="0"/>
    <n v="0"/>
    <n v="0"/>
    <n v="0"/>
    <n v="0"/>
    <n v="0"/>
    <n v="0"/>
    <n v="0"/>
    <n v="0"/>
  </r>
  <r>
    <n v="433"/>
    <d v="2024-05-20T10:08:31"/>
    <d v="2024-05-20T10:10:57"/>
    <s v="tnyauti@lighthouse.org.mw"/>
    <s v="Tamala nyauti"/>
    <x v="2"/>
    <s v="Prototype"/>
    <x v="1"/>
    <s v="COP_23"/>
    <x v="0"/>
    <x v="2"/>
    <s v="Quarter2"/>
    <x v="2"/>
    <x v="5"/>
    <d v="2024-02-01T00:00:00"/>
    <d v="2024-02-29T00:00:00"/>
    <x v="5"/>
    <n v="0"/>
    <n v="0"/>
    <n v="0"/>
    <n v="0"/>
    <n v="0"/>
    <n v="0"/>
    <n v="0"/>
    <n v="0"/>
    <n v="0"/>
    <n v="0"/>
    <n v="0"/>
    <n v="0"/>
    <n v="0"/>
    <n v="0"/>
    <n v="0"/>
    <n v="0"/>
    <n v="0"/>
    <n v="0"/>
    <n v="0"/>
    <n v="0"/>
    <n v="0"/>
    <n v="0"/>
    <n v="0"/>
    <n v="0"/>
  </r>
  <r>
    <n v="435"/>
    <d v="2024-05-20T10:31:01"/>
    <d v="2024-05-20T10:34:37"/>
    <s v="tnyauti@lighthouse.org.mw"/>
    <s v="Tamala nyauti"/>
    <x v="2"/>
    <s v="Prototype"/>
    <x v="1"/>
    <s v="COP_23"/>
    <x v="0"/>
    <x v="2"/>
    <s v="Quarter2"/>
    <x v="2"/>
    <x v="3"/>
    <d v="2024-03-01T00:00:00"/>
    <d v="2024-03-31T00:00:00"/>
    <x v="5"/>
    <n v="0"/>
    <n v="0"/>
    <n v="0"/>
    <n v="0"/>
    <n v="0"/>
    <n v="0"/>
    <n v="0"/>
    <n v="0"/>
    <n v="0"/>
    <n v="0"/>
    <n v="0"/>
    <n v="0"/>
    <n v="0"/>
    <n v="0"/>
    <n v="0"/>
    <n v="0"/>
    <n v="0"/>
    <n v="0"/>
    <n v="0"/>
    <n v="0"/>
    <n v="0"/>
    <n v="0"/>
    <n v="0"/>
    <n v="0"/>
  </r>
  <r>
    <n v="437"/>
    <d v="2024-05-20T11:10:34"/>
    <d v="2024-05-20T11:11:59"/>
    <s v="tnyauti@lighthouse.org.mw"/>
    <s v="Tamala nyauti"/>
    <x v="2"/>
    <s v="Prototype"/>
    <x v="1"/>
    <s v="COP_23"/>
    <x v="0"/>
    <x v="2"/>
    <s v="Quarter2"/>
    <x v="2"/>
    <x v="3"/>
    <d v="2024-03-01T00:00:00"/>
    <d v="2024-03-31T00:00:00"/>
    <x v="4"/>
    <n v="0"/>
    <n v="0"/>
    <n v="0"/>
    <n v="0"/>
    <n v="0"/>
    <n v="0"/>
    <n v="0"/>
    <n v="0"/>
    <n v="0"/>
    <n v="0"/>
    <n v="0"/>
    <n v="0"/>
    <n v="0"/>
    <n v="0"/>
    <n v="0"/>
    <n v="0"/>
    <n v="0"/>
    <n v="0"/>
    <n v="0"/>
    <n v="0"/>
    <n v="0"/>
    <n v="0"/>
    <n v="0"/>
    <n v="0"/>
  </r>
  <r>
    <n v="438"/>
    <d v="2024-05-20T11:12:19"/>
    <d v="2024-05-20T11:17:38"/>
    <s v="tnyauti@lighthouse.org.mw"/>
    <s v="Tamala nyauti"/>
    <x v="2"/>
    <s v="Prototype"/>
    <x v="1"/>
    <s v="COP_23"/>
    <x v="0"/>
    <x v="2"/>
    <s v="Quarter2"/>
    <x v="2"/>
    <x v="3"/>
    <d v="2024-03-01T00:00:00"/>
    <d v="2024-03-31T00:00:00"/>
    <x v="3"/>
    <n v="1"/>
    <n v="0"/>
    <n v="1"/>
    <n v="0"/>
    <n v="0"/>
    <n v="0"/>
    <n v="1"/>
    <n v="1"/>
    <n v="0"/>
    <n v="0"/>
    <n v="0"/>
    <n v="0"/>
    <n v="1"/>
    <n v="0"/>
    <n v="0"/>
    <n v="0"/>
    <n v="0"/>
    <n v="0"/>
    <n v="0"/>
    <n v="0"/>
    <n v="0"/>
    <n v="0"/>
    <n v="0"/>
    <n v="0"/>
  </r>
  <r>
    <n v="440"/>
    <d v="2024-05-20T11:22:10"/>
    <d v="2024-05-20T11:36:21"/>
    <s v="tnyauti@lighthouse.org.mw"/>
    <s v="Tamala nyauti"/>
    <x v="2"/>
    <s v="Prototype"/>
    <x v="1"/>
    <s v="COP_23"/>
    <x v="0"/>
    <x v="3"/>
    <s v="Quarter3"/>
    <x v="3"/>
    <x v="7"/>
    <d v="2024-04-01T00:00:00"/>
    <d v="2024-04-30T00:00:00"/>
    <x v="0"/>
    <n v="42"/>
    <n v="3"/>
    <n v="38"/>
    <n v="2"/>
    <n v="2"/>
    <n v="0"/>
    <n v="42"/>
    <n v="10"/>
    <n v="8"/>
    <n v="0"/>
    <n v="0"/>
    <n v="0"/>
    <n v="12"/>
    <n v="2"/>
    <n v="0"/>
    <n v="0"/>
    <n v="0"/>
    <n v="0"/>
    <n v="0"/>
    <n v="0"/>
    <n v="1"/>
    <n v="0"/>
    <n v="0"/>
    <n v="0"/>
  </r>
  <r>
    <n v="441"/>
    <d v="2024-05-20T11:36:43"/>
    <d v="2024-05-20T11:38:51"/>
    <s v="tnyauti@lighthouse.org.mw"/>
    <s v="Tamala nyauti"/>
    <x v="2"/>
    <s v="Prototype"/>
    <x v="1"/>
    <s v="COP_23"/>
    <x v="0"/>
    <x v="3"/>
    <s v="Quarter3"/>
    <x v="3"/>
    <x v="7"/>
    <d v="2024-04-01T00:00:00"/>
    <d v="2024-04-30T00:00:00"/>
    <x v="4"/>
    <n v="1"/>
    <n v="0"/>
    <n v="1"/>
    <n v="0"/>
    <n v="0"/>
    <n v="0"/>
    <n v="1"/>
    <n v="0"/>
    <n v="0"/>
    <n v="0"/>
    <n v="0"/>
    <n v="0"/>
    <n v="0"/>
    <n v="0"/>
    <n v="0"/>
    <n v="0"/>
    <n v="0"/>
    <n v="0"/>
    <n v="0"/>
    <n v="0"/>
    <n v="0"/>
    <n v="0"/>
    <n v="0"/>
    <n v="0"/>
  </r>
  <r>
    <n v="444"/>
    <d v="2024-05-20T11:49:22"/>
    <d v="2024-05-20T11:53:03"/>
    <s v="tnyauti@lighthouse.org.mw"/>
    <s v="Tamala nyauti"/>
    <x v="2"/>
    <s v="Prototype"/>
    <x v="1"/>
    <s v="COP_23"/>
    <x v="0"/>
    <x v="3"/>
    <s v="Quarter3"/>
    <x v="3"/>
    <x v="7"/>
    <d v="2024-04-01T00:00:00"/>
    <d v="2024-04-30T00:00:00"/>
    <x v="3"/>
    <n v="0"/>
    <n v="0"/>
    <n v="0"/>
    <n v="0"/>
    <n v="0"/>
    <n v="0"/>
    <n v="0"/>
    <n v="0"/>
    <n v="0"/>
    <n v="0"/>
    <n v="0"/>
    <n v="0"/>
    <n v="0"/>
    <n v="0"/>
    <n v="0"/>
    <n v="0"/>
    <n v="0"/>
    <n v="0"/>
    <n v="0"/>
    <n v="0"/>
    <n v="0"/>
    <n v="0"/>
    <n v="0"/>
    <n v="0"/>
  </r>
  <r>
    <n v="445"/>
    <d v="2024-05-20T11:53:19"/>
    <d v="2024-05-20T11:55:11"/>
    <s v="tnyauti@lighthouse.org.mw"/>
    <s v="Tamala nyauti"/>
    <x v="2"/>
    <s v="Prototype"/>
    <x v="1"/>
    <s v="COP_24"/>
    <x v="0"/>
    <x v="3"/>
    <s v="Quarter3"/>
    <x v="3"/>
    <x v="7"/>
    <d v="2024-04-01T00:00:00"/>
    <d v="2024-04-30T00:00:00"/>
    <x v="5"/>
    <n v="0"/>
    <n v="0"/>
    <n v="0"/>
    <n v="0"/>
    <n v="0"/>
    <n v="0"/>
    <n v="0"/>
    <n v="0"/>
    <n v="0"/>
    <n v="0"/>
    <n v="0"/>
    <n v="0"/>
    <n v="0"/>
    <n v="0"/>
    <n v="0"/>
    <n v="0"/>
    <n v="0"/>
    <n v="0"/>
    <n v="0"/>
    <n v="0"/>
    <n v="0"/>
    <n v="0"/>
    <n v="0"/>
    <n v="0"/>
  </r>
  <r>
    <n v="528"/>
    <d v="2024-06-07T15:38:05"/>
    <d v="2024-06-07T15:51:20"/>
    <s v="tnyauti@lighthouse.org.mw"/>
    <s v="Tamala nyauti"/>
    <x v="2"/>
    <s v="Prototype"/>
    <x v="1"/>
    <s v="COP_23"/>
    <x v="0"/>
    <x v="3"/>
    <s v="Quarter3"/>
    <x v="3"/>
    <x v="6"/>
    <d v="2024-05-01T00:00:00"/>
    <d v="2024-05-31T00:00:00"/>
    <x v="0"/>
    <n v="29"/>
    <n v="2"/>
    <n v="24"/>
    <n v="1"/>
    <n v="4"/>
    <n v="0"/>
    <n v="29"/>
    <n v="5"/>
    <n v="5"/>
    <n v="0"/>
    <n v="0"/>
    <n v="0"/>
    <n v="5"/>
    <n v="1"/>
    <n v="0"/>
    <n v="0"/>
    <n v="0"/>
    <n v="0"/>
    <n v="0"/>
    <n v="0"/>
    <n v="1"/>
    <n v="0"/>
    <n v="0"/>
    <n v="0"/>
  </r>
  <r>
    <n v="544"/>
    <d v="2024-06-11T08:53:01"/>
    <d v="2024-06-11T09:38:02"/>
    <s v="tnyauti@lighthouse.org.mw"/>
    <s v="Tamala nyauti"/>
    <x v="2"/>
    <s v="Prototype"/>
    <x v="1"/>
    <s v="COP_23"/>
    <x v="0"/>
    <x v="3"/>
    <s v="Quarter3"/>
    <x v="3"/>
    <x v="6"/>
    <d v="2024-05-01T00:00:00"/>
    <d v="2024-05-31T00:00:00"/>
    <x v="4"/>
    <n v="1"/>
    <n v="0"/>
    <n v="1"/>
    <n v="0"/>
    <n v="0"/>
    <n v="0"/>
    <n v="1"/>
    <n v="0"/>
    <n v="0"/>
    <n v="0"/>
    <n v="0"/>
    <n v="0"/>
    <n v="0"/>
    <n v="0"/>
    <n v="0"/>
    <n v="0"/>
    <n v="0"/>
    <n v="0"/>
    <n v="0"/>
    <n v="0"/>
    <n v="0"/>
    <n v="0"/>
    <n v="0"/>
    <n v="0"/>
  </r>
  <r>
    <n v="545"/>
    <d v="2024-06-11T09:38:21"/>
    <d v="2024-06-11T09:42:57"/>
    <s v="tnyauti@lighthouse.org.mw"/>
    <s v="Tamala nyauti"/>
    <x v="2"/>
    <s v="Prototype"/>
    <x v="1"/>
    <s v="COP_23"/>
    <x v="0"/>
    <x v="3"/>
    <s v="Quarter3"/>
    <x v="3"/>
    <x v="6"/>
    <d v="2024-05-01T00:00:00"/>
    <d v="2024-05-31T00:00:00"/>
    <x v="5"/>
    <n v="0"/>
    <n v="0"/>
    <n v="0"/>
    <n v="0"/>
    <n v="0"/>
    <n v="0"/>
    <n v="0"/>
    <n v="0"/>
    <n v="0"/>
    <n v="0"/>
    <n v="0"/>
    <n v="0"/>
    <n v="0"/>
    <n v="0"/>
    <n v="0"/>
    <n v="0"/>
    <n v="0"/>
    <n v="0"/>
    <n v="0"/>
    <n v="0"/>
    <n v="0"/>
    <n v="0"/>
    <n v="0"/>
    <n v="0"/>
  </r>
  <r>
    <n v="546"/>
    <d v="2024-06-11T09:43:07"/>
    <d v="2024-06-11T09:45:00"/>
    <s v="tnyauti@lighthouse.org.mw"/>
    <s v="Tamala nyauti"/>
    <x v="2"/>
    <s v="Prototype"/>
    <x v="1"/>
    <s v="COP_23"/>
    <x v="0"/>
    <x v="3"/>
    <s v="Quarter3"/>
    <x v="3"/>
    <x v="6"/>
    <d v="2024-05-01T00:00:00"/>
    <d v="2024-05-31T00:00:00"/>
    <x v="3"/>
    <n v="0"/>
    <n v="0"/>
    <n v="0"/>
    <n v="0"/>
    <n v="0"/>
    <n v="0"/>
    <n v="0"/>
    <n v="0"/>
    <n v="0"/>
    <n v="0"/>
    <n v="0"/>
    <n v="0"/>
    <n v="0"/>
    <n v="0"/>
    <n v="0"/>
    <n v="0"/>
    <n v="0"/>
    <n v="0"/>
    <n v="0"/>
    <n v="0"/>
    <n v="0"/>
    <n v="0"/>
    <n v="0"/>
    <n v="0"/>
  </r>
  <r>
    <n v="640"/>
    <d v="2024-07-17T09:53:32"/>
    <d v="2024-07-17T09:58:49"/>
    <s v="tnyauti@lighthouse.org.mw"/>
    <s v="Tamala nyauti"/>
    <x v="2"/>
    <s v="Prototype"/>
    <x v="1"/>
    <s v="COP_23"/>
    <x v="0"/>
    <x v="3"/>
    <s v="Quarter3"/>
    <x v="3"/>
    <x v="8"/>
    <d v="2024-06-01T00:00:00"/>
    <d v="2024-06-30T00:00:00"/>
    <x v="0"/>
    <n v="16"/>
    <n v="2"/>
    <n v="15"/>
    <n v="0"/>
    <n v="0"/>
    <n v="1"/>
    <n v="16"/>
    <n v="3"/>
    <n v="2"/>
    <n v="0"/>
    <n v="0"/>
    <n v="0"/>
    <n v="2"/>
    <n v="0"/>
    <n v="0"/>
    <n v="0"/>
    <n v="0"/>
    <n v="0"/>
    <n v="0"/>
    <n v="0"/>
    <n v="0"/>
    <n v="0"/>
    <n v="0"/>
    <n v="1"/>
  </r>
  <r>
    <n v="643"/>
    <d v="2024-07-17T10:03:51"/>
    <d v="2024-07-17T10:06:11"/>
    <s v="tnyauti@lighthouse.org.mw"/>
    <s v="Tamala nyauti"/>
    <x v="2"/>
    <s v="Prototype"/>
    <x v="1"/>
    <s v="COP_23"/>
    <x v="0"/>
    <x v="3"/>
    <s v="Quarter3"/>
    <x v="3"/>
    <x v="8"/>
    <d v="2024-06-01T00:00:00"/>
    <d v="2024-06-30T00:00:00"/>
    <x v="4"/>
    <n v="0"/>
    <n v="0"/>
    <n v="0"/>
    <n v="0"/>
    <n v="0"/>
    <n v="0"/>
    <n v="0"/>
    <n v="0"/>
    <n v="0"/>
    <n v="0"/>
    <n v="0"/>
    <n v="0"/>
    <n v="0"/>
    <n v="0"/>
    <n v="0"/>
    <n v="0"/>
    <n v="0"/>
    <n v="0"/>
    <n v="0"/>
    <n v="0"/>
    <n v="0"/>
    <n v="0"/>
    <n v="0"/>
    <n v="0"/>
  </r>
  <r>
    <n v="644"/>
    <d v="2024-07-17T10:07:01"/>
    <d v="2024-07-17T10:08:51"/>
    <s v="tnyauti@lighthouse.org.mw"/>
    <s v="Tamala nyauti"/>
    <x v="2"/>
    <s v="Prototype"/>
    <x v="1"/>
    <s v="COP_23"/>
    <x v="0"/>
    <x v="3"/>
    <s v="Quarter3"/>
    <x v="3"/>
    <x v="8"/>
    <d v="2024-06-01T00:00:00"/>
    <d v="2024-06-30T00:00:00"/>
    <x v="5"/>
    <n v="0"/>
    <n v="0"/>
    <n v="0"/>
    <n v="0"/>
    <n v="0"/>
    <n v="0"/>
    <n v="0"/>
    <n v="0"/>
    <n v="0"/>
    <n v="0"/>
    <n v="0"/>
    <n v="0"/>
    <n v="0"/>
    <n v="0"/>
    <n v="0"/>
    <n v="0"/>
    <n v="0"/>
    <n v="0"/>
    <n v="0"/>
    <n v="0"/>
    <n v="0"/>
    <n v="0"/>
    <n v="0"/>
    <n v="0"/>
  </r>
  <r>
    <n v="645"/>
    <d v="2024-07-17T10:08:57"/>
    <d v="2024-07-17T10:09:49"/>
    <s v="tnyauti@lighthouse.org.mw"/>
    <s v="Tamala nyauti"/>
    <x v="2"/>
    <s v="Prototype"/>
    <x v="1"/>
    <s v="COP_23"/>
    <x v="0"/>
    <x v="3"/>
    <s v="Quarter3"/>
    <x v="3"/>
    <x v="8"/>
    <d v="2024-06-01T00:00:00"/>
    <d v="2024-06-30T00:00:00"/>
    <x v="3"/>
    <n v="0"/>
    <n v="0"/>
    <n v="0"/>
    <n v="0"/>
    <n v="0"/>
    <n v="0"/>
    <n v="0"/>
    <n v="0"/>
    <n v="0"/>
    <n v="0"/>
    <n v="0"/>
    <n v="0"/>
    <n v="0"/>
    <n v="0"/>
    <n v="0"/>
    <n v="0"/>
    <n v="0"/>
    <n v="0"/>
    <n v="0"/>
    <n v="0"/>
    <n v="0"/>
    <n v="0"/>
    <n v="0"/>
    <n v="0"/>
  </r>
  <r>
    <n v="1001"/>
    <d v="2024-10-31T10:51:55"/>
    <d v="2024-10-31T10:56:45"/>
    <s v="tnyauti@lighthouse.org.mw"/>
    <s v="Tamala nyauti"/>
    <x v="2"/>
    <s v="Prototype"/>
    <x v="1"/>
    <s v="COP_23"/>
    <x v="0"/>
    <x v="1"/>
    <s v="Quarter4"/>
    <x v="1"/>
    <x v="9"/>
    <d v="2024-07-01T00:00:00"/>
    <d v="2024-07-31T00:00:00"/>
    <x v="0"/>
    <n v="22"/>
    <n v="2"/>
    <n v="19"/>
    <n v="2"/>
    <n v="1"/>
    <n v="0"/>
    <n v="22"/>
    <n v="3"/>
    <n v="3"/>
    <n v="0"/>
    <n v="0"/>
    <n v="0"/>
    <n v="0"/>
    <n v="0"/>
    <n v="0"/>
    <n v="0"/>
    <n v="0"/>
    <n v="0"/>
    <n v="0"/>
    <n v="0"/>
    <n v="0"/>
    <n v="0"/>
    <n v="0"/>
    <n v="0"/>
  </r>
  <r>
    <n v="1004"/>
    <d v="2024-10-31T11:17:59"/>
    <d v="2024-10-31T11:20:08"/>
    <s v="tnyauti@lighthouse.org.mw"/>
    <s v="Tamala nyauti"/>
    <x v="2"/>
    <s v="Prototype"/>
    <x v="1"/>
    <s v="COP_23"/>
    <x v="0"/>
    <x v="1"/>
    <s v="Quarter4"/>
    <x v="1"/>
    <x v="9"/>
    <d v="2024-07-01T00:00:00"/>
    <d v="2024-07-31T00:00:00"/>
    <x v="5"/>
    <n v="0"/>
    <n v="0"/>
    <n v="0"/>
    <n v="0"/>
    <n v="0"/>
    <n v="0"/>
    <n v="0"/>
    <n v="0"/>
    <n v="0"/>
    <n v="0"/>
    <n v="0"/>
    <n v="0"/>
    <n v="0"/>
    <n v="0"/>
    <n v="0"/>
    <n v="0"/>
    <n v="0"/>
    <n v="0"/>
    <n v="0"/>
    <n v="0"/>
    <n v="0"/>
    <n v="0"/>
    <n v="0"/>
    <n v="0"/>
  </r>
  <r>
    <n v="1005"/>
    <d v="2024-10-31T11:20:14"/>
    <d v="2024-10-31T11:23:32"/>
    <s v="tnyauti@lighthouse.org.mw"/>
    <s v="Tamala nyauti"/>
    <x v="2"/>
    <s v="Prototype"/>
    <x v="1"/>
    <s v="COP_23"/>
    <x v="0"/>
    <x v="1"/>
    <s v="Quarter4"/>
    <x v="1"/>
    <x v="9"/>
    <d v="2024-07-01T00:00:00"/>
    <d v="2024-07-31T00:00:00"/>
    <x v="3"/>
    <n v="0"/>
    <n v="0"/>
    <n v="0"/>
    <n v="0"/>
    <n v="0"/>
    <n v="0"/>
    <n v="0"/>
    <n v="0"/>
    <n v="0"/>
    <n v="0"/>
    <n v="0"/>
    <n v="0"/>
    <n v="0"/>
    <n v="0"/>
    <n v="0"/>
    <n v="0"/>
    <n v="0"/>
    <n v="0"/>
    <n v="0"/>
    <n v="0"/>
    <n v="0"/>
    <n v="0"/>
    <n v="0"/>
    <n v="0"/>
  </r>
  <r>
    <n v="1006"/>
    <d v="2024-10-31T11:24:26"/>
    <d v="2024-10-31T11:27:45"/>
    <s v="tnyauti@lighthouse.org.mw"/>
    <s v="Tamala nyauti"/>
    <x v="2"/>
    <s v="Prototype"/>
    <x v="1"/>
    <s v="COP_23"/>
    <x v="0"/>
    <x v="1"/>
    <s v="Quarter4"/>
    <x v="1"/>
    <x v="9"/>
    <d v="2024-07-01T00:00:00"/>
    <d v="2024-07-31T00:00:00"/>
    <x v="4"/>
    <n v="0"/>
    <n v="0"/>
    <n v="0"/>
    <n v="0"/>
    <n v="0"/>
    <n v="0"/>
    <n v="0"/>
    <n v="0"/>
    <n v="0"/>
    <n v="0"/>
    <n v="0"/>
    <n v="0"/>
    <n v="0"/>
    <n v="0"/>
    <n v="0"/>
    <n v="0"/>
    <n v="0"/>
    <n v="0"/>
    <n v="0"/>
    <n v="0"/>
    <n v="0"/>
    <n v="0"/>
    <n v="0"/>
    <n v="0"/>
  </r>
  <r>
    <n v="1007"/>
    <d v="2024-10-31T11:28:49"/>
    <d v="2024-10-31T11:37:23"/>
    <s v="tnyauti@lighthouse.org.mw"/>
    <s v="Tamala nyauti"/>
    <x v="2"/>
    <s v="Prototype"/>
    <x v="1"/>
    <s v="COP_23"/>
    <x v="0"/>
    <x v="1"/>
    <s v="Quarter4"/>
    <x v="1"/>
    <x v="10"/>
    <d v="2024-08-01T00:00:00"/>
    <d v="2024-08-31T00:00:00"/>
    <x v="0"/>
    <n v="27"/>
    <n v="0"/>
    <n v="25"/>
    <n v="2"/>
    <n v="0"/>
    <n v="0"/>
    <n v="24"/>
    <n v="4"/>
    <n v="5"/>
    <n v="0"/>
    <n v="0"/>
    <n v="0"/>
    <n v="0"/>
    <n v="0"/>
    <n v="0"/>
    <n v="0"/>
    <n v="0"/>
    <n v="0"/>
    <n v="0"/>
    <n v="0"/>
    <n v="0"/>
    <n v="0"/>
    <n v="0"/>
    <n v="0"/>
  </r>
  <r>
    <n v="1010"/>
    <d v="2024-10-31T11:51:14"/>
    <d v="2024-10-31T12:06:02"/>
    <s v="tnyauti@lighthouse.org.mw"/>
    <s v="Tamala nyauti"/>
    <x v="2"/>
    <s v="Prototype"/>
    <x v="1"/>
    <s v="COP_23"/>
    <x v="0"/>
    <x v="1"/>
    <s v="Quarter4"/>
    <x v="1"/>
    <x v="10"/>
    <d v="2024-08-01T00:00:00"/>
    <d v="2024-08-31T00:00:00"/>
    <x v="3"/>
    <n v="1"/>
    <n v="0"/>
    <n v="1"/>
    <n v="0"/>
    <n v="0"/>
    <n v="0"/>
    <n v="1"/>
    <n v="0"/>
    <n v="0"/>
    <n v="0"/>
    <n v="0"/>
    <n v="0"/>
    <n v="0"/>
    <n v="0"/>
    <n v="0"/>
    <n v="0"/>
    <n v="0"/>
    <n v="0"/>
    <n v="0"/>
    <n v="0"/>
    <n v="0"/>
    <n v="0"/>
    <n v="0"/>
    <n v="0"/>
  </r>
  <r>
    <n v="1011"/>
    <d v="2024-10-31T12:06:15"/>
    <d v="2024-10-31T12:08:46"/>
    <s v="tnyauti@lighthouse.org.mw"/>
    <s v="Tamala nyauti"/>
    <x v="2"/>
    <s v="Prototype"/>
    <x v="1"/>
    <s v="COP_23"/>
    <x v="0"/>
    <x v="1"/>
    <s v="Quarter4"/>
    <x v="1"/>
    <x v="10"/>
    <d v="2024-08-01T00:00:00"/>
    <d v="2024-08-31T00:00:00"/>
    <x v="5"/>
    <n v="0"/>
    <n v="0"/>
    <n v="0"/>
    <n v="0"/>
    <n v="0"/>
    <n v="0"/>
    <n v="0"/>
    <n v="0"/>
    <n v="0"/>
    <n v="0"/>
    <n v="0"/>
    <n v="0"/>
    <n v="0"/>
    <n v="0"/>
    <n v="0"/>
    <n v="0"/>
    <n v="0"/>
    <n v="0"/>
    <n v="0"/>
    <n v="0"/>
    <n v="0"/>
    <n v="0"/>
    <n v="0"/>
    <n v="0"/>
  </r>
  <r>
    <n v="1012"/>
    <d v="2024-10-31T12:09:17"/>
    <d v="2024-10-31T12:15:59"/>
    <s v="tnyauti@lighthouse.org.mw"/>
    <s v="Tamala nyauti"/>
    <x v="2"/>
    <s v="Prototype"/>
    <x v="1"/>
    <s v="COP_23"/>
    <x v="0"/>
    <x v="1"/>
    <s v="Quarter4"/>
    <x v="1"/>
    <x v="10"/>
    <d v="2024-08-01T00:00:00"/>
    <d v="2024-08-31T00:00:00"/>
    <x v="4"/>
    <n v="0"/>
    <n v="0"/>
    <n v="0"/>
    <n v="0"/>
    <n v="0"/>
    <n v="0"/>
    <n v="0"/>
    <n v="0"/>
    <n v="0"/>
    <n v="0"/>
    <n v="0"/>
    <n v="0"/>
    <n v="0"/>
    <n v="0"/>
    <n v="0"/>
    <n v="0"/>
    <n v="0"/>
    <n v="0"/>
    <n v="0"/>
    <n v="0"/>
    <n v="0"/>
    <n v="0"/>
    <n v="0"/>
    <n v="0"/>
  </r>
  <r>
    <n v="1013"/>
    <d v="2024-10-31T12:16:40"/>
    <d v="2024-10-31T12:50:54"/>
    <s v="tnyauti@lighthouse.org.mw"/>
    <s v="Tamala nyauti"/>
    <x v="2"/>
    <s v="Prototype"/>
    <x v="1"/>
    <s v="COP_23"/>
    <x v="0"/>
    <x v="1"/>
    <s v="Quarter4"/>
    <x v="1"/>
    <x v="2"/>
    <d v="2024-09-01T00:00:00"/>
    <d v="2024-09-30T00:00:00"/>
    <x v="0"/>
    <n v="30"/>
    <n v="0"/>
    <n v="30"/>
    <n v="0"/>
    <n v="0"/>
    <n v="0"/>
    <n v="28"/>
    <n v="2"/>
    <n v="2"/>
    <n v="0"/>
    <n v="0"/>
    <n v="0"/>
    <n v="0"/>
    <n v="0"/>
    <n v="0"/>
    <n v="0"/>
    <n v="0"/>
    <n v="0"/>
    <n v="0"/>
    <n v="0"/>
    <n v="0"/>
    <n v="0"/>
    <n v="0"/>
    <n v="0"/>
  </r>
  <r>
    <n v="1017"/>
    <d v="2024-10-31T13:24:27"/>
    <d v="2024-10-31T13:26:25"/>
    <s v="tnyauti@lighthouse.org.mw"/>
    <s v="Tamala nyauti"/>
    <x v="2"/>
    <s v="Prototype"/>
    <x v="1"/>
    <s v="COP_23"/>
    <x v="0"/>
    <x v="1"/>
    <s v="Quarter4"/>
    <x v="1"/>
    <x v="2"/>
    <d v="2024-09-01T00:00:00"/>
    <d v="2024-09-30T00:00:00"/>
    <x v="3"/>
    <n v="1"/>
    <n v="0"/>
    <n v="1"/>
    <n v="0"/>
    <n v="0"/>
    <n v="0"/>
    <n v="1"/>
    <n v="0"/>
    <n v="0"/>
    <n v="0"/>
    <n v="0"/>
    <n v="0"/>
    <n v="0"/>
    <n v="0"/>
    <n v="0"/>
    <n v="0"/>
    <n v="0"/>
    <n v="0"/>
    <n v="0"/>
    <n v="0"/>
    <n v="0"/>
    <n v="0"/>
    <n v="0"/>
    <n v="0"/>
  </r>
  <r>
    <n v="1018"/>
    <d v="2024-10-31T13:27:36"/>
    <d v="2024-10-31T13:37:59"/>
    <s v="tnyauti@lighthouse.org.mw"/>
    <s v="Tamala nyauti"/>
    <x v="2"/>
    <s v="Prototype"/>
    <x v="1"/>
    <s v="COP_23"/>
    <x v="0"/>
    <x v="1"/>
    <s v="Quarter4"/>
    <x v="1"/>
    <x v="2"/>
    <d v="2024-09-01T00:00:00"/>
    <d v="2024-09-30T00:00:00"/>
    <x v="5"/>
    <n v="0"/>
    <n v="0"/>
    <n v="0"/>
    <n v="0"/>
    <n v="0"/>
    <n v="0"/>
    <n v="0"/>
    <n v="0"/>
    <n v="0"/>
    <n v="0"/>
    <n v="0"/>
    <n v="0"/>
    <n v="0"/>
    <n v="0"/>
    <n v="0"/>
    <n v="0"/>
    <n v="0"/>
    <n v="0"/>
    <n v="0"/>
    <n v="0"/>
    <n v="0"/>
    <n v="0"/>
    <n v="0"/>
    <n v="0"/>
  </r>
  <r>
    <n v="1019"/>
    <d v="2024-10-31T13:38:23"/>
    <d v="2024-10-31T13:42:24"/>
    <s v="tnyauti@lighthouse.org.mw"/>
    <s v="Tamala nyauti"/>
    <x v="2"/>
    <s v="Prototype"/>
    <x v="1"/>
    <s v="COP_22"/>
    <x v="0"/>
    <x v="1"/>
    <s v="Quarter4"/>
    <x v="1"/>
    <x v="2"/>
    <d v="2024-09-01T00:00:00"/>
    <d v="2024-09-30T00:00:00"/>
    <x v="4"/>
    <n v="0"/>
    <n v="0"/>
    <n v="0"/>
    <n v="0"/>
    <n v="0"/>
    <n v="0"/>
    <n v="0"/>
    <n v="0"/>
    <n v="0"/>
    <n v="0"/>
    <n v="0"/>
    <n v="0"/>
    <n v="0"/>
    <n v="0"/>
    <n v="0"/>
    <n v="0"/>
    <n v="0"/>
    <n v="0"/>
    <n v="0"/>
    <n v="0"/>
    <n v="0"/>
    <n v="0"/>
    <n v="0"/>
    <n v="0"/>
  </r>
  <r>
    <n v="1082"/>
    <d v="2024-11-20T12:26:14"/>
    <d v="2024-11-20T12:31:28"/>
    <s v="tnyauti@lighthouse.org.mw"/>
    <s v="Tamala nyauti"/>
    <x v="2"/>
    <s v="Prototype"/>
    <x v="1"/>
    <s v="COP_24"/>
    <x v="2"/>
    <x v="0"/>
    <s v="Quarter1"/>
    <x v="0"/>
    <x v="0"/>
    <d v="2024-10-01T00:00:00"/>
    <d v="2024-10-31T00:00:00"/>
    <x v="0"/>
    <n v="18"/>
    <n v="0"/>
    <n v="16"/>
    <n v="0"/>
    <n v="2"/>
    <n v="0"/>
    <n v="17"/>
    <n v="8"/>
    <n v="8"/>
    <n v="0"/>
    <n v="0"/>
    <n v="0"/>
    <n v="8"/>
    <n v="1"/>
    <n v="0"/>
    <n v="0"/>
    <n v="0"/>
    <n v="0"/>
    <n v="0"/>
    <n v="0"/>
    <n v="1"/>
    <n v="0"/>
    <n v="0"/>
    <n v="0"/>
  </r>
  <r>
    <n v="1084"/>
    <d v="2024-11-20T12:47:00"/>
    <d v="2024-11-20T12:49:30"/>
    <s v="tnyauti@lighthouse.org.mw"/>
    <s v="Tamala nyauti"/>
    <x v="2"/>
    <s v="Prototype"/>
    <x v="1"/>
    <s v="COP_24"/>
    <x v="2"/>
    <x v="0"/>
    <s v="Quarter1"/>
    <x v="0"/>
    <x v="0"/>
    <d v="2024-10-01T00:00:00"/>
    <d v="2024-10-31T00:00:00"/>
    <x v="1"/>
    <n v="9"/>
    <n v="0"/>
    <n v="8"/>
    <n v="0"/>
    <n v="1"/>
    <n v="0"/>
    <n v="9"/>
    <n v="3"/>
    <n v="3"/>
    <n v="0"/>
    <n v="0"/>
    <n v="0"/>
    <n v="3"/>
    <n v="0"/>
    <n v="0"/>
    <n v="0"/>
    <n v="0"/>
    <n v="0"/>
    <n v="0"/>
    <n v="0"/>
    <n v="0"/>
    <n v="0"/>
    <n v="0"/>
    <n v="0"/>
  </r>
  <r>
    <n v="1085"/>
    <d v="2024-11-20T12:50:05"/>
    <d v="2024-11-20T12:53:05"/>
    <s v="tnyauti@lighthouse.org.mw"/>
    <s v="Tamala nyauti"/>
    <x v="2"/>
    <s v="Prototype"/>
    <x v="1"/>
    <s v="COP_24"/>
    <x v="2"/>
    <x v="0"/>
    <s v="Quarter1"/>
    <x v="0"/>
    <x v="0"/>
    <d v="2024-10-01T00:00:00"/>
    <d v="2024-10-31T00:00:00"/>
    <x v="5"/>
    <n v="0"/>
    <n v="0"/>
    <n v="0"/>
    <n v="0"/>
    <n v="0"/>
    <n v="0"/>
    <n v="0"/>
    <n v="0"/>
    <n v="0"/>
    <n v="0"/>
    <n v="0"/>
    <n v="0"/>
    <n v="0"/>
    <n v="0"/>
    <n v="0"/>
    <n v="0"/>
    <n v="0"/>
    <n v="0"/>
    <n v="0"/>
    <n v="0"/>
    <n v="0"/>
    <n v="0"/>
    <n v="0"/>
    <n v="0"/>
  </r>
  <r>
    <n v="1086"/>
    <d v="2024-11-20T12:53:21"/>
    <d v="2024-11-20T12:54:33"/>
    <s v="tnyauti@lighthouse.org.mw"/>
    <s v="Tamala nyauti"/>
    <x v="2"/>
    <s v="Prototype"/>
    <x v="1"/>
    <s v="COP_24"/>
    <x v="2"/>
    <x v="0"/>
    <s v="Quarter1"/>
    <x v="0"/>
    <x v="0"/>
    <d v="2024-10-01T00:00:00"/>
    <d v="2024-10-31T00:00:00"/>
    <x v="4"/>
    <n v="0"/>
    <n v="0"/>
    <n v="0"/>
    <n v="0"/>
    <n v="0"/>
    <n v="0"/>
    <n v="0"/>
    <n v="0"/>
    <n v="0"/>
    <n v="0"/>
    <n v="0"/>
    <n v="0"/>
    <n v="0"/>
    <n v="0"/>
    <n v="0"/>
    <n v="0"/>
    <n v="0"/>
    <n v="0"/>
    <n v="0"/>
    <n v="0"/>
    <n v="0"/>
    <n v="0"/>
    <n v="0"/>
    <n v="0"/>
  </r>
  <r>
    <n v="1087"/>
    <d v="2024-11-20T12:54:42"/>
    <d v="2024-11-20T12:55:42"/>
    <s v="tnyauti@lighthouse.org.mw"/>
    <s v="Tamala nyauti"/>
    <x v="2"/>
    <s v="Prototype"/>
    <x v="1"/>
    <s v="COP_24"/>
    <x v="2"/>
    <x v="0"/>
    <s v="Quarter1"/>
    <x v="0"/>
    <x v="0"/>
    <d v="2024-10-01T00:00:00"/>
    <d v="2024-10-31T00:00:00"/>
    <x v="3"/>
    <n v="0"/>
    <n v="0"/>
    <n v="0"/>
    <n v="0"/>
    <n v="0"/>
    <n v="0"/>
    <n v="0"/>
    <n v="0"/>
    <n v="0"/>
    <n v="0"/>
    <n v="0"/>
    <n v="0"/>
    <n v="0"/>
    <n v="0"/>
    <n v="0"/>
    <n v="0"/>
    <n v="0"/>
    <n v="0"/>
    <n v="0"/>
    <n v="0"/>
    <n v="0"/>
    <n v="0"/>
    <n v="0"/>
    <n v="0"/>
  </r>
  <r>
    <n v="1163"/>
    <d v="2024-12-20T08:07:11"/>
    <d v="2024-12-20T08:13:59"/>
    <s v="tnyauti@lighthouse.org.mw"/>
    <s v="Tamala nyauti"/>
    <x v="2"/>
    <s v="Prototype"/>
    <x v="1"/>
    <s v="COP_24"/>
    <x v="2"/>
    <x v="0"/>
    <s v="Quarter1"/>
    <x v="0"/>
    <x v="1"/>
    <d v="2024-11-01T00:00:00"/>
    <d v="2024-11-30T00:00:00"/>
    <x v="0"/>
    <n v="35"/>
    <n v="1"/>
    <n v="32"/>
    <n v="2"/>
    <n v="0"/>
    <n v="1"/>
    <n v="35"/>
    <n v="4"/>
    <n v="3"/>
    <n v="0"/>
    <n v="0"/>
    <n v="0"/>
    <n v="4"/>
    <n v="1"/>
    <n v="0"/>
    <n v="0"/>
    <n v="0"/>
    <n v="0"/>
    <n v="0"/>
    <n v="0"/>
    <n v="1"/>
    <n v="0"/>
    <n v="0"/>
    <n v="0"/>
  </r>
  <r>
    <n v="1164"/>
    <d v="2024-12-20T08:14:16"/>
    <d v="2024-12-20T08:23:40"/>
    <s v="tnyauti@lighthouse.org.mw"/>
    <s v="Tamala nyauti"/>
    <x v="2"/>
    <s v="Prototype"/>
    <x v="1"/>
    <s v="COP_24"/>
    <x v="2"/>
    <x v="0"/>
    <s v="Quarter1"/>
    <x v="0"/>
    <x v="1"/>
    <d v="2024-11-01T00:00:00"/>
    <d v="2024-11-30T00:00:00"/>
    <x v="1"/>
    <n v="25"/>
    <n v="0"/>
    <n v="23"/>
    <n v="2"/>
    <n v="0"/>
    <n v="0"/>
    <n v="25"/>
    <n v="3"/>
    <n v="3"/>
    <n v="0"/>
    <n v="0"/>
    <n v="0"/>
    <n v="0"/>
    <n v="0"/>
    <n v="0"/>
    <n v="0"/>
    <n v="0"/>
    <n v="0"/>
    <n v="0"/>
    <n v="0"/>
    <n v="0"/>
    <n v="0"/>
    <n v="0"/>
    <n v="0"/>
  </r>
  <r>
    <n v="1165"/>
    <d v="2024-12-20T08:23:56"/>
    <d v="2024-12-20T08:28:22"/>
    <s v="tnyauti@lighthouse.org.mw"/>
    <s v="Tamala nyauti"/>
    <x v="2"/>
    <s v="Prototype"/>
    <x v="1"/>
    <s v="COP_24"/>
    <x v="2"/>
    <x v="0"/>
    <s v="Quarter1"/>
    <x v="0"/>
    <x v="1"/>
    <d v="2024-11-01T00:00:00"/>
    <d v="2024-11-30T00:00:00"/>
    <x v="2"/>
    <n v="10"/>
    <n v="1"/>
    <n v="9"/>
    <n v="0"/>
    <n v="0"/>
    <n v="1"/>
    <n v="10"/>
    <n v="1"/>
    <n v="0"/>
    <n v="0"/>
    <n v="0"/>
    <n v="0"/>
    <n v="1"/>
    <n v="1"/>
    <n v="0"/>
    <n v="0"/>
    <n v="0"/>
    <n v="0"/>
    <n v="0"/>
    <n v="0"/>
    <n v="1"/>
    <n v="0"/>
    <n v="0"/>
    <n v="0"/>
  </r>
  <r>
    <n v="1166"/>
    <d v="2024-12-20T08:28:47"/>
    <d v="2024-12-20T08:31:01"/>
    <s v="tnyauti@lighthouse.org.mw"/>
    <s v="Tamala nyauti"/>
    <x v="2"/>
    <s v="Prototype"/>
    <x v="1"/>
    <s v="COP_24"/>
    <x v="2"/>
    <x v="0"/>
    <s v="Quarter1"/>
    <x v="0"/>
    <x v="1"/>
    <d v="2024-11-01T00:00:00"/>
    <d v="2024-11-30T00:00:00"/>
    <x v="3"/>
    <n v="3"/>
    <n v="1"/>
    <n v="2"/>
    <n v="0"/>
    <n v="0"/>
    <n v="1"/>
    <n v="3"/>
    <n v="1"/>
    <n v="0"/>
    <n v="0"/>
    <n v="0"/>
    <n v="0"/>
    <n v="1"/>
    <n v="1"/>
    <n v="0"/>
    <n v="0"/>
    <n v="0"/>
    <n v="0"/>
    <n v="0"/>
    <n v="0"/>
    <n v="1"/>
    <n v="0"/>
    <n v="0"/>
    <n v="0"/>
  </r>
  <r>
    <n v="1167"/>
    <d v="2024-12-20T08:31:12"/>
    <d v="2024-12-20T08:32:13"/>
    <s v="tnyauti@lighthouse.org.mw"/>
    <s v="Tamala nyauti"/>
    <x v="2"/>
    <s v="Prototype"/>
    <x v="1"/>
    <s v="COP_24"/>
    <x v="2"/>
    <x v="0"/>
    <s v="Quarter1"/>
    <x v="0"/>
    <x v="1"/>
    <d v="2024-11-01T00:00:00"/>
    <d v="2024-11-30T00:00:00"/>
    <x v="5"/>
    <n v="0"/>
    <n v="0"/>
    <n v="0"/>
    <n v="0"/>
    <n v="0"/>
    <n v="0"/>
    <n v="0"/>
    <n v="0"/>
    <n v="0"/>
    <n v="0"/>
    <n v="0"/>
    <n v="0"/>
    <n v="0"/>
    <n v="0"/>
    <n v="0"/>
    <n v="0"/>
    <n v="0"/>
    <n v="0"/>
    <n v="0"/>
    <n v="0"/>
    <n v="0"/>
    <n v="0"/>
    <n v="0"/>
    <n v="0"/>
  </r>
  <r>
    <n v="1168"/>
    <d v="2024-12-20T08:32:26"/>
    <d v="2024-12-20T08:33:35"/>
    <s v="tnyauti@lighthouse.org.mw"/>
    <s v="Tamala nyauti"/>
    <x v="2"/>
    <s v="Prototype"/>
    <x v="1"/>
    <s v="COP_24"/>
    <x v="2"/>
    <x v="0"/>
    <s v="Quarter1"/>
    <x v="0"/>
    <x v="1"/>
    <d v="2024-11-01T00:00:00"/>
    <d v="2024-11-30T00:00:00"/>
    <x v="4"/>
    <n v="0"/>
    <n v="0"/>
    <n v="0"/>
    <n v="0"/>
    <n v="0"/>
    <n v="0"/>
    <n v="0"/>
    <n v="0"/>
    <n v="0"/>
    <n v="0"/>
    <n v="0"/>
    <n v="0"/>
    <n v="0"/>
    <n v="0"/>
    <n v="0"/>
    <n v="0"/>
    <n v="0"/>
    <n v="0"/>
    <n v="0"/>
    <n v="0"/>
    <n v="0"/>
    <n v="0"/>
    <n v="0"/>
    <n v="0"/>
  </r>
  <r>
    <n v="1270"/>
    <d v="2025-01-14T14:53:19"/>
    <d v="2025-01-14T15:08:49"/>
    <s v="tnyauti@lighthouse.org.mw"/>
    <s v="Tamala nyauti"/>
    <x v="2"/>
    <s v="Prototype"/>
    <x v="1"/>
    <s v="COP_24"/>
    <x v="2"/>
    <x v="0"/>
    <s v="Quarter1"/>
    <x v="0"/>
    <x v="11"/>
    <d v="2024-12-01T00:00:00"/>
    <d v="2024-12-31T00:00:00"/>
    <x v="0"/>
    <n v="31"/>
    <n v="0"/>
    <n v="29"/>
    <n v="1"/>
    <n v="0"/>
    <n v="1"/>
    <n v="30"/>
    <n v="7"/>
    <n v="4"/>
    <n v="0"/>
    <n v="0"/>
    <n v="0"/>
    <n v="7"/>
    <n v="1"/>
    <n v="0"/>
    <n v="0"/>
    <n v="0"/>
    <n v="0"/>
    <n v="0"/>
    <n v="0"/>
    <n v="1"/>
    <n v="0"/>
    <n v="0"/>
    <n v="0"/>
  </r>
  <r>
    <n v="1271"/>
    <d v="2025-01-14T15:08:54"/>
    <d v="2025-01-14T15:13:41"/>
    <s v="tnyauti@lighthouse.org.mw"/>
    <s v="Tamala nyauti"/>
    <x v="2"/>
    <s v="Prototype"/>
    <x v="1"/>
    <s v="COP_24"/>
    <x v="2"/>
    <x v="0"/>
    <s v="Quarter1"/>
    <x v="0"/>
    <x v="11"/>
    <d v="2024-12-01T00:00:00"/>
    <d v="2024-12-31T00:00:00"/>
    <x v="1"/>
    <n v="19"/>
    <n v="0"/>
    <n v="17"/>
    <n v="1"/>
    <n v="0"/>
    <n v="1"/>
    <n v="19"/>
    <n v="5"/>
    <n v="3"/>
    <n v="0"/>
    <n v="0"/>
    <n v="0"/>
    <n v="5"/>
    <n v="1"/>
    <n v="0"/>
    <n v="0"/>
    <n v="0"/>
    <n v="0"/>
    <n v="0"/>
    <n v="0"/>
    <n v="1"/>
    <n v="0"/>
    <n v="0"/>
    <n v="0"/>
  </r>
  <r>
    <n v="1272"/>
    <d v="2025-01-14T15:13:46"/>
    <d v="2025-01-14T15:16:54"/>
    <s v="tnyauti@lighthouse.org.mw"/>
    <s v="Tamala nyauti"/>
    <x v="2"/>
    <s v="Prototype"/>
    <x v="1"/>
    <s v="COP_24"/>
    <x v="2"/>
    <x v="0"/>
    <s v="Quarter1"/>
    <x v="0"/>
    <x v="11"/>
    <d v="2024-12-01T00:00:00"/>
    <d v="2024-12-31T00:00:00"/>
    <x v="2"/>
    <n v="12"/>
    <n v="0"/>
    <n v="12"/>
    <n v="0"/>
    <n v="0"/>
    <n v="0"/>
    <n v="11"/>
    <n v="2"/>
    <n v="1"/>
    <n v="0"/>
    <n v="0"/>
    <n v="0"/>
    <n v="2"/>
    <n v="0"/>
    <n v="0"/>
    <n v="0"/>
    <n v="0"/>
    <n v="0"/>
    <n v="0"/>
    <n v="0"/>
    <n v="0"/>
    <n v="0"/>
    <n v="0"/>
    <n v="0"/>
  </r>
  <r>
    <n v="1273"/>
    <d v="2025-01-14T15:17:04"/>
    <d v="2025-01-14T15:19:37"/>
    <s v="tnyauti@lighthouse.org.mw"/>
    <s v="Tamala nyauti"/>
    <x v="2"/>
    <s v="Prototype"/>
    <x v="1"/>
    <s v="COP_24"/>
    <x v="2"/>
    <x v="0"/>
    <s v="Quarter1"/>
    <x v="0"/>
    <x v="11"/>
    <d v="2024-12-01T00:00:00"/>
    <d v="2024-12-31T00:00:00"/>
    <x v="5"/>
    <n v="1"/>
    <n v="0"/>
    <n v="1"/>
    <n v="0"/>
    <n v="0"/>
    <n v="0"/>
    <n v="1"/>
    <n v="0"/>
    <n v="0"/>
    <n v="0"/>
    <n v="0"/>
    <n v="0"/>
    <n v="0"/>
    <n v="0"/>
    <n v="0"/>
    <n v="0"/>
    <n v="0"/>
    <n v="0"/>
    <n v="0"/>
    <n v="0"/>
    <n v="0"/>
    <n v="0"/>
    <n v="0"/>
    <n v="0"/>
  </r>
  <r>
    <n v="1274"/>
    <d v="2025-01-14T15:19:44"/>
    <d v="2025-01-14T15:23:12"/>
    <s v="tnyauti@lighthouse.org.mw"/>
    <s v="Tamala nyauti"/>
    <x v="2"/>
    <s v="Prototype"/>
    <x v="1"/>
    <s v="COP_24"/>
    <x v="2"/>
    <x v="0"/>
    <s v="Quarter1"/>
    <x v="0"/>
    <x v="11"/>
    <d v="2024-12-01T00:00:00"/>
    <d v="2024-12-31T00:00:00"/>
    <x v="3"/>
    <n v="0"/>
    <n v="0"/>
    <n v="0"/>
    <n v="0"/>
    <n v="0"/>
    <n v="0"/>
    <n v="0"/>
    <n v="0"/>
    <n v="0"/>
    <n v="0"/>
    <n v="0"/>
    <n v="0"/>
    <n v="0"/>
    <n v="0"/>
    <n v="0"/>
    <n v="0"/>
    <n v="0"/>
    <n v="0"/>
    <n v="0"/>
    <n v="0"/>
    <n v="0"/>
    <n v="0"/>
    <n v="0"/>
    <n v="0"/>
  </r>
  <r>
    <n v="1275"/>
    <d v="2025-01-14T15:23:31"/>
    <d v="2025-01-14T15:27:07"/>
    <s v="tnyauti@lighthouse.org.mw"/>
    <s v="Tamala nyauti"/>
    <x v="2"/>
    <s v="Prototype"/>
    <x v="1"/>
    <s v="COP_22"/>
    <x v="2"/>
    <x v="0"/>
    <s v="Quarter1"/>
    <x v="0"/>
    <x v="11"/>
    <d v="2024-12-01T00:00:00"/>
    <d v="2024-12-31T00:00:00"/>
    <x v="4"/>
    <n v="0"/>
    <n v="0"/>
    <n v="0"/>
    <n v="0"/>
    <n v="0"/>
    <n v="0"/>
    <n v="0"/>
    <n v="0"/>
    <n v="0"/>
    <n v="0"/>
    <n v="0"/>
    <n v="0"/>
    <n v="0"/>
    <n v="0"/>
    <n v="0"/>
    <n v="0"/>
    <n v="0"/>
    <n v="0"/>
    <n v="0"/>
    <n v="0"/>
    <n v="0"/>
    <n v="0"/>
    <n v="0"/>
    <n v="0"/>
  </r>
  <r>
    <n v="1321"/>
    <d v="2025-02-25T14:03:47"/>
    <d v="2025-02-25T14:11:13"/>
    <s v="tnyauti@lighthouse.org.mw"/>
    <s v="Tamala nyauti"/>
    <x v="2"/>
    <s v="Prototype"/>
    <x v="2"/>
    <s v="COP_23"/>
    <x v="2"/>
    <x v="2"/>
    <s v="Quarter2"/>
    <x v="2"/>
    <x v="4"/>
    <d v="2025-01-01T00:00:00"/>
    <d v="2025-01-31T00:00:00"/>
    <x v="0"/>
    <n v="29"/>
    <n v="0"/>
    <n v="28"/>
    <n v="1"/>
    <n v="0"/>
    <n v="0"/>
    <n v="27"/>
    <n v="4"/>
    <n v="0"/>
    <n v="0"/>
    <n v="1"/>
    <n v="0"/>
    <n v="5"/>
    <n v="1"/>
    <n v="0"/>
    <n v="0"/>
    <n v="0"/>
    <n v="0"/>
    <n v="0"/>
    <n v="0"/>
    <n v="1"/>
    <n v="0"/>
    <n v="0"/>
    <n v="0"/>
  </r>
  <r>
    <n v="1322"/>
    <d v="2025-02-25T14:11:19"/>
    <d v="2025-02-25T14:14:30"/>
    <s v="tnyauti@lighthouse.org.mw"/>
    <s v="Tamala nyauti"/>
    <x v="2"/>
    <s v="Prototype"/>
    <x v="2"/>
    <s v="COP_23"/>
    <x v="2"/>
    <x v="2"/>
    <s v="Quarter2"/>
    <x v="2"/>
    <x v="4"/>
    <d v="2025-01-01T00:00:00"/>
    <d v="2025-01-31T00:00:00"/>
    <x v="1"/>
    <n v="16"/>
    <n v="0"/>
    <n v="16"/>
    <n v="0"/>
    <n v="0"/>
    <n v="0"/>
    <n v="16"/>
    <n v="2"/>
    <n v="0"/>
    <n v="0"/>
    <n v="1"/>
    <n v="0"/>
    <n v="3"/>
    <n v="0"/>
    <n v="0"/>
    <n v="0"/>
    <n v="0"/>
    <n v="0"/>
    <n v="0"/>
    <n v="0"/>
    <n v="0"/>
    <n v="0"/>
    <n v="0"/>
    <n v="0"/>
  </r>
  <r>
    <n v="1323"/>
    <d v="2025-02-25T14:14:34"/>
    <d v="2025-02-25T14:16:46"/>
    <s v="tnyauti@lighthouse.org.mw"/>
    <s v="Tamala nyauti"/>
    <x v="2"/>
    <s v="Prototype"/>
    <x v="2"/>
    <s v="COP_23"/>
    <x v="2"/>
    <x v="2"/>
    <s v="Quarter2"/>
    <x v="2"/>
    <x v="4"/>
    <d v="2025-01-01T00:00:00"/>
    <d v="2025-01-31T00:00:00"/>
    <x v="2"/>
    <n v="13"/>
    <n v="0"/>
    <n v="12"/>
    <n v="1"/>
    <n v="0"/>
    <n v="0"/>
    <n v="11"/>
    <n v="2"/>
    <n v="0"/>
    <n v="0"/>
    <n v="0"/>
    <n v="0"/>
    <n v="2"/>
    <n v="1"/>
    <n v="0"/>
    <n v="0"/>
    <n v="0"/>
    <n v="0"/>
    <n v="0"/>
    <n v="0"/>
    <n v="1"/>
    <n v="0"/>
    <n v="0"/>
    <n v="0"/>
  </r>
  <r>
    <n v="1324"/>
    <d v="2025-02-25T14:16:49"/>
    <d v="2025-02-25T14:17:55"/>
    <s v="tnyauti@lighthouse.org.mw"/>
    <s v="Tamala nyauti"/>
    <x v="2"/>
    <s v="Prototype"/>
    <x v="2"/>
    <s v="COP_23"/>
    <x v="2"/>
    <x v="2"/>
    <s v="Quarter2"/>
    <x v="2"/>
    <x v="4"/>
    <d v="2025-01-01T00:00:00"/>
    <d v="2025-01-31T00:00:00"/>
    <x v="4"/>
    <n v="0"/>
    <n v="0"/>
    <n v="0"/>
    <n v="0"/>
    <n v="0"/>
    <n v="0"/>
    <n v="0"/>
    <n v="0"/>
    <n v="0"/>
    <n v="0"/>
    <n v="0"/>
    <n v="0"/>
    <n v="0"/>
    <n v="0"/>
    <n v="0"/>
    <n v="0"/>
    <n v="0"/>
    <n v="0"/>
    <n v="0"/>
    <n v="0"/>
    <n v="0"/>
    <n v="0"/>
    <n v="0"/>
    <n v="0"/>
  </r>
  <r>
    <n v="1325"/>
    <d v="2025-02-25T14:17:58"/>
    <d v="2025-02-25T14:19:32"/>
    <s v="tnyauti@lighthouse.org.mw"/>
    <s v="Tamala nyauti"/>
    <x v="2"/>
    <s v="Prototype"/>
    <x v="2"/>
    <s v="COP_23"/>
    <x v="2"/>
    <x v="2"/>
    <s v="Quarter2"/>
    <x v="2"/>
    <x v="4"/>
    <d v="2025-01-01T00:00:00"/>
    <d v="2025-01-31T00:00:00"/>
    <x v="3"/>
    <n v="0"/>
    <n v="0"/>
    <n v="0"/>
    <n v="0"/>
    <n v="0"/>
    <n v="0"/>
    <n v="0"/>
    <n v="0"/>
    <n v="0"/>
    <n v="0"/>
    <n v="0"/>
    <n v="0"/>
    <n v="0"/>
    <n v="0"/>
    <n v="0"/>
    <n v="0"/>
    <n v="0"/>
    <n v="0"/>
    <n v="0"/>
    <n v="0"/>
    <n v="0"/>
    <n v="0"/>
    <n v="0"/>
    <n v="0"/>
  </r>
  <r>
    <n v="1326"/>
    <d v="2025-02-25T14:19:39"/>
    <d v="2025-02-25T14:21:10"/>
    <s v="tnyauti@lighthouse.org.mw"/>
    <s v="Tamala nyauti"/>
    <x v="2"/>
    <s v="Prototype"/>
    <x v="2"/>
    <s v="COP_23"/>
    <x v="2"/>
    <x v="2"/>
    <s v="Quarter2"/>
    <x v="2"/>
    <x v="4"/>
    <d v="2025-01-01T00:00:00"/>
    <d v="2025-01-31T00:00:00"/>
    <x v="5"/>
    <n v="0"/>
    <n v="0"/>
    <n v="0"/>
    <n v="0"/>
    <n v="0"/>
    <n v="0"/>
    <n v="0"/>
    <n v="0"/>
    <n v="0"/>
    <n v="0"/>
    <n v="0"/>
    <n v="0"/>
    <n v="0"/>
    <n v="0"/>
    <n v="0"/>
    <n v="0"/>
    <n v="0"/>
    <n v="0"/>
    <n v="0"/>
    <n v="0"/>
    <n v="0"/>
    <n v="0"/>
    <n v="0"/>
    <n v="0"/>
  </r>
  <r>
    <n v="1406"/>
    <d v="2025-03-11T13:00:57"/>
    <d v="2025-03-11T13:03:53"/>
    <s v="tnyauti@lighthouse.org.mw"/>
    <s v="Tamala nyauti"/>
    <x v="2"/>
    <s v="Prototype"/>
    <x v="2"/>
    <s v="COP_23"/>
    <x v="2"/>
    <x v="2"/>
    <s v="Quarter2"/>
    <x v="2"/>
    <x v="5"/>
    <d v="2025-02-01T00:00:00"/>
    <d v="2025-02-28T00:00:00"/>
    <x v="0"/>
    <n v="12"/>
    <n v="0"/>
    <n v="12"/>
    <n v="0"/>
    <n v="0"/>
    <n v="0"/>
    <n v="12"/>
    <n v="0"/>
    <n v="0"/>
    <n v="0"/>
    <n v="0"/>
    <n v="0"/>
    <n v="0"/>
    <n v="0"/>
    <n v="0"/>
    <n v="0"/>
    <n v="0"/>
    <n v="0"/>
    <n v="0"/>
    <n v="0"/>
    <n v="0"/>
    <n v="0"/>
    <n v="0"/>
    <n v="0"/>
  </r>
  <r>
    <n v="1407"/>
    <d v="2025-03-11T13:04:12"/>
    <d v="2025-03-11T13:06:32"/>
    <s v="tnyauti@lighthouse.org.mw"/>
    <s v="Tamala nyauti"/>
    <x v="2"/>
    <s v="Prototype"/>
    <x v="2"/>
    <s v="COP_23"/>
    <x v="2"/>
    <x v="2"/>
    <s v="Quarter2"/>
    <x v="2"/>
    <x v="5"/>
    <d v="2025-02-01T00:00:00"/>
    <d v="2025-02-28T00:00:00"/>
    <x v="2"/>
    <n v="2"/>
    <n v="0"/>
    <n v="2"/>
    <n v="0"/>
    <n v="0"/>
    <n v="0"/>
    <n v="2"/>
    <n v="0"/>
    <n v="0"/>
    <n v="0"/>
    <n v="0"/>
    <n v="0"/>
    <n v="0"/>
    <n v="0"/>
    <n v="0"/>
    <n v="0"/>
    <n v="0"/>
    <n v="0"/>
    <n v="0"/>
    <n v="0"/>
    <n v="0"/>
    <n v="0"/>
    <n v="0"/>
    <n v="0"/>
  </r>
  <r>
    <n v="1408"/>
    <d v="2025-03-11T13:06:36"/>
    <d v="2025-03-11T13:08:16"/>
    <s v="tnyauti@lighthouse.org.mw"/>
    <s v="Tamala nyauti"/>
    <x v="2"/>
    <s v="Prototype"/>
    <x v="2"/>
    <s v="COP_23"/>
    <x v="2"/>
    <x v="2"/>
    <s v="Quarter2"/>
    <x v="2"/>
    <x v="5"/>
    <d v="2025-02-01T00:00:00"/>
    <d v="2025-02-28T00:00:00"/>
    <x v="1"/>
    <n v="10"/>
    <n v="0"/>
    <n v="10"/>
    <n v="0"/>
    <n v="0"/>
    <n v="0"/>
    <n v="10"/>
    <n v="0"/>
    <n v="0"/>
    <n v="0"/>
    <n v="0"/>
    <n v="0"/>
    <n v="0"/>
    <n v="0"/>
    <n v="0"/>
    <n v="0"/>
    <n v="0"/>
    <n v="0"/>
    <n v="0"/>
    <n v="0"/>
    <n v="0"/>
    <n v="0"/>
    <n v="0"/>
    <n v="0"/>
  </r>
  <r>
    <n v="1409"/>
    <d v="2025-03-11T13:08:18"/>
    <d v="2025-03-11T13:09:46"/>
    <s v="tnyauti@lighthouse.org.mw"/>
    <s v="Tamala nyauti"/>
    <x v="2"/>
    <s v="Prototype"/>
    <x v="2"/>
    <s v="COP_23"/>
    <x v="2"/>
    <x v="2"/>
    <s v="Quarter2"/>
    <x v="2"/>
    <x v="5"/>
    <d v="2025-02-01T00:00:00"/>
    <d v="2025-02-28T00:00:00"/>
    <x v="4"/>
    <n v="0"/>
    <n v="0"/>
    <n v="0"/>
    <n v="0"/>
    <n v="0"/>
    <n v="0"/>
    <n v="0"/>
    <n v="0"/>
    <n v="0"/>
    <n v="0"/>
    <n v="0"/>
    <n v="0"/>
    <n v="0"/>
    <n v="0"/>
    <n v="0"/>
    <n v="0"/>
    <n v="0"/>
    <n v="0"/>
    <n v="0"/>
    <n v="0"/>
    <n v="0"/>
    <n v="0"/>
    <n v="0"/>
    <n v="0"/>
  </r>
  <r>
    <n v="1410"/>
    <d v="2025-03-11T13:09:49"/>
    <d v="2025-03-11T13:11:22"/>
    <s v="tnyauti@lighthouse.org.mw"/>
    <s v="Tamala nyauti"/>
    <x v="2"/>
    <s v="Prototype"/>
    <x v="2"/>
    <s v="COP_23"/>
    <x v="2"/>
    <x v="2"/>
    <s v="Quarter2"/>
    <x v="2"/>
    <x v="5"/>
    <d v="2025-02-01T00:00:00"/>
    <d v="2025-02-28T00:00:00"/>
    <x v="3"/>
    <n v="0"/>
    <n v="0"/>
    <n v="0"/>
    <n v="0"/>
    <n v="0"/>
    <n v="0"/>
    <n v="0"/>
    <n v="0"/>
    <n v="0"/>
    <n v="0"/>
    <n v="0"/>
    <n v="0"/>
    <n v="0"/>
    <n v="0"/>
    <n v="0"/>
    <n v="0"/>
    <n v="0"/>
    <n v="0"/>
    <n v="0"/>
    <n v="0"/>
    <n v="0"/>
    <n v="0"/>
    <n v="0"/>
    <n v="0"/>
  </r>
  <r>
    <n v="1411"/>
    <d v="2025-03-11T13:11:25"/>
    <d v="2025-03-11T13:12:54"/>
    <s v="tnyauti@lighthouse.org.mw"/>
    <s v="Tamala nyauti"/>
    <x v="2"/>
    <s v="Prototype"/>
    <x v="2"/>
    <s v="COP_23"/>
    <x v="2"/>
    <x v="2"/>
    <s v="Quarter2"/>
    <x v="2"/>
    <x v="5"/>
    <d v="2025-02-01T00:00:00"/>
    <d v="2025-02-28T00:00:00"/>
    <x v="5"/>
    <n v="0"/>
    <n v="0"/>
    <n v="0"/>
    <n v="0"/>
    <n v="0"/>
    <n v="0"/>
    <n v="0"/>
    <n v="0"/>
    <n v="0"/>
    <n v="0"/>
    <n v="0"/>
    <n v="0"/>
    <n v="0"/>
    <n v="0"/>
    <n v="0"/>
    <n v="0"/>
    <n v="0"/>
    <n v="0"/>
    <n v="0"/>
    <n v="0"/>
    <n v="0"/>
    <n v="0"/>
    <n v="0"/>
    <n v="0"/>
  </r>
  <r>
    <n v="1497"/>
    <d v="2025-04-03T14:01:03"/>
    <d v="2025-04-03T14:15:55"/>
    <s v="tnyauti@lighthouse.org.mw"/>
    <s v="Tamala nyauti"/>
    <x v="2"/>
    <s v="Prototype"/>
    <x v="2"/>
    <s v="COP_23"/>
    <x v="2"/>
    <x v="2"/>
    <s v="Quarter2"/>
    <x v="2"/>
    <x v="3"/>
    <d v="2025-03-01T00:00:00"/>
    <d v="2025-03-31T00:00:00"/>
    <x v="0"/>
    <n v="30"/>
    <n v="4"/>
    <n v="24"/>
    <n v="2"/>
    <n v="3"/>
    <n v="1"/>
    <n v="30"/>
    <n v="10"/>
    <n v="10"/>
    <n v="0"/>
    <n v="0"/>
    <n v="0"/>
    <n v="10"/>
    <n v="5"/>
    <n v="0"/>
    <n v="0"/>
    <n v="0"/>
    <n v="0"/>
    <n v="0"/>
    <n v="0"/>
    <n v="5"/>
    <n v="0"/>
    <n v="0"/>
    <n v="0"/>
  </r>
  <r>
    <n v="1498"/>
    <d v="2025-04-03T14:16:02"/>
    <d v="2025-04-03T14:19:00"/>
    <s v="tnyauti@lighthouse.org.mw"/>
    <s v="Tamala nyauti"/>
    <x v="2"/>
    <s v="Prototype"/>
    <x v="2"/>
    <s v="COP_23"/>
    <x v="2"/>
    <x v="2"/>
    <s v="Quarter2"/>
    <x v="2"/>
    <x v="3"/>
    <d v="2025-03-01T00:00:00"/>
    <d v="2025-03-31T00:00:00"/>
    <x v="1"/>
    <n v="12"/>
    <n v="1"/>
    <n v="10"/>
    <n v="0"/>
    <n v="2"/>
    <n v="0"/>
    <n v="12"/>
    <n v="3"/>
    <n v="3"/>
    <n v="0"/>
    <n v="0"/>
    <n v="0"/>
    <n v="3"/>
    <n v="2"/>
    <n v="0"/>
    <n v="0"/>
    <n v="0"/>
    <n v="0"/>
    <n v="0"/>
    <n v="0"/>
    <n v="2"/>
    <n v="0"/>
    <n v="0"/>
    <n v="0"/>
  </r>
  <r>
    <n v="1499"/>
    <d v="2025-04-03T14:19:04"/>
    <d v="2025-04-03T14:24:08"/>
    <s v="tnyauti@lighthouse.org.mw"/>
    <s v="Tamala nyauti"/>
    <x v="2"/>
    <s v="Prototype"/>
    <x v="2"/>
    <s v="COP_23"/>
    <x v="2"/>
    <x v="2"/>
    <s v="Quarter2"/>
    <x v="2"/>
    <x v="3"/>
    <d v="2025-03-01T00:00:00"/>
    <d v="2025-03-31T00:00:00"/>
    <x v="2"/>
    <n v="18"/>
    <n v="3"/>
    <n v="14"/>
    <n v="2"/>
    <n v="1"/>
    <n v="1"/>
    <n v="18"/>
    <n v="7"/>
    <n v="7"/>
    <n v="0"/>
    <n v="0"/>
    <n v="0"/>
    <n v="7"/>
    <n v="4"/>
    <n v="0"/>
    <n v="0"/>
    <n v="0"/>
    <n v="0"/>
    <n v="0"/>
    <n v="0"/>
    <n v="3"/>
    <n v="0"/>
    <n v="0"/>
    <n v="0"/>
  </r>
  <r>
    <n v="1500"/>
    <d v="2025-04-03T14:24:12"/>
    <d v="2025-04-03T14:26:47"/>
    <s v="tnyauti@lighthouse.org.mw"/>
    <s v="Tamala nyauti"/>
    <x v="2"/>
    <s v="Prototype"/>
    <x v="2"/>
    <s v="COP_23"/>
    <x v="2"/>
    <x v="2"/>
    <s v="Quarter2"/>
    <x v="2"/>
    <x v="3"/>
    <d v="2025-03-01T00:00:00"/>
    <d v="2025-03-31T00:00:00"/>
    <x v="4"/>
    <n v="0"/>
    <n v="0"/>
    <n v="0"/>
    <n v="0"/>
    <n v="0"/>
    <n v="0"/>
    <n v="0"/>
    <n v="0"/>
    <n v="0"/>
    <n v="0"/>
    <n v="0"/>
    <n v="0"/>
    <n v="0"/>
    <n v="0"/>
    <n v="0"/>
    <n v="0"/>
    <n v="0"/>
    <n v="0"/>
    <n v="0"/>
    <n v="0"/>
    <n v="0"/>
    <n v="0"/>
    <n v="0"/>
    <n v="0"/>
  </r>
  <r>
    <n v="1501"/>
    <d v="2025-04-03T14:27:18"/>
    <d v="2025-04-03T14:28:45"/>
    <s v="tnyauti@lighthouse.org.mw"/>
    <s v="Tamala nyauti"/>
    <x v="2"/>
    <s v="Prototype"/>
    <x v="2"/>
    <s v="COP_23"/>
    <x v="2"/>
    <x v="2"/>
    <s v="Quarter2"/>
    <x v="2"/>
    <x v="3"/>
    <d v="2025-03-01T00:00:00"/>
    <d v="2025-03-31T00:00:00"/>
    <x v="5"/>
    <n v="0"/>
    <n v="0"/>
    <n v="0"/>
    <n v="0"/>
    <n v="0"/>
    <n v="0"/>
    <n v="0"/>
    <n v="0"/>
    <n v="0"/>
    <n v="0"/>
    <n v="0"/>
    <n v="0"/>
    <n v="0"/>
    <n v="0"/>
    <n v="0"/>
    <n v="0"/>
    <n v="0"/>
    <n v="0"/>
    <n v="0"/>
    <n v="0"/>
    <n v="0"/>
    <n v="0"/>
    <n v="0"/>
    <n v="0"/>
  </r>
  <r>
    <n v="1502"/>
    <d v="2025-04-03T14:28:49"/>
    <d v="2025-04-03T14:32:10"/>
    <s v="tnyauti@lighthouse.org.mw"/>
    <s v="Tamala nyauti"/>
    <x v="2"/>
    <s v="Prototype"/>
    <x v="2"/>
    <s v="COP_24"/>
    <x v="2"/>
    <x v="2"/>
    <s v="Quarter2"/>
    <x v="2"/>
    <x v="3"/>
    <d v="2025-03-01T00:00:00"/>
    <d v="2025-03-31T00:00:00"/>
    <x v="3"/>
    <n v="0"/>
    <n v="0"/>
    <n v="0"/>
    <n v="0"/>
    <n v="0"/>
    <n v="0"/>
    <n v="0"/>
    <n v="0"/>
    <n v="0"/>
    <n v="0"/>
    <n v="0"/>
    <n v="0"/>
    <n v="0"/>
    <n v="0"/>
    <n v="0"/>
    <n v="0"/>
    <n v="0"/>
    <n v="0"/>
    <n v="0"/>
    <n v="0"/>
    <n v="0"/>
    <n v="0"/>
    <n v="0"/>
    <n v="0"/>
  </r>
  <r>
    <n v="1705"/>
    <d v="2025-07-01T08:45:34"/>
    <d v="2025-07-01T09:05:12"/>
    <s v="tnyauti@lighthouse.org.mw"/>
    <s v="Tamala nyauti"/>
    <x v="2"/>
    <s v="Prototype"/>
    <x v="2"/>
    <s v="COP_23"/>
    <x v="3"/>
    <x v="3"/>
    <s v="Quarter3"/>
    <x v="4"/>
    <x v="7"/>
    <d v="2025-04-01T00:00:00"/>
    <d v="2025-04-30T00:00:00"/>
    <x v="0"/>
    <n v="37"/>
    <n v="3"/>
    <n v="34"/>
    <n v="0"/>
    <n v="1"/>
    <n v="2"/>
    <n v="34"/>
    <n v="11"/>
    <n v="11"/>
    <n v="0"/>
    <n v="0"/>
    <n v="0"/>
    <n v="11"/>
    <n v="5"/>
    <n v="0"/>
    <n v="0"/>
    <n v="0"/>
    <n v="0"/>
    <n v="0"/>
    <n v="0"/>
    <n v="5"/>
    <n v="0"/>
    <n v="0"/>
    <n v="1"/>
  </r>
  <r>
    <n v="1708"/>
    <d v="2025-07-01T10:32:56"/>
    <d v="2025-07-01T10:33:35"/>
    <s v="tnyauti@lighthouse.org.mw"/>
    <s v="Tamala nyauti"/>
    <x v="2"/>
    <s v="Prototype"/>
    <x v="2"/>
    <s v="COP_23"/>
    <x v="3"/>
    <x v="3"/>
    <s v="Quarter3"/>
    <x v="4"/>
    <x v="7"/>
    <d v="2025-04-01T00:00:00"/>
    <d v="2025-04-30T00:00:00"/>
    <x v="1"/>
    <n v="14"/>
    <n v="1"/>
    <n v="13"/>
    <n v="0"/>
    <n v="0"/>
    <n v="1"/>
    <n v="14"/>
    <n v="5"/>
    <n v="5"/>
    <n v="0"/>
    <n v="0"/>
    <n v="0"/>
    <n v="5"/>
    <n v="1"/>
    <n v="0"/>
    <n v="0"/>
    <n v="0"/>
    <n v="0"/>
    <n v="0"/>
    <n v="0"/>
    <n v="1"/>
    <n v="0"/>
    <n v="0"/>
    <n v="1"/>
  </r>
  <r>
    <n v="1709"/>
    <d v="2025-07-01T10:33:40"/>
    <d v="2025-07-01T10:37:00"/>
    <s v="tnyauti@lighthouse.org.mw"/>
    <s v="Tamala nyauti"/>
    <x v="2"/>
    <s v="Prototype"/>
    <x v="2"/>
    <s v="COP_23"/>
    <x v="3"/>
    <x v="3"/>
    <s v="Quarter3"/>
    <x v="4"/>
    <x v="7"/>
    <d v="2025-04-01T00:00:00"/>
    <d v="2025-04-30T00:00:00"/>
    <x v="3"/>
    <n v="1"/>
    <n v="0"/>
    <n v="0"/>
    <n v="0"/>
    <n v="0"/>
    <n v="1"/>
    <n v="1"/>
    <n v="1"/>
    <n v="1"/>
    <n v="0"/>
    <n v="0"/>
    <n v="0"/>
    <n v="1"/>
    <n v="1"/>
    <n v="0"/>
    <n v="0"/>
    <n v="0"/>
    <n v="0"/>
    <n v="0"/>
    <n v="0"/>
    <n v="1"/>
    <n v="0"/>
    <n v="0"/>
    <n v="0"/>
  </r>
  <r>
    <n v="1710"/>
    <d v="2025-07-01T10:37:03"/>
    <d v="2025-07-01T10:39:03"/>
    <s v="tnyauti@lighthouse.org.mw"/>
    <s v="Tamala nyauti"/>
    <x v="2"/>
    <s v="Prototype"/>
    <x v="2"/>
    <s v="COP_23"/>
    <x v="3"/>
    <x v="3"/>
    <s v="Quarter3"/>
    <x v="4"/>
    <x v="7"/>
    <d v="2025-04-01T00:00:00"/>
    <d v="2025-04-30T00:00:00"/>
    <x v="4"/>
    <n v="0"/>
    <n v="0"/>
    <n v="0"/>
    <n v="0"/>
    <n v="0"/>
    <n v="0"/>
    <n v="0"/>
    <n v="0"/>
    <n v="0"/>
    <n v="0"/>
    <n v="0"/>
    <n v="0"/>
    <n v="0"/>
    <n v="0"/>
    <n v="0"/>
    <n v="0"/>
    <n v="0"/>
    <n v="0"/>
    <n v="0"/>
    <n v="0"/>
    <n v="0"/>
    <n v="0"/>
    <n v="0"/>
    <n v="0"/>
  </r>
  <r>
    <n v="1711"/>
    <d v="2025-07-01T10:39:13"/>
    <d v="2025-07-01T10:42:18"/>
    <s v="tnyauti@lighthouse.org.mw"/>
    <s v="Tamala nyauti"/>
    <x v="2"/>
    <s v="Prototype"/>
    <x v="2"/>
    <s v="COP_23"/>
    <x v="3"/>
    <x v="3"/>
    <s v="Quarter3"/>
    <x v="4"/>
    <x v="7"/>
    <d v="2025-04-01T00:00:00"/>
    <d v="2025-04-30T00:00:00"/>
    <x v="5"/>
    <n v="2"/>
    <n v="1"/>
    <n v="2"/>
    <n v="0"/>
    <n v="0"/>
    <n v="0"/>
    <n v="2"/>
    <n v="2"/>
    <n v="2"/>
    <n v="0"/>
    <n v="0"/>
    <n v="0"/>
    <n v="2"/>
    <n v="2"/>
    <n v="0"/>
    <n v="0"/>
    <n v="0"/>
    <n v="0"/>
    <n v="0"/>
    <n v="0"/>
    <n v="2"/>
    <n v="0"/>
    <n v="0"/>
    <n v="0"/>
  </r>
  <r>
    <n v="1712"/>
    <d v="2025-07-01T10:42:24"/>
    <d v="2025-07-01T10:52:27"/>
    <s v="tnyauti@lighthouse.org.mw"/>
    <s v="Tamala nyauti"/>
    <x v="2"/>
    <s v="Prototype"/>
    <x v="2"/>
    <s v="COP_23"/>
    <x v="3"/>
    <x v="3"/>
    <s v="Quarter3"/>
    <x v="4"/>
    <x v="7"/>
    <d v="2025-04-01T00:00:00"/>
    <d v="2025-04-30T00:00:00"/>
    <x v="2"/>
    <n v="23"/>
    <n v="2"/>
    <n v="22"/>
    <n v="0"/>
    <n v="0"/>
    <n v="1"/>
    <n v="23"/>
    <n v="6"/>
    <n v="6"/>
    <n v="0"/>
    <n v="0"/>
    <n v="0"/>
    <n v="6"/>
    <n v="4"/>
    <n v="0"/>
    <n v="0"/>
    <n v="0"/>
    <n v="0"/>
    <n v="0"/>
    <n v="0"/>
    <n v="4"/>
    <n v="0"/>
    <n v="0"/>
    <n v="0"/>
  </r>
  <r>
    <n v="1713"/>
    <d v="2025-07-01T15:53:51"/>
    <d v="2025-07-01T15:54:42"/>
    <s v="tnyauti@lighthouse.org.mw"/>
    <s v="Tamala nyauti"/>
    <x v="2"/>
    <s v="Prototype"/>
    <x v="2"/>
    <s v="COP_23"/>
    <x v="3"/>
    <x v="3"/>
    <s v="Quarter3"/>
    <x v="4"/>
    <x v="7"/>
    <d v="2025-04-01T00:00:00"/>
    <d v="2025-04-30T00:00:00"/>
    <x v="2"/>
    <n v="17"/>
    <n v="2"/>
    <n v="14"/>
    <n v="1"/>
    <n v="2"/>
    <n v="0"/>
    <n v="17"/>
    <n v="4"/>
    <n v="4"/>
    <n v="0"/>
    <n v="0"/>
    <n v="0"/>
    <n v="4"/>
    <n v="3"/>
    <n v="0"/>
    <n v="0"/>
    <n v="0"/>
    <n v="0"/>
    <n v="0"/>
    <n v="0"/>
    <n v="3"/>
    <n v="0"/>
    <n v="0"/>
    <n v="0"/>
  </r>
  <r>
    <n v="1714"/>
    <d v="2025-07-01T15:54:49"/>
    <d v="2025-07-01T16:05:15"/>
    <s v="tnyauti@lighthouse.org.mw"/>
    <s v="Tamala nyauti"/>
    <x v="2"/>
    <s v="Prototype"/>
    <x v="2"/>
    <s v="COP_23"/>
    <x v="3"/>
    <x v="3"/>
    <s v="Quarter3"/>
    <x v="4"/>
    <x v="7"/>
    <d v="2025-04-01T00:00:00"/>
    <d v="2025-04-30T00:00:00"/>
    <x v="4"/>
    <n v="2"/>
    <n v="0"/>
    <n v="1"/>
    <n v="0"/>
    <n v="1"/>
    <n v="0"/>
    <n v="2"/>
    <n v="1"/>
    <n v="1"/>
    <n v="0"/>
    <n v="0"/>
    <n v="0"/>
    <n v="1"/>
    <n v="1"/>
    <n v="0"/>
    <n v="0"/>
    <n v="0"/>
    <n v="0"/>
    <n v="0"/>
    <n v="0"/>
    <n v="1"/>
    <n v="0"/>
    <n v="0"/>
    <n v="0"/>
  </r>
  <r>
    <n v="1715"/>
    <d v="2025-07-01T16:05:36"/>
    <d v="2025-07-01T16:08:56"/>
    <s v="tnyauti@lighthouse.org.mw"/>
    <s v="Tamala nyauti"/>
    <x v="2"/>
    <s v="Prototype"/>
    <x v="2"/>
    <s v="COP_23"/>
    <x v="3"/>
    <x v="3"/>
    <s v="Quarter3"/>
    <x v="4"/>
    <x v="7"/>
    <d v="2025-04-01T00:00:00"/>
    <d v="2025-04-30T00:00:00"/>
    <x v="3"/>
    <n v="2"/>
    <n v="0"/>
    <n v="2"/>
    <n v="0"/>
    <n v="0"/>
    <n v="0"/>
    <n v="2"/>
    <n v="1"/>
    <n v="1"/>
    <n v="0"/>
    <n v="0"/>
    <n v="0"/>
    <n v="1"/>
    <n v="1"/>
    <n v="0"/>
    <n v="0"/>
    <n v="0"/>
    <n v="0"/>
    <n v="0"/>
    <n v="0"/>
    <n v="1"/>
    <n v="0"/>
    <n v="0"/>
    <n v="0"/>
  </r>
  <r>
    <n v="1716"/>
    <d v="2025-07-01T16:09:08"/>
    <d v="2025-07-01T16:16:39"/>
    <s v="tnyauti@lighthouse.org.mw"/>
    <s v="Tamala nyauti"/>
    <x v="2"/>
    <s v="Prototype"/>
    <x v="2"/>
    <s v="COP_23"/>
    <x v="3"/>
    <x v="3"/>
    <s v="Quarter3"/>
    <x v="4"/>
    <x v="7"/>
    <d v="2025-04-01T00:00:00"/>
    <d v="2025-04-30T00:00:00"/>
    <x v="0"/>
    <n v="34"/>
    <n v="2"/>
    <n v="31"/>
    <n v="1"/>
    <n v="2"/>
    <n v="0"/>
    <n v="34"/>
    <n v="6"/>
    <n v="6"/>
    <n v="0"/>
    <n v="0"/>
    <n v="0"/>
    <n v="5"/>
    <n v="5"/>
    <n v="0"/>
    <n v="0"/>
    <n v="0"/>
    <n v="0"/>
    <n v="0"/>
    <n v="0"/>
    <n v="5"/>
    <n v="0"/>
    <n v="0"/>
    <n v="0"/>
  </r>
  <r>
    <n v="1717"/>
    <d v="2025-07-01T16:16:45"/>
    <d v="2025-07-01T16:21:58"/>
    <s v="tnyauti@lighthouse.org.mw"/>
    <s v="Tamala nyauti"/>
    <x v="2"/>
    <s v="Prototype"/>
    <x v="2"/>
    <s v="COP_23"/>
    <x v="3"/>
    <x v="3"/>
    <s v="Quarter3"/>
    <x v="4"/>
    <x v="7"/>
    <d v="2025-04-01T00:00:00"/>
    <d v="2025-04-30T00:00:00"/>
    <x v="1"/>
    <n v="17"/>
    <n v="0"/>
    <n v="17"/>
    <n v="0"/>
    <n v="0"/>
    <n v="0"/>
    <n v="17"/>
    <n v="2"/>
    <n v="2"/>
    <n v="0"/>
    <n v="0"/>
    <n v="0"/>
    <n v="2"/>
    <n v="2"/>
    <n v="0"/>
    <n v="0"/>
    <n v="0"/>
    <n v="0"/>
    <n v="0"/>
    <n v="0"/>
    <n v="2"/>
    <n v="0"/>
    <n v="0"/>
    <n v="0"/>
  </r>
  <r>
    <n v="1718"/>
    <d v="2025-07-01T16:22:07"/>
    <d v="2025-07-01T16:24:55"/>
    <s v="tnyauti@lighthouse.org.mw"/>
    <s v="Tamala nyauti"/>
    <x v="2"/>
    <s v="Prototype"/>
    <x v="2"/>
    <s v="COP_23"/>
    <x v="3"/>
    <x v="3"/>
    <s v="Quarter3"/>
    <x v="4"/>
    <x v="7"/>
    <d v="2025-04-01T00:00:00"/>
    <d v="2025-04-30T00:00:00"/>
    <x v="5"/>
    <n v="0"/>
    <n v="0"/>
    <n v="0"/>
    <n v="0"/>
    <n v="0"/>
    <n v="0"/>
    <n v="0"/>
    <n v="0"/>
    <n v="0"/>
    <n v="0"/>
    <n v="0"/>
    <n v="0"/>
    <n v="0"/>
    <n v="0"/>
    <n v="0"/>
    <n v="0"/>
    <n v="0"/>
    <n v="0"/>
    <n v="0"/>
    <n v="0"/>
    <n v="0"/>
    <n v="0"/>
    <n v="0"/>
    <n v="0"/>
  </r>
  <r>
    <n v="1778"/>
    <d v="2025-07-09T16:33:01"/>
    <d v="2025-07-09T16:37:31"/>
    <s v="tnyauti@lighthouse.org.mw"/>
    <s v="Tamala nyauti"/>
    <x v="2"/>
    <s v="Prototype"/>
    <x v="2"/>
    <s v="COP_23"/>
    <x v="3"/>
    <x v="3"/>
    <s v="Quarter3"/>
    <x v="4"/>
    <x v="8"/>
    <d v="2025-06-01T00:00:00"/>
    <d v="2025-06-30T00:00:00"/>
    <x v="2"/>
    <n v="13"/>
    <n v="0"/>
    <n v="11"/>
    <n v="1"/>
    <n v="1"/>
    <n v="0"/>
    <n v="13"/>
    <n v="3"/>
    <n v="3"/>
    <n v="0"/>
    <n v="0"/>
    <n v="0"/>
    <n v="3"/>
    <n v="1"/>
    <n v="0"/>
    <n v="0"/>
    <n v="0"/>
    <n v="0"/>
    <n v="0"/>
    <n v="0"/>
    <n v="1"/>
    <n v="0"/>
    <n v="0"/>
    <n v="0"/>
  </r>
  <r>
    <n v="1779"/>
    <d v="2025-07-09T16:37:36"/>
    <d v="2025-07-09T16:40:25"/>
    <s v="tnyauti@lighthouse.org.mw"/>
    <s v="Tamala nyauti"/>
    <x v="2"/>
    <s v="Prototype"/>
    <x v="2"/>
    <s v="COP_23"/>
    <x v="3"/>
    <x v="3"/>
    <s v="Quarter3"/>
    <x v="4"/>
    <x v="8"/>
    <d v="2025-06-01T00:00:00"/>
    <d v="2025-06-30T00:00:00"/>
    <x v="5"/>
    <n v="1"/>
    <n v="0"/>
    <n v="1"/>
    <n v="0"/>
    <n v="0"/>
    <n v="0"/>
    <n v="1"/>
    <n v="0"/>
    <n v="0"/>
    <n v="0"/>
    <n v="0"/>
    <n v="0"/>
    <n v="0"/>
    <n v="0"/>
    <n v="0"/>
    <n v="0"/>
    <n v="0"/>
    <n v="0"/>
    <n v="0"/>
    <n v="0"/>
    <n v="0"/>
    <n v="0"/>
    <n v="0"/>
    <n v="0"/>
  </r>
  <r>
    <n v="1780"/>
    <d v="2025-07-09T16:40:31"/>
    <d v="2025-07-09T16:48:07"/>
    <s v="tnyauti@lighthouse.org.mw"/>
    <s v="Tamala nyauti"/>
    <x v="2"/>
    <s v="Prototype"/>
    <x v="2"/>
    <s v="COP_23"/>
    <x v="3"/>
    <x v="3"/>
    <s v="Quarter3"/>
    <x v="4"/>
    <x v="8"/>
    <d v="2025-06-01T00:00:00"/>
    <d v="2025-06-30T00:00:00"/>
    <x v="3"/>
    <n v="0"/>
    <n v="0"/>
    <n v="0"/>
    <n v="0"/>
    <n v="0"/>
    <n v="0"/>
    <n v="0"/>
    <n v="0"/>
    <n v="0"/>
    <n v="0"/>
    <n v="0"/>
    <n v="0"/>
    <n v="0"/>
    <n v="0"/>
    <n v="0"/>
    <n v="0"/>
    <n v="0"/>
    <n v="0"/>
    <n v="0"/>
    <n v="0"/>
    <n v="0"/>
    <n v="0"/>
    <n v="0"/>
    <n v="0"/>
  </r>
  <r>
    <n v="1781"/>
    <d v="2025-07-09T16:48:17"/>
    <d v="2025-07-09T16:50:49"/>
    <s v="tnyauti@lighthouse.org.mw"/>
    <s v="Tamala nyauti"/>
    <x v="2"/>
    <s v="Prototype"/>
    <x v="2"/>
    <s v="COP_23"/>
    <x v="3"/>
    <x v="3"/>
    <s v="Quarter3"/>
    <x v="4"/>
    <x v="8"/>
    <d v="2025-06-01T00:00:00"/>
    <d v="2025-06-30T00:00:00"/>
    <x v="4"/>
    <n v="2"/>
    <n v="0"/>
    <n v="2"/>
    <n v="0"/>
    <n v="0"/>
    <n v="0"/>
    <n v="0"/>
    <n v="2"/>
    <n v="1"/>
    <n v="1"/>
    <n v="0"/>
    <n v="0"/>
    <n v="1"/>
    <n v="1"/>
    <n v="0"/>
    <n v="0"/>
    <n v="0"/>
    <n v="0"/>
    <n v="0"/>
    <n v="0"/>
    <n v="1"/>
    <n v="0"/>
    <n v="0"/>
    <n v="0"/>
  </r>
  <r>
    <n v="1797"/>
    <d v="2025-07-10T15:41:18"/>
    <d v="2025-07-10T15:47:10"/>
    <s v="tnyauti@lighthouse.org.mw"/>
    <s v="Tamala nyauti"/>
    <x v="2"/>
    <s v="Prototype"/>
    <x v="2"/>
    <s v="COP_23"/>
    <x v="3"/>
    <x v="3"/>
    <s v="Quarter3"/>
    <x v="4"/>
    <x v="8"/>
    <d v="2025-06-01T00:00:00"/>
    <d v="2025-07-31T00:00:00"/>
    <x v="0"/>
    <n v="27"/>
    <n v="0"/>
    <n v="22"/>
    <n v="1"/>
    <n v="4"/>
    <n v="0"/>
    <n v="27"/>
    <n v="9"/>
    <n v="7"/>
    <n v="0"/>
    <n v="0"/>
    <n v="0"/>
    <n v="9"/>
    <n v="5"/>
    <n v="0"/>
    <n v="0"/>
    <n v="0"/>
    <n v="0"/>
    <n v="0"/>
    <n v="0"/>
    <n v="5"/>
    <n v="0"/>
    <n v="0"/>
    <n v="0"/>
  </r>
  <r>
    <n v="1798"/>
    <d v="2025-07-10T15:47:15"/>
    <d v="2025-07-10T15:49:41"/>
    <s v="tnyauti@lighthouse.org.mw"/>
    <s v="Tamala nyauti"/>
    <x v="2"/>
    <s v="Prototype"/>
    <x v="2"/>
    <s v="COP_23"/>
    <x v="3"/>
    <x v="3"/>
    <s v="Quarter3"/>
    <x v="4"/>
    <x v="8"/>
    <d v="2025-06-01T00:00:00"/>
    <d v="2025-07-31T00:00:00"/>
    <x v="1"/>
    <n v="14"/>
    <n v="0"/>
    <n v="11"/>
    <n v="0"/>
    <n v="3"/>
    <n v="0"/>
    <n v="14"/>
    <n v="6"/>
    <n v="4"/>
    <n v="0"/>
    <n v="0"/>
    <n v="0"/>
    <n v="6"/>
    <n v="2"/>
    <n v="0"/>
    <n v="0"/>
    <n v="0"/>
    <n v="0"/>
    <n v="0"/>
    <n v="0"/>
    <n v="4"/>
    <n v="0"/>
    <n v="0"/>
    <n v="0"/>
  </r>
  <r>
    <n v="39"/>
    <d v="2023-12-20T10:08:20"/>
    <d v="2023-12-20T10:29:06"/>
    <s v="lkaonga@lighthouse.org.mw"/>
    <s v="Lameck Kaonga"/>
    <x v="3"/>
    <s v="Prototype"/>
    <x v="0"/>
    <s v="COP_23"/>
    <x v="1"/>
    <x v="1"/>
    <s v="Quarter3"/>
    <x v="3"/>
    <x v="10"/>
    <d v="2023-08-01T00:00:00"/>
    <d v="2023-08-31T00:00:00"/>
    <x v="0"/>
    <n v="44"/>
    <n v="0"/>
    <n v="28"/>
    <n v="1"/>
    <n v="15"/>
    <n v="0"/>
    <n v="43"/>
    <n v="9"/>
    <n v="11"/>
    <n v="0"/>
    <n v="0"/>
    <n v="0"/>
    <n v="13"/>
    <n v="0"/>
    <n v="8"/>
    <n v="1"/>
    <n v="5"/>
    <n v="1"/>
    <n v="5"/>
    <n v="0"/>
    <n v="1"/>
    <n v="0"/>
    <n v="0"/>
    <n v="0"/>
  </r>
  <r>
    <n v="82"/>
    <d v="2024-01-12T08:13:54"/>
    <d v="2024-01-12T08:21:15"/>
    <s v="lkaonga@lighthouse.org.mw"/>
    <s v="Lameck Kaonga"/>
    <x v="3"/>
    <s v="Prototype"/>
    <x v="0"/>
    <s v="COP_23"/>
    <x v="0"/>
    <x v="0"/>
    <s v="Quarter1"/>
    <x v="0"/>
    <x v="11"/>
    <d v="2023-12-01T00:00:00"/>
    <d v="2023-12-30T00:00:00"/>
    <x v="0"/>
    <n v="36"/>
    <n v="11"/>
    <n v="29"/>
    <n v="0"/>
    <n v="4"/>
    <n v="3"/>
    <n v="35"/>
    <n v="11"/>
    <n v="11"/>
    <n v="0"/>
    <n v="13"/>
    <n v="2"/>
    <n v="13"/>
    <n v="2"/>
    <n v="3"/>
    <n v="3"/>
    <n v="1"/>
    <n v="0"/>
    <n v="0"/>
    <n v="0"/>
    <n v="2"/>
    <n v="0"/>
    <n v="0"/>
    <n v="0"/>
  </r>
  <r>
    <n v="40"/>
    <d v="2023-12-20T11:16:51"/>
    <d v="2023-12-20T11:17:37"/>
    <s v="lkaonga@lighthouse.org.mw"/>
    <s v="Lameck Kaonga"/>
    <x v="3"/>
    <s v="Prototype"/>
    <x v="0"/>
    <s v="COP_23"/>
    <x v="1"/>
    <x v="1"/>
    <s v="Quarter4"/>
    <x v="1"/>
    <x v="2"/>
    <d v="2023-09-01T00:00:00"/>
    <d v="2023-09-30T00:00:00"/>
    <x v="1"/>
    <n v="28"/>
    <n v="1"/>
    <n v="24"/>
    <n v="0"/>
    <n v="2"/>
    <n v="2"/>
    <n v="25"/>
    <n v="7"/>
    <n v="9"/>
    <n v="0"/>
    <n v="0"/>
    <n v="0"/>
    <n v="10"/>
    <n v="2"/>
    <n v="1"/>
    <n v="1"/>
    <n v="1"/>
    <n v="1"/>
    <n v="0"/>
    <n v="0"/>
    <n v="0"/>
    <n v="0"/>
    <n v="0"/>
    <n v="0"/>
  </r>
  <r>
    <n v="42"/>
    <d v="2023-12-20T11:18:28"/>
    <d v="2023-12-20T11:25:37"/>
    <s v="lkaonga@lighthouse.org.mw"/>
    <s v="Lameck Kaonga"/>
    <x v="3"/>
    <s v="Prototype"/>
    <x v="0"/>
    <s v="COP_23"/>
    <x v="0"/>
    <x v="0"/>
    <s v="Quarter1"/>
    <x v="0"/>
    <x v="0"/>
    <d v="2023-10-01T00:00:00"/>
    <d v="2023-10-31T00:00:00"/>
    <x v="1"/>
    <n v="35"/>
    <n v="0"/>
    <n v="28"/>
    <n v="1"/>
    <n v="6"/>
    <n v="0"/>
    <n v="33"/>
    <n v="8"/>
    <n v="12"/>
    <n v="0"/>
    <n v="1"/>
    <n v="1"/>
    <n v="8"/>
    <n v="0"/>
    <n v="2"/>
    <n v="1"/>
    <n v="1"/>
    <n v="0"/>
    <n v="1"/>
    <n v="0"/>
    <n v="0"/>
    <n v="0"/>
    <n v="0"/>
    <n v="0"/>
  </r>
  <r>
    <n v="51"/>
    <d v="2023-12-20T11:42:30"/>
    <d v="2023-12-20T11:58:11"/>
    <s v="lkaonga@lighthouse.org.mw"/>
    <s v="Lameck Kaonga"/>
    <x v="3"/>
    <s v="Prototype"/>
    <x v="0"/>
    <s v="COP_24"/>
    <x v="0"/>
    <x v="0"/>
    <s v="Quarter1"/>
    <x v="0"/>
    <x v="1"/>
    <d v="2023-11-01T00:00:00"/>
    <d v="2023-11-30T00:00:00"/>
    <x v="1"/>
    <n v="47"/>
    <n v="1"/>
    <n v="39"/>
    <n v="1"/>
    <n v="4"/>
    <n v="3"/>
    <n v="47"/>
    <n v="14"/>
    <n v="14"/>
    <n v="0"/>
    <n v="0"/>
    <n v="0"/>
    <n v="17"/>
    <n v="2"/>
    <n v="6"/>
    <n v="2"/>
    <n v="3"/>
    <n v="0"/>
    <n v="3"/>
    <n v="0"/>
    <n v="1"/>
    <n v="0"/>
    <n v="0"/>
    <n v="0"/>
  </r>
  <r>
    <n v="152"/>
    <d v="2024-02-09T09:04:19"/>
    <d v="2024-02-09T09:08:20"/>
    <s v="eadisoni@lighthouse.org.mw"/>
    <s v="Eliza adisoni"/>
    <x v="3"/>
    <s v="Prototype"/>
    <x v="1"/>
    <s v="COP_23"/>
    <x v="0"/>
    <x v="2"/>
    <s v="Quarter2"/>
    <x v="2"/>
    <x v="4"/>
    <d v="2024-02-08T00:00:00"/>
    <d v="2024-02-08T00:00:00"/>
    <x v="1"/>
    <n v="39"/>
    <n v="1"/>
    <n v="37"/>
    <n v="0"/>
    <n v="0"/>
    <n v="0"/>
    <n v="28"/>
    <n v="11"/>
    <n v="0"/>
    <n v="7"/>
    <n v="0"/>
    <n v="0"/>
    <n v="8"/>
    <n v="1"/>
    <n v="1"/>
    <n v="0"/>
    <n v="0"/>
    <n v="0"/>
    <n v="0"/>
    <n v="0"/>
    <n v="3"/>
    <n v="3"/>
    <n v="0"/>
    <n v="0"/>
  </r>
  <r>
    <n v="186"/>
    <d v="2024-04-03T13:20:07"/>
    <d v="2024-04-03T13:39:28"/>
    <s v="lkaonga@lighthouse.org.mw"/>
    <s v="Lameck Kaonga"/>
    <x v="3"/>
    <s v="Prototype"/>
    <x v="1"/>
    <s v="COP_23"/>
    <x v="0"/>
    <x v="2"/>
    <s v="Quarter2"/>
    <x v="2"/>
    <x v="3"/>
    <d v="2024-03-01T00:00:00"/>
    <d v="2024-03-31T00:00:00"/>
    <x v="1"/>
    <n v="31"/>
    <n v="1"/>
    <n v="33"/>
    <n v="4"/>
    <n v="0"/>
    <n v="3"/>
    <n v="38"/>
    <n v="10"/>
    <n v="10"/>
    <n v="0"/>
    <n v="0"/>
    <n v="0"/>
    <n v="14"/>
    <n v="3"/>
    <n v="6"/>
    <n v="0"/>
    <n v="1"/>
    <n v="1"/>
    <n v="1"/>
    <n v="0"/>
    <n v="3"/>
    <n v="0"/>
    <n v="0"/>
    <n v="0"/>
  </r>
  <r>
    <n v="373"/>
    <d v="2024-05-09T11:18:16"/>
    <d v="2024-05-09T11:26:18"/>
    <s v="lkaonga@lighthouse.org.mw"/>
    <s v="Lameck Kaonga"/>
    <x v="3"/>
    <s v="Prototype"/>
    <x v="1"/>
    <s v="COP_23"/>
    <x v="0"/>
    <x v="3"/>
    <s v="Quarter3"/>
    <x v="3"/>
    <x v="7"/>
    <d v="2024-04-01T00:00:00"/>
    <d v="2024-05-31T00:00:00"/>
    <x v="1"/>
    <n v="30"/>
    <n v="1"/>
    <n v="1"/>
    <n v="0"/>
    <n v="2"/>
    <n v="1"/>
    <n v="29"/>
    <n v="6"/>
    <n v="6"/>
    <n v="0"/>
    <n v="7"/>
    <n v="0"/>
    <n v="2"/>
    <n v="0"/>
    <n v="0"/>
    <n v="0"/>
    <n v="0"/>
    <n v="0"/>
    <n v="0"/>
    <n v="0"/>
    <n v="0"/>
    <n v="0"/>
    <n v="0"/>
    <n v="0"/>
  </r>
  <r>
    <n v="590"/>
    <d v="2024-07-10T10:43:26"/>
    <d v="2024-07-10T10:53:18"/>
    <s v="lkaonga@lighthouse.org.mw"/>
    <s v="Lameck Kaonga"/>
    <x v="3"/>
    <s v="Prototype"/>
    <x v="1"/>
    <s v="COP_23"/>
    <x v="0"/>
    <x v="3"/>
    <s v="Quarter3"/>
    <x v="3"/>
    <x v="8"/>
    <d v="2024-06-01T00:00:00"/>
    <d v="2024-06-30T00:00:00"/>
    <x v="1"/>
    <n v="12"/>
    <n v="0"/>
    <n v="7"/>
    <n v="4"/>
    <n v="1"/>
    <n v="0"/>
    <n v="11"/>
    <n v="4"/>
    <n v="0"/>
    <n v="0"/>
    <n v="0"/>
    <n v="0"/>
    <n v="0"/>
    <n v="0"/>
    <n v="0"/>
    <n v="0"/>
    <n v="0"/>
    <n v="0"/>
    <n v="0"/>
    <n v="0"/>
    <n v="0"/>
    <n v="0"/>
    <n v="0"/>
    <n v="0"/>
  </r>
  <r>
    <n v="738"/>
    <d v="2024-08-09T09:32:56"/>
    <d v="2024-08-09T09:35:49"/>
    <s v="eadisoni@lighthouse.org.mw"/>
    <s v="Eliza adisoni"/>
    <x v="3"/>
    <s v="Prototype"/>
    <x v="1"/>
    <s v="COP_23"/>
    <x v="0"/>
    <x v="1"/>
    <s v="Quarter4"/>
    <x v="1"/>
    <x v="9"/>
    <d v="2024-08-08T00:00:00"/>
    <d v="2024-08-08T00:00:00"/>
    <x v="1"/>
    <n v="34"/>
    <n v="9"/>
    <n v="31"/>
    <n v="1"/>
    <n v="1"/>
    <n v="1"/>
    <n v="0"/>
    <n v="0"/>
    <n v="6"/>
    <n v="0"/>
    <n v="0"/>
    <n v="0"/>
    <n v="1"/>
    <n v="1"/>
    <n v="0"/>
    <n v="0"/>
    <n v="0"/>
    <n v="0"/>
    <n v="0"/>
    <n v="0"/>
    <n v="1"/>
    <n v="0"/>
    <n v="0"/>
    <n v="0"/>
  </r>
  <r>
    <n v="762"/>
    <d v="2024-08-16T17:42:25"/>
    <d v="2024-08-16T17:48:59"/>
    <s v="lkaonga@lighthouse.org.mw"/>
    <s v="Lameck Kaonga"/>
    <x v="3"/>
    <s v="Prototype"/>
    <x v="1"/>
    <s v="COP_23"/>
    <x v="0"/>
    <x v="2"/>
    <s v="Quarter2"/>
    <x v="2"/>
    <x v="5"/>
    <d v="2024-02-01T00:00:00"/>
    <d v="2024-02-29T00:00:00"/>
    <x v="1"/>
    <n v="42"/>
    <n v="1"/>
    <n v="39"/>
    <n v="0"/>
    <n v="1"/>
    <n v="2"/>
    <n v="42"/>
    <n v="11"/>
    <n v="8"/>
    <n v="0"/>
    <n v="1"/>
    <n v="0"/>
    <n v="16"/>
    <n v="10"/>
    <n v="5"/>
    <n v="2"/>
    <n v="0"/>
    <n v="0"/>
    <n v="0"/>
    <n v="0"/>
    <n v="10"/>
    <n v="0"/>
    <n v="0"/>
    <n v="0"/>
  </r>
  <r>
    <n v="763"/>
    <d v="2024-08-16T17:52:57"/>
    <d v="2024-08-16T17:59:00"/>
    <s v="lkaonga@lighthouse.org.mw"/>
    <s v="Lameck Kaonga"/>
    <x v="3"/>
    <s v="Prototype"/>
    <x v="1"/>
    <s v="COP_23"/>
    <x v="0"/>
    <x v="3"/>
    <s v="Quarter3"/>
    <x v="3"/>
    <x v="6"/>
    <d v="2024-05-01T00:00:00"/>
    <d v="2024-05-31T00:00:00"/>
    <x v="1"/>
    <n v="41"/>
    <n v="0"/>
    <n v="37"/>
    <n v="4"/>
    <n v="1"/>
    <n v="0"/>
    <n v="40"/>
    <n v="10"/>
    <n v="0"/>
    <n v="0"/>
    <n v="0"/>
    <n v="0"/>
    <n v="0"/>
    <n v="0"/>
    <n v="0"/>
    <n v="0"/>
    <n v="0"/>
    <n v="0"/>
    <n v="0"/>
    <n v="0"/>
    <n v="0"/>
    <n v="0"/>
    <n v="0"/>
    <n v="0"/>
  </r>
  <r>
    <n v="829"/>
    <d v="2024-09-24T13:55:00"/>
    <d v="2024-09-24T13:57:53"/>
    <s v="eadisoni@lighthouse.org.mw"/>
    <s v="Eliza adisoni"/>
    <x v="3"/>
    <s v="Prototype"/>
    <x v="1"/>
    <s v="COP_23"/>
    <x v="0"/>
    <x v="1"/>
    <s v="Quarter4"/>
    <x v="1"/>
    <x v="10"/>
    <d v="2024-08-01T00:00:00"/>
    <d v="2024-08-30T00:00:00"/>
    <x v="1"/>
    <n v="32"/>
    <n v="0"/>
    <n v="32"/>
    <n v="0"/>
    <n v="0"/>
    <n v="0"/>
    <n v="0"/>
    <n v="12"/>
    <n v="5"/>
    <n v="0"/>
    <n v="0"/>
    <n v="0"/>
    <n v="1"/>
    <n v="0"/>
    <n v="0"/>
    <n v="0"/>
    <n v="0"/>
    <n v="0"/>
    <n v="0"/>
    <n v="0"/>
    <n v="0"/>
    <n v="0"/>
    <n v="0"/>
    <n v="0"/>
  </r>
  <r>
    <n v="976"/>
    <d v="2024-10-22T07:47:39"/>
    <d v="2024-10-22T07:58:03"/>
    <s v="lkaonga@lighthouse.org.mw"/>
    <s v="Lameck Kaonga"/>
    <x v="3"/>
    <s v="Prototype"/>
    <x v="1"/>
    <s v="COP_23"/>
    <x v="0"/>
    <x v="1"/>
    <s v="Quarter4"/>
    <x v="1"/>
    <x v="2"/>
    <d v="2024-09-01T00:00:00"/>
    <d v="2024-09-30T00:00:00"/>
    <x v="1"/>
    <n v="38"/>
    <n v="0"/>
    <n v="30"/>
    <n v="4"/>
    <n v="3"/>
    <n v="1"/>
    <n v="21"/>
    <n v="10"/>
    <n v="10"/>
    <n v="0"/>
    <n v="0"/>
    <n v="0"/>
    <n v="11"/>
    <n v="1"/>
    <n v="0"/>
    <n v="1"/>
    <n v="0"/>
    <n v="0"/>
    <n v="0"/>
    <n v="0"/>
    <n v="0"/>
    <n v="0"/>
    <n v="0"/>
    <n v="0"/>
  </r>
  <r>
    <n v="1028"/>
    <d v="2024-11-06T08:12:45"/>
    <d v="2024-11-06T08:15:25"/>
    <s v="eadisoni@lighthouse.org.mw"/>
    <s v="Eliza adisoni"/>
    <x v="3"/>
    <s v="Prototype"/>
    <x v="1"/>
    <s v="COP_23"/>
    <x v="2"/>
    <x v="0"/>
    <s v="Quarter1"/>
    <x v="0"/>
    <x v="0"/>
    <d v="2024-10-01T00:00:00"/>
    <d v="2024-10-31T00:00:00"/>
    <x v="1"/>
    <n v="36"/>
    <n v="0"/>
    <n v="30"/>
    <n v="2"/>
    <n v="3"/>
    <n v="1"/>
    <n v="31"/>
    <n v="14"/>
    <n v="0"/>
    <n v="0"/>
    <n v="0"/>
    <n v="0"/>
    <n v="3"/>
    <n v="0"/>
    <n v="0"/>
    <n v="0"/>
    <n v="0"/>
    <n v="0"/>
    <n v="0"/>
    <n v="0"/>
    <n v="0"/>
    <n v="0"/>
    <n v="0"/>
    <n v="0"/>
  </r>
  <r>
    <n v="311"/>
    <d v="2024-04-26T14:13:06"/>
    <d v="2024-04-26T14:29:07"/>
    <s v="lkaonga@lighthouse.org.mw"/>
    <s v="Lameck Kaonga"/>
    <x v="3"/>
    <s v="Prototype"/>
    <x v="1"/>
    <s v="COP_23"/>
    <x v="0"/>
    <x v="2"/>
    <s v="Quarter2"/>
    <x v="2"/>
    <x v="3"/>
    <d v="2024-03-01T00:00:00"/>
    <d v="2024-03-31T00:00:00"/>
    <x v="3"/>
    <n v="0"/>
    <n v="0"/>
    <n v="0"/>
    <n v="0"/>
    <n v="0"/>
    <n v="0"/>
    <n v="0"/>
    <n v="0"/>
    <n v="0"/>
    <n v="0"/>
    <n v="0"/>
    <n v="0"/>
    <n v="0"/>
    <n v="0"/>
    <n v="0"/>
    <n v="0"/>
    <n v="0"/>
    <n v="0"/>
    <n v="0"/>
    <n v="0"/>
    <n v="0"/>
    <n v="0"/>
    <n v="0"/>
    <n v="0"/>
  </r>
  <r>
    <n v="312"/>
    <d v="2024-04-26T14:41:46"/>
    <d v="2024-04-26T14:47:57"/>
    <s v="lkaonga@lighthouse.org.mw"/>
    <s v="Lameck Kaonga"/>
    <x v="3"/>
    <s v="Prototype"/>
    <x v="1"/>
    <s v="COP_23"/>
    <x v="0"/>
    <x v="2"/>
    <s v="Quarter2"/>
    <x v="2"/>
    <x v="3"/>
    <d v="2024-03-01T00:00:00"/>
    <d v="2024-03-31T00:00:00"/>
    <x v="4"/>
    <n v="0"/>
    <n v="0"/>
    <n v="0"/>
    <n v="0"/>
    <n v="0"/>
    <n v="0"/>
    <n v="0"/>
    <n v="0"/>
    <n v="0"/>
    <n v="0"/>
    <n v="0"/>
    <n v="0"/>
    <n v="0"/>
    <n v="0"/>
    <n v="0"/>
    <n v="0"/>
    <n v="0"/>
    <n v="0"/>
    <n v="0"/>
    <n v="0"/>
    <n v="0"/>
    <n v="0"/>
    <n v="0"/>
    <n v="0"/>
  </r>
  <r>
    <n v="313"/>
    <d v="2024-04-26T14:48:41"/>
    <d v="2024-04-26T14:49:42"/>
    <s v="lkaonga@lighthouse.org.mw"/>
    <s v="Lameck Kaonga"/>
    <x v="3"/>
    <s v="Prototype"/>
    <x v="1"/>
    <s v="COP_23"/>
    <x v="0"/>
    <x v="2"/>
    <s v="Quarter2"/>
    <x v="2"/>
    <x v="3"/>
    <d v="2024-03-01T00:00:00"/>
    <d v="2024-03-31T00:00:00"/>
    <x v="5"/>
    <n v="0"/>
    <n v="0"/>
    <n v="0"/>
    <n v="0"/>
    <n v="0"/>
    <n v="0"/>
    <n v="0"/>
    <n v="0"/>
    <n v="0"/>
    <n v="0"/>
    <n v="0"/>
    <n v="0"/>
    <n v="0"/>
    <n v="0"/>
    <n v="0"/>
    <n v="0"/>
    <n v="0"/>
    <n v="0"/>
    <n v="0"/>
    <n v="0"/>
    <n v="0"/>
    <n v="0"/>
    <n v="0"/>
    <n v="0"/>
  </r>
  <r>
    <n v="315"/>
    <d v="2024-04-26T14:52:51"/>
    <d v="2024-04-26T14:53:58"/>
    <s v="lkaonga@lighthouse.org.mw"/>
    <s v="Lameck Kaonga"/>
    <x v="3"/>
    <s v="Prototype"/>
    <x v="1"/>
    <s v="COP_23"/>
    <x v="0"/>
    <x v="2"/>
    <s v="Quarter2"/>
    <x v="2"/>
    <x v="3"/>
    <d v="2024-03-01T00:00:00"/>
    <d v="2024-03-31T00:00:00"/>
    <x v="6"/>
    <n v="0"/>
    <n v="0"/>
    <n v="0"/>
    <n v="0"/>
    <n v="0"/>
    <n v="0"/>
    <n v="0"/>
    <n v="0"/>
    <n v="0"/>
    <n v="0"/>
    <n v="0"/>
    <n v="0"/>
    <n v="0"/>
    <n v="0"/>
    <n v="0"/>
    <n v="0"/>
    <n v="0"/>
    <n v="0"/>
    <n v="0"/>
    <n v="0"/>
    <n v="0"/>
    <n v="0"/>
    <n v="0"/>
    <n v="0"/>
  </r>
  <r>
    <n v="314"/>
    <d v="2024-04-26T14:51:13"/>
    <d v="2024-04-26T14:52:43"/>
    <s v="lkaonga@lighthouse.org.mw"/>
    <s v="Lameck Kaonga"/>
    <x v="3"/>
    <s v="Prototype"/>
    <x v="1"/>
    <s v="COP_23"/>
    <x v="0"/>
    <x v="2"/>
    <s v="Quarter2"/>
    <x v="2"/>
    <x v="3"/>
    <d v="2024-03-01T00:00:00"/>
    <d v="2024-05-31T00:00:00"/>
    <x v="2"/>
    <n v="0"/>
    <n v="0"/>
    <n v="0"/>
    <n v="0"/>
    <n v="0"/>
    <n v="0"/>
    <n v="0"/>
    <n v="0"/>
    <n v="0"/>
    <n v="0"/>
    <n v="0"/>
    <n v="0"/>
    <n v="0"/>
    <n v="0"/>
    <n v="0"/>
    <n v="0"/>
    <n v="0"/>
    <n v="0"/>
    <n v="0"/>
    <n v="0"/>
    <n v="0"/>
    <n v="0"/>
    <n v="0"/>
    <n v="0"/>
  </r>
  <r>
    <n v="384"/>
    <d v="2024-05-09T14:01:19"/>
    <d v="2024-05-09T14:02:36"/>
    <s v="eadisoni@lighthouse.org.mw"/>
    <s v="Eliza adisoni"/>
    <x v="3"/>
    <s v="Prototype"/>
    <x v="1"/>
    <s v="COP_23"/>
    <x v="0"/>
    <x v="3"/>
    <s v="Quarter3"/>
    <x v="3"/>
    <x v="7"/>
    <d v="2024-05-08T00:00:00"/>
    <d v="2024-05-08T00:00:00"/>
    <x v="2"/>
    <n v="0"/>
    <n v="0"/>
    <n v="0"/>
    <n v="0"/>
    <n v="0"/>
    <n v="0"/>
    <n v="0"/>
    <n v="0"/>
    <n v="0"/>
    <n v="0"/>
    <n v="0"/>
    <n v="0"/>
    <n v="0"/>
    <n v="0"/>
    <n v="0"/>
    <n v="0"/>
    <n v="0"/>
    <n v="0"/>
    <n v="0"/>
    <n v="0"/>
    <n v="0"/>
    <n v="0"/>
    <n v="0"/>
    <n v="0"/>
  </r>
  <r>
    <n v="388"/>
    <d v="2024-05-09T14:09:04"/>
    <d v="2024-05-09T14:10:54"/>
    <s v="eadisoni@lighthouse.org.mw"/>
    <s v="Eliza adisoni"/>
    <x v="3"/>
    <s v="Prototype"/>
    <x v="1"/>
    <s v="COP_23"/>
    <x v="0"/>
    <x v="2"/>
    <s v="Quarter2"/>
    <x v="2"/>
    <x v="4"/>
    <d v="2024-02-05T00:00:00"/>
    <d v="2024-02-05T00:00:00"/>
    <x v="2"/>
    <n v="0"/>
    <n v="0"/>
    <n v="0"/>
    <n v="0"/>
    <n v="0"/>
    <n v="0"/>
    <n v="0"/>
    <n v="0"/>
    <n v="0"/>
    <n v="0"/>
    <n v="0"/>
    <n v="0"/>
    <n v="0"/>
    <n v="0"/>
    <n v="0"/>
    <n v="0"/>
    <n v="0"/>
    <n v="0"/>
    <n v="0"/>
    <n v="0"/>
    <n v="0"/>
    <n v="0"/>
    <n v="0"/>
    <n v="0"/>
  </r>
  <r>
    <n v="391"/>
    <d v="2024-05-09T14:15:00"/>
    <d v="2024-05-09T14:16:25"/>
    <s v="eadisoni@lighthouse.org.mw"/>
    <s v="Eliza adisoni"/>
    <x v="3"/>
    <s v="Prototype"/>
    <x v="1"/>
    <s v="COP_23"/>
    <x v="0"/>
    <x v="2"/>
    <s v="Quarter2"/>
    <x v="2"/>
    <x v="5"/>
    <d v="2024-03-05T00:00:00"/>
    <d v="2024-03-05T00:00:00"/>
    <x v="2"/>
    <n v="0"/>
    <n v="0"/>
    <n v="0"/>
    <n v="0"/>
    <n v="0"/>
    <n v="0"/>
    <n v="0"/>
    <n v="0"/>
    <n v="0"/>
    <n v="0"/>
    <n v="0"/>
    <n v="0"/>
    <n v="0"/>
    <n v="0"/>
    <n v="0"/>
    <n v="0"/>
    <n v="0"/>
    <n v="0"/>
    <n v="0"/>
    <n v="0"/>
    <n v="0"/>
    <n v="0"/>
    <n v="0"/>
    <n v="0"/>
  </r>
  <r>
    <n v="372"/>
    <d v="2024-05-09T11:13:46"/>
    <d v="2024-05-09T11:16:10"/>
    <s v="lkaonga@lighthouse.org.mw"/>
    <s v="Lameck Kaonga"/>
    <x v="3"/>
    <s v="Prototype"/>
    <x v="1"/>
    <s v="COP_23"/>
    <x v="0"/>
    <x v="3"/>
    <s v="Quarter3"/>
    <x v="3"/>
    <x v="7"/>
    <d v="2024-04-01T00:00:00"/>
    <d v="2024-04-30T00:00:00"/>
    <x v="0"/>
    <n v="40"/>
    <n v="1"/>
    <n v="35"/>
    <n v="0"/>
    <n v="4"/>
    <n v="1"/>
    <n v="39"/>
    <n v="8"/>
    <n v="10"/>
    <n v="0"/>
    <n v="0"/>
    <n v="0"/>
    <n v="12"/>
    <n v="0"/>
    <n v="1"/>
    <n v="0"/>
    <n v="0"/>
    <n v="0"/>
    <n v="1"/>
    <n v="0"/>
    <n v="0"/>
    <n v="0"/>
    <n v="0"/>
    <n v="0"/>
  </r>
  <r>
    <n v="396"/>
    <d v="2024-05-09T14:21:57"/>
    <d v="2024-05-09T14:23:29"/>
    <s v="eadisoni@lighthouse.org.mw"/>
    <s v="Eliza adisoni"/>
    <x v="3"/>
    <s v="Prototype"/>
    <x v="1"/>
    <s v="COP_23"/>
    <x v="0"/>
    <x v="2"/>
    <s v="Quarter2"/>
    <x v="2"/>
    <x v="3"/>
    <d v="2024-04-03T00:00:00"/>
    <d v="2024-04-03T00:00:00"/>
    <x v="2"/>
    <n v="0"/>
    <n v="0"/>
    <n v="0"/>
    <n v="0"/>
    <n v="0"/>
    <n v="0"/>
    <n v="0"/>
    <n v="0"/>
    <n v="0"/>
    <n v="0"/>
    <n v="0"/>
    <n v="0"/>
    <n v="0"/>
    <n v="0"/>
    <n v="0"/>
    <n v="0"/>
    <n v="0"/>
    <n v="0"/>
    <n v="0"/>
    <n v="0"/>
    <n v="0"/>
    <n v="0"/>
    <n v="0"/>
    <n v="0"/>
  </r>
  <r>
    <n v="734"/>
    <d v="2024-08-09T08:04:25"/>
    <d v="2024-08-09T08:18:29"/>
    <s v="eadisoni@lighthouse.org.mw"/>
    <s v="Eliza adisoni"/>
    <x v="3"/>
    <s v="Prototype"/>
    <x v="1"/>
    <s v="COP_23"/>
    <x v="0"/>
    <x v="3"/>
    <s v="Quarter3"/>
    <x v="3"/>
    <x v="8"/>
    <d v="2024-06-07T00:00:00"/>
    <d v="2024-06-07T00:00:00"/>
    <x v="2"/>
    <n v="17"/>
    <n v="0"/>
    <n v="17"/>
    <n v="0"/>
    <n v="0"/>
    <n v="0"/>
    <n v="0"/>
    <n v="4"/>
    <n v="0"/>
    <n v="0"/>
    <n v="0"/>
    <n v="0"/>
    <n v="0"/>
    <n v="0"/>
    <n v="0"/>
    <n v="0"/>
    <n v="0"/>
    <n v="0"/>
    <n v="0"/>
    <n v="0"/>
    <n v="0"/>
    <n v="0"/>
    <n v="0"/>
    <n v="0"/>
  </r>
  <r>
    <n v="740"/>
    <d v="2024-08-09T09:40:15"/>
    <d v="2024-08-09T09:43:37"/>
    <s v="eadisoni@lighthouse.org.mw"/>
    <s v="Eliza adisoni"/>
    <x v="3"/>
    <s v="Prototype"/>
    <x v="1"/>
    <s v="COP_23"/>
    <x v="0"/>
    <x v="1"/>
    <s v="Quarter4"/>
    <x v="1"/>
    <x v="9"/>
    <d v="2024-08-08T00:00:00"/>
    <d v="2024-08-08T00:00:00"/>
    <x v="2"/>
    <n v="28"/>
    <n v="0"/>
    <n v="26"/>
    <n v="1"/>
    <n v="1"/>
    <n v="0"/>
    <n v="27"/>
    <n v="6"/>
    <n v="4"/>
    <n v="0"/>
    <n v="0"/>
    <n v="0"/>
    <n v="0"/>
    <n v="0"/>
    <n v="0"/>
    <n v="0"/>
    <n v="0"/>
    <n v="0"/>
    <n v="0"/>
    <n v="0"/>
    <n v="0"/>
    <n v="0"/>
    <n v="0"/>
    <n v="0"/>
  </r>
  <r>
    <n v="381"/>
    <d v="2024-05-09T13:52:07"/>
    <d v="2024-05-09T13:56:09"/>
    <s v="eadisoni@lighthouse.org.mw"/>
    <s v="Eliza adisoni"/>
    <x v="3"/>
    <s v="Prototype"/>
    <x v="1"/>
    <s v="COP_23"/>
    <x v="0"/>
    <x v="3"/>
    <s v="Quarter3"/>
    <x v="3"/>
    <x v="7"/>
    <d v="2024-05-08T00:00:00"/>
    <d v="2024-05-08T00:00:00"/>
    <x v="4"/>
    <n v="2"/>
    <n v="0"/>
    <n v="1"/>
    <n v="0"/>
    <n v="1"/>
    <n v="0"/>
    <n v="0"/>
    <n v="2"/>
    <n v="1"/>
    <n v="0"/>
    <n v="0"/>
    <n v="0"/>
    <n v="1"/>
    <n v="0"/>
    <n v="0"/>
    <n v="0"/>
    <n v="0"/>
    <n v="0"/>
    <n v="0"/>
    <n v="0"/>
    <n v="0"/>
    <n v="0"/>
    <n v="0"/>
    <n v="0"/>
  </r>
  <r>
    <n v="382"/>
    <d v="2024-05-09T13:56:19"/>
    <d v="2024-05-09T13:58:09"/>
    <s v="eadisoni@lighthouse.org.mw"/>
    <s v="Eliza adisoni"/>
    <x v="3"/>
    <s v="Prototype"/>
    <x v="1"/>
    <s v="COP_23"/>
    <x v="0"/>
    <x v="3"/>
    <s v="Quarter3"/>
    <x v="3"/>
    <x v="7"/>
    <d v="2024-05-08T00:00:00"/>
    <d v="2024-05-08T00:00:00"/>
    <x v="3"/>
    <n v="1"/>
    <n v="0"/>
    <n v="1"/>
    <n v="0"/>
    <n v="0"/>
    <n v="0"/>
    <n v="1"/>
    <n v="0"/>
    <n v="0"/>
    <n v="0"/>
    <n v="0"/>
    <n v="0"/>
    <n v="0"/>
    <n v="0"/>
    <n v="0"/>
    <n v="0"/>
    <n v="0"/>
    <n v="0"/>
    <n v="0"/>
    <n v="0"/>
    <n v="0"/>
    <n v="0"/>
    <n v="0"/>
    <n v="0"/>
  </r>
  <r>
    <n v="383"/>
    <d v="2024-05-09T13:58:21"/>
    <d v="2024-05-09T14:01:09"/>
    <s v="eadisoni@lighthouse.org.mw"/>
    <s v="Eliza adisoni"/>
    <x v="3"/>
    <s v="Prototype"/>
    <x v="1"/>
    <s v="COP_23"/>
    <x v="0"/>
    <x v="3"/>
    <s v="Quarter3"/>
    <x v="3"/>
    <x v="7"/>
    <d v="2024-05-08T00:00:00"/>
    <d v="2024-05-08T00:00:00"/>
    <x v="5"/>
    <n v="5"/>
    <n v="0"/>
    <n v="5"/>
    <n v="0"/>
    <n v="0"/>
    <n v="0"/>
    <n v="5"/>
    <n v="0"/>
    <n v="1"/>
    <n v="0"/>
    <n v="0"/>
    <n v="0"/>
    <n v="1"/>
    <n v="0"/>
    <n v="0"/>
    <n v="0"/>
    <n v="0"/>
    <n v="0"/>
    <n v="0"/>
    <n v="0"/>
    <n v="0"/>
    <n v="0"/>
    <n v="0"/>
    <n v="0"/>
  </r>
  <r>
    <n v="833"/>
    <d v="2024-09-24T14:04:26"/>
    <d v="2024-09-24T14:06:49"/>
    <s v="eadisoni@lighthouse.org.mw"/>
    <s v="Eliza adisoni"/>
    <x v="3"/>
    <s v="Prototype"/>
    <x v="1"/>
    <s v="COP_23"/>
    <x v="0"/>
    <x v="1"/>
    <s v="Quarter4"/>
    <x v="1"/>
    <x v="10"/>
    <d v="2024-08-01T00:00:00"/>
    <d v="2024-08-30T00:00:00"/>
    <x v="2"/>
    <n v="7"/>
    <n v="0"/>
    <n v="7"/>
    <n v="0"/>
    <n v="0"/>
    <n v="0"/>
    <n v="4"/>
    <n v="3"/>
    <n v="0"/>
    <n v="0"/>
    <n v="0"/>
    <n v="0"/>
    <n v="0"/>
    <n v="0"/>
    <n v="0"/>
    <n v="0"/>
    <n v="0"/>
    <n v="0"/>
    <n v="0"/>
    <n v="0"/>
    <n v="0"/>
    <n v="0"/>
    <n v="0"/>
    <n v="0"/>
  </r>
  <r>
    <n v="385"/>
    <d v="2024-05-09T14:04:05"/>
    <d v="2024-05-09T14:06:04"/>
    <s v="eadisoni@lighthouse.org.mw"/>
    <s v="Eliza adisoni"/>
    <x v="3"/>
    <s v="Prototype"/>
    <x v="1"/>
    <s v="COP_23"/>
    <x v="0"/>
    <x v="2"/>
    <s v="Quarter2"/>
    <x v="2"/>
    <x v="4"/>
    <d v="2024-02-05T00:00:00"/>
    <d v="2024-02-05T00:00:00"/>
    <x v="3"/>
    <n v="0"/>
    <n v="0"/>
    <n v="0"/>
    <n v="0"/>
    <n v="0"/>
    <n v="0"/>
    <n v="0"/>
    <n v="0"/>
    <n v="0"/>
    <n v="0"/>
    <n v="0"/>
    <n v="0"/>
    <n v="0"/>
    <n v="0"/>
    <n v="0"/>
    <n v="0"/>
    <n v="0"/>
    <n v="0"/>
    <n v="0"/>
    <n v="0"/>
    <n v="0"/>
    <n v="0"/>
    <n v="0"/>
    <n v="0"/>
  </r>
  <r>
    <n v="386"/>
    <d v="2024-05-09T14:06:10"/>
    <d v="2024-05-09T14:07:43"/>
    <s v="eadisoni@lighthouse.org.mw"/>
    <s v="Eliza adisoni"/>
    <x v="3"/>
    <s v="Prototype"/>
    <x v="1"/>
    <s v="COP_24"/>
    <x v="0"/>
    <x v="2"/>
    <s v="Quarter2"/>
    <x v="2"/>
    <x v="4"/>
    <d v="2024-02-05T00:00:00"/>
    <d v="2024-02-05T00:00:00"/>
    <x v="4"/>
    <n v="0"/>
    <n v="0"/>
    <n v="0"/>
    <n v="0"/>
    <n v="0"/>
    <n v="0"/>
    <n v="0"/>
    <n v="0"/>
    <n v="0"/>
    <n v="0"/>
    <n v="0"/>
    <n v="0"/>
    <n v="0"/>
    <n v="0"/>
    <n v="0"/>
    <n v="0"/>
    <n v="0"/>
    <n v="0"/>
    <n v="0"/>
    <n v="0"/>
    <n v="0"/>
    <n v="0"/>
    <n v="0"/>
    <n v="0"/>
  </r>
  <r>
    <n v="387"/>
    <d v="2024-05-09T14:07:46"/>
    <d v="2024-05-09T14:08:53"/>
    <s v="eadisoni@lighthouse.org.mw"/>
    <s v="Eliza adisoni"/>
    <x v="3"/>
    <s v="Prototype"/>
    <x v="1"/>
    <s v="COP_24"/>
    <x v="0"/>
    <x v="2"/>
    <s v="Quarter2"/>
    <x v="2"/>
    <x v="4"/>
    <d v="2024-02-05T00:00:00"/>
    <d v="2024-02-05T00:00:00"/>
    <x v="5"/>
    <n v="0"/>
    <n v="0"/>
    <n v="0"/>
    <n v="0"/>
    <n v="0"/>
    <n v="0"/>
    <n v="0"/>
    <n v="0"/>
    <n v="0"/>
    <n v="0"/>
    <n v="0"/>
    <n v="0"/>
    <n v="0"/>
    <n v="0"/>
    <n v="0"/>
    <n v="0"/>
    <n v="0"/>
    <n v="0"/>
    <n v="0"/>
    <n v="0"/>
    <n v="0"/>
    <n v="0"/>
    <n v="0"/>
    <n v="0"/>
  </r>
  <r>
    <n v="978"/>
    <d v="2024-10-22T08:04:42"/>
    <d v="2024-10-22T08:31:26"/>
    <s v="lkaonga@lighthouse.org.mw"/>
    <s v="Lameck Kaonga"/>
    <x v="3"/>
    <s v="Prototype"/>
    <x v="1"/>
    <s v="COP_22"/>
    <x v="0"/>
    <x v="1"/>
    <s v="Quarter4"/>
    <x v="1"/>
    <x v="2"/>
    <d v="2024-09-01T00:00:00"/>
    <d v="2024-09-30T00:00:00"/>
    <x v="2"/>
    <n v="11"/>
    <n v="11"/>
    <n v="9"/>
    <n v="1"/>
    <n v="1"/>
    <n v="0"/>
    <n v="11"/>
    <n v="4"/>
    <n v="3"/>
    <n v="0"/>
    <n v="1"/>
    <n v="0"/>
    <n v="0"/>
    <n v="0"/>
    <n v="0"/>
    <n v="0"/>
    <n v="0"/>
    <n v="0"/>
    <n v="0"/>
    <n v="0"/>
    <n v="0"/>
    <n v="0"/>
    <n v="0"/>
    <n v="0"/>
  </r>
  <r>
    <n v="389"/>
    <d v="2024-05-09T14:11:38"/>
    <d v="2024-05-09T14:13:24"/>
    <s v="eadisoni@lighthouse.org.mw"/>
    <s v="Eliza adisoni"/>
    <x v="3"/>
    <s v="Prototype"/>
    <x v="1"/>
    <s v="COP_24"/>
    <x v="0"/>
    <x v="2"/>
    <s v="Quarter2"/>
    <x v="2"/>
    <x v="5"/>
    <d v="2024-03-05T00:00:00"/>
    <d v="2024-03-05T00:00:00"/>
    <x v="3"/>
    <n v="0"/>
    <n v="0"/>
    <n v="0"/>
    <n v="0"/>
    <n v="0"/>
    <n v="0"/>
    <n v="0"/>
    <n v="0"/>
    <n v="0"/>
    <n v="0"/>
    <n v="0"/>
    <n v="0"/>
    <n v="0"/>
    <n v="0"/>
    <n v="0"/>
    <n v="0"/>
    <n v="0"/>
    <n v="0"/>
    <n v="0"/>
    <n v="0"/>
    <n v="0"/>
    <n v="0"/>
    <n v="0"/>
    <n v="0"/>
  </r>
  <r>
    <n v="390"/>
    <d v="2024-05-09T14:13:28"/>
    <d v="2024-05-09T14:14:57"/>
    <s v="eadisoni@lighthouse.org.mw"/>
    <s v="Eliza adisoni"/>
    <x v="3"/>
    <s v="Prototype"/>
    <x v="1"/>
    <s v="COP_24"/>
    <x v="0"/>
    <x v="2"/>
    <s v="Quarter2"/>
    <x v="2"/>
    <x v="5"/>
    <d v="2024-03-05T00:00:00"/>
    <d v="2024-03-05T00:00:00"/>
    <x v="5"/>
    <n v="0"/>
    <n v="0"/>
    <n v="0"/>
    <n v="0"/>
    <n v="0"/>
    <n v="0"/>
    <n v="0"/>
    <n v="0"/>
    <n v="0"/>
    <n v="0"/>
    <n v="0"/>
    <n v="0"/>
    <n v="0"/>
    <n v="0"/>
    <n v="0"/>
    <n v="0"/>
    <n v="0"/>
    <n v="0"/>
    <n v="0"/>
    <n v="0"/>
    <n v="0"/>
    <n v="0"/>
    <n v="0"/>
    <n v="0"/>
  </r>
  <r>
    <n v="1029"/>
    <d v="2024-11-06T08:15:28"/>
    <d v="2024-11-06T08:17:35"/>
    <s v="eadisoni@lighthouse.org.mw"/>
    <s v="Eliza adisoni"/>
    <x v="3"/>
    <s v="Prototype"/>
    <x v="1"/>
    <s v="COP_24"/>
    <x v="2"/>
    <x v="0"/>
    <s v="Quarter1"/>
    <x v="0"/>
    <x v="0"/>
    <d v="2024-10-01T00:00:00"/>
    <d v="2024-10-31T00:00:00"/>
    <x v="2"/>
    <n v="28"/>
    <n v="0"/>
    <n v="28"/>
    <n v="0"/>
    <n v="0"/>
    <n v="0"/>
    <n v="28"/>
    <n v="1"/>
    <n v="0"/>
    <n v="0"/>
    <n v="0"/>
    <n v="0"/>
    <n v="0"/>
    <n v="0"/>
    <n v="0"/>
    <n v="0"/>
    <n v="0"/>
    <n v="0"/>
    <n v="0"/>
    <n v="0"/>
    <n v="0"/>
    <n v="0"/>
    <n v="0"/>
    <n v="0"/>
  </r>
  <r>
    <n v="392"/>
    <d v="2024-05-09T14:16:37"/>
    <d v="2024-05-09T14:17:42"/>
    <s v="eadisoni@lighthouse.org.mw"/>
    <s v="Eliza adisoni"/>
    <x v="3"/>
    <s v="Prototype"/>
    <x v="1"/>
    <s v="COP_24"/>
    <x v="0"/>
    <x v="2"/>
    <s v="Quarter2"/>
    <x v="2"/>
    <x v="3"/>
    <d v="2024-04-03T00:00:00"/>
    <d v="2024-04-03T00:00:00"/>
    <x v="3"/>
    <n v="0"/>
    <n v="0"/>
    <n v="0"/>
    <n v="0"/>
    <n v="0"/>
    <n v="0"/>
    <n v="0"/>
    <n v="0"/>
    <n v="0"/>
    <n v="0"/>
    <n v="0"/>
    <n v="0"/>
    <n v="0"/>
    <n v="0"/>
    <n v="0"/>
    <n v="0"/>
    <n v="0"/>
    <n v="0"/>
    <n v="0"/>
    <n v="0"/>
    <n v="0"/>
    <n v="0"/>
    <n v="0"/>
    <n v="0"/>
  </r>
  <r>
    <n v="393"/>
    <d v="2024-05-09T14:17:49"/>
    <d v="2024-05-09T14:19:11"/>
    <s v="eadisoni@lighthouse.org.mw"/>
    <s v="Eliza adisoni"/>
    <x v="3"/>
    <s v="Prototype"/>
    <x v="1"/>
    <s v="COP_24"/>
    <x v="0"/>
    <x v="2"/>
    <s v="Quarter2"/>
    <x v="2"/>
    <x v="3"/>
    <d v="2024-04-03T00:00:00"/>
    <d v="2024-04-03T00:00:00"/>
    <x v="4"/>
    <n v="0"/>
    <n v="0"/>
    <n v="0"/>
    <n v="0"/>
    <n v="0"/>
    <n v="0"/>
    <n v="0"/>
    <n v="0"/>
    <n v="0"/>
    <n v="0"/>
    <n v="0"/>
    <n v="0"/>
    <n v="0"/>
    <n v="0"/>
    <n v="0"/>
    <n v="0"/>
    <n v="0"/>
    <n v="0"/>
    <n v="0"/>
    <n v="0"/>
    <n v="0"/>
    <n v="0"/>
    <n v="0"/>
    <n v="0"/>
  </r>
  <r>
    <n v="395"/>
    <d v="2024-05-09T14:20:40"/>
    <d v="2024-05-09T14:21:53"/>
    <s v="eadisoni@lighthouse.org.mw"/>
    <s v="Eliza adisoni"/>
    <x v="3"/>
    <s v="Prototype"/>
    <x v="1"/>
    <s v="COP_24"/>
    <x v="0"/>
    <x v="2"/>
    <s v="Quarter2"/>
    <x v="2"/>
    <x v="3"/>
    <d v="2024-04-03T00:00:00"/>
    <d v="2024-04-03T00:00:00"/>
    <x v="5"/>
    <n v="0"/>
    <n v="0"/>
    <n v="0"/>
    <n v="0"/>
    <n v="0"/>
    <n v="0"/>
    <n v="0"/>
    <n v="0"/>
    <n v="0"/>
    <n v="0"/>
    <n v="0"/>
    <n v="0"/>
    <n v="0"/>
    <n v="0"/>
    <n v="0"/>
    <n v="0"/>
    <n v="0"/>
    <n v="0"/>
    <n v="0"/>
    <n v="0"/>
    <n v="0"/>
    <n v="0"/>
    <n v="0"/>
    <n v="0"/>
  </r>
  <r>
    <n v="589"/>
    <d v="2024-07-10T10:30:32"/>
    <d v="2024-07-10T10:41:26"/>
    <s v="lkaonga@lighthouse.org.mw"/>
    <s v="Lameck Kaonga"/>
    <x v="3"/>
    <s v="Prototype"/>
    <x v="1"/>
    <s v="COP_24"/>
    <x v="0"/>
    <x v="3"/>
    <s v="Quarter3"/>
    <x v="3"/>
    <x v="8"/>
    <d v="2024-06-01T00:00:00"/>
    <d v="2024-06-30T00:00:00"/>
    <x v="3"/>
    <n v="2"/>
    <n v="0"/>
    <n v="1"/>
    <n v="0"/>
    <n v="1"/>
    <n v="0"/>
    <n v="1"/>
    <n v="0"/>
    <n v="0"/>
    <n v="0"/>
    <n v="0"/>
    <n v="0"/>
    <n v="0"/>
    <n v="0"/>
    <n v="0"/>
    <n v="0"/>
    <n v="0"/>
    <n v="0"/>
    <n v="0"/>
    <n v="0"/>
    <n v="0"/>
    <n v="0"/>
    <n v="0"/>
    <n v="0"/>
  </r>
  <r>
    <n v="588"/>
    <d v="2024-07-10T10:07:41"/>
    <d v="2024-07-10T10:22:47"/>
    <s v="lkaonga@lighthouse.org.mw"/>
    <s v="Lameck Kaonga"/>
    <x v="3"/>
    <s v="Prototype"/>
    <x v="1"/>
    <s v="COP_24"/>
    <x v="0"/>
    <x v="3"/>
    <s v="Quarter3"/>
    <x v="3"/>
    <x v="8"/>
    <d v="2024-06-01T00:00:00"/>
    <d v="2024-06-30T00:00:00"/>
    <x v="0"/>
    <n v="43"/>
    <n v="0"/>
    <n v="38"/>
    <n v="4"/>
    <n v="1"/>
    <n v="0"/>
    <n v="42"/>
    <n v="10"/>
    <n v="0"/>
    <n v="0"/>
    <n v="0"/>
    <n v="0"/>
    <n v="0"/>
    <n v="0"/>
    <n v="0"/>
    <n v="0"/>
    <n v="0"/>
    <n v="0"/>
    <n v="0"/>
    <n v="0"/>
    <n v="0"/>
    <n v="0"/>
    <n v="0"/>
    <n v="0"/>
  </r>
  <r>
    <n v="591"/>
    <d v="2024-07-10T10:26:16"/>
    <d v="2024-07-10T11:05:15"/>
    <s v="lkaonga@lighthouse.org.mw"/>
    <s v="Lameck Kaonga"/>
    <x v="3"/>
    <s v="Prototype"/>
    <x v="1"/>
    <s v="COP_24"/>
    <x v="0"/>
    <x v="3"/>
    <s v="Quarter3"/>
    <x v="3"/>
    <x v="8"/>
    <d v="2024-06-01T00:00:00"/>
    <d v="2024-06-30T00:00:00"/>
    <x v="5"/>
    <n v="9"/>
    <n v="0"/>
    <n v="9"/>
    <n v="0"/>
    <n v="0"/>
    <n v="0"/>
    <n v="9"/>
    <n v="4"/>
    <n v="0"/>
    <n v="0"/>
    <n v="0"/>
    <n v="0"/>
    <n v="0"/>
    <n v="0"/>
    <n v="0"/>
    <n v="0"/>
    <n v="0"/>
    <n v="0"/>
    <n v="0"/>
    <n v="0"/>
    <n v="0"/>
    <n v="0"/>
    <n v="0"/>
    <n v="0"/>
  </r>
  <r>
    <n v="592"/>
    <d v="2024-07-10T11:16:21"/>
    <d v="2024-07-10T11:16:31"/>
    <s v="lkaonga@lighthouse.org.mw"/>
    <s v="Lameck Kaonga"/>
    <x v="3"/>
    <s v="Prototype"/>
    <x v="1"/>
    <s v="COP_24"/>
    <x v="0"/>
    <x v="3"/>
    <s v="Quarter3"/>
    <x v="3"/>
    <x v="8"/>
    <d v="2024-06-01T00:00:00"/>
    <d v="2024-06-30T00:00:00"/>
    <x v="4"/>
    <n v="3"/>
    <n v="0"/>
    <n v="3"/>
    <n v="0"/>
    <n v="0"/>
    <n v="0"/>
    <n v="1"/>
    <n v="0"/>
    <n v="0"/>
    <n v="0"/>
    <n v="0"/>
    <n v="0"/>
    <n v="0"/>
    <n v="0"/>
    <n v="0"/>
    <n v="0"/>
    <n v="0"/>
    <n v="0"/>
    <n v="0"/>
    <n v="0"/>
    <n v="0"/>
    <n v="0"/>
    <n v="0"/>
    <n v="0"/>
  </r>
  <r>
    <n v="735"/>
    <d v="2024-08-09T08:19:15"/>
    <d v="2024-08-09T08:38:08"/>
    <s v="eadisoni@lighthouse.org.mw"/>
    <s v="Eliza adisoni"/>
    <x v="3"/>
    <s v="Prototype"/>
    <x v="1"/>
    <s v="COP_22"/>
    <x v="0"/>
    <x v="1"/>
    <s v="Quarter4"/>
    <x v="1"/>
    <x v="9"/>
    <d v="2024-08-09T00:00:00"/>
    <d v="2024-08-09T00:00:00"/>
    <x v="0"/>
    <n v="88"/>
    <n v="0"/>
    <n v="83"/>
    <n v="1"/>
    <n v="3"/>
    <n v="1"/>
    <n v="81"/>
    <n v="21"/>
    <n v="14"/>
    <n v="0"/>
    <n v="0"/>
    <n v="0"/>
    <n v="1"/>
    <n v="1"/>
    <n v="4"/>
    <n v="0"/>
    <n v="0"/>
    <n v="0"/>
    <n v="1"/>
    <n v="0"/>
    <n v="1"/>
    <n v="0"/>
    <n v="0"/>
    <n v="0"/>
  </r>
  <r>
    <n v="736"/>
    <d v="2024-08-09T08:38:17"/>
    <d v="2024-08-09T08:41:12"/>
    <s v="eadisoni@lighthouse.org.mw"/>
    <s v="Eliza adisoni"/>
    <x v="3"/>
    <s v="Prototype"/>
    <x v="1"/>
    <s v="COP_22"/>
    <x v="0"/>
    <x v="1"/>
    <s v="Quarter4"/>
    <x v="1"/>
    <x v="9"/>
    <d v="2024-08-08T00:00:00"/>
    <d v="2024-08-08T00:00:00"/>
    <x v="3"/>
    <n v="2"/>
    <n v="0"/>
    <n v="1"/>
    <n v="0"/>
    <n v="1"/>
    <n v="0"/>
    <n v="0"/>
    <n v="0"/>
    <n v="2"/>
    <n v="0"/>
    <n v="0"/>
    <n v="0"/>
    <n v="0"/>
    <n v="0"/>
    <n v="0"/>
    <n v="0"/>
    <n v="0"/>
    <n v="0"/>
    <n v="0"/>
    <n v="0"/>
    <n v="0"/>
    <n v="0"/>
    <n v="0"/>
    <n v="0"/>
  </r>
  <r>
    <n v="737"/>
    <d v="2024-08-09T08:41:22"/>
    <d v="2024-08-09T09:32:52"/>
    <s v="eadisoni@lighthouse.org.mw"/>
    <s v="Eliza adisoni"/>
    <x v="3"/>
    <s v="Prototype"/>
    <x v="1"/>
    <s v="COP_22"/>
    <x v="0"/>
    <x v="1"/>
    <s v="Quarter4"/>
    <x v="1"/>
    <x v="9"/>
    <d v="2024-08-08T00:00:00"/>
    <d v="2024-08-08T00:00:00"/>
    <x v="4"/>
    <n v="7"/>
    <n v="0"/>
    <n v="7"/>
    <n v="0"/>
    <n v="0"/>
    <n v="0"/>
    <n v="0"/>
    <n v="0"/>
    <n v="1"/>
    <n v="0"/>
    <n v="0"/>
    <n v="0"/>
    <n v="0"/>
    <n v="0"/>
    <n v="0"/>
    <n v="0"/>
    <n v="0"/>
    <n v="0"/>
    <n v="0"/>
    <n v="0"/>
    <n v="0"/>
    <n v="0"/>
    <n v="0"/>
    <n v="0"/>
  </r>
  <r>
    <n v="739"/>
    <d v="2024-08-09T09:35:58"/>
    <d v="2024-08-09T09:40:12"/>
    <s v="eadisoni@lighthouse.org.mw"/>
    <s v="Eliza adisoni"/>
    <x v="3"/>
    <s v="Prototype"/>
    <x v="1"/>
    <s v="COP_22"/>
    <x v="0"/>
    <x v="1"/>
    <s v="Quarter4"/>
    <x v="1"/>
    <x v="9"/>
    <d v="2024-08-08T00:00:00"/>
    <d v="2024-08-08T00:00:00"/>
    <x v="5"/>
    <n v="16"/>
    <n v="4"/>
    <n v="16"/>
    <n v="0"/>
    <n v="0"/>
    <n v="0"/>
    <n v="5"/>
    <n v="0"/>
    <n v="4"/>
    <n v="0"/>
    <n v="0"/>
    <n v="0"/>
    <n v="0"/>
    <n v="0"/>
    <n v="0"/>
    <n v="0"/>
    <n v="0"/>
    <n v="0"/>
    <n v="0"/>
    <n v="0"/>
    <n v="0"/>
    <n v="0"/>
    <n v="0"/>
    <n v="0"/>
  </r>
  <r>
    <n v="828"/>
    <d v="2024-09-24T13:48:38"/>
    <d v="2024-09-24T13:54:54"/>
    <s v="eadisoni@lighthouse.org.mw"/>
    <s v="Eliza adisoni"/>
    <x v="3"/>
    <s v="Prototype"/>
    <x v="1"/>
    <s v="COP_22"/>
    <x v="0"/>
    <x v="1"/>
    <s v="Quarter4"/>
    <x v="1"/>
    <x v="10"/>
    <d v="2024-08-01T00:00:00"/>
    <d v="2024-08-30T00:00:00"/>
    <x v="0"/>
    <n v="48"/>
    <n v="0"/>
    <n v="43"/>
    <n v="3"/>
    <n v="2"/>
    <n v="0"/>
    <n v="23"/>
    <n v="9"/>
    <n v="0"/>
    <n v="0"/>
    <n v="0"/>
    <n v="0"/>
    <n v="2"/>
    <n v="0"/>
    <n v="1"/>
    <n v="1"/>
    <n v="0"/>
    <n v="0"/>
    <n v="0"/>
    <n v="0"/>
    <n v="0"/>
    <n v="0"/>
    <n v="0"/>
    <n v="0"/>
  </r>
  <r>
    <n v="830"/>
    <d v="2024-09-24T13:57:58"/>
    <d v="2024-09-24T14:00:06"/>
    <s v="eadisoni@lighthouse.org.mw"/>
    <s v="Eliza adisoni"/>
    <x v="3"/>
    <s v="Prototype"/>
    <x v="1"/>
    <s v="COP_22"/>
    <x v="1"/>
    <x v="1"/>
    <s v="Quarter4"/>
    <x v="1"/>
    <x v="10"/>
    <d v="2024-08-01T00:00:00"/>
    <d v="2024-08-30T00:00:00"/>
    <x v="4"/>
    <n v="2"/>
    <n v="0"/>
    <n v="2"/>
    <n v="0"/>
    <n v="0"/>
    <n v="0"/>
    <n v="1"/>
    <n v="0"/>
    <n v="0"/>
    <n v="0"/>
    <n v="0"/>
    <n v="0"/>
    <n v="0"/>
    <n v="0"/>
    <n v="0"/>
    <n v="0"/>
    <n v="0"/>
    <n v="0"/>
    <n v="0"/>
    <n v="0"/>
    <n v="0"/>
    <n v="0"/>
    <n v="0"/>
    <n v="0"/>
  </r>
  <r>
    <n v="831"/>
    <d v="2024-09-24T14:00:12"/>
    <d v="2024-09-24T14:02:05"/>
    <s v="eadisoni@lighthouse.org.mw"/>
    <s v="Eliza adisoni"/>
    <x v="3"/>
    <s v="Prototype"/>
    <x v="1"/>
    <s v="COP_23"/>
    <x v="0"/>
    <x v="1"/>
    <s v="Quarter4"/>
    <x v="1"/>
    <x v="10"/>
    <d v="2024-08-01T00:00:00"/>
    <d v="2024-08-30T00:00:00"/>
    <x v="5"/>
    <n v="3"/>
    <n v="0"/>
    <n v="3"/>
    <n v="0"/>
    <n v="0"/>
    <n v="0"/>
    <n v="0"/>
    <n v="0"/>
    <n v="0"/>
    <n v="0"/>
    <n v="0"/>
    <n v="0"/>
    <n v="0"/>
    <n v="0"/>
    <n v="0"/>
    <n v="0"/>
    <n v="0"/>
    <n v="0"/>
    <n v="0"/>
    <n v="0"/>
    <n v="0"/>
    <n v="0"/>
    <n v="0"/>
    <n v="0"/>
  </r>
  <r>
    <n v="832"/>
    <d v="2024-09-24T14:02:14"/>
    <d v="2024-09-24T14:04:18"/>
    <s v="eadisoni@lighthouse.org.mw"/>
    <s v="Eliza adisoni"/>
    <x v="3"/>
    <s v="Prototype"/>
    <x v="1"/>
    <s v="COP_23"/>
    <x v="0"/>
    <x v="1"/>
    <s v="Quarter4"/>
    <x v="1"/>
    <x v="10"/>
    <d v="2024-08-01T00:00:00"/>
    <d v="2024-08-30T00:00:00"/>
    <x v="3"/>
    <n v="1"/>
    <n v="0"/>
    <n v="0"/>
    <n v="1"/>
    <n v="0"/>
    <n v="0"/>
    <n v="0"/>
    <n v="0"/>
    <n v="0"/>
    <n v="0"/>
    <n v="0"/>
    <n v="0"/>
    <n v="0"/>
    <n v="0"/>
    <n v="1"/>
    <n v="0"/>
    <n v="0"/>
    <n v="0"/>
    <n v="0"/>
    <n v="0"/>
    <n v="0"/>
    <n v="0"/>
    <n v="0"/>
    <n v="0"/>
  </r>
  <r>
    <n v="975"/>
    <d v="2024-10-22T07:41:45"/>
    <d v="2024-10-22T07:47:29"/>
    <s v="lkaonga@lighthouse.org.mw"/>
    <s v="Lameck Kaonga"/>
    <x v="3"/>
    <s v="Prototype"/>
    <x v="1"/>
    <s v="COP_23"/>
    <x v="0"/>
    <x v="1"/>
    <s v="Quarter4"/>
    <x v="1"/>
    <x v="2"/>
    <d v="2024-09-01T00:00:00"/>
    <d v="2024-09-30T00:00:00"/>
    <x v="0"/>
    <n v="56"/>
    <n v="0"/>
    <n v="48"/>
    <n v="3"/>
    <n v="4"/>
    <n v="1"/>
    <n v="52"/>
    <n v="16"/>
    <n v="16"/>
    <n v="0"/>
    <n v="0"/>
    <n v="0"/>
    <n v="17"/>
    <n v="1"/>
    <n v="1"/>
    <n v="0"/>
    <n v="0"/>
    <n v="0"/>
    <n v="0"/>
    <n v="0"/>
    <n v="0"/>
    <n v="0"/>
    <n v="0"/>
    <n v="0"/>
  </r>
  <r>
    <n v="977"/>
    <d v="2024-10-22T07:58:57"/>
    <d v="2024-10-22T08:02:56"/>
    <s v="lkaonga@lighthouse.org.mw"/>
    <s v="Lameck Kaonga"/>
    <x v="3"/>
    <s v="Prototype"/>
    <x v="1"/>
    <s v="COP_23"/>
    <x v="0"/>
    <x v="1"/>
    <s v="Quarter4"/>
    <x v="1"/>
    <x v="2"/>
    <d v="2024-09-01T00:00:00"/>
    <d v="2024-09-30T00:00:00"/>
    <x v="5"/>
    <n v="6"/>
    <n v="0"/>
    <n v="6"/>
    <n v="0"/>
    <n v="0"/>
    <n v="0"/>
    <n v="4"/>
    <n v="2"/>
    <n v="5"/>
    <n v="0"/>
    <n v="6"/>
    <n v="0"/>
    <n v="6"/>
    <n v="0"/>
    <n v="6"/>
    <n v="0"/>
    <n v="0"/>
    <n v="0"/>
    <n v="0"/>
    <n v="0"/>
    <n v="0"/>
    <n v="0"/>
    <n v="0"/>
    <n v="0"/>
  </r>
  <r>
    <n v="979"/>
    <d v="2024-10-22T08:31:41"/>
    <d v="2024-10-22T08:36:36"/>
    <s v="lkaonga@lighthouse.org.mw"/>
    <s v="Lameck Kaonga"/>
    <x v="3"/>
    <s v="Prototype"/>
    <x v="1"/>
    <s v="COP_23"/>
    <x v="0"/>
    <x v="1"/>
    <s v="Quarter4"/>
    <x v="1"/>
    <x v="2"/>
    <d v="2024-09-01T00:00:00"/>
    <d v="2024-09-30T00:00:00"/>
    <x v="3"/>
    <n v="0"/>
    <n v="0"/>
    <n v="0"/>
    <n v="0"/>
    <n v="0"/>
    <n v="0"/>
    <n v="0"/>
    <n v="0"/>
    <n v="0"/>
    <n v="0"/>
    <n v="0"/>
    <n v="0"/>
    <n v="0"/>
    <n v="0"/>
    <n v="0"/>
    <n v="0"/>
    <n v="0"/>
    <n v="0"/>
    <n v="0"/>
    <n v="0"/>
    <n v="0"/>
    <n v="0"/>
    <n v="0"/>
    <n v="0"/>
  </r>
  <r>
    <n v="980"/>
    <d v="2024-10-22T08:42:08"/>
    <d v="2024-10-22T08:50:00"/>
    <s v="lkaonga@lighthouse.org.mw"/>
    <s v="Lameck Kaonga"/>
    <x v="3"/>
    <s v="Prototype"/>
    <x v="1"/>
    <s v="COP_23"/>
    <x v="0"/>
    <x v="1"/>
    <s v="Quarter4"/>
    <x v="1"/>
    <x v="2"/>
    <d v="2024-09-01T00:00:00"/>
    <d v="2024-09-30T00:00:00"/>
    <x v="6"/>
    <n v="0"/>
    <n v="0"/>
    <n v="0"/>
    <n v="0"/>
    <n v="0"/>
    <n v="0"/>
    <n v="0"/>
    <n v="0"/>
    <n v="0"/>
    <n v="0"/>
    <n v="0"/>
    <n v="0"/>
    <n v="0"/>
    <n v="0"/>
    <n v="0"/>
    <n v="0"/>
    <n v="0"/>
    <n v="0"/>
    <n v="0"/>
    <n v="0"/>
    <n v="0"/>
    <n v="0"/>
    <n v="0"/>
    <n v="0"/>
  </r>
  <r>
    <n v="1030"/>
    <d v="2024-11-06T08:17:43"/>
    <d v="2024-11-06T08:19:48"/>
    <s v="eadisoni@lighthouse.org.mw"/>
    <s v="Eliza adisoni"/>
    <x v="3"/>
    <s v="Prototype"/>
    <x v="1"/>
    <s v="COP_23"/>
    <x v="2"/>
    <x v="0"/>
    <s v="Quarter1"/>
    <x v="0"/>
    <x v="0"/>
    <d v="2024-10-01T00:00:00"/>
    <d v="2024-10-31T00:00:00"/>
    <x v="5"/>
    <n v="9"/>
    <n v="0"/>
    <n v="9"/>
    <n v="0"/>
    <n v="0"/>
    <n v="0"/>
    <n v="0"/>
    <n v="1"/>
    <n v="1"/>
    <n v="0"/>
    <n v="0"/>
    <n v="0"/>
    <n v="0"/>
    <n v="0"/>
    <n v="0"/>
    <n v="0"/>
    <n v="0"/>
    <n v="0"/>
    <n v="0"/>
    <n v="0"/>
    <n v="0"/>
    <n v="0"/>
    <n v="0"/>
    <n v="0"/>
  </r>
  <r>
    <n v="1031"/>
    <d v="2024-11-06T08:20:44"/>
    <d v="2024-11-06T08:22:46"/>
    <s v="eadisoni@lighthouse.org.mw"/>
    <s v="Eliza adisoni"/>
    <x v="3"/>
    <s v="Prototype"/>
    <x v="1"/>
    <s v="COP_23"/>
    <x v="2"/>
    <x v="0"/>
    <s v="Quarter1"/>
    <x v="0"/>
    <x v="0"/>
    <d v="2024-10-01T00:00:00"/>
    <d v="2024-10-30T00:00:00"/>
    <x v="3"/>
    <n v="4"/>
    <n v="0"/>
    <n v="3"/>
    <n v="0"/>
    <n v="0"/>
    <n v="1"/>
    <n v="0"/>
    <n v="0"/>
    <n v="0"/>
    <n v="0"/>
    <n v="0"/>
    <n v="0"/>
    <n v="2"/>
    <n v="0"/>
    <n v="0"/>
    <n v="0"/>
    <n v="0"/>
    <n v="0"/>
    <n v="0"/>
    <n v="0"/>
    <n v="0"/>
    <n v="0"/>
    <n v="0"/>
    <n v="0"/>
  </r>
  <r>
    <n v="1032"/>
    <d v="2024-11-06T08:24:25"/>
    <d v="2024-11-06T08:28:47"/>
    <s v="eadisoni@lighthouse.org.mw"/>
    <s v="Eliza adisoni"/>
    <x v="3"/>
    <s v="Prototype"/>
    <x v="1"/>
    <s v="COP_23"/>
    <x v="2"/>
    <x v="0"/>
    <s v="Quarter1"/>
    <x v="0"/>
    <x v="0"/>
    <d v="2024-10-01T00:00:00"/>
    <d v="2024-10-31T00:00:00"/>
    <x v="4"/>
    <n v="2"/>
    <n v="0"/>
    <n v="2"/>
    <n v="0"/>
    <n v="0"/>
    <n v="0"/>
    <n v="1"/>
    <n v="0"/>
    <n v="0"/>
    <n v="0"/>
    <n v="0"/>
    <n v="0"/>
    <n v="0"/>
    <n v="0"/>
    <n v="0"/>
    <n v="0"/>
    <n v="0"/>
    <n v="0"/>
    <n v="0"/>
    <n v="0"/>
    <n v="0"/>
    <n v="0"/>
    <n v="0"/>
    <n v="0"/>
  </r>
  <r>
    <n v="1095"/>
    <d v="2024-11-26T15:29:31"/>
    <d v="2024-11-26T15:33:28"/>
    <s v="eadisoni@lighthouse.org.mw"/>
    <s v="Eliza adisoni"/>
    <x v="3"/>
    <s v="Prototype"/>
    <x v="1"/>
    <s v="COP_23"/>
    <x v="2"/>
    <x v="0"/>
    <s v="Quarter1"/>
    <x v="0"/>
    <x v="0"/>
    <d v="2024-10-01T00:00:00"/>
    <d v="2024-10-31T00:00:00"/>
    <x v="0"/>
    <n v="82"/>
    <n v="0"/>
    <n v="75"/>
    <n v="3"/>
    <n v="3"/>
    <n v="1"/>
    <n v="77"/>
    <n v="14"/>
    <n v="17"/>
    <n v="0"/>
    <n v="0"/>
    <n v="0"/>
    <n v="8"/>
    <n v="0"/>
    <n v="0"/>
    <n v="0"/>
    <n v="0"/>
    <n v="0"/>
    <n v="0"/>
    <n v="0"/>
    <n v="0"/>
    <n v="0"/>
    <n v="0"/>
    <n v="0"/>
  </r>
  <r>
    <n v="1118"/>
    <d v="2024-12-10T07:17:35"/>
    <d v="2024-12-10T07:23:52"/>
    <s v="lkaonga@lighthouse.org.mw"/>
    <s v="Lameck Kaonga"/>
    <x v="3"/>
    <s v="Prototype"/>
    <x v="1"/>
    <s v="COP_23"/>
    <x v="2"/>
    <x v="0"/>
    <s v="Quarter1"/>
    <x v="0"/>
    <x v="1"/>
    <d v="2024-11-01T00:00:00"/>
    <d v="2024-11-30T00:00:00"/>
    <x v="0"/>
    <n v="60"/>
    <n v="0"/>
    <n v="56"/>
    <n v="1"/>
    <n v="3"/>
    <n v="0"/>
    <n v="28"/>
    <n v="7"/>
    <n v="5"/>
    <n v="0"/>
    <n v="0"/>
    <n v="0"/>
    <n v="5"/>
    <n v="0"/>
    <n v="0"/>
    <n v="0"/>
    <n v="0"/>
    <n v="0"/>
    <n v="0"/>
    <n v="0"/>
    <n v="0"/>
    <n v="0"/>
    <n v="0"/>
    <n v="0"/>
  </r>
  <r>
    <n v="1119"/>
    <d v="2024-12-10T07:24:04"/>
    <d v="2024-12-10T07:27:09"/>
    <s v="lkaonga@lighthouse.org.mw"/>
    <s v="Lameck Kaonga"/>
    <x v="3"/>
    <s v="Prototype"/>
    <x v="1"/>
    <s v="COP_23"/>
    <x v="2"/>
    <x v="0"/>
    <s v="Quarter1"/>
    <x v="0"/>
    <x v="1"/>
    <d v="2024-11-01T00:00:00"/>
    <d v="2024-11-30T00:00:00"/>
    <x v="2"/>
    <n v="9"/>
    <n v="0"/>
    <n v="18"/>
    <n v="1"/>
    <n v="0"/>
    <n v="0"/>
    <n v="6"/>
    <n v="1"/>
    <n v="1"/>
    <n v="0"/>
    <n v="0"/>
    <n v="0"/>
    <n v="0"/>
    <n v="0"/>
    <n v="0"/>
    <n v="0"/>
    <n v="0"/>
    <n v="0"/>
    <n v="0"/>
    <n v="0"/>
    <n v="0"/>
    <n v="0"/>
    <n v="0"/>
    <n v="0"/>
  </r>
  <r>
    <n v="1120"/>
    <d v="2024-12-10T07:27:51"/>
    <d v="2024-12-10T07:30:13"/>
    <s v="lkaonga@lighthouse.org.mw"/>
    <s v="Lameck Kaonga"/>
    <x v="3"/>
    <s v="Prototype"/>
    <x v="1"/>
    <s v="COP_23"/>
    <x v="2"/>
    <x v="0"/>
    <s v="Quarter1"/>
    <x v="0"/>
    <x v="1"/>
    <d v="2024-11-01T00:00:00"/>
    <d v="2024-11-30T00:00:00"/>
    <x v="1"/>
    <n v="34"/>
    <n v="0"/>
    <n v="31"/>
    <n v="0"/>
    <n v="3"/>
    <n v="0"/>
    <n v="15"/>
    <n v="6"/>
    <n v="3"/>
    <n v="0"/>
    <n v="0"/>
    <n v="0"/>
    <n v="0"/>
    <n v="0"/>
    <n v="0"/>
    <n v="0"/>
    <n v="0"/>
    <n v="0"/>
    <n v="0"/>
    <n v="0"/>
    <n v="0"/>
    <n v="0"/>
    <n v="0"/>
    <n v="0"/>
  </r>
  <r>
    <n v="1121"/>
    <d v="2024-12-10T07:44:10"/>
    <d v="2024-12-10T07:45:52"/>
    <s v="lkaonga@lighthouse.org.mw"/>
    <s v="Lameck Kaonga"/>
    <x v="3"/>
    <s v="Prototype"/>
    <x v="1"/>
    <s v="COP_23"/>
    <x v="2"/>
    <x v="0"/>
    <s v="Quarter1"/>
    <x v="0"/>
    <x v="1"/>
    <d v="2024-11-01T00:00:00"/>
    <d v="2024-11-30T00:00:00"/>
    <x v="4"/>
    <n v="0"/>
    <n v="0"/>
    <n v="0"/>
    <n v="0"/>
    <n v="0"/>
    <n v="0"/>
    <n v="0"/>
    <n v="0"/>
    <n v="0"/>
    <n v="0"/>
    <n v="0"/>
    <n v="0"/>
    <n v="0"/>
    <n v="0"/>
    <n v="0"/>
    <n v="0"/>
    <n v="0"/>
    <n v="0"/>
    <n v="0"/>
    <n v="0"/>
    <n v="0"/>
    <n v="0"/>
    <n v="0"/>
    <n v="0"/>
  </r>
  <r>
    <n v="1122"/>
    <d v="2024-12-10T07:46:10"/>
    <d v="2024-12-10T07:47:11"/>
    <s v="lkaonga@lighthouse.org.mw"/>
    <s v="Lameck Kaonga"/>
    <x v="3"/>
    <s v="Prototype"/>
    <x v="1"/>
    <s v="COP_23"/>
    <x v="2"/>
    <x v="0"/>
    <s v="Quarter1"/>
    <x v="0"/>
    <x v="1"/>
    <d v="2024-11-01T00:00:00"/>
    <d v="2024-11-30T00:00:00"/>
    <x v="3"/>
    <n v="0"/>
    <n v="0"/>
    <n v="0"/>
    <n v="0"/>
    <n v="0"/>
    <n v="0"/>
    <n v="0"/>
    <n v="0"/>
    <n v="0"/>
    <n v="0"/>
    <n v="0"/>
    <n v="0"/>
    <n v="0"/>
    <n v="0"/>
    <n v="0"/>
    <n v="0"/>
    <n v="0"/>
    <n v="0"/>
    <n v="0"/>
    <n v="0"/>
    <n v="0"/>
    <n v="0"/>
    <n v="0"/>
    <n v="0"/>
  </r>
  <r>
    <n v="1123"/>
    <d v="2024-12-10T07:47:21"/>
    <d v="2024-12-10T07:49:03"/>
    <s v="lkaonga@lighthouse.org.mw"/>
    <s v="Lameck Kaonga"/>
    <x v="3"/>
    <s v="Prototype"/>
    <x v="1"/>
    <s v="COP_23"/>
    <x v="2"/>
    <x v="0"/>
    <s v="Quarter1"/>
    <x v="0"/>
    <x v="1"/>
    <d v="2024-11-01T00:00:00"/>
    <d v="2024-11-30T00:00:00"/>
    <x v="6"/>
    <n v="0"/>
    <n v="0"/>
    <n v="0"/>
    <n v="0"/>
    <n v="0"/>
    <n v="0"/>
    <n v="0"/>
    <n v="0"/>
    <n v="0"/>
    <n v="0"/>
    <n v="0"/>
    <n v="0"/>
    <n v="0"/>
    <n v="0"/>
    <n v="0"/>
    <n v="0"/>
    <n v="0"/>
    <n v="0"/>
    <n v="0"/>
    <n v="0"/>
    <n v="0"/>
    <n v="0"/>
    <n v="0"/>
    <n v="0"/>
  </r>
  <r>
    <n v="1277"/>
    <d v="2025-01-14T16:24:06"/>
    <d v="2025-01-14T16:28:14"/>
    <s v="lkaonga@lighthouse.org.mw"/>
    <s v="Lameck Kaonga"/>
    <x v="3"/>
    <s v="Prototype"/>
    <x v="1"/>
    <s v="COP_23"/>
    <x v="2"/>
    <x v="0"/>
    <s v="Quarter1"/>
    <x v="0"/>
    <x v="11"/>
    <d v="2024-12-01T00:00:00"/>
    <d v="2024-12-31T00:00:00"/>
    <x v="1"/>
    <n v="32"/>
    <n v="0"/>
    <n v="29"/>
    <n v="0"/>
    <n v="3"/>
    <n v="0"/>
    <n v="7"/>
    <n v="3"/>
    <n v="3"/>
    <n v="0"/>
    <n v="0"/>
    <n v="0"/>
    <n v="7"/>
    <n v="0"/>
    <n v="0"/>
    <n v="0"/>
    <n v="0"/>
    <n v="0"/>
    <n v="0"/>
    <n v="0"/>
    <n v="0"/>
    <n v="0"/>
    <n v="0"/>
    <n v="0"/>
  </r>
  <r>
    <n v="1278"/>
    <d v="2025-01-14T16:28:23"/>
    <d v="2025-01-14T16:34:53"/>
    <s v="lkaonga@lighthouse.org.mw"/>
    <s v="Lameck Kaonga"/>
    <x v="3"/>
    <s v="Prototype"/>
    <x v="1"/>
    <s v="COP_23"/>
    <x v="2"/>
    <x v="0"/>
    <s v="Quarter1"/>
    <x v="0"/>
    <x v="11"/>
    <d v="2024-12-01T00:00:00"/>
    <d v="2024-12-31T00:00:00"/>
    <x v="5"/>
    <n v="21"/>
    <n v="0"/>
    <n v="20"/>
    <n v="1"/>
    <n v="0"/>
    <n v="0"/>
    <n v="1"/>
    <n v="0"/>
    <n v="1"/>
    <n v="0"/>
    <n v="0"/>
    <n v="0"/>
    <n v="6"/>
    <n v="0"/>
    <n v="0"/>
    <n v="0"/>
    <n v="0"/>
    <n v="0"/>
    <n v="0"/>
    <n v="0"/>
    <n v="0"/>
    <n v="0"/>
    <n v="0"/>
    <n v="0"/>
  </r>
  <r>
    <n v="1279"/>
    <d v="2025-01-14T16:35:24"/>
    <d v="2025-01-14T16:49:10"/>
    <s v="lkaonga@lighthouse.org.mw"/>
    <s v="Lameck Kaonga"/>
    <x v="3"/>
    <s v="Prototype"/>
    <x v="1"/>
    <s v="COP_23"/>
    <x v="2"/>
    <x v="0"/>
    <s v="Quarter1"/>
    <x v="0"/>
    <x v="11"/>
    <d v="2024-12-01T00:00:00"/>
    <d v="2024-12-31T00:00:00"/>
    <x v="5"/>
    <n v="5"/>
    <n v="0"/>
    <n v="5"/>
    <n v="0"/>
    <n v="0"/>
    <n v="0"/>
    <n v="0"/>
    <n v="0"/>
    <n v="0"/>
    <n v="0"/>
    <n v="0"/>
    <n v="0"/>
    <n v="2"/>
    <n v="0"/>
    <n v="0"/>
    <n v="0"/>
    <n v="0"/>
    <n v="0"/>
    <n v="0"/>
    <n v="0"/>
    <n v="0"/>
    <n v="0"/>
    <n v="0"/>
    <n v="0"/>
  </r>
  <r>
    <n v="1280"/>
    <d v="2025-01-14T16:50:10"/>
    <d v="2025-01-14T16:52:33"/>
    <s v="lkaonga@lighthouse.org.mw"/>
    <s v="Lameck Kaonga"/>
    <x v="3"/>
    <s v="Prototype"/>
    <x v="1"/>
    <s v="COP_23"/>
    <x v="2"/>
    <x v="0"/>
    <s v="Quarter1"/>
    <x v="0"/>
    <x v="11"/>
    <d v="2024-12-01T00:00:00"/>
    <d v="2024-12-31T00:00:00"/>
    <x v="3"/>
    <n v="2"/>
    <n v="0"/>
    <n v="2"/>
    <n v="0"/>
    <n v="0"/>
    <n v="0"/>
    <n v="0"/>
    <n v="0"/>
    <n v="0"/>
    <n v="0"/>
    <n v="0"/>
    <n v="0"/>
    <n v="0"/>
    <n v="0"/>
    <n v="0"/>
    <n v="0"/>
    <n v="0"/>
    <n v="0"/>
    <n v="0"/>
    <n v="0"/>
    <n v="0"/>
    <n v="0"/>
    <n v="0"/>
    <n v="0"/>
  </r>
  <r>
    <n v="1281"/>
    <d v="2025-01-14T16:53:37"/>
    <d v="2025-01-14T16:58:03"/>
    <s v="lkaonga@lighthouse.org.mw"/>
    <s v="Lameck Kaonga"/>
    <x v="3"/>
    <s v="Prototype"/>
    <x v="1"/>
    <s v="COP_23"/>
    <x v="2"/>
    <x v="0"/>
    <s v="Quarter1"/>
    <x v="0"/>
    <x v="11"/>
    <d v="2024-12-01T00:00:00"/>
    <d v="2024-12-31T00:00:00"/>
    <x v="4"/>
    <n v="1"/>
    <n v="0"/>
    <n v="1"/>
    <n v="0"/>
    <n v="0"/>
    <n v="0"/>
    <n v="0"/>
    <n v="0"/>
    <n v="0"/>
    <n v="0"/>
    <n v="0"/>
    <n v="0"/>
    <n v="1"/>
    <n v="0"/>
    <n v="0"/>
    <n v="0"/>
    <n v="0"/>
    <n v="0"/>
    <n v="0"/>
    <n v="0"/>
    <n v="0"/>
    <n v="0"/>
    <n v="0"/>
    <n v="0"/>
  </r>
  <r>
    <n v="1282"/>
    <d v="2025-01-14T16:58:25"/>
    <d v="2025-01-14T17:00:26"/>
    <s v="lkaonga@lighthouse.org.mw"/>
    <s v="Lameck Kaonga"/>
    <x v="3"/>
    <s v="Prototype"/>
    <x v="1"/>
    <s v="COP_23"/>
    <x v="2"/>
    <x v="0"/>
    <s v="Quarter1"/>
    <x v="0"/>
    <x v="11"/>
    <d v="2024-12-01T00:00:00"/>
    <d v="2024-12-31T00:00:00"/>
    <x v="6"/>
    <n v="0"/>
    <n v="0"/>
    <n v="0"/>
    <n v="0"/>
    <n v="0"/>
    <n v="0"/>
    <n v="0"/>
    <n v="0"/>
    <n v="0"/>
    <n v="0"/>
    <n v="0"/>
    <n v="0"/>
    <n v="0"/>
    <n v="0"/>
    <n v="0"/>
    <n v="0"/>
    <n v="0"/>
    <n v="0"/>
    <n v="0"/>
    <n v="0"/>
    <n v="0"/>
    <n v="0"/>
    <n v="0"/>
    <n v="0"/>
  </r>
  <r>
    <n v="1283"/>
    <d v="2025-01-14T17:00:42"/>
    <d v="2025-01-14T17:03:39"/>
    <s v="lkaonga@lighthouse.org.mw"/>
    <s v="Lameck Kaonga"/>
    <x v="3"/>
    <s v="Prototype"/>
    <x v="1"/>
    <s v="COP_22"/>
    <x v="2"/>
    <x v="0"/>
    <s v="Quarter1"/>
    <x v="0"/>
    <x v="11"/>
    <d v="2024-12-01T00:00:00"/>
    <d v="2024-12-31T00:00:00"/>
    <x v="0"/>
    <n v="61"/>
    <n v="0"/>
    <n v="55"/>
    <n v="2"/>
    <n v="3"/>
    <n v="1"/>
    <n v="13"/>
    <n v="3"/>
    <n v="8"/>
    <n v="0"/>
    <n v="0"/>
    <n v="0"/>
    <n v="16"/>
    <n v="0"/>
    <n v="0"/>
    <n v="0"/>
    <n v="0"/>
    <n v="0"/>
    <n v="0"/>
    <n v="0"/>
    <n v="0"/>
    <n v="0"/>
    <n v="0"/>
    <n v="0"/>
  </r>
  <r>
    <n v="1315"/>
    <d v="2025-02-24T14:05:02"/>
    <d v="2025-02-24T14:08:07"/>
    <s v="eadisoni@lighthouse.org.mw"/>
    <s v="Eliza adisoni"/>
    <x v="3"/>
    <s v="Prototype"/>
    <x v="2"/>
    <s v="COP_23"/>
    <x v="2"/>
    <x v="2"/>
    <s v="Quarter2"/>
    <x v="2"/>
    <x v="4"/>
    <d v="2025-01-01T00:00:00"/>
    <d v="2025-01-31T00:00:00"/>
    <x v="0"/>
    <n v="43"/>
    <n v="0"/>
    <n v="38"/>
    <n v="3"/>
    <n v="1"/>
    <n v="1"/>
    <n v="2"/>
    <n v="1"/>
    <n v="0"/>
    <n v="0"/>
    <n v="0"/>
    <n v="0"/>
    <n v="18"/>
    <n v="0"/>
    <n v="0"/>
    <n v="0"/>
    <n v="0"/>
    <n v="0"/>
    <n v="0"/>
    <n v="0"/>
    <n v="0"/>
    <n v="0"/>
    <n v="0"/>
    <n v="0"/>
  </r>
  <r>
    <n v="1316"/>
    <d v="2025-02-24T14:08:21"/>
    <d v="2025-02-24T14:11:23"/>
    <s v="eadisoni@lighthouse.org.mw"/>
    <s v="Eliza adisoni"/>
    <x v="3"/>
    <s v="Prototype"/>
    <x v="2"/>
    <s v="COP_23"/>
    <x v="2"/>
    <x v="2"/>
    <s v="Quarter2"/>
    <x v="2"/>
    <x v="4"/>
    <d v="2025-01-01T00:00:00"/>
    <d v="2025-01-31T00:00:00"/>
    <x v="3"/>
    <n v="1"/>
    <n v="0"/>
    <n v="0"/>
    <n v="0"/>
    <n v="0"/>
    <n v="1"/>
    <n v="0"/>
    <n v="0"/>
    <n v="1"/>
    <n v="0"/>
    <n v="0"/>
    <n v="0"/>
    <n v="1"/>
    <n v="0"/>
    <n v="0"/>
    <n v="0"/>
    <n v="0"/>
    <n v="0"/>
    <n v="0"/>
    <n v="0"/>
    <n v="0"/>
    <n v="0"/>
    <n v="0"/>
    <n v="0"/>
  </r>
  <r>
    <n v="1317"/>
    <d v="2025-02-24T14:11:34"/>
    <d v="2025-02-24T14:13:32"/>
    <s v="eadisoni@lighthouse.org.mw"/>
    <s v="Eliza adisoni"/>
    <x v="3"/>
    <s v="Prototype"/>
    <x v="2"/>
    <s v="COP_23"/>
    <x v="2"/>
    <x v="2"/>
    <s v="Quarter2"/>
    <x v="2"/>
    <x v="4"/>
    <d v="2025-01-01T00:00:00"/>
    <d v="2025-01-31T00:00:00"/>
    <x v="4"/>
    <n v="1"/>
    <n v="0"/>
    <n v="1"/>
    <n v="0"/>
    <n v="0"/>
    <n v="0"/>
    <n v="0"/>
    <n v="0"/>
    <n v="0"/>
    <n v="0"/>
    <n v="0"/>
    <n v="0"/>
    <n v="1"/>
    <n v="0"/>
    <n v="0"/>
    <n v="0"/>
    <n v="0"/>
    <n v="0"/>
    <n v="0"/>
    <n v="0"/>
    <n v="0"/>
    <n v="0"/>
    <n v="0"/>
    <n v="0"/>
  </r>
  <r>
    <n v="1318"/>
    <d v="2025-02-24T14:13:42"/>
    <d v="2025-02-24T14:16:36"/>
    <s v="eadisoni@lighthouse.org.mw"/>
    <s v="Eliza adisoni"/>
    <x v="3"/>
    <s v="Prototype"/>
    <x v="2"/>
    <s v="COP_23"/>
    <x v="2"/>
    <x v="2"/>
    <s v="Quarter2"/>
    <x v="2"/>
    <x v="4"/>
    <d v="2025-01-01T00:00:00"/>
    <d v="2025-01-31T00:00:00"/>
    <x v="1"/>
    <n v="23"/>
    <n v="0"/>
    <n v="19"/>
    <n v="2"/>
    <n v="1"/>
    <n v="1"/>
    <n v="0"/>
    <n v="0"/>
    <n v="2"/>
    <n v="0"/>
    <n v="0"/>
    <n v="0"/>
    <n v="4"/>
    <n v="0"/>
    <n v="0"/>
    <n v="0"/>
    <n v="0"/>
    <n v="0"/>
    <n v="0"/>
    <n v="0"/>
    <n v="0"/>
    <n v="0"/>
    <n v="0"/>
    <n v="0"/>
  </r>
  <r>
    <n v="1319"/>
    <d v="2025-02-24T14:16:48"/>
    <d v="2025-02-24T14:19:17"/>
    <s v="eadisoni@lighthouse.org.mw"/>
    <s v="Eliza adisoni"/>
    <x v="3"/>
    <s v="Prototype"/>
    <x v="2"/>
    <s v="COP_23"/>
    <x v="2"/>
    <x v="2"/>
    <s v="Quarter2"/>
    <x v="2"/>
    <x v="4"/>
    <d v="2025-01-01T00:00:00"/>
    <d v="2025-01-31T00:00:00"/>
    <x v="2"/>
    <n v="12"/>
    <n v="0"/>
    <n v="12"/>
    <n v="0"/>
    <n v="0"/>
    <n v="0"/>
    <n v="0"/>
    <n v="0"/>
    <n v="7"/>
    <n v="0"/>
    <n v="0"/>
    <n v="0"/>
    <n v="10"/>
    <n v="0"/>
    <n v="1"/>
    <n v="0"/>
    <n v="0"/>
    <n v="0"/>
    <n v="0"/>
    <n v="0"/>
    <n v="0"/>
    <n v="0"/>
    <n v="0"/>
    <n v="0"/>
  </r>
  <r>
    <n v="1320"/>
    <d v="2025-02-24T14:19:30"/>
    <d v="2025-02-24T14:22:09"/>
    <s v="eadisoni@lighthouse.org.mw"/>
    <s v="Eliza adisoni"/>
    <x v="3"/>
    <s v="Prototype"/>
    <x v="2"/>
    <s v="COP_23"/>
    <x v="2"/>
    <x v="2"/>
    <s v="Quarter2"/>
    <x v="2"/>
    <x v="4"/>
    <d v="2025-01-01T00:00:00"/>
    <d v="2025-01-31T00:00:00"/>
    <x v="5"/>
    <n v="6"/>
    <n v="0"/>
    <n v="6"/>
    <n v="0"/>
    <n v="0"/>
    <n v="0"/>
    <n v="1"/>
    <n v="0"/>
    <n v="5"/>
    <n v="0"/>
    <n v="0"/>
    <n v="0"/>
    <n v="5"/>
    <n v="0"/>
    <n v="0"/>
    <n v="0"/>
    <n v="0"/>
    <n v="0"/>
    <n v="0"/>
    <n v="0"/>
    <n v="0"/>
    <n v="0"/>
    <n v="0"/>
    <n v="0"/>
  </r>
  <r>
    <n v="1364"/>
    <d v="2025-03-06T10:30:01"/>
    <d v="2025-03-06T10:33:12"/>
    <s v="eadisoni@lighthouse.org.mw"/>
    <s v="Eliza adisoni"/>
    <x v="3"/>
    <s v="Prototype"/>
    <x v="2"/>
    <s v="COP_23"/>
    <x v="2"/>
    <x v="2"/>
    <s v="Quarter2"/>
    <x v="2"/>
    <x v="5"/>
    <d v="2025-02-03T00:00:00"/>
    <d v="2025-02-28T00:00:00"/>
    <x v="0"/>
    <n v="16"/>
    <n v="0"/>
    <n v="14"/>
    <n v="1"/>
    <n v="1"/>
    <n v="0"/>
    <n v="2"/>
    <n v="0"/>
    <n v="0"/>
    <n v="0"/>
    <n v="0"/>
    <n v="0"/>
    <n v="0"/>
    <n v="0"/>
    <n v="0"/>
    <n v="0"/>
    <n v="0"/>
    <n v="0"/>
    <n v="0"/>
    <n v="0"/>
    <n v="0"/>
    <n v="0"/>
    <n v="0"/>
    <n v="0"/>
  </r>
  <r>
    <n v="1365"/>
    <d v="2025-03-06T10:33:33"/>
    <d v="2025-03-06T10:35:27"/>
    <s v="eadisoni@lighthouse.org.mw"/>
    <s v="Eliza adisoni"/>
    <x v="3"/>
    <s v="Prototype"/>
    <x v="2"/>
    <s v="COP_23"/>
    <x v="2"/>
    <x v="2"/>
    <s v="Quarter2"/>
    <x v="2"/>
    <x v="5"/>
    <d v="2025-02-03T00:00:00"/>
    <d v="2025-02-28T00:00:00"/>
    <x v="1"/>
    <n v="13"/>
    <n v="0"/>
    <n v="11"/>
    <n v="1"/>
    <n v="1"/>
    <n v="0"/>
    <n v="2"/>
    <n v="0"/>
    <n v="0"/>
    <n v="0"/>
    <n v="0"/>
    <n v="0"/>
    <n v="1"/>
    <n v="0"/>
    <n v="0"/>
    <n v="0"/>
    <n v="0"/>
    <n v="0"/>
    <n v="0"/>
    <n v="0"/>
    <n v="0"/>
    <n v="0"/>
    <n v="0"/>
    <n v="0"/>
  </r>
  <r>
    <n v="1366"/>
    <d v="2025-03-06T10:35:33"/>
    <d v="2025-03-06T10:37:23"/>
    <s v="eadisoni@lighthouse.org.mw"/>
    <s v="Eliza adisoni"/>
    <x v="3"/>
    <s v="Prototype"/>
    <x v="2"/>
    <s v="COP_23"/>
    <x v="2"/>
    <x v="2"/>
    <s v="Quarter2"/>
    <x v="2"/>
    <x v="5"/>
    <d v="2025-02-03T00:00:00"/>
    <d v="2025-02-28T00:00:00"/>
    <x v="3"/>
    <n v="1"/>
    <n v="1"/>
    <n v="0"/>
    <n v="0"/>
    <n v="1"/>
    <n v="0"/>
    <n v="0"/>
    <n v="0"/>
    <n v="1"/>
    <n v="0"/>
    <n v="0"/>
    <n v="0"/>
    <n v="1"/>
    <n v="0"/>
    <n v="0"/>
    <n v="0"/>
    <n v="0"/>
    <n v="0"/>
    <n v="0"/>
    <n v="0"/>
    <n v="0"/>
    <n v="0"/>
    <n v="0"/>
    <n v="0"/>
  </r>
  <r>
    <n v="1368"/>
    <d v="2025-03-06T10:37:32"/>
    <d v="2025-03-06T10:39:58"/>
    <s v="eadisoni@lighthouse.org.mw"/>
    <s v="Eliza adisoni"/>
    <x v="3"/>
    <s v="Prototype"/>
    <x v="2"/>
    <s v="COP_23"/>
    <x v="2"/>
    <x v="2"/>
    <s v="Quarter2"/>
    <x v="2"/>
    <x v="5"/>
    <d v="2025-02-03T00:00:00"/>
    <d v="2025-02-28T00:00:00"/>
    <x v="2"/>
    <n v="3"/>
    <n v="0"/>
    <n v="3"/>
    <n v="0"/>
    <n v="0"/>
    <n v="0"/>
    <n v="0"/>
    <n v="0"/>
    <n v="3"/>
    <n v="0"/>
    <n v="0"/>
    <n v="0"/>
    <n v="3"/>
    <n v="0"/>
    <n v="0"/>
    <n v="0"/>
    <n v="0"/>
    <n v="0"/>
    <n v="0"/>
    <n v="0"/>
    <n v="0"/>
    <n v="0"/>
    <n v="0"/>
    <n v="0"/>
  </r>
  <r>
    <n v="1369"/>
    <d v="2025-03-06T10:40:08"/>
    <d v="2025-03-06T10:42:41"/>
    <s v="eadisoni@lighthouse.org.mw"/>
    <s v="Eliza adisoni"/>
    <x v="3"/>
    <s v="Prototype"/>
    <x v="2"/>
    <s v="COP_23"/>
    <x v="2"/>
    <x v="2"/>
    <s v="Quarter2"/>
    <x v="2"/>
    <x v="5"/>
    <d v="2025-02-03T00:00:00"/>
    <d v="2025-02-28T00:00:00"/>
    <x v="4"/>
    <n v="0"/>
    <n v="0"/>
    <n v="0"/>
    <n v="0"/>
    <n v="0"/>
    <n v="0"/>
    <n v="0"/>
    <n v="0"/>
    <n v="0"/>
    <n v="0"/>
    <n v="0"/>
    <n v="0"/>
    <n v="0"/>
    <n v="0"/>
    <n v="0"/>
    <n v="0"/>
    <n v="0"/>
    <n v="0"/>
    <n v="0"/>
    <n v="0"/>
    <n v="0"/>
    <n v="0"/>
    <n v="0"/>
    <n v="0"/>
  </r>
  <r>
    <n v="1370"/>
    <d v="2025-03-06T10:43:04"/>
    <d v="2025-03-06T10:46:48"/>
    <s v="eadisoni@lighthouse.org.mw"/>
    <s v="Eliza adisoni"/>
    <x v="3"/>
    <s v="Prototype"/>
    <x v="2"/>
    <s v="COP_23"/>
    <x v="2"/>
    <x v="2"/>
    <s v="Quarter2"/>
    <x v="2"/>
    <x v="5"/>
    <d v="2025-02-03T00:00:00"/>
    <d v="2025-02-28T00:00:00"/>
    <x v="5"/>
    <n v="0"/>
    <n v="0"/>
    <n v="0"/>
    <n v="0"/>
    <n v="0"/>
    <n v="0"/>
    <n v="0"/>
    <n v="0"/>
    <n v="0"/>
    <n v="0"/>
    <n v="0"/>
    <n v="0"/>
    <n v="0"/>
    <n v="0"/>
    <n v="0"/>
    <n v="0"/>
    <n v="0"/>
    <n v="0"/>
    <n v="0"/>
    <n v="0"/>
    <n v="0"/>
    <n v="0"/>
    <n v="0"/>
    <n v="0"/>
  </r>
  <r>
    <n v="1482"/>
    <d v="2025-04-03T07:59:12"/>
    <d v="2025-04-03T08:06:34"/>
    <s v="eadisoni@lighthouse.org.mw"/>
    <s v="Eliza adisoni"/>
    <x v="3"/>
    <s v="Prototype"/>
    <x v="2"/>
    <s v="COP_23"/>
    <x v="2"/>
    <x v="2"/>
    <s v="Quarter2"/>
    <x v="2"/>
    <x v="3"/>
    <d v="2025-03-01T00:00:00"/>
    <d v="2025-03-31T00:00:00"/>
    <x v="0"/>
    <n v="77"/>
    <n v="0"/>
    <n v="66"/>
    <n v="7"/>
    <n v="2"/>
    <n v="2"/>
    <n v="28"/>
    <n v="9"/>
    <n v="48"/>
    <n v="0"/>
    <n v="0"/>
    <n v="0"/>
    <n v="50"/>
    <n v="5"/>
    <n v="3"/>
    <n v="0"/>
    <n v="0"/>
    <n v="0"/>
    <n v="0"/>
    <n v="0"/>
    <n v="5"/>
    <n v="5"/>
    <n v="0"/>
    <n v="0"/>
  </r>
  <r>
    <n v="1483"/>
    <d v="2025-04-03T08:06:39"/>
    <d v="2025-04-03T08:08:29"/>
    <s v="eadisoni@lighthouse.org.mw"/>
    <s v="Eliza adisoni"/>
    <x v="3"/>
    <s v="Prototype"/>
    <x v="2"/>
    <s v="COP_23"/>
    <x v="2"/>
    <x v="2"/>
    <s v="Quarter2"/>
    <x v="2"/>
    <x v="3"/>
    <d v="2025-03-01T00:00:00"/>
    <d v="2025-03-31T00:00:00"/>
    <x v="1"/>
    <n v="40"/>
    <n v="0"/>
    <n v="34"/>
    <n v="3"/>
    <n v="2"/>
    <n v="1"/>
    <n v="27"/>
    <n v="10"/>
    <n v="11"/>
    <n v="0"/>
    <n v="0"/>
    <n v="0"/>
    <n v="14"/>
    <n v="0"/>
    <n v="2"/>
    <n v="0"/>
    <n v="0"/>
    <n v="0"/>
    <n v="0"/>
    <n v="0"/>
    <n v="0"/>
    <n v="0"/>
    <n v="0"/>
    <n v="0"/>
  </r>
  <r>
    <n v="1484"/>
    <d v="2025-04-03T08:08:38"/>
    <d v="2025-04-03T08:09:41"/>
    <s v="eadisoni@lighthouse.org.mw"/>
    <s v="Eliza adisoni"/>
    <x v="3"/>
    <s v="Prototype"/>
    <x v="2"/>
    <s v="COP_23"/>
    <x v="2"/>
    <x v="2"/>
    <s v="Quarter2"/>
    <x v="2"/>
    <x v="3"/>
    <d v="2025-03-01T00:00:00"/>
    <d v="2025-03-31T00:00:00"/>
    <x v="3"/>
    <n v="0"/>
    <n v="0"/>
    <n v="0"/>
    <n v="0"/>
    <n v="0"/>
    <n v="0"/>
    <n v="0"/>
    <n v="0"/>
    <n v="0"/>
    <n v="0"/>
    <n v="0"/>
    <n v="0"/>
    <n v="0"/>
    <n v="0"/>
    <n v="0"/>
    <n v="0"/>
    <n v="0"/>
    <n v="0"/>
    <n v="0"/>
    <n v="0"/>
    <n v="0"/>
    <n v="0"/>
    <n v="0"/>
    <n v="0"/>
  </r>
  <r>
    <n v="1485"/>
    <d v="2025-04-03T08:10:27"/>
    <d v="2025-04-03T08:12:34"/>
    <s v="eadisoni@lighthouse.org.mw"/>
    <s v="Eliza adisoni"/>
    <x v="3"/>
    <s v="Prototype"/>
    <x v="2"/>
    <s v="COP_23"/>
    <x v="2"/>
    <x v="2"/>
    <s v="Quarter2"/>
    <x v="2"/>
    <x v="3"/>
    <d v="2025-03-01T00:00:00"/>
    <d v="2025-03-31T00:00:00"/>
    <x v="5"/>
    <n v="8"/>
    <n v="0"/>
    <n v="8"/>
    <n v="0"/>
    <n v="0"/>
    <n v="0"/>
    <n v="0"/>
    <n v="0"/>
    <n v="8"/>
    <n v="0"/>
    <n v="0"/>
    <n v="0"/>
    <n v="8"/>
    <n v="1"/>
    <n v="0"/>
    <n v="0"/>
    <n v="0"/>
    <n v="0"/>
    <n v="0"/>
    <n v="0"/>
    <n v="0"/>
    <n v="0"/>
    <n v="0"/>
    <n v="0"/>
  </r>
  <r>
    <n v="1486"/>
    <d v="2025-04-03T08:12:38"/>
    <d v="2025-04-03T08:14:19"/>
    <s v="eadisoni@lighthouse.org.mw"/>
    <s v="Eliza adisoni"/>
    <x v="3"/>
    <s v="Prototype"/>
    <x v="2"/>
    <s v="COP_23"/>
    <x v="2"/>
    <x v="2"/>
    <s v="Quarter2"/>
    <x v="2"/>
    <x v="3"/>
    <d v="2025-03-01T00:00:00"/>
    <d v="2025-03-31T00:00:00"/>
    <x v="4"/>
    <n v="4"/>
    <n v="0"/>
    <n v="4"/>
    <n v="0"/>
    <n v="0"/>
    <n v="0"/>
    <n v="2"/>
    <n v="0"/>
    <n v="0"/>
    <n v="0"/>
    <n v="0"/>
    <n v="0"/>
    <n v="1"/>
    <n v="1"/>
    <n v="0"/>
    <n v="0"/>
    <n v="0"/>
    <n v="0"/>
    <n v="0"/>
    <n v="0"/>
    <n v="1"/>
    <n v="0"/>
    <n v="0"/>
    <n v="0"/>
  </r>
  <r>
    <n v="1487"/>
    <d v="2025-04-03T08:14:36"/>
    <d v="2025-04-03T08:16:59"/>
    <s v="eadisoni@lighthouse.org.mw"/>
    <s v="Eliza adisoni"/>
    <x v="3"/>
    <s v="Prototype"/>
    <x v="2"/>
    <s v="COP_23"/>
    <x v="2"/>
    <x v="2"/>
    <s v="Quarter2"/>
    <x v="2"/>
    <x v="3"/>
    <d v="2025-03-01T00:00:00"/>
    <d v="2025-03-31T00:00:00"/>
    <x v="2"/>
    <n v="35"/>
    <n v="0"/>
    <n v="32"/>
    <n v="2"/>
    <n v="0"/>
    <n v="1"/>
    <n v="1"/>
    <n v="1"/>
    <n v="34"/>
    <n v="0"/>
    <n v="0"/>
    <n v="0"/>
    <n v="34"/>
    <n v="4"/>
    <n v="1"/>
    <n v="0"/>
    <n v="0"/>
    <n v="0"/>
    <n v="0"/>
    <n v="0"/>
    <n v="5"/>
    <n v="0"/>
    <n v="0"/>
    <n v="0"/>
  </r>
  <r>
    <n v="1614"/>
    <d v="2025-06-03T10:07:00"/>
    <d v="2025-06-03T10:09:21"/>
    <s v="eadisoni@lighthouse.org.mw"/>
    <s v="Eliza adisoni"/>
    <x v="3"/>
    <s v="Prototype"/>
    <x v="2"/>
    <s v="COP_24"/>
    <x v="3"/>
    <x v="1"/>
    <s v="Quarter3"/>
    <x v="4"/>
    <x v="7"/>
    <d v="2025-04-01T00:00:00"/>
    <d v="2025-04-30T00:00:00"/>
    <x v="0"/>
    <n v="52"/>
    <n v="0"/>
    <n v="44"/>
    <n v="4"/>
    <n v="2"/>
    <n v="2"/>
    <n v="28"/>
    <n v="11"/>
    <n v="0"/>
    <n v="0"/>
    <n v="0"/>
    <n v="0"/>
    <n v="28"/>
    <n v="2"/>
    <n v="0"/>
    <n v="0"/>
    <n v="0"/>
    <n v="0"/>
    <n v="0"/>
    <n v="0"/>
    <n v="2"/>
    <n v="0"/>
    <n v="0"/>
    <n v="0"/>
  </r>
  <r>
    <n v="1615"/>
    <d v="2025-06-03T10:09:37"/>
    <d v="2025-06-03T10:11:55"/>
    <s v="eadisoni@lighthouse.org.mw"/>
    <s v="Eliza adisoni"/>
    <x v="3"/>
    <s v="Prototype"/>
    <x v="2"/>
    <s v="COP_23"/>
    <x v="3"/>
    <x v="1"/>
    <s v="Quarter3"/>
    <x v="4"/>
    <x v="7"/>
    <d v="2025-04-01T00:00:00"/>
    <d v="2025-04-30T00:00:00"/>
    <x v="1"/>
    <n v="31"/>
    <n v="0"/>
    <n v="25"/>
    <n v="4"/>
    <n v="2"/>
    <n v="0"/>
    <n v="24"/>
    <n v="9"/>
    <n v="8"/>
    <n v="0"/>
    <n v="8"/>
    <n v="0"/>
    <n v="0"/>
    <n v="0"/>
    <n v="0"/>
    <n v="0"/>
    <n v="0"/>
    <n v="0"/>
    <n v="0"/>
    <n v="0"/>
    <n v="0"/>
    <n v="0"/>
    <n v="0"/>
    <n v="0"/>
  </r>
  <r>
    <n v="1616"/>
    <d v="2025-06-03T10:12:02"/>
    <d v="2025-06-03T10:13:50"/>
    <s v="eadisoni@lighthouse.org.mw"/>
    <s v="Eliza adisoni"/>
    <x v="3"/>
    <s v="Prototype"/>
    <x v="2"/>
    <s v="COP_23"/>
    <x v="3"/>
    <x v="1"/>
    <s v="Quarter3"/>
    <x v="4"/>
    <x v="7"/>
    <d v="2025-04-01T00:00:00"/>
    <d v="2025-04-30T00:00:00"/>
    <x v="3"/>
    <n v="1"/>
    <n v="0"/>
    <n v="1"/>
    <n v="0"/>
    <n v="0"/>
    <n v="0"/>
    <n v="0"/>
    <n v="0"/>
    <n v="0"/>
    <n v="0"/>
    <n v="0"/>
    <n v="0"/>
    <n v="0"/>
    <n v="0"/>
    <n v="0"/>
    <n v="0"/>
    <n v="0"/>
    <n v="0"/>
    <n v="0"/>
    <n v="0"/>
    <n v="0"/>
    <n v="0"/>
    <n v="0"/>
    <n v="0"/>
  </r>
  <r>
    <n v="1617"/>
    <d v="2025-06-03T10:13:58"/>
    <d v="2025-06-03T10:15:13"/>
    <s v="eadisoni@lighthouse.org.mw"/>
    <s v="Eliza adisoni"/>
    <x v="3"/>
    <s v="Prototype"/>
    <x v="2"/>
    <s v="COP_23"/>
    <x v="3"/>
    <x v="1"/>
    <s v="Quarter3"/>
    <x v="4"/>
    <x v="7"/>
    <d v="2025-04-01T00:00:00"/>
    <d v="2025-04-30T00:00:00"/>
    <x v="4"/>
    <n v="0"/>
    <n v="0"/>
    <n v="0"/>
    <n v="0"/>
    <n v="0"/>
    <n v="0"/>
    <n v="0"/>
    <n v="0"/>
    <n v="0"/>
    <n v="0"/>
    <n v="0"/>
    <n v="0"/>
    <n v="0"/>
    <n v="0"/>
    <n v="0"/>
    <n v="0"/>
    <n v="0"/>
    <n v="0"/>
    <n v="0"/>
    <n v="0"/>
    <n v="0"/>
    <n v="0"/>
    <n v="0"/>
    <n v="0"/>
  </r>
  <r>
    <n v="1647"/>
    <d v="2025-06-05T11:42:45"/>
    <d v="2025-06-05T11:44:58"/>
    <s v="eadisoni@lighthouse.org.mw"/>
    <s v="Eliza adisoni"/>
    <x v="3"/>
    <s v="Prototype"/>
    <x v="2"/>
    <s v="COP_23"/>
    <x v="3"/>
    <x v="1"/>
    <s v="Quarter3"/>
    <x v="4"/>
    <x v="6"/>
    <d v="2025-05-01T00:00:00"/>
    <d v="2025-05-31T00:00:00"/>
    <x v="0"/>
    <n v="54"/>
    <n v="0"/>
    <n v="45"/>
    <n v="2"/>
    <n v="7"/>
    <n v="0"/>
    <n v="13"/>
    <n v="3"/>
    <n v="12"/>
    <n v="0"/>
    <n v="0"/>
    <n v="0"/>
    <n v="35"/>
    <n v="0"/>
    <n v="5"/>
    <n v="0"/>
    <n v="0"/>
    <n v="0"/>
    <n v="0"/>
    <n v="0"/>
    <n v="0"/>
    <n v="0"/>
    <n v="0"/>
    <n v="0"/>
  </r>
  <r>
    <n v="1648"/>
    <d v="2025-06-05T11:45:09"/>
    <d v="2025-06-05T11:47:42"/>
    <s v="eadisoni@lighthouse.org.mw"/>
    <s v="Eliza adisoni"/>
    <x v="3"/>
    <s v="Prototype"/>
    <x v="2"/>
    <s v="COP_23"/>
    <x v="3"/>
    <x v="1"/>
    <s v="Quarter3"/>
    <x v="4"/>
    <x v="6"/>
    <d v="2025-05-01T00:00:00"/>
    <d v="2025-05-31T00:00:00"/>
    <x v="1"/>
    <n v="28"/>
    <n v="0"/>
    <n v="20"/>
    <n v="1"/>
    <n v="7"/>
    <n v="0"/>
    <n v="13"/>
    <n v="3"/>
    <n v="1"/>
    <n v="0"/>
    <n v="0"/>
    <n v="0"/>
    <n v="12"/>
    <n v="0"/>
    <n v="0"/>
    <n v="0"/>
    <n v="0"/>
    <n v="0"/>
    <n v="0"/>
    <n v="0"/>
    <n v="0"/>
    <n v="0"/>
    <n v="0"/>
    <n v="0"/>
  </r>
  <r>
    <n v="1649"/>
    <d v="2025-06-05T11:47:47"/>
    <d v="2025-06-05T11:49:01"/>
    <s v="eadisoni@lighthouse.org.mw"/>
    <s v="Eliza adisoni"/>
    <x v="3"/>
    <s v="Prototype"/>
    <x v="2"/>
    <s v="COP_23"/>
    <x v="3"/>
    <x v="1"/>
    <s v="Quarter3"/>
    <x v="4"/>
    <x v="6"/>
    <d v="2025-05-01T00:00:00"/>
    <d v="2025-05-31T00:00:00"/>
    <x v="3"/>
    <n v="0"/>
    <n v="0"/>
    <n v="0"/>
    <n v="0"/>
    <n v="0"/>
    <n v="0"/>
    <n v="0"/>
    <n v="0"/>
    <n v="0"/>
    <n v="0"/>
    <n v="0"/>
    <n v="0"/>
    <n v="0"/>
    <n v="0"/>
    <n v="0"/>
    <n v="0"/>
    <n v="0"/>
    <n v="0"/>
    <n v="0"/>
    <n v="0"/>
    <n v="0"/>
    <n v="0"/>
    <n v="0"/>
    <n v="0"/>
  </r>
  <r>
    <n v="1650"/>
    <d v="2025-06-05T11:49:11"/>
    <d v="2025-06-05T11:50:45"/>
    <s v="eadisoni@lighthouse.org.mw"/>
    <s v="Eliza adisoni"/>
    <x v="3"/>
    <s v="Prototype"/>
    <x v="2"/>
    <s v="COP_23"/>
    <x v="3"/>
    <x v="1"/>
    <s v="Quarter3"/>
    <x v="4"/>
    <x v="6"/>
    <d v="2025-05-01T00:00:00"/>
    <d v="2025-05-31T00:00:00"/>
    <x v="4"/>
    <n v="1"/>
    <n v="0"/>
    <n v="0"/>
    <n v="0"/>
    <n v="1"/>
    <n v="0"/>
    <n v="0"/>
    <n v="0"/>
    <n v="0"/>
    <n v="0"/>
    <n v="0"/>
    <n v="0"/>
    <n v="0"/>
    <n v="0"/>
    <n v="0"/>
    <n v="0"/>
    <n v="0"/>
    <n v="0"/>
    <n v="0"/>
    <n v="0"/>
    <n v="0"/>
    <n v="0"/>
    <n v="0"/>
    <n v="0"/>
  </r>
  <r>
    <n v="1651"/>
    <d v="2025-06-05T11:51:25"/>
    <d v="2025-06-05T11:53:22"/>
    <s v="eadisoni@lighthouse.org.mw"/>
    <s v="Eliza adisoni"/>
    <x v="3"/>
    <s v="Prototype"/>
    <x v="2"/>
    <s v="COP_23"/>
    <x v="3"/>
    <x v="1"/>
    <s v="Quarter3"/>
    <x v="4"/>
    <x v="6"/>
    <d v="2025-05-01T00:00:00"/>
    <d v="2025-05-31T00:00:00"/>
    <x v="5"/>
    <n v="8"/>
    <n v="0"/>
    <n v="8"/>
    <n v="0"/>
    <n v="0"/>
    <n v="0"/>
    <n v="0"/>
    <n v="0"/>
    <n v="0"/>
    <n v="0"/>
    <n v="0"/>
    <n v="0"/>
    <n v="7"/>
    <n v="0"/>
    <n v="0"/>
    <n v="0"/>
    <n v="0"/>
    <n v="0"/>
    <n v="0"/>
    <n v="0"/>
    <n v="0"/>
    <n v="0"/>
    <n v="0"/>
    <n v="0"/>
  </r>
  <r>
    <n v="1652"/>
    <d v="2025-06-05T11:53:32"/>
    <d v="2025-06-05T11:55:34"/>
    <s v="eadisoni@lighthouse.org.mw"/>
    <s v="Eliza adisoni"/>
    <x v="3"/>
    <s v="Prototype"/>
    <x v="2"/>
    <s v="COP_23"/>
    <x v="3"/>
    <x v="1"/>
    <s v="Quarter3"/>
    <x v="4"/>
    <x v="6"/>
    <d v="2025-05-01T00:00:00"/>
    <d v="2025-05-31T00:00:00"/>
    <x v="2"/>
    <n v="19"/>
    <n v="0"/>
    <n v="19"/>
    <n v="0"/>
    <n v="0"/>
    <n v="0"/>
    <n v="0"/>
    <n v="0"/>
    <n v="6"/>
    <n v="0"/>
    <n v="0"/>
    <n v="0"/>
    <n v="19"/>
    <n v="0"/>
    <n v="1"/>
    <n v="0"/>
    <n v="0"/>
    <n v="0"/>
    <n v="0"/>
    <n v="0"/>
    <n v="0"/>
    <n v="0"/>
    <n v="0"/>
    <n v="0"/>
  </r>
  <r>
    <n v="1707"/>
    <d v="2025-07-01T10:18:40"/>
    <d v="2025-07-01T10:25:08"/>
    <s v="eadisoni@lighthouse.org.mw"/>
    <s v="Eliza adisoni"/>
    <x v="3"/>
    <s v="Prototype"/>
    <x v="2"/>
    <s v="COP_23"/>
    <x v="3"/>
    <x v="1"/>
    <s v="Quarter3"/>
    <x v="4"/>
    <x v="7"/>
    <d v="2025-04-01T00:00:00"/>
    <d v="2025-04-30T00:00:00"/>
    <x v="2"/>
    <n v="21"/>
    <n v="2"/>
    <n v="17"/>
    <n v="0"/>
    <n v="0"/>
    <n v="4"/>
    <n v="4"/>
    <n v="2"/>
    <n v="19"/>
    <n v="0"/>
    <n v="0"/>
    <n v="0"/>
    <n v="19"/>
    <n v="2"/>
    <n v="0"/>
    <n v="0"/>
    <n v="0"/>
    <n v="0"/>
    <n v="0"/>
    <n v="0"/>
    <n v="2"/>
    <n v="0"/>
    <n v="0"/>
    <n v="0"/>
  </r>
  <r>
    <n v="1725"/>
    <d v="2025-07-08T07:32:43"/>
    <d v="2025-07-08T07:36:14"/>
    <s v="eadisoni@lighthouse.org.mw"/>
    <s v="Eliza adisoni"/>
    <x v="3"/>
    <s v="Prototype"/>
    <x v="2"/>
    <s v="COP_23"/>
    <x v="3"/>
    <x v="3"/>
    <s v="Quarter3"/>
    <x v="4"/>
    <x v="8"/>
    <d v="2025-06-01T00:00:00"/>
    <d v="2025-06-30T00:00:00"/>
    <x v="0"/>
    <n v="81"/>
    <n v="0"/>
    <n v="75"/>
    <n v="2"/>
    <n v="4"/>
    <n v="0"/>
    <n v="22"/>
    <n v="6"/>
    <n v="59"/>
    <n v="0"/>
    <n v="1"/>
    <n v="0"/>
    <n v="59"/>
    <n v="1"/>
    <n v="1"/>
    <n v="0"/>
    <n v="0"/>
    <n v="0"/>
    <n v="0"/>
    <n v="0"/>
    <n v="0"/>
    <n v="0"/>
    <n v="0"/>
    <n v="0"/>
  </r>
  <r>
    <n v="1726"/>
    <d v="2025-07-08T07:36:19"/>
    <d v="2025-07-08T07:38:30"/>
    <s v="eadisoni@lighthouse.org.mw"/>
    <s v="Eliza adisoni"/>
    <x v="3"/>
    <s v="Prototype"/>
    <x v="2"/>
    <s v="COP_23"/>
    <x v="3"/>
    <x v="3"/>
    <s v="Quarter3"/>
    <x v="4"/>
    <x v="8"/>
    <d v="2025-06-01T00:00:00"/>
    <d v="2025-06-30T00:00:00"/>
    <x v="1"/>
    <n v="28"/>
    <n v="0"/>
    <n v="23"/>
    <n v="1"/>
    <n v="4"/>
    <n v="0"/>
    <n v="21"/>
    <n v="5"/>
    <n v="3"/>
    <n v="0"/>
    <n v="0"/>
    <n v="0"/>
    <n v="3"/>
    <n v="0"/>
    <n v="0"/>
    <n v="0"/>
    <n v="0"/>
    <n v="0"/>
    <n v="0"/>
    <n v="0"/>
    <n v="0"/>
    <n v="0"/>
    <n v="0"/>
    <n v="0"/>
  </r>
  <r>
    <n v="1727"/>
    <d v="2025-07-08T07:38:35"/>
    <d v="2025-07-08T07:40:15"/>
    <s v="eadisoni@lighthouse.org.mw"/>
    <s v="Eliza adisoni"/>
    <x v="3"/>
    <s v="Prototype"/>
    <x v="2"/>
    <s v="COP_23"/>
    <x v="3"/>
    <x v="3"/>
    <s v="Quarter3"/>
    <x v="4"/>
    <x v="8"/>
    <d v="2025-06-01T00:00:00"/>
    <d v="2025-06-30T00:00:00"/>
    <x v="3"/>
    <n v="2"/>
    <n v="0"/>
    <n v="1"/>
    <n v="0"/>
    <n v="0"/>
    <n v="1"/>
    <n v="0"/>
    <n v="0"/>
    <n v="0"/>
    <n v="0"/>
    <n v="0"/>
    <n v="0"/>
    <n v="0"/>
    <n v="0"/>
    <n v="0"/>
    <n v="0"/>
    <n v="0"/>
    <n v="0"/>
    <n v="0"/>
    <n v="0"/>
    <n v="0"/>
    <n v="0"/>
    <n v="0"/>
    <n v="0"/>
  </r>
  <r>
    <n v="1728"/>
    <d v="2025-07-08T07:40:20"/>
    <d v="2025-07-08T07:42:00"/>
    <s v="eadisoni@lighthouse.org.mw"/>
    <s v="Eliza adisoni"/>
    <x v="3"/>
    <s v="Prototype"/>
    <x v="2"/>
    <s v="COP_23"/>
    <x v="3"/>
    <x v="3"/>
    <s v="Quarter3"/>
    <x v="4"/>
    <x v="8"/>
    <d v="2025-06-01T00:00:00"/>
    <d v="2025-06-30T00:00:00"/>
    <x v="4"/>
    <n v="5"/>
    <n v="0"/>
    <n v="5"/>
    <n v="0"/>
    <n v="0"/>
    <n v="0"/>
    <n v="0"/>
    <n v="0"/>
    <n v="4"/>
    <n v="0"/>
    <n v="1"/>
    <n v="0"/>
    <n v="4"/>
    <n v="0"/>
    <n v="0"/>
    <n v="0"/>
    <n v="0"/>
    <n v="0"/>
    <n v="0"/>
    <n v="0"/>
    <n v="0"/>
    <n v="0"/>
    <n v="0"/>
    <n v="0"/>
  </r>
  <r>
    <n v="1729"/>
    <d v="2025-07-08T07:42:07"/>
    <d v="2025-07-08T07:43:47"/>
    <s v="eadisoni@lighthouse.org.mw"/>
    <s v="Eliza adisoni"/>
    <x v="3"/>
    <s v="Prototype"/>
    <x v="2"/>
    <s v="COP_24"/>
    <x v="3"/>
    <x v="3"/>
    <s v="Quarter3"/>
    <x v="4"/>
    <x v="8"/>
    <d v="2025-06-01T00:00:00"/>
    <d v="2025-06-30T00:00:00"/>
    <x v="5"/>
    <n v="13"/>
    <n v="0"/>
    <n v="13"/>
    <n v="0"/>
    <n v="0"/>
    <n v="0"/>
    <n v="0"/>
    <n v="0"/>
    <n v="8"/>
    <n v="0"/>
    <n v="3"/>
    <n v="0"/>
    <n v="9"/>
    <n v="0"/>
    <n v="0"/>
    <n v="0"/>
    <n v="0"/>
    <n v="0"/>
    <n v="0"/>
    <n v="0"/>
    <n v="0"/>
    <n v="0"/>
    <n v="0"/>
    <n v="0"/>
  </r>
  <r>
    <n v="1803"/>
    <d v="2025-07-12T12:54:00"/>
    <d v="2025-07-12T12:56:40"/>
    <s v="eadisoni@lighthouse.org.mw"/>
    <s v="Eliza adisoni"/>
    <x v="3"/>
    <s v="Prototype"/>
    <x v="2"/>
    <s v="COP_23"/>
    <x v="3"/>
    <x v="3"/>
    <s v="Quarter3"/>
    <x v="4"/>
    <x v="8"/>
    <d v="2025-06-01T00:00:00"/>
    <d v="2025-06-30T00:00:00"/>
    <x v="2"/>
    <n v="51"/>
    <n v="0"/>
    <n v="51"/>
    <n v="0"/>
    <n v="0"/>
    <n v="0"/>
    <n v="0"/>
    <n v="0"/>
    <n v="3"/>
    <n v="0"/>
    <n v="1"/>
    <n v="0"/>
    <n v="49"/>
    <n v="1"/>
    <n v="0"/>
    <n v="0"/>
    <n v="0"/>
    <n v="0"/>
    <n v="0"/>
    <n v="0"/>
    <n v="0"/>
    <n v="0"/>
    <n v="0"/>
    <n v="0"/>
  </r>
  <r>
    <n v="1804"/>
    <d v="2025-07-12T12:57:17"/>
    <d v="2025-07-12T12:59:42"/>
    <s v="eadisoni@lighthouse.org.mw"/>
    <s v="Eliza adisoni"/>
    <x v="3"/>
    <s v="Prototype"/>
    <x v="2"/>
    <s v="COP_23"/>
    <x v="3"/>
    <x v="1"/>
    <s v="Quarter2"/>
    <x v="4"/>
    <x v="7"/>
    <d v="2025-04-01T00:00:00"/>
    <d v="2025-04-30T00:00:00"/>
    <x v="5"/>
    <n v="3"/>
    <n v="0"/>
    <n v="3"/>
    <n v="0"/>
    <n v="0"/>
    <n v="0"/>
    <n v="3"/>
    <n v="0"/>
    <n v="3"/>
    <n v="0"/>
    <n v="0"/>
    <n v="0"/>
    <n v="3"/>
    <n v="0"/>
    <n v="0"/>
    <n v="0"/>
    <n v="0"/>
    <n v="0"/>
    <n v="0"/>
    <n v="0"/>
    <n v="0"/>
    <n v="0"/>
    <n v="0"/>
    <n v="0"/>
  </r>
  <r>
    <n v="3"/>
    <d v="2023-12-15T12:11:52"/>
    <d v="2023-12-15T12:16:35"/>
    <s v="jkathyoka@lighthouse.org.mw"/>
    <s v="Judith Kathyoka"/>
    <x v="4"/>
    <s v="Prototype"/>
    <x v="0"/>
    <s v="COP_23"/>
    <x v="1"/>
    <x v="1"/>
    <s v="Quarter4"/>
    <x v="1"/>
    <x v="2"/>
    <d v="2023-09-01T00:00:00"/>
    <d v="2023-11-30T00:00:00"/>
    <x v="0"/>
    <n v="3"/>
    <n v="0"/>
    <n v="2"/>
    <n v="0"/>
    <n v="1"/>
    <n v="0"/>
    <n v="3"/>
    <n v="1"/>
    <n v="2"/>
    <n v="0"/>
    <n v="3"/>
    <n v="0"/>
    <n v="3"/>
    <n v="0"/>
    <n v="1"/>
    <n v="0"/>
    <n v="1"/>
    <n v="1"/>
    <n v="0"/>
    <n v="0"/>
    <n v="1"/>
    <n v="0"/>
    <n v="0"/>
    <n v="0"/>
  </r>
  <r>
    <n v="4"/>
    <d v="2023-12-15T12:16:47"/>
    <d v="2023-12-15T12:21:31"/>
    <s v="jkathyoka@lighthouse.org.mw"/>
    <s v="Judith Kathyoka"/>
    <x v="4"/>
    <s v="Prototype"/>
    <x v="0"/>
    <s v="COP_23"/>
    <x v="0"/>
    <x v="0"/>
    <s v="Quarter1"/>
    <x v="0"/>
    <x v="0"/>
    <d v="2023-10-01T00:00:00"/>
    <d v="2023-10-31T00:00:00"/>
    <x v="0"/>
    <n v="4"/>
    <n v="0"/>
    <n v="0"/>
    <n v="0"/>
    <n v="1"/>
    <n v="3"/>
    <n v="4"/>
    <n v="4"/>
    <n v="4"/>
    <n v="0"/>
    <n v="1"/>
    <n v="0"/>
    <n v="4"/>
    <n v="2"/>
    <n v="0"/>
    <n v="0"/>
    <n v="0"/>
    <n v="0"/>
    <n v="0"/>
    <n v="0"/>
    <n v="2"/>
    <n v="0"/>
    <n v="0"/>
    <n v="0"/>
  </r>
  <r>
    <n v="6"/>
    <d v="2023-12-15T12:25:40"/>
    <d v="2023-12-15T12:31:57"/>
    <s v="jkathyoka@lighthouse.org.mw"/>
    <s v="Judith Kathyoka"/>
    <x v="4"/>
    <s v="Prototype"/>
    <x v="0"/>
    <s v="COP_23"/>
    <x v="0"/>
    <x v="0"/>
    <s v="Quarter1"/>
    <x v="0"/>
    <x v="1"/>
    <d v="2023-11-01T00:00:00"/>
    <d v="2023-11-30T00:00:00"/>
    <x v="0"/>
    <n v="5"/>
    <n v="0"/>
    <n v="2"/>
    <n v="0"/>
    <n v="3"/>
    <n v="0"/>
    <n v="5"/>
    <n v="3"/>
    <n v="1"/>
    <n v="0"/>
    <n v="1"/>
    <n v="0"/>
    <n v="3"/>
    <n v="1"/>
    <n v="0"/>
    <n v="0"/>
    <n v="1"/>
    <n v="1"/>
    <n v="2"/>
    <n v="0"/>
    <n v="0"/>
    <n v="0"/>
    <n v="0"/>
    <n v="0"/>
  </r>
  <r>
    <n v="62"/>
    <d v="2024-01-08T14:56:59"/>
    <d v="2024-01-08T15:05:59"/>
    <s v="jkathyoka@lighthouse.org.mw"/>
    <s v="Judith Kathyoka"/>
    <x v="4"/>
    <s v="Prototype"/>
    <x v="0"/>
    <s v="COP_23"/>
    <x v="0"/>
    <x v="0"/>
    <s v="Quarter1"/>
    <x v="0"/>
    <x v="11"/>
    <d v="2023-12-01T00:00:00"/>
    <d v="2023-12-31T00:00:00"/>
    <x v="0"/>
    <n v="7"/>
    <n v="0"/>
    <n v="4"/>
    <n v="0"/>
    <n v="2"/>
    <n v="1"/>
    <n v="7"/>
    <n v="1"/>
    <n v="3"/>
    <n v="0"/>
    <n v="7"/>
    <n v="0"/>
    <n v="3"/>
    <n v="1"/>
    <n v="1"/>
    <n v="1"/>
    <n v="0"/>
    <n v="0"/>
    <n v="1"/>
    <n v="1"/>
    <n v="0"/>
    <n v="0"/>
    <n v="0"/>
    <n v="1"/>
  </r>
  <r>
    <n v="145"/>
    <d v="2024-02-06T15:20:19"/>
    <d v="2024-02-06T15:25:34"/>
    <s v="jkathyoka@lighthouse.org.mw"/>
    <s v="Judith Kathyoka"/>
    <x v="4"/>
    <s v="Prototype"/>
    <x v="1"/>
    <s v="COP_23"/>
    <x v="0"/>
    <x v="2"/>
    <s v="Quarter2"/>
    <x v="2"/>
    <x v="4"/>
    <d v="2024-01-01T00:00:00"/>
    <d v="2024-01-31T00:00:00"/>
    <x v="0"/>
    <n v="4"/>
    <n v="1"/>
    <n v="0"/>
    <n v="0"/>
    <n v="4"/>
    <n v="0"/>
    <n v="4"/>
    <n v="1"/>
    <n v="4"/>
    <n v="0"/>
    <n v="4"/>
    <n v="0"/>
    <n v="4"/>
    <n v="0"/>
    <n v="0"/>
    <n v="0"/>
    <n v="0"/>
    <n v="0"/>
    <n v="4"/>
    <n v="1"/>
    <n v="1"/>
    <n v="0"/>
    <n v="0"/>
    <n v="0"/>
  </r>
  <r>
    <n v="161"/>
    <d v="2024-03-01T15:54:01"/>
    <d v="2024-03-01T15:58:51"/>
    <s v="jkathyoka@lighthouse.org.mw"/>
    <s v="Judith Kathyoka"/>
    <x v="4"/>
    <s v="Prototype"/>
    <x v="1"/>
    <s v="COP_23"/>
    <x v="0"/>
    <x v="2"/>
    <s v="Quarter2"/>
    <x v="2"/>
    <x v="5"/>
    <d v="2024-02-01T00:00:00"/>
    <d v="2024-02-29T00:00:00"/>
    <x v="0"/>
    <n v="7"/>
    <n v="0"/>
    <n v="5"/>
    <n v="0"/>
    <n v="2"/>
    <n v="0"/>
    <n v="7"/>
    <n v="3"/>
    <n v="5"/>
    <n v="0"/>
    <n v="0"/>
    <n v="0"/>
    <n v="5"/>
    <n v="0"/>
    <n v="0"/>
    <n v="0"/>
    <n v="0"/>
    <n v="0"/>
    <n v="0"/>
    <n v="0"/>
    <n v="0"/>
    <n v="0"/>
    <n v="0"/>
    <n v="0"/>
  </r>
  <r>
    <n v="187"/>
    <d v="2024-04-03T15:29:14"/>
    <d v="2024-04-03T15:36:35"/>
    <s v="jkathyoka@lighthouse.org.mw"/>
    <s v="Judith Kathyoka"/>
    <x v="4"/>
    <s v="Prototype"/>
    <x v="1"/>
    <s v="COP_23"/>
    <x v="0"/>
    <x v="2"/>
    <s v="Quarter2"/>
    <x v="2"/>
    <x v="3"/>
    <d v="2024-03-01T00:00:00"/>
    <d v="2024-03-31T00:00:00"/>
    <x v="0"/>
    <n v="5"/>
    <n v="1"/>
    <n v="2"/>
    <n v="0"/>
    <n v="3"/>
    <n v="1"/>
    <n v="4"/>
    <n v="3"/>
    <n v="0"/>
    <n v="0"/>
    <n v="0"/>
    <n v="0"/>
    <n v="3"/>
    <n v="1"/>
    <n v="0"/>
    <n v="0"/>
    <n v="0"/>
    <n v="0"/>
    <n v="3"/>
    <n v="0"/>
    <n v="1"/>
    <n v="0"/>
    <n v="0"/>
    <n v="0"/>
  </r>
  <r>
    <n v="110"/>
    <d v="2024-01-23T15:26:36"/>
    <d v="2024-01-23T15:37:39"/>
    <s v="jkathyoka@lighthouse.org.mw"/>
    <s v="Judith Kathyoka"/>
    <x v="4"/>
    <s v="Prototype"/>
    <x v="0"/>
    <s v="COP_23"/>
    <x v="0"/>
    <x v="0"/>
    <s v="Quarter1"/>
    <x v="0"/>
    <x v="0"/>
    <d v="2023-10-01T00:00:00"/>
    <d v="2023-10-31T00:00:00"/>
    <x v="1"/>
    <n v="4"/>
    <n v="0"/>
    <n v="0"/>
    <n v="0"/>
    <n v="1"/>
    <n v="3"/>
    <n v="4"/>
    <n v="4"/>
    <n v="4"/>
    <n v="0"/>
    <n v="4"/>
    <n v="0"/>
    <n v="4"/>
    <n v="2"/>
    <n v="0"/>
    <n v="0"/>
    <n v="0"/>
    <n v="0"/>
    <n v="0"/>
    <n v="0"/>
    <n v="2"/>
    <n v="0"/>
    <n v="0"/>
    <n v="0"/>
  </r>
  <r>
    <n v="111"/>
    <d v="2024-01-23T15:38:03"/>
    <d v="2024-01-23T15:42:33"/>
    <s v="jkathyoka@lighthouse.org.mw"/>
    <s v="Judith Kathyoka"/>
    <x v="4"/>
    <s v="Prototype"/>
    <x v="0"/>
    <s v="COP_23"/>
    <x v="0"/>
    <x v="0"/>
    <s v="Quarter1"/>
    <x v="0"/>
    <x v="1"/>
    <d v="2023-11-01T00:00:00"/>
    <d v="2023-11-30T00:00:00"/>
    <x v="1"/>
    <n v="3"/>
    <n v="0"/>
    <n v="1"/>
    <n v="0"/>
    <n v="2"/>
    <n v="0"/>
    <n v="3"/>
    <n v="2"/>
    <n v="3"/>
    <n v="0"/>
    <n v="1"/>
    <n v="0"/>
    <n v="3"/>
    <n v="1"/>
    <n v="0"/>
    <n v="0"/>
    <n v="1"/>
    <n v="1"/>
    <n v="3"/>
    <n v="1"/>
    <n v="0"/>
    <n v="0"/>
    <n v="0"/>
    <n v="0"/>
  </r>
  <r>
    <n v="112"/>
    <d v="2024-01-23T15:42:55"/>
    <d v="2024-01-23T15:48:57"/>
    <s v="jkathyoka@lighthouse.org.mw"/>
    <s v="Judith Kathyoka"/>
    <x v="4"/>
    <s v="Prototype"/>
    <x v="0"/>
    <s v="COP_23"/>
    <x v="0"/>
    <x v="0"/>
    <s v="Quarter1"/>
    <x v="0"/>
    <x v="11"/>
    <d v="2023-12-01T00:00:00"/>
    <d v="2023-12-31T00:00:00"/>
    <x v="1"/>
    <n v="6"/>
    <n v="0"/>
    <n v="3"/>
    <n v="1"/>
    <n v="1"/>
    <n v="1"/>
    <n v="6"/>
    <n v="2"/>
    <n v="6"/>
    <n v="0"/>
    <n v="0"/>
    <n v="0"/>
    <n v="6"/>
    <n v="1"/>
    <n v="0"/>
    <n v="0"/>
    <n v="0"/>
    <n v="0"/>
    <n v="0"/>
    <n v="0"/>
    <n v="0"/>
    <n v="0"/>
    <n v="0"/>
    <n v="1"/>
  </r>
  <r>
    <n v="146"/>
    <d v="2024-02-06T15:36:09"/>
    <d v="2024-02-06T15:41:17"/>
    <s v="jkathyoka@lighthouse.org.mw"/>
    <s v="Judith Kathyoka"/>
    <x v="4"/>
    <s v="Prototype"/>
    <x v="1"/>
    <s v="COP_23"/>
    <x v="0"/>
    <x v="2"/>
    <s v="Quarter2"/>
    <x v="2"/>
    <x v="4"/>
    <d v="2024-01-01T00:00:00"/>
    <d v="2024-01-31T00:00:00"/>
    <x v="1"/>
    <n v="2"/>
    <n v="0"/>
    <n v="0"/>
    <n v="0"/>
    <n v="2"/>
    <n v="0"/>
    <n v="2"/>
    <n v="0"/>
    <n v="2"/>
    <n v="0"/>
    <n v="2"/>
    <n v="0"/>
    <n v="2"/>
    <n v="0"/>
    <n v="2"/>
    <n v="0"/>
    <n v="0"/>
    <n v="0"/>
    <n v="2"/>
    <n v="0"/>
    <n v="0"/>
    <n v="0"/>
    <n v="0"/>
    <n v="0"/>
  </r>
  <r>
    <n v="420"/>
    <d v="2024-05-15T16:03:40"/>
    <d v="2024-05-15T16:15:00"/>
    <s v="jkathyoka@lighthouse.org.mw"/>
    <s v="Judith Kathyoka"/>
    <x v="4"/>
    <s v="Prototype"/>
    <x v="1"/>
    <s v="COP_23"/>
    <x v="0"/>
    <x v="2"/>
    <s v="Quarter2"/>
    <x v="2"/>
    <x v="5"/>
    <d v="2024-02-01T00:00:00"/>
    <d v="2024-02-29T00:00:00"/>
    <x v="1"/>
    <n v="6"/>
    <n v="0"/>
    <n v="5"/>
    <n v="0"/>
    <n v="1"/>
    <n v="0"/>
    <n v="6"/>
    <n v="3"/>
    <n v="6"/>
    <n v="0"/>
    <n v="6"/>
    <n v="0"/>
    <n v="5"/>
    <n v="0"/>
    <n v="7"/>
    <n v="0"/>
    <n v="0"/>
    <n v="0"/>
    <n v="0"/>
    <n v="0"/>
    <n v="0"/>
    <n v="0"/>
    <n v="0"/>
    <n v="0"/>
  </r>
  <r>
    <n v="477"/>
    <d v="2024-06-05T11:06:54"/>
    <d v="2024-06-05T11:11:23"/>
    <s v="jkathyoka@lighthouse.org.mw"/>
    <s v="Judith Kathyoka"/>
    <x v="4"/>
    <s v="Prototype"/>
    <x v="1"/>
    <s v="COP_23"/>
    <x v="0"/>
    <x v="3"/>
    <s v="Quarter3"/>
    <x v="3"/>
    <x v="6"/>
    <d v="2024-05-01T00:00:00"/>
    <d v="2024-05-31T00:00:00"/>
    <x v="1"/>
    <n v="6"/>
    <n v="5"/>
    <n v="3"/>
    <n v="1"/>
    <n v="1"/>
    <n v="1"/>
    <n v="6"/>
    <n v="5"/>
    <n v="6"/>
    <n v="1"/>
    <n v="6"/>
    <n v="1"/>
    <n v="2"/>
    <n v="0"/>
    <n v="0"/>
    <n v="0"/>
    <n v="0"/>
    <n v="0"/>
    <n v="4"/>
    <n v="1"/>
    <n v="0"/>
    <n v="1"/>
    <n v="0"/>
    <n v="0"/>
  </r>
  <r>
    <n v="561"/>
    <d v="2024-07-03T09:50:50"/>
    <d v="2024-07-03T09:55:14"/>
    <s v="jkathyoka@lighthouse.org.mw"/>
    <s v="Judith Kathyoka"/>
    <x v="4"/>
    <s v="Prototype"/>
    <x v="1"/>
    <s v="COP_23"/>
    <x v="0"/>
    <x v="3"/>
    <s v="Quarter3"/>
    <x v="3"/>
    <x v="8"/>
    <d v="2024-06-01T00:00:00"/>
    <d v="2024-06-30T00:00:00"/>
    <x v="1"/>
    <n v="4"/>
    <n v="0"/>
    <n v="3"/>
    <n v="1"/>
    <n v="0"/>
    <n v="0"/>
    <n v="4"/>
    <n v="0"/>
    <n v="0"/>
    <n v="0"/>
    <n v="0"/>
    <n v="0"/>
    <n v="0"/>
    <n v="0"/>
    <n v="0"/>
    <n v="0"/>
    <n v="0"/>
    <n v="0"/>
    <n v="0"/>
    <n v="0"/>
    <n v="0"/>
    <n v="0"/>
    <n v="0"/>
    <n v="0"/>
  </r>
  <r>
    <n v="714"/>
    <d v="2024-08-05T15:40:52"/>
    <d v="2024-08-05T15:45:04"/>
    <s v="jkathyoka@lighthouse.org.mw"/>
    <s v="Judith Kathyoka"/>
    <x v="4"/>
    <s v="Prototype"/>
    <x v="1"/>
    <s v="COP_23"/>
    <x v="0"/>
    <x v="1"/>
    <s v="Quarter4"/>
    <x v="1"/>
    <x v="9"/>
    <d v="2024-07-01T00:00:00"/>
    <d v="2024-07-31T00:00:00"/>
    <x v="1"/>
    <n v="11"/>
    <n v="2"/>
    <n v="14"/>
    <n v="0"/>
    <n v="2"/>
    <n v="0"/>
    <n v="13"/>
    <n v="3"/>
    <n v="6"/>
    <n v="0"/>
    <n v="1"/>
    <n v="0"/>
    <n v="0"/>
    <n v="0"/>
    <n v="0"/>
    <n v="0"/>
    <n v="0"/>
    <n v="0"/>
    <n v="0"/>
    <n v="0"/>
    <n v="0"/>
    <n v="0"/>
    <n v="0"/>
    <n v="0"/>
  </r>
  <r>
    <n v="775"/>
    <d v="2024-08-19T11:40:53"/>
    <d v="2024-08-19T11:44:26"/>
    <s v="jkathyoka@lighthouse.org.mw"/>
    <s v="Judith Kathyoka"/>
    <x v="4"/>
    <s v="Prototype"/>
    <x v="1"/>
    <s v="COP_23"/>
    <x v="0"/>
    <x v="3"/>
    <s v="Quarter3"/>
    <x v="3"/>
    <x v="7"/>
    <d v="2024-04-01T00:00:00"/>
    <d v="2024-04-30T00:00:00"/>
    <x v="1"/>
    <n v="8"/>
    <n v="2"/>
    <n v="4"/>
    <n v="1"/>
    <n v="2"/>
    <n v="1"/>
    <n v="7"/>
    <n v="6"/>
    <n v="6"/>
    <n v="0"/>
    <n v="1"/>
    <n v="1"/>
    <n v="6"/>
    <n v="1"/>
    <n v="0"/>
    <n v="0"/>
    <n v="1"/>
    <n v="1"/>
    <n v="2"/>
    <n v="0"/>
    <n v="2"/>
    <n v="0"/>
    <n v="0"/>
    <n v="0"/>
  </r>
  <r>
    <n v="821"/>
    <d v="2024-09-19T08:23:59"/>
    <d v="2024-09-19T08:32:22"/>
    <s v="jkathyoka@lighthouse.org.mw"/>
    <s v="Judith Kathyoka"/>
    <x v="4"/>
    <s v="Prototype"/>
    <x v="1"/>
    <s v="COP_23"/>
    <x v="0"/>
    <x v="1"/>
    <s v="Quarter4"/>
    <x v="1"/>
    <x v="10"/>
    <d v="2024-08-01T00:00:00"/>
    <d v="2024-08-31T00:00:00"/>
    <x v="1"/>
    <n v="4"/>
    <n v="0"/>
    <n v="4"/>
    <n v="0"/>
    <n v="0"/>
    <n v="0"/>
    <n v="4"/>
    <n v="0"/>
    <n v="0"/>
    <n v="0"/>
    <n v="0"/>
    <n v="0"/>
    <n v="0"/>
    <n v="0"/>
    <n v="0"/>
    <n v="0"/>
    <n v="0"/>
    <n v="0"/>
    <n v="0"/>
    <n v="0"/>
    <n v="0"/>
    <n v="0"/>
    <n v="0"/>
    <n v="0"/>
  </r>
  <r>
    <n v="877"/>
    <d v="2024-10-03T15:32:37"/>
    <d v="2024-10-03T15:44:38"/>
    <s v="jkathyoka@lighthouse.org.mw"/>
    <s v="Judith Kathyoka"/>
    <x v="4"/>
    <s v="Prototype"/>
    <x v="1"/>
    <s v="COP_23"/>
    <x v="0"/>
    <x v="1"/>
    <s v="Quarter4"/>
    <x v="1"/>
    <x v="2"/>
    <d v="2024-09-01T00:00:00"/>
    <d v="2024-10-31T00:00:00"/>
    <x v="1"/>
    <n v="9"/>
    <n v="1"/>
    <n v="8"/>
    <n v="0"/>
    <n v="1"/>
    <n v="0"/>
    <n v="9"/>
    <n v="4"/>
    <n v="4"/>
    <n v="0"/>
    <n v="4"/>
    <n v="0"/>
    <n v="4"/>
    <n v="0"/>
    <n v="0"/>
    <n v="0"/>
    <n v="0"/>
    <n v="0"/>
    <n v="2"/>
    <n v="0"/>
    <n v="0"/>
    <n v="0"/>
    <n v="0"/>
    <n v="0"/>
  </r>
  <r>
    <n v="1053"/>
    <d v="2024-11-11T14:02:50"/>
    <d v="2024-11-11T14:10:53"/>
    <s v="jkathyoka@lighthouse.org.mw"/>
    <s v="Judith Kathyoka"/>
    <x v="4"/>
    <s v="Prototype"/>
    <x v="1"/>
    <s v="COP_24"/>
    <x v="2"/>
    <x v="0"/>
    <s v="Quarter1"/>
    <x v="0"/>
    <x v="0"/>
    <d v="2024-10-01T00:00:00"/>
    <d v="2024-10-31T00:00:00"/>
    <x v="1"/>
    <n v="6"/>
    <n v="0"/>
    <n v="5"/>
    <n v="0"/>
    <n v="0"/>
    <n v="1"/>
    <n v="6"/>
    <n v="0"/>
    <n v="0"/>
    <n v="0"/>
    <n v="0"/>
    <n v="0"/>
    <n v="0"/>
    <n v="0"/>
    <n v="0"/>
    <n v="0"/>
    <n v="0"/>
    <n v="0"/>
    <n v="0"/>
    <n v="0"/>
    <n v="0"/>
    <n v="0"/>
    <n v="0"/>
    <n v="1"/>
  </r>
  <r>
    <n v="368"/>
    <d v="2024-05-07T15:51:37"/>
    <d v="2024-05-07T15:56:47"/>
    <s v="jkathyoka@lighthouse.org.mw"/>
    <s v="Judith Kathyoka"/>
    <x v="4"/>
    <s v="Prototype"/>
    <x v="1"/>
    <s v="COP_24"/>
    <x v="0"/>
    <x v="3"/>
    <s v="Quarter3"/>
    <x v="3"/>
    <x v="7"/>
    <d v="2024-04-01T00:00:00"/>
    <d v="2024-04-30T00:00:00"/>
    <x v="0"/>
    <n v="13"/>
    <n v="3"/>
    <n v="6"/>
    <n v="2"/>
    <n v="4"/>
    <n v="1"/>
    <n v="13"/>
    <n v="5"/>
    <n v="18"/>
    <n v="1"/>
    <n v="2"/>
    <n v="2"/>
    <n v="8"/>
    <n v="1"/>
    <n v="0"/>
    <n v="0"/>
    <n v="1"/>
    <n v="1"/>
    <n v="4"/>
    <n v="0"/>
    <n v="2"/>
    <n v="0"/>
    <n v="0"/>
    <n v="0"/>
  </r>
  <r>
    <n v="414"/>
    <d v="2024-05-15T15:55:50"/>
    <d v="2024-05-15T15:57:01"/>
    <s v="jkathyoka@lighthouse.org.mw"/>
    <s v="Judith Kathyoka"/>
    <x v="4"/>
    <s v="Prototype"/>
    <x v="1"/>
    <s v="COP_24"/>
    <x v="0"/>
    <x v="2"/>
    <s v="Quarter2"/>
    <x v="2"/>
    <x v="5"/>
    <d v="2024-02-01T00:00:00"/>
    <d v="2024-02-29T00:00:00"/>
    <x v="2"/>
    <n v="0"/>
    <n v="0"/>
    <n v="0"/>
    <n v="0"/>
    <n v="0"/>
    <n v="0"/>
    <n v="0"/>
    <n v="0"/>
    <n v="0"/>
    <n v="0"/>
    <n v="0"/>
    <n v="0"/>
    <n v="0"/>
    <n v="0"/>
    <n v="0"/>
    <n v="0"/>
    <n v="0"/>
    <n v="0"/>
    <n v="0"/>
    <n v="0"/>
    <n v="0"/>
    <n v="0"/>
    <n v="0"/>
    <n v="0"/>
  </r>
  <r>
    <n v="419"/>
    <d v="2024-05-15T16:02:12"/>
    <d v="2024-05-15T16:03:20"/>
    <s v="jkathyoka@lighthouse.org.mw"/>
    <s v="Judith Kathyoka"/>
    <x v="4"/>
    <s v="Prototype"/>
    <x v="1"/>
    <s v="COP_24"/>
    <x v="0"/>
    <x v="2"/>
    <s v="Quarter2"/>
    <x v="2"/>
    <x v="3"/>
    <d v="2024-03-01T00:00:00"/>
    <d v="2024-03-31T00:00:00"/>
    <x v="2"/>
    <n v="0"/>
    <n v="0"/>
    <n v="0"/>
    <n v="0"/>
    <n v="0"/>
    <n v="0"/>
    <n v="0"/>
    <n v="0"/>
    <n v="0"/>
    <n v="0"/>
    <n v="0"/>
    <n v="0"/>
    <n v="0"/>
    <n v="0"/>
    <n v="0"/>
    <n v="0"/>
    <n v="0"/>
    <n v="0"/>
    <n v="0"/>
    <n v="0"/>
    <n v="0"/>
    <n v="0"/>
    <n v="0"/>
    <n v="0"/>
  </r>
  <r>
    <n v="406"/>
    <d v="2024-05-15T15:37:58"/>
    <d v="2024-05-15T15:41:14"/>
    <s v="jkathyoka@lighthouse.org.mw"/>
    <s v="Judith Kathyoka"/>
    <x v="4"/>
    <s v="Prototype"/>
    <x v="1"/>
    <s v="COP_23"/>
    <x v="0"/>
    <x v="2"/>
    <s v="Quarter2"/>
    <x v="2"/>
    <x v="4"/>
    <d v="2024-01-02T00:00:00"/>
    <d v="2024-01-31T00:00:00"/>
    <x v="3"/>
    <n v="0"/>
    <n v="0"/>
    <n v="0"/>
    <n v="0"/>
    <n v="0"/>
    <n v="0"/>
    <n v="0"/>
    <n v="0"/>
    <n v="0"/>
    <n v="0"/>
    <n v="0"/>
    <n v="0"/>
    <n v="0"/>
    <n v="0"/>
    <n v="0"/>
    <n v="0"/>
    <n v="0"/>
    <n v="0"/>
    <n v="0"/>
    <n v="0"/>
    <n v="0"/>
    <n v="0"/>
    <n v="0"/>
    <n v="0"/>
  </r>
  <r>
    <n v="407"/>
    <d v="2024-05-15T15:43:05"/>
    <d v="2024-05-15T15:45:17"/>
    <s v="jkathyoka@lighthouse.org.mw"/>
    <s v="Judith Kathyoka"/>
    <x v="4"/>
    <s v="Prototype"/>
    <x v="1"/>
    <s v="COP_23"/>
    <x v="0"/>
    <x v="2"/>
    <s v="Quarter2"/>
    <x v="2"/>
    <x v="5"/>
    <d v="2024-02-01T00:00:00"/>
    <d v="2024-02-29T00:00:00"/>
    <x v="4"/>
    <n v="0"/>
    <n v="0"/>
    <n v="0"/>
    <n v="0"/>
    <n v="0"/>
    <n v="0"/>
    <n v="0"/>
    <n v="0"/>
    <n v="0"/>
    <n v="0"/>
    <n v="0"/>
    <n v="0"/>
    <n v="0"/>
    <n v="0"/>
    <n v="0"/>
    <n v="0"/>
    <n v="0"/>
    <n v="0"/>
    <n v="0"/>
    <n v="0"/>
    <n v="0"/>
    <n v="0"/>
    <n v="0"/>
    <n v="0"/>
  </r>
  <r>
    <n v="408"/>
    <d v="2024-05-15T15:45:43"/>
    <d v="2024-05-15T15:47:23"/>
    <s v="jkathyoka@lighthouse.org.mw"/>
    <s v="Judith Kathyoka"/>
    <x v="4"/>
    <s v="Prototype"/>
    <x v="1"/>
    <s v="COP_23"/>
    <x v="0"/>
    <x v="2"/>
    <s v="Quarter2"/>
    <x v="2"/>
    <x v="4"/>
    <d v="2024-01-02T00:00:00"/>
    <d v="2024-01-31T00:00:00"/>
    <x v="4"/>
    <n v="0"/>
    <n v="0"/>
    <n v="0"/>
    <n v="0"/>
    <n v="0"/>
    <n v="0"/>
    <n v="0"/>
    <n v="0"/>
    <n v="0"/>
    <n v="0"/>
    <n v="0"/>
    <n v="0"/>
    <n v="0"/>
    <n v="0"/>
    <n v="0"/>
    <n v="0"/>
    <n v="0"/>
    <n v="0"/>
    <n v="0"/>
    <n v="0"/>
    <n v="0"/>
    <n v="0"/>
    <n v="0"/>
    <n v="0"/>
  </r>
  <r>
    <n v="409"/>
    <d v="2024-05-15T15:47:34"/>
    <d v="2024-05-15T15:48:49"/>
    <s v="jkathyoka@lighthouse.org.mw"/>
    <s v="Judith Kathyoka"/>
    <x v="4"/>
    <s v="Prototype"/>
    <x v="1"/>
    <s v="COP_24"/>
    <x v="0"/>
    <x v="2"/>
    <s v="Quarter2"/>
    <x v="2"/>
    <x v="4"/>
    <d v="2024-01-02T00:00:00"/>
    <d v="2024-01-31T00:00:00"/>
    <x v="5"/>
    <n v="0"/>
    <n v="0"/>
    <n v="0"/>
    <n v="0"/>
    <n v="0"/>
    <n v="0"/>
    <n v="0"/>
    <n v="0"/>
    <n v="0"/>
    <n v="0"/>
    <n v="0"/>
    <n v="0"/>
    <n v="0"/>
    <n v="0"/>
    <n v="0"/>
    <n v="0"/>
    <n v="0"/>
    <n v="0"/>
    <n v="0"/>
    <n v="0"/>
    <n v="0"/>
    <n v="0"/>
    <n v="0"/>
    <n v="0"/>
  </r>
  <r>
    <n v="410"/>
    <d v="2024-05-15T15:48:55"/>
    <d v="2024-05-15T15:50:10"/>
    <s v="jkathyoka@lighthouse.org.mw"/>
    <s v="Judith Kathyoka"/>
    <x v="4"/>
    <s v="Prototype"/>
    <x v="1"/>
    <s v="COP_24"/>
    <x v="0"/>
    <x v="2"/>
    <s v="Quarter2"/>
    <x v="2"/>
    <x v="4"/>
    <d v="2024-01-02T00:00:00"/>
    <d v="2024-01-31T00:00:00"/>
    <x v="6"/>
    <n v="0"/>
    <n v="0"/>
    <n v="0"/>
    <n v="0"/>
    <n v="0"/>
    <n v="0"/>
    <n v="0"/>
    <n v="0"/>
    <n v="0"/>
    <n v="0"/>
    <n v="0"/>
    <n v="0"/>
    <n v="0"/>
    <n v="0"/>
    <n v="0"/>
    <n v="0"/>
    <n v="0"/>
    <n v="0"/>
    <n v="0"/>
    <n v="0"/>
    <n v="0"/>
    <n v="0"/>
    <n v="0"/>
    <n v="0"/>
  </r>
  <r>
    <n v="411"/>
    <d v="2024-05-15T15:50:23"/>
    <d v="2024-05-15T15:52:07"/>
    <s v="jkathyoka@lighthouse.org.mw"/>
    <s v="Judith Kathyoka"/>
    <x v="4"/>
    <s v="Prototype"/>
    <x v="1"/>
    <s v="COP_24"/>
    <x v="0"/>
    <x v="2"/>
    <s v="Quarter2"/>
    <x v="2"/>
    <x v="5"/>
    <d v="2024-02-01T00:00:00"/>
    <d v="2024-02-29T00:00:00"/>
    <x v="3"/>
    <n v="0"/>
    <n v="0"/>
    <n v="0"/>
    <n v="0"/>
    <n v="0"/>
    <n v="0"/>
    <n v="0"/>
    <n v="0"/>
    <n v="0"/>
    <n v="0"/>
    <n v="0"/>
    <n v="0"/>
    <n v="0"/>
    <n v="0"/>
    <n v="0"/>
    <n v="0"/>
    <n v="0"/>
    <n v="0"/>
    <n v="0"/>
    <n v="0"/>
    <n v="0"/>
    <n v="0"/>
    <n v="0"/>
    <n v="0"/>
  </r>
  <r>
    <n v="412"/>
    <d v="2024-05-15T15:52:12"/>
    <d v="2024-05-15T15:53:20"/>
    <s v="jkathyoka@lighthouse.org.mw"/>
    <s v="Judith Kathyoka"/>
    <x v="4"/>
    <s v="Prototype"/>
    <x v="1"/>
    <s v="COP_24"/>
    <x v="0"/>
    <x v="2"/>
    <s v="Quarter2"/>
    <x v="2"/>
    <x v="5"/>
    <d v="2024-02-01T00:00:00"/>
    <d v="2024-02-29T00:00:00"/>
    <x v="4"/>
    <n v="0"/>
    <n v="0"/>
    <n v="0"/>
    <n v="0"/>
    <n v="0"/>
    <n v="0"/>
    <n v="0"/>
    <n v="0"/>
    <n v="0"/>
    <n v="0"/>
    <n v="0"/>
    <n v="0"/>
    <n v="0"/>
    <n v="0"/>
    <n v="0"/>
    <n v="0"/>
    <n v="0"/>
    <n v="0"/>
    <n v="0"/>
    <n v="0"/>
    <n v="0"/>
    <n v="0"/>
    <n v="0"/>
    <n v="0"/>
  </r>
  <r>
    <n v="413"/>
    <d v="2024-05-15T15:54:38"/>
    <d v="2024-05-15T15:55:41"/>
    <s v="jkathyoka@lighthouse.org.mw"/>
    <s v="Judith Kathyoka"/>
    <x v="4"/>
    <s v="Prototype"/>
    <x v="1"/>
    <s v="COP_24"/>
    <x v="0"/>
    <x v="2"/>
    <s v="Quarter2"/>
    <x v="2"/>
    <x v="5"/>
    <d v="2024-05-01T00:00:00"/>
    <d v="2024-02-29T00:00:00"/>
    <x v="5"/>
    <n v="0"/>
    <n v="0"/>
    <n v="0"/>
    <n v="0"/>
    <n v="0"/>
    <n v="0"/>
    <n v="0"/>
    <n v="0"/>
    <n v="0"/>
    <n v="0"/>
    <n v="0"/>
    <n v="0"/>
    <n v="0"/>
    <n v="0"/>
    <n v="0"/>
    <n v="0"/>
    <n v="0"/>
    <n v="0"/>
    <n v="0"/>
    <n v="0"/>
    <n v="0"/>
    <n v="0"/>
    <n v="0"/>
    <n v="0"/>
  </r>
  <r>
    <n v="749"/>
    <d v="2024-08-12T15:09:31"/>
    <d v="2024-08-12T15:12:43"/>
    <s v="jkathyoka@lighthouse.org.mw"/>
    <s v="Judith Kathyoka"/>
    <x v="4"/>
    <s v="Prototype"/>
    <x v="1"/>
    <s v="COP_22"/>
    <x v="0"/>
    <x v="1"/>
    <s v="Quarter4"/>
    <x v="1"/>
    <x v="9"/>
    <d v="2024-07-01T00:00:00"/>
    <d v="2024-07-31T00:00:00"/>
    <x v="2"/>
    <n v="6"/>
    <n v="1"/>
    <n v="3"/>
    <n v="0"/>
    <n v="1"/>
    <n v="0"/>
    <n v="4"/>
    <n v="0"/>
    <n v="1"/>
    <n v="0"/>
    <n v="1"/>
    <n v="0"/>
    <n v="0"/>
    <n v="0"/>
    <n v="0"/>
    <n v="0"/>
    <n v="0"/>
    <n v="0"/>
    <n v="0"/>
    <n v="0"/>
    <n v="0"/>
    <n v="0"/>
    <n v="0"/>
    <n v="0"/>
  </r>
  <r>
    <n v="415"/>
    <d v="2024-05-15T15:57:20"/>
    <d v="2024-05-15T15:58:18"/>
    <s v="jkathyoka@lighthouse.org.mw"/>
    <s v="Judith Kathyoka"/>
    <x v="4"/>
    <s v="Prototype"/>
    <x v="1"/>
    <s v="COP_24"/>
    <x v="0"/>
    <x v="2"/>
    <s v="Quarter2"/>
    <x v="2"/>
    <x v="5"/>
    <d v="2024-02-01T00:00:00"/>
    <d v="2024-02-29T00:00:00"/>
    <x v="6"/>
    <n v="0"/>
    <n v="0"/>
    <n v="0"/>
    <n v="0"/>
    <n v="0"/>
    <n v="0"/>
    <n v="0"/>
    <n v="0"/>
    <n v="0"/>
    <n v="0"/>
    <n v="0"/>
    <n v="0"/>
    <n v="0"/>
    <n v="0"/>
    <n v="0"/>
    <n v="0"/>
    <n v="0"/>
    <n v="0"/>
    <n v="0"/>
    <n v="0"/>
    <n v="0"/>
    <n v="0"/>
    <n v="0"/>
    <n v="0"/>
  </r>
  <r>
    <n v="416"/>
    <d v="2024-05-15T15:58:21"/>
    <d v="2024-05-15T15:59:40"/>
    <s v="jkathyoka@lighthouse.org.mw"/>
    <s v="Judith Kathyoka"/>
    <x v="4"/>
    <s v="Prototype"/>
    <x v="1"/>
    <s v="COP_24"/>
    <x v="0"/>
    <x v="2"/>
    <s v="Quarter2"/>
    <x v="2"/>
    <x v="3"/>
    <d v="2024-03-01T00:00:00"/>
    <d v="2024-03-30T00:00:00"/>
    <x v="3"/>
    <n v="0"/>
    <n v="0"/>
    <n v="0"/>
    <n v="0"/>
    <n v="0"/>
    <n v="0"/>
    <n v="0"/>
    <n v="0"/>
    <n v="0"/>
    <n v="0"/>
    <n v="0"/>
    <n v="0"/>
    <n v="0"/>
    <n v="0"/>
    <n v="0"/>
    <n v="0"/>
    <n v="0"/>
    <n v="0"/>
    <n v="0"/>
    <n v="0"/>
    <n v="0"/>
    <n v="0"/>
    <n v="0"/>
    <n v="0"/>
  </r>
  <r>
    <n v="417"/>
    <d v="2024-05-15T15:59:44"/>
    <d v="2024-05-15T16:00:40"/>
    <s v="jkathyoka@lighthouse.org.mw"/>
    <s v="Judith Kathyoka"/>
    <x v="4"/>
    <s v="Prototype"/>
    <x v="1"/>
    <s v="COP_24"/>
    <x v="0"/>
    <x v="2"/>
    <s v="Quarter2"/>
    <x v="2"/>
    <x v="3"/>
    <d v="2024-03-01T00:00:00"/>
    <d v="2024-03-31T00:00:00"/>
    <x v="4"/>
    <n v="0"/>
    <n v="0"/>
    <n v="0"/>
    <n v="0"/>
    <n v="0"/>
    <n v="0"/>
    <n v="0"/>
    <n v="0"/>
    <n v="0"/>
    <n v="0"/>
    <n v="0"/>
    <n v="0"/>
    <n v="0"/>
    <n v="0"/>
    <n v="0"/>
    <n v="0"/>
    <n v="0"/>
    <n v="0"/>
    <n v="0"/>
    <n v="0"/>
    <n v="0"/>
    <n v="0"/>
    <n v="0"/>
    <n v="0"/>
  </r>
  <r>
    <n v="418"/>
    <d v="2024-05-15T16:01:03"/>
    <d v="2024-05-15T16:02:07"/>
    <s v="jkathyoka@lighthouse.org.mw"/>
    <s v="Judith Kathyoka"/>
    <x v="4"/>
    <s v="Prototype"/>
    <x v="1"/>
    <s v="COP_24"/>
    <x v="0"/>
    <x v="2"/>
    <s v="Quarter2"/>
    <x v="2"/>
    <x v="3"/>
    <d v="2024-03-01T00:00:00"/>
    <d v="2024-03-31T00:00:00"/>
    <x v="5"/>
    <n v="0"/>
    <n v="0"/>
    <n v="0"/>
    <n v="0"/>
    <n v="0"/>
    <n v="0"/>
    <n v="0"/>
    <n v="0"/>
    <n v="0"/>
    <n v="0"/>
    <n v="0"/>
    <n v="0"/>
    <n v="0"/>
    <n v="0"/>
    <n v="0"/>
    <n v="0"/>
    <n v="0"/>
    <n v="0"/>
    <n v="0"/>
    <n v="0"/>
    <n v="0"/>
    <n v="0"/>
    <n v="0"/>
    <n v="0"/>
  </r>
  <r>
    <n v="750"/>
    <d v="2024-08-12T15:12:55"/>
    <d v="2024-08-12T15:16:37"/>
    <s v="jkathyoka@lighthouse.org.mw"/>
    <s v="Judith Kathyoka"/>
    <x v="4"/>
    <s v="Prototype"/>
    <x v="1"/>
    <s v="COP_24"/>
    <x v="0"/>
    <x v="3"/>
    <s v="Quarter3"/>
    <x v="3"/>
    <x v="6"/>
    <d v="2024-05-01T00:00:00"/>
    <d v="2024-05-31T00:00:00"/>
    <x v="2"/>
    <n v="1"/>
    <n v="1"/>
    <n v="0"/>
    <n v="0"/>
    <n v="1"/>
    <n v="0"/>
    <n v="1"/>
    <n v="1"/>
    <n v="0"/>
    <n v="0"/>
    <n v="0"/>
    <n v="0"/>
    <n v="0"/>
    <n v="0"/>
    <n v="0"/>
    <n v="0"/>
    <n v="0"/>
    <n v="0"/>
    <n v="0"/>
    <n v="0"/>
    <n v="0"/>
    <n v="0"/>
    <n v="0"/>
    <n v="0"/>
  </r>
  <r>
    <n v="774"/>
    <d v="2024-08-19T11:37:08"/>
    <d v="2024-08-19T11:40:39"/>
    <s v="jkathyoka@lighthouse.org.mw"/>
    <s v="Judith Kathyoka"/>
    <x v="4"/>
    <s v="Prototype"/>
    <x v="1"/>
    <s v="COP_24"/>
    <x v="0"/>
    <x v="3"/>
    <s v="Quarter3"/>
    <x v="3"/>
    <x v="7"/>
    <d v="2024-04-01T00:00:00"/>
    <d v="2024-04-30T00:00:00"/>
    <x v="2"/>
    <n v="7"/>
    <n v="1"/>
    <n v="2"/>
    <n v="1"/>
    <n v="2"/>
    <n v="0"/>
    <n v="5"/>
    <n v="1"/>
    <n v="2"/>
    <n v="1"/>
    <n v="1"/>
    <n v="1"/>
    <n v="2"/>
    <n v="0"/>
    <n v="0"/>
    <n v="0"/>
    <n v="0"/>
    <n v="0"/>
    <n v="0"/>
    <n v="2"/>
    <n v="0"/>
    <n v="1"/>
    <n v="1"/>
    <n v="0"/>
  </r>
  <r>
    <n v="776"/>
    <d v="2024-08-19T11:44:35"/>
    <d v="2024-08-19T11:48:26"/>
    <s v="jkathyoka@lighthouse.org.mw"/>
    <s v="Judith Kathyoka"/>
    <x v="4"/>
    <s v="Prototype"/>
    <x v="1"/>
    <s v="COP_24"/>
    <x v="0"/>
    <x v="3"/>
    <s v="Quarter3"/>
    <x v="3"/>
    <x v="8"/>
    <d v="2024-06-01T00:00:00"/>
    <d v="2024-06-30T00:00:00"/>
    <x v="2"/>
    <n v="7"/>
    <n v="1"/>
    <n v="0"/>
    <n v="0"/>
    <n v="1"/>
    <n v="0"/>
    <n v="1"/>
    <n v="1"/>
    <n v="1"/>
    <n v="0"/>
    <n v="0"/>
    <n v="0"/>
    <n v="1"/>
    <n v="0"/>
    <n v="0"/>
    <n v="0"/>
    <n v="0"/>
    <n v="0"/>
    <n v="1"/>
    <n v="0"/>
    <n v="0"/>
    <n v="0"/>
    <n v="0"/>
    <n v="0"/>
  </r>
  <r>
    <n v="822"/>
    <d v="2024-09-19T08:33:27"/>
    <d v="2024-09-19T08:35:10"/>
    <s v="jkathyoka@lighthouse.org.mw"/>
    <s v="Judith Kathyoka"/>
    <x v="4"/>
    <s v="Prototype"/>
    <x v="1"/>
    <s v="COP_22"/>
    <x v="0"/>
    <x v="1"/>
    <s v="Quarter4"/>
    <x v="1"/>
    <x v="10"/>
    <d v="2024-08-01T00:00:00"/>
    <d v="2024-08-31T00:00:00"/>
    <x v="2"/>
    <n v="3"/>
    <n v="0"/>
    <n v="3"/>
    <n v="0"/>
    <n v="0"/>
    <n v="0"/>
    <n v="3"/>
    <n v="0"/>
    <n v="0"/>
    <n v="0"/>
    <n v="0"/>
    <n v="0"/>
    <n v="0"/>
    <n v="0"/>
    <n v="0"/>
    <n v="0"/>
    <n v="0"/>
    <n v="0"/>
    <n v="0"/>
    <n v="0"/>
    <n v="0"/>
    <n v="0"/>
    <n v="0"/>
    <n v="0"/>
  </r>
  <r>
    <n v="878"/>
    <d v="2024-10-03T15:44:43"/>
    <d v="2024-10-03T15:47:41"/>
    <s v="jkathyoka@lighthouse.org.mw"/>
    <s v="Judith Kathyoka"/>
    <x v="4"/>
    <s v="Prototype"/>
    <x v="1"/>
    <s v="COP_22"/>
    <x v="0"/>
    <x v="1"/>
    <s v="Quarter4"/>
    <x v="1"/>
    <x v="2"/>
    <d v="2024-09-01T00:00:00"/>
    <d v="2024-09-30T00:00:00"/>
    <x v="2"/>
    <n v="4"/>
    <n v="0"/>
    <n v="3"/>
    <n v="0"/>
    <n v="1"/>
    <n v="0"/>
    <n v="4"/>
    <n v="2"/>
    <n v="2"/>
    <n v="0"/>
    <n v="0"/>
    <n v="0"/>
    <n v="2"/>
    <n v="0"/>
    <n v="0"/>
    <n v="0"/>
    <n v="0"/>
    <n v="0"/>
    <n v="2"/>
    <n v="0"/>
    <n v="0"/>
    <n v="0"/>
    <n v="0"/>
    <n v="0"/>
  </r>
  <r>
    <n v="912"/>
    <d v="2024-10-08T15:39:02"/>
    <d v="2024-10-08T15:40:31"/>
    <s v="jkathyoka@lighthouse.org.mw"/>
    <s v="Judith Kathyoka"/>
    <x v="4"/>
    <s v="Prototype"/>
    <x v="1"/>
    <s v="COP_23"/>
    <x v="0"/>
    <x v="1"/>
    <s v="Quarter4"/>
    <x v="1"/>
    <x v="2"/>
    <d v="2024-09-01T00:00:00"/>
    <d v="2024-09-30T00:00:00"/>
    <x v="2"/>
    <n v="0"/>
    <n v="0"/>
    <n v="0"/>
    <n v="0"/>
    <n v="0"/>
    <n v="0"/>
    <n v="0"/>
    <n v="0"/>
    <n v="0"/>
    <n v="0"/>
    <n v="0"/>
    <n v="0"/>
    <n v="0"/>
    <n v="0"/>
    <n v="0"/>
    <n v="0"/>
    <n v="0"/>
    <n v="0"/>
    <n v="0"/>
    <n v="0"/>
    <n v="0"/>
    <n v="0"/>
    <n v="0"/>
    <n v="0"/>
  </r>
  <r>
    <n v="1057"/>
    <d v="2024-11-11T14:16:57"/>
    <d v="2024-11-11T14:20:05"/>
    <s v="jkathyoka@lighthouse.org.mw"/>
    <s v="Judith Kathyoka"/>
    <x v="4"/>
    <s v="Prototype"/>
    <x v="1"/>
    <s v="COP_23"/>
    <x v="2"/>
    <x v="0"/>
    <s v="Quarter1"/>
    <x v="0"/>
    <x v="0"/>
    <d v="2024-10-01T00:00:00"/>
    <d v="2024-10-31T00:00:00"/>
    <x v="2"/>
    <n v="2"/>
    <n v="0"/>
    <n v="2"/>
    <n v="0"/>
    <n v="0"/>
    <n v="0"/>
    <n v="2"/>
    <n v="1"/>
    <n v="1"/>
    <n v="0"/>
    <n v="0"/>
    <n v="0"/>
    <n v="1"/>
    <n v="0"/>
    <n v="0"/>
    <n v="0"/>
    <n v="0"/>
    <n v="0"/>
    <n v="1"/>
    <n v="0"/>
    <n v="0"/>
    <n v="0"/>
    <n v="0"/>
    <n v="0"/>
  </r>
  <r>
    <n v="475"/>
    <d v="2024-06-05T10:56:23"/>
    <d v="2024-06-05T11:01:37"/>
    <s v="jkathyoka@lighthouse.org.mw"/>
    <s v="Judith Kathyoka"/>
    <x v="4"/>
    <s v="Prototype"/>
    <x v="1"/>
    <s v="COP_23"/>
    <x v="0"/>
    <x v="3"/>
    <s v="Quarter3"/>
    <x v="3"/>
    <x v="6"/>
    <d v="2024-05-01T00:00:00"/>
    <d v="2024-05-31T00:00:00"/>
    <x v="0"/>
    <n v="7"/>
    <n v="5"/>
    <n v="3"/>
    <n v="1"/>
    <n v="2"/>
    <n v="1"/>
    <n v="7"/>
    <n v="6"/>
    <n v="6"/>
    <n v="1"/>
    <n v="2"/>
    <n v="1"/>
    <n v="3"/>
    <n v="0"/>
    <n v="0"/>
    <n v="0"/>
    <n v="0"/>
    <n v="0"/>
    <n v="5"/>
    <n v="1"/>
    <n v="0"/>
    <n v="1"/>
    <n v="0"/>
    <n v="0"/>
  </r>
  <r>
    <n v="478"/>
    <d v="2024-06-05T11:11:52"/>
    <d v="2024-06-05T11:14:11"/>
    <s v="jkathyoka@lighthouse.org.mw"/>
    <s v="Judith Kathyoka"/>
    <x v="4"/>
    <s v="Prototype"/>
    <x v="1"/>
    <s v="COP_23"/>
    <x v="0"/>
    <x v="3"/>
    <s v="Quarter3"/>
    <x v="3"/>
    <x v="6"/>
    <d v="2024-05-01T00:00:00"/>
    <d v="2024-05-31T00:00:00"/>
    <x v="3"/>
    <n v="0"/>
    <n v="0"/>
    <n v="0"/>
    <n v="0"/>
    <n v="0"/>
    <n v="0"/>
    <n v="0"/>
    <n v="0"/>
    <n v="0"/>
    <n v="0"/>
    <n v="0"/>
    <n v="0"/>
    <n v="0"/>
    <n v="0"/>
    <n v="0"/>
    <n v="0"/>
    <n v="0"/>
    <n v="0"/>
    <n v="0"/>
    <n v="0"/>
    <n v="0"/>
    <n v="0"/>
    <n v="0"/>
    <n v="0"/>
  </r>
  <r>
    <n v="479"/>
    <d v="2024-06-05T11:14:22"/>
    <d v="2024-06-05T11:16:41"/>
    <s v="jkathyoka@lighthouse.org.mw"/>
    <s v="Judith Kathyoka"/>
    <x v="4"/>
    <s v="Prototype"/>
    <x v="1"/>
    <s v="COP_23"/>
    <x v="0"/>
    <x v="3"/>
    <s v="Quarter3"/>
    <x v="3"/>
    <x v="6"/>
    <d v="2024-05-01T00:00:00"/>
    <d v="2024-05-31T00:00:00"/>
    <x v="4"/>
    <n v="0"/>
    <n v="0"/>
    <n v="0"/>
    <n v="0"/>
    <n v="0"/>
    <n v="0"/>
    <n v="0"/>
    <n v="0"/>
    <n v="0"/>
    <n v="0"/>
    <n v="0"/>
    <n v="0"/>
    <n v="0"/>
    <n v="0"/>
    <n v="0"/>
    <n v="0"/>
    <n v="0"/>
    <n v="0"/>
    <n v="0"/>
    <n v="0"/>
    <n v="0"/>
    <n v="0"/>
    <n v="0"/>
    <n v="0"/>
  </r>
  <r>
    <n v="481"/>
    <d v="2024-06-05T11:18:58"/>
    <d v="2024-06-05T11:21:07"/>
    <s v="jkathyoka@lighthouse.org.mw"/>
    <s v="Judith Kathyoka"/>
    <x v="4"/>
    <s v="Prototype"/>
    <x v="1"/>
    <s v="COP_23"/>
    <x v="0"/>
    <x v="3"/>
    <s v="Quarter3"/>
    <x v="3"/>
    <x v="6"/>
    <d v="2024-05-01T00:00:00"/>
    <d v="2024-05-31T00:00:00"/>
    <x v="6"/>
    <n v="0"/>
    <n v="0"/>
    <n v="0"/>
    <n v="0"/>
    <n v="0"/>
    <n v="0"/>
    <n v="0"/>
    <n v="0"/>
    <n v="0"/>
    <n v="0"/>
    <n v="0"/>
    <n v="0"/>
    <n v="0"/>
    <n v="0"/>
    <n v="0"/>
    <n v="0"/>
    <n v="0"/>
    <n v="0"/>
    <n v="0"/>
    <n v="0"/>
    <n v="0"/>
    <n v="0"/>
    <n v="0"/>
    <n v="0"/>
  </r>
  <r>
    <n v="562"/>
    <d v="2024-07-03T09:55:20"/>
    <d v="2024-07-03T09:57:07"/>
    <s v="jkathyoka@lighthouse.org.mw"/>
    <s v="Judith Kathyoka"/>
    <x v="4"/>
    <s v="Prototype"/>
    <x v="1"/>
    <s v="COP_23"/>
    <x v="0"/>
    <x v="3"/>
    <s v="Quarter3"/>
    <x v="3"/>
    <x v="8"/>
    <d v="2024-06-01T00:00:00"/>
    <d v="2024-06-30T00:00:00"/>
    <x v="3"/>
    <n v="0"/>
    <n v="0"/>
    <n v="0"/>
    <n v="0"/>
    <n v="0"/>
    <n v="0"/>
    <n v="0"/>
    <n v="0"/>
    <n v="0"/>
    <n v="0"/>
    <n v="0"/>
    <n v="0"/>
    <n v="0"/>
    <n v="0"/>
    <n v="0"/>
    <n v="0"/>
    <n v="0"/>
    <n v="0"/>
    <n v="0"/>
    <n v="0"/>
    <n v="0"/>
    <n v="0"/>
    <n v="0"/>
    <n v="0"/>
  </r>
  <r>
    <n v="563"/>
    <d v="2024-07-03T09:57:12"/>
    <d v="2024-07-03T09:58:58"/>
    <s v="jkathyoka@lighthouse.org.mw"/>
    <s v="Judith Kathyoka"/>
    <x v="4"/>
    <s v="Prototype"/>
    <x v="1"/>
    <s v="COP_23"/>
    <x v="0"/>
    <x v="3"/>
    <s v="Quarter3"/>
    <x v="3"/>
    <x v="8"/>
    <d v="2024-06-01T00:00:00"/>
    <d v="2024-06-30T00:00:00"/>
    <x v="4"/>
    <n v="0"/>
    <n v="0"/>
    <n v="0"/>
    <n v="0"/>
    <n v="0"/>
    <n v="0"/>
    <n v="0"/>
    <n v="0"/>
    <n v="0"/>
    <n v="0"/>
    <n v="0"/>
    <n v="0"/>
    <n v="0"/>
    <n v="0"/>
    <n v="0"/>
    <n v="0"/>
    <n v="0"/>
    <n v="0"/>
    <n v="0"/>
    <n v="0"/>
    <n v="0"/>
    <n v="0"/>
    <n v="0"/>
    <n v="0"/>
  </r>
  <r>
    <n v="564"/>
    <d v="2024-07-03T09:59:02"/>
    <d v="2024-07-03T10:00:53"/>
    <s v="jkathyoka@lighthouse.org.mw"/>
    <s v="Judith Kathyoka"/>
    <x v="4"/>
    <s v="Prototype"/>
    <x v="1"/>
    <s v="COP_23"/>
    <x v="0"/>
    <x v="3"/>
    <s v="Quarter3"/>
    <x v="3"/>
    <x v="8"/>
    <d v="2024-06-01T00:00:00"/>
    <d v="2024-06-30T00:00:00"/>
    <x v="5"/>
    <n v="0"/>
    <n v="0"/>
    <n v="0"/>
    <n v="0"/>
    <n v="0"/>
    <n v="0"/>
    <n v="0"/>
    <n v="0"/>
    <n v="0"/>
    <n v="0"/>
    <n v="0"/>
    <n v="0"/>
    <n v="0"/>
    <n v="0"/>
    <n v="0"/>
    <n v="0"/>
    <n v="0"/>
    <n v="0"/>
    <n v="0"/>
    <n v="0"/>
    <n v="0"/>
    <n v="0"/>
    <n v="0"/>
    <n v="0"/>
  </r>
  <r>
    <n v="567"/>
    <d v="2024-07-03T10:06:23"/>
    <d v="2024-07-03T10:08:44"/>
    <s v="jkathyoka@lighthouse.org.mw"/>
    <s v="Judith Kathyoka"/>
    <x v="4"/>
    <s v="Prototype"/>
    <x v="1"/>
    <s v="COP_23"/>
    <x v="0"/>
    <x v="3"/>
    <s v="Quarter3"/>
    <x v="3"/>
    <x v="8"/>
    <d v="2024-06-01T00:00:00"/>
    <d v="2024-06-30T00:00:00"/>
    <x v="0"/>
    <n v="5"/>
    <n v="0"/>
    <n v="4"/>
    <n v="1"/>
    <n v="0"/>
    <n v="0"/>
    <n v="5"/>
    <n v="0"/>
    <n v="0"/>
    <n v="0"/>
    <n v="0"/>
    <n v="0"/>
    <n v="0"/>
    <n v="0"/>
    <n v="0"/>
    <n v="0"/>
    <n v="0"/>
    <n v="0"/>
    <n v="0"/>
    <n v="0"/>
    <n v="0"/>
    <n v="0"/>
    <n v="0"/>
    <n v="0"/>
  </r>
  <r>
    <n v="715"/>
    <d v="2024-08-05T15:45:12"/>
    <d v="2024-08-05T15:47:02"/>
    <s v="jkathyoka@lighthouse.org.mw"/>
    <s v="Judith Kathyoka"/>
    <x v="4"/>
    <s v="Prototype"/>
    <x v="1"/>
    <s v="COP_23"/>
    <x v="0"/>
    <x v="1"/>
    <s v="Quarter4"/>
    <x v="1"/>
    <x v="9"/>
    <d v="2024-07-01T00:00:00"/>
    <d v="2024-07-31T00:00:00"/>
    <x v="3"/>
    <n v="0"/>
    <n v="0"/>
    <n v="0"/>
    <n v="0"/>
    <n v="0"/>
    <n v="0"/>
    <n v="0"/>
    <n v="0"/>
    <n v="0"/>
    <n v="0"/>
    <n v="0"/>
    <n v="0"/>
    <n v="0"/>
    <n v="0"/>
    <n v="0"/>
    <n v="0"/>
    <n v="0"/>
    <n v="0"/>
    <n v="0"/>
    <n v="0"/>
    <n v="0"/>
    <n v="0"/>
    <n v="0"/>
    <n v="0"/>
  </r>
  <r>
    <n v="716"/>
    <d v="2024-08-05T15:47:08"/>
    <d v="2024-08-05T15:54:13"/>
    <s v="jkathyoka@lighthouse.org.mw"/>
    <s v="Judith Kathyoka"/>
    <x v="4"/>
    <s v="Prototype"/>
    <x v="1"/>
    <s v="COP_23"/>
    <x v="0"/>
    <x v="1"/>
    <s v="Quarter4"/>
    <x v="1"/>
    <x v="9"/>
    <d v="2024-07-01T00:00:00"/>
    <d v="2024-07-31T00:00:00"/>
    <x v="4"/>
    <n v="0"/>
    <n v="0"/>
    <n v="0"/>
    <n v="0"/>
    <n v="0"/>
    <n v="0"/>
    <n v="0"/>
    <n v="0"/>
    <n v="0"/>
    <n v="0"/>
    <n v="0"/>
    <n v="0"/>
    <n v="0"/>
    <n v="0"/>
    <n v="0"/>
    <n v="0"/>
    <n v="0"/>
    <n v="0"/>
    <n v="0"/>
    <n v="0"/>
    <n v="0"/>
    <n v="0"/>
    <n v="0"/>
    <n v="0"/>
  </r>
  <r>
    <n v="717"/>
    <d v="2024-08-05T15:54:39"/>
    <d v="2024-08-05T15:57:27"/>
    <s v="jkathyoka@lighthouse.org.mw"/>
    <s v="Judith Kathyoka"/>
    <x v="4"/>
    <s v="Prototype"/>
    <x v="1"/>
    <s v="COP_22"/>
    <x v="1"/>
    <x v="1"/>
    <s v="Quarter4"/>
    <x v="1"/>
    <x v="9"/>
    <d v="2024-07-01T00:00:00"/>
    <d v="2024-07-31T00:00:00"/>
    <x v="5"/>
    <n v="0"/>
    <n v="0"/>
    <n v="0"/>
    <n v="0"/>
    <n v="0"/>
    <n v="0"/>
    <n v="0"/>
    <n v="0"/>
    <n v="0"/>
    <n v="0"/>
    <n v="0"/>
    <n v="0"/>
    <n v="0"/>
    <n v="0"/>
    <n v="0"/>
    <n v="0"/>
    <n v="0"/>
    <n v="0"/>
    <n v="0"/>
    <n v="0"/>
    <n v="0"/>
    <n v="0"/>
    <n v="0"/>
    <n v="0"/>
  </r>
  <r>
    <n v="725"/>
    <d v="2024-08-06T17:52:57"/>
    <d v="2024-08-06T17:57:32"/>
    <s v="jkathyoka@lighthouse.org.mw"/>
    <s v="Judith Kathyoka"/>
    <x v="4"/>
    <s v="Prototype"/>
    <x v="1"/>
    <s v="COP_23"/>
    <x v="0"/>
    <x v="3"/>
    <s v="Quarter3"/>
    <x v="3"/>
    <x v="6"/>
    <d v="2024-05-01T00:00:00"/>
    <d v="2024-05-31T00:00:00"/>
    <x v="5"/>
    <n v="0"/>
    <n v="0"/>
    <n v="0"/>
    <n v="0"/>
    <n v="0"/>
    <n v="0"/>
    <n v="0"/>
    <n v="0"/>
    <n v="0"/>
    <n v="0"/>
    <n v="0"/>
    <n v="0"/>
    <n v="0"/>
    <n v="0"/>
    <n v="0"/>
    <n v="0"/>
    <n v="0"/>
    <n v="0"/>
    <n v="0"/>
    <n v="0"/>
    <n v="0"/>
    <n v="0"/>
    <n v="0"/>
    <n v="0"/>
  </r>
  <r>
    <n v="726"/>
    <d v="2024-08-06T17:57:49"/>
    <d v="2024-08-06T17:59:43"/>
    <s v="jkathyoka@lighthouse.org.mw"/>
    <s v="Judith Kathyoka"/>
    <x v="4"/>
    <s v="Prototype"/>
    <x v="1"/>
    <s v="COP_23"/>
    <x v="0"/>
    <x v="1"/>
    <s v="Quarter4"/>
    <x v="1"/>
    <x v="9"/>
    <d v="2024-07-01T00:00:00"/>
    <d v="2024-07-31T00:00:00"/>
    <x v="6"/>
    <n v="0"/>
    <n v="0"/>
    <n v="0"/>
    <n v="0"/>
    <n v="0"/>
    <n v="0"/>
    <n v="0"/>
    <n v="0"/>
    <n v="0"/>
    <n v="0"/>
    <n v="0"/>
    <n v="0"/>
    <n v="0"/>
    <n v="0"/>
    <n v="0"/>
    <n v="0"/>
    <n v="0"/>
    <n v="0"/>
    <n v="0"/>
    <n v="0"/>
    <n v="0"/>
    <n v="0"/>
    <n v="0"/>
    <n v="0"/>
  </r>
  <r>
    <n v="727"/>
    <d v="2024-08-06T17:59:59"/>
    <d v="2024-08-06T18:03:29"/>
    <s v="jkathyoka@lighthouse.org.mw"/>
    <s v="Judith Kathyoka"/>
    <x v="4"/>
    <s v="Prototype"/>
    <x v="1"/>
    <s v="COP_23"/>
    <x v="0"/>
    <x v="1"/>
    <s v="Quarter4"/>
    <x v="1"/>
    <x v="9"/>
    <d v="2024-07-01T00:00:00"/>
    <d v="2024-07-31T00:00:00"/>
    <x v="0"/>
    <n v="16"/>
    <n v="2"/>
    <n v="14"/>
    <n v="0"/>
    <n v="2"/>
    <n v="0"/>
    <n v="16"/>
    <n v="3"/>
    <n v="6"/>
    <n v="0"/>
    <n v="1"/>
    <n v="0"/>
    <n v="0"/>
    <n v="0"/>
    <n v="0"/>
    <n v="0"/>
    <n v="0"/>
    <n v="0"/>
    <n v="0"/>
    <n v="0"/>
    <n v="0"/>
    <n v="0"/>
    <n v="0"/>
    <n v="0"/>
  </r>
  <r>
    <n v="771"/>
    <d v="2024-08-19T11:32:31"/>
    <d v="2024-08-19T11:34:05"/>
    <s v="jkathyoka@lighthouse.org.mw"/>
    <s v="Judith Kathyoka"/>
    <x v="4"/>
    <s v="Prototype"/>
    <x v="1"/>
    <s v="COP_23"/>
    <x v="0"/>
    <x v="3"/>
    <s v="Quarter3"/>
    <x v="3"/>
    <x v="7"/>
    <d v="2024-04-01T00:00:00"/>
    <d v="2024-04-30T00:00:00"/>
    <x v="5"/>
    <n v="0"/>
    <n v="0"/>
    <n v="0"/>
    <n v="0"/>
    <n v="0"/>
    <n v="0"/>
    <n v="0"/>
    <n v="0"/>
    <n v="0"/>
    <n v="0"/>
    <n v="0"/>
    <n v="0"/>
    <n v="0"/>
    <n v="0"/>
    <n v="0"/>
    <n v="0"/>
    <n v="0"/>
    <n v="0"/>
    <n v="0"/>
    <n v="0"/>
    <n v="0"/>
    <n v="0"/>
    <n v="0"/>
    <n v="0"/>
  </r>
  <r>
    <n v="772"/>
    <d v="2024-08-19T11:34:29"/>
    <d v="2024-08-19T11:35:37"/>
    <s v="jkathyoka@lighthouse.org.mw"/>
    <s v="Judith Kathyoka"/>
    <x v="4"/>
    <s v="Prototype"/>
    <x v="1"/>
    <s v="COP_23"/>
    <x v="0"/>
    <x v="3"/>
    <s v="Quarter3"/>
    <x v="3"/>
    <x v="7"/>
    <d v="2024-04-01T00:00:00"/>
    <d v="2024-04-30T00:00:00"/>
    <x v="3"/>
    <n v="0"/>
    <n v="0"/>
    <n v="0"/>
    <n v="0"/>
    <n v="0"/>
    <n v="0"/>
    <n v="0"/>
    <n v="0"/>
    <n v="0"/>
    <n v="0"/>
    <n v="0"/>
    <n v="0"/>
    <n v="0"/>
    <n v="0"/>
    <n v="0"/>
    <n v="0"/>
    <n v="0"/>
    <n v="0"/>
    <n v="0"/>
    <n v="0"/>
    <n v="0"/>
    <n v="0"/>
    <n v="0"/>
    <n v="0"/>
  </r>
  <r>
    <n v="773"/>
    <d v="2024-08-19T11:35:47"/>
    <d v="2024-08-19T11:36:53"/>
    <s v="jkathyoka@lighthouse.org.mw"/>
    <s v="Judith Kathyoka"/>
    <x v="4"/>
    <s v="Prototype"/>
    <x v="1"/>
    <s v="COP_23"/>
    <x v="0"/>
    <x v="3"/>
    <s v="Quarter3"/>
    <x v="3"/>
    <x v="7"/>
    <d v="2024-04-01T00:00:00"/>
    <d v="2024-04-30T00:00:00"/>
    <x v="4"/>
    <n v="0"/>
    <n v="0"/>
    <n v="0"/>
    <n v="0"/>
    <n v="0"/>
    <n v="0"/>
    <n v="0"/>
    <n v="0"/>
    <n v="0"/>
    <n v="0"/>
    <n v="0"/>
    <n v="0"/>
    <n v="0"/>
    <n v="0"/>
    <n v="0"/>
    <n v="0"/>
    <n v="0"/>
    <n v="0"/>
    <n v="0"/>
    <n v="0"/>
    <n v="0"/>
    <n v="0"/>
    <n v="0"/>
    <n v="0"/>
  </r>
  <r>
    <n v="820"/>
    <d v="2024-09-19T08:19:02"/>
    <d v="2024-09-19T08:23:27"/>
    <s v="jkathyoka@lighthouse.org.mw"/>
    <s v="Judith Kathyoka"/>
    <x v="4"/>
    <s v="Prototype"/>
    <x v="1"/>
    <s v="COP_23"/>
    <x v="0"/>
    <x v="1"/>
    <s v="Quarter4"/>
    <x v="1"/>
    <x v="10"/>
    <d v="2024-08-01T00:00:00"/>
    <d v="2024-08-31T00:00:00"/>
    <x v="0"/>
    <n v="7"/>
    <n v="0"/>
    <n v="7"/>
    <n v="0"/>
    <n v="0"/>
    <n v="0"/>
    <n v="7"/>
    <n v="0"/>
    <n v="0"/>
    <n v="0"/>
    <n v="0"/>
    <n v="0"/>
    <n v="0"/>
    <n v="0"/>
    <n v="0"/>
    <n v="0"/>
    <n v="0"/>
    <n v="0"/>
    <n v="0"/>
    <n v="0"/>
    <n v="0"/>
    <n v="0"/>
    <n v="0"/>
    <n v="0"/>
  </r>
  <r>
    <n v="823"/>
    <d v="2024-09-19T08:35:18"/>
    <d v="2024-09-19T08:36:28"/>
    <s v="jkathyoka@lighthouse.org.mw"/>
    <s v="Judith Kathyoka"/>
    <x v="4"/>
    <s v="Prototype"/>
    <x v="1"/>
    <s v="COP_23"/>
    <x v="0"/>
    <x v="1"/>
    <s v="Quarter4"/>
    <x v="1"/>
    <x v="10"/>
    <d v="2024-08-01T00:00:00"/>
    <d v="2024-08-31T00:00:00"/>
    <x v="3"/>
    <n v="0"/>
    <n v="0"/>
    <n v="0"/>
    <n v="0"/>
    <n v="0"/>
    <n v="0"/>
    <n v="0"/>
    <n v="0"/>
    <n v="0"/>
    <n v="0"/>
    <n v="0"/>
    <n v="0"/>
    <n v="0"/>
    <n v="0"/>
    <n v="0"/>
    <n v="0"/>
    <n v="0"/>
    <n v="0"/>
    <n v="0"/>
    <n v="0"/>
    <n v="0"/>
    <n v="0"/>
    <n v="0"/>
    <n v="0"/>
  </r>
  <r>
    <n v="824"/>
    <d v="2024-09-19T08:36:31"/>
    <d v="2024-09-19T08:37:24"/>
    <s v="jkathyoka@lighthouse.org.mw"/>
    <s v="Judith Kathyoka"/>
    <x v="4"/>
    <s v="Prototype"/>
    <x v="1"/>
    <s v="COP_23"/>
    <x v="0"/>
    <x v="1"/>
    <s v="Quarter4"/>
    <x v="1"/>
    <x v="10"/>
    <d v="2024-08-01T00:00:00"/>
    <d v="2024-08-31T00:00:00"/>
    <x v="4"/>
    <n v="0"/>
    <n v="0"/>
    <n v="0"/>
    <n v="0"/>
    <n v="0"/>
    <n v="0"/>
    <n v="0"/>
    <n v="0"/>
    <n v="0"/>
    <n v="0"/>
    <n v="0"/>
    <n v="0"/>
    <n v="0"/>
    <n v="0"/>
    <n v="0"/>
    <n v="0"/>
    <n v="0"/>
    <n v="0"/>
    <n v="0"/>
    <n v="0"/>
    <n v="0"/>
    <n v="0"/>
    <n v="0"/>
    <n v="0"/>
  </r>
  <r>
    <n v="825"/>
    <d v="2024-09-19T08:37:26"/>
    <d v="2024-09-19T08:38:30"/>
    <s v="jkathyoka@lighthouse.org.mw"/>
    <s v="Judith Kathyoka"/>
    <x v="4"/>
    <s v="Prototype"/>
    <x v="1"/>
    <s v="COP_23"/>
    <x v="0"/>
    <x v="1"/>
    <s v="Quarter4"/>
    <x v="1"/>
    <x v="10"/>
    <d v="2024-08-01T00:00:00"/>
    <d v="2024-08-31T00:00:00"/>
    <x v="5"/>
    <n v="0"/>
    <n v="0"/>
    <n v="0"/>
    <n v="0"/>
    <n v="0"/>
    <n v="0"/>
    <n v="0"/>
    <n v="0"/>
    <n v="0"/>
    <n v="0"/>
    <n v="0"/>
    <n v="0"/>
    <n v="0"/>
    <n v="0"/>
    <n v="0"/>
    <n v="0"/>
    <n v="0"/>
    <n v="0"/>
    <n v="0"/>
    <n v="0"/>
    <n v="0"/>
    <n v="0"/>
    <n v="0"/>
    <n v="0"/>
  </r>
  <r>
    <n v="826"/>
    <d v="2024-09-19T08:38:32"/>
    <d v="2024-09-19T08:39:43"/>
    <s v="jkathyoka@lighthouse.org.mw"/>
    <s v="Judith Kathyoka"/>
    <x v="4"/>
    <s v="Prototype"/>
    <x v="1"/>
    <s v="COP_23"/>
    <x v="0"/>
    <x v="1"/>
    <s v="Quarter4"/>
    <x v="1"/>
    <x v="10"/>
    <d v="2024-08-01T00:00:00"/>
    <d v="2024-08-31T00:00:00"/>
    <x v="6"/>
    <n v="0"/>
    <n v="0"/>
    <n v="0"/>
    <n v="0"/>
    <n v="0"/>
    <n v="0"/>
    <n v="0"/>
    <n v="0"/>
    <n v="0"/>
    <n v="0"/>
    <n v="0"/>
    <n v="0"/>
    <n v="0"/>
    <n v="0"/>
    <n v="0"/>
    <n v="0"/>
    <n v="0"/>
    <n v="0"/>
    <n v="0"/>
    <n v="0"/>
    <n v="0"/>
    <n v="0"/>
    <n v="0"/>
    <n v="0"/>
  </r>
  <r>
    <n v="879"/>
    <d v="2024-10-03T15:47:46"/>
    <d v="2024-10-03T15:50:56"/>
    <s v="jkathyoka@lighthouse.org.mw"/>
    <s v="Judith Kathyoka"/>
    <x v="4"/>
    <s v="Prototype"/>
    <x v="1"/>
    <s v="COP_23"/>
    <x v="0"/>
    <x v="1"/>
    <s v="Quarter4"/>
    <x v="1"/>
    <x v="2"/>
    <d v="2024-09-01T00:00:00"/>
    <d v="2024-09-30T00:00:00"/>
    <x v="0"/>
    <n v="13"/>
    <n v="2"/>
    <n v="11"/>
    <n v="0"/>
    <n v="2"/>
    <n v="0"/>
    <n v="13"/>
    <n v="6"/>
    <n v="6"/>
    <n v="0"/>
    <n v="0"/>
    <n v="0"/>
    <n v="6"/>
    <n v="0"/>
    <n v="0"/>
    <n v="0"/>
    <n v="0"/>
    <n v="0"/>
    <n v="4"/>
    <n v="0"/>
    <n v="0"/>
    <n v="0"/>
    <n v="0"/>
    <n v="0"/>
  </r>
  <r>
    <n v="880"/>
    <d v="2024-10-03T15:51:17"/>
    <d v="2024-10-03T15:52:18"/>
    <s v="jkathyoka@lighthouse.org.mw"/>
    <s v="Judith Kathyoka"/>
    <x v="4"/>
    <s v="Prototype"/>
    <x v="1"/>
    <s v="COP_23"/>
    <x v="0"/>
    <x v="1"/>
    <s v="Quarter4"/>
    <x v="1"/>
    <x v="2"/>
    <d v="2024-09-01T00:00:00"/>
    <d v="2024-09-30T00:00:00"/>
    <x v="3"/>
    <n v="0"/>
    <n v="0"/>
    <n v="0"/>
    <n v="0"/>
    <n v="0"/>
    <n v="0"/>
    <n v="0"/>
    <n v="0"/>
    <n v="0"/>
    <n v="0"/>
    <n v="0"/>
    <n v="0"/>
    <n v="0"/>
    <n v="0"/>
    <n v="0"/>
    <n v="0"/>
    <n v="0"/>
    <n v="0"/>
    <n v="0"/>
    <n v="0"/>
    <n v="0"/>
    <n v="0"/>
    <n v="0"/>
    <n v="0"/>
  </r>
  <r>
    <n v="881"/>
    <d v="2024-10-03T15:54:24"/>
    <d v="2024-10-03T15:55:26"/>
    <s v="jkathyoka@lighthouse.org.mw"/>
    <s v="Judith Kathyoka"/>
    <x v="4"/>
    <s v="Prototype"/>
    <x v="1"/>
    <s v="COP_23"/>
    <x v="0"/>
    <x v="1"/>
    <s v="Quarter4"/>
    <x v="1"/>
    <x v="2"/>
    <d v="2024-09-01T00:00:00"/>
    <d v="2024-09-30T00:00:00"/>
    <x v="4"/>
    <n v="0"/>
    <n v="0"/>
    <n v="0"/>
    <n v="0"/>
    <n v="0"/>
    <n v="0"/>
    <n v="0"/>
    <n v="0"/>
    <n v="0"/>
    <n v="0"/>
    <n v="0"/>
    <n v="0"/>
    <n v="0"/>
    <n v="0"/>
    <n v="0"/>
    <n v="0"/>
    <n v="0"/>
    <n v="0"/>
    <n v="0"/>
    <n v="0"/>
    <n v="0"/>
    <n v="0"/>
    <n v="0"/>
    <n v="0"/>
  </r>
  <r>
    <n v="910"/>
    <d v="2024-10-08T15:35:24"/>
    <d v="2024-10-08T15:38:35"/>
    <s v="jkathyoka@lighthouse.org.mw"/>
    <s v="Judith Kathyoka"/>
    <x v="4"/>
    <s v="Prototype"/>
    <x v="1"/>
    <s v="COP_23"/>
    <x v="0"/>
    <x v="1"/>
    <s v="Quarter4"/>
    <x v="1"/>
    <x v="2"/>
    <d v="2024-09-01T00:00:00"/>
    <d v="2024-09-30T00:00:00"/>
    <x v="5"/>
    <n v="0"/>
    <n v="0"/>
    <n v="0"/>
    <n v="0"/>
    <n v="0"/>
    <n v="0"/>
    <n v="0"/>
    <n v="0"/>
    <n v="0"/>
    <n v="0"/>
    <n v="0"/>
    <n v="0"/>
    <n v="0"/>
    <n v="0"/>
    <n v="0"/>
    <n v="0"/>
    <n v="0"/>
    <n v="0"/>
    <n v="0"/>
    <n v="0"/>
    <n v="0"/>
    <n v="0"/>
    <n v="0"/>
    <n v="0"/>
  </r>
  <r>
    <n v="913"/>
    <d v="2024-10-08T15:40:36"/>
    <d v="2024-10-08T15:41:40"/>
    <s v="jkathyoka@lighthouse.org.mw"/>
    <s v="Judith Kathyoka"/>
    <x v="4"/>
    <s v="Prototype"/>
    <x v="1"/>
    <s v="COP_23"/>
    <x v="0"/>
    <x v="1"/>
    <s v="Quarter4"/>
    <x v="1"/>
    <x v="2"/>
    <d v="2024-09-01T00:00:00"/>
    <d v="2024-09-30T00:00:00"/>
    <x v="6"/>
    <n v="0"/>
    <n v="0"/>
    <n v="0"/>
    <n v="0"/>
    <n v="0"/>
    <n v="0"/>
    <n v="0"/>
    <n v="0"/>
    <n v="0"/>
    <n v="0"/>
    <n v="0"/>
    <n v="0"/>
    <n v="0"/>
    <n v="0"/>
    <n v="0"/>
    <n v="0"/>
    <n v="0"/>
    <n v="0"/>
    <n v="0"/>
    <n v="0"/>
    <n v="0"/>
    <n v="0"/>
    <n v="0"/>
    <n v="0"/>
  </r>
  <r>
    <n v="1054"/>
    <d v="2024-11-11T14:10:59"/>
    <d v="2024-11-11T14:12:44"/>
    <s v="jkathyoka@lighthouse.org.mw"/>
    <s v="Judith Kathyoka"/>
    <x v="4"/>
    <s v="Prototype"/>
    <x v="1"/>
    <s v="COP_23"/>
    <x v="2"/>
    <x v="0"/>
    <s v="Quarter1"/>
    <x v="0"/>
    <x v="0"/>
    <d v="2024-10-01T00:00:00"/>
    <d v="2024-10-31T00:00:00"/>
    <x v="3"/>
    <n v="0"/>
    <n v="0"/>
    <n v="0"/>
    <n v="0"/>
    <n v="0"/>
    <n v="0"/>
    <n v="0"/>
    <n v="0"/>
    <n v="0"/>
    <n v="0"/>
    <n v="0"/>
    <n v="0"/>
    <n v="0"/>
    <n v="0"/>
    <n v="0"/>
    <n v="0"/>
    <n v="0"/>
    <n v="0"/>
    <n v="0"/>
    <n v="0"/>
    <n v="0"/>
    <n v="0"/>
    <n v="0"/>
    <n v="0"/>
  </r>
  <r>
    <n v="1055"/>
    <d v="2024-11-11T14:12:50"/>
    <d v="2024-11-11T14:14:46"/>
    <s v="jkathyoka@lighthouse.org.mw"/>
    <s v="Judith Kathyoka"/>
    <x v="4"/>
    <s v="Prototype"/>
    <x v="1"/>
    <s v="COP_23"/>
    <x v="2"/>
    <x v="0"/>
    <s v="Quarter1"/>
    <x v="0"/>
    <x v="0"/>
    <d v="2024-10-01T00:00:00"/>
    <d v="2024-10-31T00:00:00"/>
    <x v="4"/>
    <n v="0"/>
    <n v="0"/>
    <n v="0"/>
    <n v="0"/>
    <n v="0"/>
    <n v="0"/>
    <n v="0"/>
    <n v="0"/>
    <n v="0"/>
    <n v="0"/>
    <n v="0"/>
    <n v="0"/>
    <n v="0"/>
    <n v="0"/>
    <n v="0"/>
    <n v="0"/>
    <n v="0"/>
    <n v="0"/>
    <n v="0"/>
    <n v="0"/>
    <n v="0"/>
    <n v="0"/>
    <n v="0"/>
    <n v="0"/>
  </r>
  <r>
    <n v="1056"/>
    <d v="2024-11-11T14:14:50"/>
    <d v="2024-11-11T14:16:32"/>
    <s v="jkathyoka@lighthouse.org.mw"/>
    <s v="Judith Kathyoka"/>
    <x v="4"/>
    <s v="Prototype"/>
    <x v="1"/>
    <s v="COP_23"/>
    <x v="2"/>
    <x v="0"/>
    <s v="Quarter1"/>
    <x v="0"/>
    <x v="0"/>
    <d v="2024-10-01T00:00:00"/>
    <d v="2024-10-31T00:00:00"/>
    <x v="5"/>
    <n v="0"/>
    <n v="0"/>
    <n v="0"/>
    <n v="0"/>
    <n v="0"/>
    <n v="0"/>
    <n v="0"/>
    <n v="0"/>
    <n v="0"/>
    <n v="0"/>
    <n v="0"/>
    <n v="0"/>
    <n v="0"/>
    <n v="0"/>
    <n v="0"/>
    <n v="0"/>
    <n v="0"/>
    <n v="0"/>
    <n v="0"/>
    <n v="0"/>
    <n v="0"/>
    <n v="0"/>
    <n v="0"/>
    <n v="0"/>
  </r>
  <r>
    <n v="1058"/>
    <d v="2024-11-11T14:20:10"/>
    <d v="2024-11-11T14:21:47"/>
    <s v="jkathyoka@lighthouse.org.mw"/>
    <s v="Judith Kathyoka"/>
    <x v="4"/>
    <s v="Prototype"/>
    <x v="1"/>
    <s v="COP_23"/>
    <x v="2"/>
    <x v="0"/>
    <s v="Quarter1"/>
    <x v="0"/>
    <x v="0"/>
    <d v="2024-10-01T00:00:00"/>
    <d v="2024-10-31T00:00:00"/>
    <x v="6"/>
    <n v="0"/>
    <n v="0"/>
    <n v="0"/>
    <n v="0"/>
    <n v="0"/>
    <n v="0"/>
    <n v="0"/>
    <n v="0"/>
    <n v="0"/>
    <n v="0"/>
    <n v="0"/>
    <n v="0"/>
    <n v="0"/>
    <n v="0"/>
    <n v="0"/>
    <n v="0"/>
    <n v="0"/>
    <n v="0"/>
    <n v="0"/>
    <n v="0"/>
    <n v="0"/>
    <n v="0"/>
    <n v="0"/>
    <n v="0"/>
  </r>
  <r>
    <n v="1059"/>
    <d v="2024-11-11T14:21:55"/>
    <d v="2024-11-11T14:25:01"/>
    <s v="jkathyoka@lighthouse.org.mw"/>
    <s v="Judith Kathyoka"/>
    <x v="4"/>
    <s v="Prototype"/>
    <x v="1"/>
    <s v="COP_23"/>
    <x v="2"/>
    <x v="0"/>
    <s v="Quarter1"/>
    <x v="0"/>
    <x v="0"/>
    <d v="2024-10-01T00:00:00"/>
    <d v="2024-10-31T00:00:00"/>
    <x v="0"/>
    <n v="8"/>
    <n v="0"/>
    <n v="7"/>
    <n v="0"/>
    <n v="0"/>
    <n v="1"/>
    <n v="8"/>
    <n v="1"/>
    <n v="1"/>
    <n v="0"/>
    <n v="0"/>
    <n v="0"/>
    <n v="0"/>
    <n v="0"/>
    <n v="0"/>
    <n v="0"/>
    <n v="0"/>
    <n v="0"/>
    <n v="1"/>
    <n v="0"/>
    <n v="0"/>
    <n v="0"/>
    <n v="0"/>
    <n v="1"/>
  </r>
  <r>
    <n v="1103"/>
    <d v="2024-12-05T14:15:02"/>
    <d v="2024-12-05T14:18:57"/>
    <s v="jkathyoka@lighthouse.org.mw"/>
    <s v="Judith Kathyoka"/>
    <x v="4"/>
    <s v="Prototype"/>
    <x v="1"/>
    <s v="COP_23"/>
    <x v="2"/>
    <x v="0"/>
    <s v="Quarter1"/>
    <x v="0"/>
    <x v="1"/>
    <d v="2024-11-01T00:00:00"/>
    <d v="2024-11-30T00:00:00"/>
    <x v="1"/>
    <n v="11"/>
    <n v="2"/>
    <n v="7"/>
    <n v="1"/>
    <n v="1"/>
    <n v="2"/>
    <n v="11"/>
    <n v="6"/>
    <n v="6"/>
    <n v="1"/>
    <n v="2"/>
    <n v="1"/>
    <n v="6"/>
    <n v="1"/>
    <n v="0"/>
    <n v="0"/>
    <n v="0"/>
    <n v="0"/>
    <n v="4"/>
    <n v="0"/>
    <n v="1"/>
    <n v="1"/>
    <n v="0"/>
    <n v="0"/>
  </r>
  <r>
    <n v="1104"/>
    <d v="2024-12-05T14:19:18"/>
    <d v="2024-12-05T14:21:04"/>
    <s v="jkathyoka@lighthouse.org.mw"/>
    <s v="Judith Kathyoka"/>
    <x v="4"/>
    <s v="Prototype"/>
    <x v="1"/>
    <s v="COP_24"/>
    <x v="2"/>
    <x v="0"/>
    <s v="Quarter1"/>
    <x v="0"/>
    <x v="1"/>
    <d v="2024-11-01T00:00:00"/>
    <d v="2024-11-30T00:00:00"/>
    <x v="3"/>
    <n v="0"/>
    <n v="0"/>
    <n v="0"/>
    <n v="0"/>
    <n v="0"/>
    <n v="0"/>
    <n v="0"/>
    <n v="0"/>
    <n v="0"/>
    <n v="0"/>
    <n v="0"/>
    <n v="0"/>
    <n v="0"/>
    <n v="0"/>
    <n v="0"/>
    <n v="0"/>
    <n v="0"/>
    <n v="0"/>
    <n v="0"/>
    <n v="0"/>
    <n v="0"/>
    <n v="0"/>
    <n v="0"/>
    <n v="0"/>
  </r>
  <r>
    <n v="1105"/>
    <d v="2024-12-05T14:21:07"/>
    <d v="2024-12-05T14:22:35"/>
    <s v="jkathyoka@lighthouse.org.mw"/>
    <s v="Judith Kathyoka"/>
    <x v="4"/>
    <s v="Prototype"/>
    <x v="1"/>
    <s v="COP_23"/>
    <x v="2"/>
    <x v="0"/>
    <s v="Quarter1"/>
    <x v="0"/>
    <x v="1"/>
    <d v="2024-11-01T00:00:00"/>
    <d v="2024-11-30T00:00:00"/>
    <x v="4"/>
    <n v="0"/>
    <n v="0"/>
    <n v="0"/>
    <n v="0"/>
    <n v="0"/>
    <n v="0"/>
    <n v="0"/>
    <n v="0"/>
    <n v="0"/>
    <n v="0"/>
    <n v="0"/>
    <n v="0"/>
    <n v="0"/>
    <n v="0"/>
    <n v="0"/>
    <n v="0"/>
    <n v="0"/>
    <n v="0"/>
    <n v="0"/>
    <n v="0"/>
    <n v="0"/>
    <n v="0"/>
    <n v="0"/>
    <n v="0"/>
  </r>
  <r>
    <n v="1106"/>
    <d v="2024-12-05T14:22:37"/>
    <d v="2024-12-05T14:24:09"/>
    <s v="jkathyoka@lighthouse.org.mw"/>
    <s v="Judith Kathyoka"/>
    <x v="4"/>
    <s v="Prototype"/>
    <x v="1"/>
    <s v="COP_23"/>
    <x v="2"/>
    <x v="0"/>
    <s v="Quarter1"/>
    <x v="0"/>
    <x v="1"/>
    <d v="2024-11-01T00:00:00"/>
    <d v="2024-11-30T00:00:00"/>
    <x v="5"/>
    <n v="0"/>
    <n v="0"/>
    <n v="0"/>
    <n v="0"/>
    <n v="0"/>
    <n v="0"/>
    <n v="0"/>
    <n v="0"/>
    <n v="0"/>
    <n v="0"/>
    <n v="0"/>
    <n v="0"/>
    <n v="0"/>
    <n v="0"/>
    <n v="0"/>
    <n v="0"/>
    <n v="0"/>
    <n v="0"/>
    <n v="0"/>
    <n v="0"/>
    <n v="0"/>
    <n v="0"/>
    <n v="0"/>
    <n v="0"/>
  </r>
  <r>
    <n v="1107"/>
    <d v="2024-12-05T14:24:12"/>
    <d v="2024-12-05T14:26:23"/>
    <s v="jkathyoka@lighthouse.org.mw"/>
    <s v="Judith Kathyoka"/>
    <x v="4"/>
    <s v="Prototype"/>
    <x v="1"/>
    <s v="COP_23"/>
    <x v="2"/>
    <x v="0"/>
    <s v="Quarter1"/>
    <x v="0"/>
    <x v="1"/>
    <d v="2024-11-01T00:00:00"/>
    <d v="2024-11-30T00:00:00"/>
    <x v="2"/>
    <n v="4"/>
    <n v="1"/>
    <n v="2"/>
    <n v="0"/>
    <n v="1"/>
    <n v="1"/>
    <n v="4"/>
    <n v="0"/>
    <n v="0"/>
    <n v="0"/>
    <n v="0"/>
    <n v="0"/>
    <n v="0"/>
    <n v="0"/>
    <n v="0"/>
    <n v="0"/>
    <n v="1"/>
    <n v="1"/>
    <n v="0"/>
    <n v="0"/>
    <n v="0"/>
    <n v="0"/>
    <n v="0"/>
    <n v="1"/>
  </r>
  <r>
    <n v="1109"/>
    <d v="2024-12-05T14:27:58"/>
    <d v="2024-12-05T14:30:27"/>
    <s v="jkathyoka@lighthouse.org.mw"/>
    <s v="Judith Kathyoka"/>
    <x v="4"/>
    <s v="Prototype"/>
    <x v="1"/>
    <s v="COP_23"/>
    <x v="2"/>
    <x v="0"/>
    <s v="Quarter1"/>
    <x v="0"/>
    <x v="1"/>
    <d v="2024-11-01T00:00:00"/>
    <d v="2024-11-30T00:00:00"/>
    <x v="0"/>
    <n v="15"/>
    <n v="3"/>
    <n v="9"/>
    <n v="1"/>
    <n v="2"/>
    <n v="3"/>
    <n v="15"/>
    <n v="6"/>
    <n v="1"/>
    <n v="1"/>
    <n v="1"/>
    <n v="1"/>
    <n v="6"/>
    <n v="1"/>
    <n v="0"/>
    <n v="0"/>
    <n v="1"/>
    <n v="1"/>
    <n v="4"/>
    <n v="0"/>
    <n v="1"/>
    <n v="1"/>
    <n v="0"/>
    <n v="1"/>
  </r>
  <r>
    <n v="1200"/>
    <d v="2025-01-06T14:43:30"/>
    <d v="2025-01-06T14:51:01"/>
    <s v="jkathyoka@lighthouse.org.mw"/>
    <s v="Judith Kathyoka"/>
    <x v="4"/>
    <s v="Prototype"/>
    <x v="1"/>
    <s v="COP_23"/>
    <x v="2"/>
    <x v="0"/>
    <s v="Quarter1"/>
    <x v="0"/>
    <x v="11"/>
    <d v="2024-12-01T00:00:00"/>
    <d v="2024-12-31T00:00:00"/>
    <x v="1"/>
    <n v="8"/>
    <n v="0"/>
    <n v="7"/>
    <n v="0"/>
    <n v="0"/>
    <n v="1"/>
    <n v="8"/>
    <n v="3"/>
    <n v="2"/>
    <n v="0"/>
    <n v="0"/>
    <n v="0"/>
    <n v="3"/>
    <n v="0"/>
    <n v="0"/>
    <n v="0"/>
    <n v="0"/>
    <n v="0"/>
    <n v="1"/>
    <n v="0"/>
    <n v="0"/>
    <n v="0"/>
    <n v="0"/>
    <n v="0"/>
  </r>
  <r>
    <n v="1202"/>
    <d v="2025-01-06T14:51:07"/>
    <d v="2025-01-06T14:53:49"/>
    <s v="jkathyoka@lighthouse.org.mw"/>
    <s v="Judith Kathyoka"/>
    <x v="4"/>
    <s v="Prototype"/>
    <x v="1"/>
    <s v="COP_23"/>
    <x v="2"/>
    <x v="0"/>
    <s v="Quarter1"/>
    <x v="0"/>
    <x v="11"/>
    <d v="2024-12-01T00:00:00"/>
    <d v="2024-12-31T00:00:00"/>
    <x v="3"/>
    <n v="0"/>
    <n v="0"/>
    <n v="0"/>
    <n v="0"/>
    <n v="0"/>
    <n v="0"/>
    <n v="0"/>
    <n v="0"/>
    <n v="0"/>
    <n v="0"/>
    <n v="0"/>
    <n v="0"/>
    <n v="0"/>
    <n v="0"/>
    <n v="0"/>
    <n v="0"/>
    <n v="0"/>
    <n v="0"/>
    <n v="0"/>
    <n v="0"/>
    <n v="0"/>
    <n v="0"/>
    <n v="0"/>
    <n v="0"/>
  </r>
  <r>
    <n v="1203"/>
    <d v="2025-01-06T14:53:53"/>
    <d v="2025-01-06T14:55:07"/>
    <s v="jkathyoka@lighthouse.org.mw"/>
    <s v="Judith Kathyoka"/>
    <x v="4"/>
    <s v="Prototype"/>
    <x v="1"/>
    <s v="COP_23"/>
    <x v="2"/>
    <x v="0"/>
    <s v="Quarter1"/>
    <x v="0"/>
    <x v="11"/>
    <d v="2024-12-01T00:00:00"/>
    <d v="2024-12-31T00:00:00"/>
    <x v="4"/>
    <n v="0"/>
    <n v="0"/>
    <n v="0"/>
    <n v="0"/>
    <n v="0"/>
    <n v="0"/>
    <n v="0"/>
    <n v="0"/>
    <n v="0"/>
    <n v="0"/>
    <n v="0"/>
    <n v="0"/>
    <n v="0"/>
    <n v="0"/>
    <n v="0"/>
    <n v="0"/>
    <n v="0"/>
    <n v="0"/>
    <n v="0"/>
    <n v="0"/>
    <n v="0"/>
    <n v="0"/>
    <n v="0"/>
    <n v="0"/>
  </r>
  <r>
    <n v="1204"/>
    <d v="2025-01-06T14:55:12"/>
    <d v="2025-01-06T14:57:21"/>
    <s v="jkathyoka@lighthouse.org.mw"/>
    <s v="Judith Kathyoka"/>
    <x v="4"/>
    <s v="Prototype"/>
    <x v="1"/>
    <s v="COP_23"/>
    <x v="2"/>
    <x v="0"/>
    <s v="Quarter1"/>
    <x v="0"/>
    <x v="11"/>
    <d v="2024-12-01T00:00:00"/>
    <d v="2024-12-31T00:00:00"/>
    <x v="5"/>
    <n v="4"/>
    <n v="0"/>
    <n v="4"/>
    <n v="0"/>
    <n v="0"/>
    <n v="0"/>
    <n v="0"/>
    <n v="0"/>
    <n v="4"/>
    <n v="0"/>
    <n v="0"/>
    <n v="0"/>
    <n v="0"/>
    <n v="0"/>
    <n v="0"/>
    <n v="0"/>
    <n v="0"/>
    <n v="0"/>
    <n v="0"/>
    <n v="0"/>
    <n v="0"/>
    <n v="0"/>
    <n v="0"/>
    <n v="0"/>
  </r>
  <r>
    <n v="1206"/>
    <d v="2025-01-06T14:57:27"/>
    <d v="2025-01-06T14:59:27"/>
    <s v="jkathyoka@lighthouse.org.mw"/>
    <s v="Judith Kathyoka"/>
    <x v="4"/>
    <s v="Prototype"/>
    <x v="1"/>
    <s v="COP_23"/>
    <x v="2"/>
    <x v="0"/>
    <s v="Quarter1"/>
    <x v="0"/>
    <x v="11"/>
    <d v="2024-12-01T00:00:00"/>
    <d v="2024-12-31T00:00:00"/>
    <x v="2"/>
    <n v="4"/>
    <n v="0"/>
    <n v="4"/>
    <n v="0"/>
    <n v="0"/>
    <n v="0"/>
    <n v="0"/>
    <n v="0"/>
    <n v="0"/>
    <n v="0"/>
    <n v="0"/>
    <n v="0"/>
    <n v="0"/>
    <n v="0"/>
    <n v="0"/>
    <n v="0"/>
    <n v="0"/>
    <n v="0"/>
    <n v="0"/>
    <n v="0"/>
    <n v="0"/>
    <n v="0"/>
    <n v="0"/>
    <n v="0"/>
  </r>
  <r>
    <n v="1207"/>
    <d v="2025-01-06T14:59:36"/>
    <d v="2025-01-06T15:01:06"/>
    <s v="jkathyoka@lighthouse.org.mw"/>
    <s v="Judith Kathyoka"/>
    <x v="4"/>
    <s v="Prototype"/>
    <x v="1"/>
    <s v="COP_23"/>
    <x v="2"/>
    <x v="0"/>
    <s v="Quarter1"/>
    <x v="0"/>
    <x v="11"/>
    <d v="2024-12-01T00:00:00"/>
    <d v="2024-12-31T00:00:00"/>
    <x v="6"/>
    <n v="0"/>
    <n v="0"/>
    <n v="0"/>
    <n v="0"/>
    <n v="0"/>
    <n v="0"/>
    <n v="0"/>
    <n v="0"/>
    <n v="0"/>
    <n v="0"/>
    <n v="0"/>
    <n v="0"/>
    <n v="0"/>
    <n v="0"/>
    <n v="0"/>
    <n v="0"/>
    <n v="0"/>
    <n v="0"/>
    <n v="0"/>
    <n v="0"/>
    <n v="0"/>
    <n v="0"/>
    <n v="0"/>
    <n v="0"/>
  </r>
  <r>
    <n v="1208"/>
    <d v="2025-01-06T15:01:13"/>
    <d v="2025-01-06T15:06:04"/>
    <s v="jkathyoka@lighthouse.org.mw"/>
    <s v="Judith Kathyoka"/>
    <x v="4"/>
    <s v="Prototype"/>
    <x v="1"/>
    <s v="COP_23"/>
    <x v="2"/>
    <x v="0"/>
    <s v="Quarter1"/>
    <x v="0"/>
    <x v="11"/>
    <d v="2024-12-01T00:00:00"/>
    <d v="2024-12-31T00:00:00"/>
    <x v="0"/>
    <n v="12"/>
    <n v="0"/>
    <n v="11"/>
    <n v="0"/>
    <n v="0"/>
    <n v="1"/>
    <n v="12"/>
    <n v="3"/>
    <n v="0"/>
    <n v="0"/>
    <n v="0"/>
    <n v="0"/>
    <n v="3"/>
    <n v="0"/>
    <n v="0"/>
    <n v="0"/>
    <n v="1"/>
    <n v="0"/>
    <n v="1"/>
    <n v="0"/>
    <n v="0"/>
    <n v="0"/>
    <n v="0"/>
    <n v="0"/>
  </r>
  <r>
    <n v="1333"/>
    <d v="2025-02-26T14:16:09"/>
    <d v="2025-02-26T14:33:53"/>
    <s v="jkathyoka@lighthouse.org.mw"/>
    <s v="Judith Kathyoka"/>
    <x v="4"/>
    <s v="Prototype"/>
    <x v="2"/>
    <s v="COP_23"/>
    <x v="2"/>
    <x v="2"/>
    <s v="Quarter2"/>
    <x v="2"/>
    <x v="4"/>
    <d v="2025-01-01T00:00:00"/>
    <d v="2025-01-31T00:00:00"/>
    <x v="1"/>
    <n v="8"/>
    <n v="0"/>
    <n v="8"/>
    <n v="0"/>
    <n v="0"/>
    <n v="0"/>
    <n v="8"/>
    <n v="1"/>
    <n v="1"/>
    <n v="0"/>
    <n v="0"/>
    <n v="0"/>
    <n v="1"/>
    <n v="0"/>
    <n v="0"/>
    <n v="0"/>
    <n v="0"/>
    <n v="0"/>
    <n v="0"/>
    <n v="0"/>
    <n v="0"/>
    <n v="0"/>
    <n v="0"/>
    <n v="0"/>
  </r>
  <r>
    <n v="1334"/>
    <d v="2025-02-26T14:36:41"/>
    <d v="2025-02-26T14:49:07"/>
    <s v="jkathyoka@lighthouse.org.mw"/>
    <s v="Judith Kathyoka"/>
    <x v="4"/>
    <s v="Prototype"/>
    <x v="2"/>
    <s v="COP_23"/>
    <x v="2"/>
    <x v="2"/>
    <s v="Quarter2"/>
    <x v="2"/>
    <x v="4"/>
    <d v="2025-01-01T00:00:00"/>
    <d v="2025-01-31T00:00:00"/>
    <x v="3"/>
    <n v="0"/>
    <n v="0"/>
    <n v="0"/>
    <n v="0"/>
    <n v="0"/>
    <n v="0"/>
    <n v="0"/>
    <n v="0"/>
    <n v="0"/>
    <n v="0"/>
    <n v="0"/>
    <n v="0"/>
    <n v="0"/>
    <n v="0"/>
    <n v="0"/>
    <n v="0"/>
    <n v="0"/>
    <n v="0"/>
    <n v="0"/>
    <n v="0"/>
    <n v="0"/>
    <n v="0"/>
    <n v="0"/>
    <n v="0"/>
  </r>
  <r>
    <n v="1335"/>
    <d v="2025-02-26T14:49:10"/>
    <d v="2025-02-26T14:51:02"/>
    <s v="jkathyoka@lighthouse.org.mw"/>
    <s v="Judith Kathyoka"/>
    <x v="4"/>
    <s v="Prototype"/>
    <x v="2"/>
    <s v="COP_23"/>
    <x v="2"/>
    <x v="2"/>
    <s v="Quarter2"/>
    <x v="2"/>
    <x v="4"/>
    <d v="2025-01-01T00:00:00"/>
    <d v="2025-01-31T00:00:00"/>
    <x v="4"/>
    <n v="0"/>
    <n v="0"/>
    <n v="0"/>
    <n v="0"/>
    <n v="0"/>
    <n v="0"/>
    <n v="0"/>
    <n v="0"/>
    <n v="0"/>
    <n v="0"/>
    <n v="0"/>
    <n v="0"/>
    <n v="0"/>
    <n v="0"/>
    <n v="0"/>
    <n v="0"/>
    <n v="0"/>
    <n v="0"/>
    <n v="0"/>
    <n v="0"/>
    <n v="0"/>
    <n v="0"/>
    <n v="0"/>
    <n v="0"/>
  </r>
  <r>
    <n v="1336"/>
    <d v="2025-02-26T15:37:58"/>
    <d v="2025-02-26T15:39:52"/>
    <s v="jkathyoka@lighthouse.org.mw"/>
    <s v="Judith Kathyoka"/>
    <x v="4"/>
    <s v="Prototype"/>
    <x v="2"/>
    <s v="COP_24"/>
    <x v="2"/>
    <x v="2"/>
    <s v="Quarter2"/>
    <x v="2"/>
    <x v="4"/>
    <d v="2025-01-01T00:00:00"/>
    <d v="2025-01-31T00:00:00"/>
    <x v="5"/>
    <n v="0"/>
    <n v="0"/>
    <n v="0"/>
    <n v="0"/>
    <n v="0"/>
    <n v="0"/>
    <n v="0"/>
    <n v="0"/>
    <n v="0"/>
    <n v="0"/>
    <n v="0"/>
    <n v="0"/>
    <n v="0"/>
    <n v="0"/>
    <n v="0"/>
    <n v="0"/>
    <n v="0"/>
    <n v="0"/>
    <n v="0"/>
    <n v="0"/>
    <n v="0"/>
    <n v="0"/>
    <n v="0"/>
    <n v="0"/>
  </r>
  <r>
    <n v="1337"/>
    <d v="2025-02-26T15:39:55"/>
    <d v="2025-02-26T15:52:09"/>
    <s v="jkathyoka@lighthouse.org.mw"/>
    <s v="Judith Kathyoka"/>
    <x v="4"/>
    <s v="Prototype"/>
    <x v="2"/>
    <s v="COP_23"/>
    <x v="2"/>
    <x v="2"/>
    <s v="Quarter2"/>
    <x v="2"/>
    <x v="4"/>
    <d v="2025-01-01T00:00:00"/>
    <d v="2025-01-31T00:00:00"/>
    <x v="2"/>
    <n v="4"/>
    <n v="0"/>
    <n v="4"/>
    <n v="0"/>
    <n v="0"/>
    <n v="0"/>
    <n v="4"/>
    <n v="0"/>
    <n v="1"/>
    <n v="0"/>
    <n v="0"/>
    <n v="0"/>
    <n v="1"/>
    <n v="0"/>
    <n v="0"/>
    <n v="0"/>
    <n v="0"/>
    <n v="0"/>
    <n v="0"/>
    <n v="0"/>
    <n v="0"/>
    <n v="0"/>
    <n v="0"/>
    <n v="0"/>
  </r>
  <r>
    <n v="1338"/>
    <d v="2025-02-26T15:53:46"/>
    <d v="2025-02-26T15:55:10"/>
    <s v="jkathyoka@lighthouse.org.mw"/>
    <s v="Judith Kathyoka"/>
    <x v="4"/>
    <s v="Prototype"/>
    <x v="2"/>
    <s v="COP_23"/>
    <x v="2"/>
    <x v="2"/>
    <s v="Quarter2"/>
    <x v="2"/>
    <x v="4"/>
    <d v="2025-01-01T00:00:00"/>
    <d v="2025-01-31T00:00:00"/>
    <x v="6"/>
    <n v="0"/>
    <n v="0"/>
    <n v="0"/>
    <n v="0"/>
    <n v="0"/>
    <n v="0"/>
    <n v="0"/>
    <n v="0"/>
    <n v="0"/>
    <n v="0"/>
    <n v="0"/>
    <n v="0"/>
    <n v="0"/>
    <n v="0"/>
    <n v="0"/>
    <n v="0"/>
    <n v="0"/>
    <n v="0"/>
    <n v="0"/>
    <n v="0"/>
    <n v="0"/>
    <n v="0"/>
    <n v="0"/>
    <n v="0"/>
  </r>
  <r>
    <n v="1339"/>
    <d v="2025-02-26T15:55:14"/>
    <d v="2025-02-26T16:00:37"/>
    <s v="jkathyoka@lighthouse.org.mw"/>
    <s v="Judith Kathyoka"/>
    <x v="4"/>
    <s v="Prototype"/>
    <x v="2"/>
    <s v="COP_23"/>
    <x v="2"/>
    <x v="2"/>
    <s v="Quarter2"/>
    <x v="2"/>
    <x v="4"/>
    <d v="2025-01-01T00:00:00"/>
    <d v="2025-01-31T00:00:00"/>
    <x v="0"/>
    <n v="12"/>
    <n v="0"/>
    <n v="12"/>
    <n v="0"/>
    <n v="0"/>
    <n v="0"/>
    <n v="12"/>
    <n v="1"/>
    <n v="2"/>
    <n v="0"/>
    <n v="0"/>
    <n v="0"/>
    <n v="2"/>
    <n v="0"/>
    <n v="0"/>
    <n v="0"/>
    <n v="0"/>
    <n v="0"/>
    <n v="0"/>
    <n v="0"/>
    <n v="0"/>
    <n v="0"/>
    <n v="0"/>
    <n v="0"/>
  </r>
  <r>
    <n v="1340"/>
    <m/>
    <d v="2025-03-06T08:16:03"/>
    <s v="jkathyoka@lighthouse.org.mw"/>
    <s v="Judith Kathyoka"/>
    <x v="4"/>
    <s v="Prototype"/>
    <x v="2"/>
    <s v="COP_23"/>
    <x v="2"/>
    <x v="2"/>
    <s v="Quarter2"/>
    <x v="2"/>
    <x v="5"/>
    <d v="2025-01-01T00:00:00"/>
    <d v="2025-01-31T00:00:00"/>
    <x v="1"/>
    <n v="4"/>
    <n v="0"/>
    <n v="4"/>
    <n v="0"/>
    <n v="0"/>
    <n v="0"/>
    <n v="4"/>
    <n v="1"/>
    <n v="1"/>
    <n v="0"/>
    <n v="0"/>
    <n v="0"/>
    <n v="1"/>
    <n v="0"/>
    <n v="0"/>
    <n v="0"/>
    <n v="0"/>
    <n v="0"/>
    <n v="1"/>
    <n v="0"/>
    <n v="0"/>
    <n v="0"/>
    <n v="0"/>
    <n v="0"/>
  </r>
  <r>
    <n v="1341"/>
    <d v="2025-03-06T08:16:14"/>
    <d v="2025-03-06T08:17:57"/>
    <s v="jkathyoka@lighthouse.org.mw"/>
    <s v="Judith Kathyoka"/>
    <x v="4"/>
    <s v="Prototype"/>
    <x v="2"/>
    <s v="COP_23"/>
    <x v="2"/>
    <x v="2"/>
    <s v="Quarter2"/>
    <x v="2"/>
    <x v="5"/>
    <d v="2025-02-01T00:00:00"/>
    <d v="2025-02-28T00:00:00"/>
    <x v="3"/>
    <n v="0"/>
    <n v="0"/>
    <n v="0"/>
    <n v="0"/>
    <n v="0"/>
    <n v="0"/>
    <n v="0"/>
    <n v="0"/>
    <n v="0"/>
    <n v="0"/>
    <n v="0"/>
    <n v="0"/>
    <n v="0"/>
    <n v="0"/>
    <n v="0"/>
    <n v="0"/>
    <n v="0"/>
    <n v="0"/>
    <n v="0"/>
    <n v="0"/>
    <n v="0"/>
    <n v="0"/>
    <n v="0"/>
    <n v="0"/>
  </r>
  <r>
    <n v="1342"/>
    <d v="2025-03-06T08:18:00"/>
    <d v="2025-03-06T08:19:45"/>
    <s v="jkathyoka@lighthouse.org.mw"/>
    <s v="Judith Kathyoka"/>
    <x v="4"/>
    <s v="Prototype"/>
    <x v="2"/>
    <s v="COP_23"/>
    <x v="2"/>
    <x v="2"/>
    <s v="Quarter2"/>
    <x v="2"/>
    <x v="5"/>
    <d v="2025-02-01T00:00:00"/>
    <d v="2025-02-28T00:00:00"/>
    <x v="4"/>
    <n v="0"/>
    <n v="0"/>
    <n v="0"/>
    <n v="0"/>
    <n v="0"/>
    <n v="0"/>
    <n v="0"/>
    <n v="0"/>
    <n v="0"/>
    <n v="0"/>
    <n v="0"/>
    <n v="0"/>
    <n v="0"/>
    <n v="0"/>
    <n v="0"/>
    <n v="0"/>
    <n v="0"/>
    <n v="0"/>
    <n v="0"/>
    <n v="0"/>
    <n v="0"/>
    <n v="0"/>
    <n v="0"/>
    <n v="0"/>
  </r>
  <r>
    <n v="1343"/>
    <d v="2025-03-06T08:19:52"/>
    <d v="2025-03-06T08:21:25"/>
    <s v="jkathyoka@lighthouse.org.mw"/>
    <s v="Judith Kathyoka"/>
    <x v="4"/>
    <s v="Prototype"/>
    <x v="2"/>
    <s v="COP_23"/>
    <x v="2"/>
    <x v="2"/>
    <s v="Quarter2"/>
    <x v="2"/>
    <x v="5"/>
    <d v="2025-02-01T00:00:00"/>
    <d v="2025-02-28T00:00:00"/>
    <x v="5"/>
    <n v="0"/>
    <n v="0"/>
    <n v="0"/>
    <n v="0"/>
    <n v="0"/>
    <n v="0"/>
    <n v="0"/>
    <n v="0"/>
    <n v="0"/>
    <n v="0"/>
    <n v="0"/>
    <n v="0"/>
    <n v="0"/>
    <n v="0"/>
    <n v="0"/>
    <n v="0"/>
    <n v="0"/>
    <n v="0"/>
    <n v="0"/>
    <n v="0"/>
    <n v="0"/>
    <n v="0"/>
    <n v="0"/>
    <n v="0"/>
  </r>
  <r>
    <n v="1344"/>
    <d v="2025-03-06T08:21:44"/>
    <d v="2025-03-06T08:23:27"/>
    <s v="jkathyoka@lighthouse.org.mw"/>
    <s v="Judith Kathyoka"/>
    <x v="4"/>
    <s v="Prototype"/>
    <x v="2"/>
    <s v="COP_23"/>
    <x v="2"/>
    <x v="2"/>
    <s v="Quarter2"/>
    <x v="2"/>
    <x v="5"/>
    <d v="2025-02-01T00:00:00"/>
    <d v="2025-02-28T00:00:00"/>
    <x v="2"/>
    <n v="0"/>
    <n v="0"/>
    <n v="0"/>
    <n v="0"/>
    <n v="0"/>
    <n v="0"/>
    <n v="0"/>
    <n v="0"/>
    <n v="0"/>
    <n v="0"/>
    <n v="0"/>
    <n v="0"/>
    <n v="0"/>
    <n v="0"/>
    <n v="0"/>
    <n v="0"/>
    <n v="0"/>
    <n v="0"/>
    <n v="0"/>
    <n v="0"/>
    <n v="0"/>
    <n v="0"/>
    <n v="0"/>
    <n v="0"/>
  </r>
  <r>
    <n v="1345"/>
    <d v="2025-03-06T08:23:33"/>
    <d v="2025-03-06T08:25:04"/>
    <s v="jkathyoka@lighthouse.org.mw"/>
    <s v="Judith Kathyoka"/>
    <x v="4"/>
    <s v="Prototype"/>
    <x v="2"/>
    <s v="COP_23"/>
    <x v="2"/>
    <x v="2"/>
    <s v="Quarter2"/>
    <x v="2"/>
    <x v="5"/>
    <d v="2025-02-01T00:00:00"/>
    <d v="2025-02-28T00:00:00"/>
    <x v="6"/>
    <n v="0"/>
    <n v="0"/>
    <n v="0"/>
    <n v="0"/>
    <n v="0"/>
    <n v="0"/>
    <n v="0"/>
    <n v="0"/>
    <n v="0"/>
    <n v="0"/>
    <n v="0"/>
    <n v="0"/>
    <n v="0"/>
    <n v="0"/>
    <n v="0"/>
    <n v="0"/>
    <n v="0"/>
    <n v="0"/>
    <n v="0"/>
    <n v="0"/>
    <n v="0"/>
    <n v="0"/>
    <n v="0"/>
    <n v="0"/>
  </r>
  <r>
    <n v="1346"/>
    <d v="2025-03-06T08:25:14"/>
    <d v="2025-03-06T08:27:22"/>
    <s v="jkathyoka@lighthouse.org.mw"/>
    <s v="Judith Kathyoka"/>
    <x v="4"/>
    <s v="Prototype"/>
    <x v="2"/>
    <s v="COP_23"/>
    <x v="2"/>
    <x v="2"/>
    <s v="Quarter2"/>
    <x v="2"/>
    <x v="5"/>
    <d v="2025-02-01T00:00:00"/>
    <d v="2025-02-28T00:00:00"/>
    <x v="0"/>
    <n v="4"/>
    <n v="0"/>
    <n v="4"/>
    <n v="0"/>
    <n v="0"/>
    <n v="0"/>
    <n v="4"/>
    <n v="1"/>
    <n v="1"/>
    <n v="0"/>
    <n v="0"/>
    <n v="0"/>
    <n v="1"/>
    <n v="0"/>
    <n v="0"/>
    <n v="0"/>
    <n v="0"/>
    <n v="0"/>
    <n v="0"/>
    <n v="0"/>
    <n v="0"/>
    <n v="0"/>
    <n v="0"/>
    <n v="0"/>
  </r>
  <r>
    <n v="1480"/>
    <d v="2025-04-02T15:57:09"/>
    <d v="2025-04-02T16:01:13"/>
    <s v="jkathyoka@lighthouse.org.mw"/>
    <s v="Judith Kathyoka"/>
    <x v="4"/>
    <s v="Prototype"/>
    <x v="2"/>
    <s v="COP_23"/>
    <x v="2"/>
    <x v="2"/>
    <s v="Quarter2"/>
    <x v="2"/>
    <x v="3"/>
    <d v="2025-03-01T00:00:00"/>
    <d v="2025-03-31T00:00:00"/>
    <x v="1"/>
    <n v="9"/>
    <n v="0"/>
    <n v="6"/>
    <n v="1"/>
    <n v="2"/>
    <n v="0"/>
    <n v="9"/>
    <n v="4"/>
    <n v="4"/>
    <n v="0"/>
    <n v="0"/>
    <n v="0"/>
    <n v="3"/>
    <n v="0"/>
    <n v="0"/>
    <n v="0"/>
    <n v="0"/>
    <n v="0"/>
    <n v="1"/>
    <n v="0"/>
    <n v="0"/>
    <n v="0"/>
    <n v="0"/>
    <n v="0"/>
  </r>
  <r>
    <n v="1481"/>
    <d v="2025-04-02T16:02:14"/>
    <d v="2025-04-02T16:05:28"/>
    <s v="jkathyoka@lighthouse.org.mw"/>
    <s v="Judith Kathyoka"/>
    <x v="4"/>
    <s v="Prototype"/>
    <x v="2"/>
    <s v="COP_23"/>
    <x v="2"/>
    <x v="2"/>
    <s v="Quarter2"/>
    <x v="2"/>
    <x v="3"/>
    <d v="2025-03-01T00:00:00"/>
    <d v="2025-03-31T00:00:00"/>
    <x v="3"/>
    <n v="0"/>
    <n v="0"/>
    <n v="0"/>
    <n v="0"/>
    <n v="0"/>
    <n v="0"/>
    <n v="0"/>
    <n v="0"/>
    <n v="0"/>
    <n v="0"/>
    <n v="0"/>
    <n v="0"/>
    <n v="0"/>
    <n v="0"/>
    <n v="0"/>
    <n v="0"/>
    <n v="0"/>
    <n v="0"/>
    <n v="0"/>
    <n v="0"/>
    <n v="0"/>
    <n v="0"/>
    <n v="0"/>
    <n v="0"/>
  </r>
  <r>
    <n v="1493"/>
    <d v="2025-04-03T10:43:46"/>
    <d v="2025-04-03T11:38:47"/>
    <s v="jkathyoka@lighthouse.org.mw"/>
    <s v="Judith Kathyoka"/>
    <x v="4"/>
    <s v="Prototype"/>
    <x v="2"/>
    <s v="COP_23"/>
    <x v="2"/>
    <x v="2"/>
    <s v="Quarter2"/>
    <x v="2"/>
    <x v="3"/>
    <d v="2025-03-01T00:00:00"/>
    <d v="2025-03-31T00:00:00"/>
    <x v="4"/>
    <n v="0"/>
    <n v="0"/>
    <n v="0"/>
    <n v="0"/>
    <n v="0"/>
    <n v="0"/>
    <n v="0"/>
    <n v="0"/>
    <n v="0"/>
    <n v="0"/>
    <n v="0"/>
    <n v="0"/>
    <n v="0"/>
    <n v="0"/>
    <n v="0"/>
    <n v="0"/>
    <n v="0"/>
    <n v="0"/>
    <n v="0"/>
    <n v="0"/>
    <n v="0"/>
    <n v="0"/>
    <n v="0"/>
    <n v="0"/>
  </r>
  <r>
    <n v="1494"/>
    <d v="2025-04-03T11:38:51"/>
    <d v="2025-04-03T11:42:17"/>
    <s v="jkathyoka@lighthouse.org.mw"/>
    <s v="Judith Kathyoka"/>
    <x v="4"/>
    <s v="Prototype"/>
    <x v="2"/>
    <s v="COP_23"/>
    <x v="2"/>
    <x v="2"/>
    <s v="Quarter2"/>
    <x v="2"/>
    <x v="3"/>
    <d v="2025-03-01T00:00:00"/>
    <d v="2025-03-31T00:00:00"/>
    <x v="5"/>
    <n v="7"/>
    <n v="0"/>
    <n v="7"/>
    <n v="0"/>
    <n v="0"/>
    <n v="0"/>
    <n v="7"/>
    <n v="0"/>
    <n v="3"/>
    <n v="0"/>
    <n v="7"/>
    <n v="0"/>
    <n v="1"/>
    <n v="1"/>
    <n v="0"/>
    <n v="0"/>
    <n v="0"/>
    <n v="0"/>
    <n v="0"/>
    <n v="0"/>
    <n v="0"/>
    <n v="0"/>
    <n v="0"/>
    <n v="0"/>
  </r>
  <r>
    <n v="1495"/>
    <d v="2025-04-03T11:42:32"/>
    <d v="2025-04-03T11:44:09"/>
    <s v="jkathyoka@lighthouse.org.mw"/>
    <s v="Judith Kathyoka"/>
    <x v="4"/>
    <s v="Prototype"/>
    <x v="2"/>
    <s v="COP_23"/>
    <x v="2"/>
    <x v="2"/>
    <s v="Quarter2"/>
    <x v="2"/>
    <x v="3"/>
    <d v="2025-03-01T00:00:00"/>
    <d v="2025-03-31T00:00:00"/>
    <x v="6"/>
    <n v="0"/>
    <n v="0"/>
    <n v="0"/>
    <n v="0"/>
    <n v="0"/>
    <n v="0"/>
    <n v="0"/>
    <n v="0"/>
    <n v="0"/>
    <n v="0"/>
    <n v="0"/>
    <n v="0"/>
    <n v="0"/>
    <n v="0"/>
    <n v="0"/>
    <n v="0"/>
    <n v="0"/>
    <n v="0"/>
    <n v="0"/>
    <n v="0"/>
    <n v="0"/>
    <n v="0"/>
    <n v="0"/>
    <n v="0"/>
  </r>
  <r>
    <n v="1496"/>
    <d v="2025-04-03T11:48:45"/>
    <d v="2025-04-03T11:52:48"/>
    <s v="jkathyoka@lighthouse.org.mw"/>
    <s v="Judith Kathyoka"/>
    <x v="4"/>
    <s v="Prototype"/>
    <x v="2"/>
    <s v="COP_24"/>
    <x v="2"/>
    <x v="2"/>
    <s v="Quarter2"/>
    <x v="2"/>
    <x v="3"/>
    <d v="2025-03-01T00:00:00"/>
    <d v="2025-03-31T00:00:00"/>
    <x v="0"/>
    <n v="16"/>
    <n v="0"/>
    <n v="13"/>
    <n v="1"/>
    <n v="2"/>
    <n v="0"/>
    <n v="16"/>
    <n v="5"/>
    <n v="5"/>
    <n v="0"/>
    <n v="0"/>
    <n v="0"/>
    <n v="4"/>
    <n v="1"/>
    <n v="0"/>
    <n v="0"/>
    <n v="0"/>
    <n v="0"/>
    <n v="3"/>
    <n v="0"/>
    <n v="0"/>
    <n v="0"/>
    <n v="0"/>
    <n v="0"/>
  </r>
  <r>
    <n v="34"/>
    <d v="2023-12-19T15:48:43"/>
    <d v="2023-12-19T15:58:41"/>
    <s v="bsamala@lighthouse.org.mw"/>
    <s v="Benadetta Samala"/>
    <x v="5"/>
    <s v="COE"/>
    <x v="0"/>
    <s v="COP_22"/>
    <x v="1"/>
    <x v="1"/>
    <s v="Quarter4"/>
    <x v="1"/>
    <x v="2"/>
    <d v="2023-09-01T00:00:00"/>
    <d v="2023-09-30T00:00:00"/>
    <x v="0"/>
    <n v="171"/>
    <n v="171"/>
    <n v="47"/>
    <n v="7"/>
    <n v="26"/>
    <n v="22"/>
    <n v="163"/>
    <n v="73"/>
    <n v="144"/>
    <n v="7"/>
    <n v="144"/>
    <n v="2"/>
    <n v="174"/>
    <n v="10"/>
    <n v="153"/>
    <n v="0"/>
    <n v="127"/>
    <n v="10"/>
    <n v="84"/>
    <n v="6"/>
    <n v="8"/>
    <n v="0"/>
    <n v="1"/>
    <n v="3"/>
  </r>
  <r>
    <n v="35"/>
    <d v="2023-12-20T08:59:32"/>
    <d v="2023-12-20T09:05:56"/>
    <s v="bsamala@lighthouse.org.mw"/>
    <s v="Benadetta Samala"/>
    <x v="5"/>
    <s v="COE"/>
    <x v="0"/>
    <s v="COP_24"/>
    <x v="0"/>
    <x v="0"/>
    <s v="Quarter1"/>
    <x v="0"/>
    <x v="0"/>
    <d v="2023-10-01T00:00:00"/>
    <d v="2023-12-30T00:00:00"/>
    <x v="0"/>
    <n v="288"/>
    <n v="102"/>
    <n v="38"/>
    <n v="35"/>
    <n v="154"/>
    <n v="30"/>
    <n v="275"/>
    <n v="127"/>
    <n v="284"/>
    <n v="2"/>
    <n v="164"/>
    <n v="7"/>
    <n v="67"/>
    <n v="14"/>
    <n v="15"/>
    <n v="4"/>
    <n v="60"/>
    <n v="36"/>
    <n v="62"/>
    <n v="10"/>
    <n v="20"/>
    <n v="4"/>
    <n v="0"/>
    <n v="7"/>
  </r>
  <r>
    <n v="92"/>
    <d v="2024-01-17T12:10:53"/>
    <d v="2024-01-17T12:20:45"/>
    <s v="bsamala@lighthouse.org.mw"/>
    <s v="Benadetta Samala"/>
    <x v="5"/>
    <s v="COE"/>
    <x v="0"/>
    <s v="COP_24"/>
    <x v="0"/>
    <x v="0"/>
    <s v="Quarter1"/>
    <x v="0"/>
    <x v="11"/>
    <d v="2023-12-01T00:00:00"/>
    <d v="2024-01-30T00:00:00"/>
    <x v="0"/>
    <n v="157"/>
    <n v="10"/>
    <n v="16"/>
    <n v="3"/>
    <n v="3"/>
    <n v="6"/>
    <n v="29"/>
    <n v="3"/>
    <n v="99"/>
    <n v="2"/>
    <n v="1"/>
    <n v="0"/>
    <n v="58"/>
    <n v="9"/>
    <n v="1"/>
    <n v="0"/>
    <n v="1"/>
    <n v="0"/>
    <n v="9"/>
    <n v="4"/>
    <n v="4"/>
    <n v="0"/>
    <n v="0"/>
    <n v="3"/>
  </r>
  <r>
    <n v="93"/>
    <d v="2024-01-17T13:41:45"/>
    <d v="2024-01-17T13:42:06"/>
    <s v="bsamala@lighthouse.org.mw"/>
    <s v="Benadetta Samala"/>
    <x v="5"/>
    <s v="COE"/>
    <x v="0"/>
    <s v="COP_24"/>
    <x v="0"/>
    <x v="0"/>
    <s v="Quarter1"/>
    <x v="0"/>
    <x v="11"/>
    <d v="2023-12-01T00:00:00"/>
    <d v="2024-01-31T00:00:00"/>
    <x v="6"/>
    <n v="107"/>
    <n v="90"/>
    <n v="32"/>
    <n v="9"/>
    <n v="32"/>
    <n v="34"/>
    <n v="107"/>
    <n v="42"/>
    <n v="51"/>
    <n v="4"/>
    <n v="17"/>
    <n v="1"/>
    <n v="43"/>
    <n v="6"/>
    <n v="5"/>
    <n v="0"/>
    <n v="25"/>
    <n v="11"/>
    <n v="41"/>
    <n v="11"/>
    <n v="11"/>
    <n v="5"/>
    <n v="0"/>
    <n v="3"/>
  </r>
  <r>
    <n v="118"/>
    <d v="2024-01-24T13:37:06"/>
    <d v="2024-01-24T13:41:24"/>
    <s v="eadisoni@lighthouse.org.mw"/>
    <s v="Eliza adisoni"/>
    <x v="5"/>
    <s v="COE"/>
    <x v="0"/>
    <s v="COP_24"/>
    <x v="0"/>
    <x v="0"/>
    <s v="Quarter1"/>
    <x v="0"/>
    <x v="0"/>
    <d v="2024-01-23T00:00:00"/>
    <d v="2024-01-23T00:00:00"/>
    <x v="3"/>
    <n v="2"/>
    <n v="2"/>
    <n v="0"/>
    <n v="0"/>
    <n v="0"/>
    <n v="0"/>
    <n v="0"/>
    <n v="0"/>
    <n v="2"/>
    <n v="0"/>
    <n v="2"/>
    <n v="0"/>
    <n v="2"/>
    <n v="0"/>
    <n v="2"/>
    <n v="0"/>
    <n v="2"/>
    <n v="0"/>
    <n v="1"/>
    <n v="0"/>
    <n v="0"/>
    <n v="0"/>
    <n v="0"/>
    <n v="0"/>
  </r>
  <r>
    <n v="119"/>
    <d v="2024-01-24T13:43:13"/>
    <d v="2024-01-24T13:51:36"/>
    <s v="eadisoni@lighthouse.org.mw"/>
    <s v="Eliza adisoni"/>
    <x v="5"/>
    <s v="COE"/>
    <x v="0"/>
    <s v="COP_24"/>
    <x v="0"/>
    <x v="0"/>
    <s v="Quarter1"/>
    <x v="0"/>
    <x v="0"/>
    <d v="2024-01-23T00:00:00"/>
    <d v="2024-01-23T00:00:00"/>
    <x v="5"/>
    <n v="27"/>
    <n v="6"/>
    <n v="0"/>
    <n v="2"/>
    <n v="6"/>
    <n v="1"/>
    <n v="27"/>
    <n v="7"/>
    <n v="23"/>
    <n v="0"/>
    <n v="24"/>
    <n v="0"/>
    <n v="23"/>
    <n v="0"/>
    <n v="0"/>
    <n v="0"/>
    <n v="0"/>
    <n v="0"/>
    <n v="0"/>
    <n v="0"/>
    <n v="0"/>
    <n v="0"/>
    <n v="0"/>
    <n v="0"/>
  </r>
  <r>
    <n v="121"/>
    <d v="2024-01-24T13:52:43"/>
    <d v="2024-01-24T14:06:24"/>
    <s v="eadisoni@lighthouse.org.mw"/>
    <s v="Eliza adisoni"/>
    <x v="5"/>
    <s v="COE"/>
    <x v="0"/>
    <s v="COP_24"/>
    <x v="0"/>
    <x v="0"/>
    <s v="Quarter1"/>
    <x v="0"/>
    <x v="1"/>
    <d v="2024-01-23T00:00:00"/>
    <d v="2024-01-23T00:00:00"/>
    <x v="5"/>
    <n v="34"/>
    <n v="6"/>
    <n v="8"/>
    <n v="0"/>
    <n v="4"/>
    <n v="0"/>
    <n v="33"/>
    <n v="11"/>
    <n v="22"/>
    <n v="1"/>
    <n v="0"/>
    <n v="0"/>
    <n v="22"/>
    <n v="0"/>
    <n v="0"/>
    <n v="0"/>
    <n v="0"/>
    <n v="0"/>
    <n v="0"/>
    <n v="0"/>
    <n v="0"/>
    <n v="0"/>
    <n v="1"/>
    <n v="1"/>
  </r>
  <r>
    <n v="122"/>
    <d v="2024-01-24T13:52:37"/>
    <d v="2024-01-24T14:09:02"/>
    <s v="eadisoni@lighthouse.org.mw"/>
    <s v="Eliza adisoni"/>
    <x v="5"/>
    <s v="COE"/>
    <x v="0"/>
    <s v="COP_24"/>
    <x v="0"/>
    <x v="0"/>
    <s v="Quarter1"/>
    <x v="0"/>
    <x v="1"/>
    <d v="2024-01-23T00:00:00"/>
    <d v="2024-01-23T00:00:00"/>
    <x v="3"/>
    <n v="2"/>
    <n v="1"/>
    <n v="0"/>
    <n v="0"/>
    <n v="0"/>
    <n v="0"/>
    <n v="2"/>
    <n v="1"/>
    <n v="2"/>
    <n v="0"/>
    <n v="0"/>
    <n v="0"/>
    <n v="2"/>
    <n v="0"/>
    <n v="0"/>
    <n v="0"/>
    <n v="0"/>
    <n v="0"/>
    <n v="0"/>
    <n v="0"/>
    <n v="0"/>
    <n v="0"/>
    <n v="0"/>
    <n v="0"/>
  </r>
  <r>
    <n v="125"/>
    <d v="2024-01-24T14:16:56"/>
    <d v="2024-01-24T14:26:08"/>
    <s v="eadisoni@lighthouse.org.mw"/>
    <s v="Eliza adisoni"/>
    <x v="5"/>
    <s v="COE"/>
    <x v="0"/>
    <s v="COP_24"/>
    <x v="0"/>
    <x v="0"/>
    <s v="Quarter1"/>
    <x v="0"/>
    <x v="11"/>
    <d v="2024-01-24T00:00:00"/>
    <d v="2024-01-24T00:00:00"/>
    <x v="3"/>
    <n v="0"/>
    <n v="0"/>
    <n v="0"/>
    <n v="0"/>
    <n v="0"/>
    <n v="0"/>
    <n v="0"/>
    <n v="0"/>
    <n v="0"/>
    <n v="0"/>
    <n v="0"/>
    <n v="0"/>
    <n v="0"/>
    <n v="0"/>
    <n v="0"/>
    <n v="0"/>
    <n v="0"/>
    <n v="0"/>
    <n v="0"/>
    <n v="0"/>
    <n v="0"/>
    <n v="0"/>
    <n v="0"/>
    <n v="0"/>
  </r>
  <r>
    <n v="126"/>
    <d v="2024-01-24T14:16:59"/>
    <d v="2024-01-24T14:29:47"/>
    <s v="eadisoni@lighthouse.org.mw"/>
    <s v="Eliza adisoni"/>
    <x v="5"/>
    <s v="COE"/>
    <x v="0"/>
    <s v="COP_24"/>
    <x v="0"/>
    <x v="0"/>
    <s v="Quarter1"/>
    <x v="0"/>
    <x v="11"/>
    <d v="2024-01-24T00:00:00"/>
    <d v="2024-01-24T00:00:00"/>
    <x v="5"/>
    <n v="26"/>
    <n v="0"/>
    <n v="5"/>
    <n v="0"/>
    <n v="0"/>
    <n v="1"/>
    <n v="25"/>
    <n v="7"/>
    <n v="15"/>
    <n v="0"/>
    <n v="1"/>
    <n v="0"/>
    <n v="7"/>
    <n v="1"/>
    <n v="5"/>
    <n v="0"/>
    <n v="0"/>
    <n v="0"/>
    <n v="1"/>
    <n v="0"/>
    <n v="0"/>
    <n v="0"/>
    <n v="0"/>
    <n v="1"/>
  </r>
  <r>
    <n v="147"/>
    <d v="2024-02-07T14:56:02"/>
    <d v="2024-02-07T15:06:14"/>
    <s v="eadisoni@lighthouse.org.mw"/>
    <s v="Eliza adisoni"/>
    <x v="5"/>
    <s v="COE"/>
    <x v="1"/>
    <s v="COP_24"/>
    <x v="0"/>
    <x v="2"/>
    <s v="Quarter2"/>
    <x v="2"/>
    <x v="4"/>
    <d v="2024-02-07T00:00:00"/>
    <d v="2024-02-07T00:00:00"/>
    <x v="6"/>
    <n v="113"/>
    <n v="93"/>
    <n v="29"/>
    <n v="9"/>
    <n v="31"/>
    <n v="44"/>
    <n v="113"/>
    <n v="55"/>
    <n v="61"/>
    <n v="6"/>
    <n v="14"/>
    <n v="4"/>
    <n v="58"/>
    <n v="16"/>
    <n v="4"/>
    <n v="0"/>
    <n v="23"/>
    <n v="6"/>
    <n v="39"/>
    <n v="20"/>
    <n v="23"/>
    <n v="6"/>
    <n v="0"/>
    <n v="3"/>
  </r>
  <r>
    <n v="148"/>
    <d v="2024-02-07T15:07:52"/>
    <d v="2024-02-07T15:11:09"/>
    <s v="eadisoni@lighthouse.org.mw"/>
    <s v="Eliza adisoni"/>
    <x v="5"/>
    <s v="COE"/>
    <x v="1"/>
    <s v="COP_24"/>
    <x v="0"/>
    <x v="2"/>
    <s v="Quarter2"/>
    <x v="2"/>
    <x v="4"/>
    <d v="2024-02-07T00:00:00"/>
    <d v="2024-02-07T00:00:00"/>
    <x v="0"/>
    <n v="183"/>
    <n v="19"/>
    <n v="40"/>
    <n v="32"/>
    <n v="30"/>
    <n v="19"/>
    <n v="183"/>
    <n v="66"/>
    <n v="88"/>
    <n v="1"/>
    <n v="1"/>
    <n v="0"/>
    <n v="54"/>
    <n v="6"/>
    <n v="1"/>
    <n v="0"/>
    <n v="0"/>
    <n v="0"/>
    <n v="7"/>
    <n v="5"/>
    <n v="13"/>
    <n v="0"/>
    <n v="0"/>
    <n v="5"/>
  </r>
  <r>
    <n v="150"/>
    <d v="2024-02-07T15:19:13"/>
    <d v="2024-02-07T15:21:55"/>
    <s v="eadisoni@lighthouse.org.mw"/>
    <s v="Eliza adisoni"/>
    <x v="5"/>
    <s v="COE"/>
    <x v="1"/>
    <s v="COP_24"/>
    <x v="0"/>
    <x v="2"/>
    <s v="Quarter2"/>
    <x v="2"/>
    <x v="4"/>
    <d v="2024-02-07T00:00:00"/>
    <d v="2024-02-07T00:00:00"/>
    <x v="3"/>
    <n v="1"/>
    <n v="0"/>
    <n v="1"/>
    <n v="0"/>
    <n v="0"/>
    <n v="0"/>
    <n v="0"/>
    <n v="0"/>
    <n v="0"/>
    <n v="0"/>
    <n v="0"/>
    <n v="0"/>
    <n v="0"/>
    <n v="0"/>
    <n v="0"/>
    <n v="0"/>
    <n v="0"/>
    <n v="0"/>
    <n v="0"/>
    <n v="0"/>
    <n v="0"/>
    <n v="0"/>
    <n v="0"/>
    <n v="0"/>
  </r>
  <r>
    <n v="151"/>
    <d v="2024-02-07T15:22:18"/>
    <d v="2024-02-07T15:24:40"/>
    <s v="eadisoni@lighthouse.org.mw"/>
    <s v="Eliza adisoni"/>
    <x v="5"/>
    <s v="COE"/>
    <x v="1"/>
    <s v="COP_24"/>
    <x v="0"/>
    <x v="2"/>
    <s v="Quarter2"/>
    <x v="2"/>
    <x v="4"/>
    <d v="2024-02-07T00:00:00"/>
    <d v="2024-02-07T00:00:00"/>
    <x v="5"/>
    <n v="34"/>
    <n v="1"/>
    <n v="19"/>
    <n v="6"/>
    <n v="6"/>
    <n v="0"/>
    <n v="34"/>
    <n v="10"/>
    <n v="13"/>
    <n v="0"/>
    <n v="0"/>
    <n v="0"/>
    <n v="14"/>
    <n v="0"/>
    <n v="0"/>
    <n v="0"/>
    <n v="0"/>
    <n v="0"/>
    <n v="0"/>
    <n v="0"/>
    <n v="0"/>
    <n v="0"/>
    <n v="0"/>
    <n v="0"/>
  </r>
  <r>
    <n v="170"/>
    <d v="2024-03-12T15:30:09"/>
    <d v="2024-03-12T15:35:52"/>
    <s v="eadisoni@lighthouse.org.mw"/>
    <s v="Eliza adisoni"/>
    <x v="5"/>
    <s v="COE"/>
    <x v="1"/>
    <s v="COP_24"/>
    <x v="0"/>
    <x v="2"/>
    <s v="Quarter2"/>
    <x v="2"/>
    <x v="5"/>
    <d v="2024-03-12T00:00:00"/>
    <d v="2024-03-12T00:00:00"/>
    <x v="0"/>
    <n v="152"/>
    <n v="32"/>
    <n v="66"/>
    <n v="33"/>
    <n v="19"/>
    <n v="11"/>
    <n v="148"/>
    <n v="47"/>
    <n v="56"/>
    <n v="1"/>
    <n v="2"/>
    <n v="1"/>
    <n v="74"/>
    <n v="4"/>
    <n v="0"/>
    <n v="0"/>
    <n v="1"/>
    <n v="0"/>
    <n v="13"/>
    <n v="6"/>
    <n v="7"/>
    <n v="0"/>
    <n v="0"/>
    <n v="5"/>
  </r>
  <r>
    <n v="171"/>
    <d v="2024-03-12T15:36:14"/>
    <d v="2024-03-12T15:37:35"/>
    <s v="eadisoni@lighthouse.org.mw"/>
    <s v="Eliza adisoni"/>
    <x v="5"/>
    <s v="COE"/>
    <x v="1"/>
    <s v="COP_24"/>
    <x v="0"/>
    <x v="2"/>
    <s v="Quarter2"/>
    <x v="2"/>
    <x v="5"/>
    <d v="2024-03-12T00:00:00"/>
    <d v="2024-03-12T00:00:00"/>
    <x v="3"/>
    <n v="0"/>
    <n v="0"/>
    <n v="0"/>
    <n v="0"/>
    <n v="0"/>
    <n v="0"/>
    <n v="0"/>
    <n v="0"/>
    <n v="0"/>
    <n v="0"/>
    <n v="0"/>
    <n v="0"/>
    <n v="0"/>
    <n v="0"/>
    <n v="0"/>
    <n v="0"/>
    <n v="0"/>
    <n v="0"/>
    <n v="0"/>
    <n v="0"/>
    <n v="0"/>
    <n v="0"/>
    <n v="0"/>
    <n v="0"/>
  </r>
  <r>
    <n v="173"/>
    <d v="2024-03-12T15:41:51"/>
    <d v="2024-03-12T15:44:40"/>
    <s v="eadisoni@lighthouse.org.mw"/>
    <s v="Eliza adisoni"/>
    <x v="5"/>
    <s v="COE"/>
    <x v="1"/>
    <s v="COP_24"/>
    <x v="0"/>
    <x v="2"/>
    <s v="Quarter2"/>
    <x v="2"/>
    <x v="5"/>
    <d v="2024-03-12T00:00:00"/>
    <d v="2024-03-12T00:00:00"/>
    <x v="5"/>
    <n v="17"/>
    <n v="4"/>
    <n v="11"/>
    <n v="4"/>
    <n v="0"/>
    <n v="0"/>
    <n v="17"/>
    <n v="0"/>
    <n v="8"/>
    <n v="0"/>
    <n v="5"/>
    <n v="0"/>
    <n v="8"/>
    <n v="0"/>
    <n v="0"/>
    <n v="0"/>
    <n v="0"/>
    <n v="0"/>
    <n v="0"/>
    <n v="0"/>
    <n v="0"/>
    <n v="0"/>
    <n v="0"/>
    <n v="0"/>
  </r>
  <r>
    <n v="174"/>
    <d v="2024-03-12T15:45:09"/>
    <d v="2024-03-12T15:49:20"/>
    <s v="eadisoni@lighthouse.org.mw"/>
    <s v="Eliza adisoni"/>
    <x v="5"/>
    <s v="COE"/>
    <x v="1"/>
    <s v="COP_24"/>
    <x v="0"/>
    <x v="2"/>
    <s v="Quarter2"/>
    <x v="2"/>
    <x v="5"/>
    <d v="2024-03-12T00:00:00"/>
    <d v="2024-03-12T00:00:00"/>
    <x v="6"/>
    <n v="121"/>
    <n v="86"/>
    <n v="40"/>
    <n v="2"/>
    <n v="31"/>
    <n v="35"/>
    <n v="122"/>
    <n v="55"/>
    <n v="59"/>
    <n v="3"/>
    <n v="13"/>
    <n v="1"/>
    <n v="57"/>
    <n v="8"/>
    <n v="3"/>
    <n v="1"/>
    <n v="16"/>
    <n v="11"/>
    <n v="41"/>
    <n v="8"/>
    <n v="11"/>
    <n v="3"/>
    <n v="0"/>
    <n v="1"/>
  </r>
  <r>
    <n v="199"/>
    <d v="2024-04-05T08:28:48"/>
    <d v="2024-04-05T08:38:33"/>
    <s v="eadisoni@lighthouse.org.mw"/>
    <s v="Eliza adisoni"/>
    <x v="5"/>
    <s v="COE"/>
    <x v="1"/>
    <s v="COP_23"/>
    <x v="0"/>
    <x v="2"/>
    <s v="Quarter2"/>
    <x v="2"/>
    <x v="3"/>
    <d v="2024-04-02T00:00:00"/>
    <d v="2024-04-02T00:00:00"/>
    <x v="0"/>
    <n v="157"/>
    <n v="16"/>
    <n v="35"/>
    <n v="11"/>
    <n v="9"/>
    <n v="7"/>
    <n v="137"/>
    <n v="43"/>
    <n v="49"/>
    <n v="4"/>
    <n v="9"/>
    <n v="1"/>
    <n v="49"/>
    <n v="13"/>
    <n v="0"/>
    <n v="0"/>
    <n v="0"/>
    <n v="0"/>
    <n v="6"/>
    <n v="2"/>
    <n v="7"/>
    <n v="0"/>
    <n v="0"/>
    <n v="3"/>
  </r>
  <r>
    <n v="200"/>
    <d v="2024-04-05T08:38:58"/>
    <d v="2024-04-05T08:53:08"/>
    <s v="eadisoni@lighthouse.org.mw"/>
    <s v="Eliza adisoni"/>
    <x v="5"/>
    <s v="COE"/>
    <x v="1"/>
    <s v="COP_23"/>
    <x v="0"/>
    <x v="2"/>
    <s v="Quarter2"/>
    <x v="2"/>
    <x v="3"/>
    <d v="2024-04-03T00:00:00"/>
    <d v="2024-04-03T00:00:00"/>
    <x v="5"/>
    <n v="25"/>
    <n v="4"/>
    <n v="8"/>
    <n v="2"/>
    <n v="2"/>
    <n v="1"/>
    <n v="25"/>
    <n v="8"/>
    <n v="8"/>
    <n v="2"/>
    <n v="1"/>
    <n v="0"/>
    <n v="11"/>
    <n v="2"/>
    <n v="0"/>
    <n v="0"/>
    <n v="0"/>
    <n v="0"/>
    <n v="2"/>
    <n v="0"/>
    <n v="2"/>
    <n v="0"/>
    <n v="0"/>
    <n v="0"/>
  </r>
  <r>
    <n v="201"/>
    <d v="2024-04-05T08:53:32"/>
    <d v="2024-04-05T08:58:59"/>
    <s v="eadisoni@lighthouse.org.mw"/>
    <s v="Eliza adisoni"/>
    <x v="5"/>
    <s v="COE"/>
    <x v="1"/>
    <s v="COP_23"/>
    <x v="0"/>
    <x v="2"/>
    <s v="Quarter2"/>
    <x v="2"/>
    <x v="3"/>
    <d v="2024-04-02T00:00:00"/>
    <d v="2024-04-02T00:00:00"/>
    <x v="3"/>
    <n v="1"/>
    <n v="0"/>
    <n v="0"/>
    <n v="0"/>
    <n v="0"/>
    <n v="0"/>
    <n v="0"/>
    <n v="0"/>
    <n v="1"/>
    <n v="0"/>
    <n v="0"/>
    <n v="0"/>
    <n v="1"/>
    <n v="1"/>
    <n v="0"/>
    <n v="0"/>
    <n v="0"/>
    <n v="0"/>
    <n v="0"/>
    <n v="0"/>
    <n v="0"/>
    <n v="0"/>
    <n v="0"/>
    <n v="0"/>
  </r>
  <r>
    <n v="203"/>
    <d v="2024-04-05T09:02:38"/>
    <d v="2024-04-05T09:08:27"/>
    <s v="eadisoni@lighthouse.org.mw"/>
    <s v="Eliza adisoni"/>
    <x v="5"/>
    <s v="COE"/>
    <x v="1"/>
    <s v="COP_23"/>
    <x v="0"/>
    <x v="2"/>
    <s v="Quarter2"/>
    <x v="2"/>
    <x v="3"/>
    <d v="2024-04-04T00:00:00"/>
    <d v="2024-04-04T00:00:00"/>
    <x v="6"/>
    <n v="121"/>
    <n v="77"/>
    <n v="24"/>
    <n v="10"/>
    <n v="30"/>
    <n v="41"/>
    <n v="118"/>
    <n v="53"/>
    <n v="51"/>
    <n v="5"/>
    <n v="17"/>
    <n v="5"/>
    <n v="46"/>
    <n v="11"/>
    <n v="4"/>
    <n v="1"/>
    <n v="18"/>
    <n v="16"/>
    <n v="30"/>
    <n v="11"/>
    <n v="12"/>
    <n v="7"/>
    <n v="0"/>
    <n v="4"/>
  </r>
  <r>
    <n v="259"/>
    <d v="2024-04-20T10:45:48"/>
    <d v="2024-04-20T10:53:23"/>
    <s v="eadisoni@lighthouse.org.mw"/>
    <s v="Eliza adisoni"/>
    <x v="5"/>
    <s v="COE"/>
    <x v="0"/>
    <s v="COP_23"/>
    <x v="0"/>
    <x v="2"/>
    <s v="Quarter1"/>
    <x v="0"/>
    <x v="0"/>
    <d v="2023-10-05T00:00:00"/>
    <d v="2023-10-05T00:00:00"/>
    <x v="6"/>
    <n v="123"/>
    <n v="89"/>
    <n v="32"/>
    <n v="24"/>
    <n v="44"/>
    <n v="23"/>
    <n v="123"/>
    <n v="62"/>
    <n v="66"/>
    <n v="1"/>
    <n v="15"/>
    <n v="1"/>
    <n v="63"/>
    <n v="14"/>
    <n v="9"/>
    <n v="2"/>
    <n v="39"/>
    <n v="21"/>
    <n v="43"/>
    <n v="9"/>
    <n v="20"/>
    <n v="4"/>
    <n v="0"/>
    <n v="7"/>
  </r>
  <r>
    <n v="260"/>
    <d v="2024-04-20T10:55:30"/>
    <d v="2024-04-20T11:00:46"/>
    <s v="eadisoni@lighthouse.org.mw"/>
    <s v="Eliza adisoni"/>
    <x v="5"/>
    <s v="COE"/>
    <x v="0"/>
    <s v="COP_23"/>
    <x v="1"/>
    <x v="2"/>
    <s v="Quarter4"/>
    <x v="1"/>
    <x v="2"/>
    <d v="2023-09-05T00:00:00"/>
    <d v="2023-09-05T00:00:00"/>
    <x v="6"/>
    <n v="89"/>
    <n v="61"/>
    <n v="47"/>
    <n v="3"/>
    <n v="17"/>
    <n v="22"/>
    <n v="89"/>
    <n v="35"/>
    <n v="37"/>
    <n v="4"/>
    <n v="10"/>
    <n v="2"/>
    <n v="47"/>
    <n v="9"/>
    <n v="0"/>
    <n v="0"/>
    <n v="25"/>
    <n v="10"/>
    <n v="36"/>
    <n v="6"/>
    <n v="8"/>
    <n v="1"/>
    <n v="1"/>
    <n v="3"/>
  </r>
  <r>
    <n v="261"/>
    <d v="2024-04-20T11:01:12"/>
    <d v="2024-04-20T11:07:06"/>
    <s v="eadisoni@lighthouse.org.mw"/>
    <s v="Eliza adisoni"/>
    <x v="5"/>
    <s v="COE"/>
    <x v="0"/>
    <s v="COP_23"/>
    <x v="0"/>
    <x v="2"/>
    <s v="Quarter1"/>
    <x v="0"/>
    <x v="1"/>
    <d v="2023-11-05T00:00:00"/>
    <d v="2023-11-05T00:00:00"/>
    <x v="6"/>
    <n v="111"/>
    <n v="85"/>
    <n v="33"/>
    <n v="10"/>
    <n v="28"/>
    <n v="40"/>
    <n v="111"/>
    <n v="46"/>
    <n v="47"/>
    <n v="1"/>
    <n v="52"/>
    <n v="1"/>
    <n v="55"/>
    <n v="17"/>
    <n v="3"/>
    <n v="1"/>
    <n v="28"/>
    <n v="5"/>
    <n v="30"/>
    <n v="9"/>
    <n v="24"/>
    <n v="1"/>
    <n v="0"/>
    <n v="7"/>
  </r>
  <r>
    <n v="120"/>
    <d v="2024-01-24T13:52:43"/>
    <d v="2024-01-24T13:56:45"/>
    <s v="eadisoni@lighthouse.org.mw"/>
    <s v="Eliza adisoni"/>
    <x v="5"/>
    <s v="COE"/>
    <x v="0"/>
    <s v="COP_23"/>
    <x v="0"/>
    <x v="0"/>
    <s v="Quarter1"/>
    <x v="0"/>
    <x v="0"/>
    <d v="2024-01-23T00:00:00"/>
    <d v="2024-01-23T00:00:00"/>
    <x v="1"/>
    <n v="42"/>
    <n v="5"/>
    <n v="5"/>
    <n v="8"/>
    <n v="6"/>
    <n v="2"/>
    <n v="42"/>
    <n v="18"/>
    <n v="37"/>
    <n v="0"/>
    <n v="0"/>
    <n v="0"/>
    <n v="41"/>
    <n v="0"/>
    <n v="0"/>
    <n v="0"/>
    <n v="1"/>
    <n v="1"/>
    <n v="4"/>
    <n v="2"/>
    <n v="2"/>
    <n v="0"/>
    <n v="0"/>
    <n v="1"/>
  </r>
  <r>
    <n v="123"/>
    <d v="2024-01-24T14:17:23"/>
    <d v="2024-01-24T14:20:39"/>
    <s v="eadisoni@lighthouse.org.mw"/>
    <s v="Eliza adisoni"/>
    <x v="5"/>
    <s v="COE"/>
    <x v="0"/>
    <s v="COP_23"/>
    <x v="0"/>
    <x v="0"/>
    <s v="Quarter1"/>
    <x v="0"/>
    <x v="1"/>
    <d v="2024-01-23T00:00:00"/>
    <d v="2024-01-23T00:00:00"/>
    <x v="1"/>
    <n v="27"/>
    <n v="5"/>
    <n v="2"/>
    <n v="3"/>
    <n v="1"/>
    <n v="0"/>
    <n v="27"/>
    <n v="17"/>
    <n v="20"/>
    <n v="0"/>
    <n v="0"/>
    <n v="0"/>
    <n v="17"/>
    <n v="0"/>
    <n v="0"/>
    <n v="0"/>
    <n v="0"/>
    <n v="0"/>
    <n v="0"/>
    <n v="0"/>
    <n v="0"/>
    <n v="0"/>
    <n v="0"/>
    <n v="1"/>
  </r>
  <r>
    <n v="124"/>
    <d v="2024-01-24T14:17:22"/>
    <d v="2024-01-24T14:24:44"/>
    <s v="eadisoni@lighthouse.org.mw"/>
    <s v="Eliza adisoni"/>
    <x v="5"/>
    <s v="COE"/>
    <x v="0"/>
    <s v="COP_23"/>
    <x v="0"/>
    <x v="0"/>
    <s v="Quarter1"/>
    <x v="0"/>
    <x v="11"/>
    <d v="2024-01-24T00:00:00"/>
    <d v="2024-01-24T00:00:00"/>
    <x v="1"/>
    <n v="28"/>
    <n v="1"/>
    <n v="7"/>
    <n v="0"/>
    <n v="1"/>
    <n v="0"/>
    <n v="28"/>
    <n v="12"/>
    <n v="16"/>
    <n v="1"/>
    <n v="0"/>
    <n v="0"/>
    <n v="11"/>
    <n v="2"/>
    <n v="0"/>
    <n v="0"/>
    <n v="0"/>
    <n v="0"/>
    <n v="3"/>
    <n v="1"/>
    <n v="0"/>
    <n v="0"/>
    <n v="0"/>
    <n v="0"/>
  </r>
  <r>
    <n v="149"/>
    <d v="2024-02-07T15:11:33"/>
    <d v="2024-02-07T15:18:49"/>
    <s v="eadisoni@lighthouse.org.mw"/>
    <s v="Eliza adisoni"/>
    <x v="5"/>
    <s v="COE"/>
    <x v="1"/>
    <s v="COP_23"/>
    <x v="0"/>
    <x v="2"/>
    <s v="Quarter2"/>
    <x v="2"/>
    <x v="4"/>
    <d v="2024-02-07T00:00:00"/>
    <d v="2024-02-07T00:00:00"/>
    <x v="1"/>
    <n v="42"/>
    <n v="6"/>
    <n v="9"/>
    <n v="5"/>
    <n v="6"/>
    <n v="5"/>
    <n v="41"/>
    <n v="27"/>
    <n v="28"/>
    <n v="1"/>
    <n v="3"/>
    <n v="1"/>
    <n v="29"/>
    <n v="6"/>
    <n v="0"/>
    <n v="0"/>
    <n v="0"/>
    <n v="0"/>
    <n v="1"/>
    <n v="0"/>
    <n v="6"/>
    <n v="0"/>
    <n v="0"/>
    <n v="0"/>
  </r>
  <r>
    <n v="359"/>
    <d v="2024-05-07T14:34:17"/>
    <d v="2024-05-07T15:18:46"/>
    <s v="eadisoni@lighthouse.org.mw"/>
    <s v="Eliza adisoni"/>
    <x v="5"/>
    <s v="COE"/>
    <x v="1"/>
    <s v="COP_23"/>
    <x v="0"/>
    <x v="3"/>
    <s v="Quarter3"/>
    <x v="3"/>
    <x v="7"/>
    <d v="2024-04-06T00:00:00"/>
    <d v="2024-04-06T00:00:00"/>
    <x v="5"/>
    <n v="11"/>
    <n v="1"/>
    <n v="8"/>
    <n v="2"/>
    <n v="1"/>
    <n v="0"/>
    <n v="11"/>
    <n v="3"/>
    <n v="3"/>
    <n v="0"/>
    <n v="0"/>
    <n v="0"/>
    <n v="4"/>
    <n v="0"/>
    <n v="0"/>
    <n v="0"/>
    <n v="0"/>
    <n v="0"/>
    <n v="0"/>
    <n v="0"/>
    <n v="0"/>
    <n v="0"/>
    <n v="0"/>
    <n v="0"/>
  </r>
  <r>
    <n v="361"/>
    <d v="2024-05-07T15:19:36"/>
    <d v="2024-05-07T15:21:16"/>
    <s v="eadisoni@lighthouse.org.mw"/>
    <s v="Eliza adisoni"/>
    <x v="5"/>
    <s v="COE"/>
    <x v="1"/>
    <s v="COP_23"/>
    <x v="0"/>
    <x v="3"/>
    <s v="Quarter3"/>
    <x v="3"/>
    <x v="7"/>
    <d v="2024-05-06T00:00:00"/>
    <d v="2024-05-06T00:00:00"/>
    <x v="3"/>
    <n v="0"/>
    <n v="0"/>
    <n v="0"/>
    <n v="0"/>
    <n v="0"/>
    <n v="0"/>
    <n v="0"/>
    <n v="0"/>
    <n v="0"/>
    <n v="0"/>
    <n v="0"/>
    <n v="0"/>
    <n v="0"/>
    <n v="0"/>
    <n v="0"/>
    <n v="0"/>
    <n v="0"/>
    <n v="0"/>
    <n v="0"/>
    <n v="0"/>
    <n v="0"/>
    <n v="0"/>
    <n v="0"/>
    <n v="0"/>
  </r>
  <r>
    <n v="362"/>
    <d v="2024-05-07T15:22:41"/>
    <d v="2024-05-07T15:25:09"/>
    <s v="eadisoni@lighthouse.org.mw"/>
    <s v="Eliza adisoni"/>
    <x v="5"/>
    <s v="COE"/>
    <x v="1"/>
    <s v="COP_23"/>
    <x v="0"/>
    <x v="3"/>
    <s v="Quarter3"/>
    <x v="3"/>
    <x v="7"/>
    <d v="2024-05-06T00:00:00"/>
    <d v="2024-05-06T00:00:00"/>
    <x v="4"/>
    <n v="5"/>
    <n v="0"/>
    <n v="5"/>
    <n v="0"/>
    <n v="0"/>
    <n v="0"/>
    <n v="0"/>
    <n v="1"/>
    <n v="0"/>
    <n v="0"/>
    <n v="0"/>
    <n v="0"/>
    <n v="0"/>
    <n v="0"/>
    <n v="0"/>
    <n v="0"/>
    <n v="0"/>
    <n v="0"/>
    <n v="0"/>
    <n v="0"/>
    <n v="0"/>
    <n v="0"/>
    <n v="0"/>
    <n v="0"/>
  </r>
  <r>
    <n v="366"/>
    <d v="2024-05-07T15:31:00"/>
    <d v="2024-05-07T15:35:35"/>
    <s v="eadisoni@lighthouse.org.mw"/>
    <s v="Eliza adisoni"/>
    <x v="5"/>
    <s v="COE"/>
    <x v="1"/>
    <s v="COP_23"/>
    <x v="0"/>
    <x v="3"/>
    <s v="Quarter3"/>
    <x v="3"/>
    <x v="7"/>
    <d v="2024-05-03T00:00:00"/>
    <d v="2024-05-03T00:00:00"/>
    <x v="6"/>
    <n v="123"/>
    <n v="93"/>
    <n v="32"/>
    <n v="8"/>
    <n v="26"/>
    <n v="57"/>
    <n v="123"/>
    <n v="61"/>
    <n v="63"/>
    <n v="5"/>
    <n v="22"/>
    <n v="5"/>
    <n v="39"/>
    <n v="5"/>
    <n v="3"/>
    <n v="1"/>
    <n v="27"/>
    <n v="19"/>
    <n v="48"/>
    <n v="16"/>
    <n v="12"/>
    <n v="3"/>
    <n v="3"/>
    <n v="2"/>
  </r>
  <r>
    <n v="367"/>
    <d v="2024-05-07T15:44:42"/>
    <d v="2024-05-07T15:49:53"/>
    <s v="eadisoni@lighthouse.org.mw"/>
    <s v="Eliza adisoni"/>
    <x v="5"/>
    <s v="COE"/>
    <x v="1"/>
    <s v="COP_23"/>
    <x v="0"/>
    <x v="3"/>
    <s v="Quarter3"/>
    <x v="3"/>
    <x v="7"/>
    <d v="2024-05-06T00:00:00"/>
    <d v="2024-05-06T00:00:00"/>
    <x v="0"/>
    <n v="153"/>
    <n v="18"/>
    <n v="101"/>
    <n v="31"/>
    <n v="11"/>
    <n v="10"/>
    <n v="146"/>
    <n v="47"/>
    <n v="45"/>
    <n v="1"/>
    <n v="8"/>
    <n v="2"/>
    <n v="45"/>
    <n v="6"/>
    <n v="0"/>
    <n v="0"/>
    <n v="1"/>
    <n v="0"/>
    <n v="9"/>
    <n v="3"/>
    <n v="3"/>
    <n v="0"/>
    <n v="0"/>
    <n v="1"/>
  </r>
  <r>
    <n v="172"/>
    <d v="2024-03-12T15:37:53"/>
    <d v="2024-03-12T15:41:31"/>
    <s v="eadisoni@lighthouse.org.mw"/>
    <s v="Eliza adisoni"/>
    <x v="5"/>
    <s v="COE"/>
    <x v="1"/>
    <s v="COP_23"/>
    <x v="0"/>
    <x v="2"/>
    <s v="Quarter2"/>
    <x v="2"/>
    <x v="5"/>
    <d v="2024-03-12T00:00:00"/>
    <d v="2024-03-12T00:00:00"/>
    <x v="1"/>
    <n v="33"/>
    <n v="11"/>
    <n v="17"/>
    <n v="3"/>
    <n v="4"/>
    <n v="5"/>
    <n v="33"/>
    <n v="19"/>
    <n v="18"/>
    <n v="0"/>
    <n v="0"/>
    <n v="0"/>
    <n v="25"/>
    <n v="3"/>
    <n v="0"/>
    <n v="0"/>
    <n v="0"/>
    <n v="0"/>
    <n v="6"/>
    <n v="2"/>
    <n v="3"/>
    <n v="0"/>
    <n v="0"/>
    <n v="0"/>
  </r>
  <r>
    <n v="202"/>
    <d v="2024-04-05T08:59:17"/>
    <d v="2024-04-05T09:02:06"/>
    <s v="eadisoni@lighthouse.org.mw"/>
    <s v="Eliza adisoni"/>
    <x v="5"/>
    <s v="COE"/>
    <x v="1"/>
    <s v="COP_23"/>
    <x v="0"/>
    <x v="2"/>
    <s v="Quarter2"/>
    <x v="2"/>
    <x v="3"/>
    <d v="2024-04-03T00:00:00"/>
    <d v="2024-04-03T00:00:00"/>
    <x v="1"/>
    <n v="24"/>
    <n v="1"/>
    <n v="3"/>
    <n v="4"/>
    <n v="0"/>
    <n v="2"/>
    <n v="22"/>
    <n v="11"/>
    <n v="10"/>
    <n v="0"/>
    <n v="0"/>
    <n v="0"/>
    <n v="11"/>
    <n v="5"/>
    <n v="0"/>
    <n v="0"/>
    <n v="0"/>
    <n v="0"/>
    <n v="0"/>
    <n v="0"/>
    <n v="2"/>
    <n v="0"/>
    <n v="0"/>
    <n v="0"/>
  </r>
  <r>
    <n v="375"/>
    <d v="2024-05-09T11:59:41"/>
    <d v="2024-05-09T12:03:43"/>
    <s v="eadisoni@lighthouse.org.mw"/>
    <s v="Eliza adisoni"/>
    <x v="5"/>
    <s v="COE"/>
    <x v="1"/>
    <s v="COP_23"/>
    <x v="0"/>
    <x v="2"/>
    <s v="Quarter2"/>
    <x v="2"/>
    <x v="4"/>
    <d v="2024-01-08T00:00:00"/>
    <d v="2024-01-08T00:00:00"/>
    <x v="4"/>
    <n v="1"/>
    <n v="0"/>
    <n v="0"/>
    <n v="0"/>
    <n v="1"/>
    <n v="0"/>
    <n v="1"/>
    <n v="1"/>
    <n v="1"/>
    <n v="0"/>
    <n v="0"/>
    <n v="0"/>
    <n v="1"/>
    <n v="0"/>
    <n v="0"/>
    <n v="0"/>
    <n v="0"/>
    <n v="0"/>
    <n v="0"/>
    <n v="0"/>
    <n v="0"/>
    <n v="0"/>
    <n v="0"/>
    <n v="0"/>
  </r>
  <r>
    <n v="377"/>
    <d v="2024-05-09T13:24:22"/>
    <d v="2024-05-09T13:29:44"/>
    <s v="eadisoni@lighthouse.org.mw"/>
    <s v="Eliza adisoni"/>
    <x v="5"/>
    <s v="COE"/>
    <x v="1"/>
    <s v="COP_23"/>
    <x v="0"/>
    <x v="2"/>
    <s v="Quarter2"/>
    <x v="2"/>
    <x v="5"/>
    <d v="2024-02-07T00:00:00"/>
    <d v="2024-02-07T00:00:00"/>
    <x v="4"/>
    <n v="3"/>
    <n v="0"/>
    <n v="1"/>
    <n v="0"/>
    <n v="0"/>
    <n v="1"/>
    <n v="3"/>
    <n v="0"/>
    <n v="1"/>
    <n v="0"/>
    <n v="0"/>
    <n v="0"/>
    <n v="1"/>
    <n v="0"/>
    <n v="0"/>
    <n v="0"/>
    <n v="0"/>
    <n v="0"/>
    <n v="0"/>
    <n v="0"/>
    <n v="0"/>
    <n v="0"/>
    <n v="0"/>
    <n v="0"/>
  </r>
  <r>
    <n v="380"/>
    <d v="2024-05-09T13:38:54"/>
    <d v="2024-05-09T13:42:28"/>
    <s v="eadisoni@lighthouse.org.mw"/>
    <s v="Eliza adisoni"/>
    <x v="5"/>
    <s v="COE"/>
    <x v="1"/>
    <s v="COP_23"/>
    <x v="0"/>
    <x v="2"/>
    <s v="Quarter2"/>
    <x v="2"/>
    <x v="3"/>
    <d v="2024-04-03T00:00:00"/>
    <d v="2024-04-03T00:00:00"/>
    <x v="4"/>
    <n v="1"/>
    <n v="0"/>
    <n v="0"/>
    <n v="0"/>
    <n v="0"/>
    <n v="0"/>
    <n v="0"/>
    <n v="0"/>
    <n v="0"/>
    <n v="0"/>
    <n v="0"/>
    <n v="0"/>
    <n v="0"/>
    <n v="0"/>
    <n v="0"/>
    <n v="0"/>
    <n v="0"/>
    <n v="0"/>
    <n v="0"/>
    <n v="0"/>
    <n v="0"/>
    <n v="0"/>
    <n v="0"/>
    <n v="0"/>
  </r>
  <r>
    <n v="374"/>
    <d v="2024-05-09T11:44:36"/>
    <d v="2024-05-09T11:53:00"/>
    <s v="eadisoni@lighthouse.org.mw"/>
    <s v="Eliza adisoni"/>
    <x v="5"/>
    <s v="COE"/>
    <x v="1"/>
    <s v="COP_23"/>
    <x v="0"/>
    <x v="3"/>
    <s v="Quarter3"/>
    <x v="3"/>
    <x v="7"/>
    <d v="2024-05-06T00:00:00"/>
    <d v="2024-05-06T00:00:00"/>
    <x v="1"/>
    <n v="36"/>
    <n v="6"/>
    <n v="18"/>
    <n v="12"/>
    <n v="3"/>
    <n v="3"/>
    <n v="35"/>
    <n v="20"/>
    <n v="18"/>
    <n v="1"/>
    <n v="1"/>
    <n v="0"/>
    <n v="16"/>
    <n v="2"/>
    <n v="0"/>
    <n v="0"/>
    <n v="0"/>
    <n v="0"/>
    <n v="0"/>
    <n v="0"/>
    <n v="2"/>
    <n v="0"/>
    <n v="0"/>
    <n v="1"/>
  </r>
  <r>
    <n v="491"/>
    <d v="2024-06-05T15:38:13"/>
    <d v="2024-06-05T15:43:26"/>
    <s v="eadisoni@lighthouse.org.mw"/>
    <s v="Eliza adisoni"/>
    <x v="5"/>
    <s v="COE"/>
    <x v="1"/>
    <s v="COP_23"/>
    <x v="0"/>
    <x v="3"/>
    <s v="Quarter3"/>
    <x v="3"/>
    <x v="6"/>
    <d v="2024-06-05T00:00:00"/>
    <d v="2024-06-05T00:00:00"/>
    <x v="1"/>
    <n v="27"/>
    <n v="2"/>
    <n v="19"/>
    <n v="5"/>
    <n v="3"/>
    <n v="0"/>
    <n v="27"/>
    <n v="16"/>
    <n v="12"/>
    <n v="0"/>
    <n v="0"/>
    <n v="0"/>
    <n v="0"/>
    <n v="0"/>
    <n v="0"/>
    <n v="0"/>
    <n v="0"/>
    <n v="0"/>
    <n v="1"/>
    <n v="0"/>
    <n v="0"/>
    <n v="0"/>
    <n v="0"/>
    <n v="0"/>
  </r>
  <r>
    <n v="572"/>
    <d v="2024-07-03T10:46:13"/>
    <d v="2024-07-03T10:49:24"/>
    <s v="eadisoni@lighthouse.org.mw"/>
    <s v="Eliza adisoni"/>
    <x v="5"/>
    <s v="COE"/>
    <x v="1"/>
    <s v="COP_23"/>
    <x v="0"/>
    <x v="3"/>
    <s v="Quarter3"/>
    <x v="3"/>
    <x v="8"/>
    <d v="2024-07-03T00:00:00"/>
    <d v="2024-07-03T00:00:00"/>
    <x v="1"/>
    <n v="29"/>
    <n v="3"/>
    <n v="13"/>
    <n v="5"/>
    <n v="5"/>
    <n v="1"/>
    <n v="28"/>
    <n v="14"/>
    <n v="14"/>
    <n v="1"/>
    <n v="0"/>
    <n v="0"/>
    <n v="0"/>
    <n v="0"/>
    <n v="0"/>
    <n v="0"/>
    <n v="0"/>
    <n v="0"/>
    <n v="0"/>
    <n v="0"/>
    <n v="0"/>
    <n v="0"/>
    <n v="0"/>
    <n v="0"/>
  </r>
  <r>
    <n v="1048"/>
    <d v="2024-11-08T13:43:22"/>
    <d v="2024-11-08T13:45:53"/>
    <s v="eadisoni@lighthouse.org.mw"/>
    <s v="Eliza adisoni"/>
    <x v="5"/>
    <s v="COE"/>
    <x v="1"/>
    <s v="COP_23"/>
    <x v="2"/>
    <x v="0"/>
    <s v="Quarter1"/>
    <x v="0"/>
    <x v="0"/>
    <d v="2024-10-01T00:00:00"/>
    <d v="2024-10-31T00:00:00"/>
    <x v="1"/>
    <n v="36"/>
    <n v="10"/>
    <n v="16"/>
    <n v="6"/>
    <n v="6"/>
    <n v="10"/>
    <n v="36"/>
    <n v="19"/>
    <n v="17"/>
    <n v="1"/>
    <n v="2"/>
    <n v="0"/>
    <n v="17"/>
    <n v="9"/>
    <n v="0"/>
    <n v="0"/>
    <n v="0"/>
    <n v="0"/>
    <n v="1"/>
    <n v="1"/>
    <n v="4"/>
    <n v="0"/>
    <n v="0"/>
    <n v="1"/>
  </r>
  <r>
    <n v="365"/>
    <d v="2024-05-07T15:25:27"/>
    <d v="2024-05-07T15:30:16"/>
    <s v="eadisoni@lighthouse.org.mw"/>
    <s v="Eliza adisoni"/>
    <x v="5"/>
    <s v="COE"/>
    <x v="1"/>
    <s v="COP_23"/>
    <x v="0"/>
    <x v="3"/>
    <s v="Quarter3"/>
    <x v="3"/>
    <x v="7"/>
    <d v="2024-05-06T00:00:00"/>
    <d v="2024-05-06T00:00:00"/>
    <x v="2"/>
    <n v="9"/>
    <n v="1"/>
    <n v="6"/>
    <n v="1"/>
    <n v="2"/>
    <n v="0"/>
    <n v="9"/>
    <n v="6"/>
    <n v="4"/>
    <n v="0"/>
    <n v="0"/>
    <n v="0"/>
    <n v="3"/>
    <n v="0"/>
    <n v="0"/>
    <n v="0"/>
    <n v="0"/>
    <n v="0"/>
    <n v="0"/>
    <n v="0"/>
    <n v="0"/>
    <n v="0"/>
    <n v="0"/>
    <n v="0"/>
  </r>
  <r>
    <n v="376"/>
    <d v="2024-05-09T12:03:57"/>
    <d v="2024-05-09T12:06:35"/>
    <s v="eadisoni@lighthouse.org.mw"/>
    <s v="Eliza adisoni"/>
    <x v="5"/>
    <s v="COE"/>
    <x v="1"/>
    <s v="COP_24"/>
    <x v="0"/>
    <x v="2"/>
    <s v="Quarter2"/>
    <x v="2"/>
    <x v="4"/>
    <d v="2024-01-08T00:00:00"/>
    <d v="2024-01-08T00:00:00"/>
    <x v="2"/>
    <n v="8"/>
    <n v="1"/>
    <n v="1"/>
    <n v="1"/>
    <n v="2"/>
    <n v="3"/>
    <n v="6"/>
    <n v="4"/>
    <n v="5"/>
    <n v="0"/>
    <n v="0"/>
    <n v="0"/>
    <n v="2"/>
    <n v="2"/>
    <n v="0"/>
    <n v="0"/>
    <n v="0"/>
    <n v="0"/>
    <n v="0"/>
    <n v="0"/>
    <n v="2"/>
    <n v="0"/>
    <n v="0"/>
    <n v="1"/>
  </r>
  <r>
    <n v="487"/>
    <d v="2024-06-05T15:11:15"/>
    <d v="2024-06-05T15:34:01"/>
    <s v="eadisoni@lighthouse.org.mw"/>
    <s v="Eliza adisoni"/>
    <x v="5"/>
    <s v="COE"/>
    <x v="1"/>
    <s v="COP_24"/>
    <x v="0"/>
    <x v="3"/>
    <s v="Quarter3"/>
    <x v="3"/>
    <x v="6"/>
    <d v="2024-06-05T00:00:00"/>
    <d v="2024-06-05T00:00:00"/>
    <x v="0"/>
    <n v="165"/>
    <n v="18"/>
    <n v="124"/>
    <n v="23"/>
    <n v="9"/>
    <n v="9"/>
    <n v="159"/>
    <n v="106"/>
    <n v="0"/>
    <n v="0"/>
    <n v="3"/>
    <n v="0"/>
    <n v="3"/>
    <n v="0"/>
    <n v="0"/>
    <n v="0"/>
    <n v="1"/>
    <n v="0"/>
    <n v="1"/>
    <n v="1"/>
    <n v="1"/>
    <n v="0"/>
    <n v="1"/>
    <n v="1"/>
  </r>
  <r>
    <n v="488"/>
    <d v="2024-06-05T15:34:11"/>
    <d v="2024-06-05T15:36:14"/>
    <s v="eadisoni@lighthouse.org.mw"/>
    <s v="Eliza adisoni"/>
    <x v="5"/>
    <s v="COE"/>
    <x v="1"/>
    <s v="COP_24"/>
    <x v="0"/>
    <x v="3"/>
    <s v="Quarter3"/>
    <x v="3"/>
    <x v="6"/>
    <d v="2024-06-05T00:00:00"/>
    <d v="2024-06-05T00:00:00"/>
    <x v="4"/>
    <n v="1"/>
    <n v="0"/>
    <n v="1"/>
    <n v="0"/>
    <n v="0"/>
    <n v="0"/>
    <n v="1"/>
    <n v="0"/>
    <n v="0"/>
    <n v="0"/>
    <n v="0"/>
    <n v="0"/>
    <n v="0"/>
    <n v="0"/>
    <n v="0"/>
    <n v="0"/>
    <n v="0"/>
    <n v="0"/>
    <n v="0"/>
    <n v="0"/>
    <n v="0"/>
    <n v="0"/>
    <n v="0"/>
    <n v="0"/>
  </r>
  <r>
    <n v="489"/>
    <d v="2024-06-05T15:36:34"/>
    <d v="2024-06-05T15:38:03"/>
    <s v="eadisoni@lighthouse.org.mw"/>
    <s v="Eliza adisoni"/>
    <x v="5"/>
    <s v="COE"/>
    <x v="1"/>
    <s v="COP_24"/>
    <x v="0"/>
    <x v="3"/>
    <s v="Quarter3"/>
    <x v="3"/>
    <x v="6"/>
    <d v="2024-06-05T00:00:00"/>
    <d v="2024-06-05T00:00:00"/>
    <x v="3"/>
    <n v="1"/>
    <n v="0"/>
    <n v="1"/>
    <n v="0"/>
    <n v="0"/>
    <n v="0"/>
    <n v="0"/>
    <n v="0"/>
    <n v="0"/>
    <n v="0"/>
    <n v="0"/>
    <n v="0"/>
    <n v="0"/>
    <n v="0"/>
    <n v="0"/>
    <n v="0"/>
    <n v="0"/>
    <n v="0"/>
    <n v="0"/>
    <n v="0"/>
    <n v="0"/>
    <n v="0"/>
    <n v="0"/>
    <n v="0"/>
  </r>
  <r>
    <n v="492"/>
    <d v="2024-06-05T15:43:43"/>
    <d v="2024-06-05T15:47:30"/>
    <s v="eadisoni@lighthouse.org.mw"/>
    <s v="Eliza adisoni"/>
    <x v="5"/>
    <s v="COE"/>
    <x v="1"/>
    <s v="COP_24"/>
    <x v="0"/>
    <x v="3"/>
    <s v="Quarter3"/>
    <x v="3"/>
    <x v="6"/>
    <d v="2024-06-05T00:00:00"/>
    <d v="2024-06-05T00:00:00"/>
    <x v="5"/>
    <n v="25"/>
    <n v="1"/>
    <n v="22"/>
    <n v="1"/>
    <n v="0"/>
    <n v="2"/>
    <n v="24"/>
    <n v="4"/>
    <n v="5"/>
    <n v="1"/>
    <n v="0"/>
    <n v="0"/>
    <n v="0"/>
    <n v="0"/>
    <n v="0"/>
    <n v="0"/>
    <n v="0"/>
    <n v="0"/>
    <n v="0"/>
    <n v="0"/>
    <n v="0"/>
    <n v="0"/>
    <n v="0"/>
    <n v="0"/>
  </r>
  <r>
    <n v="494"/>
    <d v="2024-06-05T15:47:38"/>
    <d v="2024-06-05T15:52:34"/>
    <s v="eadisoni@lighthouse.org.mw"/>
    <s v="Eliza adisoni"/>
    <x v="5"/>
    <s v="COE"/>
    <x v="1"/>
    <s v="COP_24"/>
    <x v="0"/>
    <x v="3"/>
    <s v="Quarter3"/>
    <x v="3"/>
    <x v="6"/>
    <d v="2024-06-05T00:00:00"/>
    <d v="2024-06-05T00:00:00"/>
    <x v="6"/>
    <n v="127"/>
    <n v="100"/>
    <n v="40"/>
    <n v="4"/>
    <n v="32"/>
    <n v="51"/>
    <n v="127"/>
    <n v="56"/>
    <n v="49"/>
    <n v="8"/>
    <n v="15"/>
    <n v="5"/>
    <n v="1"/>
    <n v="0"/>
    <n v="2"/>
    <n v="1"/>
    <n v="11"/>
    <n v="7"/>
    <n v="42"/>
    <n v="12"/>
    <n v="18"/>
    <n v="8"/>
    <n v="0"/>
    <n v="3"/>
  </r>
  <r>
    <n v="378"/>
    <d v="2024-05-09T13:29:52"/>
    <d v="2024-05-09T13:32:56"/>
    <s v="eadisoni@lighthouse.org.mw"/>
    <s v="Eliza adisoni"/>
    <x v="5"/>
    <s v="COE"/>
    <x v="1"/>
    <s v="COP_24"/>
    <x v="0"/>
    <x v="2"/>
    <s v="Quarter2"/>
    <x v="2"/>
    <x v="5"/>
    <d v="2024-02-07T00:00:00"/>
    <d v="2024-02-07T00:00:00"/>
    <x v="2"/>
    <n v="6"/>
    <n v="1"/>
    <n v="3"/>
    <n v="0"/>
    <n v="1"/>
    <n v="1"/>
    <n v="6"/>
    <n v="4"/>
    <n v="2"/>
    <n v="0"/>
    <n v="0"/>
    <n v="0"/>
    <n v="3"/>
    <n v="0"/>
    <n v="0"/>
    <n v="0"/>
    <n v="0"/>
    <n v="0"/>
    <n v="5"/>
    <n v="1"/>
    <n v="1"/>
    <n v="0"/>
    <n v="0"/>
    <n v="0"/>
  </r>
  <r>
    <n v="379"/>
    <d v="2024-05-09T13:33:39"/>
    <d v="2024-05-09T13:38:34"/>
    <s v="eadisoni@lighthouse.org.mw"/>
    <s v="Eliza adisoni"/>
    <x v="5"/>
    <s v="COE"/>
    <x v="1"/>
    <s v="COP_24"/>
    <x v="0"/>
    <x v="2"/>
    <s v="Quarter2"/>
    <x v="2"/>
    <x v="3"/>
    <d v="2024-04-02T00:00:00"/>
    <d v="2024-04-04T00:00:00"/>
    <x v="2"/>
    <n v="5"/>
    <n v="0"/>
    <n v="1"/>
    <n v="2"/>
    <n v="2"/>
    <n v="0"/>
    <n v="5"/>
    <n v="4"/>
    <n v="4"/>
    <n v="1"/>
    <n v="1"/>
    <n v="0"/>
    <n v="5"/>
    <n v="1"/>
    <n v="0"/>
    <n v="0"/>
    <n v="0"/>
    <n v="0"/>
    <n v="2"/>
    <n v="1"/>
    <n v="0"/>
    <n v="0"/>
    <n v="0"/>
    <n v="0"/>
  </r>
  <r>
    <n v="748"/>
    <d v="2024-08-12T09:40:31"/>
    <d v="2024-08-12T09:40:47"/>
    <s v="bsamala@lighthouse.org.mw"/>
    <s v="Benadetta Samala"/>
    <x v="5"/>
    <s v="COE"/>
    <x v="1"/>
    <s v="COP_23"/>
    <x v="0"/>
    <x v="1"/>
    <s v="Quarter4"/>
    <x v="1"/>
    <x v="9"/>
    <d v="2024-07-01T00:00:00"/>
    <d v="2024-07-31T00:00:00"/>
    <x v="2"/>
    <n v="90"/>
    <n v="3"/>
    <n v="4"/>
    <n v="2"/>
    <n v="2"/>
    <n v="2"/>
    <n v="10"/>
    <n v="7"/>
    <n v="3"/>
    <n v="0"/>
    <n v="0"/>
    <n v="0"/>
    <n v="0"/>
    <n v="0"/>
    <n v="0"/>
    <n v="0"/>
    <n v="1"/>
    <n v="0"/>
    <n v="2"/>
    <n v="1"/>
    <n v="1"/>
    <n v="0"/>
    <n v="0"/>
    <n v="2"/>
  </r>
  <r>
    <n v="767"/>
    <d v="2024-08-17T14:40:30"/>
    <d v="2024-08-17T14:53:01"/>
    <s v="bsamala@lighthouse.org.mw"/>
    <s v="Benadetta Samala"/>
    <x v="5"/>
    <s v="COE"/>
    <x v="1"/>
    <s v="COP_22"/>
    <x v="0"/>
    <x v="3"/>
    <s v="Quarter3"/>
    <x v="3"/>
    <x v="6"/>
    <d v="2024-05-01T00:00:00"/>
    <d v="2024-05-31T00:00:00"/>
    <x v="2"/>
    <n v="8"/>
    <n v="3"/>
    <n v="4"/>
    <n v="0"/>
    <n v="1"/>
    <n v="3"/>
    <n v="8"/>
    <n v="4"/>
    <n v="3"/>
    <n v="0"/>
    <n v="0"/>
    <n v="0"/>
    <n v="0"/>
    <n v="0"/>
    <n v="0"/>
    <n v="0"/>
    <n v="0"/>
    <n v="0"/>
    <n v="0"/>
    <n v="0"/>
    <n v="0"/>
    <n v="0"/>
    <n v="0"/>
    <n v="0"/>
  </r>
  <r>
    <n v="768"/>
    <d v="2024-08-17T14:53:22"/>
    <d v="2024-08-17T14:59:21"/>
    <s v="bsamala@lighthouse.org.mw"/>
    <s v="Benadetta Samala"/>
    <x v="5"/>
    <s v="COE"/>
    <x v="1"/>
    <s v="COP_23"/>
    <x v="0"/>
    <x v="3"/>
    <s v="Quarter3"/>
    <x v="3"/>
    <x v="8"/>
    <d v="2024-06-01T00:00:00"/>
    <d v="2024-06-30T00:00:00"/>
    <x v="2"/>
    <n v="5"/>
    <n v="0"/>
    <n v="5"/>
    <n v="0"/>
    <n v="0"/>
    <n v="0"/>
    <n v="5"/>
    <n v="2"/>
    <n v="2"/>
    <n v="0"/>
    <n v="0"/>
    <n v="0"/>
    <n v="0"/>
    <n v="0"/>
    <n v="0"/>
    <n v="0"/>
    <n v="0"/>
    <n v="0"/>
    <n v="0"/>
    <n v="0"/>
    <n v="0"/>
    <n v="0"/>
    <n v="0"/>
    <n v="0"/>
  </r>
  <r>
    <n v="838"/>
    <d v="2024-09-26T09:08:26"/>
    <d v="2024-09-26T09:10:41"/>
    <s v="eadisoni@lighthouse.org.mw"/>
    <s v="Eliza adisoni"/>
    <x v="5"/>
    <s v="COE"/>
    <x v="1"/>
    <s v="COP_23"/>
    <x v="0"/>
    <x v="1"/>
    <s v="Quarter4"/>
    <x v="1"/>
    <x v="10"/>
    <d v="2024-08-01T00:00:00"/>
    <d v="2024-08-30T00:00:00"/>
    <x v="2"/>
    <n v="11"/>
    <n v="2"/>
    <n v="7"/>
    <n v="2"/>
    <n v="2"/>
    <n v="0"/>
    <n v="11"/>
    <n v="3"/>
    <n v="4"/>
    <n v="0"/>
    <n v="1"/>
    <n v="0"/>
    <n v="1"/>
    <n v="0"/>
    <n v="1"/>
    <n v="0"/>
    <n v="1"/>
    <n v="0"/>
    <n v="1"/>
    <n v="0"/>
    <n v="1"/>
    <n v="0"/>
    <n v="0"/>
    <n v="0"/>
  </r>
  <r>
    <n v="873"/>
    <d v="2024-10-03T07:48:16"/>
    <d v="2024-10-03T07:50:40"/>
    <s v="eadisoni@lighthouse.org.mw"/>
    <s v="Eliza adisoni"/>
    <x v="5"/>
    <s v="COE"/>
    <x v="1"/>
    <s v="COP_23"/>
    <x v="0"/>
    <x v="1"/>
    <s v="Quarter4"/>
    <x v="1"/>
    <x v="2"/>
    <d v="2024-09-02T00:00:00"/>
    <d v="2024-09-30T00:00:00"/>
    <x v="2"/>
    <n v="12"/>
    <n v="3"/>
    <n v="6"/>
    <n v="3"/>
    <n v="2"/>
    <n v="1"/>
    <n v="12"/>
    <n v="5"/>
    <n v="5"/>
    <n v="1"/>
    <n v="1"/>
    <n v="1"/>
    <n v="3"/>
    <n v="0"/>
    <n v="9"/>
    <n v="9"/>
    <n v="0"/>
    <n v="0"/>
    <n v="0"/>
    <n v="0"/>
    <n v="1"/>
    <n v="1"/>
    <n v="0"/>
    <n v="0"/>
  </r>
  <r>
    <n v="1051"/>
    <d v="2024-11-08T13:49:09"/>
    <d v="2024-11-08T13:52:09"/>
    <s v="eadisoni@lighthouse.org.mw"/>
    <s v="Eliza adisoni"/>
    <x v="5"/>
    <s v="COE"/>
    <x v="1"/>
    <s v="COP_23"/>
    <x v="2"/>
    <x v="0"/>
    <s v="Quarter1"/>
    <x v="0"/>
    <x v="0"/>
    <d v="2024-10-01T00:00:00"/>
    <d v="2024-10-31T00:00:00"/>
    <x v="2"/>
    <n v="8"/>
    <n v="2"/>
    <n v="3"/>
    <n v="0"/>
    <n v="4"/>
    <n v="1"/>
    <n v="8"/>
    <n v="4"/>
    <n v="4"/>
    <n v="0"/>
    <n v="1"/>
    <n v="0"/>
    <n v="4"/>
    <n v="0"/>
    <n v="0"/>
    <n v="0"/>
    <n v="0"/>
    <n v="0"/>
    <n v="1"/>
    <n v="0"/>
    <n v="1"/>
    <n v="0"/>
    <n v="0"/>
    <n v="0"/>
  </r>
  <r>
    <n v="568"/>
    <d v="2024-07-03T10:28:27"/>
    <d v="2024-07-03T10:37:06"/>
    <s v="eadisoni@lighthouse.org.mw"/>
    <s v="Eliza adisoni"/>
    <x v="5"/>
    <s v="COE"/>
    <x v="1"/>
    <s v="COP_23"/>
    <x v="0"/>
    <x v="3"/>
    <s v="Quarter3"/>
    <x v="3"/>
    <x v="8"/>
    <d v="2024-07-03T00:00:00"/>
    <d v="2024-07-03T00:00:00"/>
    <x v="0"/>
    <n v="119"/>
    <n v="8"/>
    <n v="71"/>
    <n v="19"/>
    <n v="10"/>
    <n v="7"/>
    <n v="117"/>
    <n v="40"/>
    <n v="36"/>
    <n v="3"/>
    <n v="4"/>
    <n v="2"/>
    <n v="0"/>
    <n v="0"/>
    <n v="0"/>
    <n v="0"/>
    <n v="1"/>
    <n v="0"/>
    <n v="0"/>
    <n v="0"/>
    <n v="4"/>
    <n v="0"/>
    <n v="0"/>
    <n v="0"/>
  </r>
  <r>
    <n v="569"/>
    <d v="2024-07-03T10:37:17"/>
    <d v="2024-07-03T10:39:36"/>
    <s v="eadisoni@lighthouse.org.mw"/>
    <s v="Eliza adisoni"/>
    <x v="5"/>
    <s v="COE"/>
    <x v="1"/>
    <s v="COP_23"/>
    <x v="0"/>
    <x v="3"/>
    <s v="Quarter3"/>
    <x v="3"/>
    <x v="8"/>
    <d v="2024-07-03T00:00:00"/>
    <d v="2024-07-03T00:00:00"/>
    <x v="5"/>
    <n v="12"/>
    <n v="0"/>
    <n v="8"/>
    <n v="2"/>
    <n v="1"/>
    <n v="1"/>
    <n v="12"/>
    <n v="4"/>
    <n v="0"/>
    <n v="0"/>
    <n v="0"/>
    <n v="0"/>
    <n v="0"/>
    <n v="0"/>
    <n v="0"/>
    <n v="0"/>
    <n v="1"/>
    <n v="0"/>
    <n v="1"/>
    <n v="0"/>
    <n v="0"/>
    <n v="0"/>
    <n v="0"/>
    <n v="0"/>
  </r>
  <r>
    <n v="570"/>
    <d v="2024-07-03T10:39:45"/>
    <d v="2024-07-03T10:42:35"/>
    <s v="eadisoni@lighthouse.org.mw"/>
    <s v="Eliza adisoni"/>
    <x v="5"/>
    <s v="COE"/>
    <x v="1"/>
    <s v="COP_23"/>
    <x v="0"/>
    <x v="3"/>
    <s v="Quarter3"/>
    <x v="3"/>
    <x v="8"/>
    <d v="2024-07-03T00:00:00"/>
    <d v="2024-07-03T00:00:00"/>
    <x v="4"/>
    <n v="1"/>
    <n v="0"/>
    <n v="1"/>
    <n v="0"/>
    <n v="0"/>
    <n v="0"/>
    <n v="1"/>
    <n v="0"/>
    <n v="0"/>
    <n v="0"/>
    <n v="0"/>
    <n v="0"/>
    <n v="0"/>
    <n v="0"/>
    <n v="0"/>
    <n v="0"/>
    <n v="0"/>
    <n v="0"/>
    <n v="0"/>
    <n v="0"/>
    <n v="0"/>
    <n v="0"/>
    <n v="0"/>
    <n v="0"/>
  </r>
  <r>
    <n v="571"/>
    <d v="2024-07-03T10:42:45"/>
    <d v="2024-07-03T10:45:02"/>
    <s v="eadisoni@lighthouse.org.mw"/>
    <s v="Eliza adisoni"/>
    <x v="5"/>
    <s v="COE"/>
    <x v="1"/>
    <s v="COP_23"/>
    <x v="0"/>
    <x v="3"/>
    <s v="Quarter3"/>
    <x v="3"/>
    <x v="8"/>
    <d v="2024-07-03T00:00:00"/>
    <d v="2024-07-03T00:00:00"/>
    <x v="3"/>
    <n v="0"/>
    <n v="0"/>
    <n v="0"/>
    <n v="0"/>
    <n v="0"/>
    <n v="0"/>
    <n v="0"/>
    <n v="0"/>
    <n v="0"/>
    <n v="0"/>
    <n v="0"/>
    <n v="0"/>
    <n v="0"/>
    <n v="0"/>
    <n v="0"/>
    <n v="0"/>
    <n v="0"/>
    <n v="0"/>
    <n v="0"/>
    <n v="0"/>
    <n v="0"/>
    <n v="0"/>
    <n v="0"/>
    <n v="0"/>
  </r>
  <r>
    <n v="573"/>
    <d v="2024-07-03T10:49:32"/>
    <d v="2024-07-03T11:05:00"/>
    <s v="eadisoni@lighthouse.org.mw"/>
    <s v="Eliza adisoni"/>
    <x v="5"/>
    <s v="COE"/>
    <x v="1"/>
    <s v="COP_23"/>
    <x v="0"/>
    <x v="3"/>
    <s v="Quarter3"/>
    <x v="3"/>
    <x v="8"/>
    <d v="2024-07-03T00:00:00"/>
    <d v="2024-07-03T00:00:00"/>
    <x v="6"/>
    <n v="99"/>
    <n v="76"/>
    <n v="18"/>
    <n v="12"/>
    <n v="39"/>
    <n v="30"/>
    <n v="99"/>
    <n v="46"/>
    <n v="45"/>
    <n v="3"/>
    <n v="10"/>
    <n v="1"/>
    <n v="0"/>
    <n v="0"/>
    <n v="6"/>
    <n v="1"/>
    <n v="17"/>
    <n v="12"/>
    <n v="35"/>
    <n v="13"/>
    <n v="15"/>
    <n v="1"/>
    <n v="0"/>
    <n v="2"/>
  </r>
  <r>
    <n v="742"/>
    <d v="2024-08-12T08:39:32"/>
    <d v="2024-08-12T09:11:55"/>
    <s v="bsamala@lighthouse.org.mw"/>
    <s v="Benadetta Samala"/>
    <x v="5"/>
    <s v="COE"/>
    <x v="1"/>
    <s v="COP_23"/>
    <x v="0"/>
    <x v="1"/>
    <s v="Quarter4"/>
    <x v="1"/>
    <x v="9"/>
    <d v="2024-07-01T00:00:00"/>
    <d v="2024-07-31T00:00:00"/>
    <x v="0"/>
    <n v="167"/>
    <n v="15"/>
    <n v="90"/>
    <n v="36"/>
    <n v="37"/>
    <n v="15"/>
    <n v="162"/>
    <n v="67"/>
    <n v="63"/>
    <n v="4"/>
    <n v="4"/>
    <n v="2"/>
    <n v="0"/>
    <n v="0"/>
    <n v="0"/>
    <n v="0"/>
    <n v="0"/>
    <n v="0"/>
    <n v="13"/>
    <n v="3"/>
    <n v="4"/>
    <n v="2"/>
    <n v="1"/>
    <n v="5"/>
  </r>
  <r>
    <n v="743"/>
    <d v="2024-08-12T09:12:02"/>
    <d v="2024-08-12T09:22:37"/>
    <s v="bsamala@lighthouse.org.mw"/>
    <s v="Benadetta Samala"/>
    <x v="5"/>
    <s v="COE"/>
    <x v="1"/>
    <s v="COP_23"/>
    <x v="0"/>
    <x v="1"/>
    <s v="Quarter4"/>
    <x v="1"/>
    <x v="9"/>
    <d v="2024-07-01T00:00:00"/>
    <d v="2024-07-31T00:00:00"/>
    <x v="6"/>
    <n v="136"/>
    <n v="98"/>
    <n v="41"/>
    <n v="7"/>
    <n v="50"/>
    <n v="38"/>
    <n v="136"/>
    <n v="62"/>
    <n v="65"/>
    <n v="4"/>
    <n v="6"/>
    <n v="3"/>
    <n v="0"/>
    <n v="0"/>
    <n v="8"/>
    <n v="1"/>
    <n v="36"/>
    <n v="3"/>
    <n v="58"/>
    <n v="19"/>
    <n v="14"/>
    <n v="6"/>
    <n v="0"/>
    <n v="4"/>
  </r>
  <r>
    <n v="745"/>
    <d v="2024-08-12T09:26:58"/>
    <d v="2024-08-12T09:30:19"/>
    <s v="bsamala@lighthouse.org.mw"/>
    <s v="Benadetta Samala"/>
    <x v="5"/>
    <s v="COE"/>
    <x v="1"/>
    <s v="COP_23"/>
    <x v="0"/>
    <x v="1"/>
    <s v="Quarter4"/>
    <x v="1"/>
    <x v="9"/>
    <d v="2024-07-01T00:00:00"/>
    <d v="2024-07-31T00:00:00"/>
    <x v="3"/>
    <n v="1"/>
    <n v="0"/>
    <n v="0"/>
    <n v="1"/>
    <n v="0"/>
    <n v="0"/>
    <n v="0"/>
    <n v="0"/>
    <n v="1"/>
    <n v="0"/>
    <n v="0"/>
    <n v="0"/>
    <n v="0"/>
    <n v="0"/>
    <n v="0"/>
    <n v="0"/>
    <n v="0"/>
    <n v="0"/>
    <n v="0"/>
    <n v="0"/>
    <n v="0"/>
    <n v="0"/>
    <n v="0"/>
    <n v="0"/>
  </r>
  <r>
    <n v="746"/>
    <d v="2024-08-12T09:30:28"/>
    <d v="2024-08-12T09:34:14"/>
    <s v="bsamala@lighthouse.org.mw"/>
    <s v="Benadetta Samala"/>
    <x v="5"/>
    <s v="COE"/>
    <x v="1"/>
    <s v="COP_23"/>
    <x v="0"/>
    <x v="1"/>
    <s v="Quarter4"/>
    <x v="1"/>
    <x v="9"/>
    <d v="2024-07-01T00:00:00"/>
    <d v="2024-07-31T00:00:00"/>
    <x v="5"/>
    <n v="26"/>
    <n v="3"/>
    <n v="14"/>
    <n v="5"/>
    <n v="4"/>
    <n v="3"/>
    <n v="25"/>
    <n v="13"/>
    <n v="11"/>
    <n v="2"/>
    <n v="1"/>
    <n v="1"/>
    <n v="0"/>
    <n v="0"/>
    <n v="0"/>
    <n v="0"/>
    <n v="0"/>
    <n v="0"/>
    <n v="0"/>
    <n v="0"/>
    <n v="0"/>
    <n v="1"/>
    <n v="0"/>
    <n v="1"/>
  </r>
  <r>
    <n v="747"/>
    <d v="2024-08-12T09:34:18"/>
    <d v="2024-08-12T09:36:38"/>
    <s v="bsamala@lighthouse.org.mw"/>
    <s v="Benadetta Samala"/>
    <x v="5"/>
    <s v="COE"/>
    <x v="1"/>
    <s v="COP_23"/>
    <x v="0"/>
    <x v="1"/>
    <s v="Quarter4"/>
    <x v="1"/>
    <x v="9"/>
    <d v="2024-07-01T00:00:00"/>
    <d v="2024-07-31T00:00:00"/>
    <x v="4"/>
    <n v="2"/>
    <n v="0"/>
    <n v="2"/>
    <n v="0"/>
    <n v="0"/>
    <n v="0"/>
    <n v="2"/>
    <n v="0"/>
    <n v="0"/>
    <n v="0"/>
    <n v="0"/>
    <n v="0"/>
    <n v="0"/>
    <n v="0"/>
    <n v="0"/>
    <n v="0"/>
    <n v="0"/>
    <n v="0"/>
    <n v="0"/>
    <n v="0"/>
    <n v="0"/>
    <n v="0"/>
    <n v="0"/>
    <n v="0"/>
  </r>
  <r>
    <n v="834"/>
    <d v="2024-09-26T08:02:10"/>
    <d v="2024-09-26T08:04:50"/>
    <s v="eadisoni@lighthouse.org.mw"/>
    <s v="Eliza adisoni"/>
    <x v="5"/>
    <s v="COE"/>
    <x v="1"/>
    <s v="COP_23"/>
    <x v="0"/>
    <x v="1"/>
    <s v="Quarter4"/>
    <x v="1"/>
    <x v="10"/>
    <d v="2024-08-01T00:00:00"/>
    <d v="2024-08-30T00:00:00"/>
    <x v="4"/>
    <n v="5"/>
    <n v="1"/>
    <n v="3"/>
    <n v="0"/>
    <n v="2"/>
    <n v="0"/>
    <n v="5"/>
    <n v="1"/>
    <n v="0"/>
    <n v="0"/>
    <n v="0"/>
    <n v="0"/>
    <n v="0"/>
    <n v="0"/>
    <n v="0"/>
    <n v="0"/>
    <n v="0"/>
    <n v="0"/>
    <n v="0"/>
    <n v="0"/>
    <n v="1"/>
    <n v="0"/>
    <n v="0"/>
    <n v="0"/>
  </r>
  <r>
    <n v="835"/>
    <d v="2024-09-26T08:04:57"/>
    <d v="2024-09-26T08:06:11"/>
    <s v="eadisoni@lighthouse.org.mw"/>
    <s v="Eliza adisoni"/>
    <x v="5"/>
    <s v="COE"/>
    <x v="1"/>
    <s v="COP_23"/>
    <x v="0"/>
    <x v="1"/>
    <s v="Quarter4"/>
    <x v="1"/>
    <x v="10"/>
    <d v="2024-08-01T00:00:00"/>
    <d v="2024-08-30T00:00:00"/>
    <x v="3"/>
    <n v="0"/>
    <n v="0"/>
    <n v="0"/>
    <n v="0"/>
    <n v="0"/>
    <n v="0"/>
    <n v="0"/>
    <n v="0"/>
    <n v="0"/>
    <n v="0"/>
    <n v="0"/>
    <n v="0"/>
    <n v="0"/>
    <n v="0"/>
    <n v="0"/>
    <n v="0"/>
    <n v="0"/>
    <n v="0"/>
    <n v="0"/>
    <n v="0"/>
    <n v="0"/>
    <n v="0"/>
    <n v="0"/>
    <n v="0"/>
  </r>
  <r>
    <n v="837"/>
    <d v="2024-09-26T09:07:58"/>
    <d v="2024-09-26T09:08:17"/>
    <s v="eadisoni@lighthouse.org.mw"/>
    <s v="Eliza adisoni"/>
    <x v="5"/>
    <s v="COE"/>
    <x v="1"/>
    <s v="COP_23"/>
    <x v="0"/>
    <x v="1"/>
    <s v="Quarter4"/>
    <x v="1"/>
    <x v="10"/>
    <d v="2024-08-01T00:00:00"/>
    <d v="2024-08-30T00:00:00"/>
    <x v="5"/>
    <n v="19"/>
    <n v="0"/>
    <n v="16"/>
    <n v="2"/>
    <n v="1"/>
    <n v="0"/>
    <n v="19"/>
    <n v="4"/>
    <n v="3"/>
    <n v="0"/>
    <n v="1"/>
    <n v="0"/>
    <n v="2"/>
    <n v="0"/>
    <n v="0"/>
    <n v="0"/>
    <n v="0"/>
    <n v="0"/>
    <n v="1"/>
    <n v="0"/>
    <n v="0"/>
    <n v="0"/>
    <n v="0"/>
    <n v="0"/>
  </r>
  <r>
    <n v="839"/>
    <d v="2024-09-26T09:10:46"/>
    <d v="2024-09-26T09:13:33"/>
    <s v="eadisoni@lighthouse.org.mw"/>
    <s v="Eliza adisoni"/>
    <x v="5"/>
    <s v="COE"/>
    <x v="1"/>
    <s v="COP_23"/>
    <x v="0"/>
    <x v="1"/>
    <s v="Quarter4"/>
    <x v="1"/>
    <x v="10"/>
    <d v="2024-08-01T00:00:00"/>
    <d v="2024-08-30T00:00:00"/>
    <x v="0"/>
    <n v="203"/>
    <n v="17"/>
    <n v="94"/>
    <n v="20"/>
    <n v="15"/>
    <n v="13"/>
    <n v="201"/>
    <n v="58"/>
    <n v="64"/>
    <n v="1"/>
    <n v="10"/>
    <n v="2"/>
    <n v="36"/>
    <n v="8"/>
    <n v="0"/>
    <n v="0"/>
    <n v="8"/>
    <n v="4"/>
    <n v="13"/>
    <n v="2"/>
    <n v="3"/>
    <n v="2"/>
    <n v="0"/>
    <n v="4"/>
  </r>
  <r>
    <n v="840"/>
    <d v="2024-09-26T09:13:41"/>
    <d v="2024-09-26T09:18:55"/>
    <s v="eadisoni@lighthouse.org.mw"/>
    <s v="Eliza adisoni"/>
    <x v="5"/>
    <s v="COE"/>
    <x v="1"/>
    <s v="COP_23"/>
    <x v="0"/>
    <x v="1"/>
    <s v="Quarter4"/>
    <x v="1"/>
    <x v="10"/>
    <d v="2024-08-01T00:00:00"/>
    <d v="2024-08-30T00:00:00"/>
    <x v="6"/>
    <n v="100"/>
    <n v="52"/>
    <n v="30"/>
    <n v="8"/>
    <n v="31"/>
    <n v="31"/>
    <n v="100"/>
    <n v="39"/>
    <n v="40"/>
    <n v="0"/>
    <n v="4"/>
    <n v="1"/>
    <n v="12"/>
    <n v="3"/>
    <n v="4"/>
    <n v="0"/>
    <n v="25"/>
    <n v="19"/>
    <n v="32"/>
    <n v="20"/>
    <n v="8"/>
    <n v="1"/>
    <n v="0"/>
    <n v="3"/>
  </r>
  <r>
    <n v="869"/>
    <d v="2024-10-03T07:33:19"/>
    <d v="2024-10-03T07:38:40"/>
    <s v="eadisoni@lighthouse.org.mw"/>
    <s v="Eliza adisoni"/>
    <x v="5"/>
    <s v="COE"/>
    <x v="1"/>
    <s v="COP_23"/>
    <x v="0"/>
    <x v="1"/>
    <s v="Quarter4"/>
    <x v="1"/>
    <x v="2"/>
    <d v="2024-09-02T00:00:00"/>
    <d v="2024-09-30T00:00:00"/>
    <x v="0"/>
    <n v="168"/>
    <n v="23"/>
    <n v="92"/>
    <n v="38"/>
    <n v="29"/>
    <n v="9"/>
    <n v="157"/>
    <n v="53"/>
    <n v="55"/>
    <n v="5"/>
    <n v="9"/>
    <n v="4"/>
    <n v="56"/>
    <n v="2"/>
    <n v="0"/>
    <n v="0"/>
    <n v="0"/>
    <n v="0"/>
    <n v="5"/>
    <n v="2"/>
    <n v="3"/>
    <n v="2"/>
    <n v="0"/>
    <n v="3"/>
  </r>
  <r>
    <n v="871"/>
    <d v="2024-10-03T07:42:57"/>
    <d v="2024-10-03T07:45:55"/>
    <s v="eadisoni@lighthouse.org.mw"/>
    <s v="Eliza adisoni"/>
    <x v="5"/>
    <s v="COE"/>
    <x v="1"/>
    <s v="COP_23"/>
    <x v="0"/>
    <x v="1"/>
    <s v="Quarter4"/>
    <x v="1"/>
    <x v="2"/>
    <d v="2024-09-02T00:00:00"/>
    <d v="2024-09-30T00:00:00"/>
    <x v="3"/>
    <n v="1"/>
    <n v="0"/>
    <n v="0"/>
    <n v="0"/>
    <n v="1"/>
    <n v="0"/>
    <n v="0"/>
    <n v="0"/>
    <n v="1"/>
    <n v="0"/>
    <n v="0"/>
    <n v="0"/>
    <n v="1"/>
    <n v="0"/>
    <n v="0"/>
    <n v="0"/>
    <n v="0"/>
    <n v="0"/>
    <n v="0"/>
    <n v="0"/>
    <n v="0"/>
    <n v="0"/>
    <n v="0"/>
    <n v="0"/>
  </r>
  <r>
    <n v="872"/>
    <d v="2024-10-03T07:46:05"/>
    <d v="2024-10-03T07:48:09"/>
    <s v="eadisoni@lighthouse.org.mw"/>
    <s v="Eliza adisoni"/>
    <x v="5"/>
    <s v="COE"/>
    <x v="1"/>
    <s v="COP_23"/>
    <x v="0"/>
    <x v="1"/>
    <s v="Quarter4"/>
    <x v="1"/>
    <x v="2"/>
    <d v="2024-09-02T00:00:00"/>
    <d v="2024-09-30T00:00:00"/>
    <x v="4"/>
    <n v="1"/>
    <n v="0"/>
    <n v="0"/>
    <n v="1"/>
    <n v="0"/>
    <n v="0"/>
    <n v="1"/>
    <n v="1"/>
    <n v="1"/>
    <n v="0"/>
    <n v="0"/>
    <n v="0"/>
    <n v="1"/>
    <n v="0"/>
    <n v="0"/>
    <n v="0"/>
    <n v="0"/>
    <n v="0"/>
    <n v="1"/>
    <n v="0"/>
    <n v="0"/>
    <n v="0"/>
    <n v="0"/>
    <n v="0"/>
  </r>
  <r>
    <n v="874"/>
    <d v="2024-10-03T07:51:34"/>
    <d v="2024-10-03T08:00:59"/>
    <s v="eadisoni@lighthouse.org.mw"/>
    <s v="Eliza adisoni"/>
    <x v="5"/>
    <s v="COE"/>
    <x v="1"/>
    <s v="COP_23"/>
    <x v="0"/>
    <x v="1"/>
    <s v="Quarter4"/>
    <x v="1"/>
    <x v="2"/>
    <d v="2024-09-02T00:00:00"/>
    <d v="2024-09-30T00:00:00"/>
    <x v="6"/>
    <n v="103"/>
    <n v="46"/>
    <n v="42"/>
    <n v="8"/>
    <n v="21"/>
    <n v="32"/>
    <n v="103"/>
    <n v="53"/>
    <n v="57"/>
    <n v="5"/>
    <n v="15"/>
    <n v="6"/>
    <n v="47"/>
    <n v="6"/>
    <n v="5"/>
    <n v="2"/>
    <n v="24"/>
    <n v="4"/>
    <n v="30"/>
    <n v="11"/>
    <n v="9"/>
    <n v="7"/>
    <n v="0"/>
    <n v="4"/>
  </r>
  <r>
    <n v="875"/>
    <d v="2024-10-03T08:50:17"/>
    <d v="2024-10-03T08:50:58"/>
    <s v="eadisoni@lighthouse.org.mw"/>
    <s v="Eliza adisoni"/>
    <x v="5"/>
    <s v="COE"/>
    <x v="1"/>
    <s v="COP_23"/>
    <x v="0"/>
    <x v="1"/>
    <s v="Quarter4"/>
    <x v="1"/>
    <x v="2"/>
    <d v="2024-09-02T00:00:00"/>
    <d v="2024-09-30T00:00:00"/>
    <x v="5"/>
    <n v="28"/>
    <n v="3"/>
    <n v="20"/>
    <n v="2"/>
    <n v="5"/>
    <n v="1"/>
    <n v="27"/>
    <n v="6"/>
    <n v="10"/>
    <n v="2"/>
    <n v="1"/>
    <n v="0"/>
    <n v="7"/>
    <n v="0"/>
    <n v="0"/>
    <n v="0"/>
    <n v="1"/>
    <n v="0"/>
    <n v="0"/>
    <n v="0"/>
    <n v="0"/>
    <n v="0"/>
    <n v="0"/>
    <n v="0"/>
  </r>
  <r>
    <n v="1047"/>
    <d v="2024-11-08T13:40:23"/>
    <d v="2024-11-08T13:43:15"/>
    <s v="eadisoni@lighthouse.org.mw"/>
    <s v="Eliza adisoni"/>
    <x v="5"/>
    <s v="COE"/>
    <x v="1"/>
    <s v="COP_23"/>
    <x v="2"/>
    <x v="0"/>
    <s v="Quarter1"/>
    <x v="0"/>
    <x v="0"/>
    <d v="2024-10-01T00:00:00"/>
    <d v="2024-10-31T00:00:00"/>
    <x v="4"/>
    <n v="4"/>
    <n v="0"/>
    <n v="4"/>
    <n v="0"/>
    <n v="0"/>
    <n v="0"/>
    <n v="0"/>
    <n v="0"/>
    <n v="0"/>
    <n v="0"/>
    <n v="0"/>
    <n v="0"/>
    <n v="0"/>
    <n v="0"/>
    <n v="0"/>
    <n v="0"/>
    <n v="0"/>
    <n v="0"/>
    <n v="0"/>
    <n v="0"/>
    <n v="0"/>
    <n v="0"/>
    <n v="0"/>
    <n v="0"/>
  </r>
  <r>
    <n v="1049"/>
    <d v="2024-11-08T13:46:00"/>
    <d v="2024-11-08T13:46:59"/>
    <s v="eadisoni@lighthouse.org.mw"/>
    <s v="Eliza adisoni"/>
    <x v="5"/>
    <s v="COE"/>
    <x v="1"/>
    <s v="COP_23"/>
    <x v="2"/>
    <x v="0"/>
    <s v="Quarter1"/>
    <x v="0"/>
    <x v="0"/>
    <d v="2024-10-01T00:00:00"/>
    <d v="2024-10-31T00:00:00"/>
    <x v="3"/>
    <n v="0"/>
    <n v="0"/>
    <n v="0"/>
    <n v="0"/>
    <n v="0"/>
    <n v="0"/>
    <n v="0"/>
    <n v="0"/>
    <n v="0"/>
    <n v="0"/>
    <n v="0"/>
    <n v="0"/>
    <n v="0"/>
    <n v="0"/>
    <n v="0"/>
    <n v="0"/>
    <n v="0"/>
    <n v="0"/>
    <n v="0"/>
    <n v="0"/>
    <n v="0"/>
    <n v="0"/>
    <n v="0"/>
    <n v="0"/>
  </r>
  <r>
    <n v="1050"/>
    <d v="2024-11-08T13:47:07"/>
    <d v="2024-11-08T13:49:02"/>
    <s v="eadisoni@lighthouse.org.mw"/>
    <s v="Eliza adisoni"/>
    <x v="5"/>
    <s v="COE"/>
    <x v="1"/>
    <s v="COP_23"/>
    <x v="2"/>
    <x v="0"/>
    <s v="Quarter1"/>
    <x v="0"/>
    <x v="0"/>
    <d v="2024-10-01T00:00:00"/>
    <d v="2024-10-31T00:00:00"/>
    <x v="5"/>
    <n v="36"/>
    <n v="5"/>
    <n v="23"/>
    <n v="1"/>
    <n v="11"/>
    <n v="1"/>
    <n v="36"/>
    <n v="12"/>
    <n v="11"/>
    <n v="1"/>
    <n v="0"/>
    <n v="0"/>
    <n v="9"/>
    <n v="0"/>
    <n v="0"/>
    <n v="0"/>
    <n v="0"/>
    <n v="0"/>
    <n v="0"/>
    <n v="0"/>
    <n v="0"/>
    <n v="0"/>
    <n v="0"/>
    <n v="0"/>
  </r>
  <r>
    <n v="1052"/>
    <d v="2024-11-08T13:52:30"/>
    <d v="2024-11-08T13:58:02"/>
    <s v="eadisoni@lighthouse.org.mw"/>
    <s v="Eliza adisoni"/>
    <x v="5"/>
    <s v="COE"/>
    <x v="1"/>
    <s v="COP_23"/>
    <x v="2"/>
    <x v="0"/>
    <s v="Quarter1"/>
    <x v="0"/>
    <x v="0"/>
    <d v="2024-10-01T00:00:00"/>
    <d v="2024-10-31T00:00:00"/>
    <x v="6"/>
    <n v="120"/>
    <n v="89"/>
    <n v="32"/>
    <n v="15"/>
    <n v="36"/>
    <n v="37"/>
    <n v="120"/>
    <n v="45"/>
    <n v="50"/>
    <n v="5"/>
    <n v="6"/>
    <n v="3"/>
    <n v="28"/>
    <n v="8"/>
    <n v="2"/>
    <n v="0"/>
    <n v="17"/>
    <n v="11"/>
    <n v="26"/>
    <n v="15"/>
    <n v="12"/>
    <n v="2"/>
    <n v="1"/>
    <n v="1"/>
  </r>
  <r>
    <n v="1073"/>
    <d v="2024-11-15T11:30:40"/>
    <d v="2024-11-15T12:04:55"/>
    <s v="bsamala@lighthouse.org.mw"/>
    <s v="Benadetta Samala"/>
    <x v="5"/>
    <s v="COE"/>
    <x v="1"/>
    <s v="COP_23"/>
    <x v="0"/>
    <x v="1"/>
    <s v="Quarter4"/>
    <x v="1"/>
    <x v="9"/>
    <d v="2024-07-01T00:00:00"/>
    <d v="2024-07-30T00:00:00"/>
    <x v="1"/>
    <n v="52"/>
    <n v="1"/>
    <n v="23"/>
    <n v="12"/>
    <n v="17"/>
    <n v="0"/>
    <n v="52"/>
    <n v="21"/>
    <n v="16"/>
    <n v="0"/>
    <n v="0"/>
    <n v="0"/>
    <n v="0"/>
    <n v="0"/>
    <n v="0"/>
    <n v="0"/>
    <n v="0"/>
    <n v="0"/>
    <n v="0"/>
    <n v="0"/>
    <n v="0"/>
    <n v="0"/>
    <n v="0"/>
    <n v="0"/>
  </r>
  <r>
    <n v="1074"/>
    <d v="2024-11-15T12:05:18"/>
    <d v="2024-11-15T12:15:30"/>
    <s v="bsamala@lighthouse.org.mw"/>
    <s v="Benadetta Samala"/>
    <x v="5"/>
    <s v="COE"/>
    <x v="1"/>
    <s v="COP_23"/>
    <x v="0"/>
    <x v="1"/>
    <s v="Quarter4"/>
    <x v="1"/>
    <x v="10"/>
    <d v="2024-08-01T00:00:00"/>
    <d v="2024-08-31T00:00:00"/>
    <x v="1"/>
    <n v="42"/>
    <n v="7"/>
    <n v="26"/>
    <n v="7"/>
    <n v="6"/>
    <n v="3"/>
    <n v="42"/>
    <n v="13"/>
    <n v="15"/>
    <n v="1"/>
    <n v="1"/>
    <n v="1"/>
    <n v="3"/>
    <n v="2"/>
    <n v="1"/>
    <n v="1"/>
    <n v="1"/>
    <n v="1"/>
    <n v="0"/>
    <n v="0"/>
    <n v="0"/>
    <n v="1"/>
    <n v="0"/>
    <n v="1"/>
  </r>
  <r>
    <n v="1075"/>
    <d v="2024-11-15T12:15:48"/>
    <d v="2024-11-15T12:20:54"/>
    <s v="bsamala@lighthouse.org.mw"/>
    <s v="Benadetta Samala"/>
    <x v="5"/>
    <s v="COE"/>
    <x v="1"/>
    <s v="COP_23"/>
    <x v="0"/>
    <x v="1"/>
    <s v="Quarter4"/>
    <x v="1"/>
    <x v="2"/>
    <d v="2024-09-01T00:00:00"/>
    <d v="2024-09-30T00:00:00"/>
    <x v="1"/>
    <n v="29"/>
    <n v="7"/>
    <n v="15"/>
    <n v="4"/>
    <n v="6"/>
    <n v="4"/>
    <n v="29"/>
    <n v="10"/>
    <n v="7"/>
    <n v="0"/>
    <n v="1"/>
    <n v="1"/>
    <n v="7"/>
    <n v="2"/>
    <n v="0"/>
    <n v="0"/>
    <n v="0"/>
    <n v="0"/>
    <n v="1"/>
    <n v="0"/>
    <n v="0"/>
    <n v="0"/>
    <n v="0"/>
    <n v="1"/>
  </r>
  <r>
    <n v="1112"/>
    <d v="2024-12-09T11:26:05"/>
    <d v="2024-12-09T11:31:10"/>
    <s v="eadisoni@lighthouse.org.mw"/>
    <s v="Eliza adisoni"/>
    <x v="5"/>
    <s v="COE"/>
    <x v="1"/>
    <s v="COP_23"/>
    <x v="2"/>
    <x v="0"/>
    <s v="Quarter1"/>
    <x v="0"/>
    <x v="1"/>
    <d v="2024-11-01T00:00:00"/>
    <d v="2024-11-30T00:00:00"/>
    <x v="0"/>
    <n v="162"/>
    <n v="41"/>
    <n v="103"/>
    <n v="6"/>
    <n v="31"/>
    <n v="22"/>
    <n v="158"/>
    <n v="53"/>
    <n v="54"/>
    <n v="4"/>
    <n v="4"/>
    <n v="0"/>
    <n v="59"/>
    <n v="11"/>
    <n v="0"/>
    <n v="0"/>
    <n v="2"/>
    <n v="0"/>
    <n v="5"/>
    <n v="0"/>
    <n v="7"/>
    <n v="1"/>
    <n v="0"/>
    <n v="3"/>
  </r>
  <r>
    <n v="1113"/>
    <d v="2024-12-09T11:31:43"/>
    <d v="2024-12-09T11:35:04"/>
    <s v="eadisoni@lighthouse.org.mw"/>
    <s v="Eliza adisoni"/>
    <x v="5"/>
    <s v="COE"/>
    <x v="1"/>
    <s v="COP_23"/>
    <x v="2"/>
    <x v="0"/>
    <s v="Quarter1"/>
    <x v="0"/>
    <x v="1"/>
    <d v="2024-11-01T00:00:00"/>
    <d v="2024-11-30T00:00:00"/>
    <x v="3"/>
    <n v="0"/>
    <n v="0"/>
    <n v="0"/>
    <n v="0"/>
    <n v="0"/>
    <n v="0"/>
    <n v="0"/>
    <n v="0"/>
    <n v="0"/>
    <n v="0"/>
    <n v="0"/>
    <n v="0"/>
    <n v="0"/>
    <n v="0"/>
    <n v="0"/>
    <n v="0"/>
    <n v="0"/>
    <n v="0"/>
    <n v="0"/>
    <n v="0"/>
    <n v="0"/>
    <n v="0"/>
    <n v="0"/>
    <n v="0"/>
  </r>
  <r>
    <n v="1114"/>
    <d v="2024-12-09T11:35:19"/>
    <d v="2024-12-09T11:41:06"/>
    <s v="eadisoni@lighthouse.org.mw"/>
    <s v="Eliza adisoni"/>
    <x v="5"/>
    <s v="COE"/>
    <x v="1"/>
    <s v="COP_23"/>
    <x v="2"/>
    <x v="0"/>
    <s v="Quarter1"/>
    <x v="0"/>
    <x v="1"/>
    <d v="2024-11-01T00:00:00"/>
    <d v="2024-11-30T00:00:00"/>
    <x v="4"/>
    <n v="6"/>
    <n v="1"/>
    <n v="4"/>
    <n v="0"/>
    <n v="2"/>
    <n v="0"/>
    <n v="6"/>
    <n v="2"/>
    <n v="2"/>
    <n v="0"/>
    <n v="0"/>
    <n v="0"/>
    <n v="2"/>
    <n v="0"/>
    <n v="0"/>
    <n v="0"/>
    <n v="0"/>
    <n v="0"/>
    <n v="0"/>
    <n v="0"/>
    <n v="0"/>
    <n v="0"/>
    <n v="0"/>
    <n v="0"/>
  </r>
  <r>
    <n v="1115"/>
    <d v="2024-12-09T11:41:16"/>
    <d v="2024-12-09T11:45:04"/>
    <s v="eadisoni@lighthouse.org.mw"/>
    <s v="Eliza adisoni"/>
    <x v="5"/>
    <s v="COE"/>
    <x v="1"/>
    <s v="COP_23"/>
    <x v="2"/>
    <x v="0"/>
    <s v="Quarter1"/>
    <x v="0"/>
    <x v="1"/>
    <d v="2024-11-01T00:00:00"/>
    <d v="2024-11-30T00:00:00"/>
    <x v="5"/>
    <n v="26"/>
    <n v="3"/>
    <n v="15"/>
    <n v="1"/>
    <n v="8"/>
    <n v="2"/>
    <n v="26"/>
    <n v="11"/>
    <n v="12"/>
    <n v="0"/>
    <n v="2"/>
    <n v="0"/>
    <n v="9"/>
    <n v="1"/>
    <n v="0"/>
    <n v="0"/>
    <n v="0"/>
    <n v="0"/>
    <n v="0"/>
    <n v="0"/>
    <n v="0"/>
    <n v="0"/>
    <n v="0"/>
    <n v="0"/>
  </r>
  <r>
    <n v="1116"/>
    <d v="2024-12-09T11:45:18"/>
    <d v="2024-12-09T11:48:00"/>
    <s v="eadisoni@lighthouse.org.mw"/>
    <s v="Eliza adisoni"/>
    <x v="5"/>
    <s v="COE"/>
    <x v="1"/>
    <s v="COP_23"/>
    <x v="2"/>
    <x v="0"/>
    <s v="Quarter1"/>
    <x v="0"/>
    <x v="1"/>
    <d v="2024-11-01T00:00:00"/>
    <d v="2024-11-30T00:00:00"/>
    <x v="2"/>
    <n v="4"/>
    <n v="1"/>
    <n v="3"/>
    <n v="0"/>
    <n v="1"/>
    <n v="0"/>
    <n v="3"/>
    <n v="0"/>
    <n v="1"/>
    <n v="1"/>
    <n v="0"/>
    <n v="0"/>
    <n v="1"/>
    <n v="0"/>
    <n v="0"/>
    <n v="0"/>
    <n v="0"/>
    <n v="0"/>
    <n v="0"/>
    <n v="0"/>
    <n v="0"/>
    <n v="0"/>
    <n v="0"/>
    <n v="0"/>
  </r>
  <r>
    <n v="1117"/>
    <d v="2024-12-09T11:48:14"/>
    <d v="2024-12-09T11:52:57"/>
    <s v="eadisoni@lighthouse.org.mw"/>
    <s v="Eliza adisoni"/>
    <x v="5"/>
    <s v="COE"/>
    <x v="1"/>
    <s v="COP_23"/>
    <x v="2"/>
    <x v="0"/>
    <s v="Quarter1"/>
    <x v="0"/>
    <x v="1"/>
    <d v="2024-11-01T00:00:00"/>
    <d v="2024-11-30T00:00:00"/>
    <x v="6"/>
    <n v="105"/>
    <n v="59"/>
    <n v="54"/>
    <n v="10"/>
    <n v="11"/>
    <n v="30"/>
    <n v="105"/>
    <n v="48"/>
    <n v="51"/>
    <n v="7"/>
    <n v="14"/>
    <n v="8"/>
    <n v="48"/>
    <n v="12"/>
    <n v="1"/>
    <n v="0"/>
    <n v="11"/>
    <n v="2"/>
    <n v="29"/>
    <n v="8"/>
    <n v="6"/>
    <n v="0"/>
    <n v="0"/>
    <n v="0"/>
  </r>
  <r>
    <n v="1131"/>
    <d v="2024-12-13T13:54:46"/>
    <d v="2024-12-13T14:03:38"/>
    <s v="bsamala@lighthouse.org.mw"/>
    <s v="Benadetta Samala"/>
    <x v="5"/>
    <s v="COE"/>
    <x v="1"/>
    <s v="COP_23"/>
    <x v="2"/>
    <x v="0"/>
    <s v="Quarter1"/>
    <x v="0"/>
    <x v="1"/>
    <d v="2024-11-01T00:00:00"/>
    <d v="2024-11-30T00:00:00"/>
    <x v="1"/>
    <n v="44"/>
    <n v="20"/>
    <n v="25"/>
    <n v="1"/>
    <n v="13"/>
    <n v="5"/>
    <n v="41"/>
    <n v="20"/>
    <n v="20"/>
    <n v="2"/>
    <n v="1"/>
    <n v="0"/>
    <n v="19"/>
    <n v="2"/>
    <n v="0"/>
    <n v="0"/>
    <n v="3"/>
    <n v="1"/>
    <n v="6"/>
    <n v="1"/>
    <n v="0"/>
    <n v="0"/>
    <n v="0"/>
    <n v="0"/>
  </r>
  <r>
    <n v="1225"/>
    <d v="2025-01-09T13:55:34"/>
    <d v="2025-01-09T13:58:34"/>
    <s v="eadisoni@lighthouse.org.mw"/>
    <s v="Eliza adisoni"/>
    <x v="5"/>
    <s v="COE"/>
    <x v="1"/>
    <s v="COP_23"/>
    <x v="2"/>
    <x v="0"/>
    <s v="Quarter1"/>
    <x v="0"/>
    <x v="11"/>
    <d v="2024-12-01T00:00:00"/>
    <d v="2024-12-31T00:00:00"/>
    <x v="1"/>
    <n v="36"/>
    <n v="14"/>
    <n v="19"/>
    <n v="1"/>
    <n v="9"/>
    <n v="7"/>
    <n v="36"/>
    <n v="18"/>
    <n v="18"/>
    <n v="1"/>
    <n v="1"/>
    <n v="1"/>
    <n v="14"/>
    <n v="5"/>
    <n v="0"/>
    <n v="0"/>
    <n v="4"/>
    <n v="0"/>
    <n v="8"/>
    <n v="3"/>
    <n v="1"/>
    <n v="0"/>
    <n v="0"/>
    <n v="0"/>
  </r>
  <r>
    <n v="1226"/>
    <d v="2025-01-09T13:58:53"/>
    <d v="2025-01-09T14:01:50"/>
    <s v="eadisoni@lighthouse.org.mw"/>
    <s v="Eliza adisoni"/>
    <x v="5"/>
    <s v="COE"/>
    <x v="1"/>
    <s v="COP_23"/>
    <x v="2"/>
    <x v="0"/>
    <s v="Quarter1"/>
    <x v="0"/>
    <x v="11"/>
    <d v="2024-12-01T00:00:00"/>
    <d v="2024-12-31T00:00:00"/>
    <x v="5"/>
    <n v="24"/>
    <n v="6"/>
    <n v="14"/>
    <n v="2"/>
    <n v="5"/>
    <n v="3"/>
    <n v="24"/>
    <n v="8"/>
    <n v="9"/>
    <n v="2"/>
    <n v="0"/>
    <n v="0"/>
    <n v="7"/>
    <n v="0"/>
    <n v="0"/>
    <n v="0"/>
    <n v="0"/>
    <n v="0"/>
    <n v="0"/>
    <n v="0"/>
    <n v="0"/>
    <n v="0"/>
    <n v="1"/>
    <n v="0"/>
  </r>
  <r>
    <n v="1227"/>
    <d v="2025-01-09T14:02:22"/>
    <d v="2025-01-09T14:05:53"/>
    <s v="eadisoni@lighthouse.org.mw"/>
    <s v="Eliza adisoni"/>
    <x v="5"/>
    <s v="COE"/>
    <x v="1"/>
    <s v="COP_24"/>
    <x v="2"/>
    <x v="0"/>
    <s v="Quarter1"/>
    <x v="0"/>
    <x v="11"/>
    <d v="2024-12-01T00:00:00"/>
    <d v="2024-12-31T00:00:00"/>
    <x v="0"/>
    <n v="140"/>
    <n v="27"/>
    <n v="95"/>
    <n v="7"/>
    <n v="29"/>
    <n v="9"/>
    <n v="140"/>
    <n v="42"/>
    <n v="41"/>
    <n v="5"/>
    <n v="0"/>
    <n v="0"/>
    <n v="40"/>
    <n v="3"/>
    <n v="1"/>
    <n v="0"/>
    <n v="1"/>
    <n v="0"/>
    <n v="0"/>
    <n v="0"/>
    <n v="1"/>
    <n v="1"/>
    <n v="1"/>
    <n v="0"/>
  </r>
  <r>
    <n v="1228"/>
    <d v="2025-01-09T14:06:07"/>
    <d v="2025-01-09T14:08:24"/>
    <s v="eadisoni@lighthouse.org.mw"/>
    <s v="Eliza adisoni"/>
    <x v="5"/>
    <s v="COE"/>
    <x v="1"/>
    <s v="COP_23"/>
    <x v="2"/>
    <x v="0"/>
    <s v="Quarter1"/>
    <x v="0"/>
    <x v="11"/>
    <d v="2024-12-01T00:00:00"/>
    <d v="2024-12-31T00:00:00"/>
    <x v="4"/>
    <n v="2"/>
    <n v="0"/>
    <n v="2"/>
    <n v="0"/>
    <n v="0"/>
    <n v="0"/>
    <n v="2"/>
    <n v="0"/>
    <n v="1"/>
    <n v="0"/>
    <n v="0"/>
    <n v="0"/>
    <n v="1"/>
    <n v="0"/>
    <n v="0"/>
    <n v="0"/>
    <n v="0"/>
    <n v="0"/>
    <n v="0"/>
    <n v="0"/>
    <n v="0"/>
    <n v="0"/>
    <n v="0"/>
    <n v="0"/>
  </r>
  <r>
    <n v="1229"/>
    <d v="2025-01-09T14:08:35"/>
    <d v="2025-01-09T14:09:56"/>
    <s v="eadisoni@lighthouse.org.mw"/>
    <s v="Eliza adisoni"/>
    <x v="5"/>
    <s v="COE"/>
    <x v="1"/>
    <s v="COP_23"/>
    <x v="2"/>
    <x v="0"/>
    <s v="Quarter1"/>
    <x v="0"/>
    <x v="11"/>
    <d v="2024-12-01T00:00:00"/>
    <d v="2024-12-31T00:00:00"/>
    <x v="3"/>
    <n v="0"/>
    <n v="0"/>
    <n v="0"/>
    <n v="0"/>
    <n v="0"/>
    <n v="0"/>
    <n v="0"/>
    <n v="0"/>
    <n v="0"/>
    <n v="0"/>
    <n v="0"/>
    <n v="0"/>
    <n v="0"/>
    <n v="0"/>
    <n v="0"/>
    <n v="0"/>
    <n v="0"/>
    <n v="0"/>
    <n v="0"/>
    <n v="0"/>
    <n v="0"/>
    <n v="0"/>
    <n v="0"/>
    <n v="0"/>
  </r>
  <r>
    <n v="1230"/>
    <d v="2025-01-09T14:10:12"/>
    <d v="2025-01-09T14:15:42"/>
    <s v="eadisoni@lighthouse.org.mw"/>
    <s v="Eliza adisoni"/>
    <x v="5"/>
    <s v="COE"/>
    <x v="1"/>
    <s v="COP_23"/>
    <x v="2"/>
    <x v="0"/>
    <s v="Quarter1"/>
    <x v="0"/>
    <x v="11"/>
    <d v="2024-12-01T00:00:00"/>
    <d v="2024-12-31T00:00:00"/>
    <x v="2"/>
    <n v="6"/>
    <n v="0"/>
    <n v="5"/>
    <n v="1"/>
    <n v="0"/>
    <n v="0"/>
    <n v="6"/>
    <n v="1"/>
    <n v="1"/>
    <n v="1"/>
    <n v="0"/>
    <n v="0"/>
    <n v="0"/>
    <n v="1"/>
    <n v="0"/>
    <n v="0"/>
    <n v="0"/>
    <n v="0"/>
    <n v="0"/>
    <n v="0"/>
    <n v="0"/>
    <n v="0"/>
    <n v="0"/>
    <n v="0"/>
  </r>
  <r>
    <n v="1231"/>
    <d v="2025-01-09T14:16:05"/>
    <d v="2025-01-09T14:19:26"/>
    <s v="eadisoni@lighthouse.org.mw"/>
    <s v="Eliza adisoni"/>
    <x v="5"/>
    <s v="COE"/>
    <x v="1"/>
    <s v="COP_23"/>
    <x v="2"/>
    <x v="0"/>
    <s v="Quarter1"/>
    <x v="0"/>
    <x v="11"/>
    <d v="2024-12-01T00:00:00"/>
    <d v="2024-12-31T00:00:00"/>
    <x v="6"/>
    <n v="96"/>
    <n v="71"/>
    <n v="65"/>
    <n v="3"/>
    <n v="12"/>
    <n v="16"/>
    <n v="96"/>
    <n v="38"/>
    <n v="39"/>
    <n v="3"/>
    <n v="5"/>
    <n v="3"/>
    <n v="37"/>
    <n v="4"/>
    <n v="0"/>
    <n v="0"/>
    <n v="12"/>
    <n v="2"/>
    <n v="31"/>
    <n v="6"/>
    <n v="6"/>
    <n v="0"/>
    <n v="0"/>
    <n v="0"/>
  </r>
  <r>
    <n v="1445"/>
    <d v="2025-03-19T08:57:02"/>
    <d v="2025-03-19T09:10:27"/>
    <s v="jmakoza@lighthouse.org.mw"/>
    <s v="Jonathan Makoza"/>
    <x v="5"/>
    <s v="COE"/>
    <x v="2"/>
    <s v="COP_23"/>
    <x v="2"/>
    <x v="2"/>
    <s v="Quarter2"/>
    <x v="2"/>
    <x v="4"/>
    <d v="2025-01-01T00:00:00"/>
    <d v="2025-01-31T00:00:00"/>
    <x v="0"/>
    <n v="156"/>
    <n v="29"/>
    <n v="101"/>
    <n v="14"/>
    <n v="25"/>
    <n v="16"/>
    <n v="153"/>
    <n v="59"/>
    <n v="55"/>
    <n v="7"/>
    <n v="7"/>
    <n v="1"/>
    <n v="60"/>
    <n v="14"/>
    <n v="1"/>
    <n v="0"/>
    <n v="5"/>
    <n v="3"/>
    <n v="5"/>
    <n v="3"/>
    <n v="11"/>
    <n v="3"/>
    <n v="1"/>
    <n v="0"/>
  </r>
  <r>
    <n v="1446"/>
    <d v="2025-03-19T09:10:55"/>
    <d v="2025-03-19T09:16:53"/>
    <s v="jmakoza@lighthouse.org.mw"/>
    <s v="Jonathan Makoza"/>
    <x v="5"/>
    <s v="COE"/>
    <x v="2"/>
    <s v="COP_23"/>
    <x v="2"/>
    <x v="2"/>
    <s v="Quarter2"/>
    <x v="2"/>
    <x v="4"/>
    <d v="2025-01-01T00:00:00"/>
    <d v="2025-01-31T00:00:00"/>
    <x v="1"/>
    <n v="72"/>
    <n v="18"/>
    <n v="40"/>
    <n v="8"/>
    <n v="13"/>
    <n v="11"/>
    <n v="72"/>
    <n v="35"/>
    <n v="32"/>
    <n v="3"/>
    <n v="2"/>
    <n v="0"/>
    <n v="35"/>
    <n v="10"/>
    <n v="1"/>
    <n v="0"/>
    <n v="5"/>
    <n v="3"/>
    <n v="5"/>
    <n v="3"/>
    <n v="9"/>
    <n v="2"/>
    <n v="1"/>
    <n v="0"/>
  </r>
  <r>
    <n v="1447"/>
    <d v="2025-03-19T09:16:58"/>
    <d v="2025-03-19T09:19:34"/>
    <s v="jmakoza@lighthouse.org.mw"/>
    <s v="Jonathan Makoza"/>
    <x v="5"/>
    <s v="COE"/>
    <x v="2"/>
    <s v="COP_24"/>
    <x v="2"/>
    <x v="2"/>
    <s v="Quarter2"/>
    <x v="2"/>
    <x v="4"/>
    <d v="2025-01-01T00:00:00"/>
    <d v="2025-01-31T00:00:00"/>
    <x v="3"/>
    <n v="0"/>
    <n v="0"/>
    <n v="0"/>
    <n v="0"/>
    <n v="0"/>
    <n v="0"/>
    <n v="0"/>
    <n v="0"/>
    <n v="0"/>
    <n v="0"/>
    <n v="0"/>
    <n v="0"/>
    <n v="0"/>
    <n v="0"/>
    <n v="0"/>
    <n v="0"/>
    <n v="0"/>
    <n v="0"/>
    <n v="0"/>
    <n v="0"/>
    <n v="0"/>
    <n v="0"/>
    <n v="0"/>
    <n v="0"/>
  </r>
  <r>
    <n v="1448"/>
    <d v="2025-03-19T09:19:41"/>
    <d v="2025-03-19T09:22:04"/>
    <s v="jmakoza@lighthouse.org.mw"/>
    <s v="Jonathan Makoza"/>
    <x v="5"/>
    <s v="COE"/>
    <x v="2"/>
    <s v="COP_23"/>
    <x v="2"/>
    <x v="2"/>
    <s v="Quarter2"/>
    <x v="2"/>
    <x v="4"/>
    <d v="2025-01-01T00:00:00"/>
    <d v="2025-01-31T00:00:00"/>
    <x v="4"/>
    <n v="3"/>
    <n v="0"/>
    <n v="2"/>
    <n v="0"/>
    <n v="1"/>
    <n v="0"/>
    <n v="3"/>
    <n v="1"/>
    <n v="0"/>
    <n v="0"/>
    <n v="0"/>
    <n v="0"/>
    <n v="0"/>
    <n v="0"/>
    <n v="0"/>
    <n v="0"/>
    <n v="0"/>
    <n v="0"/>
    <n v="0"/>
    <n v="0"/>
    <n v="0"/>
    <n v="0"/>
    <n v="0"/>
    <n v="0"/>
  </r>
  <r>
    <n v="1449"/>
    <d v="2025-03-19T09:22:41"/>
    <d v="2025-03-19T09:25:30"/>
    <s v="jmakoza@lighthouse.org.mw"/>
    <s v="Jonathan Makoza"/>
    <x v="5"/>
    <s v="COE"/>
    <x v="2"/>
    <s v="COP_23"/>
    <x v="2"/>
    <x v="2"/>
    <s v="Quarter2"/>
    <x v="2"/>
    <x v="4"/>
    <d v="2025-01-01T00:00:00"/>
    <d v="2025-01-31T00:00:00"/>
    <x v="5"/>
    <n v="15"/>
    <n v="2"/>
    <n v="11"/>
    <n v="1"/>
    <n v="3"/>
    <n v="0"/>
    <n v="15"/>
    <n v="7"/>
    <n v="15"/>
    <n v="7"/>
    <n v="0"/>
    <n v="0"/>
    <n v="6"/>
    <n v="0"/>
    <n v="0"/>
    <n v="0"/>
    <n v="0"/>
    <n v="0"/>
    <n v="0"/>
    <n v="0"/>
    <n v="0"/>
    <n v="0"/>
    <n v="0"/>
    <n v="0"/>
  </r>
  <r>
    <n v="1450"/>
    <d v="2025-03-19T09:25:37"/>
    <d v="2025-03-19T09:28:18"/>
    <s v="jmakoza@lighthouse.org.mw"/>
    <s v="Jonathan Makoza"/>
    <x v="5"/>
    <s v="COE"/>
    <x v="2"/>
    <s v="COP_23"/>
    <x v="2"/>
    <x v="2"/>
    <s v="Quarter2"/>
    <x v="2"/>
    <x v="4"/>
    <d v="2025-01-01T00:00:00"/>
    <d v="2025-01-31T00:00:00"/>
    <x v="2"/>
    <n v="2"/>
    <n v="2"/>
    <n v="0"/>
    <n v="0"/>
    <n v="2"/>
    <n v="0"/>
    <n v="2"/>
    <n v="2"/>
    <n v="2"/>
    <n v="0"/>
    <n v="1"/>
    <n v="0"/>
    <n v="1"/>
    <n v="0"/>
    <n v="0"/>
    <n v="0"/>
    <n v="0"/>
    <n v="0"/>
    <n v="0"/>
    <n v="0"/>
    <n v="0"/>
    <n v="1"/>
    <n v="0"/>
    <n v="0"/>
  </r>
  <r>
    <n v="1451"/>
    <d v="2025-03-19T09:29:12"/>
    <d v="2025-03-19T09:34:34"/>
    <s v="jmakoza@lighthouse.org.mw"/>
    <s v="Jonathan Makoza"/>
    <x v="5"/>
    <s v="COE"/>
    <x v="2"/>
    <s v="COP_23"/>
    <x v="2"/>
    <x v="2"/>
    <s v="Quarter2"/>
    <x v="2"/>
    <x v="5"/>
    <d v="2025-02-01T00:00:00"/>
    <d v="2025-02-28T00:00:00"/>
    <x v="0"/>
    <n v="129"/>
    <n v="10"/>
    <n v="93"/>
    <n v="10"/>
    <n v="16"/>
    <n v="10"/>
    <n v="118"/>
    <n v="42"/>
    <n v="46"/>
    <n v="1"/>
    <n v="0"/>
    <n v="0"/>
    <n v="55"/>
    <n v="7"/>
    <n v="0"/>
    <n v="0"/>
    <n v="3"/>
    <n v="2"/>
    <n v="0"/>
    <n v="0"/>
    <n v="5"/>
    <n v="0"/>
    <n v="0"/>
    <n v="1"/>
  </r>
  <r>
    <n v="1452"/>
    <d v="2025-03-19T09:34:41"/>
    <d v="2025-03-19T09:38:59"/>
    <s v="jmakoza@lighthouse.org.mw"/>
    <s v="Jonathan Makoza"/>
    <x v="5"/>
    <s v="COE"/>
    <x v="2"/>
    <s v="COP_23"/>
    <x v="2"/>
    <x v="2"/>
    <s v="Quarter2"/>
    <x v="2"/>
    <x v="5"/>
    <d v="2025-02-01T00:00:00"/>
    <d v="2025-02-28T00:00:00"/>
    <x v="1"/>
    <n v="36"/>
    <n v="4"/>
    <n v="24"/>
    <n v="2"/>
    <n v="5"/>
    <n v="5"/>
    <n v="35"/>
    <n v="17"/>
    <n v="15"/>
    <n v="0"/>
    <n v="0"/>
    <n v="0"/>
    <n v="17"/>
    <n v="4"/>
    <n v="0"/>
    <n v="0"/>
    <n v="3"/>
    <n v="2"/>
    <n v="0"/>
    <n v="0"/>
    <n v="2"/>
    <n v="0"/>
    <n v="0"/>
    <n v="0"/>
  </r>
  <r>
    <n v="1453"/>
    <d v="2025-03-19T09:39:49"/>
    <d v="2025-03-19T09:45:09"/>
    <s v="jmakoza@lighthouse.org.mw"/>
    <s v="Jonathan Makoza"/>
    <x v="5"/>
    <s v="COE"/>
    <x v="1"/>
    <s v="COP_23"/>
    <x v="2"/>
    <x v="2"/>
    <s v="Quarter2"/>
    <x v="2"/>
    <x v="5"/>
    <d v="2025-02-01T00:00:00"/>
    <d v="2025-02-28T00:00:00"/>
    <x v="3"/>
    <n v="0"/>
    <n v="0"/>
    <n v="0"/>
    <n v="0"/>
    <n v="0"/>
    <n v="0"/>
    <n v="0"/>
    <n v="0"/>
    <n v="0"/>
    <n v="0"/>
    <n v="0"/>
    <n v="0"/>
    <n v="0"/>
    <n v="0"/>
    <n v="0"/>
    <n v="0"/>
    <n v="0"/>
    <n v="0"/>
    <n v="0"/>
    <n v="0"/>
    <n v="0"/>
    <n v="0"/>
    <n v="0"/>
    <n v="0"/>
  </r>
  <r>
    <n v="1454"/>
    <d v="2025-03-19T09:45:17"/>
    <d v="2025-03-19T09:47:08"/>
    <s v="jmakoza@lighthouse.org.mw"/>
    <s v="Jonathan Makoza"/>
    <x v="5"/>
    <s v="COE"/>
    <x v="2"/>
    <s v="COP_23"/>
    <x v="2"/>
    <x v="2"/>
    <s v="Quarter2"/>
    <x v="2"/>
    <x v="5"/>
    <d v="2025-02-01T00:00:00"/>
    <d v="2025-02-28T00:00:00"/>
    <x v="4"/>
    <n v="2"/>
    <n v="0"/>
    <n v="2"/>
    <n v="0"/>
    <n v="0"/>
    <n v="0"/>
    <n v="1"/>
    <n v="0"/>
    <n v="0"/>
    <n v="0"/>
    <n v="0"/>
    <n v="0"/>
    <n v="1"/>
    <n v="0"/>
    <n v="0"/>
    <n v="0"/>
    <n v="0"/>
    <n v="0"/>
    <n v="0"/>
    <n v="0"/>
    <n v="0"/>
    <n v="0"/>
    <n v="0"/>
    <n v="0"/>
  </r>
  <r>
    <n v="1455"/>
    <d v="2025-03-19T09:48:25"/>
    <d v="2025-03-19T09:51:00"/>
    <s v="jmakoza@lighthouse.org.mw"/>
    <s v="Jonathan Makoza"/>
    <x v="5"/>
    <s v="COE"/>
    <x v="2"/>
    <s v="COP_23"/>
    <x v="2"/>
    <x v="2"/>
    <s v="Quarter2"/>
    <x v="2"/>
    <x v="5"/>
    <d v="2025-02-01T00:00:00"/>
    <d v="2025-02-28T00:00:00"/>
    <x v="5"/>
    <n v="6"/>
    <n v="0"/>
    <n v="5"/>
    <n v="0"/>
    <n v="0"/>
    <n v="1"/>
    <n v="6"/>
    <n v="0"/>
    <n v="0"/>
    <n v="0"/>
    <n v="0"/>
    <n v="0"/>
    <n v="2"/>
    <n v="0"/>
    <n v="0"/>
    <n v="0"/>
    <n v="0"/>
    <n v="0"/>
    <n v="0"/>
    <n v="0"/>
    <n v="0"/>
    <n v="0"/>
    <n v="0"/>
    <n v="0"/>
  </r>
  <r>
    <n v="1456"/>
    <d v="2025-03-19T09:51:05"/>
    <d v="2025-03-19T09:56:49"/>
    <s v="jmakoza@lighthouse.org.mw"/>
    <s v="Jonathan Makoza"/>
    <x v="5"/>
    <s v="COE"/>
    <x v="2"/>
    <s v="COP_23"/>
    <x v="2"/>
    <x v="2"/>
    <s v="Quarter2"/>
    <x v="2"/>
    <x v="5"/>
    <d v="2025-02-01T00:00:00"/>
    <d v="2025-02-28T00:00:00"/>
    <x v="2"/>
    <n v="4"/>
    <n v="0"/>
    <n v="3"/>
    <n v="0"/>
    <n v="0"/>
    <n v="4"/>
    <n v="4"/>
    <n v="1"/>
    <n v="1"/>
    <n v="0"/>
    <n v="0"/>
    <n v="0"/>
    <n v="1"/>
    <n v="0"/>
    <n v="0"/>
    <n v="0"/>
    <n v="0"/>
    <n v="0"/>
    <n v="0"/>
    <n v="0"/>
    <n v="0"/>
    <n v="0"/>
    <n v="0"/>
    <n v="0"/>
  </r>
  <r>
    <n v="1464"/>
    <d v="2025-03-20T15:31:38"/>
    <d v="2025-03-20T15:37:16"/>
    <s v="jmakoza@lighthouse.org.mw"/>
    <s v="Jonathan Makoza"/>
    <x v="5"/>
    <s v="COE"/>
    <x v="2"/>
    <s v="COP_23"/>
    <x v="2"/>
    <x v="2"/>
    <s v="Quarter2"/>
    <x v="2"/>
    <x v="4"/>
    <d v="2025-01-01T00:00:00"/>
    <d v="2025-01-31T00:00:00"/>
    <x v="6"/>
    <n v="73"/>
    <n v="51"/>
    <n v="29"/>
    <n v="6"/>
    <n v="15"/>
    <n v="24"/>
    <n v="69"/>
    <n v="25"/>
    <n v="31"/>
    <n v="2"/>
    <n v="5"/>
    <n v="2"/>
    <n v="27"/>
    <n v="7"/>
    <n v="1"/>
    <n v="1"/>
    <n v="8"/>
    <n v="5"/>
    <n v="19"/>
    <n v="4"/>
    <n v="8"/>
    <n v="1"/>
    <n v="0"/>
    <n v="1"/>
  </r>
  <r>
    <n v="1465"/>
    <d v="2025-03-20T15:37:21"/>
    <d v="2025-03-20T15:39:31"/>
    <s v="jmakoza@lighthouse.org.mw"/>
    <s v="Jonathan Makoza"/>
    <x v="5"/>
    <s v="COE"/>
    <x v="2"/>
    <s v="COP_23"/>
    <x v="2"/>
    <x v="2"/>
    <s v="Quarter2"/>
    <x v="2"/>
    <x v="5"/>
    <d v="2025-02-01T00:00:00"/>
    <d v="2025-02-28T00:00:00"/>
    <x v="6"/>
    <n v="80"/>
    <n v="43"/>
    <n v="41"/>
    <n v="8"/>
    <n v="5"/>
    <n v="25"/>
    <n v="80"/>
    <n v="29"/>
    <n v="35"/>
    <n v="5"/>
    <n v="8"/>
    <n v="4"/>
    <n v="32"/>
    <n v="5"/>
    <n v="3"/>
    <n v="1"/>
    <n v="6"/>
    <n v="5"/>
    <n v="17"/>
    <n v="7"/>
    <n v="11"/>
    <n v="5"/>
    <n v="0"/>
    <n v="4"/>
  </r>
  <r>
    <n v="1520"/>
    <d v="2025-04-10T14:34:08"/>
    <d v="2025-04-10T14:37:38"/>
    <s v="jmakoza@lighthouse.org.mw"/>
    <s v="Jonathan Makoza"/>
    <x v="5"/>
    <s v="COE"/>
    <x v="2"/>
    <s v="COP_23"/>
    <x v="2"/>
    <x v="2"/>
    <s v="Quarter2"/>
    <x v="2"/>
    <x v="3"/>
    <d v="2025-03-01T00:00:00"/>
    <d v="2025-03-31T00:00:00"/>
    <x v="0"/>
    <n v="148"/>
    <n v="17"/>
    <n v="92"/>
    <n v="29"/>
    <n v="17"/>
    <n v="10"/>
    <n v="139"/>
    <n v="55"/>
    <n v="41"/>
    <n v="2"/>
    <n v="3"/>
    <n v="2"/>
    <n v="53"/>
    <n v="4"/>
    <n v="1"/>
    <n v="0"/>
    <n v="2"/>
    <n v="0"/>
    <n v="28"/>
    <n v="3"/>
    <n v="4"/>
    <n v="2"/>
    <n v="0"/>
    <n v="2"/>
  </r>
  <r>
    <n v="1521"/>
    <d v="2025-04-10T14:37:55"/>
    <d v="2025-04-10T14:41:50"/>
    <s v="jmakoza@lighthouse.org.mw"/>
    <s v="Jonathan Makoza"/>
    <x v="5"/>
    <s v="COE"/>
    <x v="2"/>
    <s v="COP_23"/>
    <x v="2"/>
    <x v="2"/>
    <s v="Quarter2"/>
    <x v="2"/>
    <x v="3"/>
    <d v="2025-03-01T00:00:00"/>
    <d v="2025-03-31T00:00:00"/>
    <x v="1"/>
    <n v="38"/>
    <n v="7"/>
    <n v="17"/>
    <n v="10"/>
    <n v="7"/>
    <n v="4"/>
    <n v="37"/>
    <n v="22"/>
    <n v="18"/>
    <n v="0"/>
    <n v="1"/>
    <n v="0"/>
    <n v="21"/>
    <n v="2"/>
    <n v="1"/>
    <n v="0"/>
    <n v="0"/>
    <n v="0"/>
    <n v="14"/>
    <n v="3"/>
    <n v="0"/>
    <n v="0"/>
    <n v="0"/>
    <n v="2"/>
  </r>
  <r>
    <n v="1522"/>
    <d v="2025-04-10T14:41:54"/>
    <d v="2025-04-10T14:44:58"/>
    <s v="jmakoza@lighthouse.org.mw"/>
    <s v="Jonathan Makoza"/>
    <x v="5"/>
    <s v="COE"/>
    <x v="2"/>
    <s v="COP_24"/>
    <x v="2"/>
    <x v="2"/>
    <s v="Quarter2"/>
    <x v="2"/>
    <x v="3"/>
    <d v="2025-03-01T00:00:00"/>
    <d v="2025-03-31T00:00:00"/>
    <x v="2"/>
    <n v="10"/>
    <n v="0"/>
    <n v="6"/>
    <n v="3"/>
    <n v="1"/>
    <n v="0"/>
    <n v="9"/>
    <n v="4"/>
    <n v="2"/>
    <n v="0"/>
    <n v="0"/>
    <n v="0"/>
    <n v="2"/>
    <n v="0"/>
    <n v="0"/>
    <n v="0"/>
    <n v="0"/>
    <n v="0"/>
    <n v="1"/>
    <n v="0"/>
    <n v="0"/>
    <n v="0"/>
    <n v="0"/>
    <n v="0"/>
  </r>
  <r>
    <n v="1523"/>
    <d v="2025-04-10T14:45:22"/>
    <d v="2025-04-10T14:47:40"/>
    <s v="jmakoza@lighthouse.org.mw"/>
    <s v="Jonathan Makoza"/>
    <x v="5"/>
    <s v="COE"/>
    <x v="2"/>
    <s v="COP_24"/>
    <x v="2"/>
    <x v="2"/>
    <s v="Quarter2"/>
    <x v="2"/>
    <x v="3"/>
    <d v="2025-03-01T00:00:00"/>
    <d v="2025-03-31T00:00:00"/>
    <x v="5"/>
    <n v="10"/>
    <n v="1"/>
    <n v="8"/>
    <n v="1"/>
    <n v="1"/>
    <n v="0"/>
    <n v="10"/>
    <n v="3"/>
    <n v="3"/>
    <n v="0"/>
    <n v="0"/>
    <n v="0"/>
    <n v="3"/>
    <n v="0"/>
    <n v="0"/>
    <n v="0"/>
    <n v="0"/>
    <n v="0"/>
    <n v="2"/>
    <n v="0"/>
    <n v="0"/>
    <n v="0"/>
    <n v="0"/>
    <n v="0"/>
  </r>
  <r>
    <n v="1524"/>
    <d v="2025-04-10T14:47:45"/>
    <d v="2025-04-10T14:50:24"/>
    <s v="jmakoza@lighthouse.org.mw"/>
    <s v="Jonathan Makoza"/>
    <x v="5"/>
    <s v="COE"/>
    <x v="2"/>
    <s v="COP_24"/>
    <x v="2"/>
    <x v="2"/>
    <s v="Quarter2"/>
    <x v="2"/>
    <x v="3"/>
    <d v="2025-03-01T00:00:00"/>
    <d v="2025-03-31T00:00:00"/>
    <x v="3"/>
    <n v="1"/>
    <n v="0"/>
    <n v="0"/>
    <n v="0"/>
    <n v="0"/>
    <n v="1"/>
    <n v="0"/>
    <n v="0"/>
    <n v="0"/>
    <n v="0"/>
    <n v="0"/>
    <n v="0"/>
    <n v="0"/>
    <n v="0"/>
    <n v="0"/>
    <n v="0"/>
    <n v="0"/>
    <n v="0"/>
    <n v="1"/>
    <n v="0"/>
    <n v="0"/>
    <n v="0"/>
    <n v="0"/>
    <n v="0"/>
  </r>
  <r>
    <n v="1525"/>
    <d v="2025-04-10T14:50:35"/>
    <d v="2025-04-10T14:53:28"/>
    <s v="jmakoza@lighthouse.org.mw"/>
    <s v="Jonathan Makoza"/>
    <x v="5"/>
    <s v="COE"/>
    <x v="2"/>
    <s v="COP_24"/>
    <x v="2"/>
    <x v="2"/>
    <s v="Quarter2"/>
    <x v="2"/>
    <x v="3"/>
    <d v="2025-03-01T00:00:00"/>
    <d v="2025-03-31T00:00:00"/>
    <x v="4"/>
    <n v="1"/>
    <n v="0"/>
    <n v="1"/>
    <n v="0"/>
    <n v="0"/>
    <n v="0"/>
    <n v="1"/>
    <n v="0"/>
    <n v="0"/>
    <n v="0"/>
    <n v="0"/>
    <n v="0"/>
    <n v="0"/>
    <n v="0"/>
    <n v="0"/>
    <n v="0"/>
    <n v="0"/>
    <n v="0"/>
    <n v="0"/>
    <n v="0"/>
    <n v="0"/>
    <n v="0"/>
    <n v="0"/>
    <n v="0"/>
  </r>
  <r>
    <n v="1526"/>
    <d v="2025-04-10T15:44:07"/>
    <d v="2025-04-10T15:46:47"/>
    <s v="jmakoza@lighthouse.org.mw"/>
    <s v="Jonathan Makoza"/>
    <x v="5"/>
    <s v="COE"/>
    <x v="2"/>
    <s v="COP_24"/>
    <x v="2"/>
    <x v="2"/>
    <s v="Quarter2"/>
    <x v="2"/>
    <x v="3"/>
    <d v="2025-03-01T00:00:00"/>
    <d v="2025-03-31T00:00:00"/>
    <x v="6"/>
    <n v="142"/>
    <n v="88"/>
    <n v="53"/>
    <n v="10"/>
    <n v="29"/>
    <n v="51"/>
    <n v="143"/>
    <n v="65"/>
    <n v="62"/>
    <n v="8"/>
    <n v="18"/>
    <n v="5"/>
    <n v="54"/>
    <n v="7"/>
    <n v="2"/>
    <n v="0"/>
    <n v="5"/>
    <n v="4"/>
    <n v="50"/>
    <n v="14"/>
    <n v="17"/>
    <n v="4"/>
    <n v="1"/>
    <n v="5"/>
  </r>
  <r>
    <n v="1692"/>
    <d v="2025-06-23T15:36:02"/>
    <d v="2025-06-23T15:36:32"/>
    <s v="tsatumba@lighthouse.org.mw"/>
    <s v="Thomas Satumba"/>
    <x v="5"/>
    <s v="COE"/>
    <x v="2"/>
    <s v="COP_24"/>
    <x v="3"/>
    <x v="1"/>
    <s v="Quarter3"/>
    <x v="4"/>
    <x v="7"/>
    <d v="2025-04-01T00:00:00"/>
    <d v="2025-04-30T00:00:00"/>
    <x v="1"/>
    <n v="29"/>
    <n v="3"/>
    <n v="18"/>
    <n v="3"/>
    <n v="3"/>
    <n v="5"/>
    <n v="29"/>
    <n v="11"/>
    <n v="12"/>
    <n v="0"/>
    <n v="1"/>
    <n v="0"/>
    <n v="12"/>
    <n v="2"/>
    <n v="2"/>
    <n v="0"/>
    <n v="2"/>
    <n v="1"/>
    <n v="7"/>
    <n v="1"/>
    <n v="3"/>
    <n v="0"/>
    <n v="0"/>
    <n v="0"/>
  </r>
  <r>
    <n v="1693"/>
    <d v="2025-06-23T15:36:35"/>
    <d v="2025-06-23T15:38:33"/>
    <s v="tsatumba@lighthouse.org.mw"/>
    <s v="Thomas Satumba"/>
    <x v="5"/>
    <s v="COE"/>
    <x v="2"/>
    <s v="COP_24"/>
    <x v="3"/>
    <x v="1"/>
    <s v="Quarter3"/>
    <x v="4"/>
    <x v="7"/>
    <d v="2025-04-01T00:00:00"/>
    <d v="2025-04-30T00:00:00"/>
    <x v="3"/>
    <n v="0"/>
    <n v="0"/>
    <n v="0"/>
    <n v="0"/>
    <n v="0"/>
    <n v="0"/>
    <n v="0"/>
    <n v="0"/>
    <n v="0"/>
    <n v="0"/>
    <n v="0"/>
    <n v="0"/>
    <n v="0"/>
    <n v="0"/>
    <n v="0"/>
    <n v="0"/>
    <n v="0"/>
    <n v="0"/>
    <n v="0"/>
    <n v="0"/>
    <n v="0"/>
    <n v="0"/>
    <n v="0"/>
    <n v="0"/>
  </r>
  <r>
    <n v="1694"/>
    <d v="2025-06-23T15:38:36"/>
    <d v="2025-06-23T15:40:16"/>
    <s v="tsatumba@lighthouse.org.mw"/>
    <s v="Thomas Satumba"/>
    <x v="5"/>
    <s v="COE"/>
    <x v="2"/>
    <s v="COP_24"/>
    <x v="3"/>
    <x v="1"/>
    <s v="Quarter3"/>
    <x v="4"/>
    <x v="7"/>
    <d v="2025-04-01T00:00:00"/>
    <d v="2025-04-30T00:00:00"/>
    <x v="4"/>
    <n v="0"/>
    <n v="0"/>
    <n v="0"/>
    <n v="0"/>
    <n v="0"/>
    <n v="0"/>
    <n v="0"/>
    <n v="0"/>
    <n v="0"/>
    <n v="0"/>
    <n v="0"/>
    <n v="0"/>
    <n v="0"/>
    <n v="0"/>
    <n v="0"/>
    <n v="0"/>
    <n v="0"/>
    <n v="0"/>
    <n v="0"/>
    <n v="0"/>
    <n v="0"/>
    <n v="0"/>
    <n v="0"/>
    <n v="0"/>
  </r>
  <r>
    <n v="1696"/>
    <d v="2025-06-23T15:44:31"/>
    <d v="2025-06-23T15:57:18"/>
    <s v="tsatumba@lighthouse.org.mw"/>
    <s v="Thomas Satumba"/>
    <x v="5"/>
    <s v="COE"/>
    <x v="2"/>
    <s v="COP_24"/>
    <x v="3"/>
    <x v="1"/>
    <s v="Quarter3"/>
    <x v="4"/>
    <x v="7"/>
    <d v="2025-04-01T00:00:00"/>
    <d v="2025-04-01T00:00:00"/>
    <x v="2"/>
    <n v="6"/>
    <n v="0"/>
    <n v="3"/>
    <n v="1"/>
    <n v="1"/>
    <n v="1"/>
    <n v="6"/>
    <n v="4"/>
    <n v="4"/>
    <n v="1"/>
    <n v="1"/>
    <n v="1"/>
    <n v="4"/>
    <n v="2"/>
    <n v="0"/>
    <n v="0"/>
    <n v="1"/>
    <n v="1"/>
    <n v="4"/>
    <n v="1"/>
    <n v="0"/>
    <n v="0"/>
    <n v="0"/>
    <n v="0"/>
  </r>
  <r>
    <n v="1697"/>
    <d v="2025-06-24T11:08:29"/>
    <d v="2025-06-24T11:16:31"/>
    <s v="jmakoza@lighthouse.org.mw"/>
    <s v="Jonathan Makoza"/>
    <x v="5"/>
    <s v="COE"/>
    <x v="2"/>
    <s v="COP_24"/>
    <x v="3"/>
    <x v="1"/>
    <s v="Quarter3"/>
    <x v="4"/>
    <x v="6"/>
    <d v="2025-05-01T00:00:00"/>
    <d v="2025-05-31T00:00:00"/>
    <x v="0"/>
    <n v="162"/>
    <n v="31"/>
    <n v="145"/>
    <n v="14"/>
    <n v="25"/>
    <n v="18"/>
    <n v="159"/>
    <n v="60"/>
    <n v="56"/>
    <n v="7"/>
    <n v="7"/>
    <n v="1"/>
    <n v="61"/>
    <n v="10"/>
    <n v="1"/>
    <n v="0"/>
    <n v="5"/>
    <n v="3"/>
    <n v="5"/>
    <n v="3"/>
    <n v="11"/>
    <n v="3"/>
    <n v="1"/>
    <n v="0"/>
  </r>
  <r>
    <n v="1698"/>
    <d v="2025-06-24T11:16:44"/>
    <d v="2025-06-24T11:22:43"/>
    <s v="jmakoza@lighthouse.org.mw"/>
    <s v="Jonathan Makoza"/>
    <x v="5"/>
    <s v="COE"/>
    <x v="2"/>
    <s v="COP_24"/>
    <x v="3"/>
    <x v="1"/>
    <s v="Quarter3"/>
    <x v="4"/>
    <x v="6"/>
    <d v="2025-05-01T00:00:00"/>
    <d v="2025-05-31T00:00:00"/>
    <x v="2"/>
    <n v="2"/>
    <n v="2"/>
    <n v="0"/>
    <n v="0"/>
    <n v="2"/>
    <n v="0"/>
    <n v="2"/>
    <n v="2"/>
    <n v="2"/>
    <n v="0"/>
    <n v="1"/>
    <n v="0"/>
    <n v="1"/>
    <n v="0"/>
    <n v="0"/>
    <n v="0"/>
    <n v="0"/>
    <n v="0"/>
    <n v="0"/>
    <n v="0"/>
    <n v="0"/>
    <n v="1"/>
    <n v="0"/>
    <n v="0"/>
  </r>
  <r>
    <n v="1699"/>
    <d v="2025-06-24T11:22:49"/>
    <d v="2025-06-24T11:25:23"/>
    <s v="jmakoza@lighthouse.org.mw"/>
    <s v="Jonathan Makoza"/>
    <x v="5"/>
    <s v="COE"/>
    <x v="2"/>
    <s v="COP_24"/>
    <x v="3"/>
    <x v="1"/>
    <s v="Quarter3"/>
    <x v="4"/>
    <x v="6"/>
    <d v="2025-05-01T00:00:00"/>
    <d v="2025-05-31T00:00:00"/>
    <x v="5"/>
    <n v="15"/>
    <n v="2"/>
    <n v="11"/>
    <n v="1"/>
    <n v="3"/>
    <n v="0"/>
    <n v="15"/>
    <n v="7"/>
    <n v="15"/>
    <n v="7"/>
    <n v="0"/>
    <n v="0"/>
    <n v="6"/>
    <n v="0"/>
    <n v="0"/>
    <n v="0"/>
    <n v="0"/>
    <n v="0"/>
    <n v="0"/>
    <n v="0"/>
    <n v="0"/>
    <n v="0"/>
    <n v="0"/>
    <n v="0"/>
  </r>
  <r>
    <n v="1700"/>
    <d v="2025-06-24T13:43:00"/>
    <d v="2025-06-24T13:55:37"/>
    <s v="jmakoza@lighthouse.org.mw"/>
    <s v="Jonathan Makoza"/>
    <x v="5"/>
    <s v="COE"/>
    <x v="2"/>
    <s v="COP_24"/>
    <x v="3"/>
    <x v="1"/>
    <s v="Quarter3"/>
    <x v="4"/>
    <x v="6"/>
    <d v="2025-05-01T00:00:00"/>
    <d v="2025-05-31T00:00:00"/>
    <x v="4"/>
    <n v="3"/>
    <n v="0"/>
    <n v="2"/>
    <n v="0"/>
    <n v="1"/>
    <n v="0"/>
    <n v="3"/>
    <n v="1"/>
    <n v="0"/>
    <n v="0"/>
    <n v="0"/>
    <n v="0"/>
    <n v="0"/>
    <n v="0"/>
    <n v="0"/>
    <n v="0"/>
    <n v="0"/>
    <n v="0"/>
    <n v="0"/>
    <n v="0"/>
    <n v="0"/>
    <n v="0"/>
    <n v="0"/>
    <n v="0"/>
  </r>
  <r>
    <n v="1701"/>
    <d v="2025-06-24T13:55:42"/>
    <d v="2025-06-24T13:58:47"/>
    <s v="jmakoza@lighthouse.org.mw"/>
    <s v="Jonathan Makoza"/>
    <x v="5"/>
    <s v="COE"/>
    <x v="2"/>
    <s v="COP_24"/>
    <x v="3"/>
    <x v="1"/>
    <s v="Quarter3"/>
    <x v="4"/>
    <x v="6"/>
    <d v="2025-05-01T00:00:00"/>
    <d v="2025-05-31T00:00:00"/>
    <x v="3"/>
    <n v="0"/>
    <n v="0"/>
    <n v="0"/>
    <n v="0"/>
    <n v="0"/>
    <n v="0"/>
    <n v="0"/>
    <n v="0"/>
    <n v="0"/>
    <n v="0"/>
    <n v="0"/>
    <n v="0"/>
    <n v="0"/>
    <n v="0"/>
    <n v="0"/>
    <n v="0"/>
    <n v="0"/>
    <n v="0"/>
    <n v="0"/>
    <n v="0"/>
    <n v="0"/>
    <n v="0"/>
    <n v="0"/>
    <n v="0"/>
  </r>
  <r>
    <n v="1702"/>
    <d v="2025-06-24T13:58:52"/>
    <d v="2025-06-24T14:01:53"/>
    <s v="jmakoza@lighthouse.org.mw"/>
    <s v="Jonathan Makoza"/>
    <x v="5"/>
    <s v="COE"/>
    <x v="2"/>
    <s v="COP_24"/>
    <x v="3"/>
    <x v="1"/>
    <s v="Quarter3"/>
    <x v="4"/>
    <x v="6"/>
    <d v="2025-05-01T00:00:00"/>
    <d v="2025-05-31T00:00:00"/>
    <x v="1"/>
    <n v="78"/>
    <n v="20"/>
    <n v="44"/>
    <n v="8"/>
    <n v="13"/>
    <n v="11"/>
    <n v="78"/>
    <n v="36"/>
    <n v="33"/>
    <n v="3"/>
    <n v="2"/>
    <n v="0"/>
    <n v="36"/>
    <n v="10"/>
    <n v="1"/>
    <n v="0"/>
    <n v="5"/>
    <n v="3"/>
    <n v="5"/>
    <n v="3"/>
    <n v="9"/>
    <n v="2"/>
    <n v="1"/>
    <n v="0"/>
  </r>
  <r>
    <n v="1703"/>
    <d v="2025-07-01T08:50:53"/>
    <d v="2025-07-01T08:55:09"/>
    <s v="jmakoza@lighthouse.org.mw"/>
    <s v="Jonathan Makoza"/>
    <x v="5"/>
    <s v="COE"/>
    <x v="2"/>
    <s v="COP_24"/>
    <x v="3"/>
    <x v="3"/>
    <s v="Quarter3"/>
    <x v="4"/>
    <x v="7"/>
    <d v="2025-04-01T00:00:00"/>
    <d v="2025-04-30T00:00:00"/>
    <x v="0"/>
    <n v="161"/>
    <n v="20"/>
    <n v="111"/>
    <n v="23"/>
    <n v="9"/>
    <n v="18"/>
    <n v="156"/>
    <n v="46"/>
    <n v="54"/>
    <n v="4"/>
    <n v="3"/>
    <n v="1"/>
    <n v="56"/>
    <n v="9"/>
    <n v="1"/>
    <n v="0"/>
    <n v="4"/>
    <n v="2"/>
    <n v="35"/>
    <n v="4"/>
    <n v="8"/>
    <n v="1"/>
    <n v="1"/>
    <n v="0"/>
  </r>
  <r>
    <n v="1704"/>
    <d v="2025-07-01T08:55:16"/>
    <d v="2025-07-01T08:57:59"/>
    <s v="jmakoza@lighthouse.org.mw"/>
    <s v="Jonathan Makoza"/>
    <x v="5"/>
    <s v="COE"/>
    <x v="2"/>
    <s v="COP_24"/>
    <x v="3"/>
    <x v="3"/>
    <s v="Quarter3"/>
    <x v="4"/>
    <x v="7"/>
    <d v="2025-04-01T00:00:00"/>
    <d v="2025-04-30T00:00:00"/>
    <x v="5"/>
    <n v="1"/>
    <n v="1"/>
    <n v="0"/>
    <n v="1"/>
    <n v="0"/>
    <n v="0"/>
    <n v="1"/>
    <n v="1"/>
    <n v="0"/>
    <n v="0"/>
    <n v="1"/>
    <n v="0"/>
    <n v="1"/>
    <n v="0"/>
    <n v="0"/>
    <n v="0"/>
    <n v="0"/>
    <n v="0"/>
    <n v="0"/>
    <n v="0"/>
    <n v="0"/>
    <n v="0"/>
    <n v="0"/>
    <n v="0"/>
  </r>
  <r>
    <n v="1789"/>
    <d v="2025-07-10T13:27:00"/>
    <d v="2025-07-10T13:38:20"/>
    <s v="jmakoza@lighthouse.org.mw"/>
    <s v="Jonathan Makoza"/>
    <x v="5"/>
    <s v="COE"/>
    <x v="2"/>
    <s v="COP_22"/>
    <x v="3"/>
    <x v="3"/>
    <s v="Quarter3"/>
    <x v="4"/>
    <x v="8"/>
    <d v="2025-06-01T00:00:00"/>
    <d v="2025-06-30T00:00:00"/>
    <x v="0"/>
    <n v="197"/>
    <n v="39"/>
    <n v="124"/>
    <n v="37"/>
    <n v="21"/>
    <n v="15"/>
    <n v="195"/>
    <n v="69"/>
    <n v="74"/>
    <n v="6"/>
    <n v="5"/>
    <n v="8"/>
    <n v="74"/>
    <n v="7"/>
    <n v="2"/>
    <n v="0"/>
    <n v="8"/>
    <n v="4"/>
    <n v="55"/>
    <n v="9"/>
    <n v="11"/>
    <n v="1"/>
    <n v="4"/>
    <n v="0"/>
  </r>
  <r>
    <n v="1790"/>
    <d v="2025-07-10T13:38:24"/>
    <d v="2025-07-10T13:43:54"/>
    <s v="jmakoza@lighthouse.org.mw"/>
    <s v="Jonathan Makoza"/>
    <x v="5"/>
    <s v="COE"/>
    <x v="2"/>
    <s v="COP_23"/>
    <x v="3"/>
    <x v="3"/>
    <s v="Quarter3"/>
    <x v="4"/>
    <x v="8"/>
    <d v="2025-06-01T00:00:00"/>
    <d v="2025-06-30T00:00:00"/>
    <x v="1"/>
    <n v="38"/>
    <n v="11"/>
    <n v="20"/>
    <n v="8"/>
    <n v="7"/>
    <n v="3"/>
    <n v="36"/>
    <n v="18"/>
    <n v="17"/>
    <n v="3"/>
    <n v="1"/>
    <n v="0"/>
    <n v="17"/>
    <n v="3"/>
    <n v="0"/>
    <n v="0"/>
    <n v="0"/>
    <n v="1"/>
    <n v="12"/>
    <n v="2"/>
    <n v="4"/>
    <n v="0"/>
    <n v="0"/>
    <n v="0"/>
  </r>
  <r>
    <n v="1791"/>
    <d v="2025-07-10T13:44:31"/>
    <d v="2025-07-10T13:47:52"/>
    <s v="jmakoza@lighthouse.org.mw"/>
    <s v="Jonathan Makoza"/>
    <x v="5"/>
    <s v="COE"/>
    <x v="2"/>
    <s v="COP_23"/>
    <x v="3"/>
    <x v="3"/>
    <s v="Quarter3"/>
    <x v="4"/>
    <x v="8"/>
    <d v="2025-06-01T00:00:00"/>
    <d v="2025-06-30T00:00:00"/>
    <x v="4"/>
    <n v="6"/>
    <n v="0"/>
    <n v="6"/>
    <n v="0"/>
    <n v="0"/>
    <n v="0"/>
    <n v="3"/>
    <n v="0"/>
    <n v="0"/>
    <n v="0"/>
    <n v="0"/>
    <n v="0"/>
    <n v="0"/>
    <n v="0"/>
    <n v="0"/>
    <n v="0"/>
    <n v="0"/>
    <n v="0"/>
    <n v="0"/>
    <n v="0"/>
    <n v="0"/>
    <n v="0"/>
    <n v="0"/>
    <n v="0"/>
  </r>
  <r>
    <n v="1792"/>
    <d v="2025-07-10T13:48:04"/>
    <d v="2025-07-10T13:50:53"/>
    <s v="jmakoza@lighthouse.org.mw"/>
    <s v="Jonathan Makoza"/>
    <x v="5"/>
    <s v="COE"/>
    <x v="2"/>
    <s v="COP_23"/>
    <x v="3"/>
    <x v="3"/>
    <s v="Quarter3"/>
    <x v="4"/>
    <x v="8"/>
    <d v="2025-06-01T00:00:00"/>
    <d v="2025-06-30T00:00:00"/>
    <x v="5"/>
    <n v="27"/>
    <n v="6"/>
    <n v="14"/>
    <n v="8"/>
    <n v="4"/>
    <n v="1"/>
    <n v="26"/>
    <n v="10"/>
    <n v="11"/>
    <n v="2"/>
    <n v="0"/>
    <n v="0"/>
    <n v="11"/>
    <n v="0"/>
    <n v="0"/>
    <n v="0"/>
    <n v="2"/>
    <n v="0"/>
    <n v="6"/>
    <n v="0"/>
    <n v="0"/>
    <n v="0"/>
    <n v="1"/>
    <n v="0"/>
  </r>
  <r>
    <n v="1794"/>
    <d v="2025-07-10T13:51:45"/>
    <d v="2025-07-10T13:57:47"/>
    <s v="jmakoza@lighthouse.org.mw"/>
    <s v="Jonathan Makoza"/>
    <x v="5"/>
    <s v="COE"/>
    <x v="2"/>
    <s v="COP_23"/>
    <x v="3"/>
    <x v="3"/>
    <s v="Quarter3"/>
    <x v="4"/>
    <x v="8"/>
    <d v="2025-06-01T00:00:00"/>
    <d v="2025-06-30T00:00:00"/>
    <x v="2"/>
    <n v="15"/>
    <n v="7"/>
    <n v="7"/>
    <n v="4"/>
    <n v="4"/>
    <n v="0"/>
    <n v="12"/>
    <n v="9"/>
    <n v="9"/>
    <n v="1"/>
    <n v="0"/>
    <n v="0"/>
    <n v="9"/>
    <n v="0"/>
    <n v="0"/>
    <n v="0"/>
    <n v="0"/>
    <n v="0"/>
    <n v="6"/>
    <n v="0"/>
    <n v="0"/>
    <n v="0"/>
    <n v="0"/>
    <n v="0"/>
  </r>
  <r>
    <n v="1795"/>
    <d v="2025-07-10T13:57:57"/>
    <d v="2025-07-10T14:09:57"/>
    <s v="jmakoza@lighthouse.org.mw"/>
    <s v="Jonathan Makoza"/>
    <x v="5"/>
    <s v="COE"/>
    <x v="2"/>
    <s v="COP_23"/>
    <x v="3"/>
    <x v="3"/>
    <s v="Quarter3"/>
    <x v="4"/>
    <x v="8"/>
    <d v="2025-06-01T00:00:00"/>
    <d v="2025-06-30T00:00:00"/>
    <x v="3"/>
    <n v="0"/>
    <n v="0"/>
    <n v="0"/>
    <n v="0"/>
    <n v="0"/>
    <n v="0"/>
    <n v="0"/>
    <n v="0"/>
    <n v="0"/>
    <n v="0"/>
    <n v="0"/>
    <n v="0"/>
    <n v="0"/>
    <n v="0"/>
    <n v="0"/>
    <n v="0"/>
    <n v="0"/>
    <n v="0"/>
    <n v="0"/>
    <n v="0"/>
    <n v="0"/>
    <n v="0"/>
    <n v="0"/>
    <n v="0"/>
  </r>
  <r>
    <n v="1796"/>
    <d v="2025-07-10T14:16:40"/>
    <d v="2025-07-10T14:54:09"/>
    <s v="jmakoza@lighthouse.org.mw"/>
    <s v="Jonathan Makoza"/>
    <x v="5"/>
    <s v="COE"/>
    <x v="2"/>
    <s v="COP_23"/>
    <x v="3"/>
    <x v="3"/>
    <s v="Quarter3"/>
    <x v="4"/>
    <x v="8"/>
    <d v="2025-06-01T00:00:00"/>
    <d v="2025-06-30T00:00:00"/>
    <x v="6"/>
    <n v="114"/>
    <n v="61"/>
    <n v="43"/>
    <n v="10"/>
    <n v="29"/>
    <n v="32"/>
    <n v="111"/>
    <n v="62"/>
    <n v="67"/>
    <n v="4"/>
    <n v="8"/>
    <n v="3"/>
    <n v="60"/>
    <n v="7"/>
    <n v="2"/>
    <n v="0"/>
    <n v="13"/>
    <n v="9"/>
    <n v="46"/>
    <n v="17"/>
    <n v="18"/>
    <n v="3"/>
    <n v="0"/>
    <n v="3"/>
  </r>
  <r>
    <n v="137"/>
    <d v="2024-02-02T12:41:52"/>
    <d v="2024-02-02T12:44:18"/>
    <s v="ymanda@lighthouse.org.mw"/>
    <s v="Yollam Manda"/>
    <x v="6"/>
    <s v="Prototype"/>
    <x v="1"/>
    <s v="COP_23"/>
    <x v="0"/>
    <x v="2"/>
    <s v="Quarter2"/>
    <x v="2"/>
    <x v="4"/>
    <d v="2024-01-01T00:00:00"/>
    <d v="2024-01-31T00:00:00"/>
    <x v="0"/>
    <n v="18"/>
    <n v="0"/>
    <n v="14"/>
    <n v="0"/>
    <n v="3"/>
    <n v="1"/>
    <n v="11"/>
    <n v="3"/>
    <n v="3"/>
    <n v="0"/>
    <n v="0"/>
    <n v="0"/>
    <n v="2"/>
    <n v="0"/>
    <n v="0"/>
    <n v="0"/>
    <n v="0"/>
    <n v="0"/>
    <n v="0"/>
    <n v="0"/>
    <n v="1"/>
    <n v="0"/>
    <n v="0"/>
    <n v="0"/>
  </r>
  <r>
    <n v="159"/>
    <d v="2024-03-01T10:57:52"/>
    <d v="2024-03-01T11:02:18"/>
    <s v="ymanda@lighthouse.org.mw"/>
    <s v="Yollam Manda"/>
    <x v="6"/>
    <s v="Prototype"/>
    <x v="1"/>
    <s v="COP_23"/>
    <x v="0"/>
    <x v="2"/>
    <s v="Quarter2"/>
    <x v="2"/>
    <x v="5"/>
    <d v="2024-02-01T00:00:00"/>
    <d v="2024-02-29T00:00:00"/>
    <x v="5"/>
    <n v="1"/>
    <n v="0"/>
    <n v="0"/>
    <n v="0"/>
    <n v="0"/>
    <n v="1"/>
    <n v="1"/>
    <n v="1"/>
    <n v="0"/>
    <n v="0"/>
    <n v="0"/>
    <n v="0"/>
    <n v="1"/>
    <n v="1"/>
    <n v="0"/>
    <n v="0"/>
    <n v="0"/>
    <n v="0"/>
    <n v="0"/>
    <n v="0"/>
    <n v="1"/>
    <n v="0"/>
    <n v="0"/>
    <n v="0"/>
  </r>
  <r>
    <n v="247"/>
    <d v="2024-04-19T11:38:56"/>
    <d v="2024-04-19T11:40:31"/>
    <s v="ymanda@lighthouse.org.mw"/>
    <s v="Yollam Manda"/>
    <x v="6"/>
    <s v="Prototype"/>
    <x v="1"/>
    <s v="COP_23"/>
    <x v="0"/>
    <x v="2"/>
    <s v="Quarter2"/>
    <x v="2"/>
    <x v="4"/>
    <d v="2024-01-01T00:00:00"/>
    <d v="2024-01-31T00:00:00"/>
    <x v="3"/>
    <n v="0"/>
    <n v="0"/>
    <n v="0"/>
    <n v="0"/>
    <n v="0"/>
    <n v="0"/>
    <n v="0"/>
    <n v="0"/>
    <n v="0"/>
    <n v="0"/>
    <n v="0"/>
    <n v="0"/>
    <n v="0"/>
    <n v="0"/>
    <n v="0"/>
    <n v="0"/>
    <n v="0"/>
    <n v="0"/>
    <n v="0"/>
    <n v="0"/>
    <n v="0"/>
    <n v="0"/>
    <n v="0"/>
    <n v="0"/>
  </r>
  <r>
    <n v="248"/>
    <d v="2024-04-19T11:40:34"/>
    <d v="2024-04-19T11:41:45"/>
    <s v="ymanda@lighthouse.org.mw"/>
    <s v="Yollam Manda"/>
    <x v="6"/>
    <s v="Prototype"/>
    <x v="1"/>
    <s v="COP_23"/>
    <x v="0"/>
    <x v="2"/>
    <s v="Quarter2"/>
    <x v="2"/>
    <x v="4"/>
    <d v="2024-01-01T00:00:00"/>
    <d v="2024-01-31T00:00:00"/>
    <x v="4"/>
    <n v="0"/>
    <n v="0"/>
    <n v="0"/>
    <n v="0"/>
    <n v="0"/>
    <n v="0"/>
    <n v="0"/>
    <n v="0"/>
    <n v="0"/>
    <n v="0"/>
    <n v="0"/>
    <n v="0"/>
    <n v="0"/>
    <n v="0"/>
    <n v="0"/>
    <n v="0"/>
    <n v="0"/>
    <n v="0"/>
    <n v="0"/>
    <n v="0"/>
    <n v="0"/>
    <n v="0"/>
    <n v="0"/>
    <n v="0"/>
  </r>
  <r>
    <n v="249"/>
    <d v="2024-04-19T11:41:47"/>
    <d v="2024-04-19T11:42:41"/>
    <s v="ymanda@lighthouse.org.mw"/>
    <s v="Yollam Manda"/>
    <x v="6"/>
    <s v="Prototype"/>
    <x v="1"/>
    <s v="COP_23"/>
    <x v="0"/>
    <x v="2"/>
    <s v="Quarter2"/>
    <x v="2"/>
    <x v="4"/>
    <d v="2024-01-01T00:00:00"/>
    <d v="2024-01-31T00:00:00"/>
    <x v="5"/>
    <n v="0"/>
    <n v="0"/>
    <n v="0"/>
    <n v="0"/>
    <n v="0"/>
    <n v="0"/>
    <n v="0"/>
    <n v="0"/>
    <n v="0"/>
    <n v="0"/>
    <n v="0"/>
    <n v="0"/>
    <n v="0"/>
    <n v="0"/>
    <n v="0"/>
    <n v="0"/>
    <n v="0"/>
    <n v="0"/>
    <n v="0"/>
    <n v="0"/>
    <n v="0"/>
    <n v="0"/>
    <n v="0"/>
    <n v="0"/>
  </r>
  <r>
    <n v="251"/>
    <d v="2024-04-19T11:43:53"/>
    <d v="2024-04-19T11:48:25"/>
    <s v="ymanda@lighthouse.org.mw"/>
    <s v="Yollam Manda"/>
    <x v="6"/>
    <s v="Prototype"/>
    <x v="1"/>
    <s v="COP_23"/>
    <x v="0"/>
    <x v="2"/>
    <s v="Quarter2"/>
    <x v="2"/>
    <x v="5"/>
    <d v="2024-02-01T00:00:00"/>
    <d v="2024-02-29T00:00:00"/>
    <x v="3"/>
    <n v="0"/>
    <n v="0"/>
    <n v="0"/>
    <n v="0"/>
    <n v="0"/>
    <n v="0"/>
    <n v="0"/>
    <n v="0"/>
    <n v="0"/>
    <n v="0"/>
    <n v="0"/>
    <n v="0"/>
    <n v="0"/>
    <n v="0"/>
    <n v="0"/>
    <n v="0"/>
    <n v="0"/>
    <n v="0"/>
    <n v="0"/>
    <n v="0"/>
    <n v="0"/>
    <n v="0"/>
    <n v="0"/>
    <n v="0"/>
  </r>
  <r>
    <n v="252"/>
    <d v="2024-04-19T11:48:41"/>
    <d v="2024-04-19T11:49:42"/>
    <s v="ymanda@lighthouse.org.mw"/>
    <s v="Yollam Manda"/>
    <x v="6"/>
    <s v="Prototype"/>
    <x v="1"/>
    <s v="COP_23"/>
    <x v="0"/>
    <x v="2"/>
    <s v="Quarter2"/>
    <x v="2"/>
    <x v="5"/>
    <d v="2024-02-01T00:00:00"/>
    <d v="2024-02-29T00:00:00"/>
    <x v="4"/>
    <n v="0"/>
    <n v="0"/>
    <n v="0"/>
    <n v="0"/>
    <n v="0"/>
    <n v="0"/>
    <n v="0"/>
    <n v="0"/>
    <n v="0"/>
    <n v="0"/>
    <n v="0"/>
    <n v="0"/>
    <n v="0"/>
    <n v="0"/>
    <n v="0"/>
    <n v="0"/>
    <n v="0"/>
    <n v="0"/>
    <n v="0"/>
    <n v="0"/>
    <n v="0"/>
    <n v="0"/>
    <n v="0"/>
    <n v="0"/>
  </r>
  <r>
    <n v="254"/>
    <d v="2024-04-19T11:51:44"/>
    <d v="2024-04-19T11:55:57"/>
    <s v="ymanda@lighthouse.org.mw"/>
    <s v="Yollam Manda"/>
    <x v="6"/>
    <s v="Prototype"/>
    <x v="1"/>
    <s v="COP_23"/>
    <x v="0"/>
    <x v="2"/>
    <s v="Quarter2"/>
    <x v="2"/>
    <x v="5"/>
    <d v="2024-02-01T00:00:00"/>
    <d v="2024-02-29T00:00:00"/>
    <x v="0"/>
    <n v="13"/>
    <n v="1"/>
    <n v="6"/>
    <n v="1"/>
    <n v="5"/>
    <n v="1"/>
    <n v="13"/>
    <n v="8"/>
    <n v="7"/>
    <n v="0"/>
    <n v="0"/>
    <n v="0"/>
    <n v="7"/>
    <n v="1"/>
    <n v="0"/>
    <n v="0"/>
    <n v="0"/>
    <n v="0"/>
    <n v="0"/>
    <n v="0"/>
    <n v="1"/>
    <n v="0"/>
    <n v="0"/>
    <n v="0"/>
  </r>
  <r>
    <n v="255"/>
    <d v="2024-04-19T11:56:00"/>
    <d v="2024-04-19T11:59:43"/>
    <s v="ymanda@lighthouse.org.mw"/>
    <s v="Yollam Manda"/>
    <x v="6"/>
    <s v="Prototype"/>
    <x v="1"/>
    <s v="COP_23"/>
    <x v="0"/>
    <x v="2"/>
    <s v="Quarter2"/>
    <x v="2"/>
    <x v="3"/>
    <d v="2024-03-01T00:00:00"/>
    <d v="2024-03-31T00:00:00"/>
    <x v="3"/>
    <n v="0"/>
    <n v="0"/>
    <n v="0"/>
    <n v="0"/>
    <n v="0"/>
    <n v="0"/>
    <n v="0"/>
    <n v="0"/>
    <n v="0"/>
    <n v="0"/>
    <n v="0"/>
    <n v="0"/>
    <n v="0"/>
    <n v="0"/>
    <n v="0"/>
    <n v="0"/>
    <n v="0"/>
    <n v="0"/>
    <n v="0"/>
    <n v="0"/>
    <n v="0"/>
    <n v="0"/>
    <n v="0"/>
    <n v="0"/>
  </r>
  <r>
    <n v="256"/>
    <d v="2024-04-19T11:59:46"/>
    <d v="2024-04-19T12:00:51"/>
    <s v="ymanda@lighthouse.org.mw"/>
    <s v="Yollam Manda"/>
    <x v="6"/>
    <s v="Prototype"/>
    <x v="1"/>
    <s v="COP_23"/>
    <x v="0"/>
    <x v="2"/>
    <s v="Quarter2"/>
    <x v="2"/>
    <x v="3"/>
    <d v="2024-03-01T00:00:00"/>
    <d v="2024-03-31T00:00:00"/>
    <x v="4"/>
    <n v="0"/>
    <n v="0"/>
    <n v="0"/>
    <n v="0"/>
    <n v="0"/>
    <n v="0"/>
    <n v="0"/>
    <n v="0"/>
    <n v="0"/>
    <n v="0"/>
    <n v="0"/>
    <n v="0"/>
    <n v="0"/>
    <n v="0"/>
    <n v="0"/>
    <n v="0"/>
    <n v="0"/>
    <n v="0"/>
    <n v="0"/>
    <n v="0"/>
    <n v="0"/>
    <n v="0"/>
    <n v="0"/>
    <n v="0"/>
  </r>
  <r>
    <n v="257"/>
    <d v="2024-04-19T12:01:11"/>
    <d v="2024-04-19T12:02:18"/>
    <s v="ymanda@lighthouse.org.mw"/>
    <s v="Yollam Manda"/>
    <x v="6"/>
    <s v="Prototype"/>
    <x v="1"/>
    <s v="COP_23"/>
    <x v="0"/>
    <x v="2"/>
    <s v="Quarter2"/>
    <x v="2"/>
    <x v="3"/>
    <d v="2024-03-01T00:00:00"/>
    <d v="2024-03-31T00:00:00"/>
    <x v="5"/>
    <n v="0"/>
    <n v="0"/>
    <n v="0"/>
    <n v="0"/>
    <n v="0"/>
    <n v="0"/>
    <n v="0"/>
    <n v="0"/>
    <n v="0"/>
    <n v="0"/>
    <n v="0"/>
    <n v="0"/>
    <n v="0"/>
    <n v="0"/>
    <n v="0"/>
    <n v="0"/>
    <n v="0"/>
    <n v="0"/>
    <n v="0"/>
    <n v="0"/>
    <n v="0"/>
    <n v="0"/>
    <n v="0"/>
    <n v="0"/>
  </r>
  <r>
    <n v="258"/>
    <d v="2024-04-19T12:02:21"/>
    <d v="2024-04-19T12:04:51"/>
    <s v="ymanda@lighthouse.org.mw"/>
    <s v="Yollam Manda"/>
    <x v="6"/>
    <s v="Prototype"/>
    <x v="1"/>
    <s v="COP_23"/>
    <x v="0"/>
    <x v="2"/>
    <s v="Quarter2"/>
    <x v="2"/>
    <x v="3"/>
    <d v="2024-03-01T00:00:00"/>
    <d v="2024-03-31T00:00:00"/>
    <x v="0"/>
    <n v="23"/>
    <n v="0"/>
    <n v="19"/>
    <n v="1"/>
    <n v="3"/>
    <n v="0"/>
    <n v="23"/>
    <n v="5"/>
    <n v="5"/>
    <n v="0"/>
    <n v="0"/>
    <n v="0"/>
    <n v="5"/>
    <n v="0"/>
    <n v="0"/>
    <n v="0"/>
    <n v="0"/>
    <n v="0"/>
    <n v="0"/>
    <n v="0"/>
    <n v="0"/>
    <n v="0"/>
    <n v="0"/>
    <n v="0"/>
  </r>
  <r>
    <n v="36"/>
    <d v="2023-12-20T09:27:26"/>
    <d v="2023-12-20T09:32:34"/>
    <s v="ymanda@lighthouse.org.mw"/>
    <s v="Yollam Manda"/>
    <x v="6"/>
    <s v="Prototype"/>
    <x v="0"/>
    <s v="COP_23"/>
    <x v="1"/>
    <x v="1"/>
    <s v="Quarter4"/>
    <x v="1"/>
    <x v="2"/>
    <d v="2023-09-01T00:00:00"/>
    <d v="2023-09-30T00:00:00"/>
    <x v="1"/>
    <n v="10"/>
    <n v="1"/>
    <n v="7"/>
    <n v="2"/>
    <n v="1"/>
    <n v="0"/>
    <n v="6"/>
    <n v="0"/>
    <n v="1"/>
    <n v="0"/>
    <n v="0"/>
    <n v="0"/>
    <n v="1"/>
    <n v="0"/>
    <n v="0"/>
    <n v="0"/>
    <n v="0"/>
    <n v="0"/>
    <n v="0"/>
    <n v="0"/>
    <n v="0"/>
    <n v="0"/>
    <n v="0"/>
    <n v="0"/>
  </r>
  <r>
    <n v="37"/>
    <d v="2023-12-20T09:32:45"/>
    <d v="2023-12-20T09:41:05"/>
    <s v="ymanda@lighthouse.org.mw"/>
    <s v="Yollam Manda"/>
    <x v="6"/>
    <s v="Prototype"/>
    <x v="0"/>
    <s v="COP_23"/>
    <x v="0"/>
    <x v="0"/>
    <s v="Quarter1"/>
    <x v="0"/>
    <x v="0"/>
    <d v="2023-10-01T00:00:00"/>
    <d v="2023-10-31T00:00:00"/>
    <x v="1"/>
    <n v="11"/>
    <n v="0"/>
    <n v="6"/>
    <n v="3"/>
    <n v="1"/>
    <n v="1"/>
    <n v="9"/>
    <n v="3"/>
    <n v="3"/>
    <n v="0"/>
    <n v="0"/>
    <n v="0"/>
    <n v="3"/>
    <n v="0"/>
    <n v="1"/>
    <n v="1"/>
    <n v="0"/>
    <n v="0"/>
    <n v="0"/>
    <n v="0"/>
    <n v="0"/>
    <n v="0"/>
    <n v="0"/>
    <n v="0"/>
  </r>
  <r>
    <n v="38"/>
    <d v="2023-12-20T09:41:38"/>
    <d v="2023-12-20T09:49:29"/>
    <s v="ymanda@lighthouse.org.mw"/>
    <s v="Yollam Manda"/>
    <x v="6"/>
    <s v="Prototype"/>
    <x v="0"/>
    <s v="COP_23"/>
    <x v="0"/>
    <x v="0"/>
    <s v="Quarter1"/>
    <x v="0"/>
    <x v="1"/>
    <d v="2023-11-01T00:00:00"/>
    <d v="2023-11-30T00:00:00"/>
    <x v="1"/>
    <n v="13"/>
    <n v="0"/>
    <n v="7"/>
    <n v="0"/>
    <n v="6"/>
    <n v="0"/>
    <n v="0"/>
    <n v="0"/>
    <n v="0"/>
    <n v="0"/>
    <n v="0"/>
    <n v="0"/>
    <n v="0"/>
    <n v="0"/>
    <n v="0"/>
    <n v="0"/>
    <n v="0"/>
    <n v="0"/>
    <n v="0"/>
    <n v="0"/>
    <n v="0"/>
    <n v="0"/>
    <n v="0"/>
    <n v="0"/>
  </r>
  <r>
    <n v="456"/>
    <d v="2024-05-22T10:53:34"/>
    <d v="2024-05-22T11:12:54"/>
    <s v="ymanda@lighthouse.org.mw"/>
    <s v="Yollam Manda"/>
    <x v="6"/>
    <s v="Prototype"/>
    <x v="1"/>
    <s v="COP_23"/>
    <x v="0"/>
    <x v="3"/>
    <s v="Quarter3"/>
    <x v="3"/>
    <x v="7"/>
    <d v="2024-04-01T00:00:00"/>
    <d v="2024-04-30T00:00:00"/>
    <x v="0"/>
    <n v="19"/>
    <n v="0"/>
    <n v="11"/>
    <n v="2"/>
    <n v="5"/>
    <n v="1"/>
    <n v="19"/>
    <n v="3"/>
    <n v="0"/>
    <n v="0"/>
    <n v="0"/>
    <n v="0"/>
    <n v="1"/>
    <n v="1"/>
    <n v="0"/>
    <n v="0"/>
    <n v="0"/>
    <n v="0"/>
    <n v="0"/>
    <n v="0"/>
    <n v="1"/>
    <n v="0"/>
    <n v="0"/>
    <n v="0"/>
  </r>
  <r>
    <n v="117"/>
    <d v="2024-01-24T09:53:37"/>
    <d v="2024-01-24T09:58:00"/>
    <s v="ymanda@lighthouse.org.mw"/>
    <s v="Yollam Manda"/>
    <x v="6"/>
    <s v="Prototype"/>
    <x v="0"/>
    <s v="COP_23"/>
    <x v="0"/>
    <x v="0"/>
    <s v="Quarter1"/>
    <x v="0"/>
    <x v="11"/>
    <d v="2023-12-01T00:00:00"/>
    <d v="2023-12-31T00:00:00"/>
    <x v="1"/>
    <n v="11"/>
    <n v="0"/>
    <n v="6"/>
    <n v="2"/>
    <n v="2"/>
    <n v="1"/>
    <n v="11"/>
    <n v="1"/>
    <n v="0"/>
    <n v="0"/>
    <n v="0"/>
    <n v="0"/>
    <n v="1"/>
    <n v="0"/>
    <n v="0"/>
    <n v="0"/>
    <n v="0"/>
    <n v="0"/>
    <n v="0"/>
    <n v="0"/>
    <n v="0"/>
    <n v="0"/>
    <n v="0"/>
    <n v="0"/>
  </r>
  <r>
    <n v="458"/>
    <d v="2024-05-22T11:17:35"/>
    <d v="2024-05-22T11:18:41"/>
    <s v="ymanda@lighthouse.org.mw"/>
    <s v="Yollam Manda"/>
    <x v="6"/>
    <s v="Prototype"/>
    <x v="1"/>
    <s v="COP_23"/>
    <x v="0"/>
    <x v="3"/>
    <s v="Quarter3"/>
    <x v="3"/>
    <x v="7"/>
    <d v="2024-04-01T00:00:00"/>
    <d v="2024-04-30T00:00:00"/>
    <x v="3"/>
    <n v="0"/>
    <n v="0"/>
    <n v="0"/>
    <n v="0"/>
    <n v="0"/>
    <n v="0"/>
    <n v="0"/>
    <n v="0"/>
    <n v="0"/>
    <n v="0"/>
    <n v="0"/>
    <n v="0"/>
    <n v="0"/>
    <n v="0"/>
    <n v="0"/>
    <n v="0"/>
    <n v="0"/>
    <n v="0"/>
    <n v="0"/>
    <n v="0"/>
    <n v="0"/>
    <n v="0"/>
    <n v="0"/>
    <n v="0"/>
  </r>
  <r>
    <n v="459"/>
    <d v="2024-05-22T11:18:48"/>
    <d v="2024-05-22T11:21:30"/>
    <s v="ymanda@lighthouse.org.mw"/>
    <s v="Yollam Manda"/>
    <x v="6"/>
    <s v="Prototype"/>
    <x v="1"/>
    <s v="COP_23"/>
    <x v="0"/>
    <x v="3"/>
    <s v="Quarter3"/>
    <x v="3"/>
    <x v="7"/>
    <d v="2024-04-01T00:00:00"/>
    <d v="2024-04-30T00:00:00"/>
    <x v="4"/>
    <n v="2"/>
    <n v="0"/>
    <n v="0"/>
    <n v="2"/>
    <n v="0"/>
    <n v="0"/>
    <n v="2"/>
    <n v="1"/>
    <n v="0"/>
    <n v="0"/>
    <n v="0"/>
    <n v="0"/>
    <n v="0"/>
    <n v="0"/>
    <n v="0"/>
    <n v="0"/>
    <n v="0"/>
    <n v="0"/>
    <n v="0"/>
    <n v="0"/>
    <n v="0"/>
    <n v="0"/>
    <n v="0"/>
    <n v="0"/>
  </r>
  <r>
    <n v="460"/>
    <d v="2024-05-22T11:21:43"/>
    <d v="2024-05-22T11:22:54"/>
    <s v="ymanda@lighthouse.org.mw"/>
    <s v="Yollam Manda"/>
    <x v="6"/>
    <s v="Prototype"/>
    <x v="1"/>
    <s v="COP_23"/>
    <x v="0"/>
    <x v="3"/>
    <s v="Quarter3"/>
    <x v="3"/>
    <x v="7"/>
    <d v="2024-04-01T00:00:00"/>
    <d v="2024-04-30T00:00:00"/>
    <x v="5"/>
    <n v="0"/>
    <n v="0"/>
    <n v="0"/>
    <n v="0"/>
    <n v="0"/>
    <n v="0"/>
    <n v="0"/>
    <n v="0"/>
    <n v="0"/>
    <n v="0"/>
    <n v="0"/>
    <n v="0"/>
    <n v="0"/>
    <n v="0"/>
    <n v="0"/>
    <n v="0"/>
    <n v="0"/>
    <n v="0"/>
    <n v="0"/>
    <n v="0"/>
    <n v="0"/>
    <n v="0"/>
    <n v="0"/>
    <n v="0"/>
  </r>
  <r>
    <n v="462"/>
    <d v="2024-05-22T11:25:13"/>
    <d v="2024-05-22T11:26:09"/>
    <s v="ymanda@lighthouse.org.mw"/>
    <s v="Yollam Manda"/>
    <x v="6"/>
    <s v="Prototype"/>
    <x v="1"/>
    <s v="COP_23"/>
    <x v="0"/>
    <x v="3"/>
    <s v="Quarter3"/>
    <x v="3"/>
    <x v="7"/>
    <d v="2024-04-01T00:00:00"/>
    <d v="2024-04-30T00:00:00"/>
    <x v="6"/>
    <n v="0"/>
    <n v="0"/>
    <n v="0"/>
    <n v="0"/>
    <n v="0"/>
    <n v="0"/>
    <n v="0"/>
    <n v="0"/>
    <n v="0"/>
    <n v="0"/>
    <n v="0"/>
    <n v="0"/>
    <n v="0"/>
    <n v="0"/>
    <n v="0"/>
    <n v="0"/>
    <n v="0"/>
    <n v="0"/>
    <n v="0"/>
    <n v="0"/>
    <n v="0"/>
    <n v="0"/>
    <n v="0"/>
    <n v="0"/>
  </r>
  <r>
    <n v="473"/>
    <d v="2024-06-05T10:32:52"/>
    <d v="2024-06-05T10:36:30"/>
    <s v="ymanda@lighthouse.org.mw"/>
    <s v="Yollam Manda"/>
    <x v="6"/>
    <s v="Prototype"/>
    <x v="1"/>
    <s v="COP_23"/>
    <x v="0"/>
    <x v="3"/>
    <s v="Quarter3"/>
    <x v="3"/>
    <x v="6"/>
    <d v="2024-05-01T00:00:00"/>
    <d v="2024-05-31T00:00:00"/>
    <x v="3"/>
    <n v="0"/>
    <n v="0"/>
    <n v="0"/>
    <n v="0"/>
    <n v="0"/>
    <n v="0"/>
    <n v="0"/>
    <n v="0"/>
    <n v="0"/>
    <n v="0"/>
    <n v="0"/>
    <n v="0"/>
    <n v="0"/>
    <n v="0"/>
    <n v="0"/>
    <n v="0"/>
    <n v="0"/>
    <n v="0"/>
    <n v="0"/>
    <n v="0"/>
    <n v="0"/>
    <n v="0"/>
    <n v="0"/>
    <n v="0"/>
  </r>
  <r>
    <n v="474"/>
    <d v="2024-06-05T10:36:47"/>
    <d v="2024-06-05T10:40:38"/>
    <s v="ymanda@lighthouse.org.mw"/>
    <s v="Yollam Manda"/>
    <x v="6"/>
    <s v="Prototype"/>
    <x v="1"/>
    <s v="COP_23"/>
    <x v="0"/>
    <x v="3"/>
    <s v="Quarter3"/>
    <x v="3"/>
    <x v="6"/>
    <d v="2024-05-01T00:00:00"/>
    <d v="2024-05-31T00:00:00"/>
    <x v="4"/>
    <n v="0"/>
    <n v="0"/>
    <n v="0"/>
    <n v="0"/>
    <n v="0"/>
    <n v="0"/>
    <n v="0"/>
    <n v="0"/>
    <n v="0"/>
    <n v="0"/>
    <n v="0"/>
    <n v="0"/>
    <n v="0"/>
    <n v="0"/>
    <n v="0"/>
    <n v="0"/>
    <n v="0"/>
    <n v="0"/>
    <n v="0"/>
    <n v="0"/>
    <n v="0"/>
    <n v="0"/>
    <n v="0"/>
    <n v="0"/>
  </r>
  <r>
    <n v="136"/>
    <d v="2024-02-02T12:34:49"/>
    <d v="2024-02-02T12:41:34"/>
    <s v="ymanda@lighthouse.org.mw"/>
    <s v="Yollam Manda"/>
    <x v="6"/>
    <s v="Prototype"/>
    <x v="1"/>
    <s v="COP_23"/>
    <x v="0"/>
    <x v="2"/>
    <s v="Quarter2"/>
    <x v="2"/>
    <x v="4"/>
    <d v="2024-01-01T00:00:00"/>
    <d v="2024-01-31T00:00:00"/>
    <x v="1"/>
    <n v="18"/>
    <n v="0"/>
    <n v="14"/>
    <n v="0"/>
    <n v="3"/>
    <n v="1"/>
    <n v="12"/>
    <n v="3"/>
    <n v="3"/>
    <n v="0"/>
    <n v="0"/>
    <n v="0"/>
    <n v="2"/>
    <n v="0"/>
    <n v="0"/>
    <n v="0"/>
    <n v="0"/>
    <n v="0"/>
    <n v="0"/>
    <n v="0"/>
    <n v="1"/>
    <n v="0"/>
    <n v="0"/>
    <n v="0"/>
  </r>
  <r>
    <n v="482"/>
    <d v="2024-06-05T10:40:50"/>
    <d v="2024-06-05T11:22:57"/>
    <s v="ymanda@lighthouse.org.mw"/>
    <s v="Yollam Manda"/>
    <x v="6"/>
    <s v="Prototype"/>
    <x v="1"/>
    <s v="COP_23"/>
    <x v="0"/>
    <x v="3"/>
    <s v="Quarter3"/>
    <x v="3"/>
    <x v="6"/>
    <d v="2024-05-01T00:00:00"/>
    <d v="2024-05-31T00:00:00"/>
    <x v="5"/>
    <n v="0"/>
    <n v="0"/>
    <n v="0"/>
    <n v="0"/>
    <n v="0"/>
    <n v="0"/>
    <n v="0"/>
    <n v="0"/>
    <n v="0"/>
    <n v="0"/>
    <n v="0"/>
    <n v="0"/>
    <n v="0"/>
    <n v="0"/>
    <n v="0"/>
    <n v="0"/>
    <n v="0"/>
    <n v="0"/>
    <n v="0"/>
    <n v="0"/>
    <n v="0"/>
    <n v="0"/>
    <n v="0"/>
    <n v="0"/>
  </r>
  <r>
    <n v="483"/>
    <d v="2024-06-05T11:23:12"/>
    <d v="2024-06-05T11:26:42"/>
    <s v="ymanda@lighthouse.org.mw"/>
    <s v="Yollam Manda"/>
    <x v="6"/>
    <s v="Prototype"/>
    <x v="1"/>
    <s v="COP_23"/>
    <x v="0"/>
    <x v="3"/>
    <s v="Quarter3"/>
    <x v="3"/>
    <x v="6"/>
    <d v="2024-05-01T00:00:00"/>
    <d v="2024-05-31T00:00:00"/>
    <x v="6"/>
    <n v="0"/>
    <n v="0"/>
    <n v="0"/>
    <n v="0"/>
    <n v="0"/>
    <n v="0"/>
    <n v="0"/>
    <n v="0"/>
    <n v="0"/>
    <n v="0"/>
    <n v="0"/>
    <n v="0"/>
    <n v="0"/>
    <n v="0"/>
    <n v="0"/>
    <n v="0"/>
    <n v="0"/>
    <n v="0"/>
    <n v="0"/>
    <n v="0"/>
    <n v="0"/>
    <n v="0"/>
    <n v="0"/>
    <n v="0"/>
  </r>
  <r>
    <n v="484"/>
    <d v="2024-06-05T11:26:55"/>
    <d v="2024-06-05T11:36:53"/>
    <s v="ymanda@lighthouse.org.mw"/>
    <s v="Yollam Manda"/>
    <x v="6"/>
    <s v="Prototype"/>
    <x v="1"/>
    <s v="COP_23"/>
    <x v="0"/>
    <x v="3"/>
    <s v="Quarter3"/>
    <x v="3"/>
    <x v="6"/>
    <d v="2024-05-01T00:00:00"/>
    <d v="2024-05-31T00:00:00"/>
    <x v="0"/>
    <n v="16"/>
    <n v="3"/>
    <n v="11"/>
    <n v="0"/>
    <n v="4"/>
    <n v="1"/>
    <n v="16"/>
    <n v="8"/>
    <n v="7"/>
    <n v="0"/>
    <n v="0"/>
    <n v="0"/>
    <n v="1"/>
    <n v="0"/>
    <n v="0"/>
    <n v="0"/>
    <n v="0"/>
    <n v="0"/>
    <n v="0"/>
    <n v="0"/>
    <n v="0"/>
    <n v="0"/>
    <n v="0"/>
    <n v="1"/>
  </r>
  <r>
    <n v="160"/>
    <d v="2024-03-01T11:02:23"/>
    <d v="2024-03-01T11:08:31"/>
    <s v="ymanda@lighthouse.org.mw"/>
    <s v="Yollam Manda"/>
    <x v="6"/>
    <s v="Prototype"/>
    <x v="1"/>
    <s v="COP_23"/>
    <x v="0"/>
    <x v="2"/>
    <s v="Quarter2"/>
    <x v="2"/>
    <x v="5"/>
    <d v="2024-02-01T00:00:00"/>
    <d v="2024-02-29T00:00:00"/>
    <x v="1"/>
    <n v="12"/>
    <n v="1"/>
    <n v="6"/>
    <n v="1"/>
    <n v="5"/>
    <n v="0"/>
    <n v="12"/>
    <n v="7"/>
    <n v="7"/>
    <n v="0"/>
    <n v="0"/>
    <n v="0"/>
    <n v="6"/>
    <n v="0"/>
    <n v="0"/>
    <n v="0"/>
    <n v="0"/>
    <n v="0"/>
    <n v="0"/>
    <n v="0"/>
    <n v="0"/>
    <n v="0"/>
    <n v="0"/>
    <n v="0"/>
  </r>
  <r>
    <n v="185"/>
    <d v="2024-04-03T12:13:37"/>
    <d v="2024-04-03T12:16:57"/>
    <s v="ymanda@lighthouse.org.mw"/>
    <s v="Yollam Manda"/>
    <x v="6"/>
    <s v="Prototype"/>
    <x v="1"/>
    <s v="COP_23"/>
    <x v="0"/>
    <x v="2"/>
    <s v="Quarter2"/>
    <x v="2"/>
    <x v="3"/>
    <d v="2024-03-01T00:00:00"/>
    <d v="2024-03-31T00:00:00"/>
    <x v="1"/>
    <n v="23"/>
    <n v="0"/>
    <n v="19"/>
    <n v="1"/>
    <n v="3"/>
    <n v="0"/>
    <n v="23"/>
    <n v="4"/>
    <n v="4"/>
    <n v="0"/>
    <n v="0"/>
    <n v="0"/>
    <n v="4"/>
    <n v="0"/>
    <n v="0"/>
    <n v="0"/>
    <n v="0"/>
    <n v="0"/>
    <n v="0"/>
    <n v="0"/>
    <n v="0"/>
    <n v="0"/>
    <n v="0"/>
    <n v="0"/>
  </r>
  <r>
    <n v="457"/>
    <d v="2024-05-22T11:13:17"/>
    <d v="2024-05-22T11:17:11"/>
    <s v="ymanda@lighthouse.org.mw"/>
    <s v="Yollam Manda"/>
    <x v="6"/>
    <s v="Prototype"/>
    <x v="1"/>
    <s v="COP_23"/>
    <x v="0"/>
    <x v="3"/>
    <s v="Quarter3"/>
    <x v="3"/>
    <x v="7"/>
    <d v="2024-04-01T00:00:00"/>
    <d v="2024-04-30T00:00:00"/>
    <x v="1"/>
    <n v="15"/>
    <n v="0"/>
    <n v="8"/>
    <n v="1"/>
    <n v="5"/>
    <n v="1"/>
    <n v="15"/>
    <n v="2"/>
    <n v="0"/>
    <n v="0"/>
    <n v="0"/>
    <n v="0"/>
    <n v="1"/>
    <n v="1"/>
    <n v="0"/>
    <n v="0"/>
    <n v="0"/>
    <n v="0"/>
    <n v="0"/>
    <n v="0"/>
    <n v="1"/>
    <n v="0"/>
    <n v="0"/>
    <n v="0"/>
  </r>
  <r>
    <n v="485"/>
    <d v="2024-06-05T11:37:06"/>
    <d v="2024-06-05T11:39:48"/>
    <s v="ymanda@lighthouse.org.mw"/>
    <s v="Yollam Manda"/>
    <x v="6"/>
    <s v="Prototype"/>
    <x v="1"/>
    <s v="COP_23"/>
    <x v="0"/>
    <x v="3"/>
    <s v="Quarter3"/>
    <x v="3"/>
    <x v="6"/>
    <d v="2024-05-01T00:00:00"/>
    <d v="2024-05-31T00:00:00"/>
    <x v="1"/>
    <n v="15"/>
    <n v="3"/>
    <n v="10"/>
    <n v="0"/>
    <n v="4"/>
    <n v="1"/>
    <n v="15"/>
    <n v="8"/>
    <n v="7"/>
    <n v="0"/>
    <n v="0"/>
    <n v="0"/>
    <n v="1"/>
    <n v="0"/>
    <n v="0"/>
    <n v="0"/>
    <n v="0"/>
    <n v="0"/>
    <n v="0"/>
    <n v="0"/>
    <n v="0"/>
    <n v="0"/>
    <n v="0"/>
    <n v="1"/>
  </r>
  <r>
    <n v="580"/>
    <d v="2024-07-03T12:54:44"/>
    <d v="2024-07-03T12:57:19"/>
    <s v="ymanda@lighthouse.org.mw"/>
    <s v="Yollam Manda"/>
    <x v="6"/>
    <s v="Prototype"/>
    <x v="1"/>
    <s v="COP_23"/>
    <x v="0"/>
    <x v="3"/>
    <s v="Quarter3"/>
    <x v="3"/>
    <x v="8"/>
    <d v="2024-06-01T00:00:00"/>
    <d v="2024-06-30T00:00:00"/>
    <x v="1"/>
    <n v="9"/>
    <n v="0"/>
    <n v="5"/>
    <n v="0"/>
    <n v="4"/>
    <n v="0"/>
    <n v="9"/>
    <n v="5"/>
    <n v="1"/>
    <n v="0"/>
    <n v="0"/>
    <n v="0"/>
    <n v="0"/>
    <n v="0"/>
    <n v="0"/>
    <n v="0"/>
    <n v="0"/>
    <n v="0"/>
    <n v="0"/>
    <n v="0"/>
    <n v="0"/>
    <n v="0"/>
    <n v="0"/>
    <n v="0"/>
  </r>
  <r>
    <n v="701"/>
    <d v="2024-08-05T12:36:28"/>
    <d v="2024-08-05T12:40:50"/>
    <s v="ymanda@lighthouse.org.mw"/>
    <s v="Yollam Manda"/>
    <x v="6"/>
    <s v="Prototype"/>
    <x v="1"/>
    <s v="COP_23"/>
    <x v="0"/>
    <x v="1"/>
    <s v="Quarter4"/>
    <x v="1"/>
    <x v="9"/>
    <d v="2024-07-01T00:00:00"/>
    <d v="2024-07-31T00:00:00"/>
    <x v="1"/>
    <n v="10"/>
    <n v="2"/>
    <n v="7"/>
    <n v="0"/>
    <n v="3"/>
    <n v="0"/>
    <n v="9"/>
    <n v="3"/>
    <n v="2"/>
    <n v="0"/>
    <n v="0"/>
    <n v="0"/>
    <n v="0"/>
    <n v="0"/>
    <n v="0"/>
    <n v="0"/>
    <n v="0"/>
    <n v="0"/>
    <n v="0"/>
    <n v="0"/>
    <n v="0"/>
    <n v="0"/>
    <n v="0"/>
    <n v="0"/>
  </r>
  <r>
    <n v="841"/>
    <d v="2024-10-02T13:50:35"/>
    <d v="2024-10-02T13:55:42"/>
    <s v="ymanda@lighthouse.org.mw"/>
    <s v="Yollam Manda"/>
    <x v="6"/>
    <s v="Prototype"/>
    <x v="1"/>
    <s v="COP_23"/>
    <x v="0"/>
    <x v="1"/>
    <s v="Quarter4"/>
    <x v="1"/>
    <x v="10"/>
    <d v="2024-08-01T00:00:00"/>
    <d v="2024-08-30T00:00:00"/>
    <x v="1"/>
    <n v="15"/>
    <n v="0"/>
    <n v="10"/>
    <n v="1"/>
    <n v="4"/>
    <n v="0"/>
    <n v="10"/>
    <n v="1"/>
    <n v="0"/>
    <n v="0"/>
    <n v="0"/>
    <n v="0"/>
    <n v="0"/>
    <n v="0"/>
    <n v="0"/>
    <n v="0"/>
    <n v="0"/>
    <n v="0"/>
    <n v="0"/>
    <n v="0"/>
    <n v="0"/>
    <n v="0"/>
    <n v="0"/>
    <n v="0"/>
  </r>
  <r>
    <n v="848"/>
    <d v="2024-10-02T14:16:05"/>
    <d v="2024-10-02T14:18:23"/>
    <s v="ymanda@lighthouse.org.mw"/>
    <s v="Yollam Manda"/>
    <x v="6"/>
    <s v="Prototype"/>
    <x v="1"/>
    <s v="COP_23"/>
    <x v="0"/>
    <x v="1"/>
    <s v="Quarter4"/>
    <x v="1"/>
    <x v="2"/>
    <d v="2024-09-01T00:00:00"/>
    <d v="2024-09-30T00:00:00"/>
    <x v="1"/>
    <n v="14"/>
    <n v="0"/>
    <n v="6"/>
    <n v="1"/>
    <n v="7"/>
    <n v="0"/>
    <n v="0"/>
    <n v="0"/>
    <n v="0"/>
    <n v="0"/>
    <n v="0"/>
    <n v="0"/>
    <n v="0"/>
    <n v="0"/>
    <n v="0"/>
    <n v="0"/>
    <n v="0"/>
    <n v="0"/>
    <n v="0"/>
    <n v="0"/>
    <n v="0"/>
    <n v="0"/>
    <n v="0"/>
    <n v="0"/>
  </r>
  <r>
    <n v="1020"/>
    <d v="2024-11-04T11:57:05"/>
    <d v="2024-11-04T12:14:37"/>
    <s v="ymanda@lighthouse.org.mw"/>
    <s v="Yollam Manda"/>
    <x v="6"/>
    <s v="Prototype"/>
    <x v="1"/>
    <s v="COP_23"/>
    <x v="2"/>
    <x v="0"/>
    <s v="Quarter1"/>
    <x v="0"/>
    <x v="0"/>
    <d v="2024-10-01T00:00:00"/>
    <d v="2024-10-31T00:00:00"/>
    <x v="1"/>
    <n v="19"/>
    <n v="0"/>
    <n v="16"/>
    <n v="2"/>
    <n v="1"/>
    <n v="0"/>
    <n v="0"/>
    <n v="0"/>
    <n v="0"/>
    <n v="0"/>
    <n v="1"/>
    <n v="0"/>
    <n v="3"/>
    <n v="0"/>
    <n v="0"/>
    <n v="0"/>
    <n v="0"/>
    <n v="0"/>
    <n v="0"/>
    <n v="0"/>
    <n v="0"/>
    <n v="0"/>
    <n v="0"/>
    <n v="0"/>
  </r>
  <r>
    <n v="574"/>
    <d v="2024-07-03T12:44:10"/>
    <d v="2024-07-03T12:47:58"/>
    <s v="ymanda@lighthouse.org.mw"/>
    <s v="Yollam Manda"/>
    <x v="6"/>
    <s v="Prototype"/>
    <x v="1"/>
    <s v="COP_23"/>
    <x v="0"/>
    <x v="3"/>
    <s v="Quarter3"/>
    <x v="3"/>
    <x v="8"/>
    <d v="2024-06-01T00:00:00"/>
    <d v="2024-06-30T00:00:00"/>
    <x v="0"/>
    <n v="11"/>
    <n v="1"/>
    <n v="7"/>
    <n v="0"/>
    <n v="4"/>
    <n v="0"/>
    <n v="11"/>
    <n v="6"/>
    <n v="2"/>
    <n v="0"/>
    <n v="0"/>
    <n v="0"/>
    <n v="0"/>
    <n v="0"/>
    <n v="0"/>
    <n v="0"/>
    <n v="0"/>
    <n v="0"/>
    <n v="0"/>
    <n v="0"/>
    <n v="0"/>
    <n v="0"/>
    <n v="0"/>
    <n v="0"/>
  </r>
  <r>
    <n v="575"/>
    <d v="2024-07-03T12:48:08"/>
    <d v="2024-07-03T12:49:08"/>
    <s v="ymanda@lighthouse.org.mw"/>
    <s v="Yollam Manda"/>
    <x v="6"/>
    <s v="Prototype"/>
    <x v="1"/>
    <s v="COP_23"/>
    <x v="0"/>
    <x v="3"/>
    <s v="Quarter3"/>
    <x v="3"/>
    <x v="8"/>
    <d v="2024-06-01T00:00:00"/>
    <d v="2024-06-30T00:00:00"/>
    <x v="6"/>
    <n v="0"/>
    <n v="0"/>
    <n v="0"/>
    <n v="0"/>
    <n v="0"/>
    <n v="0"/>
    <n v="0"/>
    <n v="0"/>
    <n v="0"/>
    <n v="0"/>
    <n v="0"/>
    <n v="0"/>
    <n v="0"/>
    <n v="0"/>
    <n v="0"/>
    <n v="0"/>
    <n v="0"/>
    <n v="0"/>
    <n v="0"/>
    <n v="0"/>
    <n v="0"/>
    <n v="0"/>
    <n v="0"/>
    <n v="0"/>
  </r>
  <r>
    <n v="184"/>
    <d v="2024-04-03T12:09:58"/>
    <d v="2024-04-03T12:13:09"/>
    <s v="ymanda@lighthouse.org.mw"/>
    <s v="Yollam Manda"/>
    <x v="6"/>
    <s v="Prototype"/>
    <x v="1"/>
    <s v="COP_23"/>
    <x v="0"/>
    <x v="2"/>
    <s v="Quarter2"/>
    <x v="2"/>
    <x v="3"/>
    <d v="2024-03-01T00:00:00"/>
    <d v="2024-03-31T00:00:00"/>
    <x v="2"/>
    <n v="1"/>
    <n v="0"/>
    <n v="1"/>
    <n v="0"/>
    <n v="0"/>
    <n v="0"/>
    <n v="1"/>
    <n v="1"/>
    <n v="1"/>
    <n v="0"/>
    <n v="0"/>
    <n v="0"/>
    <n v="1"/>
    <n v="0"/>
    <n v="0"/>
    <n v="0"/>
    <n v="0"/>
    <n v="0"/>
    <n v="0"/>
    <n v="0"/>
    <n v="0"/>
    <n v="0"/>
    <n v="0"/>
    <n v="0"/>
  </r>
  <r>
    <n v="577"/>
    <d v="2024-07-03T12:51:37"/>
    <d v="2024-07-03T12:52:28"/>
    <s v="ymanda@lighthouse.org.mw"/>
    <s v="Yollam Manda"/>
    <x v="6"/>
    <s v="Prototype"/>
    <x v="1"/>
    <s v="COP_23"/>
    <x v="0"/>
    <x v="3"/>
    <s v="Quarter3"/>
    <x v="3"/>
    <x v="8"/>
    <d v="2024-06-01T00:00:00"/>
    <d v="2024-06-30T00:00:00"/>
    <x v="5"/>
    <n v="0"/>
    <n v="0"/>
    <n v="0"/>
    <n v="0"/>
    <n v="0"/>
    <n v="0"/>
    <n v="0"/>
    <n v="0"/>
    <n v="0"/>
    <n v="0"/>
    <n v="0"/>
    <n v="0"/>
    <n v="0"/>
    <n v="0"/>
    <n v="0"/>
    <n v="0"/>
    <n v="0"/>
    <n v="0"/>
    <n v="0"/>
    <n v="0"/>
    <n v="0"/>
    <n v="0"/>
    <n v="0"/>
    <n v="0"/>
  </r>
  <r>
    <n v="578"/>
    <d v="2024-07-03T12:52:44"/>
    <d v="2024-07-03T12:53:35"/>
    <s v="ymanda@lighthouse.org.mw"/>
    <s v="Yollam Manda"/>
    <x v="6"/>
    <s v="Prototype"/>
    <x v="1"/>
    <s v="COP_23"/>
    <x v="0"/>
    <x v="3"/>
    <s v="Quarter3"/>
    <x v="3"/>
    <x v="8"/>
    <d v="2024-06-01T00:00:00"/>
    <d v="2024-06-30T00:00:00"/>
    <x v="4"/>
    <n v="0"/>
    <n v="0"/>
    <n v="0"/>
    <n v="0"/>
    <n v="0"/>
    <n v="0"/>
    <n v="0"/>
    <n v="0"/>
    <n v="0"/>
    <n v="0"/>
    <n v="0"/>
    <n v="0"/>
    <n v="0"/>
    <n v="0"/>
    <n v="0"/>
    <n v="0"/>
    <n v="0"/>
    <n v="0"/>
    <n v="0"/>
    <n v="0"/>
    <n v="0"/>
    <n v="0"/>
    <n v="0"/>
    <n v="0"/>
  </r>
  <r>
    <n v="579"/>
    <d v="2024-07-03T12:53:37"/>
    <d v="2024-07-03T12:54:32"/>
    <s v="ymanda@lighthouse.org.mw"/>
    <s v="Yollam Manda"/>
    <x v="6"/>
    <s v="Prototype"/>
    <x v="1"/>
    <s v="COP_23"/>
    <x v="0"/>
    <x v="3"/>
    <s v="Quarter3"/>
    <x v="3"/>
    <x v="8"/>
    <d v="2024-06-01T00:00:00"/>
    <d v="2024-06-30T00:00:00"/>
    <x v="3"/>
    <n v="0"/>
    <n v="0"/>
    <n v="0"/>
    <n v="0"/>
    <n v="0"/>
    <n v="0"/>
    <n v="0"/>
    <n v="0"/>
    <n v="0"/>
    <n v="0"/>
    <n v="0"/>
    <n v="0"/>
    <n v="0"/>
    <n v="0"/>
    <n v="0"/>
    <n v="0"/>
    <n v="0"/>
    <n v="0"/>
    <n v="0"/>
    <n v="0"/>
    <n v="0"/>
    <n v="0"/>
    <n v="0"/>
    <n v="0"/>
  </r>
  <r>
    <n v="250"/>
    <d v="2024-04-19T11:42:44"/>
    <d v="2024-04-19T11:43:49"/>
    <s v="ymanda@lighthouse.org.mw"/>
    <s v="Yollam Manda"/>
    <x v="6"/>
    <s v="Prototype"/>
    <x v="1"/>
    <s v="COP_23"/>
    <x v="0"/>
    <x v="2"/>
    <s v="Quarter2"/>
    <x v="2"/>
    <x v="4"/>
    <d v="2024-01-01T00:00:00"/>
    <d v="2024-01-31T00:00:00"/>
    <x v="2"/>
    <n v="0"/>
    <n v="0"/>
    <n v="0"/>
    <n v="0"/>
    <n v="0"/>
    <n v="0"/>
    <n v="0"/>
    <n v="0"/>
    <n v="0"/>
    <n v="0"/>
    <n v="0"/>
    <n v="0"/>
    <n v="0"/>
    <n v="0"/>
    <n v="0"/>
    <n v="0"/>
    <n v="0"/>
    <n v="0"/>
    <n v="0"/>
    <n v="0"/>
    <n v="0"/>
    <n v="0"/>
    <n v="0"/>
    <n v="0"/>
  </r>
  <r>
    <n v="253"/>
    <d v="2024-04-19T11:49:53"/>
    <d v="2024-04-19T11:50:56"/>
    <s v="ymanda@lighthouse.org.mw"/>
    <s v="Yollam Manda"/>
    <x v="6"/>
    <s v="Prototype"/>
    <x v="1"/>
    <s v="COP_23"/>
    <x v="0"/>
    <x v="2"/>
    <s v="Quarter2"/>
    <x v="2"/>
    <x v="5"/>
    <d v="2024-02-01T00:00:00"/>
    <d v="2024-02-29T00:00:00"/>
    <x v="2"/>
    <n v="0"/>
    <n v="0"/>
    <n v="0"/>
    <n v="0"/>
    <n v="0"/>
    <n v="0"/>
    <n v="0"/>
    <n v="0"/>
    <n v="0"/>
    <n v="0"/>
    <n v="0"/>
    <n v="0"/>
    <n v="0"/>
    <n v="0"/>
    <n v="0"/>
    <n v="0"/>
    <n v="0"/>
    <n v="0"/>
    <n v="0"/>
    <n v="0"/>
    <n v="0"/>
    <n v="0"/>
    <n v="0"/>
    <n v="0"/>
  </r>
  <r>
    <n v="461"/>
    <d v="2024-05-22T11:22:58"/>
    <d v="2024-05-22T11:25:04"/>
    <s v="ymanda@lighthouse.org.mw"/>
    <s v="Yollam Manda"/>
    <x v="6"/>
    <s v="Prototype"/>
    <x v="1"/>
    <s v="COP_23"/>
    <x v="0"/>
    <x v="3"/>
    <s v="Quarter3"/>
    <x v="3"/>
    <x v="7"/>
    <d v="2024-04-01T00:00:00"/>
    <d v="2024-04-30T00:00:00"/>
    <x v="2"/>
    <n v="4"/>
    <n v="0"/>
    <n v="3"/>
    <n v="1"/>
    <n v="0"/>
    <n v="0"/>
    <n v="4"/>
    <n v="1"/>
    <n v="0"/>
    <n v="0"/>
    <n v="0"/>
    <n v="0"/>
    <n v="0"/>
    <n v="0"/>
    <n v="0"/>
    <n v="0"/>
    <n v="0"/>
    <n v="0"/>
    <n v="0"/>
    <n v="0"/>
    <n v="0"/>
    <n v="0"/>
    <n v="0"/>
    <n v="0"/>
  </r>
  <r>
    <n v="486"/>
    <d v="2024-06-05T11:39:56"/>
    <d v="2024-06-05T11:41:16"/>
    <s v="ymanda@lighthouse.org.mw"/>
    <s v="Yollam Manda"/>
    <x v="6"/>
    <s v="Prototype"/>
    <x v="1"/>
    <s v="COP_23"/>
    <x v="0"/>
    <x v="3"/>
    <s v="Quarter3"/>
    <x v="3"/>
    <x v="6"/>
    <d v="2024-05-01T00:00:00"/>
    <d v="2024-05-31T00:00:00"/>
    <x v="2"/>
    <n v="1"/>
    <n v="0"/>
    <n v="1"/>
    <n v="0"/>
    <n v="0"/>
    <n v="0"/>
    <n v="1"/>
    <n v="0"/>
    <n v="0"/>
    <n v="0"/>
    <n v="0"/>
    <n v="0"/>
    <n v="0"/>
    <n v="0"/>
    <n v="0"/>
    <n v="0"/>
    <n v="0"/>
    <n v="0"/>
    <n v="0"/>
    <n v="0"/>
    <n v="0"/>
    <n v="0"/>
    <n v="0"/>
    <n v="0"/>
  </r>
  <r>
    <n v="576"/>
    <d v="2024-07-03T12:49:12"/>
    <d v="2024-07-03T12:51:27"/>
    <s v="ymanda@lighthouse.org.mw"/>
    <s v="Yollam Manda"/>
    <x v="6"/>
    <s v="Prototype"/>
    <x v="1"/>
    <s v="COP_23"/>
    <x v="0"/>
    <x v="3"/>
    <s v="Quarter3"/>
    <x v="3"/>
    <x v="8"/>
    <d v="2024-06-01T00:00:00"/>
    <d v="2024-06-30T00:00:00"/>
    <x v="2"/>
    <n v="2"/>
    <n v="1"/>
    <n v="2"/>
    <n v="0"/>
    <n v="0"/>
    <n v="0"/>
    <n v="2"/>
    <n v="1"/>
    <n v="1"/>
    <n v="0"/>
    <n v="0"/>
    <n v="0"/>
    <n v="0"/>
    <n v="0"/>
    <n v="0"/>
    <n v="0"/>
    <n v="0"/>
    <n v="0"/>
    <n v="0"/>
    <n v="0"/>
    <n v="0"/>
    <n v="0"/>
    <n v="0"/>
    <n v="0"/>
  </r>
  <r>
    <n v="705"/>
    <d v="2024-08-05T12:45:58"/>
    <d v="2024-08-05T12:47:25"/>
    <s v="ymanda@lighthouse.org.mw"/>
    <s v="Yollam Manda"/>
    <x v="6"/>
    <s v="Prototype"/>
    <x v="1"/>
    <s v="COP_23"/>
    <x v="0"/>
    <x v="1"/>
    <s v="Quarter4"/>
    <x v="1"/>
    <x v="9"/>
    <d v="2024-07-01T00:00:00"/>
    <d v="2024-07-31T00:00:00"/>
    <x v="2"/>
    <n v="1"/>
    <n v="0"/>
    <n v="1"/>
    <n v="0"/>
    <n v="0"/>
    <n v="0"/>
    <n v="1"/>
    <n v="1"/>
    <n v="1"/>
    <n v="0"/>
    <n v="0"/>
    <n v="0"/>
    <n v="0"/>
    <n v="0"/>
    <n v="0"/>
    <n v="0"/>
    <n v="0"/>
    <n v="0"/>
    <n v="0"/>
    <n v="0"/>
    <n v="0"/>
    <n v="0"/>
    <n v="0"/>
    <n v="0"/>
  </r>
  <r>
    <n v="845"/>
    <d v="2024-10-02T13:59:26"/>
    <d v="2024-10-02T14:01:34"/>
    <s v="ymanda@lighthouse.org.mw"/>
    <s v="Yollam Manda"/>
    <x v="6"/>
    <s v="Prototype"/>
    <x v="1"/>
    <s v="COP_23"/>
    <x v="0"/>
    <x v="1"/>
    <s v="Quarter4"/>
    <x v="1"/>
    <x v="10"/>
    <d v="2024-08-01T00:00:00"/>
    <d v="2024-08-30T00:00:00"/>
    <x v="2"/>
    <n v="2"/>
    <n v="2"/>
    <n v="0"/>
    <n v="0"/>
    <n v="1"/>
    <n v="1"/>
    <n v="2"/>
    <n v="1"/>
    <n v="0"/>
    <n v="0"/>
    <n v="0"/>
    <n v="0"/>
    <n v="0"/>
    <n v="0"/>
    <n v="0"/>
    <n v="0"/>
    <n v="0"/>
    <n v="0"/>
    <n v="0"/>
    <n v="0"/>
    <n v="0"/>
    <n v="0"/>
    <n v="0"/>
    <n v="0"/>
  </r>
  <r>
    <n v="852"/>
    <d v="2024-10-02T14:21:24"/>
    <d v="2024-10-02T14:23:34"/>
    <s v="ymanda@lighthouse.org.mw"/>
    <s v="Yollam Manda"/>
    <x v="6"/>
    <s v="Prototype"/>
    <x v="1"/>
    <s v="COP_23"/>
    <x v="0"/>
    <x v="1"/>
    <s v="Quarter4"/>
    <x v="1"/>
    <x v="2"/>
    <d v="2024-09-01T00:00:00"/>
    <d v="2024-09-30T00:00:00"/>
    <x v="2"/>
    <n v="0"/>
    <n v="0"/>
    <n v="0"/>
    <n v="0"/>
    <n v="0"/>
    <n v="0"/>
    <n v="0"/>
    <n v="0"/>
    <n v="0"/>
    <n v="0"/>
    <n v="0"/>
    <n v="0"/>
    <n v="0"/>
    <n v="0"/>
    <n v="0"/>
    <n v="0"/>
    <n v="0"/>
    <n v="0"/>
    <n v="0"/>
    <n v="0"/>
    <n v="0"/>
    <n v="0"/>
    <n v="0"/>
    <n v="0"/>
  </r>
  <r>
    <n v="1024"/>
    <d v="2024-11-04T12:33:46"/>
    <d v="2024-11-04T12:37:22"/>
    <s v="ymanda@lighthouse.org.mw"/>
    <s v="Yollam Manda"/>
    <x v="6"/>
    <s v="Prototype"/>
    <x v="1"/>
    <s v="COP_23"/>
    <x v="2"/>
    <x v="0"/>
    <s v="Quarter1"/>
    <x v="0"/>
    <x v="0"/>
    <d v="2024-10-01T00:00:00"/>
    <d v="2024-10-31T00:00:00"/>
    <x v="2"/>
    <n v="2"/>
    <n v="1"/>
    <n v="1"/>
    <n v="0"/>
    <n v="0"/>
    <n v="1"/>
    <n v="1"/>
    <n v="0"/>
    <n v="1"/>
    <n v="0"/>
    <n v="0"/>
    <n v="0"/>
    <n v="1"/>
    <n v="0"/>
    <n v="1"/>
    <n v="1"/>
    <n v="1"/>
    <n v="0"/>
    <n v="0"/>
    <n v="0"/>
    <n v="1"/>
    <n v="0"/>
    <n v="0"/>
    <n v="0"/>
  </r>
  <r>
    <n v="700"/>
    <d v="2024-08-05T11:56:32"/>
    <d v="2024-08-05T12:36:16"/>
    <s v="ymanda@lighthouse.org.mw"/>
    <s v="Yollam Manda"/>
    <x v="6"/>
    <s v="Prototype"/>
    <x v="1"/>
    <s v="COP_23"/>
    <x v="0"/>
    <x v="1"/>
    <s v="Quarter4"/>
    <x v="1"/>
    <x v="9"/>
    <d v="2024-07-01T00:00:00"/>
    <d v="2024-07-31T00:00:00"/>
    <x v="0"/>
    <n v="11"/>
    <n v="2"/>
    <n v="8"/>
    <n v="0"/>
    <n v="3"/>
    <n v="0"/>
    <n v="10"/>
    <n v="4"/>
    <n v="3"/>
    <n v="0"/>
    <n v="0"/>
    <n v="0"/>
    <n v="0"/>
    <n v="0"/>
    <n v="0"/>
    <n v="0"/>
    <n v="0"/>
    <n v="0"/>
    <n v="0"/>
    <n v="0"/>
    <n v="0"/>
    <n v="0"/>
    <n v="0"/>
    <n v="0"/>
  </r>
  <r>
    <n v="702"/>
    <d v="2024-08-05T12:40:58"/>
    <d v="2024-08-05T12:42:14"/>
    <s v="ymanda@lighthouse.org.mw"/>
    <s v="Yollam Manda"/>
    <x v="6"/>
    <s v="Prototype"/>
    <x v="1"/>
    <s v="COP_23"/>
    <x v="0"/>
    <x v="1"/>
    <s v="Quarter4"/>
    <x v="1"/>
    <x v="9"/>
    <d v="2024-07-01T00:00:00"/>
    <d v="2024-07-31T00:00:00"/>
    <x v="3"/>
    <n v="0"/>
    <n v="0"/>
    <n v="0"/>
    <n v="0"/>
    <n v="0"/>
    <n v="0"/>
    <n v="0"/>
    <n v="0"/>
    <n v="0"/>
    <n v="0"/>
    <n v="0"/>
    <n v="0"/>
    <n v="0"/>
    <n v="0"/>
    <n v="0"/>
    <n v="0"/>
    <n v="0"/>
    <n v="0"/>
    <n v="0"/>
    <n v="0"/>
    <n v="0"/>
    <n v="0"/>
    <n v="0"/>
    <n v="0"/>
  </r>
  <r>
    <n v="703"/>
    <d v="2024-08-05T12:42:18"/>
    <d v="2024-08-05T12:44:31"/>
    <s v="ymanda@lighthouse.org.mw"/>
    <s v="Yollam Manda"/>
    <x v="6"/>
    <s v="Prototype"/>
    <x v="1"/>
    <s v="COP_23"/>
    <x v="0"/>
    <x v="1"/>
    <s v="Quarter4"/>
    <x v="1"/>
    <x v="9"/>
    <d v="2024-07-01T00:00:00"/>
    <d v="2024-07-31T00:00:00"/>
    <x v="4"/>
    <n v="0"/>
    <n v="0"/>
    <n v="0"/>
    <n v="0"/>
    <n v="0"/>
    <n v="0"/>
    <n v="0"/>
    <n v="0"/>
    <n v="0"/>
    <n v="0"/>
    <n v="0"/>
    <n v="0"/>
    <n v="0"/>
    <n v="0"/>
    <n v="0"/>
    <n v="0"/>
    <n v="0"/>
    <n v="0"/>
    <n v="0"/>
    <n v="0"/>
    <n v="0"/>
    <n v="0"/>
    <n v="0"/>
    <n v="0"/>
  </r>
  <r>
    <n v="704"/>
    <d v="2024-08-05T12:44:35"/>
    <d v="2024-08-05T12:45:44"/>
    <s v="ymanda@lighthouse.org.mw"/>
    <s v="Yollam Manda"/>
    <x v="6"/>
    <s v="Prototype"/>
    <x v="1"/>
    <s v="COP_23"/>
    <x v="0"/>
    <x v="1"/>
    <s v="Quarter4"/>
    <x v="1"/>
    <x v="9"/>
    <d v="2024-07-01T00:00:00"/>
    <d v="2024-07-31T00:00:00"/>
    <x v="5"/>
    <n v="0"/>
    <n v="0"/>
    <n v="0"/>
    <n v="0"/>
    <n v="0"/>
    <n v="0"/>
    <n v="0"/>
    <n v="0"/>
    <n v="0"/>
    <n v="0"/>
    <n v="0"/>
    <n v="0"/>
    <n v="0"/>
    <n v="0"/>
    <n v="0"/>
    <n v="0"/>
    <n v="0"/>
    <n v="0"/>
    <n v="0"/>
    <n v="0"/>
    <n v="0"/>
    <n v="0"/>
    <n v="0"/>
    <n v="0"/>
  </r>
  <r>
    <n v="706"/>
    <d v="2024-08-05T12:47:28"/>
    <d v="2024-08-05T12:48:36"/>
    <s v="ymanda@lighthouse.org.mw"/>
    <s v="Yollam Manda"/>
    <x v="6"/>
    <s v="Prototype"/>
    <x v="1"/>
    <s v="COP_23"/>
    <x v="0"/>
    <x v="1"/>
    <s v="Quarter4"/>
    <x v="1"/>
    <x v="9"/>
    <d v="2024-07-01T00:00:00"/>
    <d v="2024-07-31T00:00:00"/>
    <x v="6"/>
    <n v="0"/>
    <n v="0"/>
    <n v="0"/>
    <n v="0"/>
    <n v="0"/>
    <n v="0"/>
    <n v="0"/>
    <n v="0"/>
    <n v="0"/>
    <n v="0"/>
    <n v="0"/>
    <n v="0"/>
    <n v="0"/>
    <n v="0"/>
    <n v="0"/>
    <n v="0"/>
    <n v="0"/>
    <n v="0"/>
    <n v="0"/>
    <n v="0"/>
    <n v="0"/>
    <n v="0"/>
    <n v="0"/>
    <n v="0"/>
  </r>
  <r>
    <n v="842"/>
    <d v="2024-10-02T13:55:54"/>
    <d v="2024-10-02T13:57:05"/>
    <s v="ymanda@lighthouse.org.mw"/>
    <s v="Yollam Manda"/>
    <x v="6"/>
    <s v="Prototype"/>
    <x v="1"/>
    <s v="COP_23"/>
    <x v="0"/>
    <x v="1"/>
    <s v="Quarter4"/>
    <x v="1"/>
    <x v="10"/>
    <d v="2024-08-01T00:00:00"/>
    <d v="2024-08-30T00:00:00"/>
    <x v="3"/>
    <n v="0"/>
    <n v="0"/>
    <n v="0"/>
    <n v="0"/>
    <n v="0"/>
    <n v="0"/>
    <n v="0"/>
    <n v="0"/>
    <n v="0"/>
    <n v="0"/>
    <n v="0"/>
    <n v="0"/>
    <n v="0"/>
    <n v="0"/>
    <n v="0"/>
    <n v="0"/>
    <n v="0"/>
    <n v="0"/>
    <n v="0"/>
    <n v="0"/>
    <n v="0"/>
    <n v="0"/>
    <n v="0"/>
    <n v="0"/>
  </r>
  <r>
    <n v="843"/>
    <d v="2024-10-02T13:57:12"/>
    <d v="2024-10-02T13:58:11"/>
    <s v="ymanda@lighthouse.org.mw"/>
    <s v="Yollam Manda"/>
    <x v="6"/>
    <s v="Prototype"/>
    <x v="1"/>
    <s v="COP_23"/>
    <x v="0"/>
    <x v="1"/>
    <s v="Quarter4"/>
    <x v="1"/>
    <x v="10"/>
    <d v="2024-08-01T00:00:00"/>
    <d v="2024-08-30T00:00:00"/>
    <x v="4"/>
    <n v="0"/>
    <n v="0"/>
    <n v="0"/>
    <n v="0"/>
    <n v="0"/>
    <n v="0"/>
    <n v="0"/>
    <n v="0"/>
    <n v="0"/>
    <n v="0"/>
    <n v="0"/>
    <n v="0"/>
    <n v="0"/>
    <n v="0"/>
    <n v="0"/>
    <n v="0"/>
    <n v="0"/>
    <n v="0"/>
    <n v="0"/>
    <n v="0"/>
    <n v="0"/>
    <n v="0"/>
    <n v="0"/>
    <n v="0"/>
  </r>
  <r>
    <n v="844"/>
    <d v="2024-10-02T13:58:18"/>
    <d v="2024-10-02T13:59:17"/>
    <s v="ymanda@lighthouse.org.mw"/>
    <s v="Yollam Manda"/>
    <x v="6"/>
    <s v="Prototype"/>
    <x v="1"/>
    <s v="COP_23"/>
    <x v="0"/>
    <x v="1"/>
    <s v="Quarter4"/>
    <x v="1"/>
    <x v="10"/>
    <d v="2024-08-01T00:00:00"/>
    <d v="2024-08-30T00:00:00"/>
    <x v="5"/>
    <n v="0"/>
    <n v="0"/>
    <n v="0"/>
    <n v="0"/>
    <n v="0"/>
    <n v="0"/>
    <n v="0"/>
    <n v="0"/>
    <n v="0"/>
    <n v="0"/>
    <n v="0"/>
    <n v="0"/>
    <n v="0"/>
    <n v="0"/>
    <n v="0"/>
    <n v="0"/>
    <n v="0"/>
    <n v="0"/>
    <n v="0"/>
    <n v="0"/>
    <n v="0"/>
    <n v="0"/>
    <n v="0"/>
    <n v="0"/>
  </r>
  <r>
    <n v="846"/>
    <d v="2024-10-02T14:02:15"/>
    <d v="2024-10-02T14:03:04"/>
    <s v="ymanda@lighthouse.org.mw"/>
    <s v="Yollam Manda"/>
    <x v="6"/>
    <s v="Prototype"/>
    <x v="1"/>
    <s v="COP_23"/>
    <x v="0"/>
    <x v="1"/>
    <s v="Quarter4"/>
    <x v="1"/>
    <x v="10"/>
    <d v="2024-08-01T00:00:00"/>
    <d v="2024-08-30T00:00:00"/>
    <x v="6"/>
    <n v="0"/>
    <n v="0"/>
    <n v="0"/>
    <n v="0"/>
    <n v="0"/>
    <n v="0"/>
    <n v="0"/>
    <n v="0"/>
    <n v="0"/>
    <n v="0"/>
    <n v="0"/>
    <n v="0"/>
    <n v="0"/>
    <n v="0"/>
    <n v="0"/>
    <n v="0"/>
    <n v="0"/>
    <n v="0"/>
    <n v="0"/>
    <n v="0"/>
    <n v="0"/>
    <n v="0"/>
    <n v="0"/>
    <n v="0"/>
  </r>
  <r>
    <n v="847"/>
    <d v="2024-10-02T14:09:40"/>
    <d v="2024-10-02T14:12:41"/>
    <s v="ymanda@lighthouse.org.mw"/>
    <s v="Yollam Manda"/>
    <x v="6"/>
    <s v="Prototype"/>
    <x v="1"/>
    <s v="COP_22"/>
    <x v="0"/>
    <x v="1"/>
    <s v="Quarter4"/>
    <x v="1"/>
    <x v="10"/>
    <d v="2024-08-01T00:00:00"/>
    <d v="2024-08-30T00:00:00"/>
    <x v="0"/>
    <n v="17"/>
    <n v="2"/>
    <n v="10"/>
    <n v="1"/>
    <n v="5"/>
    <n v="1"/>
    <n v="12"/>
    <n v="2"/>
    <n v="0"/>
    <n v="0"/>
    <n v="0"/>
    <n v="0"/>
    <n v="0"/>
    <n v="0"/>
    <n v="0"/>
    <n v="0"/>
    <n v="0"/>
    <n v="0"/>
    <n v="0"/>
    <n v="0"/>
    <n v="0"/>
    <n v="0"/>
    <n v="0"/>
    <n v="0"/>
  </r>
  <r>
    <n v="849"/>
    <d v="2024-10-02T14:18:32"/>
    <d v="2024-10-02T14:19:34"/>
    <s v="ymanda@lighthouse.org.mw"/>
    <s v="Yollam Manda"/>
    <x v="6"/>
    <s v="Prototype"/>
    <x v="1"/>
    <s v="COP_22"/>
    <x v="0"/>
    <x v="1"/>
    <s v="Quarter4"/>
    <x v="1"/>
    <x v="2"/>
    <d v="2024-09-01T00:00:00"/>
    <d v="2024-09-30T00:00:00"/>
    <x v="3"/>
    <n v="1"/>
    <n v="0"/>
    <n v="0"/>
    <n v="0"/>
    <n v="1"/>
    <n v="0"/>
    <n v="0"/>
    <n v="0"/>
    <n v="0"/>
    <n v="0"/>
    <n v="0"/>
    <n v="0"/>
    <n v="0"/>
    <n v="0"/>
    <n v="0"/>
    <n v="0"/>
    <n v="0"/>
    <n v="0"/>
    <n v="0"/>
    <n v="0"/>
    <n v="0"/>
    <n v="0"/>
    <n v="0"/>
    <n v="0"/>
  </r>
  <r>
    <n v="850"/>
    <d v="2024-10-02T14:19:42"/>
    <d v="2024-10-02T14:20:33"/>
    <s v="ymanda@lighthouse.org.mw"/>
    <s v="Yollam Manda"/>
    <x v="6"/>
    <s v="Prototype"/>
    <x v="1"/>
    <s v="COP_22"/>
    <x v="0"/>
    <x v="1"/>
    <s v="Quarter4"/>
    <x v="1"/>
    <x v="2"/>
    <d v="2024-09-01T00:00:00"/>
    <d v="2024-09-30T00:00:00"/>
    <x v="4"/>
    <n v="0"/>
    <n v="0"/>
    <n v="0"/>
    <n v="0"/>
    <n v="0"/>
    <n v="0"/>
    <n v="0"/>
    <n v="0"/>
    <n v="0"/>
    <n v="0"/>
    <n v="0"/>
    <n v="0"/>
    <n v="0"/>
    <n v="0"/>
    <n v="0"/>
    <n v="0"/>
    <n v="0"/>
    <n v="0"/>
    <n v="0"/>
    <n v="0"/>
    <n v="0"/>
    <n v="0"/>
    <n v="0"/>
    <n v="0"/>
  </r>
  <r>
    <n v="851"/>
    <d v="2024-10-02T14:20:39"/>
    <d v="2024-10-02T14:21:21"/>
    <s v="ymanda@lighthouse.org.mw"/>
    <s v="Yollam Manda"/>
    <x v="6"/>
    <s v="Prototype"/>
    <x v="1"/>
    <s v="COP_22"/>
    <x v="0"/>
    <x v="1"/>
    <s v="Quarter4"/>
    <x v="1"/>
    <x v="2"/>
    <d v="2024-09-01T00:00:00"/>
    <d v="2024-09-30T00:00:00"/>
    <x v="5"/>
    <n v="0"/>
    <n v="0"/>
    <n v="0"/>
    <n v="0"/>
    <n v="0"/>
    <n v="0"/>
    <n v="0"/>
    <n v="0"/>
    <n v="0"/>
    <n v="0"/>
    <n v="0"/>
    <n v="0"/>
    <n v="0"/>
    <n v="0"/>
    <n v="0"/>
    <n v="0"/>
    <n v="0"/>
    <n v="0"/>
    <n v="0"/>
    <n v="0"/>
    <n v="0"/>
    <n v="0"/>
    <n v="0"/>
    <n v="0"/>
  </r>
  <r>
    <n v="853"/>
    <d v="2024-10-02T14:23:37"/>
    <d v="2024-10-02T14:24:24"/>
    <s v="ymanda@lighthouse.org.mw"/>
    <s v="Yollam Manda"/>
    <x v="6"/>
    <s v="Prototype"/>
    <x v="1"/>
    <s v="COP_22"/>
    <x v="0"/>
    <x v="1"/>
    <s v="Quarter4"/>
    <x v="1"/>
    <x v="2"/>
    <d v="2024-09-01T00:00:00"/>
    <d v="2024-09-30T00:00:00"/>
    <x v="6"/>
    <n v="0"/>
    <n v="0"/>
    <n v="0"/>
    <n v="0"/>
    <n v="0"/>
    <n v="0"/>
    <n v="0"/>
    <n v="0"/>
    <n v="0"/>
    <n v="0"/>
    <n v="0"/>
    <n v="0"/>
    <n v="0"/>
    <n v="0"/>
    <n v="0"/>
    <n v="0"/>
    <n v="0"/>
    <n v="0"/>
    <n v="0"/>
    <n v="0"/>
    <n v="0"/>
    <n v="0"/>
    <n v="0"/>
    <n v="0"/>
  </r>
  <r>
    <n v="854"/>
    <d v="2024-10-02T14:24:26"/>
    <d v="2024-10-02T14:25:31"/>
    <s v="ymanda@lighthouse.org.mw"/>
    <s v="Yollam Manda"/>
    <x v="6"/>
    <s v="Prototype"/>
    <x v="1"/>
    <s v="COP_22"/>
    <x v="0"/>
    <x v="1"/>
    <s v="Quarter4"/>
    <x v="1"/>
    <x v="2"/>
    <d v="2024-09-01T00:00:00"/>
    <d v="2024-09-30T00:00:00"/>
    <x v="0"/>
    <n v="14"/>
    <n v="0"/>
    <n v="6"/>
    <n v="1"/>
    <n v="7"/>
    <n v="0"/>
    <n v="0"/>
    <n v="0"/>
    <n v="0"/>
    <n v="0"/>
    <n v="0"/>
    <n v="0"/>
    <n v="0"/>
    <n v="0"/>
    <n v="0"/>
    <n v="0"/>
    <n v="0"/>
    <n v="0"/>
    <n v="0"/>
    <n v="0"/>
    <n v="0"/>
    <n v="0"/>
    <n v="0"/>
    <n v="0"/>
  </r>
  <r>
    <n v="1021"/>
    <d v="2024-11-04T12:14:46"/>
    <d v="2024-11-04T12:30:56"/>
    <s v="ymanda@lighthouse.org.mw"/>
    <s v="Yollam Manda"/>
    <x v="6"/>
    <s v="Prototype"/>
    <x v="1"/>
    <s v="COP_24"/>
    <x v="2"/>
    <x v="0"/>
    <s v="Quarter1"/>
    <x v="0"/>
    <x v="0"/>
    <d v="2024-10-01T00:00:00"/>
    <d v="2024-10-31T00:00:00"/>
    <x v="3"/>
    <n v="1"/>
    <n v="0"/>
    <n v="1"/>
    <n v="0"/>
    <n v="0"/>
    <n v="0"/>
    <n v="0"/>
    <n v="0"/>
    <n v="0"/>
    <n v="0"/>
    <n v="0"/>
    <n v="0"/>
    <n v="0"/>
    <n v="0"/>
    <n v="0"/>
    <n v="0"/>
    <n v="0"/>
    <n v="0"/>
    <n v="0"/>
    <n v="0"/>
    <n v="0"/>
    <n v="0"/>
    <n v="0"/>
    <n v="0"/>
  </r>
  <r>
    <n v="1022"/>
    <d v="2024-11-04T12:31:03"/>
    <d v="2024-11-04T12:32:01"/>
    <s v="ymanda@lighthouse.org.mw"/>
    <s v="Yollam Manda"/>
    <x v="6"/>
    <s v="Prototype"/>
    <x v="1"/>
    <s v="COP_24"/>
    <x v="2"/>
    <x v="0"/>
    <s v="Quarter1"/>
    <x v="0"/>
    <x v="0"/>
    <d v="2024-10-01T00:00:00"/>
    <d v="2024-10-31T00:00:00"/>
    <x v="4"/>
    <n v="0"/>
    <n v="0"/>
    <n v="0"/>
    <n v="0"/>
    <n v="0"/>
    <n v="0"/>
    <n v="0"/>
    <n v="0"/>
    <n v="0"/>
    <n v="0"/>
    <n v="0"/>
    <n v="0"/>
    <n v="0"/>
    <n v="0"/>
    <n v="0"/>
    <n v="0"/>
    <n v="0"/>
    <n v="0"/>
    <n v="0"/>
    <n v="0"/>
    <n v="0"/>
    <n v="0"/>
    <n v="0"/>
    <n v="0"/>
  </r>
  <r>
    <n v="1023"/>
    <d v="2024-11-04T12:32:06"/>
    <d v="2024-11-04T12:33:39"/>
    <s v="ymanda@lighthouse.org.mw"/>
    <s v="Yollam Manda"/>
    <x v="6"/>
    <s v="Prototype"/>
    <x v="1"/>
    <s v="COP_24"/>
    <x v="2"/>
    <x v="0"/>
    <s v="Quarter1"/>
    <x v="0"/>
    <x v="0"/>
    <d v="2024-10-01T00:00:00"/>
    <d v="2024-10-31T00:00:00"/>
    <x v="5"/>
    <n v="3"/>
    <n v="0"/>
    <n v="3"/>
    <n v="0"/>
    <n v="0"/>
    <n v="0"/>
    <n v="0"/>
    <n v="0"/>
    <n v="0"/>
    <n v="0"/>
    <n v="0"/>
    <n v="0"/>
    <n v="0"/>
    <n v="0"/>
    <n v="0"/>
    <n v="0"/>
    <n v="0"/>
    <n v="0"/>
    <n v="0"/>
    <n v="0"/>
    <n v="0"/>
    <n v="0"/>
    <n v="0"/>
    <n v="0"/>
  </r>
  <r>
    <n v="1025"/>
    <d v="2024-11-04T12:37:28"/>
    <d v="2024-11-04T12:38:16"/>
    <s v="ymanda@lighthouse.org.mw"/>
    <s v="Yollam Manda"/>
    <x v="6"/>
    <s v="Prototype"/>
    <x v="1"/>
    <s v="COP_24"/>
    <x v="2"/>
    <x v="0"/>
    <s v="Quarter1"/>
    <x v="0"/>
    <x v="0"/>
    <d v="2024-10-01T00:00:00"/>
    <d v="2024-10-31T00:00:00"/>
    <x v="6"/>
    <n v="0"/>
    <n v="0"/>
    <n v="0"/>
    <n v="0"/>
    <n v="0"/>
    <n v="0"/>
    <n v="0"/>
    <n v="0"/>
    <n v="0"/>
    <n v="0"/>
    <n v="0"/>
    <n v="0"/>
    <n v="0"/>
    <n v="0"/>
    <n v="0"/>
    <n v="0"/>
    <n v="0"/>
    <n v="0"/>
    <n v="0"/>
    <n v="0"/>
    <n v="0"/>
    <n v="0"/>
    <n v="0"/>
    <n v="0"/>
  </r>
  <r>
    <n v="1026"/>
    <d v="2024-11-04T12:38:22"/>
    <d v="2024-11-04T12:40:33"/>
    <s v="ymanda@lighthouse.org.mw"/>
    <s v="Yollam Manda"/>
    <x v="6"/>
    <s v="Prototype"/>
    <x v="1"/>
    <s v="COP_24"/>
    <x v="2"/>
    <x v="0"/>
    <s v="Quarter1"/>
    <x v="0"/>
    <x v="0"/>
    <d v="2024-10-01T00:00:00"/>
    <d v="2024-10-31T00:00:00"/>
    <x v="0"/>
    <n v="24"/>
    <n v="1"/>
    <n v="20"/>
    <n v="2"/>
    <n v="1"/>
    <n v="1"/>
    <n v="1"/>
    <n v="0"/>
    <n v="1"/>
    <n v="0"/>
    <n v="1"/>
    <n v="0"/>
    <n v="4"/>
    <n v="0"/>
    <n v="1"/>
    <n v="1"/>
    <n v="1"/>
    <n v="0"/>
    <n v="0"/>
    <n v="0"/>
    <n v="1"/>
    <n v="0"/>
    <n v="0"/>
    <n v="0"/>
  </r>
  <r>
    <n v="1096"/>
    <d v="2024-12-04T11:09:20"/>
    <d v="2024-12-04T11:14:11"/>
    <s v="ymanda@lighthouse.org.mw"/>
    <s v="Yollam Manda"/>
    <x v="6"/>
    <s v="Prototype"/>
    <x v="1"/>
    <s v="COP_24"/>
    <x v="2"/>
    <x v="0"/>
    <s v="Quarter1"/>
    <x v="0"/>
    <x v="1"/>
    <d v="2024-11-01T00:00:00"/>
    <d v="2024-11-30T00:00:00"/>
    <x v="1"/>
    <n v="14"/>
    <n v="0"/>
    <n v="10"/>
    <n v="2"/>
    <n v="2"/>
    <n v="0"/>
    <n v="0"/>
    <n v="0"/>
    <n v="1"/>
    <n v="0"/>
    <n v="0"/>
    <n v="0"/>
    <n v="1"/>
    <n v="0"/>
    <n v="0"/>
    <n v="0"/>
    <n v="0"/>
    <n v="0"/>
    <n v="0"/>
    <n v="0"/>
    <n v="0"/>
    <n v="0"/>
    <n v="0"/>
    <n v="0"/>
  </r>
  <r>
    <n v="1097"/>
    <d v="2024-12-04T11:14:20"/>
    <d v="2024-12-04T11:17:00"/>
    <s v="ymanda@lighthouse.org.mw"/>
    <s v="Yollam Manda"/>
    <x v="6"/>
    <s v="Prototype"/>
    <x v="1"/>
    <s v="COP_24"/>
    <x v="2"/>
    <x v="0"/>
    <s v="Quarter1"/>
    <x v="0"/>
    <x v="1"/>
    <d v="2024-11-01T00:00:00"/>
    <d v="2024-11-30T00:00:00"/>
    <x v="3"/>
    <n v="0"/>
    <n v="0"/>
    <n v="0"/>
    <n v="0"/>
    <n v="0"/>
    <n v="0"/>
    <n v="0"/>
    <n v="0"/>
    <n v="0"/>
    <n v="0"/>
    <n v="0"/>
    <n v="0"/>
    <n v="0"/>
    <n v="0"/>
    <n v="0"/>
    <n v="0"/>
    <n v="0"/>
    <n v="0"/>
    <n v="0"/>
    <n v="0"/>
    <n v="0"/>
    <n v="0"/>
    <n v="0"/>
    <n v="0"/>
  </r>
  <r>
    <n v="1098"/>
    <d v="2024-12-04T11:17:04"/>
    <d v="2024-12-04T11:19:07"/>
    <s v="ymanda@lighthouse.org.mw"/>
    <s v="Yollam Manda"/>
    <x v="6"/>
    <s v="Prototype"/>
    <x v="1"/>
    <s v="COP_24"/>
    <x v="2"/>
    <x v="0"/>
    <s v="Quarter1"/>
    <x v="0"/>
    <x v="1"/>
    <d v="2024-11-01T00:00:00"/>
    <d v="2024-11-30T00:00:00"/>
    <x v="4"/>
    <n v="2"/>
    <n v="0"/>
    <n v="2"/>
    <n v="0"/>
    <n v="0"/>
    <n v="0"/>
    <n v="0"/>
    <n v="0"/>
    <n v="0"/>
    <n v="0"/>
    <n v="0"/>
    <n v="0"/>
    <n v="0"/>
    <n v="0"/>
    <n v="0"/>
    <n v="0"/>
    <n v="0"/>
    <n v="0"/>
    <n v="0"/>
    <n v="0"/>
    <n v="0"/>
    <n v="0"/>
    <n v="0"/>
    <n v="0"/>
  </r>
  <r>
    <n v="1099"/>
    <d v="2024-12-04T11:19:14"/>
    <d v="2024-12-04T11:21:11"/>
    <s v="ymanda@lighthouse.org.mw"/>
    <s v="Yollam Manda"/>
    <x v="6"/>
    <s v="Prototype"/>
    <x v="1"/>
    <s v="COP_24"/>
    <x v="2"/>
    <x v="0"/>
    <s v="Quarter1"/>
    <x v="0"/>
    <x v="1"/>
    <d v="2024-11-01T00:00:00"/>
    <d v="2024-11-30T00:00:00"/>
    <x v="5"/>
    <n v="1"/>
    <n v="1"/>
    <n v="1"/>
    <n v="0"/>
    <n v="0"/>
    <n v="0"/>
    <n v="0"/>
    <n v="0"/>
    <n v="0"/>
    <n v="0"/>
    <n v="0"/>
    <n v="0"/>
    <n v="0"/>
    <n v="0"/>
    <n v="0"/>
    <n v="0"/>
    <n v="0"/>
    <n v="0"/>
    <n v="0"/>
    <n v="0"/>
    <n v="0"/>
    <n v="0"/>
    <n v="0"/>
    <n v="0"/>
  </r>
  <r>
    <n v="1100"/>
    <d v="2024-12-04T11:21:19"/>
    <d v="2024-12-04T11:25:48"/>
    <s v="ymanda@lighthouse.org.mw"/>
    <s v="Yollam Manda"/>
    <x v="6"/>
    <s v="Prototype"/>
    <x v="1"/>
    <s v="COP_24"/>
    <x v="2"/>
    <x v="0"/>
    <s v="Quarter1"/>
    <x v="0"/>
    <x v="1"/>
    <d v="2024-11-01T00:00:00"/>
    <d v="2024-11-30T00:00:00"/>
    <x v="2"/>
    <n v="5"/>
    <n v="0"/>
    <n v="4"/>
    <n v="1"/>
    <n v="0"/>
    <n v="0"/>
    <n v="0"/>
    <n v="0"/>
    <n v="1"/>
    <n v="0"/>
    <n v="0"/>
    <n v="0"/>
    <n v="1"/>
    <n v="0"/>
    <n v="0"/>
    <n v="0"/>
    <n v="0"/>
    <n v="0"/>
    <n v="0"/>
    <n v="0"/>
    <n v="0"/>
    <n v="0"/>
    <n v="0"/>
    <n v="0"/>
  </r>
  <r>
    <n v="1101"/>
    <d v="2024-12-04T11:25:54"/>
    <d v="2024-12-04T11:26:47"/>
    <s v="ymanda@lighthouse.org.mw"/>
    <s v="Yollam Manda"/>
    <x v="6"/>
    <s v="Prototype"/>
    <x v="1"/>
    <s v="COP_24"/>
    <x v="2"/>
    <x v="0"/>
    <s v="Quarter1"/>
    <x v="0"/>
    <x v="1"/>
    <d v="2024-11-01T00:00:00"/>
    <d v="2024-11-30T00:00:00"/>
    <x v="6"/>
    <n v="0"/>
    <n v="0"/>
    <n v="0"/>
    <n v="0"/>
    <n v="0"/>
    <n v="0"/>
    <n v="0"/>
    <n v="0"/>
    <n v="0"/>
    <n v="0"/>
    <n v="0"/>
    <n v="0"/>
    <n v="0"/>
    <n v="0"/>
    <n v="0"/>
    <n v="0"/>
    <n v="0"/>
    <n v="0"/>
    <n v="0"/>
    <n v="0"/>
    <n v="0"/>
    <n v="0"/>
    <n v="0"/>
    <n v="0"/>
  </r>
  <r>
    <n v="1102"/>
    <d v="2024-12-04T11:26:50"/>
    <d v="2024-12-04T11:30:40"/>
    <s v="ymanda@lighthouse.org.mw"/>
    <s v="Yollam Manda"/>
    <x v="6"/>
    <s v="Prototype"/>
    <x v="1"/>
    <s v="COP_24"/>
    <x v="2"/>
    <x v="0"/>
    <s v="Quarter1"/>
    <x v="0"/>
    <x v="1"/>
    <d v="2024-11-01T00:00:00"/>
    <d v="2024-11-30T00:00:00"/>
    <x v="0"/>
    <n v="20"/>
    <n v="1"/>
    <n v="15"/>
    <n v="3"/>
    <n v="2"/>
    <n v="0"/>
    <n v="0"/>
    <n v="0"/>
    <n v="2"/>
    <n v="0"/>
    <n v="0"/>
    <n v="0"/>
    <n v="2"/>
    <n v="0"/>
    <n v="0"/>
    <n v="0"/>
    <n v="0"/>
    <n v="0"/>
    <n v="0"/>
    <n v="0"/>
    <n v="0"/>
    <n v="0"/>
    <n v="0"/>
    <n v="0"/>
  </r>
  <r>
    <n v="1187"/>
    <d v="2025-01-06T09:56:01"/>
    <d v="2025-01-06T13:23:47"/>
    <s v="ymanda@lighthouse.org.mw"/>
    <s v="Yollam Manda"/>
    <x v="6"/>
    <s v="Prototype"/>
    <x v="1"/>
    <s v="COP_23"/>
    <x v="2"/>
    <x v="0"/>
    <s v="Quarter1"/>
    <x v="0"/>
    <x v="11"/>
    <d v="2024-12-01T00:00:00"/>
    <d v="2024-12-31T00:00:00"/>
    <x v="3"/>
    <n v="0"/>
    <n v="0"/>
    <n v="0"/>
    <n v="0"/>
    <n v="0"/>
    <n v="0"/>
    <n v="0"/>
    <n v="0"/>
    <n v="0"/>
    <n v="0"/>
    <n v="0"/>
    <n v="0"/>
    <n v="0"/>
    <n v="0"/>
    <n v="0"/>
    <n v="0"/>
    <n v="0"/>
    <n v="0"/>
    <n v="0"/>
    <n v="0"/>
    <n v="0"/>
    <n v="0"/>
    <n v="0"/>
    <n v="0"/>
  </r>
  <r>
    <n v="1188"/>
    <d v="2025-01-06T13:23:51"/>
    <d v="2025-01-06T13:24:38"/>
    <s v="ymanda@lighthouse.org.mw"/>
    <s v="Yollam Manda"/>
    <x v="6"/>
    <s v="Prototype"/>
    <x v="1"/>
    <s v="COP_23"/>
    <x v="2"/>
    <x v="0"/>
    <s v="Quarter1"/>
    <x v="0"/>
    <x v="11"/>
    <d v="2024-12-01T00:00:00"/>
    <d v="2024-12-31T00:00:00"/>
    <x v="4"/>
    <n v="0"/>
    <n v="0"/>
    <n v="0"/>
    <n v="0"/>
    <n v="0"/>
    <n v="0"/>
    <n v="0"/>
    <n v="0"/>
    <n v="0"/>
    <n v="0"/>
    <n v="0"/>
    <n v="0"/>
    <n v="0"/>
    <n v="0"/>
    <n v="0"/>
    <n v="0"/>
    <n v="0"/>
    <n v="0"/>
    <n v="0"/>
    <n v="0"/>
    <n v="0"/>
    <n v="0"/>
    <n v="0"/>
    <n v="0"/>
  </r>
  <r>
    <n v="1189"/>
    <d v="2025-01-06T13:24:45"/>
    <d v="2025-01-06T13:26:20"/>
    <s v="ymanda@lighthouse.org.mw"/>
    <s v="Yollam Manda"/>
    <x v="6"/>
    <s v="Prototype"/>
    <x v="1"/>
    <s v="COP_23"/>
    <x v="2"/>
    <x v="0"/>
    <s v="Quarter1"/>
    <x v="0"/>
    <x v="11"/>
    <d v="2024-12-01T00:00:00"/>
    <d v="2024-12-31T00:00:00"/>
    <x v="5"/>
    <n v="0"/>
    <n v="0"/>
    <n v="0"/>
    <n v="0"/>
    <n v="0"/>
    <n v="0"/>
    <n v="0"/>
    <n v="0"/>
    <n v="0"/>
    <n v="0"/>
    <n v="0"/>
    <n v="0"/>
    <n v="0"/>
    <n v="0"/>
    <n v="0"/>
    <n v="0"/>
    <n v="0"/>
    <n v="0"/>
    <n v="0"/>
    <n v="0"/>
    <n v="0"/>
    <n v="0"/>
    <n v="0"/>
    <n v="0"/>
  </r>
  <r>
    <n v="1190"/>
    <d v="2025-01-06T13:26:32"/>
    <d v="2025-01-06T13:27:25"/>
    <s v="ymanda@lighthouse.org.mw"/>
    <s v="Yollam Manda"/>
    <x v="6"/>
    <s v="Prototype"/>
    <x v="1"/>
    <s v="COP_23"/>
    <x v="2"/>
    <x v="0"/>
    <s v="Quarter1"/>
    <x v="0"/>
    <x v="11"/>
    <d v="2024-12-01T00:00:00"/>
    <d v="2024-12-31T00:00:00"/>
    <x v="6"/>
    <n v="0"/>
    <n v="0"/>
    <n v="0"/>
    <n v="0"/>
    <n v="0"/>
    <n v="0"/>
    <n v="0"/>
    <n v="0"/>
    <n v="0"/>
    <n v="0"/>
    <n v="0"/>
    <n v="0"/>
    <n v="0"/>
    <n v="0"/>
    <n v="0"/>
    <n v="0"/>
    <n v="0"/>
    <n v="0"/>
    <n v="0"/>
    <n v="0"/>
    <n v="0"/>
    <n v="0"/>
    <n v="0"/>
    <n v="0"/>
  </r>
  <r>
    <n v="1191"/>
    <d v="2025-01-06T13:27:30"/>
    <d v="2025-01-06T13:31:18"/>
    <s v="ymanda@lighthouse.org.mw"/>
    <s v="Yollam Manda"/>
    <x v="6"/>
    <s v="Prototype"/>
    <x v="1"/>
    <s v="COP_23"/>
    <x v="2"/>
    <x v="0"/>
    <s v="Quarter1"/>
    <x v="0"/>
    <x v="11"/>
    <d v="2024-12-01T00:00:00"/>
    <d v="2024-12-31T00:00:00"/>
    <x v="0"/>
    <n v="12"/>
    <n v="1"/>
    <n v="9"/>
    <n v="0"/>
    <n v="3"/>
    <n v="0"/>
    <n v="8"/>
    <n v="2"/>
    <n v="2"/>
    <n v="0"/>
    <n v="0"/>
    <n v="0"/>
    <n v="3"/>
    <n v="0"/>
    <n v="1"/>
    <n v="1"/>
    <n v="0"/>
    <n v="0"/>
    <n v="0"/>
    <n v="0"/>
    <n v="1"/>
    <n v="0"/>
    <n v="0"/>
    <n v="0"/>
  </r>
  <r>
    <n v="1193"/>
    <d v="2025-01-06T13:32:22"/>
    <d v="2025-01-06T13:34:49"/>
    <s v="ymanda@lighthouse.org.mw"/>
    <s v="Yollam Manda"/>
    <x v="6"/>
    <s v="Prototype"/>
    <x v="1"/>
    <s v="COP_23"/>
    <x v="2"/>
    <x v="0"/>
    <s v="Quarter1"/>
    <x v="0"/>
    <x v="11"/>
    <d v="2024-12-01T00:00:00"/>
    <d v="2024-12-31T00:00:00"/>
    <x v="2"/>
    <n v="1"/>
    <n v="1"/>
    <n v="0"/>
    <n v="0"/>
    <n v="1"/>
    <n v="0"/>
    <n v="1"/>
    <n v="1"/>
    <n v="1"/>
    <n v="0"/>
    <n v="0"/>
    <n v="0"/>
    <n v="1"/>
    <n v="0"/>
    <n v="0"/>
    <n v="0"/>
    <n v="0"/>
    <n v="0"/>
    <n v="0"/>
    <n v="0"/>
    <n v="0"/>
    <n v="0"/>
    <n v="0"/>
    <n v="0"/>
  </r>
  <r>
    <n v="1194"/>
    <d v="2025-01-06T13:35:14"/>
    <d v="2025-01-06T13:37:56"/>
    <s v="ymanda@lighthouse.org.mw"/>
    <s v="Yollam Manda"/>
    <x v="6"/>
    <s v="Prototype"/>
    <x v="1"/>
    <s v="COP_23"/>
    <x v="2"/>
    <x v="0"/>
    <s v="Quarter1"/>
    <x v="0"/>
    <x v="11"/>
    <d v="2024-12-01T00:00:00"/>
    <d v="2024-12-31T00:00:00"/>
    <x v="1"/>
    <n v="11"/>
    <n v="0"/>
    <n v="9"/>
    <n v="0"/>
    <n v="2"/>
    <n v="0"/>
    <n v="7"/>
    <n v="1"/>
    <n v="1"/>
    <n v="0"/>
    <n v="0"/>
    <n v="0"/>
    <n v="2"/>
    <n v="0"/>
    <n v="1"/>
    <n v="1"/>
    <n v="0"/>
    <n v="0"/>
    <n v="0"/>
    <n v="0"/>
    <n v="1"/>
    <n v="0"/>
    <n v="0"/>
    <n v="0"/>
  </r>
  <r>
    <n v="1347"/>
    <d v="2025-03-06T08:43:30"/>
    <d v="2025-03-06T09:00:45"/>
    <s v="ymanda@lighthouse.org.mw"/>
    <s v="Yollam Manda"/>
    <x v="6"/>
    <s v="Prototype"/>
    <x v="2"/>
    <s v="COP_23"/>
    <x v="2"/>
    <x v="2"/>
    <s v="Quarter2"/>
    <x v="2"/>
    <x v="4"/>
    <d v="2025-01-01T00:00:00"/>
    <d v="2025-01-31T00:00:00"/>
    <x v="1"/>
    <n v="13"/>
    <n v="1"/>
    <n v="10"/>
    <n v="1"/>
    <n v="1"/>
    <n v="1"/>
    <n v="9"/>
    <n v="7"/>
    <n v="7"/>
    <n v="1"/>
    <n v="0"/>
    <n v="0"/>
    <n v="6"/>
    <n v="0"/>
    <n v="1"/>
    <n v="1"/>
    <n v="0"/>
    <n v="0"/>
    <n v="0"/>
    <n v="0"/>
    <n v="1"/>
    <n v="0"/>
    <n v="1"/>
    <n v="0"/>
  </r>
  <r>
    <n v="1348"/>
    <d v="2025-03-06T09:00:57"/>
    <d v="2025-03-06T09:02:54"/>
    <s v="ymanda@lighthouse.org.mw"/>
    <s v="Yollam Manda"/>
    <x v="6"/>
    <s v="Prototype"/>
    <x v="2"/>
    <s v="COP_23"/>
    <x v="2"/>
    <x v="2"/>
    <s v="Quarter2"/>
    <x v="2"/>
    <x v="4"/>
    <d v="2025-01-01T00:00:00"/>
    <d v="2025-01-31T00:00:00"/>
    <x v="3"/>
    <n v="0"/>
    <n v="0"/>
    <n v="0"/>
    <n v="0"/>
    <n v="0"/>
    <n v="0"/>
    <n v="0"/>
    <n v="0"/>
    <n v="0"/>
    <n v="0"/>
    <n v="0"/>
    <n v="0"/>
    <n v="0"/>
    <n v="0"/>
    <n v="0"/>
    <n v="0"/>
    <n v="0"/>
    <n v="0"/>
    <n v="0"/>
    <n v="0"/>
    <n v="0"/>
    <n v="0"/>
    <n v="0"/>
    <n v="0"/>
  </r>
  <r>
    <n v="1349"/>
    <d v="2025-03-06T09:02:57"/>
    <d v="2025-03-06T09:06:10"/>
    <s v="ymanda@lighthouse.org.mw"/>
    <s v="Yollam Manda"/>
    <x v="6"/>
    <s v="Prototype"/>
    <x v="2"/>
    <s v="COP_23"/>
    <x v="2"/>
    <x v="2"/>
    <s v="Quarter2"/>
    <x v="2"/>
    <x v="4"/>
    <d v="2025-01-01T00:00:00"/>
    <d v="2025-01-31T00:00:00"/>
    <x v="4"/>
    <n v="0"/>
    <n v="0"/>
    <n v="0"/>
    <n v="0"/>
    <n v="0"/>
    <n v="0"/>
    <n v="0"/>
    <n v="0"/>
    <n v="0"/>
    <n v="0"/>
    <n v="0"/>
    <n v="0"/>
    <n v="0"/>
    <n v="0"/>
    <n v="0"/>
    <n v="0"/>
    <n v="0"/>
    <n v="0"/>
    <n v="0"/>
    <n v="0"/>
    <n v="0"/>
    <n v="0"/>
    <n v="0"/>
    <n v="0"/>
  </r>
  <r>
    <n v="1350"/>
    <d v="2025-03-06T09:06:13"/>
    <d v="2025-03-06T09:09:17"/>
    <s v="ymanda@lighthouse.org.mw"/>
    <s v="Yollam Manda"/>
    <x v="6"/>
    <s v="Prototype"/>
    <x v="2"/>
    <s v="COP_23"/>
    <x v="2"/>
    <x v="2"/>
    <s v="Quarter2"/>
    <x v="2"/>
    <x v="4"/>
    <d v="2025-01-01T00:00:00"/>
    <d v="2025-01-31T00:00:00"/>
    <x v="5"/>
    <n v="0"/>
    <n v="0"/>
    <n v="0"/>
    <n v="0"/>
    <n v="0"/>
    <n v="0"/>
    <n v="0"/>
    <n v="0"/>
    <n v="0"/>
    <n v="0"/>
    <n v="0"/>
    <n v="0"/>
    <n v="0"/>
    <n v="0"/>
    <n v="0"/>
    <n v="0"/>
    <n v="0"/>
    <n v="0"/>
    <n v="0"/>
    <n v="0"/>
    <n v="0"/>
    <n v="0"/>
    <n v="0"/>
    <n v="0"/>
  </r>
  <r>
    <n v="1351"/>
    <d v="2025-03-06T09:09:21"/>
    <d v="2025-03-06T09:11:15"/>
    <s v="ymanda@lighthouse.org.mw"/>
    <s v="Yollam Manda"/>
    <x v="6"/>
    <s v="Prototype"/>
    <x v="2"/>
    <s v="COP_23"/>
    <x v="2"/>
    <x v="2"/>
    <s v="Quarter2"/>
    <x v="2"/>
    <x v="4"/>
    <d v="2025-01-01T00:00:00"/>
    <d v="2025-01-31T00:00:00"/>
    <x v="2"/>
    <n v="0"/>
    <n v="0"/>
    <n v="0"/>
    <n v="0"/>
    <n v="0"/>
    <n v="0"/>
    <n v="0"/>
    <n v="0"/>
    <n v="0"/>
    <n v="0"/>
    <n v="0"/>
    <n v="0"/>
    <n v="0"/>
    <n v="0"/>
    <n v="0"/>
    <n v="0"/>
    <n v="0"/>
    <n v="0"/>
    <n v="0"/>
    <n v="0"/>
    <n v="0"/>
    <n v="0"/>
    <n v="0"/>
    <n v="0"/>
  </r>
  <r>
    <n v="1352"/>
    <d v="2025-03-06T09:11:18"/>
    <d v="2025-03-06T09:13:42"/>
    <s v="ymanda@lighthouse.org.mw"/>
    <s v="Yollam Manda"/>
    <x v="6"/>
    <s v="Prototype"/>
    <x v="2"/>
    <s v="COP_23"/>
    <x v="2"/>
    <x v="2"/>
    <s v="Quarter2"/>
    <x v="2"/>
    <x v="4"/>
    <d v="2025-01-01T00:00:00"/>
    <d v="2025-01-31T00:00:00"/>
    <x v="6"/>
    <n v="0"/>
    <n v="0"/>
    <n v="0"/>
    <n v="0"/>
    <n v="0"/>
    <n v="0"/>
    <n v="0"/>
    <n v="0"/>
    <n v="0"/>
    <n v="0"/>
    <n v="0"/>
    <n v="0"/>
    <n v="0"/>
    <n v="0"/>
    <n v="0"/>
    <n v="0"/>
    <n v="0"/>
    <n v="0"/>
    <n v="0"/>
    <n v="0"/>
    <n v="0"/>
    <n v="0"/>
    <n v="0"/>
    <n v="0"/>
  </r>
  <r>
    <n v="1353"/>
    <d v="2025-03-06T09:13:53"/>
    <d v="2025-03-06T09:18:50"/>
    <s v="ymanda@lighthouse.org.mw"/>
    <s v="Yollam Manda"/>
    <x v="6"/>
    <s v="Prototype"/>
    <x v="2"/>
    <s v="COP_23"/>
    <x v="2"/>
    <x v="2"/>
    <s v="Quarter2"/>
    <x v="2"/>
    <x v="4"/>
    <d v="2025-01-01T00:00:00"/>
    <d v="2025-01-31T00:00:00"/>
    <x v="0"/>
    <n v="13"/>
    <n v="1"/>
    <n v="10"/>
    <n v="1"/>
    <n v="1"/>
    <n v="1"/>
    <n v="9"/>
    <n v="7"/>
    <n v="7"/>
    <n v="1"/>
    <n v="0"/>
    <n v="0"/>
    <n v="6"/>
    <n v="0"/>
    <n v="1"/>
    <n v="1"/>
    <n v="0"/>
    <n v="0"/>
    <n v="0"/>
    <n v="0"/>
    <n v="1"/>
    <n v="0"/>
    <n v="1"/>
    <n v="0"/>
  </r>
  <r>
    <n v="1354"/>
    <d v="2025-03-06T09:28:19"/>
    <d v="2025-03-06T09:39:02"/>
    <s v="ymanda@lighthouse.org.mw"/>
    <s v="Yollam Manda"/>
    <x v="6"/>
    <s v="Prototype"/>
    <x v="2"/>
    <s v="COP_23"/>
    <x v="2"/>
    <x v="2"/>
    <s v="Quarter2"/>
    <x v="2"/>
    <x v="5"/>
    <d v="2025-02-01T00:00:00"/>
    <d v="2025-02-28T00:00:00"/>
    <x v="1"/>
    <n v="13"/>
    <n v="2"/>
    <n v="10"/>
    <n v="2"/>
    <n v="0"/>
    <n v="1"/>
    <n v="0"/>
    <n v="0"/>
    <n v="0"/>
    <n v="0"/>
    <n v="0"/>
    <n v="0"/>
    <n v="1"/>
    <n v="1"/>
    <n v="0"/>
    <n v="0"/>
    <n v="0"/>
    <n v="0"/>
    <n v="0"/>
    <n v="0"/>
    <n v="1"/>
    <n v="0"/>
    <n v="0"/>
    <n v="0"/>
  </r>
  <r>
    <n v="1355"/>
    <d v="2025-03-06T09:41:25"/>
    <d v="2025-03-06T09:42:35"/>
    <s v="ymanda@lighthouse.org.mw"/>
    <s v="Yollam Manda"/>
    <x v="6"/>
    <s v="Prototype"/>
    <x v="2"/>
    <s v="COP_23"/>
    <x v="2"/>
    <x v="2"/>
    <s v="Quarter2"/>
    <x v="2"/>
    <x v="5"/>
    <d v="2025-02-01T00:00:00"/>
    <d v="2025-02-28T00:00:00"/>
    <x v="3"/>
    <n v="0"/>
    <n v="0"/>
    <n v="0"/>
    <n v="0"/>
    <n v="0"/>
    <n v="0"/>
    <n v="0"/>
    <n v="0"/>
    <n v="0"/>
    <n v="0"/>
    <n v="0"/>
    <n v="0"/>
    <n v="0"/>
    <n v="0"/>
    <n v="0"/>
    <n v="0"/>
    <n v="0"/>
    <n v="0"/>
    <n v="0"/>
    <n v="0"/>
    <n v="0"/>
    <n v="0"/>
    <n v="0"/>
    <n v="0"/>
  </r>
  <r>
    <n v="1356"/>
    <d v="2025-03-06T09:44:50"/>
    <d v="2025-03-06T09:45:58"/>
    <s v="ymanda@lighthouse.org.mw"/>
    <s v="Yollam Manda"/>
    <x v="6"/>
    <s v="Prototype"/>
    <x v="2"/>
    <s v="COP_23"/>
    <x v="2"/>
    <x v="2"/>
    <s v="Quarter2"/>
    <x v="2"/>
    <x v="5"/>
    <d v="2025-02-01T00:00:00"/>
    <d v="2025-02-28T00:00:00"/>
    <x v="4"/>
    <n v="0"/>
    <n v="0"/>
    <n v="0"/>
    <n v="0"/>
    <n v="0"/>
    <n v="0"/>
    <n v="0"/>
    <n v="0"/>
    <n v="0"/>
    <n v="0"/>
    <n v="0"/>
    <n v="0"/>
    <n v="0"/>
    <n v="0"/>
    <n v="0"/>
    <n v="0"/>
    <n v="0"/>
    <n v="0"/>
    <n v="0"/>
    <n v="0"/>
    <n v="0"/>
    <n v="0"/>
    <n v="0"/>
    <n v="0"/>
  </r>
  <r>
    <n v="1357"/>
    <d v="2025-03-06T09:46:23"/>
    <d v="2025-03-06T09:48:15"/>
    <s v="ymanda@lighthouse.org.mw"/>
    <s v="Yollam Manda"/>
    <x v="6"/>
    <s v="Prototype"/>
    <x v="2"/>
    <s v="COP_23"/>
    <x v="2"/>
    <x v="2"/>
    <s v="Quarter2"/>
    <x v="2"/>
    <x v="5"/>
    <d v="2025-02-01T00:00:00"/>
    <d v="2025-02-28T00:00:00"/>
    <x v="5"/>
    <n v="0"/>
    <n v="0"/>
    <n v="0"/>
    <n v="0"/>
    <n v="0"/>
    <n v="0"/>
    <n v="0"/>
    <n v="0"/>
    <n v="0"/>
    <n v="0"/>
    <n v="0"/>
    <n v="0"/>
    <n v="0"/>
    <n v="0"/>
    <n v="0"/>
    <n v="0"/>
    <n v="0"/>
    <n v="0"/>
    <n v="0"/>
    <n v="0"/>
    <n v="0"/>
    <n v="0"/>
    <n v="0"/>
    <n v="0"/>
  </r>
  <r>
    <n v="1358"/>
    <d v="2025-03-06T09:48:22"/>
    <d v="2025-03-06T09:49:56"/>
    <s v="ymanda@lighthouse.org.mw"/>
    <s v="Yollam Manda"/>
    <x v="6"/>
    <s v="Prototype"/>
    <x v="2"/>
    <s v="COP_23"/>
    <x v="2"/>
    <x v="2"/>
    <s v="Quarter2"/>
    <x v="2"/>
    <x v="5"/>
    <d v="2025-02-01T00:00:00"/>
    <d v="2025-02-28T00:00:00"/>
    <x v="2"/>
    <n v="0"/>
    <n v="0"/>
    <n v="0"/>
    <n v="0"/>
    <n v="0"/>
    <n v="0"/>
    <n v="0"/>
    <n v="0"/>
    <n v="0"/>
    <n v="0"/>
    <n v="0"/>
    <n v="0"/>
    <n v="0"/>
    <n v="0"/>
    <n v="0"/>
    <n v="0"/>
    <n v="0"/>
    <n v="0"/>
    <n v="0"/>
    <n v="0"/>
    <n v="0"/>
    <n v="0"/>
    <n v="0"/>
    <n v="0"/>
  </r>
  <r>
    <n v="1359"/>
    <d v="2025-03-06T09:50:38"/>
    <d v="2025-03-06T09:52:46"/>
    <s v="ymanda@lighthouse.org.mw"/>
    <s v="Yollam Manda"/>
    <x v="6"/>
    <s v="Prototype"/>
    <x v="2"/>
    <s v="COP_23"/>
    <x v="2"/>
    <x v="2"/>
    <s v="Quarter2"/>
    <x v="2"/>
    <x v="5"/>
    <d v="2025-02-01T00:00:00"/>
    <d v="2025-02-28T00:00:00"/>
    <x v="6"/>
    <n v="0"/>
    <n v="0"/>
    <n v="0"/>
    <n v="0"/>
    <n v="0"/>
    <n v="0"/>
    <n v="0"/>
    <n v="0"/>
    <n v="0"/>
    <n v="0"/>
    <n v="0"/>
    <n v="0"/>
    <n v="0"/>
    <n v="0"/>
    <n v="0"/>
    <n v="0"/>
    <n v="0"/>
    <n v="0"/>
    <n v="0"/>
    <n v="0"/>
    <n v="0"/>
    <n v="0"/>
    <n v="0"/>
    <n v="0"/>
  </r>
  <r>
    <n v="1360"/>
    <d v="2025-03-06T09:53:32"/>
    <d v="2025-03-06T09:58:34"/>
    <s v="ymanda@lighthouse.org.mw"/>
    <s v="Yollam Manda"/>
    <x v="6"/>
    <s v="Prototype"/>
    <x v="2"/>
    <s v="COP_23"/>
    <x v="2"/>
    <x v="2"/>
    <s v="Quarter2"/>
    <x v="2"/>
    <x v="5"/>
    <d v="2025-02-01T00:00:00"/>
    <d v="2025-02-28T00:00:00"/>
    <x v="0"/>
    <n v="13"/>
    <n v="2"/>
    <n v="10"/>
    <n v="2"/>
    <n v="0"/>
    <n v="1"/>
    <n v="0"/>
    <n v="0"/>
    <n v="0"/>
    <n v="0"/>
    <n v="0"/>
    <n v="0"/>
    <n v="1"/>
    <n v="1"/>
    <n v="0"/>
    <n v="0"/>
    <n v="0"/>
    <n v="0"/>
    <n v="0"/>
    <n v="0"/>
    <n v="1"/>
    <n v="0"/>
    <n v="0"/>
    <n v="0"/>
  </r>
  <r>
    <n v="1473"/>
    <d v="2025-04-02T10:56:52"/>
    <d v="2025-04-02T11:18:44"/>
    <s v="lkaonga@lighthouse.org.mw"/>
    <s v="Lameck Kaonga"/>
    <x v="6"/>
    <s v="Prototype"/>
    <x v="2"/>
    <s v="COP_23"/>
    <x v="2"/>
    <x v="2"/>
    <s v="Quarter2"/>
    <x v="2"/>
    <x v="3"/>
    <d v="2025-03-01T00:00:00"/>
    <d v="2025-03-31T00:00:00"/>
    <x v="1"/>
    <n v="12"/>
    <n v="1"/>
    <n v="9"/>
    <n v="2"/>
    <n v="1"/>
    <n v="0"/>
    <n v="9"/>
    <n v="0"/>
    <n v="1"/>
    <n v="0"/>
    <n v="0"/>
    <n v="0"/>
    <n v="0"/>
    <n v="0"/>
    <n v="0"/>
    <n v="0"/>
    <n v="0"/>
    <n v="0"/>
    <n v="0"/>
    <n v="0"/>
    <n v="0"/>
    <n v="0"/>
    <n v="0"/>
    <n v="0"/>
  </r>
  <r>
    <n v="1474"/>
    <d v="2025-04-02T11:18:53"/>
    <d v="2025-04-02T11:20:54"/>
    <s v="lkaonga@lighthouse.org.mw"/>
    <s v="Lameck Kaonga"/>
    <x v="6"/>
    <s v="Prototype"/>
    <x v="2"/>
    <s v="COP_23"/>
    <x v="2"/>
    <x v="2"/>
    <s v="Quarter2"/>
    <x v="2"/>
    <x v="3"/>
    <d v="2025-03-01T00:00:00"/>
    <d v="2025-03-31T00:00:00"/>
    <x v="5"/>
    <n v="4"/>
    <n v="0"/>
    <n v="4"/>
    <n v="0"/>
    <n v="0"/>
    <n v="0"/>
    <n v="0"/>
    <n v="0"/>
    <n v="0"/>
    <n v="0"/>
    <n v="0"/>
    <n v="0"/>
    <n v="0"/>
    <n v="0"/>
    <n v="0"/>
    <n v="0"/>
    <n v="0"/>
    <n v="0"/>
    <n v="0"/>
    <n v="0"/>
    <n v="0"/>
    <n v="0"/>
    <n v="0"/>
    <n v="0"/>
  </r>
  <r>
    <n v="1475"/>
    <d v="2025-04-02T11:21:03"/>
    <d v="2025-04-02T11:23:03"/>
    <s v="lkaonga@lighthouse.org.mw"/>
    <s v="Lameck Kaonga"/>
    <x v="6"/>
    <s v="Prototype"/>
    <x v="2"/>
    <s v="COP_23"/>
    <x v="2"/>
    <x v="2"/>
    <s v="Quarter2"/>
    <x v="2"/>
    <x v="3"/>
    <d v="2025-03-01T00:00:00"/>
    <d v="2025-03-31T00:00:00"/>
    <x v="2"/>
    <n v="3"/>
    <n v="0"/>
    <n v="3"/>
    <n v="0"/>
    <n v="0"/>
    <n v="0"/>
    <n v="1"/>
    <n v="0"/>
    <n v="0"/>
    <n v="0"/>
    <n v="0"/>
    <n v="0"/>
    <n v="0"/>
    <n v="0"/>
    <n v="0"/>
    <n v="0"/>
    <n v="0"/>
    <n v="0"/>
    <n v="0"/>
    <n v="0"/>
    <n v="0"/>
    <n v="0"/>
    <n v="0"/>
    <n v="0"/>
  </r>
  <r>
    <n v="1476"/>
    <d v="2025-04-02T11:23:10"/>
    <d v="2025-04-02T11:29:20"/>
    <s v="lkaonga@lighthouse.org.mw"/>
    <s v="Lameck Kaonga"/>
    <x v="6"/>
    <s v="Prototype"/>
    <x v="2"/>
    <s v="COP_23"/>
    <x v="2"/>
    <x v="2"/>
    <s v="Quarter2"/>
    <x v="2"/>
    <x v="3"/>
    <d v="2025-03-01T00:00:00"/>
    <d v="2025-03-31T00:00:00"/>
    <x v="3"/>
    <n v="0"/>
    <n v="0"/>
    <n v="0"/>
    <n v="0"/>
    <n v="0"/>
    <n v="0"/>
    <n v="0"/>
    <n v="0"/>
    <n v="0"/>
    <n v="0"/>
    <n v="0"/>
    <n v="0"/>
    <n v="0"/>
    <n v="0"/>
    <n v="0"/>
    <n v="0"/>
    <n v="0"/>
    <n v="0"/>
    <n v="0"/>
    <n v="0"/>
    <n v="0"/>
    <n v="0"/>
    <n v="0"/>
    <n v="0"/>
  </r>
  <r>
    <n v="1477"/>
    <d v="2025-04-02T11:29:26"/>
    <d v="2025-04-02T11:30:27"/>
    <s v="lkaonga@lighthouse.org.mw"/>
    <s v="Lameck Kaonga"/>
    <x v="6"/>
    <s v="Prototype"/>
    <x v="2"/>
    <s v="COP_23"/>
    <x v="2"/>
    <x v="2"/>
    <s v="Quarter2"/>
    <x v="2"/>
    <x v="3"/>
    <d v="2025-03-01T00:00:00"/>
    <d v="2025-03-31T00:00:00"/>
    <x v="4"/>
    <n v="0"/>
    <n v="0"/>
    <n v="0"/>
    <n v="0"/>
    <n v="0"/>
    <n v="0"/>
    <n v="0"/>
    <n v="0"/>
    <n v="0"/>
    <n v="0"/>
    <n v="0"/>
    <n v="0"/>
    <n v="0"/>
    <n v="0"/>
    <n v="0"/>
    <n v="0"/>
    <n v="0"/>
    <n v="0"/>
    <n v="0"/>
    <n v="0"/>
    <n v="0"/>
    <n v="0"/>
    <n v="0"/>
    <n v="0"/>
  </r>
  <r>
    <n v="1478"/>
    <d v="2025-04-02T11:30:34"/>
    <d v="2025-04-02T11:31:44"/>
    <s v="lkaonga@lighthouse.org.mw"/>
    <s v="Lameck Kaonga"/>
    <x v="6"/>
    <s v="Prototype"/>
    <x v="2"/>
    <s v="COP_23"/>
    <x v="2"/>
    <x v="2"/>
    <s v="Quarter2"/>
    <x v="2"/>
    <x v="3"/>
    <d v="2025-03-01T00:00:00"/>
    <d v="2025-03-31T00:00:00"/>
    <x v="6"/>
    <n v="0"/>
    <n v="0"/>
    <n v="0"/>
    <n v="0"/>
    <n v="0"/>
    <n v="0"/>
    <n v="0"/>
    <n v="0"/>
    <n v="0"/>
    <n v="0"/>
    <n v="0"/>
    <n v="0"/>
    <n v="0"/>
    <n v="0"/>
    <n v="0"/>
    <n v="0"/>
    <n v="0"/>
    <n v="0"/>
    <n v="0"/>
    <n v="0"/>
    <n v="0"/>
    <n v="0"/>
    <n v="0"/>
    <n v="0"/>
  </r>
  <r>
    <n v="1479"/>
    <d v="2025-04-02T11:33:02"/>
    <d v="2025-04-02T11:51:51"/>
    <s v="lkaonga@lighthouse.org.mw"/>
    <s v="Lameck Kaonga"/>
    <x v="6"/>
    <s v="Prototype"/>
    <x v="2"/>
    <s v="COP_23"/>
    <x v="2"/>
    <x v="2"/>
    <s v="Quarter2"/>
    <x v="2"/>
    <x v="3"/>
    <d v="2025-03-01T00:00:00"/>
    <d v="2025-03-31T00:00:00"/>
    <x v="0"/>
    <n v="19"/>
    <n v="1"/>
    <n v="16"/>
    <n v="2"/>
    <n v="1"/>
    <n v="0"/>
    <n v="14"/>
    <n v="0"/>
    <n v="1"/>
    <n v="0"/>
    <n v="0"/>
    <n v="0"/>
    <n v="1"/>
    <n v="0"/>
    <n v="0"/>
    <n v="0"/>
    <n v="0"/>
    <n v="0"/>
    <n v="0"/>
    <n v="0"/>
    <n v="0"/>
    <n v="0"/>
    <n v="0"/>
    <n v="0"/>
  </r>
  <r>
    <n v="1640"/>
    <d v="2025-06-04T11:05:40"/>
    <d v="2025-06-04T11:12:46"/>
    <s v="lkaonga@lighthouse.org.mw"/>
    <s v="Lameck Kaonga"/>
    <x v="6"/>
    <s v="Prototype"/>
    <x v="2"/>
    <s v="COP_23"/>
    <x v="3"/>
    <x v="1"/>
    <s v="Quarter3"/>
    <x v="4"/>
    <x v="6"/>
    <d v="2025-05-01T00:00:00"/>
    <d v="2025-05-31T00:00:00"/>
    <x v="1"/>
    <n v="6"/>
    <n v="0"/>
    <n v="5"/>
    <n v="0"/>
    <n v="1"/>
    <n v="0"/>
    <n v="4"/>
    <n v="2"/>
    <n v="1"/>
    <n v="0"/>
    <n v="0"/>
    <n v="0"/>
    <n v="2"/>
    <n v="0"/>
    <n v="2"/>
    <n v="1"/>
    <n v="0"/>
    <n v="0"/>
    <n v="0"/>
    <n v="0"/>
    <n v="0"/>
    <n v="0"/>
    <n v="0"/>
    <n v="0"/>
  </r>
  <r>
    <n v="1641"/>
    <d v="2025-06-04T11:12:54"/>
    <d v="2025-06-04T11:15:53"/>
    <s v="lkaonga@lighthouse.org.mw"/>
    <s v="Lameck Kaonga"/>
    <x v="6"/>
    <s v="Prototype"/>
    <x v="2"/>
    <s v="COP_23"/>
    <x v="3"/>
    <x v="1"/>
    <s v="Quarter3"/>
    <x v="4"/>
    <x v="6"/>
    <d v="2025-05-01T00:00:00"/>
    <d v="2025-05-31T00:00:00"/>
    <x v="0"/>
    <n v="6"/>
    <n v="0"/>
    <n v="5"/>
    <n v="0"/>
    <n v="1"/>
    <n v="0"/>
    <n v="4"/>
    <n v="2"/>
    <n v="1"/>
    <n v="0"/>
    <n v="0"/>
    <n v="0"/>
    <n v="2"/>
    <n v="0"/>
    <n v="2"/>
    <n v="1"/>
    <n v="0"/>
    <n v="0"/>
    <n v="0"/>
    <n v="0"/>
    <n v="1"/>
    <n v="0"/>
    <n v="0"/>
    <n v="0"/>
  </r>
  <r>
    <n v="1642"/>
    <d v="2025-06-04T11:15:58"/>
    <d v="2025-06-04T11:18:58"/>
    <s v="lkaonga@lighthouse.org.mw"/>
    <s v="Lameck Kaonga"/>
    <x v="6"/>
    <s v="Prototype"/>
    <x v="2"/>
    <s v="COP_23"/>
    <x v="3"/>
    <x v="1"/>
    <s v="Quarter3"/>
    <x v="4"/>
    <x v="6"/>
    <d v="2025-05-01T00:00:00"/>
    <d v="2025-05-31T00:00:00"/>
    <x v="3"/>
    <n v="0"/>
    <n v="0"/>
    <n v="0"/>
    <n v="0"/>
    <n v="0"/>
    <n v="0"/>
    <n v="0"/>
    <n v="0"/>
    <n v="0"/>
    <n v="0"/>
    <n v="0"/>
    <n v="0"/>
    <n v="0"/>
    <n v="0"/>
    <n v="0"/>
    <n v="0"/>
    <n v="0"/>
    <n v="0"/>
    <n v="0"/>
    <n v="0"/>
    <n v="0"/>
    <n v="0"/>
    <n v="0"/>
    <n v="0"/>
  </r>
  <r>
    <n v="1643"/>
    <d v="2025-06-04T11:19:01"/>
    <d v="2025-06-04T11:20:10"/>
    <s v="lkaonga@lighthouse.org.mw"/>
    <s v="Lameck Kaonga"/>
    <x v="6"/>
    <s v="Prototype"/>
    <x v="2"/>
    <s v="COP_23"/>
    <x v="3"/>
    <x v="1"/>
    <s v="Quarter3"/>
    <x v="4"/>
    <x v="6"/>
    <d v="2025-05-01T00:00:00"/>
    <d v="2025-05-31T00:00:00"/>
    <x v="4"/>
    <n v="0"/>
    <n v="0"/>
    <n v="0"/>
    <n v="0"/>
    <n v="0"/>
    <n v="0"/>
    <n v="0"/>
    <n v="0"/>
    <n v="0"/>
    <n v="0"/>
    <n v="0"/>
    <n v="0"/>
    <n v="0"/>
    <n v="0"/>
    <n v="0"/>
    <n v="0"/>
    <n v="0"/>
    <n v="0"/>
    <n v="0"/>
    <n v="0"/>
    <n v="0"/>
    <n v="0"/>
    <n v="0"/>
    <n v="0"/>
  </r>
  <r>
    <n v="1644"/>
    <d v="2025-06-04T11:22:35"/>
    <d v="2025-06-04T11:23:41"/>
    <s v="lkaonga@lighthouse.org.mw"/>
    <s v="Lameck Kaonga"/>
    <x v="6"/>
    <s v="Prototype"/>
    <x v="2"/>
    <s v="COP_23"/>
    <x v="3"/>
    <x v="1"/>
    <s v="Quarter3"/>
    <x v="4"/>
    <x v="6"/>
    <d v="2025-05-01T00:00:00"/>
    <d v="2025-05-31T00:00:00"/>
    <x v="5"/>
    <n v="0"/>
    <n v="0"/>
    <n v="0"/>
    <n v="0"/>
    <n v="0"/>
    <n v="0"/>
    <n v="0"/>
    <n v="0"/>
    <n v="0"/>
    <n v="0"/>
    <n v="0"/>
    <n v="0"/>
    <n v="0"/>
    <n v="0"/>
    <n v="0"/>
    <n v="0"/>
    <n v="0"/>
    <n v="0"/>
    <n v="0"/>
    <n v="0"/>
    <n v="0"/>
    <n v="0"/>
    <n v="0"/>
    <n v="0"/>
  </r>
  <r>
    <n v="1645"/>
    <d v="2025-06-04T11:23:46"/>
    <d v="2025-06-04T11:26:01"/>
    <s v="lkaonga@lighthouse.org.mw"/>
    <s v="Lameck Kaonga"/>
    <x v="6"/>
    <s v="Prototype"/>
    <x v="2"/>
    <s v="COP_23"/>
    <x v="3"/>
    <x v="1"/>
    <s v="Quarter3"/>
    <x v="4"/>
    <x v="6"/>
    <d v="2025-05-01T00:00:00"/>
    <d v="2025-05-31T00:00:00"/>
    <x v="2"/>
    <n v="0"/>
    <n v="0"/>
    <n v="0"/>
    <n v="0"/>
    <n v="0"/>
    <n v="0"/>
    <n v="0"/>
    <n v="0"/>
    <n v="0"/>
    <n v="0"/>
    <n v="0"/>
    <n v="0"/>
    <n v="0"/>
    <n v="0"/>
    <n v="0"/>
    <n v="0"/>
    <n v="0"/>
    <n v="0"/>
    <n v="0"/>
    <n v="0"/>
    <n v="0"/>
    <n v="0"/>
    <n v="0"/>
    <n v="0"/>
  </r>
  <r>
    <n v="1646"/>
    <d v="2025-06-04T11:26:08"/>
    <d v="2025-06-04T11:27:08"/>
    <s v="lkaonga@lighthouse.org.mw"/>
    <s v="Lameck Kaonga"/>
    <x v="6"/>
    <s v="Prototype"/>
    <x v="2"/>
    <s v="COP_23"/>
    <x v="3"/>
    <x v="1"/>
    <s v="Quarter3"/>
    <x v="4"/>
    <x v="6"/>
    <d v="2025-05-01T00:00:00"/>
    <d v="2025-05-31T00:00:00"/>
    <x v="6"/>
    <n v="0"/>
    <n v="0"/>
    <n v="0"/>
    <n v="0"/>
    <n v="0"/>
    <n v="0"/>
    <n v="0"/>
    <n v="0"/>
    <n v="0"/>
    <n v="0"/>
    <n v="0"/>
    <n v="0"/>
    <n v="0"/>
    <n v="0"/>
    <n v="0"/>
    <n v="0"/>
    <n v="0"/>
    <n v="0"/>
    <n v="0"/>
    <n v="0"/>
    <n v="0"/>
    <n v="0"/>
    <n v="0"/>
    <n v="0"/>
  </r>
  <r>
    <n v="1741"/>
    <d v="2025-07-09T09:55:13"/>
    <d v="2025-07-09T10:04:05"/>
    <s v="lkaonga@lighthouse.org.mw"/>
    <s v="Lameck Kaonga"/>
    <x v="6"/>
    <s v="Prototype"/>
    <x v="2"/>
    <s v="COP_23"/>
    <x v="3"/>
    <x v="3"/>
    <s v="Quarter2"/>
    <x v="4"/>
    <x v="8"/>
    <d v="2025-06-01T00:00:00"/>
    <d v="2025-06-30T00:00:00"/>
    <x v="1"/>
    <n v="3"/>
    <n v="0"/>
    <n v="3"/>
    <n v="0"/>
    <n v="0"/>
    <n v="0"/>
    <n v="2"/>
    <n v="1"/>
    <n v="1"/>
    <n v="0"/>
    <n v="0"/>
    <n v="0"/>
    <n v="1"/>
    <n v="0"/>
    <n v="0"/>
    <n v="0"/>
    <n v="0"/>
    <n v="0"/>
    <n v="0"/>
    <n v="0"/>
    <n v="0"/>
    <n v="0"/>
    <n v="0"/>
    <n v="0"/>
  </r>
  <r>
    <n v="1744"/>
    <d v="2025-07-09T10:04:13"/>
    <d v="2025-07-09T10:21:19"/>
    <s v="lkaonga@lighthouse.org.mw"/>
    <s v="Lameck Kaonga"/>
    <x v="6"/>
    <s v="Prototype"/>
    <x v="2"/>
    <s v="COP_23"/>
    <x v="3"/>
    <x v="3"/>
    <s v="Quarter2"/>
    <x v="4"/>
    <x v="8"/>
    <d v="2025-06-01T00:00:00"/>
    <d v="2025-06-30T00:00:00"/>
    <x v="3"/>
    <n v="0"/>
    <n v="0"/>
    <n v="0"/>
    <n v="0"/>
    <n v="0"/>
    <n v="0"/>
    <n v="0"/>
    <n v="0"/>
    <n v="0"/>
    <n v="0"/>
    <n v="0"/>
    <n v="0"/>
    <n v="0"/>
    <n v="0"/>
    <n v="0"/>
    <n v="0"/>
    <n v="0"/>
    <n v="0"/>
    <n v="0"/>
    <n v="0"/>
    <n v="0"/>
    <n v="0"/>
    <n v="0"/>
    <n v="0"/>
  </r>
  <r>
    <n v="1745"/>
    <d v="2025-07-09T10:21:23"/>
    <d v="2025-07-09T10:23:12"/>
    <s v="lkaonga@lighthouse.org.mw"/>
    <s v="Lameck Kaonga"/>
    <x v="6"/>
    <s v="Prototype"/>
    <x v="2"/>
    <s v="COP_23"/>
    <x v="3"/>
    <x v="3"/>
    <s v="Quarter2"/>
    <x v="4"/>
    <x v="8"/>
    <d v="2025-06-01T00:00:00"/>
    <d v="2025-06-30T00:00:00"/>
    <x v="4"/>
    <n v="0"/>
    <n v="0"/>
    <n v="0"/>
    <n v="0"/>
    <n v="0"/>
    <n v="0"/>
    <n v="0"/>
    <n v="0"/>
    <n v="0"/>
    <n v="0"/>
    <n v="0"/>
    <n v="0"/>
    <n v="0"/>
    <n v="0"/>
    <n v="0"/>
    <n v="0"/>
    <n v="0"/>
    <n v="0"/>
    <n v="0"/>
    <n v="0"/>
    <n v="0"/>
    <n v="0"/>
    <n v="0"/>
    <n v="0"/>
  </r>
  <r>
    <n v="1747"/>
    <d v="2025-07-09T10:24:41"/>
    <d v="2025-07-09T10:26:32"/>
    <s v="lkaonga@lighthouse.org.mw"/>
    <s v="Lameck Kaonga"/>
    <x v="6"/>
    <s v="Prototype"/>
    <x v="2"/>
    <s v="COP_23"/>
    <x v="3"/>
    <x v="3"/>
    <s v="Quarter2"/>
    <x v="4"/>
    <x v="8"/>
    <d v="2025-06-01T00:00:00"/>
    <d v="2025-06-30T00:00:00"/>
    <x v="5"/>
    <n v="0"/>
    <n v="0"/>
    <n v="0"/>
    <n v="0"/>
    <n v="0"/>
    <n v="0"/>
    <n v="0"/>
    <n v="0"/>
    <n v="0"/>
    <n v="0"/>
    <n v="0"/>
    <n v="0"/>
    <n v="0"/>
    <n v="0"/>
    <n v="0"/>
    <n v="0"/>
    <n v="0"/>
    <n v="0"/>
    <n v="0"/>
    <n v="0"/>
    <n v="0"/>
    <n v="0"/>
    <n v="0"/>
    <n v="0"/>
  </r>
  <r>
    <n v="1748"/>
    <d v="2025-07-09T10:26:41"/>
    <d v="2025-07-09T10:29:50"/>
    <s v="lkaonga@lighthouse.org.mw"/>
    <s v="Lameck Kaonga"/>
    <x v="6"/>
    <s v="Prototype"/>
    <x v="2"/>
    <s v="COP_23"/>
    <x v="3"/>
    <x v="3"/>
    <s v="Quarter2"/>
    <x v="4"/>
    <x v="8"/>
    <d v="2025-06-01T00:00:00"/>
    <d v="2025-06-30T00:00:00"/>
    <x v="2"/>
    <n v="2"/>
    <n v="1"/>
    <n v="1"/>
    <n v="0"/>
    <n v="3"/>
    <n v="0"/>
    <n v="0"/>
    <n v="0"/>
    <n v="0"/>
    <n v="0"/>
    <n v="0"/>
    <n v="0"/>
    <n v="1"/>
    <n v="0"/>
    <n v="0"/>
    <n v="0"/>
    <n v="0"/>
    <n v="0"/>
    <n v="0"/>
    <n v="0"/>
    <n v="0"/>
    <n v="0"/>
    <n v="0"/>
    <n v="0"/>
  </r>
  <r>
    <n v="1749"/>
    <d v="2025-07-09T10:30:06"/>
    <d v="2025-07-09T10:33:26"/>
    <s v="lkaonga@lighthouse.org.mw"/>
    <s v="Lameck Kaonga"/>
    <x v="6"/>
    <s v="Prototype"/>
    <x v="2"/>
    <s v="COP_23"/>
    <x v="3"/>
    <x v="3"/>
    <s v="Quarter2"/>
    <x v="4"/>
    <x v="8"/>
    <d v="2025-06-01T00:00:00"/>
    <d v="2025-06-30T00:00:00"/>
    <x v="2"/>
    <n v="1"/>
    <n v="0"/>
    <n v="1"/>
    <n v="0"/>
    <n v="0"/>
    <n v="0"/>
    <n v="1"/>
    <n v="0"/>
    <n v="0"/>
    <n v="0"/>
    <n v="0"/>
    <n v="0"/>
    <n v="0"/>
    <n v="0"/>
    <n v="0"/>
    <n v="0"/>
    <n v="0"/>
    <n v="0"/>
    <n v="0"/>
    <n v="0"/>
    <n v="0"/>
    <n v="0"/>
    <n v="0"/>
    <n v="0"/>
  </r>
  <r>
    <n v="1750"/>
    <d v="2025-07-09T10:33:38"/>
    <d v="2025-07-09T10:35:40"/>
    <s v="lkaonga@lighthouse.org.mw"/>
    <s v="Lameck Kaonga"/>
    <x v="6"/>
    <s v="Prototype"/>
    <x v="2"/>
    <s v="COP_23"/>
    <x v="3"/>
    <x v="3"/>
    <s v="Quarter2"/>
    <x v="4"/>
    <x v="8"/>
    <d v="2025-06-01T00:00:00"/>
    <d v="2025-06-30T00:00:00"/>
    <x v="6"/>
    <n v="0"/>
    <n v="0"/>
    <n v="0"/>
    <n v="0"/>
    <n v="0"/>
    <n v="0"/>
    <n v="0"/>
    <n v="0"/>
    <n v="0"/>
    <n v="0"/>
    <n v="0"/>
    <n v="0"/>
    <n v="0"/>
    <n v="0"/>
    <n v="0"/>
    <n v="0"/>
    <n v="0"/>
    <n v="0"/>
    <n v="0"/>
    <n v="0"/>
    <n v="0"/>
    <n v="0"/>
    <n v="0"/>
    <n v="0"/>
  </r>
  <r>
    <n v="1758"/>
    <d v="2025-07-09T11:20:00"/>
    <d v="2025-07-09T11:26:08"/>
    <s v="lkaonga@lighthouse.org.mw"/>
    <s v="Lameck Kaonga"/>
    <x v="6"/>
    <s v="Prototype"/>
    <x v="2"/>
    <s v="COP_23"/>
    <x v="3"/>
    <x v="3"/>
    <s v="Quarter2"/>
    <x v="4"/>
    <x v="8"/>
    <d v="2025-06-01T00:00:00"/>
    <d v="2025-06-30T00:00:00"/>
    <x v="0"/>
    <n v="6"/>
    <n v="1"/>
    <n v="5"/>
    <n v="0"/>
    <n v="1"/>
    <n v="0"/>
    <n v="5"/>
    <n v="1"/>
    <n v="1"/>
    <n v="0"/>
    <n v="0"/>
    <n v="0"/>
    <n v="2"/>
    <n v="0"/>
    <n v="0"/>
    <n v="0"/>
    <n v="0"/>
    <n v="0"/>
    <n v="0"/>
    <n v="0"/>
    <n v="0"/>
    <n v="0"/>
    <n v="0"/>
    <n v="0"/>
  </r>
  <r>
    <n v="1763"/>
    <d v="2025-07-09T11:27:04"/>
    <d v="2025-07-09T11:40:49"/>
    <s v="lkaonga@lighthouse.org.mw"/>
    <s v="Lameck Kaonga"/>
    <x v="6"/>
    <s v="Prototype"/>
    <x v="2"/>
    <s v="COP_23"/>
    <x v="3"/>
    <x v="3"/>
    <s v="Quarter2"/>
    <x v="4"/>
    <x v="7"/>
    <d v="2025-04-01T00:00:00"/>
    <d v="2025-04-30T00:00:00"/>
    <x v="0"/>
    <n v="10"/>
    <n v="1"/>
    <n v="9"/>
    <n v="0"/>
    <n v="0"/>
    <n v="1"/>
    <n v="9"/>
    <n v="4"/>
    <n v="4"/>
    <n v="1"/>
    <n v="1"/>
    <n v="0"/>
    <n v="5"/>
    <n v="1"/>
    <n v="1"/>
    <n v="0"/>
    <n v="0"/>
    <n v="0"/>
    <n v="0"/>
    <n v="0"/>
    <n v="0"/>
    <n v="0"/>
    <n v="0"/>
    <n v="0"/>
  </r>
  <r>
    <n v="1764"/>
    <d v="2025-07-09T13:25:18"/>
    <d v="2025-07-09T13:28:22"/>
    <s v="lkaonga@lighthouse.org.mw"/>
    <s v="Lameck Kaonga"/>
    <x v="6"/>
    <s v="Prototype"/>
    <x v="2"/>
    <s v="COP_23"/>
    <x v="3"/>
    <x v="3"/>
    <s v="Quarter2"/>
    <x v="4"/>
    <x v="7"/>
    <d v="2025-04-01T00:00:00"/>
    <d v="2025-04-30T00:00:00"/>
    <x v="1"/>
    <n v="6"/>
    <n v="0"/>
    <n v="5"/>
    <n v="0"/>
    <n v="0"/>
    <n v="1"/>
    <n v="6"/>
    <n v="2"/>
    <n v="1"/>
    <n v="0"/>
    <n v="0"/>
    <n v="0"/>
    <n v="2"/>
    <n v="1"/>
    <n v="0"/>
    <n v="0"/>
    <n v="0"/>
    <n v="0"/>
    <n v="0"/>
    <n v="0"/>
    <n v="0"/>
    <n v="0"/>
    <n v="0"/>
    <n v="0"/>
  </r>
  <r>
    <n v="1765"/>
    <d v="2025-07-09T13:29:37"/>
    <d v="2025-07-09T13:35:12"/>
    <s v="lkaonga@lighthouse.org.mw"/>
    <s v="Lameck Kaonga"/>
    <x v="6"/>
    <s v="Prototype"/>
    <x v="2"/>
    <s v="COP_23"/>
    <x v="3"/>
    <x v="3"/>
    <s v="Quarter2"/>
    <x v="4"/>
    <x v="7"/>
    <d v="2025-04-01T00:00:00"/>
    <d v="2025-04-30T00:00:00"/>
    <x v="5"/>
    <n v="2"/>
    <n v="0"/>
    <n v="2"/>
    <n v="0"/>
    <n v="0"/>
    <n v="0"/>
    <n v="1"/>
    <n v="1"/>
    <n v="2"/>
    <n v="0"/>
    <n v="1"/>
    <n v="0"/>
    <n v="2"/>
    <n v="0"/>
    <n v="0"/>
    <n v="0"/>
    <n v="0"/>
    <n v="0"/>
    <n v="0"/>
    <n v="0"/>
    <n v="0"/>
    <n v="0"/>
    <n v="0"/>
    <n v="0"/>
  </r>
  <r>
    <n v="1766"/>
    <d v="2025-07-09T13:35:30"/>
    <d v="2025-07-09T13:44:30"/>
    <s v="lkaonga@lighthouse.org.mw"/>
    <s v="Lameck Kaonga"/>
    <x v="6"/>
    <s v="Prototype"/>
    <x v="2"/>
    <s v="COP_23"/>
    <x v="3"/>
    <x v="3"/>
    <s v="Quarter2"/>
    <x v="4"/>
    <x v="7"/>
    <d v="2025-04-01T00:00:00"/>
    <d v="2025-04-30T00:00:00"/>
    <x v="2"/>
    <n v="2"/>
    <n v="1"/>
    <n v="2"/>
    <n v="0"/>
    <n v="0"/>
    <n v="0"/>
    <n v="2"/>
    <n v="1"/>
    <n v="1"/>
    <n v="0"/>
    <n v="0"/>
    <n v="0"/>
    <n v="1"/>
    <n v="0"/>
    <n v="0"/>
    <n v="0"/>
    <n v="0"/>
    <n v="0"/>
    <n v="0"/>
    <n v="0"/>
    <n v="1"/>
    <n v="0"/>
    <n v="0"/>
    <n v="0"/>
  </r>
  <r>
    <n v="1767"/>
    <d v="2025-07-09T13:44:56"/>
    <d v="2025-07-09T13:46:30"/>
    <s v="lkaonga@lighthouse.org.mw"/>
    <s v="Lameck Kaonga"/>
    <x v="6"/>
    <s v="Prototype"/>
    <x v="2"/>
    <s v="COP_23"/>
    <x v="3"/>
    <x v="3"/>
    <s v="Quarter2"/>
    <x v="4"/>
    <x v="7"/>
    <d v="2025-04-01T00:00:00"/>
    <d v="2025-04-30T00:00:00"/>
    <x v="3"/>
    <n v="0"/>
    <n v="0"/>
    <n v="0"/>
    <n v="0"/>
    <n v="0"/>
    <n v="0"/>
    <n v="0"/>
    <n v="0"/>
    <n v="0"/>
    <n v="0"/>
    <n v="0"/>
    <n v="0"/>
    <n v="0"/>
    <n v="0"/>
    <n v="0"/>
    <n v="0"/>
    <n v="0"/>
    <n v="0"/>
    <n v="0"/>
    <n v="0"/>
    <n v="0"/>
    <n v="0"/>
    <n v="0"/>
    <n v="0"/>
  </r>
  <r>
    <n v="1768"/>
    <d v="2025-07-09T13:46:42"/>
    <d v="2025-07-09T13:48:39"/>
    <s v="lkaonga@lighthouse.org.mw"/>
    <s v="Lameck Kaonga"/>
    <x v="6"/>
    <s v="Prototype"/>
    <x v="2"/>
    <s v="COP_23"/>
    <x v="3"/>
    <x v="3"/>
    <s v="Quarter2"/>
    <x v="4"/>
    <x v="7"/>
    <d v="2025-04-01T00:00:00"/>
    <d v="2025-04-30T00:00:00"/>
    <x v="4"/>
    <n v="0"/>
    <n v="0"/>
    <n v="0"/>
    <n v="0"/>
    <n v="0"/>
    <n v="0"/>
    <n v="0"/>
    <n v="0"/>
    <n v="0"/>
    <n v="0"/>
    <n v="0"/>
    <n v="0"/>
    <n v="0"/>
    <n v="0"/>
    <n v="0"/>
    <n v="0"/>
    <n v="0"/>
    <n v="0"/>
    <n v="0"/>
    <n v="0"/>
    <n v="0"/>
    <n v="0"/>
    <n v="0"/>
    <n v="0"/>
  </r>
  <r>
    <n v="1769"/>
    <d v="2025-07-09T13:48:48"/>
    <d v="2025-07-09T13:50:24"/>
    <s v="lkaonga@lighthouse.org.mw"/>
    <s v="Lameck Kaonga"/>
    <x v="6"/>
    <s v="Prototype"/>
    <x v="2"/>
    <s v="COP_23"/>
    <x v="3"/>
    <x v="3"/>
    <s v="Quarter2"/>
    <x v="4"/>
    <x v="7"/>
    <d v="2025-04-01T00:00:00"/>
    <d v="2025-04-30T00:00:00"/>
    <x v="6"/>
    <n v="0"/>
    <n v="0"/>
    <n v="0"/>
    <n v="0"/>
    <n v="0"/>
    <n v="0"/>
    <n v="0"/>
    <n v="0"/>
    <n v="0"/>
    <n v="0"/>
    <n v="0"/>
    <n v="0"/>
    <n v="0"/>
    <n v="0"/>
    <n v="0"/>
    <n v="0"/>
    <n v="0"/>
    <n v="0"/>
    <n v="0"/>
    <n v="0"/>
    <n v="0"/>
    <n v="0"/>
    <n v="0"/>
    <n v="0"/>
  </r>
  <r>
    <n v="267"/>
    <d v="2024-04-22T16:42:11"/>
    <d v="2024-04-22T16:48:18"/>
    <s v="jmakoza@lighthouse.org.mw"/>
    <s v="Jonathan Makoza"/>
    <x v="7"/>
    <s v="Prototype"/>
    <x v="1"/>
    <s v="COP_23"/>
    <x v="0"/>
    <x v="2"/>
    <s v="Quarter2"/>
    <x v="2"/>
    <x v="4"/>
    <d v="2024-01-01T00:00:00"/>
    <d v="2024-01-31T00:00:00"/>
    <x v="5"/>
    <n v="0"/>
    <n v="0"/>
    <n v="0"/>
    <n v="0"/>
    <n v="0"/>
    <n v="0"/>
    <n v="0"/>
    <n v="0"/>
    <n v="0"/>
    <n v="0"/>
    <n v="0"/>
    <n v="0"/>
    <n v="0"/>
    <n v="0"/>
    <n v="0"/>
    <n v="0"/>
    <n v="0"/>
    <n v="0"/>
    <n v="0"/>
    <n v="0"/>
    <n v="0"/>
    <n v="0"/>
    <n v="0"/>
    <n v="0"/>
  </r>
  <r>
    <n v="268"/>
    <d v="2024-04-22T16:48:49"/>
    <d v="2024-04-22T16:50:15"/>
    <s v="jmakoza@lighthouse.org.mw"/>
    <s v="Jonathan Makoza"/>
    <x v="7"/>
    <s v="Prototype"/>
    <x v="1"/>
    <s v="COP_23"/>
    <x v="0"/>
    <x v="2"/>
    <s v="Quarter2"/>
    <x v="2"/>
    <x v="5"/>
    <d v="2024-02-01T00:00:00"/>
    <d v="2024-02-29T00:00:00"/>
    <x v="5"/>
    <n v="0"/>
    <n v="0"/>
    <n v="0"/>
    <n v="0"/>
    <n v="0"/>
    <n v="0"/>
    <n v="0"/>
    <n v="0"/>
    <n v="0"/>
    <n v="0"/>
    <n v="0"/>
    <n v="0"/>
    <n v="0"/>
    <n v="0"/>
    <n v="0"/>
    <n v="0"/>
    <n v="0"/>
    <n v="0"/>
    <n v="0"/>
    <n v="0"/>
    <n v="0"/>
    <n v="0"/>
    <n v="0"/>
    <n v="0"/>
  </r>
  <r>
    <n v="269"/>
    <d v="2024-04-22T16:50:23"/>
    <d v="2024-04-22T16:55:17"/>
    <s v="jmakoza@lighthouse.org.mw"/>
    <s v="Jonathan Makoza"/>
    <x v="7"/>
    <s v="Prototype"/>
    <x v="1"/>
    <s v="COP_23"/>
    <x v="0"/>
    <x v="2"/>
    <s v="Quarter2"/>
    <x v="2"/>
    <x v="3"/>
    <d v="2024-03-01T00:00:00"/>
    <d v="2024-03-31T00:00:00"/>
    <x v="5"/>
    <n v="0"/>
    <n v="0"/>
    <n v="0"/>
    <n v="0"/>
    <n v="0"/>
    <n v="0"/>
    <n v="0"/>
    <n v="0"/>
    <n v="0"/>
    <n v="0"/>
    <n v="0"/>
    <n v="0"/>
    <n v="0"/>
    <n v="0"/>
    <n v="0"/>
    <n v="0"/>
    <n v="0"/>
    <n v="0"/>
    <n v="0"/>
    <n v="0"/>
    <n v="0"/>
    <n v="0"/>
    <n v="0"/>
    <n v="0"/>
  </r>
  <r>
    <n v="264"/>
    <d v="2024-04-22T15:22:30"/>
    <d v="2024-04-22T16:35:30"/>
    <s v="jmakoza@lighthouse.org.mw"/>
    <s v="Jonathan Makoza"/>
    <x v="7"/>
    <s v="Prototype"/>
    <x v="1"/>
    <s v="COP_23"/>
    <x v="0"/>
    <x v="2"/>
    <s v="Quarter2"/>
    <x v="2"/>
    <x v="4"/>
    <d v="2024-01-01T00:00:00"/>
    <d v="2024-01-31T00:00:00"/>
    <x v="0"/>
    <n v="15"/>
    <n v="0"/>
    <n v="0"/>
    <n v="0"/>
    <n v="0"/>
    <n v="0"/>
    <n v="3"/>
    <n v="0"/>
    <n v="0"/>
    <n v="0"/>
    <n v="0"/>
    <n v="0"/>
    <n v="0"/>
    <n v="0"/>
    <n v="0"/>
    <n v="0"/>
    <n v="0"/>
    <n v="0"/>
    <n v="0"/>
    <n v="0"/>
    <n v="0"/>
    <n v="0"/>
    <n v="0"/>
    <n v="0"/>
  </r>
  <r>
    <n v="265"/>
    <d v="2024-04-22T16:35:31"/>
    <d v="2024-04-22T16:38:08"/>
    <s v="jmakoza@lighthouse.org.mw"/>
    <s v="Jonathan Makoza"/>
    <x v="7"/>
    <s v="Prototype"/>
    <x v="1"/>
    <s v="COP_24"/>
    <x v="0"/>
    <x v="2"/>
    <s v="Quarter2"/>
    <x v="2"/>
    <x v="5"/>
    <d v="2024-02-01T00:00:00"/>
    <d v="2024-02-29T00:00:00"/>
    <x v="0"/>
    <n v="7"/>
    <n v="0"/>
    <n v="0"/>
    <n v="0"/>
    <n v="0"/>
    <n v="0"/>
    <n v="3"/>
    <n v="0"/>
    <n v="0"/>
    <n v="0"/>
    <n v="0"/>
    <n v="0"/>
    <n v="0"/>
    <n v="0"/>
    <n v="0"/>
    <n v="0"/>
    <n v="0"/>
    <n v="0"/>
    <n v="0"/>
    <n v="0"/>
    <n v="0"/>
    <n v="0"/>
    <n v="0"/>
    <n v="0"/>
  </r>
  <r>
    <n v="266"/>
    <d v="2024-04-22T16:38:37"/>
    <d v="2024-04-22T16:41:59"/>
    <s v="jmakoza@lighthouse.org.mw"/>
    <s v="Jonathan Makoza"/>
    <x v="7"/>
    <s v="Prototype"/>
    <x v="1"/>
    <s v="COP_24"/>
    <x v="0"/>
    <x v="2"/>
    <s v="Quarter2"/>
    <x v="2"/>
    <x v="3"/>
    <d v="2024-03-01T00:00:00"/>
    <d v="2024-03-31T00:00:00"/>
    <x v="0"/>
    <n v="12"/>
    <n v="0"/>
    <n v="0"/>
    <n v="0"/>
    <n v="0"/>
    <n v="0"/>
    <n v="9"/>
    <n v="0"/>
    <n v="0"/>
    <n v="0"/>
    <n v="0"/>
    <n v="0"/>
    <n v="0"/>
    <n v="0"/>
    <n v="0"/>
    <n v="0"/>
    <n v="0"/>
    <n v="0"/>
    <n v="0"/>
    <n v="0"/>
    <n v="0"/>
    <n v="0"/>
    <n v="0"/>
    <n v="0"/>
  </r>
  <r>
    <n v="264"/>
    <d v="2024-04-22T15:22:24"/>
    <d v="2024-04-22T16:35:30"/>
    <s v="jmakoza@lighthouse.org.mw"/>
    <s v="Jonathan Makoza"/>
    <x v="7"/>
    <s v="Prototype"/>
    <x v="1"/>
    <s v="COP_24"/>
    <x v="0"/>
    <x v="2"/>
    <s v="Quarter2"/>
    <x v="2"/>
    <x v="4"/>
    <d v="2024-01-01T00:00:00"/>
    <d v="2024-01-31T00:00:00"/>
    <x v="1"/>
    <n v="15"/>
    <n v="0"/>
    <n v="0"/>
    <n v="0"/>
    <n v="0"/>
    <n v="0"/>
    <n v="3"/>
    <n v="0"/>
    <n v="0"/>
    <n v="0"/>
    <n v="0"/>
    <n v="0"/>
    <n v="0"/>
    <n v="0"/>
    <n v="0"/>
    <n v="0"/>
    <n v="0"/>
    <n v="0"/>
    <n v="0"/>
    <n v="0"/>
    <n v="0"/>
    <n v="0"/>
    <n v="0"/>
    <n v="0"/>
  </r>
  <r>
    <n v="265"/>
    <d v="2024-04-22T16:35:49"/>
    <d v="2024-04-22T16:38:08"/>
    <s v="jmakoza@lighthouse.org.mw"/>
    <s v="Jonathan Makoza"/>
    <x v="7"/>
    <s v="Prototype"/>
    <x v="1"/>
    <s v="COP_24"/>
    <x v="0"/>
    <x v="2"/>
    <s v="Quarter2"/>
    <x v="2"/>
    <x v="5"/>
    <d v="2024-02-01T00:00:00"/>
    <d v="2024-02-29T00:00:00"/>
    <x v="1"/>
    <n v="7"/>
    <n v="0"/>
    <n v="0"/>
    <n v="0"/>
    <n v="0"/>
    <n v="0"/>
    <n v="3"/>
    <n v="0"/>
    <n v="0"/>
    <n v="0"/>
    <n v="0"/>
    <n v="0"/>
    <n v="0"/>
    <n v="0"/>
    <n v="0"/>
    <n v="0"/>
    <n v="0"/>
    <n v="0"/>
    <n v="0"/>
    <n v="0"/>
    <n v="0"/>
    <n v="0"/>
    <n v="0"/>
    <n v="0"/>
  </r>
  <r>
    <n v="266"/>
    <d v="2024-04-22T16:38:12"/>
    <d v="2024-04-22T16:41:59"/>
    <s v="jmakoza@lighthouse.org.mw"/>
    <s v="Jonathan Makoza"/>
    <x v="7"/>
    <s v="Prototype"/>
    <x v="1"/>
    <s v="COP_24"/>
    <x v="0"/>
    <x v="2"/>
    <s v="Quarter2"/>
    <x v="2"/>
    <x v="3"/>
    <d v="2024-03-01T00:00:00"/>
    <d v="2024-03-31T00:00:00"/>
    <x v="1"/>
    <n v="12"/>
    <n v="0"/>
    <n v="0"/>
    <n v="0"/>
    <n v="0"/>
    <n v="0"/>
    <n v="9"/>
    <n v="0"/>
    <n v="0"/>
    <n v="0"/>
    <n v="0"/>
    <n v="0"/>
    <n v="0"/>
    <n v="0"/>
    <n v="0"/>
    <n v="0"/>
    <n v="0"/>
    <n v="0"/>
    <n v="0"/>
    <n v="0"/>
    <n v="0"/>
    <n v="0"/>
    <n v="0"/>
    <n v="0"/>
  </r>
  <r>
    <n v="614"/>
    <d v="2024-07-15T14:16:22"/>
    <d v="2024-07-15T14:19:11"/>
    <s v="jmakoza@lighthouse.org.mw"/>
    <s v="Jonathan Makoza"/>
    <x v="7"/>
    <s v="Prototype"/>
    <x v="1"/>
    <s v="COP_24"/>
    <x v="0"/>
    <x v="3"/>
    <s v="Quarter3"/>
    <x v="3"/>
    <x v="7"/>
    <d v="2024-04-01T00:00:00"/>
    <d v="2024-04-30T00:00:00"/>
    <x v="1"/>
    <n v="8"/>
    <n v="0"/>
    <n v="8"/>
    <n v="0"/>
    <n v="0"/>
    <n v="0"/>
    <n v="8"/>
    <n v="0"/>
    <n v="0"/>
    <n v="0"/>
    <n v="0"/>
    <n v="0"/>
    <n v="0"/>
    <n v="0"/>
    <n v="0"/>
    <n v="0"/>
    <n v="0"/>
    <n v="0"/>
    <n v="0"/>
    <n v="0"/>
    <n v="0"/>
    <n v="0"/>
    <n v="0"/>
    <n v="0"/>
  </r>
  <r>
    <n v="615"/>
    <d v="2024-07-15T14:19:16"/>
    <d v="2024-07-15T14:20:59"/>
    <s v="jmakoza@lighthouse.org.mw"/>
    <s v="Jonathan Makoza"/>
    <x v="7"/>
    <s v="Prototype"/>
    <x v="1"/>
    <s v="COP_24"/>
    <x v="0"/>
    <x v="3"/>
    <s v="Quarter3"/>
    <x v="3"/>
    <x v="6"/>
    <d v="2024-05-01T00:00:00"/>
    <d v="2024-05-31T00:00:00"/>
    <x v="1"/>
    <n v="9"/>
    <n v="0"/>
    <n v="9"/>
    <n v="0"/>
    <n v="0"/>
    <n v="0"/>
    <n v="9"/>
    <n v="0"/>
    <n v="0"/>
    <n v="0"/>
    <n v="0"/>
    <n v="0"/>
    <n v="0"/>
    <n v="0"/>
    <n v="0"/>
    <n v="0"/>
    <n v="0"/>
    <n v="0"/>
    <n v="0"/>
    <n v="0"/>
    <n v="0"/>
    <n v="0"/>
    <n v="0"/>
    <n v="0"/>
  </r>
  <r>
    <n v="618"/>
    <d v="2024-07-15T14:26:51"/>
    <d v="2024-07-15T14:28:44"/>
    <s v="jmakoza@lighthouse.org.mw"/>
    <s v="Jonathan Makoza"/>
    <x v="7"/>
    <s v="Prototype"/>
    <x v="1"/>
    <s v="COP_24"/>
    <x v="0"/>
    <x v="3"/>
    <s v="Quarter3"/>
    <x v="3"/>
    <x v="8"/>
    <d v="2024-06-01T00:00:00"/>
    <d v="2024-06-30T00:00:00"/>
    <x v="1"/>
    <n v="14"/>
    <n v="0"/>
    <n v="14"/>
    <n v="0"/>
    <n v="0"/>
    <n v="0"/>
    <n v="14"/>
    <n v="0"/>
    <n v="0"/>
    <n v="0"/>
    <n v="0"/>
    <n v="0"/>
    <n v="0"/>
    <n v="0"/>
    <n v="0"/>
    <n v="0"/>
    <n v="0"/>
    <n v="0"/>
    <n v="0"/>
    <n v="0"/>
    <n v="0"/>
    <n v="0"/>
    <n v="0"/>
    <n v="0"/>
  </r>
  <r>
    <n v="867"/>
    <d v="2024-10-02T15:59:14"/>
    <d v="2024-10-02T16:00:13"/>
    <s v="jmakoza@lighthouse.org.mw"/>
    <s v="Jonathan Makoza"/>
    <x v="7"/>
    <s v="Prototype"/>
    <x v="1"/>
    <s v="COP_22"/>
    <x v="0"/>
    <x v="1"/>
    <s v="Quarter4"/>
    <x v="1"/>
    <x v="9"/>
    <d v="2024-07-01T00:00:00"/>
    <d v="2024-07-31T00:00:00"/>
    <x v="1"/>
    <n v="5"/>
    <n v="0"/>
    <n v="5"/>
    <n v="0"/>
    <n v="0"/>
    <n v="0"/>
    <n v="5"/>
    <n v="0"/>
    <n v="0"/>
    <n v="0"/>
    <n v="0"/>
    <n v="0"/>
    <n v="0"/>
    <n v="0"/>
    <n v="0"/>
    <n v="0"/>
    <n v="0"/>
    <n v="0"/>
    <n v="0"/>
    <n v="0"/>
    <n v="0"/>
    <n v="0"/>
    <n v="0"/>
    <n v="0"/>
  </r>
  <r>
    <n v="965"/>
    <d v="2024-10-21T09:21:49"/>
    <d v="2024-10-21T09:23:33"/>
    <s v="jmakoza@lighthouse.org.mw"/>
    <s v="Jonathan Makoza"/>
    <x v="7"/>
    <s v="Prototype"/>
    <x v="1"/>
    <s v="COP_22"/>
    <x v="0"/>
    <x v="1"/>
    <s v="Quarter4"/>
    <x v="1"/>
    <x v="2"/>
    <d v="2024-09-01T00:00:00"/>
    <d v="2024-09-30T00:00:00"/>
    <x v="1"/>
    <n v="6"/>
    <n v="0"/>
    <n v="5"/>
    <n v="0"/>
    <n v="0"/>
    <n v="0"/>
    <n v="5"/>
    <n v="0"/>
    <n v="0"/>
    <n v="0"/>
    <n v="0"/>
    <n v="0"/>
    <n v="0"/>
    <n v="0"/>
    <n v="0"/>
    <n v="0"/>
    <n v="0"/>
    <n v="0"/>
    <n v="0"/>
    <n v="0"/>
    <n v="0"/>
    <n v="0"/>
    <n v="0"/>
    <n v="0"/>
  </r>
  <r>
    <n v="613"/>
    <d v="2024-07-15T14:01:10"/>
    <d v="2024-07-15T14:15:49"/>
    <s v="jmakoza@lighthouse.org.mw"/>
    <s v="Jonathan Makoza"/>
    <x v="7"/>
    <s v="Prototype"/>
    <x v="1"/>
    <s v="COP_24"/>
    <x v="0"/>
    <x v="3"/>
    <s v="Quarter3"/>
    <x v="3"/>
    <x v="7"/>
    <d v="2024-04-01T00:00:00"/>
    <d v="2024-04-30T00:00:00"/>
    <x v="0"/>
    <n v="8"/>
    <n v="0"/>
    <n v="8"/>
    <n v="0"/>
    <n v="0"/>
    <n v="0"/>
    <n v="8"/>
    <n v="0"/>
    <n v="0"/>
    <n v="0"/>
    <n v="0"/>
    <n v="0"/>
    <n v="0"/>
    <n v="0"/>
    <n v="0"/>
    <n v="0"/>
    <n v="0"/>
    <n v="0"/>
    <n v="0"/>
    <n v="0"/>
    <n v="0"/>
    <n v="0"/>
    <n v="0"/>
    <n v="0"/>
  </r>
  <r>
    <n v="966"/>
    <d v="2024-10-21T09:23:49"/>
    <d v="2024-10-21T09:38:25"/>
    <s v="jmakoza@lighthouse.org.mw"/>
    <s v="Jonathan Makoza"/>
    <x v="7"/>
    <s v="Prototype"/>
    <x v="1"/>
    <s v="COP_22"/>
    <x v="0"/>
    <x v="1"/>
    <s v="Quarter4"/>
    <x v="1"/>
    <x v="10"/>
    <d v="2024-08-01T00:00:00"/>
    <d v="2024-08-31T00:00:00"/>
    <x v="1"/>
    <n v="6"/>
    <n v="0"/>
    <n v="4"/>
    <n v="0"/>
    <n v="0"/>
    <n v="0"/>
    <n v="4"/>
    <n v="0"/>
    <n v="0"/>
    <n v="0"/>
    <n v="0"/>
    <n v="0"/>
    <n v="0"/>
    <n v="0"/>
    <n v="0"/>
    <n v="0"/>
    <n v="0"/>
    <n v="0"/>
    <n v="0"/>
    <n v="0"/>
    <n v="0"/>
    <n v="0"/>
    <n v="0"/>
    <n v="0"/>
  </r>
  <r>
    <n v="616"/>
    <d v="2024-07-15T14:21:11"/>
    <d v="2024-07-15T14:23:41"/>
    <s v="jmakoza@lighthouse.org.mw"/>
    <s v="Jonathan Makoza"/>
    <x v="7"/>
    <s v="Prototype"/>
    <x v="1"/>
    <s v="COP_24"/>
    <x v="0"/>
    <x v="3"/>
    <s v="Quarter3"/>
    <x v="3"/>
    <x v="6"/>
    <d v="2024-05-01T00:00:00"/>
    <d v="2024-05-31T00:00:00"/>
    <x v="0"/>
    <n v="9"/>
    <n v="0"/>
    <n v="9"/>
    <n v="0"/>
    <n v="0"/>
    <n v="0"/>
    <n v="9"/>
    <n v="0"/>
    <n v="0"/>
    <n v="0"/>
    <n v="0"/>
    <n v="0"/>
    <n v="0"/>
    <n v="0"/>
    <n v="0"/>
    <n v="0"/>
    <n v="0"/>
    <n v="0"/>
    <n v="0"/>
    <n v="0"/>
    <n v="0"/>
    <n v="0"/>
    <n v="0"/>
    <n v="0"/>
  </r>
  <r>
    <n v="617"/>
    <d v="2024-07-15T14:24:02"/>
    <d v="2024-07-15T14:26:47"/>
    <s v="jmakoza@lighthouse.org.mw"/>
    <s v="Jonathan Makoza"/>
    <x v="7"/>
    <s v="Prototype"/>
    <x v="1"/>
    <s v="COP_24"/>
    <x v="0"/>
    <x v="3"/>
    <s v="Quarter3"/>
    <x v="3"/>
    <x v="8"/>
    <d v="2024-06-01T00:00:00"/>
    <d v="2024-06-30T00:00:00"/>
    <x v="0"/>
    <n v="14"/>
    <n v="0"/>
    <n v="14"/>
    <n v="0"/>
    <n v="0"/>
    <n v="0"/>
    <n v="14"/>
    <n v="0"/>
    <n v="0"/>
    <n v="0"/>
    <n v="0"/>
    <n v="0"/>
    <n v="0"/>
    <n v="0"/>
    <n v="0"/>
    <n v="0"/>
    <n v="0"/>
    <n v="0"/>
    <n v="0"/>
    <n v="0"/>
    <n v="0"/>
    <n v="0"/>
    <n v="0"/>
    <n v="0"/>
  </r>
  <r>
    <n v="778"/>
    <d v="2024-08-19T13:16:59"/>
    <d v="2024-08-19T13:21:50"/>
    <s v="jmakoza@lighthouse.org.mw"/>
    <s v="Jonathan Makoza"/>
    <x v="7"/>
    <s v="Prototype"/>
    <x v="1"/>
    <s v="COP_24"/>
    <x v="0"/>
    <x v="3"/>
    <s v="Quarter3"/>
    <x v="3"/>
    <x v="7"/>
    <d v="2024-04-01T00:00:00"/>
    <d v="2024-04-30T00:00:00"/>
    <x v="5"/>
    <n v="0"/>
    <n v="0"/>
    <n v="0"/>
    <n v="0"/>
    <n v="0"/>
    <n v="0"/>
    <n v="0"/>
    <n v="0"/>
    <n v="0"/>
    <n v="0"/>
    <n v="0"/>
    <n v="0"/>
    <n v="0"/>
    <n v="0"/>
    <n v="0"/>
    <n v="0"/>
    <n v="0"/>
    <n v="0"/>
    <n v="0"/>
    <n v="0"/>
    <n v="0"/>
    <n v="0"/>
    <n v="0"/>
    <n v="0"/>
  </r>
  <r>
    <n v="779"/>
    <d v="2024-08-19T13:22:24"/>
    <d v="2024-08-19T13:32:56"/>
    <s v="jmakoza@lighthouse.org.mw"/>
    <s v="Jonathan Makoza"/>
    <x v="7"/>
    <s v="Prototype"/>
    <x v="1"/>
    <s v="COP_24"/>
    <x v="0"/>
    <x v="3"/>
    <s v="Quarter3"/>
    <x v="3"/>
    <x v="6"/>
    <d v="2024-05-01T00:00:00"/>
    <d v="2024-05-31T00:00:00"/>
    <x v="5"/>
    <n v="0"/>
    <n v="0"/>
    <n v="0"/>
    <n v="0"/>
    <n v="0"/>
    <n v="0"/>
    <n v="0"/>
    <n v="0"/>
    <n v="0"/>
    <n v="0"/>
    <n v="0"/>
    <n v="0"/>
    <n v="0"/>
    <n v="0"/>
    <n v="0"/>
    <n v="0"/>
    <n v="0"/>
    <n v="0"/>
    <n v="0"/>
    <n v="0"/>
    <n v="0"/>
    <n v="0"/>
    <n v="0"/>
    <n v="0"/>
  </r>
  <r>
    <n v="868"/>
    <d v="2024-10-02T16:00:34"/>
    <d v="2024-10-02T16:04:36"/>
    <s v="jmakoza@lighthouse.org.mw"/>
    <s v="Jonathan Makoza"/>
    <x v="7"/>
    <s v="Prototype"/>
    <x v="1"/>
    <s v="COP_22"/>
    <x v="0"/>
    <x v="1"/>
    <s v="Quarter4"/>
    <x v="1"/>
    <x v="9"/>
    <d v="2024-07-01T00:00:00"/>
    <d v="2024-07-31T00:00:00"/>
    <x v="0"/>
    <n v="5"/>
    <n v="0"/>
    <n v="5"/>
    <n v="0"/>
    <n v="0"/>
    <n v="0"/>
    <n v="5"/>
    <n v="0"/>
    <n v="0"/>
    <n v="0"/>
    <n v="0"/>
    <n v="0"/>
    <n v="0"/>
    <n v="0"/>
    <n v="0"/>
    <n v="0"/>
    <n v="0"/>
    <n v="0"/>
    <n v="0"/>
    <n v="0"/>
    <n v="0"/>
    <n v="0"/>
    <n v="0"/>
    <n v="0"/>
  </r>
  <r>
    <n v="964"/>
    <d v="2024-10-21T09:18:01"/>
    <d v="2024-10-21T09:21:43"/>
    <s v="jmakoza@lighthouse.org.mw"/>
    <s v="Jonathan Makoza"/>
    <x v="7"/>
    <s v="Prototype"/>
    <x v="1"/>
    <s v="COP_22"/>
    <x v="0"/>
    <x v="1"/>
    <s v="Quarter4"/>
    <x v="1"/>
    <x v="2"/>
    <d v="2024-09-01T00:00:00"/>
    <d v="2024-09-30T00:00:00"/>
    <x v="0"/>
    <n v="6"/>
    <n v="0"/>
    <n v="5"/>
    <n v="0"/>
    <n v="0"/>
    <n v="0"/>
    <n v="5"/>
    <n v="0"/>
    <n v="0"/>
    <n v="0"/>
    <n v="0"/>
    <n v="0"/>
    <n v="0"/>
    <n v="0"/>
    <n v="0"/>
    <n v="0"/>
    <n v="0"/>
    <n v="0"/>
    <n v="0"/>
    <n v="0"/>
    <n v="0"/>
    <n v="0"/>
    <n v="0"/>
    <n v="0"/>
  </r>
  <r>
    <n v="967"/>
    <d v="2024-10-21T09:38:31"/>
    <d v="2024-10-21T09:40:19"/>
    <s v="jmakoza@lighthouse.org.mw"/>
    <s v="Jonathan Makoza"/>
    <x v="7"/>
    <s v="Prototype"/>
    <x v="1"/>
    <s v="COP_23"/>
    <x v="0"/>
    <x v="1"/>
    <s v="Quarter4"/>
    <x v="1"/>
    <x v="10"/>
    <d v="2024-08-01T00:00:00"/>
    <d v="2024-08-31T00:00:00"/>
    <x v="0"/>
    <n v="4"/>
    <n v="0"/>
    <n v="4"/>
    <n v="0"/>
    <n v="0"/>
    <n v="0"/>
    <n v="4"/>
    <n v="0"/>
    <n v="0"/>
    <n v="0"/>
    <n v="0"/>
    <n v="0"/>
    <n v="0"/>
    <n v="0"/>
    <n v="0"/>
    <n v="0"/>
    <n v="0"/>
    <n v="0"/>
    <n v="0"/>
    <n v="0"/>
    <n v="0"/>
    <n v="0"/>
    <n v="0"/>
    <n v="0"/>
  </r>
  <r>
    <n v="1040"/>
    <d v="2024-11-07T13:49:21"/>
    <d v="2024-11-07T13:50:55"/>
    <s v="jmakoza@lighthouse.org.mw"/>
    <s v="Jonathan Makoza"/>
    <x v="7"/>
    <s v="Prototype"/>
    <x v="1"/>
    <s v="COP_23"/>
    <x v="0"/>
    <x v="1"/>
    <s v="Quarter4"/>
    <x v="1"/>
    <x v="2"/>
    <d v="2024-09-01T00:00:00"/>
    <d v="2024-09-30T00:00:00"/>
    <x v="5"/>
    <n v="0"/>
    <n v="0"/>
    <n v="0"/>
    <n v="0"/>
    <n v="0"/>
    <n v="0"/>
    <n v="0"/>
    <n v="0"/>
    <n v="0"/>
    <n v="0"/>
    <n v="0"/>
    <n v="0"/>
    <n v="0"/>
    <n v="0"/>
    <n v="0"/>
    <n v="0"/>
    <n v="0"/>
    <n v="0"/>
    <n v="0"/>
    <n v="0"/>
    <n v="0"/>
    <n v="0"/>
    <n v="0"/>
    <n v="0"/>
  </r>
  <r>
    <n v="1041"/>
    <d v="2024-11-07T13:50:57"/>
    <d v="2024-11-07T13:52:07"/>
    <s v="jmakoza@lighthouse.org.mw"/>
    <s v="Jonathan Makoza"/>
    <x v="7"/>
    <s v="Prototype"/>
    <x v="1"/>
    <s v="COP_22"/>
    <x v="1"/>
    <x v="1"/>
    <s v="Quarter4"/>
    <x v="1"/>
    <x v="10"/>
    <d v="2024-08-01T00:00:00"/>
    <d v="2024-08-31T00:00:00"/>
    <x v="5"/>
    <n v="0"/>
    <n v="0"/>
    <n v="0"/>
    <n v="0"/>
    <n v="0"/>
    <n v="0"/>
    <n v="0"/>
    <n v="0"/>
    <n v="0"/>
    <n v="0"/>
    <n v="0"/>
    <n v="0"/>
    <n v="0"/>
    <n v="0"/>
    <n v="0"/>
    <n v="0"/>
    <n v="0"/>
    <n v="0"/>
    <n v="0"/>
    <n v="0"/>
    <n v="0"/>
    <n v="0"/>
    <n v="0"/>
    <n v="0"/>
  </r>
  <r>
    <n v="1042"/>
    <d v="2024-11-07T13:52:10"/>
    <d v="2024-11-07T13:53:32"/>
    <s v="jmakoza@lighthouse.org.mw"/>
    <s v="Jonathan Makoza"/>
    <x v="7"/>
    <s v="Prototype"/>
    <x v="1"/>
    <s v="COP_23"/>
    <x v="0"/>
    <x v="1"/>
    <s v="Quarter4"/>
    <x v="1"/>
    <x v="9"/>
    <d v="2024-07-01T00:00:00"/>
    <d v="2024-07-31T00:00:00"/>
    <x v="5"/>
    <n v="0"/>
    <n v="0"/>
    <n v="0"/>
    <n v="0"/>
    <n v="0"/>
    <n v="0"/>
    <n v="0"/>
    <n v="0"/>
    <n v="0"/>
    <n v="0"/>
    <n v="0"/>
    <n v="0"/>
    <n v="0"/>
    <n v="0"/>
    <n v="0"/>
    <n v="0"/>
    <n v="0"/>
    <n v="0"/>
    <n v="0"/>
    <n v="0"/>
    <n v="0"/>
    <n v="0"/>
    <n v="0"/>
    <n v="0"/>
  </r>
  <r>
    <n v="1144"/>
    <d v="2024-12-17T14:38:57"/>
    <d v="2024-12-17T14:44:51"/>
    <s v="jmakoza@lighthouse.org.mw"/>
    <s v="Jonathan Makoza"/>
    <x v="7"/>
    <s v="Prototype"/>
    <x v="1"/>
    <s v="COP_23"/>
    <x v="2"/>
    <x v="0"/>
    <s v="Quarter1"/>
    <x v="0"/>
    <x v="0"/>
    <d v="2024-10-01T00:00:00"/>
    <d v="2024-10-31T00:00:00"/>
    <x v="1"/>
    <n v="12"/>
    <n v="0"/>
    <n v="10"/>
    <n v="0"/>
    <n v="0"/>
    <n v="0"/>
    <n v="0"/>
    <n v="0"/>
    <n v="0"/>
    <n v="0"/>
    <n v="0"/>
    <n v="0"/>
    <n v="0"/>
    <n v="0"/>
    <n v="0"/>
    <n v="0"/>
    <n v="0"/>
    <n v="0"/>
    <n v="0"/>
    <n v="0"/>
    <n v="0"/>
    <n v="0"/>
    <n v="0"/>
    <n v="0"/>
  </r>
  <r>
    <n v="1145"/>
    <d v="2024-12-17T14:45:16"/>
    <d v="2024-12-17T14:47:52"/>
    <s v="jmakoza@lighthouse.org.mw"/>
    <s v="Jonathan Makoza"/>
    <x v="7"/>
    <s v="Prototype"/>
    <x v="1"/>
    <s v="COP_22"/>
    <x v="2"/>
    <x v="0"/>
    <s v="Quarter1"/>
    <x v="0"/>
    <x v="0"/>
    <d v="2024-10-01T00:00:00"/>
    <d v="2024-10-31T00:00:00"/>
    <x v="0"/>
    <n v="12"/>
    <n v="0"/>
    <n v="10"/>
    <n v="0"/>
    <n v="0"/>
    <n v="0"/>
    <n v="0"/>
    <n v="0"/>
    <n v="0"/>
    <n v="0"/>
    <n v="0"/>
    <n v="0"/>
    <n v="0"/>
    <n v="0"/>
    <n v="0"/>
    <n v="0"/>
    <n v="0"/>
    <n v="0"/>
    <n v="0"/>
    <n v="0"/>
    <n v="0"/>
    <n v="0"/>
    <n v="0"/>
    <n v="0"/>
  </r>
  <r>
    <n v="1153"/>
    <d v="2024-12-17T15:31:06"/>
    <d v="2024-12-17T15:32:46"/>
    <s v="jmakoza@lighthouse.org.mw"/>
    <s v="Jonathan Makoza"/>
    <x v="7"/>
    <s v="Prototype"/>
    <x v="1"/>
    <s v="COP_23"/>
    <x v="2"/>
    <x v="0"/>
    <s v="Quarter1"/>
    <x v="0"/>
    <x v="1"/>
    <d v="2024-11-01T00:00:00"/>
    <d v="2024-11-30T00:00:00"/>
    <x v="0"/>
    <n v="5"/>
    <n v="0"/>
    <n v="3"/>
    <n v="0"/>
    <n v="0"/>
    <n v="0"/>
    <n v="0"/>
    <n v="0"/>
    <n v="0"/>
    <n v="0"/>
    <n v="0"/>
    <n v="0"/>
    <n v="0"/>
    <n v="0"/>
    <n v="0"/>
    <n v="0"/>
    <n v="0"/>
    <n v="0"/>
    <n v="0"/>
    <n v="0"/>
    <n v="0"/>
    <n v="0"/>
    <n v="0"/>
    <n v="0"/>
  </r>
  <r>
    <n v="1154"/>
    <d v="2024-12-17T15:32:52"/>
    <d v="2024-12-17T15:35:37"/>
    <s v="jmakoza@lighthouse.org.mw"/>
    <s v="Jonathan Makoza"/>
    <x v="7"/>
    <s v="Prototype"/>
    <x v="1"/>
    <s v="COP_23"/>
    <x v="2"/>
    <x v="0"/>
    <s v="Quarter1"/>
    <x v="0"/>
    <x v="1"/>
    <d v="2024-11-01T00:00:00"/>
    <d v="2024-11-30T00:00:00"/>
    <x v="1"/>
    <n v="5"/>
    <n v="0"/>
    <n v="5"/>
    <n v="0"/>
    <n v="0"/>
    <n v="0"/>
    <n v="0"/>
    <n v="0"/>
    <n v="0"/>
    <n v="0"/>
    <n v="0"/>
    <n v="0"/>
    <n v="0"/>
    <n v="0"/>
    <n v="0"/>
    <n v="0"/>
    <n v="0"/>
    <n v="0"/>
    <n v="0"/>
    <n v="0"/>
    <n v="0"/>
    <n v="0"/>
    <n v="0"/>
    <n v="0"/>
  </r>
  <r>
    <n v="1155"/>
    <d v="2024-12-17T15:36:23"/>
    <d v="2024-12-17T15:37:45"/>
    <s v="jmakoza@lighthouse.org.mw"/>
    <s v="Jonathan Makoza"/>
    <x v="7"/>
    <s v="Prototype"/>
    <x v="1"/>
    <s v="COP_23"/>
    <x v="2"/>
    <x v="0"/>
    <s v="Quarter1"/>
    <x v="0"/>
    <x v="1"/>
    <d v="2024-11-01T00:00:00"/>
    <d v="2024-11-30T00:00:00"/>
    <x v="5"/>
    <n v="0"/>
    <n v="0"/>
    <n v="0"/>
    <n v="0"/>
    <n v="0"/>
    <n v="0"/>
    <n v="0"/>
    <n v="0"/>
    <n v="0"/>
    <n v="0"/>
    <n v="0"/>
    <n v="0"/>
    <n v="0"/>
    <n v="0"/>
    <n v="0"/>
    <n v="0"/>
    <n v="0"/>
    <n v="0"/>
    <n v="0"/>
    <n v="0"/>
    <n v="0"/>
    <n v="0"/>
    <n v="0"/>
    <n v="0"/>
  </r>
  <r>
    <n v="1296"/>
    <d v="2025-01-16T13:41:44"/>
    <d v="2025-01-16T14:03:51"/>
    <s v="jmakoza@lighthouse.org.mw"/>
    <s v="Jonathan Makoza"/>
    <x v="7"/>
    <s v="Prototype"/>
    <x v="1"/>
    <s v="COP_23"/>
    <x v="2"/>
    <x v="0"/>
    <s v="Quarter1"/>
    <x v="0"/>
    <x v="11"/>
    <d v="2024-12-01T00:00:00"/>
    <d v="2024-12-31T00:00:00"/>
    <x v="0"/>
    <n v="5"/>
    <n v="0"/>
    <n v="5"/>
    <n v="0"/>
    <n v="0"/>
    <n v="0"/>
    <n v="5"/>
    <n v="0"/>
    <n v="0"/>
    <n v="0"/>
    <n v="0"/>
    <n v="0"/>
    <n v="0"/>
    <n v="0"/>
    <n v="0"/>
    <n v="0"/>
    <n v="0"/>
    <n v="0"/>
    <n v="0"/>
    <n v="0"/>
    <n v="0"/>
    <n v="0"/>
    <n v="0"/>
    <n v="0"/>
  </r>
  <r>
    <n v="1297"/>
    <d v="2025-01-16T14:04:13"/>
    <d v="2025-01-16T14:06:44"/>
    <s v="jmakoza@lighthouse.org.mw"/>
    <s v="Jonathan Makoza"/>
    <x v="7"/>
    <s v="Prototype"/>
    <x v="1"/>
    <s v="COP_23"/>
    <x v="2"/>
    <x v="0"/>
    <s v="Quarter1"/>
    <x v="0"/>
    <x v="11"/>
    <d v="2024-12-01T00:00:00"/>
    <d v="2024-12-31T00:00:00"/>
    <x v="1"/>
    <n v="5"/>
    <n v="0"/>
    <n v="5"/>
    <n v="0"/>
    <n v="0"/>
    <n v="0"/>
    <n v="5"/>
    <n v="0"/>
    <n v="0"/>
    <n v="0"/>
    <n v="0"/>
    <n v="0"/>
    <n v="0"/>
    <n v="0"/>
    <n v="0"/>
    <n v="0"/>
    <n v="0"/>
    <n v="0"/>
    <n v="0"/>
    <n v="0"/>
    <n v="0"/>
    <n v="0"/>
    <n v="0"/>
    <n v="0"/>
  </r>
  <r>
    <n v="1298"/>
    <d v="2025-01-16T14:07:30"/>
    <d v="2025-01-16T14:18:29"/>
    <s v="jmakoza@lighthouse.org.mw"/>
    <s v="Jonathan Makoza"/>
    <x v="7"/>
    <s v="Prototype"/>
    <x v="1"/>
    <s v="COP_23"/>
    <x v="2"/>
    <x v="0"/>
    <s v="Quarter1"/>
    <x v="0"/>
    <x v="11"/>
    <d v="2024-12-01T00:00:00"/>
    <d v="2024-12-31T00:00:00"/>
    <x v="5"/>
    <n v="0"/>
    <n v="0"/>
    <n v="0"/>
    <n v="0"/>
    <n v="0"/>
    <n v="0"/>
    <n v="0"/>
    <n v="0"/>
    <n v="0"/>
    <n v="0"/>
    <n v="0"/>
    <n v="0"/>
    <n v="0"/>
    <n v="0"/>
    <n v="0"/>
    <n v="0"/>
    <n v="0"/>
    <n v="0"/>
    <n v="0"/>
    <n v="0"/>
    <n v="0"/>
    <n v="0"/>
    <n v="0"/>
    <n v="0"/>
  </r>
  <r>
    <n v="1299"/>
    <d v="2025-01-16T14:23:05"/>
    <d v="2025-01-16T14:24:34"/>
    <s v="jmakoza@lighthouse.org.mw"/>
    <s v="Jonathan Makoza"/>
    <x v="7"/>
    <s v="Prototype"/>
    <x v="1"/>
    <s v="COP_23"/>
    <x v="2"/>
    <x v="0"/>
    <s v="Quarter1"/>
    <x v="0"/>
    <x v="1"/>
    <d v="2024-11-01T00:00:00"/>
    <d v="2024-11-30T00:00:00"/>
    <x v="5"/>
    <n v="1"/>
    <n v="0"/>
    <n v="0"/>
    <n v="0"/>
    <n v="0"/>
    <n v="0"/>
    <n v="0"/>
    <n v="0"/>
    <n v="0"/>
    <n v="0"/>
    <n v="0"/>
    <n v="0"/>
    <n v="0"/>
    <n v="0"/>
    <n v="0"/>
    <n v="0"/>
    <n v="0"/>
    <n v="0"/>
    <n v="0"/>
    <n v="0"/>
    <n v="0"/>
    <n v="0"/>
    <n v="0"/>
    <n v="0"/>
  </r>
  <r>
    <n v="1457"/>
    <d v="2025-03-19T09:58:47"/>
    <d v="2025-03-19T10:03:00"/>
    <s v="jmakoza@lighthouse.org.mw"/>
    <s v="Jonathan Makoza"/>
    <x v="7"/>
    <s v="Prototype"/>
    <x v="2"/>
    <s v="COP_23"/>
    <x v="2"/>
    <x v="2"/>
    <s v="Quarter2"/>
    <x v="2"/>
    <x v="5"/>
    <d v="2025-02-01T00:00:00"/>
    <d v="2025-02-28T00:00:00"/>
    <x v="0"/>
    <n v="10"/>
    <n v="0"/>
    <n v="10"/>
    <n v="0"/>
    <n v="0"/>
    <n v="0"/>
    <n v="10"/>
    <n v="0"/>
    <n v="0"/>
    <n v="0"/>
    <n v="0"/>
    <n v="0"/>
    <n v="0"/>
    <n v="0"/>
    <n v="0"/>
    <n v="0"/>
    <n v="0"/>
    <n v="0"/>
    <n v="0"/>
    <n v="0"/>
    <n v="0"/>
    <n v="0"/>
    <n v="0"/>
    <n v="0"/>
  </r>
  <r>
    <n v="1458"/>
    <d v="2025-03-19T10:03:05"/>
    <d v="2025-03-19T10:06:48"/>
    <s v="jmakoza@lighthouse.org.mw"/>
    <s v="Jonathan Makoza"/>
    <x v="7"/>
    <s v="Prototype"/>
    <x v="2"/>
    <s v="COP_23"/>
    <x v="2"/>
    <x v="2"/>
    <s v="Quarter2"/>
    <x v="2"/>
    <x v="5"/>
    <d v="2025-02-01T00:00:00"/>
    <d v="2025-02-28T00:00:00"/>
    <x v="1"/>
    <n v="10"/>
    <n v="0"/>
    <n v="10"/>
    <n v="0"/>
    <n v="0"/>
    <n v="0"/>
    <n v="10"/>
    <n v="0"/>
    <n v="0"/>
    <n v="0"/>
    <n v="0"/>
    <n v="0"/>
    <n v="0"/>
    <n v="0"/>
    <n v="0"/>
    <n v="0"/>
    <n v="0"/>
    <n v="0"/>
    <n v="0"/>
    <n v="0"/>
    <n v="0"/>
    <n v="0"/>
    <n v="0"/>
    <n v="0"/>
  </r>
  <r>
    <n v="1459"/>
    <d v="2025-03-19T10:07:22"/>
    <d v="2025-03-19T10:09:59"/>
    <s v="jmakoza@lighthouse.org.mw"/>
    <s v="Jonathan Makoza"/>
    <x v="7"/>
    <s v="Prototype"/>
    <x v="2"/>
    <s v="COP_23"/>
    <x v="2"/>
    <x v="2"/>
    <s v="Quarter2"/>
    <x v="2"/>
    <x v="5"/>
    <d v="2025-02-01T00:00:00"/>
    <d v="2025-02-28T00:00:00"/>
    <x v="5"/>
    <n v="0"/>
    <n v="0"/>
    <n v="0"/>
    <n v="0"/>
    <n v="0"/>
    <n v="0"/>
    <n v="0"/>
    <n v="0"/>
    <n v="0"/>
    <n v="0"/>
    <n v="0"/>
    <n v="0"/>
    <n v="0"/>
    <n v="0"/>
    <n v="0"/>
    <n v="0"/>
    <n v="0"/>
    <n v="0"/>
    <n v="0"/>
    <n v="0"/>
    <n v="0"/>
    <n v="0"/>
    <n v="0"/>
    <n v="0"/>
  </r>
  <r>
    <n v="1460"/>
    <d v="2025-03-19T10:10:19"/>
    <d v="2025-03-19T10:13:41"/>
    <s v="jmakoza@lighthouse.org.mw"/>
    <s v="Jonathan Makoza"/>
    <x v="7"/>
    <s v="Prototype"/>
    <x v="2"/>
    <s v="COP_23"/>
    <x v="2"/>
    <x v="2"/>
    <s v="Quarter2"/>
    <x v="2"/>
    <x v="4"/>
    <d v="2025-01-01T00:00:00"/>
    <d v="2025-01-31T00:00:00"/>
    <x v="1"/>
    <n v="2"/>
    <n v="0"/>
    <n v="2"/>
    <n v="0"/>
    <n v="0"/>
    <n v="0"/>
    <n v="2"/>
    <n v="0"/>
    <n v="0"/>
    <n v="0"/>
    <n v="0"/>
    <n v="0"/>
    <n v="0"/>
    <n v="0"/>
    <n v="0"/>
    <n v="0"/>
    <n v="0"/>
    <n v="0"/>
    <n v="0"/>
    <n v="0"/>
    <n v="0"/>
    <n v="0"/>
    <n v="0"/>
    <n v="0"/>
  </r>
  <r>
    <n v="1461"/>
    <d v="2025-03-19T10:14:25"/>
    <d v="2025-03-19T10:16:50"/>
    <s v="jmakoza@lighthouse.org.mw"/>
    <s v="Jonathan Makoza"/>
    <x v="7"/>
    <s v="Prototype"/>
    <x v="2"/>
    <s v="COP_23"/>
    <x v="2"/>
    <x v="2"/>
    <s v="Quarter2"/>
    <x v="2"/>
    <x v="4"/>
    <d v="2025-01-01T00:00:00"/>
    <d v="2025-01-31T00:00:00"/>
    <x v="0"/>
    <n v="2"/>
    <n v="0"/>
    <n v="2"/>
    <n v="0"/>
    <n v="0"/>
    <n v="0"/>
    <n v="2"/>
    <n v="0"/>
    <n v="0"/>
    <n v="0"/>
    <n v="0"/>
    <n v="0"/>
    <n v="0"/>
    <n v="0"/>
    <n v="0"/>
    <n v="0"/>
    <n v="0"/>
    <n v="0"/>
    <n v="0"/>
    <n v="0"/>
    <n v="0"/>
    <n v="0"/>
    <n v="0"/>
    <n v="0"/>
  </r>
  <r>
    <n v="1462"/>
    <d v="2025-03-19T10:17:05"/>
    <d v="2025-03-19T10:22:29"/>
    <s v="jmakoza@lighthouse.org.mw"/>
    <s v="Jonathan Makoza"/>
    <x v="7"/>
    <s v="Prototype"/>
    <x v="2"/>
    <s v="COP_23"/>
    <x v="2"/>
    <x v="2"/>
    <s v="Quarter2"/>
    <x v="2"/>
    <x v="4"/>
    <d v="2025-01-01T00:00:00"/>
    <d v="2025-01-31T00:00:00"/>
    <x v="5"/>
    <n v="0"/>
    <n v="0"/>
    <n v="0"/>
    <n v="0"/>
    <n v="0"/>
    <n v="0"/>
    <n v="0"/>
    <n v="0"/>
    <n v="0"/>
    <n v="0"/>
    <n v="0"/>
    <n v="0"/>
    <n v="0"/>
    <n v="0"/>
    <n v="0"/>
    <n v="0"/>
    <n v="0"/>
    <n v="0"/>
    <n v="0"/>
    <n v="0"/>
    <n v="0"/>
    <n v="0"/>
    <n v="0"/>
    <n v="0"/>
  </r>
  <r>
    <n v="1517"/>
    <d v="2025-04-10T08:52:33"/>
    <d v="2025-04-10T09:20:42"/>
    <s v="jmakoza@lighthouse.org.mw"/>
    <s v="Jonathan Makoza"/>
    <x v="7"/>
    <s v="Prototype"/>
    <x v="2"/>
    <s v="COP_23"/>
    <x v="2"/>
    <x v="2"/>
    <s v="Quarter2"/>
    <x v="2"/>
    <x v="3"/>
    <d v="2025-03-01T00:00:00"/>
    <d v="2025-03-31T00:00:00"/>
    <x v="1"/>
    <n v="16"/>
    <n v="0"/>
    <n v="16"/>
    <n v="0"/>
    <n v="0"/>
    <n v="0"/>
    <n v="16"/>
    <n v="0"/>
    <n v="0"/>
    <n v="0"/>
    <n v="0"/>
    <n v="0"/>
    <n v="0"/>
    <n v="0"/>
    <n v="0"/>
    <n v="0"/>
    <n v="0"/>
    <n v="0"/>
    <n v="0"/>
    <n v="0"/>
    <n v="0"/>
    <n v="0"/>
    <n v="0"/>
    <n v="0"/>
  </r>
  <r>
    <n v="1518"/>
    <d v="2025-04-10T09:21:03"/>
    <d v="2025-04-10T09:23:32"/>
    <s v="jmakoza@lighthouse.org.mw"/>
    <s v="Jonathan Makoza"/>
    <x v="7"/>
    <s v="Prototype"/>
    <x v="2"/>
    <s v="COP_23"/>
    <x v="2"/>
    <x v="2"/>
    <s v="Quarter2"/>
    <x v="2"/>
    <x v="3"/>
    <d v="2025-03-01T00:00:00"/>
    <d v="2025-03-31T00:00:00"/>
    <x v="0"/>
    <n v="16"/>
    <n v="0"/>
    <n v="16"/>
    <n v="0"/>
    <n v="0"/>
    <n v="0"/>
    <n v="0"/>
    <n v="0"/>
    <n v="0"/>
    <n v="0"/>
    <n v="0"/>
    <n v="0"/>
    <n v="0"/>
    <n v="0"/>
    <n v="0"/>
    <n v="0"/>
    <n v="0"/>
    <n v="0"/>
    <n v="0"/>
    <n v="0"/>
    <n v="0"/>
    <n v="0"/>
    <n v="0"/>
    <n v="0"/>
  </r>
  <r>
    <n v="1519"/>
    <d v="2025-04-10T09:23:52"/>
    <d v="2025-04-10T09:26:44"/>
    <s v="jmakoza@lighthouse.org.mw"/>
    <s v="Jonathan Makoza"/>
    <x v="7"/>
    <s v="Prototype"/>
    <x v="2"/>
    <s v="COP_23"/>
    <x v="2"/>
    <x v="2"/>
    <s v="Quarter2"/>
    <x v="2"/>
    <x v="3"/>
    <d v="2025-03-01T00:00:00"/>
    <d v="2025-03-31T00:00:00"/>
    <x v="5"/>
    <n v="0"/>
    <n v="0"/>
    <n v="0"/>
    <n v="0"/>
    <n v="0"/>
    <n v="0"/>
    <n v="0"/>
    <n v="0"/>
    <n v="0"/>
    <n v="0"/>
    <n v="0"/>
    <n v="0"/>
    <n v="0"/>
    <n v="0"/>
    <n v="0"/>
    <n v="0"/>
    <n v="0"/>
    <n v="0"/>
    <n v="0"/>
    <n v="0"/>
    <n v="0"/>
    <n v="0"/>
    <n v="0"/>
    <n v="0"/>
  </r>
  <r>
    <n v="1686"/>
    <d v="2025-06-23T14:21:39"/>
    <d v="2025-06-23T14:39:17"/>
    <s v="tsatumba@lighthouse.org.mw"/>
    <s v="Thomas Satumba"/>
    <x v="7"/>
    <s v="Prototype"/>
    <x v="2"/>
    <s v="COP_23"/>
    <x v="3"/>
    <x v="1"/>
    <s v="Quarter3"/>
    <x v="4"/>
    <x v="7"/>
    <d v="2025-04-01T00:00:00"/>
    <d v="2025-04-30T00:00:00"/>
    <x v="1"/>
    <n v="9"/>
    <n v="0"/>
    <n v="9"/>
    <n v="0"/>
    <n v="0"/>
    <n v="0"/>
    <n v="9"/>
    <n v="0"/>
    <n v="0"/>
    <n v="0"/>
    <n v="0"/>
    <n v="0"/>
    <n v="0"/>
    <n v="0"/>
    <n v="0"/>
    <n v="0"/>
    <n v="0"/>
    <n v="0"/>
    <n v="0"/>
    <n v="0"/>
    <n v="0"/>
    <n v="0"/>
    <n v="0"/>
    <n v="0"/>
  </r>
  <r>
    <n v="1687"/>
    <d v="2025-06-23T14:39:22"/>
    <d v="2025-06-23T14:43:34"/>
    <s v="tsatumba@lighthouse.org.mw"/>
    <s v="Thomas Satumba"/>
    <x v="7"/>
    <s v="Prototype"/>
    <x v="2"/>
    <s v="COP_23"/>
    <x v="3"/>
    <x v="1"/>
    <s v="Quarter3"/>
    <x v="4"/>
    <x v="7"/>
    <d v="2025-04-01T00:00:00"/>
    <d v="2025-04-30T00:00:00"/>
    <x v="0"/>
    <n v="9"/>
    <n v="0"/>
    <n v="9"/>
    <n v="0"/>
    <n v="0"/>
    <n v="0"/>
    <n v="0"/>
    <n v="0"/>
    <n v="0"/>
    <n v="0"/>
    <n v="0"/>
    <n v="0"/>
    <n v="0"/>
    <n v="0"/>
    <n v="0"/>
    <n v="0"/>
    <n v="0"/>
    <n v="0"/>
    <n v="0"/>
    <n v="0"/>
    <n v="0"/>
    <n v="0"/>
    <n v="0"/>
    <n v="0"/>
  </r>
  <r>
    <n v="1688"/>
    <d v="2025-06-23T14:43:40"/>
    <d v="2025-06-23T14:45:57"/>
    <s v="tsatumba@lighthouse.org.mw"/>
    <s v="Thomas Satumba"/>
    <x v="7"/>
    <s v="Prototype"/>
    <x v="2"/>
    <s v="COP_23"/>
    <x v="3"/>
    <x v="1"/>
    <s v="Quarter3"/>
    <x v="4"/>
    <x v="7"/>
    <d v="2025-04-01T00:00:00"/>
    <d v="2025-04-30T00:00:00"/>
    <x v="5"/>
    <n v="0"/>
    <n v="0"/>
    <n v="0"/>
    <n v="0"/>
    <n v="0"/>
    <n v="0"/>
    <n v="0"/>
    <n v="0"/>
    <n v="0"/>
    <n v="0"/>
    <n v="0"/>
    <n v="0"/>
    <n v="0"/>
    <n v="0"/>
    <n v="0"/>
    <n v="0"/>
    <n v="0"/>
    <n v="0"/>
    <n v="0"/>
    <n v="0"/>
    <n v="0"/>
    <n v="0"/>
    <n v="0"/>
    <n v="0"/>
  </r>
  <r>
    <n v="1689"/>
    <d v="2025-06-23T14:46:05"/>
    <d v="2025-06-23T14:48:21"/>
    <s v="tsatumba@lighthouse.org.mw"/>
    <s v="Thomas Satumba"/>
    <x v="7"/>
    <s v="Prototype"/>
    <x v="2"/>
    <s v="COP_23"/>
    <x v="3"/>
    <x v="1"/>
    <s v="Quarter3"/>
    <x v="4"/>
    <x v="6"/>
    <d v="2025-05-01T00:00:00"/>
    <d v="2025-05-31T00:00:00"/>
    <x v="1"/>
    <n v="4"/>
    <n v="0"/>
    <n v="4"/>
    <n v="0"/>
    <n v="0"/>
    <n v="0"/>
    <n v="0"/>
    <n v="0"/>
    <n v="0"/>
    <n v="0"/>
    <n v="0"/>
    <n v="0"/>
    <n v="0"/>
    <n v="0"/>
    <n v="0"/>
    <n v="0"/>
    <n v="0"/>
    <n v="0"/>
    <n v="0"/>
    <n v="0"/>
    <n v="0"/>
    <n v="0"/>
    <n v="0"/>
    <n v="0"/>
  </r>
  <r>
    <n v="1690"/>
    <d v="2025-06-23T14:49:47"/>
    <d v="2025-06-23T14:52:23"/>
    <s v="tsatumba@lighthouse.org.mw"/>
    <s v="Thomas Satumba"/>
    <x v="7"/>
    <s v="Prototype"/>
    <x v="2"/>
    <s v="COP_23"/>
    <x v="3"/>
    <x v="1"/>
    <s v="Quarter3"/>
    <x v="4"/>
    <x v="6"/>
    <d v="2025-05-01T00:00:00"/>
    <d v="2025-05-31T00:00:00"/>
    <x v="0"/>
    <n v="4"/>
    <n v="0"/>
    <n v="4"/>
    <n v="0"/>
    <n v="0"/>
    <n v="0"/>
    <n v="0"/>
    <n v="0"/>
    <n v="0"/>
    <n v="0"/>
    <n v="0"/>
    <n v="0"/>
    <n v="0"/>
    <n v="0"/>
    <n v="0"/>
    <n v="0"/>
    <n v="0"/>
    <n v="0"/>
    <n v="0"/>
    <n v="0"/>
    <n v="0"/>
    <n v="0"/>
    <n v="0"/>
    <n v="0"/>
  </r>
  <r>
    <n v="1691"/>
    <d v="2025-06-23T14:52:30"/>
    <d v="2025-06-23T14:54:52"/>
    <s v="tsatumba@lighthouse.org.mw"/>
    <s v="Thomas Satumba"/>
    <x v="7"/>
    <s v="Prototype"/>
    <x v="2"/>
    <s v="COP_23"/>
    <x v="3"/>
    <x v="1"/>
    <s v="Quarter3"/>
    <x v="4"/>
    <x v="6"/>
    <d v="2025-05-01T00:00:00"/>
    <d v="2025-05-31T00:00:00"/>
    <x v="5"/>
    <n v="0"/>
    <n v="0"/>
    <n v="0"/>
    <n v="0"/>
    <n v="0"/>
    <n v="0"/>
    <n v="0"/>
    <n v="0"/>
    <n v="0"/>
    <n v="0"/>
    <n v="0"/>
    <n v="0"/>
    <n v="0"/>
    <n v="0"/>
    <n v="0"/>
    <n v="0"/>
    <n v="0"/>
    <n v="0"/>
    <n v="0"/>
    <n v="0"/>
    <n v="0"/>
    <n v="0"/>
    <n v="0"/>
    <n v="0"/>
  </r>
  <r>
    <n v="1786"/>
    <d v="2025-07-10T13:14:45"/>
    <d v="2025-07-10T13:17:19"/>
    <s v="jmakoza@lighthouse.org.mw"/>
    <s v="Jonathan Makoza"/>
    <x v="7"/>
    <s v="Prototype"/>
    <x v="2"/>
    <s v="COP_23"/>
    <x v="3"/>
    <x v="3"/>
    <s v="Quarter3"/>
    <x v="4"/>
    <x v="8"/>
    <d v="2025-06-01T00:00:00"/>
    <d v="2025-06-30T00:00:00"/>
    <x v="0"/>
    <n v="5"/>
    <n v="0"/>
    <n v="5"/>
    <n v="0"/>
    <n v="0"/>
    <n v="0"/>
    <n v="5"/>
    <n v="0"/>
    <n v="0"/>
    <n v="0"/>
    <n v="0"/>
    <n v="0"/>
    <n v="0"/>
    <n v="0"/>
    <n v="0"/>
    <n v="0"/>
    <n v="0"/>
    <n v="0"/>
    <n v="0"/>
    <n v="0"/>
    <n v="0"/>
    <n v="0"/>
    <n v="0"/>
    <n v="0"/>
  </r>
  <r>
    <n v="1787"/>
    <d v="2025-07-10T13:17:22"/>
    <d v="2025-07-10T13:19:08"/>
    <s v="jmakoza@lighthouse.org.mw"/>
    <s v="Jonathan Makoza"/>
    <x v="7"/>
    <s v="Prototype"/>
    <x v="2"/>
    <s v="COP_23"/>
    <x v="3"/>
    <x v="3"/>
    <s v="Quarter3"/>
    <x v="4"/>
    <x v="8"/>
    <d v="2025-06-01T00:00:00"/>
    <d v="2025-06-30T00:00:00"/>
    <x v="1"/>
    <n v="5"/>
    <n v="0"/>
    <n v="5"/>
    <n v="0"/>
    <n v="0"/>
    <n v="0"/>
    <n v="0"/>
    <n v="0"/>
    <n v="0"/>
    <n v="0"/>
    <n v="0"/>
    <n v="0"/>
    <n v="0"/>
    <n v="0"/>
    <n v="0"/>
    <n v="0"/>
    <n v="0"/>
    <n v="0"/>
    <n v="0"/>
    <n v="0"/>
    <n v="0"/>
    <n v="0"/>
    <n v="0"/>
    <n v="0"/>
  </r>
  <r>
    <n v="1788"/>
    <d v="2025-07-10T13:19:16"/>
    <d v="2025-07-10T13:26:09"/>
    <s v="jmakoza@lighthouse.org.mw"/>
    <s v="Jonathan Makoza"/>
    <x v="7"/>
    <s v="Prototype"/>
    <x v="2"/>
    <s v="COP_23"/>
    <x v="3"/>
    <x v="3"/>
    <s v="Quarter3"/>
    <x v="4"/>
    <x v="8"/>
    <d v="2025-06-01T00:00:00"/>
    <d v="2025-06-30T00:00:00"/>
    <x v="5"/>
    <n v="0"/>
    <n v="0"/>
    <n v="0"/>
    <n v="0"/>
    <n v="0"/>
    <n v="0"/>
    <n v="0"/>
    <n v="0"/>
    <n v="0"/>
    <n v="0"/>
    <n v="0"/>
    <n v="0"/>
    <n v="0"/>
    <n v="0"/>
    <n v="0"/>
    <n v="0"/>
    <n v="0"/>
    <n v="0"/>
    <n v="0"/>
    <n v="0"/>
    <n v="0"/>
    <n v="0"/>
    <n v="0"/>
    <n v="0"/>
  </r>
  <r>
    <n v="46"/>
    <d v="2023-12-20T11:29:19"/>
    <d v="2023-12-20T11:47:10"/>
    <s v="mchirwa@lighthouse.org.mw"/>
    <s v="Margaret Chirwa"/>
    <x v="8"/>
    <s v="Prototype"/>
    <x v="0"/>
    <s v="COP_23"/>
    <x v="1"/>
    <x v="1"/>
    <s v="Quarter4"/>
    <x v="1"/>
    <x v="2"/>
    <d v="2023-09-01T00:00:00"/>
    <d v="2023-09-30T00:00:00"/>
    <x v="0"/>
    <n v="27"/>
    <n v="3"/>
    <n v="20"/>
    <n v="2"/>
    <n v="3"/>
    <n v="3"/>
    <n v="27"/>
    <n v="6"/>
    <n v="6"/>
    <n v="0"/>
    <n v="2"/>
    <n v="0"/>
    <n v="7"/>
    <n v="0"/>
    <n v="2"/>
    <n v="0"/>
    <n v="1"/>
    <n v="1"/>
    <n v="1"/>
    <n v="0"/>
    <n v="0"/>
    <n v="0"/>
    <n v="0"/>
    <n v="2"/>
  </r>
  <r>
    <n v="47"/>
    <d v="2023-12-20T11:47:48"/>
    <d v="2023-12-20T11:52:51"/>
    <s v="mchirwa@lighthouse.org.mw"/>
    <s v="Margaret Chirwa"/>
    <x v="8"/>
    <s v="Prototype"/>
    <x v="0"/>
    <s v="COP_23"/>
    <x v="0"/>
    <x v="0"/>
    <s v="Quarter1"/>
    <x v="0"/>
    <x v="0"/>
    <d v="2023-10-01T00:00:00"/>
    <d v="2023-10-31T00:00:00"/>
    <x v="0"/>
    <n v="25"/>
    <n v="2"/>
    <n v="19"/>
    <n v="2"/>
    <n v="2"/>
    <n v="2"/>
    <n v="22"/>
    <n v="5"/>
    <n v="5"/>
    <n v="0"/>
    <n v="0"/>
    <n v="0"/>
    <n v="2"/>
    <n v="1"/>
    <n v="1"/>
    <n v="1"/>
    <n v="1"/>
    <n v="1"/>
    <n v="1"/>
    <n v="1"/>
    <n v="3"/>
    <n v="0"/>
    <n v="0"/>
    <n v="0"/>
  </r>
  <r>
    <n v="50"/>
    <d v="2023-12-20T11:52:58"/>
    <d v="2023-12-20T11:58:07"/>
    <s v="mchirwa@lighthouse.org.mw"/>
    <s v="Margaret Chirwa"/>
    <x v="8"/>
    <s v="Prototype"/>
    <x v="0"/>
    <s v="COP_23"/>
    <x v="0"/>
    <x v="0"/>
    <s v="Quarter1"/>
    <x v="0"/>
    <x v="1"/>
    <d v="2023-11-01T00:00:00"/>
    <d v="2023-11-30T00:00:00"/>
    <x v="0"/>
    <n v="26"/>
    <n v="3"/>
    <n v="19"/>
    <n v="2"/>
    <n v="3"/>
    <n v="1"/>
    <n v="23"/>
    <n v="2"/>
    <n v="3"/>
    <n v="0"/>
    <n v="0"/>
    <n v="0"/>
    <n v="1"/>
    <n v="0"/>
    <n v="0"/>
    <n v="0"/>
    <n v="0"/>
    <n v="0"/>
    <n v="4"/>
    <n v="0"/>
    <n v="0"/>
    <n v="0"/>
    <n v="0"/>
    <n v="0"/>
  </r>
  <r>
    <n v="108"/>
    <d v="2024-01-19T15:42:26"/>
    <d v="2024-01-19T15:46:15"/>
    <s v="mmsiska@lighthouse.org.mw"/>
    <s v="Michael Msiska"/>
    <x v="8"/>
    <s v="Prototype"/>
    <x v="0"/>
    <s v="COP_23"/>
    <x v="0"/>
    <x v="0"/>
    <s v="Quarter1"/>
    <x v="0"/>
    <x v="11"/>
    <d v="2023-12-01T00:00:00"/>
    <d v="2023-12-31T00:00:00"/>
    <x v="0"/>
    <n v="19"/>
    <n v="4"/>
    <n v="9"/>
    <n v="6"/>
    <n v="4"/>
    <n v="0"/>
    <n v="19"/>
    <n v="5"/>
    <n v="5"/>
    <n v="0"/>
    <n v="0"/>
    <n v="0"/>
    <n v="1"/>
    <n v="0"/>
    <n v="0"/>
    <n v="0"/>
    <n v="3"/>
    <n v="2"/>
    <n v="2"/>
    <n v="0"/>
    <n v="2"/>
    <n v="0"/>
    <n v="0"/>
    <n v="0"/>
  </r>
  <r>
    <n v="317"/>
    <d v="2024-04-29T12:19:58"/>
    <d v="2024-04-29T12:40:47"/>
    <s v="dchirwa@lighthouse.org.mw"/>
    <s v="davis chirwa"/>
    <x v="8"/>
    <s v="Prototype"/>
    <x v="1"/>
    <s v="COP_23"/>
    <x v="0"/>
    <x v="2"/>
    <s v="Quarter2"/>
    <x v="2"/>
    <x v="5"/>
    <d v="2024-02-01T00:00:00"/>
    <d v="2024-02-29T00:00:00"/>
    <x v="0"/>
    <n v="46"/>
    <n v="3"/>
    <n v="29"/>
    <n v="8"/>
    <n v="8"/>
    <n v="1"/>
    <n v="45"/>
    <n v="8"/>
    <n v="8"/>
    <n v="0"/>
    <n v="0"/>
    <n v="0"/>
    <n v="0"/>
    <n v="0"/>
    <n v="0"/>
    <n v="0"/>
    <n v="1"/>
    <n v="1"/>
    <n v="4"/>
    <n v="0"/>
    <n v="1"/>
    <n v="0"/>
    <n v="0"/>
    <n v="0"/>
  </r>
  <r>
    <n v="318"/>
    <d v="2024-04-29T12:41:00"/>
    <d v="2024-04-29T12:49:52"/>
    <s v="dchirwa@lighthouse.org.mw"/>
    <s v="davis chirwa"/>
    <x v="8"/>
    <s v="Prototype"/>
    <x v="1"/>
    <s v="COP_23"/>
    <x v="0"/>
    <x v="2"/>
    <s v="Quarter2"/>
    <x v="2"/>
    <x v="3"/>
    <d v="2024-03-01T00:00:00"/>
    <d v="2024-03-31T00:00:00"/>
    <x v="0"/>
    <n v="30"/>
    <n v="30"/>
    <n v="22"/>
    <n v="4"/>
    <n v="4"/>
    <n v="0"/>
    <n v="29"/>
    <n v="10"/>
    <n v="0"/>
    <n v="0"/>
    <n v="0"/>
    <n v="0"/>
    <n v="0"/>
    <n v="0"/>
    <n v="0"/>
    <n v="0"/>
    <n v="2"/>
    <n v="0"/>
    <n v="3"/>
    <n v="1"/>
    <n v="0"/>
    <n v="0"/>
    <n v="0"/>
    <n v="0"/>
  </r>
  <r>
    <n v="472"/>
    <d v="2024-06-04T09:54:37"/>
    <d v="2024-06-04T10:07:32"/>
    <s v="dchirwa@lighthouse.org.mw"/>
    <s v="davis chirwa"/>
    <x v="8"/>
    <s v="Prototype"/>
    <x v="1"/>
    <s v="COP_23"/>
    <x v="0"/>
    <x v="3"/>
    <s v="Quarter3"/>
    <x v="3"/>
    <x v="7"/>
    <d v="2024-04-01T00:00:00"/>
    <d v="2024-04-30T00:00:00"/>
    <x v="0"/>
    <n v="29"/>
    <n v="3"/>
    <n v="16"/>
    <n v="4"/>
    <n v="5"/>
    <n v="4"/>
    <n v="27"/>
    <n v="7"/>
    <n v="6"/>
    <n v="0"/>
    <n v="0"/>
    <n v="0"/>
    <n v="0"/>
    <n v="0"/>
    <n v="0"/>
    <n v="0"/>
    <n v="3"/>
    <n v="0"/>
    <n v="4"/>
    <n v="0"/>
    <n v="0"/>
    <n v="0"/>
    <n v="0"/>
    <n v="2"/>
  </r>
  <r>
    <n v="502"/>
    <d v="2024-06-06T09:33:53"/>
    <d v="2024-06-06T09:36:20"/>
    <s v="dchirwa@lighthouse.org.mw"/>
    <s v="davis chirwa"/>
    <x v="8"/>
    <s v="Prototype"/>
    <x v="1"/>
    <s v="COP_23"/>
    <x v="0"/>
    <x v="2"/>
    <s v="Quarter2"/>
    <x v="2"/>
    <x v="3"/>
    <d v="2024-03-01T00:00:00"/>
    <d v="2024-03-31T00:00:00"/>
    <x v="3"/>
    <n v="0"/>
    <n v="0"/>
    <n v="0"/>
    <n v="0"/>
    <n v="0"/>
    <n v="0"/>
    <n v="0"/>
    <n v="0"/>
    <n v="0"/>
    <n v="0"/>
    <n v="0"/>
    <n v="0"/>
    <n v="0"/>
    <n v="0"/>
    <n v="0"/>
    <n v="0"/>
    <n v="0"/>
    <n v="0"/>
    <n v="0"/>
    <n v="0"/>
    <n v="0"/>
    <n v="0"/>
    <n v="0"/>
    <n v="0"/>
  </r>
  <r>
    <n v="504"/>
    <d v="2024-06-06T09:36:30"/>
    <d v="2024-06-06T09:43:34"/>
    <s v="dchirwa@lighthouse.org.mw"/>
    <s v="davis chirwa"/>
    <x v="8"/>
    <s v="Prototype"/>
    <x v="1"/>
    <s v="COP_23"/>
    <x v="0"/>
    <x v="2"/>
    <s v="Quarter2"/>
    <x v="2"/>
    <x v="3"/>
    <d v="2024-03-01T00:00:00"/>
    <d v="2024-03-31T00:00:00"/>
    <x v="4"/>
    <n v="1"/>
    <n v="1"/>
    <n v="0"/>
    <n v="1"/>
    <n v="0"/>
    <n v="0"/>
    <n v="1"/>
    <n v="0"/>
    <n v="0"/>
    <n v="0"/>
    <n v="0"/>
    <n v="0"/>
    <n v="0"/>
    <n v="0"/>
    <n v="0"/>
    <n v="0"/>
    <n v="0"/>
    <n v="0"/>
    <n v="0"/>
    <n v="0"/>
    <n v="0"/>
    <n v="0"/>
    <n v="0"/>
    <n v="0"/>
  </r>
  <r>
    <n v="506"/>
    <d v="2024-06-06T10:09:44"/>
    <d v="2024-06-06T10:15:05"/>
    <s v="dchirwa@lighthouse.org.mw"/>
    <s v="davis chirwa"/>
    <x v="8"/>
    <s v="Prototype"/>
    <x v="1"/>
    <s v="COP_23"/>
    <x v="0"/>
    <x v="2"/>
    <s v="Quarter2"/>
    <x v="2"/>
    <x v="3"/>
    <d v="2024-03-01T00:00:00"/>
    <d v="2024-03-31T00:00:00"/>
    <x v="5"/>
    <n v="0"/>
    <n v="0"/>
    <n v="0"/>
    <n v="0"/>
    <n v="0"/>
    <n v="0"/>
    <n v="0"/>
    <n v="0"/>
    <n v="0"/>
    <n v="0"/>
    <n v="0"/>
    <n v="0"/>
    <n v="0"/>
    <n v="0"/>
    <n v="0"/>
    <n v="0"/>
    <n v="0"/>
    <n v="0"/>
    <n v="0"/>
    <n v="0"/>
    <n v="0"/>
    <n v="0"/>
    <n v="0"/>
    <n v="0"/>
  </r>
  <r>
    <n v="508"/>
    <d v="2024-06-06T10:42:28"/>
    <d v="2024-06-06T11:26:58"/>
    <s v="dchirwa@lighthouse.org.mw"/>
    <s v="davis chirwa"/>
    <x v="8"/>
    <s v="Prototype"/>
    <x v="1"/>
    <s v="COP_23"/>
    <x v="0"/>
    <x v="3"/>
    <s v="Quarter3"/>
    <x v="3"/>
    <x v="6"/>
    <d v="2024-05-01T00:00:00"/>
    <d v="2024-05-31T00:00:00"/>
    <x v="0"/>
    <n v="29"/>
    <n v="0"/>
    <n v="22"/>
    <n v="4"/>
    <n v="2"/>
    <n v="1"/>
    <n v="26"/>
    <n v="6"/>
    <n v="7"/>
    <n v="0"/>
    <n v="0"/>
    <n v="0"/>
    <n v="0"/>
    <n v="0"/>
    <n v="0"/>
    <n v="0"/>
    <n v="1"/>
    <n v="0"/>
    <n v="1"/>
    <n v="0"/>
    <n v="0"/>
    <n v="0"/>
    <n v="0"/>
    <n v="0"/>
  </r>
  <r>
    <n v="512"/>
    <d v="2024-06-06T11:44:04"/>
    <d v="2024-06-06T11:44:44"/>
    <s v="dchirwa@lighthouse.org.mw"/>
    <s v="davis chirwa"/>
    <x v="8"/>
    <s v="Prototype"/>
    <x v="1"/>
    <s v="COP_23"/>
    <x v="0"/>
    <x v="3"/>
    <s v="Quarter3"/>
    <x v="3"/>
    <x v="6"/>
    <d v="2024-05-01T00:00:00"/>
    <d v="2024-05-31T00:00:00"/>
    <x v="5"/>
    <n v="4"/>
    <n v="0"/>
    <n v="4"/>
    <n v="0"/>
    <n v="0"/>
    <n v="0"/>
    <n v="3"/>
    <n v="0"/>
    <n v="0"/>
    <n v="0"/>
    <n v="0"/>
    <n v="0"/>
    <n v="0"/>
    <n v="0"/>
    <n v="0"/>
    <n v="0"/>
    <n v="0"/>
    <n v="0"/>
    <n v="0"/>
    <n v="0"/>
    <n v="0"/>
    <n v="0"/>
    <n v="0"/>
    <n v="0"/>
  </r>
  <r>
    <n v="531"/>
    <d v="2024-06-10T10:56:12"/>
    <d v="2024-06-10T10:56:33"/>
    <s v="dchirwa@lighthouse.org.mw"/>
    <s v="davis chirwa"/>
    <x v="8"/>
    <s v="Prototype"/>
    <x v="1"/>
    <s v="COP_23"/>
    <x v="0"/>
    <x v="2"/>
    <s v="Quarter2"/>
    <x v="2"/>
    <x v="5"/>
    <d v="2024-02-01T00:00:00"/>
    <d v="2024-02-29T00:00:00"/>
    <x v="3"/>
    <n v="1"/>
    <n v="0"/>
    <n v="0"/>
    <n v="1"/>
    <n v="0"/>
    <n v="0"/>
    <n v="1"/>
    <n v="0"/>
    <n v="0"/>
    <n v="0"/>
    <n v="0"/>
    <n v="0"/>
    <n v="0"/>
    <n v="0"/>
    <n v="0"/>
    <n v="0"/>
    <n v="0"/>
    <n v="0"/>
    <n v="0"/>
    <n v="0"/>
    <n v="0"/>
    <n v="0"/>
    <n v="0"/>
    <n v="0"/>
  </r>
  <r>
    <n v="532"/>
    <d v="2024-06-10T10:56:39"/>
    <d v="2024-06-10T11:02:30"/>
    <s v="dchirwa@lighthouse.org.mw"/>
    <s v="davis chirwa"/>
    <x v="8"/>
    <s v="Prototype"/>
    <x v="1"/>
    <s v="COP_23"/>
    <x v="0"/>
    <x v="2"/>
    <s v="Quarter2"/>
    <x v="2"/>
    <x v="5"/>
    <d v="2024-02-01T00:00:00"/>
    <d v="2024-02-29T00:00:00"/>
    <x v="4"/>
    <n v="2"/>
    <n v="1"/>
    <n v="0"/>
    <n v="1"/>
    <n v="1"/>
    <n v="0"/>
    <n v="2"/>
    <n v="0"/>
    <n v="0"/>
    <n v="0"/>
    <n v="0"/>
    <n v="0"/>
    <n v="0"/>
    <n v="0"/>
    <n v="0"/>
    <n v="0"/>
    <n v="0"/>
    <n v="0"/>
    <n v="0"/>
    <n v="0"/>
    <n v="0"/>
    <n v="0"/>
    <n v="0"/>
    <n v="0"/>
  </r>
  <r>
    <n v="533"/>
    <d v="2024-06-10T11:02:35"/>
    <d v="2024-06-10T11:13:34"/>
    <s v="dchirwa@lighthouse.org.mw"/>
    <s v="davis chirwa"/>
    <x v="8"/>
    <s v="Prototype"/>
    <x v="1"/>
    <s v="COP_23"/>
    <x v="0"/>
    <x v="2"/>
    <s v="Quarter2"/>
    <x v="2"/>
    <x v="5"/>
    <d v="2024-02-01T00:00:00"/>
    <d v="2024-02-29T00:00:00"/>
    <x v="5"/>
    <n v="1"/>
    <n v="0"/>
    <n v="0"/>
    <n v="1"/>
    <n v="0"/>
    <n v="0"/>
    <n v="1"/>
    <n v="0"/>
    <n v="0"/>
    <n v="0"/>
    <n v="0"/>
    <n v="0"/>
    <n v="0"/>
    <n v="0"/>
    <n v="0"/>
    <n v="0"/>
    <n v="0"/>
    <n v="0"/>
    <n v="0"/>
    <n v="0"/>
    <n v="0"/>
    <n v="0"/>
    <n v="0"/>
    <n v="0"/>
  </r>
  <r>
    <n v="536"/>
    <d v="2024-06-10T14:14:36"/>
    <d v="2024-06-10T14:14:57"/>
    <s v="dchirwa@lighthouse.org.mw"/>
    <s v="davis chirwa"/>
    <x v="8"/>
    <s v="Prototype"/>
    <x v="1"/>
    <s v="COP_23"/>
    <x v="0"/>
    <x v="2"/>
    <s v="Quarter2"/>
    <x v="2"/>
    <x v="4"/>
    <d v="2024-01-01T00:00:00"/>
    <d v="2024-01-31T00:00:00"/>
    <x v="0"/>
    <n v="26"/>
    <n v="3"/>
    <n v="18"/>
    <n v="0"/>
    <n v="7"/>
    <n v="1"/>
    <n v="1"/>
    <n v="0"/>
    <n v="10"/>
    <n v="0"/>
    <n v="0"/>
    <n v="0"/>
    <n v="1"/>
    <n v="0"/>
    <n v="0"/>
    <n v="0"/>
    <n v="4"/>
    <n v="0"/>
    <n v="0"/>
    <n v="0"/>
    <n v="0"/>
    <n v="0"/>
    <n v="0"/>
    <n v="1"/>
  </r>
  <r>
    <n v="538"/>
    <d v="2024-06-10T14:21:55"/>
    <d v="2024-06-10T14:28:30"/>
    <s v="dchirwa@lighthouse.org.mw"/>
    <s v="davis chirwa"/>
    <x v="8"/>
    <s v="Prototype"/>
    <x v="1"/>
    <s v="COP_23"/>
    <x v="0"/>
    <x v="2"/>
    <s v="Quarter2"/>
    <x v="2"/>
    <x v="4"/>
    <d v="2024-01-01T00:00:00"/>
    <d v="2024-01-31T00:00:00"/>
    <x v="3"/>
    <n v="1"/>
    <n v="1"/>
    <n v="0"/>
    <n v="0"/>
    <n v="1"/>
    <n v="0"/>
    <n v="1"/>
    <n v="0"/>
    <n v="0"/>
    <n v="0"/>
    <n v="0"/>
    <n v="0"/>
    <n v="0"/>
    <n v="0"/>
    <n v="0"/>
    <n v="0"/>
    <n v="1"/>
    <n v="0"/>
    <n v="0"/>
    <n v="0"/>
    <n v="0"/>
    <n v="0"/>
    <n v="0"/>
    <n v="0"/>
  </r>
  <r>
    <n v="539"/>
    <d v="2024-06-10T14:28:36"/>
    <d v="2024-06-10T14:36:18"/>
    <s v="dchirwa@lighthouse.org.mw"/>
    <s v="davis chirwa"/>
    <x v="8"/>
    <s v="Prototype"/>
    <x v="1"/>
    <s v="COP_23"/>
    <x v="0"/>
    <x v="2"/>
    <s v="Quarter2"/>
    <x v="2"/>
    <x v="4"/>
    <d v="2024-01-01T00:00:00"/>
    <d v="2024-01-31T00:00:00"/>
    <x v="5"/>
    <n v="1"/>
    <n v="1"/>
    <n v="0"/>
    <n v="0"/>
    <n v="1"/>
    <n v="0"/>
    <n v="1"/>
    <n v="1"/>
    <n v="1"/>
    <n v="0"/>
    <n v="0"/>
    <n v="0"/>
    <n v="0"/>
    <n v="0"/>
    <n v="0"/>
    <n v="0"/>
    <n v="1"/>
    <n v="0"/>
    <n v="0"/>
    <n v="0"/>
    <n v="0"/>
    <n v="0"/>
    <n v="0"/>
    <n v="1"/>
  </r>
  <r>
    <n v="540"/>
    <d v="2024-06-10T14:36:24"/>
    <d v="2024-06-10T14:39:47"/>
    <s v="dchirwa@lighthouse.org.mw"/>
    <s v="davis chirwa"/>
    <x v="8"/>
    <s v="Prototype"/>
    <x v="1"/>
    <s v="COP_23"/>
    <x v="0"/>
    <x v="2"/>
    <s v="Quarter2"/>
    <x v="2"/>
    <x v="4"/>
    <d v="2024-01-01T00:00:00"/>
    <d v="2024-01-31T00:00:00"/>
    <x v="4"/>
    <n v="0"/>
    <n v="0"/>
    <n v="0"/>
    <n v="0"/>
    <n v="0"/>
    <n v="0"/>
    <n v="0"/>
    <n v="0"/>
    <n v="0"/>
    <n v="0"/>
    <n v="0"/>
    <n v="0"/>
    <n v="0"/>
    <n v="0"/>
    <n v="0"/>
    <n v="0"/>
    <n v="0"/>
    <n v="0"/>
    <n v="0"/>
    <n v="0"/>
    <n v="0"/>
    <n v="0"/>
    <n v="0"/>
    <n v="0"/>
  </r>
  <r>
    <n v="501"/>
    <d v="2024-06-06T09:27:04"/>
    <d v="2024-06-06T09:33:48"/>
    <s v="dchirwa@lighthouse.org.mw"/>
    <s v="davis chirwa"/>
    <x v="8"/>
    <s v="Prototype"/>
    <x v="1"/>
    <s v="COP_23"/>
    <x v="0"/>
    <x v="2"/>
    <s v="Quarter2"/>
    <x v="2"/>
    <x v="3"/>
    <d v="2024-03-01T00:00:00"/>
    <d v="2024-03-31T00:00:00"/>
    <x v="1"/>
    <n v="27"/>
    <n v="1"/>
    <n v="22"/>
    <n v="1"/>
    <n v="4"/>
    <n v="0"/>
    <n v="26"/>
    <n v="11"/>
    <n v="9"/>
    <n v="0"/>
    <n v="0"/>
    <n v="0"/>
    <n v="0"/>
    <n v="0"/>
    <n v="0"/>
    <n v="0"/>
    <n v="2"/>
    <n v="0"/>
    <n v="4"/>
    <n v="1"/>
    <n v="0"/>
    <n v="0"/>
    <n v="0"/>
    <n v="0"/>
  </r>
  <r>
    <n v="530"/>
    <d v="2024-06-10T10:17:20"/>
    <d v="2024-06-10T10:23:13"/>
    <s v="dchirwa@lighthouse.org.mw"/>
    <s v="davis chirwa"/>
    <x v="8"/>
    <s v="Prototype"/>
    <x v="1"/>
    <s v="COP_23"/>
    <x v="0"/>
    <x v="2"/>
    <s v="Quarter2"/>
    <x v="2"/>
    <x v="5"/>
    <d v="2024-02-01T00:00:00"/>
    <d v="2024-02-29T00:00:00"/>
    <x v="1"/>
    <n v="39"/>
    <n v="1"/>
    <n v="26"/>
    <n v="5"/>
    <n v="7"/>
    <n v="1"/>
    <n v="39"/>
    <n v="7"/>
    <n v="7"/>
    <n v="0"/>
    <n v="0"/>
    <n v="0"/>
    <n v="0"/>
    <n v="0"/>
    <n v="0"/>
    <n v="0"/>
    <n v="0"/>
    <n v="0"/>
    <n v="3"/>
    <n v="0"/>
    <n v="0"/>
    <n v="0"/>
    <n v="0"/>
    <n v="0"/>
  </r>
  <r>
    <n v="537"/>
    <d v="2024-06-10T14:15:04"/>
    <d v="2024-06-10T14:21:49"/>
    <s v="dchirwa@lighthouse.org.mw"/>
    <s v="davis chirwa"/>
    <x v="8"/>
    <s v="Prototype"/>
    <x v="1"/>
    <s v="COP_23"/>
    <x v="0"/>
    <x v="2"/>
    <s v="Quarter2"/>
    <x v="2"/>
    <x v="4"/>
    <d v="2024-01-01T00:00:00"/>
    <d v="2024-01-31T00:00:00"/>
    <x v="1"/>
    <n v="24"/>
    <n v="2"/>
    <n v="18"/>
    <n v="0"/>
    <n v="5"/>
    <n v="1"/>
    <n v="22"/>
    <n v="8"/>
    <n v="8"/>
    <n v="0"/>
    <n v="0"/>
    <n v="0"/>
    <n v="0"/>
    <n v="0"/>
    <n v="0"/>
    <n v="0"/>
    <n v="0"/>
    <n v="0"/>
    <n v="0"/>
    <n v="0"/>
    <n v="0"/>
    <n v="0"/>
    <n v="0"/>
    <n v="0"/>
  </r>
  <r>
    <n v="662"/>
    <d v="2024-07-29T16:12:30"/>
    <d v="2024-07-29T16:20:50"/>
    <s v="dchirwa@lighthouse.org.mw"/>
    <s v="davis chirwa"/>
    <x v="8"/>
    <s v="Prototype"/>
    <x v="1"/>
    <s v="COP_23"/>
    <x v="0"/>
    <x v="3"/>
    <s v="Quarter3"/>
    <x v="3"/>
    <x v="7"/>
    <d v="2024-04-01T00:00:00"/>
    <d v="2024-04-30T00:00:00"/>
    <x v="1"/>
    <n v="23"/>
    <n v="3"/>
    <n v="12"/>
    <n v="2"/>
    <n v="5"/>
    <n v="4"/>
    <n v="21"/>
    <n v="5"/>
    <n v="4"/>
    <n v="0"/>
    <n v="0"/>
    <n v="0"/>
    <n v="0"/>
    <n v="0"/>
    <n v="0"/>
    <n v="0"/>
    <n v="3"/>
    <n v="0"/>
    <n v="3"/>
    <n v="0"/>
    <n v="0"/>
    <n v="0"/>
    <n v="0"/>
    <n v="2"/>
  </r>
  <r>
    <n v="668"/>
    <d v="2024-07-30T11:43:44"/>
    <d v="2024-07-30T11:44:06"/>
    <s v="dchirwa@lighthouse.org.mw"/>
    <s v="davis chirwa"/>
    <x v="8"/>
    <s v="Prototype"/>
    <x v="1"/>
    <s v="COP_23"/>
    <x v="0"/>
    <x v="3"/>
    <s v="Quarter3"/>
    <x v="3"/>
    <x v="6"/>
    <d v="2024-05-01T00:00:00"/>
    <d v="2024-05-31T00:00:00"/>
    <x v="1"/>
    <n v="23"/>
    <n v="0"/>
    <n v="17"/>
    <n v="3"/>
    <n v="2"/>
    <n v="1"/>
    <n v="21"/>
    <n v="5"/>
    <n v="5"/>
    <n v="0"/>
    <n v="0"/>
    <n v="0"/>
    <n v="0"/>
    <n v="0"/>
    <n v="0"/>
    <n v="0"/>
    <n v="1"/>
    <n v="0"/>
    <n v="0"/>
    <n v="0"/>
    <n v="0"/>
    <n v="0"/>
    <n v="0"/>
    <n v="0"/>
  </r>
  <r>
    <n v="678"/>
    <d v="2024-07-30T15:05:35"/>
    <d v="2024-07-30T15:12:14"/>
    <s v="dchirwa@lighthouse.org.mw"/>
    <s v="davis chirwa"/>
    <x v="8"/>
    <s v="Prototype"/>
    <x v="1"/>
    <s v="COP_23"/>
    <x v="0"/>
    <x v="3"/>
    <s v="Quarter3"/>
    <x v="3"/>
    <x v="8"/>
    <d v="2024-06-01T00:00:00"/>
    <d v="2024-06-30T00:00:00"/>
    <x v="1"/>
    <n v="12"/>
    <n v="1"/>
    <n v="7"/>
    <n v="3"/>
    <n v="1"/>
    <n v="0"/>
    <n v="5"/>
    <n v="1"/>
    <n v="1"/>
    <n v="0"/>
    <n v="0"/>
    <n v="0"/>
    <n v="0"/>
    <n v="0"/>
    <n v="1"/>
    <n v="1"/>
    <n v="1"/>
    <n v="1"/>
    <n v="0"/>
    <n v="0"/>
    <n v="1"/>
    <n v="0"/>
    <n v="0"/>
    <n v="0"/>
  </r>
  <r>
    <n v="505"/>
    <d v="2024-06-06T09:43:41"/>
    <d v="2024-06-06T10:09:33"/>
    <s v="dchirwa@lighthouse.org.mw"/>
    <s v="davis chirwa"/>
    <x v="8"/>
    <s v="Prototype"/>
    <x v="1"/>
    <s v="COP_23"/>
    <x v="0"/>
    <x v="2"/>
    <s v="Quarter2"/>
    <x v="2"/>
    <x v="3"/>
    <d v="2024-03-01T00:00:00"/>
    <d v="2024-03-31T00:00:00"/>
    <x v="2"/>
    <n v="1"/>
    <n v="0"/>
    <n v="0"/>
    <n v="1"/>
    <n v="0"/>
    <n v="0"/>
    <n v="1"/>
    <n v="1"/>
    <n v="0"/>
    <n v="0"/>
    <n v="0"/>
    <n v="0"/>
    <n v="0"/>
    <n v="0"/>
    <n v="0"/>
    <n v="0"/>
    <n v="0"/>
    <n v="0"/>
    <n v="0"/>
    <n v="0"/>
    <n v="0"/>
    <n v="0"/>
    <n v="0"/>
    <n v="0"/>
  </r>
  <r>
    <n v="758"/>
    <d v="2024-08-14T09:40:15"/>
    <d v="2024-08-14T09:52:42"/>
    <s v="dchirwa@lighthouse.org.mw"/>
    <s v="davis chirwa"/>
    <x v="8"/>
    <s v="Prototype"/>
    <x v="1"/>
    <s v="COP_23"/>
    <x v="0"/>
    <x v="1"/>
    <s v="Quarter4"/>
    <x v="1"/>
    <x v="9"/>
    <d v="2024-07-01T00:00:00"/>
    <d v="2024-07-31T00:00:00"/>
    <x v="1"/>
    <n v="19"/>
    <n v="2"/>
    <n v="15"/>
    <n v="2"/>
    <n v="1"/>
    <n v="1"/>
    <n v="0"/>
    <n v="0"/>
    <n v="0"/>
    <n v="0"/>
    <n v="0"/>
    <n v="0"/>
    <n v="0"/>
    <n v="0"/>
    <n v="3"/>
    <n v="0"/>
    <n v="3"/>
    <n v="1"/>
    <n v="1"/>
    <n v="0"/>
    <n v="1"/>
    <n v="0"/>
    <n v="0"/>
    <n v="0"/>
  </r>
  <r>
    <n v="814"/>
    <d v="2024-09-16T13:55:17"/>
    <d v="2024-09-16T14:00:03"/>
    <s v="dchirwa@lighthouse.org.mw"/>
    <s v="davis chirwa"/>
    <x v="8"/>
    <s v="Prototype"/>
    <x v="1"/>
    <s v="COP_23"/>
    <x v="0"/>
    <x v="1"/>
    <s v="Quarter4"/>
    <x v="1"/>
    <x v="10"/>
    <d v="2024-08-01T00:00:00"/>
    <d v="2024-08-31T00:00:00"/>
    <x v="1"/>
    <n v="22"/>
    <n v="4"/>
    <n v="12"/>
    <n v="1"/>
    <n v="5"/>
    <n v="0"/>
    <n v="16"/>
    <n v="5"/>
    <n v="4"/>
    <n v="0"/>
    <n v="0"/>
    <n v="0"/>
    <n v="1"/>
    <n v="0"/>
    <n v="0"/>
    <n v="0"/>
    <n v="1"/>
    <n v="0"/>
    <n v="1"/>
    <n v="0"/>
    <n v="1"/>
    <n v="0"/>
    <n v="0"/>
    <n v="0"/>
  </r>
  <r>
    <n v="663"/>
    <d v="2024-07-29T16:21:45"/>
    <d v="2024-07-29T16:38:31"/>
    <s v="dchirwa@lighthouse.org.mw"/>
    <s v="davis chirwa"/>
    <x v="8"/>
    <s v="Prototype"/>
    <x v="1"/>
    <s v="COP_23"/>
    <x v="0"/>
    <x v="3"/>
    <s v="Quarter3"/>
    <x v="3"/>
    <x v="7"/>
    <d v="2024-04-01T00:00:00"/>
    <d v="2024-04-30T00:00:00"/>
    <x v="3"/>
    <n v="1"/>
    <n v="0"/>
    <n v="1"/>
    <n v="0"/>
    <n v="0"/>
    <n v="0"/>
    <n v="1"/>
    <n v="0"/>
    <n v="0"/>
    <n v="0"/>
    <n v="0"/>
    <n v="0"/>
    <n v="0"/>
    <n v="0"/>
    <n v="0"/>
    <n v="0"/>
    <n v="0"/>
    <n v="0"/>
    <n v="0"/>
    <n v="0"/>
    <n v="0"/>
    <n v="0"/>
    <n v="0"/>
    <n v="0"/>
  </r>
  <r>
    <n v="534"/>
    <d v="2024-06-10T11:13:45"/>
    <d v="2024-06-10T11:19:46"/>
    <s v="dchirwa@lighthouse.org.mw"/>
    <s v="davis chirwa"/>
    <x v="8"/>
    <s v="Prototype"/>
    <x v="1"/>
    <s v="COP_23"/>
    <x v="0"/>
    <x v="2"/>
    <s v="Quarter2"/>
    <x v="2"/>
    <x v="5"/>
    <d v="2024-02-01T00:00:00"/>
    <d v="2024-02-29T00:00:00"/>
    <x v="2"/>
    <n v="4"/>
    <n v="1"/>
    <n v="2"/>
    <n v="1"/>
    <n v="1"/>
    <n v="0"/>
    <n v="4"/>
    <n v="1"/>
    <n v="1"/>
    <n v="0"/>
    <n v="0"/>
    <n v="0"/>
    <n v="0"/>
    <n v="0"/>
    <n v="0"/>
    <n v="0"/>
    <n v="0"/>
    <n v="0"/>
    <n v="1"/>
    <n v="0"/>
    <n v="0"/>
    <n v="0"/>
    <n v="0"/>
    <n v="0"/>
  </r>
  <r>
    <n v="665"/>
    <d v="2024-07-29T16:51:25"/>
    <d v="2024-07-29T16:54:49"/>
    <s v="dchirwa@lighthouse.org.mw"/>
    <s v="davis chirwa"/>
    <x v="8"/>
    <s v="Prototype"/>
    <x v="1"/>
    <s v="COP_23"/>
    <x v="0"/>
    <x v="3"/>
    <s v="Quarter3"/>
    <x v="3"/>
    <x v="7"/>
    <d v="2024-04-01T00:00:00"/>
    <d v="2024-04-30T00:00:00"/>
    <x v="4"/>
    <n v="0"/>
    <n v="0"/>
    <n v="0"/>
    <n v="0"/>
    <n v="0"/>
    <n v="0"/>
    <n v="0"/>
    <n v="0"/>
    <n v="0"/>
    <n v="0"/>
    <n v="0"/>
    <n v="0"/>
    <n v="0"/>
    <n v="0"/>
    <n v="0"/>
    <n v="0"/>
    <n v="0"/>
    <n v="0"/>
    <n v="0"/>
    <n v="0"/>
    <n v="0"/>
    <n v="0"/>
    <n v="0"/>
    <n v="0"/>
  </r>
  <r>
    <n v="666"/>
    <d v="2024-07-29T16:54:58"/>
    <d v="2024-07-29T17:00:20"/>
    <s v="dchirwa@lighthouse.org.mw"/>
    <s v="davis chirwa"/>
    <x v="8"/>
    <s v="Prototype"/>
    <x v="1"/>
    <s v="COP_23"/>
    <x v="0"/>
    <x v="3"/>
    <s v="Quarter3"/>
    <x v="3"/>
    <x v="7"/>
    <d v="2024-04-01T00:00:00"/>
    <d v="2024-04-30T00:00:00"/>
    <x v="5"/>
    <n v="26"/>
    <n v="0"/>
    <n v="0"/>
    <n v="0"/>
    <n v="0"/>
    <n v="0"/>
    <n v="0"/>
    <n v="0"/>
    <n v="0"/>
    <n v="0"/>
    <n v="0"/>
    <n v="0"/>
    <n v="0"/>
    <n v="0"/>
    <n v="0"/>
    <n v="0"/>
    <n v="0"/>
    <n v="0"/>
    <n v="0"/>
    <n v="0"/>
    <n v="0"/>
    <n v="0"/>
    <n v="0"/>
    <n v="0"/>
  </r>
  <r>
    <n v="886"/>
    <d v="2024-10-04T15:29:36"/>
    <d v="2024-10-04T15:37:34"/>
    <s v="dchirwa@lighthouse.org.mw"/>
    <s v="davis chirwa"/>
    <x v="8"/>
    <s v="Prototype"/>
    <x v="1"/>
    <s v="COP_23"/>
    <x v="0"/>
    <x v="1"/>
    <s v="Quarter4"/>
    <x v="1"/>
    <x v="2"/>
    <d v="2024-09-01T00:00:00"/>
    <d v="2024-09-30T00:00:00"/>
    <x v="1"/>
    <n v="29"/>
    <n v="4"/>
    <n v="20"/>
    <n v="4"/>
    <n v="2"/>
    <n v="3"/>
    <n v="28"/>
    <n v="8"/>
    <n v="7"/>
    <n v="1"/>
    <n v="1"/>
    <n v="1"/>
    <n v="6"/>
    <n v="0"/>
    <n v="1"/>
    <n v="0"/>
    <n v="4"/>
    <n v="0"/>
    <n v="1"/>
    <n v="0"/>
    <n v="0"/>
    <n v="1"/>
    <n v="1"/>
    <n v="0"/>
  </r>
  <r>
    <n v="669"/>
    <d v="2024-07-30T11:44:12"/>
    <d v="2024-07-30T11:51:46"/>
    <s v="dchirwa@lighthouse.org.mw"/>
    <s v="davis chirwa"/>
    <x v="8"/>
    <s v="Prototype"/>
    <x v="1"/>
    <s v="COP_23"/>
    <x v="0"/>
    <x v="3"/>
    <s v="Quarter3"/>
    <x v="3"/>
    <x v="6"/>
    <d v="2024-05-01T00:00:00"/>
    <d v="2024-05-31T00:00:00"/>
    <x v="5"/>
    <n v="17"/>
    <n v="0"/>
    <n v="4"/>
    <n v="0"/>
    <n v="0"/>
    <n v="0"/>
    <n v="3"/>
    <n v="0"/>
    <n v="0"/>
    <n v="0"/>
    <n v="0"/>
    <n v="0"/>
    <n v="0"/>
    <n v="0"/>
    <n v="0"/>
    <n v="0"/>
    <n v="0"/>
    <n v="0"/>
    <n v="0"/>
    <n v="0"/>
    <n v="0"/>
    <n v="0"/>
    <n v="0"/>
    <n v="0"/>
  </r>
  <r>
    <n v="670"/>
    <d v="2024-07-30T11:51:54"/>
    <d v="2024-07-30T11:56:43"/>
    <s v="dchirwa@lighthouse.org.mw"/>
    <s v="davis chirwa"/>
    <x v="8"/>
    <s v="Prototype"/>
    <x v="1"/>
    <s v="COP_23"/>
    <x v="0"/>
    <x v="3"/>
    <s v="Quarter3"/>
    <x v="3"/>
    <x v="6"/>
    <d v="2024-05-01T00:00:00"/>
    <d v="2024-05-31T00:00:00"/>
    <x v="3"/>
    <n v="1"/>
    <n v="0"/>
    <n v="1"/>
    <n v="0"/>
    <n v="0"/>
    <n v="0"/>
    <n v="1"/>
    <n v="0"/>
    <n v="0"/>
    <n v="0"/>
    <n v="0"/>
    <n v="0"/>
    <n v="0"/>
    <n v="0"/>
    <n v="0"/>
    <n v="0"/>
    <n v="0"/>
    <n v="0"/>
    <n v="0"/>
    <n v="0"/>
    <n v="0"/>
    <n v="0"/>
    <n v="0"/>
    <n v="0"/>
  </r>
  <r>
    <n v="671"/>
    <d v="2024-07-30T13:11:53"/>
    <d v="2024-07-30T13:12:05"/>
    <s v="dchirwa@lighthouse.org.mw"/>
    <s v="davis chirwa"/>
    <x v="8"/>
    <s v="Prototype"/>
    <x v="1"/>
    <s v="COP_23"/>
    <x v="0"/>
    <x v="3"/>
    <s v="Quarter3"/>
    <x v="3"/>
    <x v="6"/>
    <d v="2024-05-01T00:00:00"/>
    <d v="2024-05-31T00:00:00"/>
    <x v="4"/>
    <n v="1"/>
    <n v="0"/>
    <n v="1"/>
    <n v="0"/>
    <n v="0"/>
    <n v="0"/>
    <n v="1"/>
    <n v="0"/>
    <n v="0"/>
    <n v="0"/>
    <n v="0"/>
    <n v="0"/>
    <n v="0"/>
    <n v="0"/>
    <n v="0"/>
    <n v="0"/>
    <n v="0"/>
    <n v="0"/>
    <n v="0"/>
    <n v="0"/>
    <n v="0"/>
    <n v="0"/>
    <n v="0"/>
    <n v="0"/>
  </r>
  <r>
    <n v="664"/>
    <d v="2024-07-29T16:38:38"/>
    <d v="2024-07-29T16:51:08"/>
    <s v="dchirwa@lighthouse.org.mw"/>
    <s v="davis chirwa"/>
    <x v="8"/>
    <s v="Prototype"/>
    <x v="1"/>
    <s v="COP_23"/>
    <x v="0"/>
    <x v="3"/>
    <s v="Quarter3"/>
    <x v="3"/>
    <x v="7"/>
    <d v="2024-04-01T00:00:00"/>
    <d v="2024-04-30T00:00:00"/>
    <x v="2"/>
    <n v="24"/>
    <n v="0"/>
    <n v="4"/>
    <n v="2"/>
    <n v="0"/>
    <n v="0"/>
    <n v="6"/>
    <n v="2"/>
    <n v="2"/>
    <n v="0"/>
    <n v="0"/>
    <n v="0"/>
    <n v="0"/>
    <n v="0"/>
    <n v="0"/>
    <n v="0"/>
    <n v="0"/>
    <n v="0"/>
    <n v="1"/>
    <n v="0"/>
    <n v="0"/>
    <n v="0"/>
    <n v="0"/>
    <n v="0"/>
  </r>
  <r>
    <n v="674"/>
    <d v="2024-07-30T14:24:28"/>
    <d v="2024-07-30T14:24:50"/>
    <s v="dchirwa@lighthouse.org.mw"/>
    <s v="davis chirwa"/>
    <x v="8"/>
    <s v="Prototype"/>
    <x v="1"/>
    <s v="COP_23"/>
    <x v="0"/>
    <x v="3"/>
    <s v="Quarter3"/>
    <x v="3"/>
    <x v="8"/>
    <d v="2024-06-01T00:00:00"/>
    <d v="2024-06-30T00:00:00"/>
    <x v="0"/>
    <n v="16"/>
    <n v="2"/>
    <n v="10"/>
    <n v="3"/>
    <n v="3"/>
    <n v="0"/>
    <n v="11"/>
    <n v="1"/>
    <n v="1"/>
    <n v="0"/>
    <n v="0"/>
    <n v="0"/>
    <n v="0"/>
    <n v="0"/>
    <n v="2"/>
    <n v="1"/>
    <n v="2"/>
    <n v="0"/>
    <n v="1"/>
    <n v="0"/>
    <n v="2"/>
    <n v="0"/>
    <n v="0"/>
    <n v="1"/>
  </r>
  <r>
    <n v="675"/>
    <d v="2024-07-30T14:24:55"/>
    <d v="2024-07-30T14:38:25"/>
    <s v="dchirwa@lighthouse.org.mw"/>
    <s v="davis chirwa"/>
    <x v="8"/>
    <s v="Prototype"/>
    <x v="1"/>
    <s v="COP_23"/>
    <x v="0"/>
    <x v="3"/>
    <s v="Quarter3"/>
    <x v="3"/>
    <x v="8"/>
    <d v="2024-06-01T00:00:00"/>
    <d v="2024-06-30T00:00:00"/>
    <x v="4"/>
    <n v="1"/>
    <n v="0"/>
    <n v="1"/>
    <n v="0"/>
    <n v="0"/>
    <n v="0"/>
    <n v="1"/>
    <n v="0"/>
    <n v="0"/>
    <n v="0"/>
    <n v="0"/>
    <n v="0"/>
    <n v="0"/>
    <n v="0"/>
    <n v="0"/>
    <n v="0"/>
    <n v="0"/>
    <n v="0"/>
    <n v="0"/>
    <n v="0"/>
    <n v="0"/>
    <n v="0"/>
    <n v="0"/>
    <n v="0"/>
  </r>
  <r>
    <n v="673"/>
    <d v="2024-07-30T13:23:28"/>
    <d v="2024-07-30T13:29:12"/>
    <s v="dchirwa@lighthouse.org.mw"/>
    <s v="davis chirwa"/>
    <x v="8"/>
    <s v="Prototype"/>
    <x v="1"/>
    <s v="COP_23"/>
    <x v="0"/>
    <x v="3"/>
    <s v="Quarter3"/>
    <x v="3"/>
    <x v="6"/>
    <d v="2024-05-01T00:00:00"/>
    <d v="2024-05-31T00:00:00"/>
    <x v="2"/>
    <n v="34"/>
    <n v="0"/>
    <n v="1"/>
    <n v="1"/>
    <n v="0"/>
    <n v="0"/>
    <n v="2"/>
    <n v="1"/>
    <n v="1"/>
    <n v="0"/>
    <n v="0"/>
    <n v="0"/>
    <n v="0"/>
    <n v="0"/>
    <n v="0"/>
    <n v="0"/>
    <n v="0"/>
    <n v="0"/>
    <n v="1"/>
    <n v="0"/>
    <n v="0"/>
    <n v="0"/>
    <n v="0"/>
    <n v="0"/>
  </r>
  <r>
    <n v="677"/>
    <d v="2024-07-30T14:57:22"/>
    <d v="2024-07-30T15:05:22"/>
    <s v="dchirwa@lighthouse.org.mw"/>
    <s v="davis chirwa"/>
    <x v="8"/>
    <s v="Prototype"/>
    <x v="1"/>
    <s v="COP_23"/>
    <x v="0"/>
    <x v="3"/>
    <s v="Quarter3"/>
    <x v="3"/>
    <x v="8"/>
    <d v="2024-06-01T00:00:00"/>
    <d v="2024-06-30T00:00:00"/>
    <x v="5"/>
    <n v="26"/>
    <n v="0"/>
    <n v="3"/>
    <n v="0"/>
    <n v="0"/>
    <n v="0"/>
    <n v="3"/>
    <n v="0"/>
    <n v="0"/>
    <n v="0"/>
    <n v="0"/>
    <n v="0"/>
    <n v="0"/>
    <n v="0"/>
    <n v="0"/>
    <n v="0"/>
    <n v="0"/>
    <n v="0"/>
    <n v="0"/>
    <n v="0"/>
    <n v="0"/>
    <n v="0"/>
    <n v="0"/>
    <n v="0"/>
  </r>
  <r>
    <n v="1062"/>
    <d v="2024-11-13T15:11:56"/>
    <d v="2024-11-13T15:28:27"/>
    <s v="dchirwa@lighthouse.org.mw"/>
    <s v="davis chirwa"/>
    <x v="8"/>
    <s v="Prototype"/>
    <x v="1"/>
    <s v="COP_23"/>
    <x v="2"/>
    <x v="0"/>
    <s v="Quarter1"/>
    <x v="0"/>
    <x v="0"/>
    <d v="2024-10-01T00:00:00"/>
    <d v="2024-10-31T00:00:00"/>
    <x v="1"/>
    <n v="20"/>
    <n v="1"/>
    <n v="15"/>
    <n v="1"/>
    <n v="4"/>
    <n v="0"/>
    <n v="19"/>
    <n v="6"/>
    <n v="8"/>
    <n v="0"/>
    <n v="0"/>
    <n v="0"/>
    <n v="6"/>
    <n v="1"/>
    <n v="1"/>
    <n v="1"/>
    <n v="1"/>
    <n v="0"/>
    <n v="3"/>
    <n v="0"/>
    <n v="1"/>
    <n v="0"/>
    <n v="1"/>
    <n v="0"/>
  </r>
  <r>
    <n v="679"/>
    <d v="2024-07-30T15:12:19"/>
    <d v="2024-07-30T15:16:22"/>
    <s v="dchirwa@lighthouse.org.mw"/>
    <s v="davis chirwa"/>
    <x v="8"/>
    <s v="Prototype"/>
    <x v="1"/>
    <s v="COP_23"/>
    <x v="0"/>
    <x v="3"/>
    <s v="Quarter3"/>
    <x v="3"/>
    <x v="8"/>
    <d v="2024-06-01T00:00:00"/>
    <d v="2024-06-30T00:00:00"/>
    <x v="3"/>
    <n v="0"/>
    <n v="0"/>
    <n v="0"/>
    <n v="0"/>
    <n v="0"/>
    <n v="0"/>
    <n v="0"/>
    <n v="0"/>
    <n v="0"/>
    <n v="0"/>
    <n v="0"/>
    <n v="0"/>
    <n v="0"/>
    <n v="0"/>
    <n v="0"/>
    <n v="0"/>
    <n v="0"/>
    <n v="0"/>
    <n v="0"/>
    <n v="0"/>
    <n v="0"/>
    <n v="0"/>
    <n v="0"/>
    <n v="0"/>
  </r>
  <r>
    <n v="676"/>
    <d v="2024-07-30T14:38:33"/>
    <d v="2024-07-30T14:57:17"/>
    <s v="dchirwa@lighthouse.org.mw"/>
    <s v="davis chirwa"/>
    <x v="8"/>
    <s v="Prototype"/>
    <x v="1"/>
    <s v="COP_23"/>
    <x v="0"/>
    <x v="3"/>
    <s v="Quarter3"/>
    <x v="3"/>
    <x v="8"/>
    <d v="2024-06-01T00:00:00"/>
    <d v="2024-06-30T00:00:00"/>
    <x v="2"/>
    <n v="12"/>
    <n v="1"/>
    <n v="1"/>
    <n v="0"/>
    <n v="1"/>
    <n v="0"/>
    <n v="2"/>
    <n v="0"/>
    <n v="0"/>
    <n v="0"/>
    <n v="0"/>
    <n v="0"/>
    <n v="0"/>
    <n v="0"/>
    <n v="1"/>
    <n v="0"/>
    <n v="1"/>
    <n v="0"/>
    <n v="0"/>
    <n v="0"/>
    <n v="1"/>
    <n v="0"/>
    <n v="0"/>
    <n v="0"/>
  </r>
  <r>
    <n v="754"/>
    <d v="2024-08-14T09:17:27"/>
    <d v="2024-08-14T09:21:27"/>
    <s v="dchirwa@lighthouse.org.mw"/>
    <s v="davis chirwa"/>
    <x v="8"/>
    <s v="Prototype"/>
    <x v="1"/>
    <s v="COP_23"/>
    <x v="0"/>
    <x v="1"/>
    <s v="Quarter4"/>
    <x v="1"/>
    <x v="9"/>
    <d v="2024-07-01T00:00:00"/>
    <d v="2024-07-31T00:00:00"/>
    <x v="2"/>
    <n v="2"/>
    <n v="2"/>
    <n v="0"/>
    <n v="0"/>
    <n v="1"/>
    <n v="1"/>
    <n v="0"/>
    <n v="0"/>
    <n v="1"/>
    <n v="0"/>
    <n v="0"/>
    <n v="0"/>
    <n v="0"/>
    <n v="0"/>
    <n v="0"/>
    <n v="0"/>
    <n v="2"/>
    <n v="1"/>
    <n v="0"/>
    <n v="0"/>
    <n v="1"/>
    <n v="0"/>
    <n v="0"/>
    <n v="0"/>
  </r>
  <r>
    <n v="813"/>
    <d v="2024-09-16T13:45:25"/>
    <d v="2024-09-16T13:55:06"/>
    <s v="dchirwa@lighthouse.org.mw"/>
    <s v="davis chirwa"/>
    <x v="8"/>
    <s v="Prototype"/>
    <x v="1"/>
    <s v="COP_23"/>
    <x v="0"/>
    <x v="1"/>
    <s v="Quarter4"/>
    <x v="1"/>
    <x v="10"/>
    <d v="2024-08-01T00:00:00"/>
    <d v="2024-08-31T00:00:00"/>
    <x v="2"/>
    <n v="73"/>
    <n v="0"/>
    <n v="3"/>
    <n v="0"/>
    <n v="0"/>
    <n v="0"/>
    <n v="3"/>
    <n v="1"/>
    <n v="1"/>
    <n v="0"/>
    <n v="0"/>
    <n v="0"/>
    <n v="0"/>
    <n v="0"/>
    <n v="0"/>
    <n v="0"/>
    <n v="0"/>
    <n v="0"/>
    <n v="0"/>
    <n v="0"/>
    <n v="0"/>
    <n v="0"/>
    <n v="0"/>
    <n v="0"/>
  </r>
  <r>
    <n v="818"/>
    <d v="2024-09-16T14:19:45"/>
    <d v="2024-09-16T14:23:55"/>
    <s v="dchirwa@lighthouse.org.mw"/>
    <s v="davis chirwa"/>
    <x v="8"/>
    <s v="Prototype"/>
    <x v="1"/>
    <s v="COP_23"/>
    <x v="0"/>
    <x v="1"/>
    <s v="Quarter4"/>
    <x v="1"/>
    <x v="9"/>
    <d v="2024-07-01T00:00:00"/>
    <d v="2024-07-31T00:00:00"/>
    <x v="2"/>
    <n v="57"/>
    <n v="2"/>
    <n v="0"/>
    <n v="0"/>
    <n v="1"/>
    <n v="1"/>
    <n v="0"/>
    <n v="0"/>
    <n v="1"/>
    <n v="0"/>
    <n v="0"/>
    <n v="0"/>
    <n v="0"/>
    <n v="0"/>
    <n v="0"/>
    <n v="0"/>
    <n v="2"/>
    <n v="1"/>
    <n v="0"/>
    <n v="0"/>
    <n v="1"/>
    <n v="0"/>
    <n v="0"/>
    <n v="0"/>
  </r>
  <r>
    <n v="885"/>
    <d v="2024-10-04T15:20:33"/>
    <d v="2024-10-04T15:27:29"/>
    <s v="dchirwa@lighthouse.org.mw"/>
    <s v="davis chirwa"/>
    <x v="8"/>
    <s v="Prototype"/>
    <x v="1"/>
    <s v="COP_22"/>
    <x v="0"/>
    <x v="1"/>
    <s v="Quarter4"/>
    <x v="1"/>
    <x v="2"/>
    <d v="2024-09-01T00:00:00"/>
    <d v="2024-09-30T00:00:00"/>
    <x v="2"/>
    <n v="37"/>
    <n v="0"/>
    <n v="3"/>
    <n v="2"/>
    <n v="0"/>
    <n v="0"/>
    <n v="5"/>
    <n v="2"/>
    <n v="2"/>
    <n v="0"/>
    <n v="0"/>
    <n v="0"/>
    <n v="1"/>
    <n v="0"/>
    <n v="0"/>
    <n v="0"/>
    <n v="0"/>
    <n v="0"/>
    <n v="0"/>
    <n v="0"/>
    <n v="0"/>
    <n v="0"/>
    <n v="0"/>
    <n v="0"/>
  </r>
  <r>
    <n v="1060"/>
    <d v="2024-11-13T14:54:11"/>
    <d v="2024-11-13T15:03:51"/>
    <s v="dchirwa@lighthouse.org.mw"/>
    <s v="davis chirwa"/>
    <x v="8"/>
    <s v="Prototype"/>
    <x v="1"/>
    <s v="COP_23"/>
    <x v="2"/>
    <x v="0"/>
    <s v="Quarter1"/>
    <x v="0"/>
    <x v="0"/>
    <d v="2024-10-01T00:00:00"/>
    <d v="2024-10-31T00:00:00"/>
    <x v="2"/>
    <n v="12"/>
    <n v="0"/>
    <n v="2"/>
    <n v="0"/>
    <n v="0"/>
    <n v="0"/>
    <n v="2"/>
    <n v="1"/>
    <n v="2"/>
    <n v="1"/>
    <n v="2"/>
    <n v="1"/>
    <n v="2"/>
    <n v="0"/>
    <n v="0"/>
    <n v="0"/>
    <n v="0"/>
    <n v="0"/>
    <n v="0"/>
    <n v="0"/>
    <n v="0"/>
    <n v="0"/>
    <n v="1"/>
    <n v="0"/>
  </r>
  <r>
    <n v="753"/>
    <d v="2024-08-14T09:15:17"/>
    <d v="2024-08-14T09:15:29"/>
    <s v="dchirwa@lighthouse.org.mw"/>
    <s v="davis chirwa"/>
    <x v="8"/>
    <s v="Prototype"/>
    <x v="1"/>
    <s v="COP_23"/>
    <x v="0"/>
    <x v="1"/>
    <s v="Quarter4"/>
    <x v="1"/>
    <x v="9"/>
    <d v="2024-07-01T00:00:00"/>
    <d v="2024-07-31T00:00:00"/>
    <x v="0"/>
    <n v="25"/>
    <n v="4"/>
    <n v="19"/>
    <n v="2"/>
    <n v="2"/>
    <n v="2"/>
    <n v="0"/>
    <n v="0"/>
    <n v="1"/>
    <n v="0"/>
    <n v="0"/>
    <n v="0"/>
    <n v="0"/>
    <n v="0"/>
    <n v="4"/>
    <n v="0"/>
    <n v="5"/>
    <n v="2"/>
    <n v="1"/>
    <n v="1"/>
    <n v="2"/>
    <n v="0"/>
    <n v="0"/>
    <n v="0"/>
  </r>
  <r>
    <n v="755"/>
    <d v="2024-08-14T09:21:32"/>
    <d v="2024-08-14T09:25:13"/>
    <s v="dchirwa@lighthouse.org.mw"/>
    <s v="davis chirwa"/>
    <x v="8"/>
    <s v="Prototype"/>
    <x v="1"/>
    <s v="COP_23"/>
    <x v="0"/>
    <x v="1"/>
    <s v="Quarter4"/>
    <x v="1"/>
    <x v="9"/>
    <d v="2024-07-01T00:00:00"/>
    <d v="2024-07-31T00:00:00"/>
    <x v="5"/>
    <n v="5"/>
    <n v="1"/>
    <n v="4"/>
    <n v="0"/>
    <n v="1"/>
    <n v="0"/>
    <n v="0"/>
    <n v="0"/>
    <n v="0"/>
    <n v="0"/>
    <n v="0"/>
    <n v="0"/>
    <n v="0"/>
    <n v="0"/>
    <n v="1"/>
    <n v="0"/>
    <n v="1"/>
    <n v="0"/>
    <n v="0"/>
    <n v="0"/>
    <n v="1"/>
    <n v="0"/>
    <n v="0"/>
    <n v="0"/>
  </r>
  <r>
    <n v="756"/>
    <d v="2024-08-14T09:25:19"/>
    <d v="2024-08-14T09:37:31"/>
    <s v="dchirwa@lighthouse.org.mw"/>
    <s v="davis chirwa"/>
    <x v="8"/>
    <s v="Prototype"/>
    <x v="1"/>
    <s v="COP_23"/>
    <x v="0"/>
    <x v="1"/>
    <s v="Quarter4"/>
    <x v="1"/>
    <x v="9"/>
    <d v="2024-07-01T00:00:00"/>
    <d v="2024-07-31T00:00:00"/>
    <x v="4"/>
    <n v="3"/>
    <n v="2"/>
    <n v="1"/>
    <n v="0"/>
    <n v="1"/>
    <n v="1"/>
    <n v="0"/>
    <n v="0"/>
    <n v="0"/>
    <n v="0"/>
    <n v="0"/>
    <n v="0"/>
    <n v="0"/>
    <n v="0"/>
    <n v="0"/>
    <n v="0"/>
    <n v="1"/>
    <n v="1"/>
    <n v="1"/>
    <n v="1"/>
    <n v="1"/>
    <n v="0"/>
    <n v="0"/>
    <n v="0"/>
  </r>
  <r>
    <n v="757"/>
    <d v="2024-08-14T09:37:43"/>
    <d v="2024-08-14T09:40:03"/>
    <s v="dchirwa@lighthouse.org.mw"/>
    <s v="davis chirwa"/>
    <x v="8"/>
    <s v="Prototype"/>
    <x v="1"/>
    <s v="COP_23"/>
    <x v="0"/>
    <x v="1"/>
    <s v="Quarter4"/>
    <x v="1"/>
    <x v="9"/>
    <d v="2024-07-01T00:00:00"/>
    <d v="2024-07-31T00:00:00"/>
    <x v="3"/>
    <n v="1"/>
    <n v="0"/>
    <n v="1"/>
    <n v="0"/>
    <n v="0"/>
    <n v="0"/>
    <n v="0"/>
    <n v="0"/>
    <n v="0"/>
    <n v="0"/>
    <n v="0"/>
    <n v="0"/>
    <n v="0"/>
    <n v="0"/>
    <n v="0"/>
    <n v="0"/>
    <n v="0"/>
    <n v="0"/>
    <n v="0"/>
    <n v="0"/>
    <n v="0"/>
    <n v="0"/>
    <n v="0"/>
    <n v="0"/>
  </r>
  <r>
    <n v="812"/>
    <d v="2024-09-16T13:44:52"/>
    <d v="2024-09-16T13:45:17"/>
    <s v="dchirwa@lighthouse.org.mw"/>
    <s v="davis chirwa"/>
    <x v="8"/>
    <s v="Prototype"/>
    <x v="1"/>
    <s v="COP_23"/>
    <x v="0"/>
    <x v="1"/>
    <s v="Quarter4"/>
    <x v="1"/>
    <x v="10"/>
    <d v="2024-08-01T00:00:00"/>
    <d v="2024-08-31T00:00:00"/>
    <x v="0"/>
    <n v="24"/>
    <n v="6"/>
    <n v="16"/>
    <n v="2"/>
    <n v="5"/>
    <n v="1"/>
    <n v="22"/>
    <n v="7"/>
    <n v="6"/>
    <n v="0"/>
    <n v="0"/>
    <n v="0"/>
    <n v="3"/>
    <n v="0"/>
    <n v="1"/>
    <n v="0"/>
    <n v="3"/>
    <n v="1"/>
    <n v="1"/>
    <n v="0"/>
    <n v="2"/>
    <n v="0"/>
    <n v="0"/>
    <n v="0"/>
  </r>
  <r>
    <n v="815"/>
    <d v="2024-09-16T14:00:09"/>
    <d v="2024-09-16T14:03:31"/>
    <s v="dchirwa@lighthouse.org.mw"/>
    <s v="davis chirwa"/>
    <x v="8"/>
    <s v="Prototype"/>
    <x v="1"/>
    <s v="COP_23"/>
    <x v="0"/>
    <x v="1"/>
    <s v="Quarter4"/>
    <x v="1"/>
    <x v="10"/>
    <d v="2024-08-01T00:00:00"/>
    <d v="2024-08-31T00:00:00"/>
    <x v="4"/>
    <n v="0"/>
    <n v="0"/>
    <n v="0"/>
    <n v="0"/>
    <n v="0"/>
    <n v="0"/>
    <n v="0"/>
    <n v="0"/>
    <n v="0"/>
    <n v="0"/>
    <n v="0"/>
    <n v="0"/>
    <n v="0"/>
    <n v="0"/>
    <n v="0"/>
    <n v="0"/>
    <n v="0"/>
    <n v="0"/>
    <n v="0"/>
    <n v="0"/>
    <n v="0"/>
    <n v="0"/>
    <n v="0"/>
    <n v="0"/>
  </r>
  <r>
    <n v="816"/>
    <d v="2024-09-16T14:03:40"/>
    <d v="2024-09-16T14:06:34"/>
    <s v="dchirwa@lighthouse.org.mw"/>
    <s v="davis chirwa"/>
    <x v="8"/>
    <s v="Prototype"/>
    <x v="1"/>
    <s v="COP_23"/>
    <x v="0"/>
    <x v="1"/>
    <s v="Quarter4"/>
    <x v="1"/>
    <x v="10"/>
    <d v="2024-08-01T00:00:00"/>
    <d v="2024-08-31T00:00:00"/>
    <x v="3"/>
    <n v="0"/>
    <n v="0"/>
    <n v="0"/>
    <n v="0"/>
    <n v="0"/>
    <n v="0"/>
    <n v="0"/>
    <n v="0"/>
    <n v="0"/>
    <n v="0"/>
    <n v="0"/>
    <n v="0"/>
    <n v="0"/>
    <n v="0"/>
    <n v="0"/>
    <n v="0"/>
    <n v="0"/>
    <n v="0"/>
    <n v="0"/>
    <n v="0"/>
    <n v="0"/>
    <n v="0"/>
    <n v="0"/>
    <n v="0"/>
  </r>
  <r>
    <n v="817"/>
    <d v="2024-09-16T14:06:46"/>
    <d v="2024-09-16T14:10:31"/>
    <s v="dchirwa@lighthouse.org.mw"/>
    <s v="davis chirwa"/>
    <x v="8"/>
    <s v="Prototype"/>
    <x v="1"/>
    <s v="COP_22"/>
    <x v="0"/>
    <x v="1"/>
    <s v="Quarter4"/>
    <x v="1"/>
    <x v="10"/>
    <d v="2024-08-01T00:00:00"/>
    <d v="2024-08-31T00:00:00"/>
    <x v="5"/>
    <n v="15"/>
    <n v="1"/>
    <n v="1"/>
    <n v="0"/>
    <n v="0"/>
    <n v="1"/>
    <n v="2"/>
    <n v="0"/>
    <n v="0"/>
    <n v="0"/>
    <n v="0"/>
    <n v="0"/>
    <n v="1"/>
    <n v="0"/>
    <n v="1"/>
    <n v="0"/>
    <n v="1"/>
    <n v="1"/>
    <n v="0"/>
    <n v="0"/>
    <n v="1"/>
    <n v="0"/>
    <n v="0"/>
    <n v="0"/>
  </r>
  <r>
    <n v="819"/>
    <d v="2024-09-16T14:24:07"/>
    <d v="2024-09-16T14:41:20"/>
    <s v="dchirwa@lighthouse.org.mw"/>
    <s v="davis chirwa"/>
    <x v="8"/>
    <s v="Prototype"/>
    <x v="1"/>
    <s v="COP_22"/>
    <x v="0"/>
    <x v="1"/>
    <s v="Quarter4"/>
    <x v="1"/>
    <x v="9"/>
    <d v="2024-07-01T00:00:00"/>
    <d v="2024-07-31T00:00:00"/>
    <x v="5"/>
    <n v="33"/>
    <n v="1"/>
    <n v="4"/>
    <n v="0"/>
    <n v="1"/>
    <n v="0"/>
    <n v="0"/>
    <n v="0"/>
    <n v="0"/>
    <n v="0"/>
    <n v="0"/>
    <n v="0"/>
    <n v="0"/>
    <n v="0"/>
    <n v="1"/>
    <n v="0"/>
    <n v="1"/>
    <n v="1"/>
    <n v="0"/>
    <n v="0"/>
    <n v="1"/>
    <n v="0"/>
    <n v="0"/>
    <n v="0"/>
  </r>
  <r>
    <n v="882"/>
    <d v="2024-10-04T08:41:53"/>
    <d v="2024-10-04T09:31:51"/>
    <s v="dchirwa@lighthouse.org.mw"/>
    <s v="davis chirwa"/>
    <x v="8"/>
    <s v="Prototype"/>
    <x v="1"/>
    <s v="COP_22"/>
    <x v="0"/>
    <x v="1"/>
    <s v="Quarter4"/>
    <x v="1"/>
    <x v="2"/>
    <d v="2024-09-01T00:00:00"/>
    <d v="2024-09-30T00:00:00"/>
    <x v="0"/>
    <n v="42"/>
    <n v="7"/>
    <n v="28"/>
    <n v="6"/>
    <n v="3"/>
    <n v="5"/>
    <n v="41"/>
    <n v="13"/>
    <n v="12"/>
    <n v="2"/>
    <n v="1"/>
    <n v="1"/>
    <n v="10"/>
    <n v="1"/>
    <n v="1"/>
    <n v="0"/>
    <n v="5"/>
    <n v="1"/>
    <n v="2"/>
    <n v="0"/>
    <n v="2"/>
    <n v="1"/>
    <n v="1"/>
    <n v="0"/>
  </r>
  <r>
    <n v="883"/>
    <d v="2024-10-04T15:09:26"/>
    <d v="2024-10-04T15:09:39"/>
    <s v="dchirwa@lighthouse.org.mw"/>
    <s v="davis chirwa"/>
    <x v="8"/>
    <s v="Prototype"/>
    <x v="1"/>
    <s v="COP_22"/>
    <x v="0"/>
    <x v="1"/>
    <s v="Quarter4"/>
    <x v="1"/>
    <x v="2"/>
    <d v="2024-09-01T00:00:00"/>
    <d v="2024-09-30T00:00:00"/>
    <x v="3"/>
    <n v="1"/>
    <n v="1"/>
    <n v="0"/>
    <n v="0"/>
    <n v="0"/>
    <n v="1"/>
    <n v="0"/>
    <n v="0"/>
    <n v="1"/>
    <n v="0"/>
    <n v="0"/>
    <n v="0"/>
    <n v="1"/>
    <n v="0"/>
    <n v="0"/>
    <n v="0"/>
    <n v="1"/>
    <n v="0"/>
    <n v="0"/>
    <n v="0"/>
    <n v="0"/>
    <n v="0"/>
    <n v="0"/>
    <n v="0"/>
  </r>
  <r>
    <n v="884"/>
    <d v="2024-10-04T15:11:19"/>
    <d v="2024-10-04T15:19:42"/>
    <s v="dchirwa@lighthouse.org.mw"/>
    <s v="davis chirwa"/>
    <x v="8"/>
    <s v="Prototype"/>
    <x v="1"/>
    <s v="COP_22"/>
    <x v="0"/>
    <x v="1"/>
    <s v="Quarter4"/>
    <x v="1"/>
    <x v="2"/>
    <d v="2024-09-01T00:00:00"/>
    <d v="2024-09-30T00:00:00"/>
    <x v="5"/>
    <n v="3"/>
    <n v="1"/>
    <n v="0"/>
    <n v="2"/>
    <n v="0"/>
    <n v="1"/>
    <n v="3"/>
    <n v="3"/>
    <n v="2"/>
    <n v="0"/>
    <n v="0"/>
    <n v="0"/>
    <n v="1"/>
    <n v="1"/>
    <n v="0"/>
    <n v="0"/>
    <n v="0"/>
    <n v="0"/>
    <n v="1"/>
    <n v="0"/>
    <n v="1"/>
    <n v="0"/>
    <n v="0"/>
    <n v="0"/>
  </r>
  <r>
    <n v="887"/>
    <d v="2024-10-04T15:38:10"/>
    <d v="2024-10-04T15:44:27"/>
    <s v="dchirwa@lighthouse.org.mw"/>
    <s v="davis chirwa"/>
    <x v="8"/>
    <s v="Prototype"/>
    <x v="1"/>
    <s v="COP_22"/>
    <x v="0"/>
    <x v="1"/>
    <s v="Quarter4"/>
    <x v="1"/>
    <x v="2"/>
    <d v="2024-09-01T00:00:00"/>
    <d v="2024-09-30T00:00:00"/>
    <x v="4"/>
    <n v="3"/>
    <n v="3"/>
    <n v="0"/>
    <n v="0"/>
    <n v="2"/>
    <n v="1"/>
    <n v="3"/>
    <n v="3"/>
    <n v="3"/>
    <n v="0"/>
    <n v="0"/>
    <n v="0"/>
    <n v="3"/>
    <n v="1"/>
    <n v="0"/>
    <n v="0"/>
    <n v="1"/>
    <n v="0"/>
    <n v="1"/>
    <n v="0"/>
    <n v="2"/>
    <n v="0"/>
    <n v="0"/>
    <n v="0"/>
  </r>
  <r>
    <n v="1061"/>
    <d v="2024-11-13T15:04:11"/>
    <d v="2024-11-13T15:11:50"/>
    <s v="dchirwa@lighthouse.org.mw"/>
    <s v="davis chirwa"/>
    <x v="8"/>
    <s v="Prototype"/>
    <x v="1"/>
    <s v="COP_24"/>
    <x v="2"/>
    <x v="0"/>
    <s v="Quarter1"/>
    <x v="0"/>
    <x v="0"/>
    <d v="2024-10-01T00:00:00"/>
    <d v="2024-10-31T00:00:00"/>
    <x v="0"/>
    <n v="24"/>
    <n v="2"/>
    <n v="19"/>
    <n v="0"/>
    <n v="5"/>
    <n v="0"/>
    <n v="23"/>
    <n v="7"/>
    <n v="9"/>
    <n v="0"/>
    <n v="0"/>
    <n v="0"/>
    <n v="7"/>
    <n v="1"/>
    <n v="0"/>
    <n v="0"/>
    <n v="0"/>
    <n v="0"/>
    <n v="3"/>
    <n v="0"/>
    <n v="2"/>
    <n v="0"/>
    <n v="0"/>
    <n v="0"/>
  </r>
  <r>
    <n v="1063"/>
    <d v="2024-11-13T15:28:32"/>
    <d v="2024-11-13T15:33:08"/>
    <s v="dchirwa@lighthouse.org.mw"/>
    <s v="davis chirwa"/>
    <x v="8"/>
    <s v="Prototype"/>
    <x v="1"/>
    <s v="COP_24"/>
    <x v="2"/>
    <x v="0"/>
    <s v="Quarter1"/>
    <x v="0"/>
    <x v="0"/>
    <d v="2024-10-01T00:00:00"/>
    <d v="2024-10-31T00:00:00"/>
    <x v="3"/>
    <n v="1"/>
    <n v="0"/>
    <n v="0"/>
    <n v="0"/>
    <n v="1"/>
    <n v="0"/>
    <n v="0"/>
    <n v="0"/>
    <n v="1"/>
    <n v="0"/>
    <n v="0"/>
    <n v="0"/>
    <n v="0"/>
    <n v="0"/>
    <n v="0"/>
    <n v="0"/>
    <n v="0"/>
    <n v="0"/>
    <n v="0"/>
    <n v="0"/>
    <n v="0"/>
    <n v="0"/>
    <n v="0"/>
    <n v="0"/>
  </r>
  <r>
    <n v="1064"/>
    <d v="2024-11-13T15:33:13"/>
    <d v="2024-11-13T15:44:27"/>
    <s v="dchirwa@lighthouse.org.mw"/>
    <s v="davis chirwa"/>
    <x v="8"/>
    <s v="Prototype"/>
    <x v="1"/>
    <s v="COP_24"/>
    <x v="2"/>
    <x v="0"/>
    <s v="Quarter1"/>
    <x v="0"/>
    <x v="0"/>
    <d v="2024-10-01T00:00:00"/>
    <d v="2024-10-31T00:00:00"/>
    <x v="4"/>
    <n v="1"/>
    <n v="0"/>
    <n v="1"/>
    <n v="0"/>
    <n v="0"/>
    <n v="0"/>
    <n v="1"/>
    <n v="1"/>
    <n v="1"/>
    <n v="0"/>
    <n v="0"/>
    <n v="0"/>
    <n v="1"/>
    <n v="0"/>
    <n v="0"/>
    <n v="0"/>
    <n v="0"/>
    <n v="0"/>
    <n v="1"/>
    <n v="0"/>
    <n v="0"/>
    <n v="0"/>
    <n v="0"/>
    <n v="0"/>
  </r>
  <r>
    <n v="1065"/>
    <d v="2024-11-13T15:51:36"/>
    <d v="2024-11-13T15:51:48"/>
    <s v="dchirwa@lighthouse.org.mw"/>
    <s v="davis chirwa"/>
    <x v="8"/>
    <s v="Prototype"/>
    <x v="1"/>
    <s v="COP_24"/>
    <x v="2"/>
    <x v="0"/>
    <s v="Quarter1"/>
    <x v="0"/>
    <x v="0"/>
    <d v="2024-10-01T00:00:00"/>
    <d v="2024-10-31T00:00:00"/>
    <x v="5"/>
    <n v="8"/>
    <n v="1"/>
    <n v="2"/>
    <n v="0"/>
    <n v="1"/>
    <n v="0"/>
    <n v="3"/>
    <n v="0"/>
    <n v="1"/>
    <n v="0"/>
    <n v="1"/>
    <n v="0"/>
    <n v="1"/>
    <n v="0"/>
    <n v="1"/>
    <n v="0"/>
    <n v="1"/>
    <n v="1"/>
    <n v="0"/>
    <n v="0"/>
    <n v="1"/>
    <n v="0"/>
    <n v="1"/>
    <n v="0"/>
  </r>
  <r>
    <n v="1132"/>
    <d v="2024-12-13T15:25:52"/>
    <d v="2024-12-13T15:26:09"/>
    <s v="dchirwa@lighthouse.org.mw"/>
    <s v="davis chirwa"/>
    <x v="8"/>
    <s v="Prototype"/>
    <x v="1"/>
    <s v="COP_24"/>
    <x v="2"/>
    <x v="0"/>
    <s v="Quarter1"/>
    <x v="0"/>
    <x v="1"/>
    <d v="2024-11-01T00:00:00"/>
    <d v="2024-11-30T00:00:00"/>
    <x v="0"/>
    <n v="21"/>
    <n v="2"/>
    <n v="16"/>
    <n v="1"/>
    <n v="2"/>
    <n v="2"/>
    <n v="21"/>
    <n v="3"/>
    <n v="3"/>
    <n v="1"/>
    <n v="0"/>
    <n v="0"/>
    <n v="2"/>
    <n v="1"/>
    <n v="0"/>
    <n v="0"/>
    <n v="2"/>
    <n v="0"/>
    <n v="2"/>
    <n v="0"/>
    <n v="1"/>
    <n v="0"/>
    <n v="1"/>
    <n v="0"/>
  </r>
  <r>
    <n v="1133"/>
    <d v="2024-12-13T15:26:14"/>
    <d v="2024-12-13T15:33:21"/>
    <s v="dchirwa@lighthouse.org.mw"/>
    <s v="davis chirwa"/>
    <x v="8"/>
    <s v="Prototype"/>
    <x v="1"/>
    <s v="COP_24"/>
    <x v="2"/>
    <x v="0"/>
    <s v="Quarter1"/>
    <x v="0"/>
    <x v="1"/>
    <d v="2024-11-01T00:00:00"/>
    <d v="2024-11-30T00:00:00"/>
    <x v="1"/>
    <n v="14"/>
    <n v="1"/>
    <n v="11"/>
    <n v="1"/>
    <n v="1"/>
    <n v="1"/>
    <n v="14"/>
    <n v="1"/>
    <n v="1"/>
    <n v="1"/>
    <n v="0"/>
    <n v="0"/>
    <n v="0"/>
    <n v="0"/>
    <n v="0"/>
    <n v="0"/>
    <n v="1"/>
    <n v="0"/>
    <n v="1"/>
    <n v="0"/>
    <n v="0"/>
    <n v="0"/>
    <n v="1"/>
    <n v="0"/>
  </r>
  <r>
    <n v="1134"/>
    <d v="2024-12-13T15:33:26"/>
    <d v="2024-12-13T15:40:26"/>
    <s v="dchirwa@lighthouse.org.mw"/>
    <s v="davis chirwa"/>
    <x v="8"/>
    <s v="Prototype"/>
    <x v="1"/>
    <s v="COP_24"/>
    <x v="2"/>
    <x v="0"/>
    <s v="Quarter1"/>
    <x v="0"/>
    <x v="1"/>
    <d v="2024-11-01T00:00:00"/>
    <d v="2024-11-30T00:00:00"/>
    <x v="3"/>
    <n v="3"/>
    <n v="0"/>
    <n v="3"/>
    <n v="0"/>
    <n v="0"/>
    <n v="0"/>
    <n v="3"/>
    <n v="0"/>
    <n v="0"/>
    <n v="0"/>
    <n v="0"/>
    <n v="0"/>
    <n v="0"/>
    <n v="0"/>
    <n v="0"/>
    <n v="0"/>
    <n v="0"/>
    <n v="0"/>
    <n v="0"/>
    <n v="0"/>
    <n v="0"/>
    <n v="0"/>
    <n v="0"/>
    <n v="0"/>
  </r>
  <r>
    <n v="1135"/>
    <d v="2024-12-13T15:40:33"/>
    <d v="2024-12-13T15:44:26"/>
    <s v="dchirwa@lighthouse.org.mw"/>
    <s v="davis chirwa"/>
    <x v="8"/>
    <s v="Prototype"/>
    <x v="1"/>
    <s v="COP_24"/>
    <x v="2"/>
    <x v="0"/>
    <s v="Quarter1"/>
    <x v="0"/>
    <x v="1"/>
    <d v="2024-11-01T00:00:00"/>
    <d v="2024-11-30T00:00:00"/>
    <x v="4"/>
    <n v="0"/>
    <n v="0"/>
    <n v="0"/>
    <n v="0"/>
    <n v="0"/>
    <n v="0"/>
    <n v="0"/>
    <n v="0"/>
    <n v="0"/>
    <n v="0"/>
    <n v="0"/>
    <n v="0"/>
    <n v="0"/>
    <n v="0"/>
    <n v="0"/>
    <n v="0"/>
    <n v="0"/>
    <n v="0"/>
    <n v="0"/>
    <n v="0"/>
    <n v="0"/>
    <n v="0"/>
    <n v="0"/>
    <n v="0"/>
  </r>
  <r>
    <n v="1136"/>
    <d v="2024-12-13T15:44:39"/>
    <d v="2024-12-13T15:47:23"/>
    <s v="dchirwa@lighthouse.org.mw"/>
    <s v="davis chirwa"/>
    <x v="8"/>
    <s v="Prototype"/>
    <x v="1"/>
    <s v="COP_24"/>
    <x v="2"/>
    <x v="0"/>
    <s v="Quarter1"/>
    <x v="0"/>
    <x v="1"/>
    <d v="2024-11-01T00:00:00"/>
    <d v="2024-11-30T00:00:00"/>
    <x v="5"/>
    <n v="6"/>
    <n v="1"/>
    <n v="3"/>
    <n v="0"/>
    <n v="0"/>
    <n v="1"/>
    <n v="4"/>
    <n v="1"/>
    <n v="1"/>
    <n v="0"/>
    <n v="0"/>
    <n v="0"/>
    <n v="1"/>
    <n v="1"/>
    <n v="0"/>
    <n v="0"/>
    <n v="0"/>
    <n v="0"/>
    <n v="1"/>
    <n v="0"/>
    <n v="1"/>
    <n v="0"/>
    <n v="0"/>
    <n v="0"/>
  </r>
  <r>
    <n v="1137"/>
    <d v="2024-12-13T15:47:26"/>
    <d v="2024-12-13T15:52:36"/>
    <s v="dchirwa@lighthouse.org.mw"/>
    <s v="davis chirwa"/>
    <x v="8"/>
    <s v="Prototype"/>
    <x v="1"/>
    <s v="COP_24"/>
    <x v="2"/>
    <x v="0"/>
    <s v="Quarter1"/>
    <x v="0"/>
    <x v="1"/>
    <d v="2024-11-01T00:00:00"/>
    <d v="2024-11-30T00:00:00"/>
    <x v="2"/>
    <n v="6"/>
    <n v="1"/>
    <n v="1"/>
    <n v="0"/>
    <n v="1"/>
    <n v="1"/>
    <n v="3"/>
    <n v="2"/>
    <n v="2"/>
    <n v="0"/>
    <n v="0"/>
    <n v="0"/>
    <n v="2"/>
    <n v="1"/>
    <n v="0"/>
    <n v="0"/>
    <n v="1"/>
    <n v="0"/>
    <n v="1"/>
    <n v="0"/>
    <n v="1"/>
    <n v="0"/>
    <n v="0"/>
    <n v="0"/>
  </r>
  <r>
    <n v="1284"/>
    <d v="2025-01-16T10:11:22"/>
    <d v="2025-01-16T10:18:08"/>
    <s v="dchirwa@lighthouse.org.mw"/>
    <s v="davis chirwa"/>
    <x v="8"/>
    <s v="Prototype"/>
    <x v="1"/>
    <s v="COP_24"/>
    <x v="2"/>
    <x v="0"/>
    <s v="Quarter1"/>
    <x v="0"/>
    <x v="11"/>
    <d v="2024-12-01T00:00:00"/>
    <d v="2024-12-31T00:00:00"/>
    <x v="0"/>
    <n v="30"/>
    <n v="5"/>
    <n v="21"/>
    <n v="5"/>
    <n v="3"/>
    <n v="1"/>
    <n v="28"/>
    <n v="10"/>
    <n v="10"/>
    <n v="1"/>
    <n v="0"/>
    <n v="0"/>
    <n v="8"/>
    <n v="2"/>
    <n v="2"/>
    <n v="1"/>
    <n v="5"/>
    <n v="1"/>
    <n v="6"/>
    <n v="2"/>
    <n v="3"/>
    <n v="1"/>
    <n v="0"/>
    <n v="0"/>
  </r>
  <r>
    <n v="1285"/>
    <d v="2025-01-16T10:19:41"/>
    <d v="2025-01-16T10:24:25"/>
    <s v="dchirwa@lighthouse.org.mw"/>
    <s v="davis chirwa"/>
    <x v="8"/>
    <s v="Prototype"/>
    <x v="1"/>
    <s v="COP_24"/>
    <x v="2"/>
    <x v="0"/>
    <s v="Quarter1"/>
    <x v="0"/>
    <x v="11"/>
    <d v="2024-12-01T00:00:00"/>
    <d v="2024-12-31T00:00:00"/>
    <x v="1"/>
    <n v="22"/>
    <n v="0"/>
    <n v="18"/>
    <n v="4"/>
    <n v="0"/>
    <n v="0"/>
    <n v="20"/>
    <n v="6"/>
    <n v="6"/>
    <n v="0"/>
    <n v="0"/>
    <n v="0"/>
    <n v="5"/>
    <n v="0"/>
    <n v="1"/>
    <n v="0"/>
    <n v="3"/>
    <n v="0"/>
    <n v="3"/>
    <n v="0"/>
    <n v="0"/>
    <n v="0"/>
    <n v="0"/>
    <n v="0"/>
  </r>
  <r>
    <n v="1286"/>
    <d v="2025-01-16T10:24:46"/>
    <d v="2025-01-16T10:28:59"/>
    <s v="dchirwa@lighthouse.org.mw"/>
    <s v="davis chirwa"/>
    <x v="8"/>
    <s v="Prototype"/>
    <x v="1"/>
    <s v="COP_24"/>
    <x v="2"/>
    <x v="0"/>
    <s v="Quarter1"/>
    <x v="0"/>
    <x v="11"/>
    <d v="2024-12-01T00:00:00"/>
    <d v="2024-12-31T00:00:00"/>
    <x v="5"/>
    <n v="2"/>
    <n v="1"/>
    <n v="1"/>
    <n v="0"/>
    <n v="0"/>
    <n v="1"/>
    <n v="2"/>
    <n v="1"/>
    <n v="1"/>
    <n v="0"/>
    <n v="0"/>
    <n v="0"/>
    <n v="1"/>
    <n v="1"/>
    <n v="0"/>
    <n v="0"/>
    <n v="0"/>
    <n v="0"/>
    <n v="1"/>
    <n v="1"/>
    <n v="1"/>
    <n v="0"/>
    <n v="0"/>
    <n v="0"/>
  </r>
  <r>
    <n v="1287"/>
    <d v="2025-01-16T10:29:24"/>
    <d v="2025-01-16T10:33:42"/>
    <s v="dchirwa@lighthouse.org.mw"/>
    <s v="davis chirwa"/>
    <x v="8"/>
    <s v="Prototype"/>
    <x v="1"/>
    <s v="COP_24"/>
    <x v="2"/>
    <x v="0"/>
    <s v="Quarter1"/>
    <x v="0"/>
    <x v="11"/>
    <d v="2024-12-01T00:00:00"/>
    <d v="2024-12-31T00:00:00"/>
    <x v="2"/>
    <n v="30"/>
    <n v="4"/>
    <n v="3"/>
    <n v="1"/>
    <n v="3"/>
    <n v="0"/>
    <n v="7"/>
    <n v="3"/>
    <n v="4"/>
    <n v="1"/>
    <n v="0"/>
    <n v="0"/>
    <n v="3"/>
    <n v="1"/>
    <n v="1"/>
    <n v="1"/>
    <n v="2"/>
    <n v="1"/>
    <n v="2"/>
    <n v="1"/>
    <n v="2"/>
    <n v="1"/>
    <n v="0"/>
    <n v="0"/>
  </r>
  <r>
    <n v="1288"/>
    <d v="2025-01-16T10:33:50"/>
    <d v="2025-01-16T10:35:27"/>
    <s v="dchirwa@lighthouse.org.mw"/>
    <s v="davis chirwa"/>
    <x v="8"/>
    <s v="Prototype"/>
    <x v="1"/>
    <s v="COP_22"/>
    <x v="2"/>
    <x v="0"/>
    <s v="Quarter1"/>
    <x v="0"/>
    <x v="11"/>
    <d v="2024-12-01T00:00:00"/>
    <d v="2024-12-31T00:00:00"/>
    <x v="3"/>
    <n v="0"/>
    <n v="0"/>
    <n v="0"/>
    <n v="0"/>
    <n v="0"/>
    <n v="0"/>
    <n v="0"/>
    <n v="0"/>
    <n v="0"/>
    <n v="0"/>
    <n v="0"/>
    <n v="0"/>
    <n v="0"/>
    <n v="0"/>
    <n v="0"/>
    <n v="0"/>
    <n v="0"/>
    <n v="0"/>
    <n v="0"/>
    <n v="0"/>
    <n v="0"/>
    <n v="0"/>
    <n v="0"/>
    <n v="0"/>
  </r>
  <r>
    <n v="1290"/>
    <d v="2025-01-16T10:35:31"/>
    <d v="2025-01-16T10:36:56"/>
    <s v="dchirwa@lighthouse.org.mw"/>
    <s v="davis chirwa"/>
    <x v="8"/>
    <s v="Prototype"/>
    <x v="1"/>
    <s v="COP_22"/>
    <x v="2"/>
    <x v="0"/>
    <s v="Quarter1"/>
    <x v="0"/>
    <x v="11"/>
    <d v="2024-12-01T00:00:00"/>
    <d v="2024-12-31T00:00:00"/>
    <x v="4"/>
    <n v="0"/>
    <n v="0"/>
    <n v="0"/>
    <n v="0"/>
    <n v="0"/>
    <n v="0"/>
    <n v="0"/>
    <n v="0"/>
    <n v="0"/>
    <n v="0"/>
    <n v="0"/>
    <n v="0"/>
    <n v="0"/>
    <n v="0"/>
    <n v="0"/>
    <n v="0"/>
    <n v="0"/>
    <n v="0"/>
    <n v="0"/>
    <n v="0"/>
    <n v="0"/>
    <n v="0"/>
    <n v="0"/>
    <n v="0"/>
  </r>
  <r>
    <n v="1291"/>
    <d v="2025-01-16T10:37:15"/>
    <d v="2025-01-16T10:39:55"/>
    <s v="dchirwa@lighthouse.org.mw"/>
    <s v="davis chirwa"/>
    <x v="8"/>
    <s v="Prototype"/>
    <x v="1"/>
    <s v="COP_23"/>
    <x v="2"/>
    <x v="0"/>
    <s v="Quarter1"/>
    <x v="0"/>
    <x v="11"/>
    <d v="2024-12-01T00:00:00"/>
    <d v="2024-12-31T00:00:00"/>
    <x v="6"/>
    <n v="0"/>
    <n v="0"/>
    <n v="0"/>
    <n v="0"/>
    <n v="0"/>
    <n v="0"/>
    <n v="0"/>
    <n v="0"/>
    <n v="0"/>
    <n v="0"/>
    <n v="0"/>
    <n v="0"/>
    <n v="0"/>
    <n v="0"/>
    <n v="0"/>
    <n v="0"/>
    <n v="0"/>
    <n v="0"/>
    <n v="0"/>
    <n v="0"/>
    <n v="0"/>
    <n v="0"/>
    <n v="0"/>
    <n v="0"/>
  </r>
  <r>
    <n v="1412"/>
    <d v="2025-03-12T10:12:08"/>
    <d v="2025-03-12T10:12:26"/>
    <s v="dchirwa@lighthouse.org.mw"/>
    <s v="davis chirwa"/>
    <x v="8"/>
    <s v="Prototype"/>
    <x v="2"/>
    <s v="COP_23"/>
    <x v="2"/>
    <x v="2"/>
    <s v="Quarter2"/>
    <x v="2"/>
    <x v="4"/>
    <d v="2025-01-01T00:00:00"/>
    <d v="2025-01-31T00:00:00"/>
    <x v="0"/>
    <n v="31"/>
    <n v="5"/>
    <n v="23"/>
    <n v="2"/>
    <n v="2"/>
    <n v="4"/>
    <n v="27"/>
    <n v="6"/>
    <n v="5"/>
    <n v="1"/>
    <n v="0"/>
    <n v="0"/>
    <n v="7"/>
    <n v="2"/>
    <n v="0"/>
    <n v="0"/>
    <n v="5"/>
    <n v="1"/>
    <n v="2"/>
    <n v="0"/>
    <n v="2"/>
    <n v="1"/>
    <n v="0"/>
    <n v="0"/>
  </r>
  <r>
    <n v="1413"/>
    <d v="2025-03-12T10:12:44"/>
    <d v="2025-03-12T10:20:08"/>
    <s v="dchirwa@lighthouse.org.mw"/>
    <s v="davis chirwa"/>
    <x v="8"/>
    <s v="Prototype"/>
    <x v="2"/>
    <s v="COP_23"/>
    <x v="2"/>
    <x v="2"/>
    <s v="Quarter2"/>
    <x v="2"/>
    <x v="4"/>
    <d v="2025-01-01T00:00:00"/>
    <d v="2025-01-31T00:00:00"/>
    <x v="1"/>
    <n v="27"/>
    <n v="3"/>
    <n v="21"/>
    <n v="1"/>
    <n v="2"/>
    <n v="3"/>
    <n v="23"/>
    <n v="5"/>
    <n v="5"/>
    <n v="1"/>
    <n v="0"/>
    <n v="0"/>
    <n v="6"/>
    <n v="1"/>
    <n v="0"/>
    <n v="0"/>
    <n v="3"/>
    <n v="1"/>
    <n v="1"/>
    <n v="0"/>
    <n v="1"/>
    <n v="1"/>
    <n v="0"/>
    <n v="0"/>
  </r>
  <r>
    <n v="1414"/>
    <d v="2025-03-12T10:20:16"/>
    <d v="2025-03-12T10:36:19"/>
    <s v="dchirwa@lighthouse.org.mw"/>
    <s v="davis chirwa"/>
    <x v="8"/>
    <s v="Prototype"/>
    <x v="2"/>
    <s v="COP_23"/>
    <x v="2"/>
    <x v="2"/>
    <s v="Quarter2"/>
    <x v="2"/>
    <x v="4"/>
    <d v="2025-01-01T00:00:00"/>
    <d v="2025-01-31T00:00:00"/>
    <x v="3"/>
    <n v="1"/>
    <n v="1"/>
    <n v="1"/>
    <n v="0"/>
    <n v="0"/>
    <n v="0"/>
    <n v="0"/>
    <n v="0"/>
    <n v="0"/>
    <n v="0"/>
    <n v="0"/>
    <n v="0"/>
    <n v="0"/>
    <n v="0"/>
    <n v="0"/>
    <n v="0"/>
    <n v="1"/>
    <n v="0"/>
    <n v="0"/>
    <n v="0"/>
    <n v="0"/>
    <n v="0"/>
    <n v="0"/>
    <n v="0"/>
  </r>
  <r>
    <n v="1415"/>
    <d v="2025-03-12T10:36:33"/>
    <d v="2025-03-12T10:42:16"/>
    <s v="dchirwa@lighthouse.org.mw"/>
    <s v="davis chirwa"/>
    <x v="8"/>
    <s v="Prototype"/>
    <x v="2"/>
    <s v="COP_23"/>
    <x v="2"/>
    <x v="2"/>
    <s v="Quarter2"/>
    <x v="2"/>
    <x v="4"/>
    <d v="2025-01-01T00:00:00"/>
    <d v="2025-01-31T00:00:00"/>
    <x v="2"/>
    <n v="3"/>
    <n v="2"/>
    <n v="1"/>
    <n v="1"/>
    <n v="0"/>
    <n v="1"/>
    <n v="3"/>
    <n v="1"/>
    <n v="0"/>
    <n v="0"/>
    <n v="0"/>
    <n v="0"/>
    <n v="1"/>
    <n v="1"/>
    <n v="0"/>
    <n v="0"/>
    <n v="2"/>
    <n v="0"/>
    <n v="1"/>
    <n v="0"/>
    <n v="1"/>
    <n v="0"/>
    <n v="0"/>
    <n v="0"/>
  </r>
  <r>
    <n v="1416"/>
    <d v="2025-03-12T10:42:40"/>
    <d v="2025-03-12T10:52:50"/>
    <s v="dchirwa@lighthouse.org.mw"/>
    <s v="davis chirwa"/>
    <x v="8"/>
    <s v="Prototype"/>
    <x v="2"/>
    <s v="COP_23"/>
    <x v="2"/>
    <x v="2"/>
    <s v="Quarter2"/>
    <x v="2"/>
    <x v="4"/>
    <d v="2025-01-01T00:00:00"/>
    <d v="2025-01-31T00:00:00"/>
    <x v="4"/>
    <n v="0"/>
    <n v="0"/>
    <n v="0"/>
    <n v="0"/>
    <n v="0"/>
    <n v="0"/>
    <n v="0"/>
    <n v="0"/>
    <n v="0"/>
    <n v="0"/>
    <n v="0"/>
    <n v="0"/>
    <n v="0"/>
    <n v="0"/>
    <n v="0"/>
    <n v="0"/>
    <n v="0"/>
    <n v="0"/>
    <n v="0"/>
    <n v="0"/>
    <n v="0"/>
    <n v="0"/>
    <n v="0"/>
    <n v="0"/>
  </r>
  <r>
    <n v="1417"/>
    <d v="2025-03-12T10:53:01"/>
    <d v="2025-03-12T10:57:37"/>
    <s v="dchirwa@lighthouse.org.mw"/>
    <s v="davis chirwa"/>
    <x v="8"/>
    <s v="Prototype"/>
    <x v="2"/>
    <s v="COP_23"/>
    <x v="2"/>
    <x v="2"/>
    <s v="Quarter2"/>
    <x v="2"/>
    <x v="4"/>
    <d v="2025-01-01T00:00:00"/>
    <d v="2025-01-31T00:00:00"/>
    <x v="5"/>
    <n v="0"/>
    <n v="0"/>
    <n v="0"/>
    <n v="0"/>
    <n v="0"/>
    <n v="0"/>
    <n v="0"/>
    <n v="0"/>
    <n v="0"/>
    <n v="0"/>
    <n v="0"/>
    <n v="0"/>
    <n v="0"/>
    <n v="0"/>
    <n v="0"/>
    <n v="0"/>
    <n v="0"/>
    <n v="0"/>
    <n v="0"/>
    <n v="0"/>
    <n v="0"/>
    <n v="0"/>
    <n v="0"/>
    <n v="0"/>
  </r>
  <r>
    <n v="1418"/>
    <d v="2025-03-12T10:58:06"/>
    <d v="2025-03-12T11:00:56"/>
    <s v="dchirwa@lighthouse.org.mw"/>
    <s v="davis chirwa"/>
    <x v="8"/>
    <s v="Prototype"/>
    <x v="2"/>
    <s v="COP_23"/>
    <x v="2"/>
    <x v="2"/>
    <s v="Quarter2"/>
    <x v="2"/>
    <x v="4"/>
    <d v="2025-01-01T00:00:00"/>
    <d v="2025-01-31T00:00:00"/>
    <x v="6"/>
    <n v="0"/>
    <n v="0"/>
    <n v="0"/>
    <n v="0"/>
    <n v="0"/>
    <n v="0"/>
    <n v="0"/>
    <n v="0"/>
    <n v="0"/>
    <n v="0"/>
    <n v="0"/>
    <n v="0"/>
    <n v="0"/>
    <n v="0"/>
    <n v="0"/>
    <n v="0"/>
    <n v="0"/>
    <n v="0"/>
    <n v="0"/>
    <n v="0"/>
    <n v="0"/>
    <n v="0"/>
    <n v="0"/>
    <n v="0"/>
  </r>
  <r>
    <n v="1419"/>
    <d v="2025-03-13T10:04:55"/>
    <d v="2025-03-13T10:11:18"/>
    <s v="dchirwa@lighthouse.org.mw"/>
    <s v="davis chirwa"/>
    <x v="8"/>
    <s v="Prototype"/>
    <x v="2"/>
    <s v="COP_23"/>
    <x v="2"/>
    <x v="2"/>
    <s v="Quarter2"/>
    <x v="2"/>
    <x v="5"/>
    <d v="2025-02-01T00:00:00"/>
    <d v="2025-02-28T00:00:00"/>
    <x v="0"/>
    <n v="4"/>
    <n v="3"/>
    <n v="2"/>
    <n v="1"/>
    <n v="1"/>
    <n v="0"/>
    <n v="3"/>
    <n v="1"/>
    <n v="1"/>
    <n v="0"/>
    <n v="0"/>
    <n v="0"/>
    <n v="0"/>
    <n v="0"/>
    <n v="1"/>
    <n v="1"/>
    <n v="1"/>
    <n v="1"/>
    <n v="1"/>
    <n v="0"/>
    <n v="1"/>
    <n v="0"/>
    <n v="0"/>
    <n v="0"/>
  </r>
  <r>
    <n v="1420"/>
    <d v="2025-03-13T10:11:36"/>
    <d v="2025-03-13T10:22:22"/>
    <s v="dchirwa@lighthouse.org.mw"/>
    <s v="davis chirwa"/>
    <x v="8"/>
    <s v="Prototype"/>
    <x v="2"/>
    <s v="COP_23"/>
    <x v="2"/>
    <x v="2"/>
    <s v="Quarter2"/>
    <x v="2"/>
    <x v="5"/>
    <d v="2025-02-01T00:00:00"/>
    <d v="2025-02-28T00:00:00"/>
    <x v="1"/>
    <n v="4"/>
    <n v="3"/>
    <n v="2"/>
    <n v="1"/>
    <n v="1"/>
    <n v="0"/>
    <n v="3"/>
    <n v="1"/>
    <n v="1"/>
    <n v="0"/>
    <n v="0"/>
    <n v="0"/>
    <n v="0"/>
    <n v="0"/>
    <n v="1"/>
    <n v="1"/>
    <n v="1"/>
    <n v="1"/>
    <n v="1"/>
    <n v="0"/>
    <n v="1"/>
    <n v="0"/>
    <n v="0"/>
    <n v="0"/>
  </r>
  <r>
    <n v="1421"/>
    <d v="2025-03-13T10:22:32"/>
    <d v="2025-03-13T10:26:04"/>
    <s v="dchirwa@lighthouse.org.mw"/>
    <s v="davis chirwa"/>
    <x v="8"/>
    <s v="Prototype"/>
    <x v="2"/>
    <s v="COP_23"/>
    <x v="2"/>
    <x v="2"/>
    <s v="Quarter2"/>
    <x v="2"/>
    <x v="5"/>
    <d v="2025-02-01T00:00:00"/>
    <d v="2025-02-28T00:00:00"/>
    <x v="3"/>
    <n v="0"/>
    <n v="0"/>
    <n v="0"/>
    <n v="0"/>
    <n v="0"/>
    <n v="0"/>
    <n v="0"/>
    <n v="0"/>
    <n v="0"/>
    <n v="0"/>
    <n v="0"/>
    <n v="0"/>
    <n v="0"/>
    <n v="0"/>
    <n v="0"/>
    <n v="0"/>
    <n v="0"/>
    <n v="0"/>
    <n v="0"/>
    <n v="0"/>
    <n v="0"/>
    <n v="0"/>
    <n v="0"/>
    <n v="0"/>
  </r>
  <r>
    <n v="1422"/>
    <d v="2025-03-13T10:26:17"/>
    <d v="2025-03-13T10:28:25"/>
    <s v="dchirwa@lighthouse.org.mw"/>
    <s v="davis chirwa"/>
    <x v="8"/>
    <s v="Prototype"/>
    <x v="2"/>
    <s v="COP_23"/>
    <x v="2"/>
    <x v="2"/>
    <s v="Quarter2"/>
    <x v="2"/>
    <x v="5"/>
    <d v="2025-02-01T00:00:00"/>
    <d v="2025-02-28T00:00:00"/>
    <x v="4"/>
    <n v="0"/>
    <n v="0"/>
    <n v="0"/>
    <n v="0"/>
    <n v="0"/>
    <n v="0"/>
    <n v="0"/>
    <n v="0"/>
    <n v="0"/>
    <n v="0"/>
    <n v="0"/>
    <n v="0"/>
    <n v="0"/>
    <n v="0"/>
    <n v="0"/>
    <n v="0"/>
    <n v="0"/>
    <n v="0"/>
    <n v="0"/>
    <n v="0"/>
    <n v="0"/>
    <n v="0"/>
    <n v="0"/>
    <n v="0"/>
  </r>
  <r>
    <n v="1423"/>
    <d v="2025-03-13T10:29:07"/>
    <d v="2025-03-13T10:32:34"/>
    <s v="dchirwa@lighthouse.org.mw"/>
    <s v="davis chirwa"/>
    <x v="8"/>
    <s v="Prototype"/>
    <x v="2"/>
    <s v="COP_23"/>
    <x v="2"/>
    <x v="2"/>
    <s v="Quarter2"/>
    <x v="2"/>
    <x v="5"/>
    <d v="2025-02-01T00:00:00"/>
    <d v="2025-02-28T00:00:00"/>
    <x v="5"/>
    <n v="0"/>
    <n v="0"/>
    <n v="0"/>
    <n v="0"/>
    <n v="0"/>
    <n v="0"/>
    <n v="0"/>
    <n v="0"/>
    <n v="0"/>
    <n v="0"/>
    <n v="0"/>
    <n v="0"/>
    <n v="0"/>
    <n v="0"/>
    <n v="0"/>
    <n v="0"/>
    <n v="0"/>
    <n v="0"/>
    <n v="0"/>
    <n v="0"/>
    <n v="0"/>
    <n v="0"/>
    <n v="0"/>
    <n v="0"/>
  </r>
  <r>
    <n v="1424"/>
    <d v="2025-03-13T10:36:00"/>
    <d v="2025-03-13T10:38:25"/>
    <s v="dchirwa@lighthouse.org.mw"/>
    <s v="davis chirwa"/>
    <x v="8"/>
    <s v="Prototype"/>
    <x v="2"/>
    <s v="COP_23"/>
    <x v="2"/>
    <x v="2"/>
    <s v="Quarter2"/>
    <x v="2"/>
    <x v="5"/>
    <d v="2025-02-01T00:00:00"/>
    <d v="2025-02-28T00:00:00"/>
    <x v="2"/>
    <n v="0"/>
    <n v="0"/>
    <n v="0"/>
    <n v="0"/>
    <n v="0"/>
    <n v="0"/>
    <n v="0"/>
    <n v="0"/>
    <n v="0"/>
    <n v="0"/>
    <n v="0"/>
    <n v="0"/>
    <n v="0"/>
    <n v="0"/>
    <n v="0"/>
    <n v="0"/>
    <n v="0"/>
    <n v="0"/>
    <n v="0"/>
    <n v="0"/>
    <n v="0"/>
    <n v="0"/>
    <n v="0"/>
    <n v="0"/>
  </r>
  <r>
    <n v="1425"/>
    <d v="2025-03-13T10:38:31"/>
    <d v="2025-03-13T10:40:44"/>
    <s v="dchirwa@lighthouse.org.mw"/>
    <s v="davis chirwa"/>
    <x v="8"/>
    <s v="Prototype"/>
    <x v="2"/>
    <s v="COP_23"/>
    <x v="2"/>
    <x v="2"/>
    <s v="Quarter2"/>
    <x v="2"/>
    <x v="5"/>
    <d v="2025-02-01T00:00:00"/>
    <d v="2025-02-28T00:00:00"/>
    <x v="6"/>
    <n v="0"/>
    <n v="0"/>
    <n v="0"/>
    <n v="0"/>
    <n v="0"/>
    <n v="0"/>
    <n v="0"/>
    <n v="0"/>
    <n v="0"/>
    <n v="0"/>
    <n v="0"/>
    <n v="0"/>
    <n v="0"/>
    <n v="0"/>
    <n v="0"/>
    <n v="0"/>
    <n v="0"/>
    <n v="0"/>
    <n v="0"/>
    <n v="0"/>
    <n v="0"/>
    <n v="0"/>
    <n v="0"/>
    <n v="0"/>
  </r>
  <r>
    <n v="1527"/>
    <d v="2025-04-10T16:52:51"/>
    <d v="2025-04-10T16:59:41"/>
    <s v="jkenneth@lighthouse.org.mw"/>
    <s v="Joseph Kenneth"/>
    <x v="8"/>
    <s v="Prototype"/>
    <x v="2"/>
    <s v="COP_23"/>
    <x v="2"/>
    <x v="2"/>
    <s v="Quarter2"/>
    <x v="2"/>
    <x v="3"/>
    <d v="2025-03-01T00:00:00"/>
    <d v="2025-03-31T00:00:00"/>
    <x v="5"/>
    <n v="3"/>
    <n v="0"/>
    <n v="1"/>
    <n v="2"/>
    <n v="0"/>
    <n v="0"/>
    <n v="3"/>
    <n v="0"/>
    <n v="0"/>
    <n v="0"/>
    <n v="0"/>
    <n v="0"/>
    <n v="0"/>
    <n v="0"/>
    <n v="0"/>
    <n v="0"/>
    <n v="0"/>
    <n v="0"/>
    <n v="0"/>
    <n v="0"/>
    <n v="0"/>
    <n v="0"/>
    <n v="0"/>
    <n v="0"/>
  </r>
  <r>
    <n v="1528"/>
    <d v="2025-04-10T16:59:58"/>
    <d v="2025-04-10T17:03:14"/>
    <s v="jkenneth@lighthouse.org.mw"/>
    <s v="Joseph Kenneth"/>
    <x v="8"/>
    <s v="Prototype"/>
    <x v="2"/>
    <s v="COP_23"/>
    <x v="2"/>
    <x v="2"/>
    <s v="Quarter2"/>
    <x v="2"/>
    <x v="3"/>
    <d v="2025-03-01T00:00:00"/>
    <d v="2025-03-31T00:00:00"/>
    <x v="2"/>
    <n v="1"/>
    <n v="1"/>
    <n v="0"/>
    <n v="0"/>
    <n v="0"/>
    <n v="1"/>
    <n v="1"/>
    <n v="1"/>
    <n v="1"/>
    <n v="0"/>
    <n v="0"/>
    <n v="0"/>
    <n v="1"/>
    <n v="1"/>
    <n v="1"/>
    <n v="1"/>
    <n v="0"/>
    <n v="0"/>
    <n v="0"/>
    <n v="0"/>
    <n v="1"/>
    <n v="0"/>
    <n v="0"/>
    <n v="0"/>
  </r>
  <r>
    <n v="1529"/>
    <d v="2025-04-10T17:07:24"/>
    <d v="2025-04-10T17:12:38"/>
    <s v="jkenneth@lighthouse.org.mw"/>
    <s v="Joseph Kenneth"/>
    <x v="8"/>
    <s v="Prototype"/>
    <x v="2"/>
    <s v="COP_23"/>
    <x v="2"/>
    <x v="2"/>
    <s v="Quarter2"/>
    <x v="2"/>
    <x v="3"/>
    <d v="2025-03-01T00:00:00"/>
    <d v="2025-03-31T00:00:00"/>
    <x v="1"/>
    <n v="25"/>
    <n v="4"/>
    <n v="16"/>
    <n v="2"/>
    <n v="4"/>
    <n v="3"/>
    <n v="21"/>
    <n v="10"/>
    <n v="10"/>
    <n v="0"/>
    <n v="0"/>
    <n v="0"/>
    <n v="10"/>
    <n v="1"/>
    <n v="2"/>
    <n v="0"/>
    <n v="10"/>
    <n v="0"/>
    <n v="7"/>
    <n v="1"/>
    <n v="1"/>
    <n v="0"/>
    <n v="0"/>
    <n v="0"/>
  </r>
  <r>
    <n v="1530"/>
    <d v="2025-04-10T17:12:56"/>
    <d v="2025-04-10T17:17:35"/>
    <s v="jkenneth@lighthouse.org.mw"/>
    <s v="Joseph Kenneth"/>
    <x v="8"/>
    <s v="Prototype"/>
    <x v="2"/>
    <s v="COP_23"/>
    <x v="2"/>
    <x v="2"/>
    <s v="Quarter2"/>
    <x v="2"/>
    <x v="3"/>
    <d v="2025-03-01T00:00:00"/>
    <d v="2025-03-31T00:00:00"/>
    <x v="0"/>
    <n v="29"/>
    <n v="5"/>
    <n v="17"/>
    <n v="4"/>
    <n v="4"/>
    <n v="4"/>
    <n v="25"/>
    <n v="11"/>
    <n v="11"/>
    <n v="0"/>
    <n v="0"/>
    <n v="0"/>
    <n v="11"/>
    <n v="2"/>
    <n v="3"/>
    <n v="1"/>
    <n v="10"/>
    <n v="0"/>
    <n v="7"/>
    <n v="1"/>
    <n v="2"/>
    <n v="0"/>
    <n v="0"/>
    <n v="0"/>
  </r>
  <r>
    <n v="1532"/>
    <d v="2025-04-14T15:34:12"/>
    <d v="2025-04-14T15:35:40"/>
    <s v="jkenneth@lighthouse.org.mw"/>
    <s v="Joseph Kenneth"/>
    <x v="8"/>
    <s v="Prototype"/>
    <x v="2"/>
    <s v="COP_23"/>
    <x v="2"/>
    <x v="2"/>
    <s v="Quarter2"/>
    <x v="2"/>
    <x v="3"/>
    <d v="2025-03-01T00:00:00"/>
    <d v="2025-03-31T00:00:00"/>
    <x v="6"/>
    <n v="0"/>
    <n v="0"/>
    <n v="0"/>
    <n v="0"/>
    <n v="0"/>
    <n v="0"/>
    <n v="0"/>
    <n v="0"/>
    <n v="0"/>
    <n v="0"/>
    <n v="0"/>
    <n v="0"/>
    <n v="0"/>
    <n v="0"/>
    <n v="0"/>
    <n v="0"/>
    <n v="0"/>
    <n v="0"/>
    <n v="0"/>
    <n v="0"/>
    <n v="0"/>
    <n v="0"/>
    <n v="0"/>
    <n v="0"/>
  </r>
  <r>
    <n v="1533"/>
    <d v="2025-04-14T15:35:43"/>
    <d v="2025-04-14T15:37:13"/>
    <s v="jkenneth@lighthouse.org.mw"/>
    <s v="Joseph Kenneth"/>
    <x v="8"/>
    <s v="Prototype"/>
    <x v="2"/>
    <s v="COP_23"/>
    <x v="2"/>
    <x v="2"/>
    <s v="Quarter2"/>
    <x v="2"/>
    <x v="3"/>
    <d v="2025-03-01T00:00:00"/>
    <d v="2025-03-31T00:00:00"/>
    <x v="3"/>
    <n v="0"/>
    <n v="0"/>
    <n v="0"/>
    <n v="0"/>
    <n v="0"/>
    <n v="0"/>
    <n v="0"/>
    <n v="0"/>
    <n v="0"/>
    <n v="0"/>
    <n v="0"/>
    <n v="0"/>
    <n v="0"/>
    <n v="0"/>
    <n v="0"/>
    <n v="0"/>
    <n v="0"/>
    <n v="0"/>
    <n v="0"/>
    <n v="0"/>
    <n v="0"/>
    <n v="0"/>
    <n v="0"/>
    <n v="0"/>
  </r>
  <r>
    <n v="1534"/>
    <d v="2025-04-14T15:37:15"/>
    <d v="2025-04-14T15:38:43"/>
    <s v="jkenneth@lighthouse.org.mw"/>
    <s v="Joseph Kenneth"/>
    <x v="8"/>
    <s v="Prototype"/>
    <x v="2"/>
    <s v="COP_23"/>
    <x v="2"/>
    <x v="2"/>
    <s v="Quarter2"/>
    <x v="2"/>
    <x v="3"/>
    <d v="2025-03-01T00:00:00"/>
    <d v="2025-03-31T00:00:00"/>
    <x v="4"/>
    <n v="0"/>
    <n v="0"/>
    <n v="0"/>
    <n v="0"/>
    <n v="0"/>
    <n v="0"/>
    <n v="0"/>
    <n v="0"/>
    <n v="0"/>
    <n v="0"/>
    <n v="0"/>
    <n v="0"/>
    <n v="0"/>
    <n v="0"/>
    <n v="0"/>
    <n v="0"/>
    <n v="0"/>
    <n v="0"/>
    <n v="0"/>
    <n v="0"/>
    <n v="0"/>
    <n v="0"/>
    <n v="0"/>
    <n v="0"/>
  </r>
  <r>
    <n v="1654"/>
    <d v="2025-06-10T07:44:21"/>
    <d v="2025-06-10T07:50:15"/>
    <s v="jkenneth@lighthouse.org.mw"/>
    <s v="Joseph Kenneth"/>
    <x v="8"/>
    <s v="Prototype"/>
    <x v="2"/>
    <s v="COP_23"/>
    <x v="3"/>
    <x v="1"/>
    <s v="Quarter3"/>
    <x v="4"/>
    <x v="7"/>
    <d v="2025-04-01T00:00:00"/>
    <d v="2025-04-30T00:00:00"/>
    <x v="0"/>
    <n v="22"/>
    <n v="6"/>
    <n v="11"/>
    <n v="3"/>
    <n v="2"/>
    <n v="6"/>
    <n v="22"/>
    <n v="9"/>
    <n v="9"/>
    <n v="0"/>
    <n v="0"/>
    <n v="0"/>
    <n v="9"/>
    <n v="5"/>
    <n v="0"/>
    <n v="0"/>
    <n v="3"/>
    <n v="1"/>
    <n v="4"/>
    <n v="1"/>
    <n v="5"/>
    <n v="0"/>
    <n v="0"/>
    <n v="0"/>
  </r>
  <r>
    <n v="1655"/>
    <d v="2025-06-10T07:51:34"/>
    <d v="2025-06-10T07:54:59"/>
    <s v="jkenneth@lighthouse.org.mw"/>
    <s v="Joseph Kenneth"/>
    <x v="8"/>
    <s v="Prototype"/>
    <x v="2"/>
    <s v="COP_23"/>
    <x v="3"/>
    <x v="1"/>
    <s v="Quarter3"/>
    <x v="4"/>
    <x v="7"/>
    <d v="2025-04-01T00:00:00"/>
    <d v="2025-04-30T00:00:00"/>
    <x v="4"/>
    <n v="1"/>
    <n v="1"/>
    <n v="0"/>
    <n v="0"/>
    <n v="0"/>
    <n v="1"/>
    <n v="1"/>
    <n v="0"/>
    <n v="0"/>
    <n v="0"/>
    <n v="0"/>
    <n v="0"/>
    <n v="0"/>
    <n v="0"/>
    <n v="0"/>
    <n v="0"/>
    <n v="0"/>
    <n v="0"/>
    <n v="0"/>
    <n v="0"/>
    <n v="0"/>
    <n v="0"/>
    <n v="0"/>
    <n v="0"/>
  </r>
  <r>
    <n v="1656"/>
    <d v="2025-06-10T07:55:06"/>
    <d v="2025-06-10T08:01:04"/>
    <s v="jkenneth@lighthouse.org.mw"/>
    <s v="Joseph Kenneth"/>
    <x v="8"/>
    <s v="Prototype"/>
    <x v="2"/>
    <s v="COP_23"/>
    <x v="3"/>
    <x v="1"/>
    <s v="Quarter3"/>
    <x v="4"/>
    <x v="7"/>
    <d v="2025-04-01T00:00:00"/>
    <d v="2025-04-30T00:00:00"/>
    <x v="1"/>
    <n v="17"/>
    <n v="1"/>
    <n v="11"/>
    <n v="3"/>
    <n v="1"/>
    <n v="2"/>
    <n v="17"/>
    <n v="4"/>
    <n v="2"/>
    <n v="0"/>
    <n v="1"/>
    <n v="0"/>
    <n v="4"/>
    <n v="1"/>
    <n v="0"/>
    <n v="0"/>
    <n v="2"/>
    <n v="1"/>
    <n v="2"/>
    <n v="0"/>
    <n v="1"/>
    <n v="0"/>
    <n v="0"/>
    <n v="0"/>
  </r>
  <r>
    <n v="1657"/>
    <d v="2025-06-10T08:01:11"/>
    <d v="2025-06-10T08:07:32"/>
    <s v="jkenneth@lighthouse.org.mw"/>
    <s v="Joseph Kenneth"/>
    <x v="8"/>
    <s v="Prototype"/>
    <x v="2"/>
    <s v="COP_23"/>
    <x v="3"/>
    <x v="1"/>
    <s v="Quarter3"/>
    <x v="4"/>
    <x v="7"/>
    <d v="2025-04-01T00:00:00"/>
    <d v="2025-04-30T00:00:00"/>
    <x v="2"/>
    <n v="5"/>
    <n v="4"/>
    <n v="0"/>
    <n v="0"/>
    <n v="1"/>
    <n v="4"/>
    <n v="5"/>
    <n v="5"/>
    <n v="5"/>
    <n v="0"/>
    <n v="0"/>
    <n v="0"/>
    <n v="5"/>
    <n v="4"/>
    <n v="0"/>
    <n v="0"/>
    <n v="3"/>
    <n v="2"/>
    <n v="2"/>
    <n v="1"/>
    <n v="4"/>
    <n v="0"/>
    <n v="0"/>
    <n v="0"/>
  </r>
  <r>
    <n v="1658"/>
    <d v="2025-06-10T08:07:40"/>
    <d v="2025-06-10T08:09:55"/>
    <s v="jkenneth@lighthouse.org.mw"/>
    <s v="Joseph Kenneth"/>
    <x v="8"/>
    <s v="Prototype"/>
    <x v="2"/>
    <s v="COP_23"/>
    <x v="3"/>
    <x v="1"/>
    <s v="Quarter3"/>
    <x v="4"/>
    <x v="7"/>
    <d v="2025-04-01T00:00:00"/>
    <d v="2025-04-30T00:00:00"/>
    <x v="5"/>
    <n v="0"/>
    <n v="0"/>
    <n v="0"/>
    <n v="0"/>
    <n v="0"/>
    <n v="0"/>
    <n v="0"/>
    <n v="0"/>
    <n v="0"/>
    <n v="0"/>
    <n v="0"/>
    <n v="0"/>
    <n v="0"/>
    <n v="0"/>
    <n v="0"/>
    <n v="0"/>
    <n v="0"/>
    <n v="0"/>
    <n v="0"/>
    <n v="0"/>
    <n v="0"/>
    <n v="0"/>
    <n v="0"/>
    <n v="0"/>
  </r>
  <r>
    <n v="1659"/>
    <d v="2025-06-10T08:11:07"/>
    <d v="2025-06-10T08:12:28"/>
    <s v="jkenneth@lighthouse.org.mw"/>
    <s v="Joseph Kenneth"/>
    <x v="8"/>
    <s v="Prototype"/>
    <x v="2"/>
    <s v="COP_23"/>
    <x v="3"/>
    <x v="1"/>
    <s v="Quarter3"/>
    <x v="4"/>
    <x v="7"/>
    <d v="2025-04-01T00:00:00"/>
    <d v="2025-04-30T00:00:00"/>
    <x v="3"/>
    <n v="0"/>
    <n v="0"/>
    <n v="0"/>
    <n v="0"/>
    <n v="0"/>
    <n v="0"/>
    <n v="0"/>
    <n v="0"/>
    <n v="0"/>
    <n v="0"/>
    <n v="0"/>
    <n v="0"/>
    <n v="0"/>
    <n v="0"/>
    <n v="0"/>
    <n v="0"/>
    <n v="0"/>
    <n v="0"/>
    <n v="0"/>
    <n v="0"/>
    <n v="0"/>
    <n v="0"/>
    <n v="0"/>
    <n v="0"/>
  </r>
  <r>
    <n v="1660"/>
    <d v="2025-06-10T08:12:41"/>
    <d v="2025-06-10T08:16:52"/>
    <s v="jkenneth@lighthouse.org.mw"/>
    <s v="Joseph Kenneth"/>
    <x v="8"/>
    <s v="Prototype"/>
    <x v="2"/>
    <s v="COP_23"/>
    <x v="3"/>
    <x v="1"/>
    <s v="Quarter3"/>
    <x v="4"/>
    <x v="6"/>
    <d v="2025-05-01T00:00:00"/>
    <d v="2025-05-31T00:00:00"/>
    <x v="0"/>
    <n v="34"/>
    <n v="9"/>
    <n v="20"/>
    <n v="3"/>
    <n v="4"/>
    <n v="7"/>
    <n v="34"/>
    <n v="10"/>
    <n v="10"/>
    <n v="1"/>
    <n v="0"/>
    <n v="0"/>
    <n v="7"/>
    <n v="7"/>
    <n v="2"/>
    <n v="0"/>
    <n v="6"/>
    <n v="4"/>
    <n v="5"/>
    <n v="2"/>
    <n v="8"/>
    <n v="0"/>
    <n v="0"/>
    <n v="0"/>
  </r>
  <r>
    <n v="1661"/>
    <d v="2025-06-10T08:16:57"/>
    <d v="2025-06-10T08:22:45"/>
    <s v="jkenneth@lighthouse.org.mw"/>
    <s v="Joseph Kenneth"/>
    <x v="8"/>
    <s v="Prototype"/>
    <x v="2"/>
    <s v="COP_23"/>
    <x v="3"/>
    <x v="3"/>
    <s v="Quarter3"/>
    <x v="4"/>
    <x v="6"/>
    <d v="2025-05-01T00:00:00"/>
    <d v="2025-05-31T00:00:00"/>
    <x v="1"/>
    <n v="30"/>
    <n v="5"/>
    <n v="20"/>
    <n v="3"/>
    <n v="4"/>
    <n v="3"/>
    <n v="29"/>
    <n v="7"/>
    <n v="6"/>
    <n v="1"/>
    <n v="0"/>
    <n v="0"/>
    <n v="6"/>
    <n v="4"/>
    <n v="2"/>
    <n v="0"/>
    <n v="3"/>
    <n v="2"/>
    <n v="4"/>
    <n v="1"/>
    <n v="5"/>
    <n v="0"/>
    <n v="0"/>
    <n v="0"/>
  </r>
  <r>
    <n v="1662"/>
    <d v="2025-06-10T08:22:56"/>
    <d v="2025-06-10T08:27:40"/>
    <s v="jkenneth@lighthouse.org.mw"/>
    <s v="Joseph Kenneth"/>
    <x v="8"/>
    <s v="Prototype"/>
    <x v="2"/>
    <s v="COP_23"/>
    <x v="3"/>
    <x v="3"/>
    <s v="Quarter3"/>
    <x v="4"/>
    <x v="6"/>
    <d v="2025-05-01T00:00:00"/>
    <d v="2025-05-31T00:00:00"/>
    <x v="2"/>
    <n v="3"/>
    <n v="3"/>
    <n v="0"/>
    <n v="0"/>
    <n v="0"/>
    <n v="3"/>
    <n v="3"/>
    <n v="3"/>
    <n v="3"/>
    <n v="0"/>
    <n v="0"/>
    <n v="0"/>
    <n v="3"/>
    <n v="3"/>
    <n v="3"/>
    <n v="0"/>
    <n v="3"/>
    <n v="2"/>
    <n v="3"/>
    <n v="1"/>
    <n v="3"/>
    <n v="0"/>
    <n v="0"/>
    <n v="0"/>
  </r>
  <r>
    <n v="1663"/>
    <d v="2025-06-10T08:27:43"/>
    <d v="2025-06-10T08:35:23"/>
    <s v="jkenneth@lighthouse.org.mw"/>
    <s v="Joseph Kenneth"/>
    <x v="8"/>
    <s v="Prototype"/>
    <x v="2"/>
    <s v="COP_23"/>
    <x v="3"/>
    <x v="3"/>
    <s v="Quarter3"/>
    <x v="4"/>
    <x v="6"/>
    <d v="2025-05-01T00:00:00"/>
    <d v="2025-05-31T00:00:00"/>
    <x v="5"/>
    <n v="1"/>
    <n v="1"/>
    <n v="0"/>
    <n v="0"/>
    <n v="0"/>
    <n v="1"/>
    <n v="1"/>
    <n v="1"/>
    <n v="1"/>
    <n v="0"/>
    <n v="0"/>
    <n v="0"/>
    <n v="1"/>
    <n v="1"/>
    <n v="0"/>
    <n v="0"/>
    <n v="1"/>
    <n v="1"/>
    <n v="0"/>
    <n v="0"/>
    <n v="1"/>
    <n v="0"/>
    <n v="0"/>
    <n v="0"/>
  </r>
  <r>
    <n v="1664"/>
    <d v="2025-06-10T08:35:26"/>
    <d v="2025-06-10T08:37:10"/>
    <s v="jkenneth@lighthouse.org.mw"/>
    <s v="Joseph Kenneth"/>
    <x v="8"/>
    <s v="Prototype"/>
    <x v="2"/>
    <s v="COP_23"/>
    <x v="3"/>
    <x v="3"/>
    <s v="Quarter3"/>
    <x v="4"/>
    <x v="6"/>
    <d v="2025-05-01T00:00:00"/>
    <d v="2025-05-31T00:00:00"/>
    <x v="3"/>
    <n v="1"/>
    <n v="0"/>
    <n v="0"/>
    <n v="0"/>
    <n v="1"/>
    <n v="0"/>
    <n v="0"/>
    <n v="0"/>
    <n v="0"/>
    <n v="0"/>
    <n v="0"/>
    <n v="0"/>
    <n v="0"/>
    <n v="0"/>
    <n v="0"/>
    <n v="0"/>
    <n v="0"/>
    <n v="0"/>
    <n v="0"/>
    <n v="0"/>
    <n v="0"/>
    <n v="0"/>
    <n v="0"/>
    <n v="0"/>
  </r>
  <r>
    <n v="1730"/>
    <d v="2025-07-08T08:50:02"/>
    <d v="2025-07-08T08:54:12"/>
    <s v="jkenneth@lighthouse.org.mw"/>
    <s v="Joseph Kenneth"/>
    <x v="8"/>
    <s v="Prototype"/>
    <x v="2"/>
    <s v="COP_23"/>
    <x v="3"/>
    <x v="3"/>
    <s v="Quarter3"/>
    <x v="4"/>
    <x v="8"/>
    <d v="2025-06-01T00:00:00"/>
    <d v="2025-06-30T00:00:00"/>
    <x v="0"/>
    <n v="30"/>
    <n v="5"/>
    <n v="18"/>
    <n v="3"/>
    <n v="3"/>
    <n v="6"/>
    <n v="30"/>
    <n v="13"/>
    <n v="13"/>
    <n v="0"/>
    <n v="0"/>
    <n v="0"/>
    <n v="13"/>
    <n v="4"/>
    <n v="1"/>
    <n v="0"/>
    <n v="4"/>
    <n v="2"/>
    <n v="6"/>
    <n v="4"/>
    <n v="5"/>
    <n v="0"/>
    <n v="0"/>
    <n v="2"/>
  </r>
  <r>
    <n v="1731"/>
    <d v="2025-07-08T08:54:28"/>
    <d v="2025-07-08T08:58:55"/>
    <s v="jkenneth@lighthouse.org.mw"/>
    <s v="Joseph Kenneth"/>
    <x v="8"/>
    <s v="Prototype"/>
    <x v="2"/>
    <s v="COP_23"/>
    <x v="3"/>
    <x v="3"/>
    <s v="Quarter3"/>
    <x v="4"/>
    <x v="8"/>
    <d v="2025-06-01T00:00:00"/>
    <d v="2025-06-30T00:00:00"/>
    <x v="1"/>
    <n v="27"/>
    <n v="2"/>
    <n v="18"/>
    <n v="2"/>
    <n v="1"/>
    <n v="6"/>
    <n v="27"/>
    <n v="10"/>
    <n v="10"/>
    <n v="0"/>
    <n v="0"/>
    <n v="0"/>
    <n v="9"/>
    <n v="4"/>
    <n v="1"/>
    <n v="0"/>
    <n v="3"/>
    <n v="2"/>
    <n v="6"/>
    <n v="4"/>
    <n v="5"/>
    <n v="0"/>
    <n v="0"/>
    <n v="2"/>
  </r>
  <r>
    <n v="1732"/>
    <d v="2025-07-08T08:58:59"/>
    <d v="2025-07-08T09:01:24"/>
    <s v="jkenneth@lighthouse.org.mw"/>
    <s v="Joseph Kenneth"/>
    <x v="8"/>
    <s v="Prototype"/>
    <x v="2"/>
    <s v="COP_23"/>
    <x v="3"/>
    <x v="3"/>
    <s v="Quarter3"/>
    <x v="4"/>
    <x v="8"/>
    <d v="2025-06-01T00:00:00"/>
    <d v="2025-06-30T00:00:00"/>
    <x v="2"/>
    <n v="1"/>
    <n v="1"/>
    <n v="0"/>
    <n v="0"/>
    <n v="1"/>
    <n v="0"/>
    <n v="1"/>
    <n v="1"/>
    <n v="1"/>
    <n v="0"/>
    <n v="0"/>
    <n v="0"/>
    <n v="1"/>
    <n v="0"/>
    <n v="0"/>
    <n v="0"/>
    <n v="0"/>
    <n v="0"/>
    <n v="0"/>
    <n v="0"/>
    <n v="0"/>
    <n v="0"/>
    <n v="0"/>
    <n v="0"/>
  </r>
  <r>
    <n v="1733"/>
    <d v="2025-07-08T09:01:40"/>
    <d v="2025-07-08T09:09:55"/>
    <s v="jkenneth@lighthouse.org.mw"/>
    <s v="Joseph Kenneth"/>
    <x v="8"/>
    <s v="Prototype"/>
    <x v="2"/>
    <s v="COP_23"/>
    <x v="3"/>
    <x v="3"/>
    <s v="Quarter3"/>
    <x v="4"/>
    <x v="8"/>
    <d v="2025-06-01T00:00:00"/>
    <d v="2025-06-30T00:00:00"/>
    <x v="5"/>
    <n v="2"/>
    <n v="2"/>
    <n v="0"/>
    <n v="1"/>
    <n v="1"/>
    <n v="0"/>
    <n v="2"/>
    <n v="2"/>
    <n v="2"/>
    <n v="0"/>
    <n v="0"/>
    <n v="0"/>
    <n v="2"/>
    <n v="0"/>
    <n v="0"/>
    <n v="0"/>
    <n v="1"/>
    <n v="0"/>
    <n v="0"/>
    <n v="0"/>
    <n v="0"/>
    <n v="0"/>
    <n v="0"/>
    <n v="0"/>
  </r>
  <r>
    <n v="1734"/>
    <d v="2025-07-08T09:10:01"/>
    <d v="2025-07-08T09:11:21"/>
    <s v="jkenneth@lighthouse.org.mw"/>
    <s v="Joseph Kenneth"/>
    <x v="8"/>
    <s v="Prototype"/>
    <x v="2"/>
    <s v="COP_23"/>
    <x v="3"/>
    <x v="3"/>
    <s v="Quarter3"/>
    <x v="4"/>
    <x v="8"/>
    <d v="2025-06-01T00:00:00"/>
    <d v="2025-06-30T00:00:00"/>
    <x v="3"/>
    <n v="0"/>
    <n v="0"/>
    <n v="0"/>
    <n v="0"/>
    <n v="0"/>
    <n v="0"/>
    <n v="0"/>
    <n v="0"/>
    <n v="0"/>
    <n v="0"/>
    <n v="0"/>
    <n v="0"/>
    <n v="0"/>
    <n v="0"/>
    <n v="0"/>
    <n v="0"/>
    <n v="0"/>
    <n v="0"/>
    <n v="0"/>
    <n v="0"/>
    <n v="0"/>
    <n v="0"/>
    <n v="0"/>
    <n v="0"/>
  </r>
  <r>
    <n v="1735"/>
    <d v="2025-07-08T09:11:24"/>
    <d v="2025-07-08T09:12:49"/>
    <s v="jkenneth@lighthouse.org.mw"/>
    <s v="Joseph Kenneth"/>
    <x v="8"/>
    <s v="Prototype"/>
    <x v="2"/>
    <s v="COP_23"/>
    <x v="3"/>
    <x v="3"/>
    <s v="Quarter3"/>
    <x v="4"/>
    <x v="8"/>
    <d v="2025-06-01T00:00:00"/>
    <d v="2025-06-30T00:00:00"/>
    <x v="4"/>
    <n v="0"/>
    <n v="0"/>
    <n v="0"/>
    <n v="0"/>
    <n v="0"/>
    <n v="0"/>
    <n v="0"/>
    <n v="0"/>
    <n v="0"/>
    <n v="0"/>
    <n v="0"/>
    <n v="0"/>
    <n v="0"/>
    <n v="0"/>
    <n v="0"/>
    <n v="0"/>
    <n v="0"/>
    <n v="0"/>
    <n v="0"/>
    <n v="0"/>
    <n v="0"/>
    <n v="0"/>
    <n v="0"/>
    <n v="0"/>
  </r>
  <r>
    <n v="1736"/>
    <d v="2025-07-08T09:13:01"/>
    <d v="2025-07-08T09:15:08"/>
    <s v="jkenneth@lighthouse.org.mw"/>
    <s v="Joseph Kenneth"/>
    <x v="8"/>
    <s v="Prototype"/>
    <x v="2"/>
    <s v="COP_23"/>
    <x v="3"/>
    <x v="3"/>
    <s v="Quarter3"/>
    <x v="4"/>
    <x v="8"/>
    <d v="2025-06-01T00:00:00"/>
    <d v="2025-06-30T00:00:00"/>
    <x v="6"/>
    <n v="0"/>
    <n v="0"/>
    <n v="0"/>
    <n v="0"/>
    <n v="0"/>
    <n v="0"/>
    <n v="0"/>
    <n v="0"/>
    <n v="0"/>
    <n v="0"/>
    <n v="0"/>
    <n v="0"/>
    <n v="0"/>
    <n v="0"/>
    <n v="0"/>
    <n v="0"/>
    <n v="0"/>
    <n v="0"/>
    <n v="0"/>
    <n v="0"/>
    <n v="0"/>
    <n v="0"/>
    <n v="0"/>
    <n v="0"/>
  </r>
  <r>
    <n v="53"/>
    <d v="2023-12-20T12:31:05"/>
    <d v="2023-12-20T12:31:53"/>
    <s v="mchirwa@lighthouse.org.mw"/>
    <s v="Margaret Chirwa"/>
    <x v="9"/>
    <s v="COE"/>
    <x v="0"/>
    <s v="COP_23"/>
    <x v="1"/>
    <x v="1"/>
    <s v="Quarter4"/>
    <x v="1"/>
    <x v="2"/>
    <d v="2023-09-01T00:00:00"/>
    <d v="2023-09-30T00:00:00"/>
    <x v="0"/>
    <n v="108"/>
    <n v="7"/>
    <n v="19"/>
    <n v="6"/>
    <n v="10"/>
    <n v="5"/>
    <n v="31"/>
    <n v="25"/>
    <n v="37"/>
    <n v="0"/>
    <n v="0"/>
    <n v="0"/>
    <n v="38"/>
    <n v="1"/>
    <n v="11"/>
    <n v="0"/>
    <n v="10"/>
    <n v="6"/>
    <n v="39"/>
    <n v="3"/>
    <n v="3"/>
    <n v="0"/>
    <n v="0"/>
    <n v="2"/>
  </r>
  <r>
    <n v="54"/>
    <d v="2023-12-20T12:32:07"/>
    <d v="2023-12-20T12:36:14"/>
    <s v="mchirwa@lighthouse.org.mw"/>
    <s v="Margaret Chirwa"/>
    <x v="9"/>
    <s v="COE"/>
    <x v="0"/>
    <s v="COP_23"/>
    <x v="0"/>
    <x v="0"/>
    <s v="Quarter1"/>
    <x v="0"/>
    <x v="0"/>
    <d v="2023-10-01T00:00:00"/>
    <d v="2023-10-31T00:00:00"/>
    <x v="0"/>
    <n v="120"/>
    <n v="21"/>
    <n v="24"/>
    <n v="6"/>
    <n v="14"/>
    <n v="13"/>
    <n v="53"/>
    <n v="34"/>
    <n v="43"/>
    <n v="0"/>
    <n v="0"/>
    <n v="0"/>
    <n v="47"/>
    <n v="11"/>
    <n v="8"/>
    <n v="0"/>
    <n v="11"/>
    <n v="6"/>
    <n v="34"/>
    <n v="7"/>
    <n v="15"/>
    <n v="7"/>
    <n v="0"/>
    <n v="1"/>
  </r>
  <r>
    <n v="55"/>
    <d v="2023-12-20T12:36:25"/>
    <d v="2023-12-20T12:39:39"/>
    <s v="mchirwa@lighthouse.org.mw"/>
    <s v="Margaret Chirwa"/>
    <x v="9"/>
    <s v="COE"/>
    <x v="0"/>
    <s v="COP_23"/>
    <x v="0"/>
    <x v="0"/>
    <s v="Quarter1"/>
    <x v="0"/>
    <x v="1"/>
    <d v="2023-11-01T00:00:00"/>
    <d v="2023-11-30T00:00:00"/>
    <x v="0"/>
    <n v="139"/>
    <n v="29"/>
    <n v="20"/>
    <n v="9"/>
    <n v="19"/>
    <n v="20"/>
    <n v="66"/>
    <n v="45"/>
    <n v="49"/>
    <n v="0"/>
    <n v="2"/>
    <n v="0"/>
    <n v="51"/>
    <n v="10"/>
    <n v="7"/>
    <n v="2"/>
    <n v="17"/>
    <n v="6"/>
    <n v="33"/>
    <n v="4"/>
    <n v="14"/>
    <n v="0"/>
    <n v="0"/>
    <n v="4"/>
  </r>
  <r>
    <n v="98"/>
    <d v="2024-01-18T14:34:16"/>
    <d v="2024-01-18T14:34:56"/>
    <s v="mmsiska@lighthouse.org.mw"/>
    <s v="Michael Msiska"/>
    <x v="9"/>
    <s v="COE"/>
    <x v="0"/>
    <s v="COP_23"/>
    <x v="0"/>
    <x v="0"/>
    <s v="Quarter1"/>
    <x v="0"/>
    <x v="11"/>
    <d v="2023-12-01T00:00:00"/>
    <d v="2023-12-31T00:00:00"/>
    <x v="0"/>
    <n v="76"/>
    <n v="9"/>
    <n v="33"/>
    <n v="16"/>
    <n v="8"/>
    <n v="12"/>
    <n v="66"/>
    <n v="33"/>
    <n v="44"/>
    <n v="1"/>
    <n v="1"/>
    <n v="0"/>
    <n v="44"/>
    <n v="9"/>
    <n v="2"/>
    <n v="0"/>
    <n v="5"/>
    <n v="1"/>
    <n v="19"/>
    <n v="2"/>
    <n v="11"/>
    <n v="0"/>
    <n v="1"/>
    <n v="1"/>
  </r>
  <r>
    <n v="100"/>
    <d v="2024-01-18T15:50:09"/>
    <d v="2024-01-18T15:50:22"/>
    <s v="mmsiska@lighthouse.org.mw"/>
    <s v="Michael Msiska"/>
    <x v="9"/>
    <s v="COE"/>
    <x v="0"/>
    <s v="COP_23"/>
    <x v="0"/>
    <x v="0"/>
    <s v="Quarter1"/>
    <x v="0"/>
    <x v="11"/>
    <d v="2023-12-01T00:00:00"/>
    <d v="2023-12-31T00:00:00"/>
    <x v="3"/>
    <n v="4"/>
    <n v="0"/>
    <n v="4"/>
    <n v="0"/>
    <n v="0"/>
    <n v="0"/>
    <n v="0"/>
    <n v="0"/>
    <n v="4"/>
    <n v="0"/>
    <n v="0"/>
    <n v="0"/>
    <n v="3"/>
    <n v="0"/>
    <n v="0"/>
    <n v="0"/>
    <n v="0"/>
    <n v="0"/>
    <n v="0"/>
    <n v="0"/>
    <n v="0"/>
    <n v="0"/>
    <n v="0"/>
    <n v="0"/>
  </r>
  <r>
    <n v="101"/>
    <d v="2024-01-18T15:50:28"/>
    <d v="2024-01-18T15:53:06"/>
    <s v="mmsiska@lighthouse.org.mw"/>
    <s v="Michael Msiska"/>
    <x v="9"/>
    <s v="COE"/>
    <x v="0"/>
    <s v="COP_23"/>
    <x v="0"/>
    <x v="0"/>
    <s v="Quarter1"/>
    <x v="0"/>
    <x v="11"/>
    <d v="2023-12-01T00:00:00"/>
    <d v="2023-12-31T00:00:00"/>
    <x v="5"/>
    <n v="21"/>
    <n v="0"/>
    <n v="11"/>
    <n v="2"/>
    <n v="3"/>
    <n v="0"/>
    <n v="16"/>
    <n v="5"/>
    <n v="15"/>
    <n v="0"/>
    <n v="0"/>
    <n v="0"/>
    <n v="14"/>
    <n v="0"/>
    <n v="0"/>
    <n v="0"/>
    <n v="0"/>
    <n v="0"/>
    <n v="2"/>
    <n v="0"/>
    <n v="0"/>
    <n v="0"/>
    <n v="0"/>
    <n v="0"/>
  </r>
  <r>
    <n v="103"/>
    <d v="2024-01-19T09:41:31"/>
    <d v="2024-01-19T09:42:49"/>
    <s v="mmsiska@lighthouse.org.mw"/>
    <s v="Michael Msiska"/>
    <x v="9"/>
    <s v="COE"/>
    <x v="0"/>
    <s v="COP_23"/>
    <x v="0"/>
    <x v="0"/>
    <s v="Quarter1"/>
    <x v="0"/>
    <x v="0"/>
    <d v="2023-10-01T00:00:00"/>
    <d v="2023-10-31T00:00:00"/>
    <x v="3"/>
    <n v="0"/>
    <n v="0"/>
    <n v="0"/>
    <n v="0"/>
    <n v="0"/>
    <n v="0"/>
    <n v="0"/>
    <n v="0"/>
    <n v="0"/>
    <n v="0"/>
    <n v="0"/>
    <n v="0"/>
    <n v="0"/>
    <n v="0"/>
    <n v="0"/>
    <n v="0"/>
    <n v="0"/>
    <n v="0"/>
    <n v="0"/>
    <n v="0"/>
    <n v="0"/>
    <n v="0"/>
    <n v="0"/>
    <n v="0"/>
  </r>
  <r>
    <n v="104"/>
    <d v="2024-01-19T09:42:54"/>
    <d v="2024-01-19T09:46:15"/>
    <s v="mmsiska@lighthouse.org.mw"/>
    <s v="Michael Msiska"/>
    <x v="9"/>
    <s v="COE"/>
    <x v="0"/>
    <s v="COP_23"/>
    <x v="0"/>
    <x v="0"/>
    <s v="Quarter1"/>
    <x v="0"/>
    <x v="0"/>
    <d v="2023-10-01T00:00:00"/>
    <d v="2023-10-31T00:00:00"/>
    <x v="5"/>
    <n v="6"/>
    <n v="1"/>
    <n v="2"/>
    <n v="1"/>
    <n v="1"/>
    <n v="1"/>
    <n v="5"/>
    <n v="1"/>
    <n v="5"/>
    <n v="0"/>
    <n v="0"/>
    <n v="0"/>
    <n v="4"/>
    <n v="1"/>
    <n v="0"/>
    <n v="0"/>
    <n v="0"/>
    <n v="0"/>
    <n v="3"/>
    <n v="0"/>
    <n v="1"/>
    <n v="0"/>
    <n v="0"/>
    <n v="0"/>
  </r>
  <r>
    <n v="106"/>
    <d v="2024-01-19T09:48:54"/>
    <d v="2024-01-19T09:49:58"/>
    <s v="mmsiska@lighthouse.org.mw"/>
    <s v="Michael Msiska"/>
    <x v="9"/>
    <s v="COE"/>
    <x v="0"/>
    <s v="COP_23"/>
    <x v="0"/>
    <x v="0"/>
    <s v="Quarter1"/>
    <x v="0"/>
    <x v="1"/>
    <d v="2023-11-01T00:00:00"/>
    <d v="2023-11-30T00:00:00"/>
    <x v="3"/>
    <n v="0"/>
    <n v="0"/>
    <n v="0"/>
    <n v="0"/>
    <n v="0"/>
    <n v="0"/>
    <n v="0"/>
    <n v="0"/>
    <n v="0"/>
    <n v="0"/>
    <n v="0"/>
    <n v="0"/>
    <n v="0"/>
    <n v="0"/>
    <n v="0"/>
    <n v="0"/>
    <n v="0"/>
    <n v="0"/>
    <n v="0"/>
    <n v="0"/>
    <n v="0"/>
    <n v="0"/>
    <n v="0"/>
    <n v="0"/>
  </r>
  <r>
    <n v="107"/>
    <d v="2024-01-19T09:50:00"/>
    <d v="2024-01-19T09:52:03"/>
    <s v="mmsiska@lighthouse.org.mw"/>
    <s v="Michael Msiska"/>
    <x v="9"/>
    <s v="COE"/>
    <x v="0"/>
    <s v="COP_23"/>
    <x v="0"/>
    <x v="0"/>
    <s v="Quarter1"/>
    <x v="0"/>
    <x v="1"/>
    <d v="2023-11-01T00:00:00"/>
    <d v="2023-11-30T00:00:00"/>
    <x v="5"/>
    <n v="3"/>
    <n v="0"/>
    <n v="2"/>
    <n v="0"/>
    <n v="1"/>
    <n v="0"/>
    <n v="2"/>
    <n v="1"/>
    <n v="3"/>
    <n v="0"/>
    <n v="0"/>
    <n v="0"/>
    <n v="3"/>
    <n v="0"/>
    <n v="0"/>
    <n v="0"/>
    <n v="0"/>
    <n v="0"/>
    <n v="1"/>
    <n v="0"/>
    <n v="0"/>
    <n v="0"/>
    <n v="0"/>
    <n v="0"/>
  </r>
  <r>
    <n v="223"/>
    <d v="2024-04-08T15:29:45"/>
    <d v="2024-04-08T15:30:32"/>
    <s v="mchirwa@lighthouse.org.mw"/>
    <s v="Margaret Chirwa"/>
    <x v="9"/>
    <s v="COE"/>
    <x v="1"/>
    <s v="COP_23"/>
    <x v="0"/>
    <x v="2"/>
    <s v="Quarter2"/>
    <x v="2"/>
    <x v="3"/>
    <d v="2024-03-01T00:00:00"/>
    <d v="2024-03-31T00:00:00"/>
    <x v="3"/>
    <n v="8"/>
    <n v="0"/>
    <n v="7"/>
    <n v="0"/>
    <n v="1"/>
    <n v="0"/>
    <n v="0"/>
    <n v="0"/>
    <n v="8"/>
    <n v="0"/>
    <n v="8"/>
    <n v="0"/>
    <n v="7"/>
    <n v="0"/>
    <n v="0"/>
    <n v="0"/>
    <n v="0"/>
    <n v="0"/>
    <n v="1"/>
    <n v="0"/>
    <n v="0"/>
    <n v="0"/>
    <n v="0"/>
    <n v="0"/>
  </r>
  <r>
    <n v="224"/>
    <d v="2024-04-08T15:30:35"/>
    <d v="2024-04-08T15:36:32"/>
    <s v="mchirwa@lighthouse.org.mw"/>
    <s v="Margaret Chirwa"/>
    <x v="9"/>
    <s v="COE"/>
    <x v="1"/>
    <s v="COP_23"/>
    <x v="0"/>
    <x v="2"/>
    <s v="Quarter2"/>
    <x v="2"/>
    <x v="3"/>
    <d v="2024-03-01T00:00:00"/>
    <d v="2024-03-31T00:00:00"/>
    <x v="4"/>
    <n v="7"/>
    <n v="0"/>
    <n v="6"/>
    <n v="0"/>
    <n v="1"/>
    <n v="0"/>
    <n v="6"/>
    <n v="0"/>
    <n v="4"/>
    <n v="0"/>
    <n v="4"/>
    <n v="0"/>
    <n v="4"/>
    <n v="0"/>
    <n v="0"/>
    <n v="0"/>
    <n v="0"/>
    <n v="0"/>
    <n v="0"/>
    <n v="0"/>
    <n v="0"/>
    <n v="0"/>
    <n v="0"/>
    <n v="0"/>
  </r>
  <r>
    <n v="225"/>
    <d v="2024-04-08T15:36:43"/>
    <d v="2024-04-08T15:39:47"/>
    <s v="mchirwa@lighthouse.org.mw"/>
    <s v="Margaret Chirwa"/>
    <x v="9"/>
    <s v="COE"/>
    <x v="1"/>
    <s v="COP_23"/>
    <x v="0"/>
    <x v="2"/>
    <s v="Quarter2"/>
    <x v="2"/>
    <x v="3"/>
    <d v="2024-03-01T00:00:00"/>
    <d v="2024-03-31T00:00:00"/>
    <x v="5"/>
    <n v="84"/>
    <n v="2"/>
    <n v="49"/>
    <n v="2"/>
    <n v="0"/>
    <n v="0"/>
    <n v="45"/>
    <n v="9"/>
    <n v="24"/>
    <n v="0"/>
    <n v="24"/>
    <n v="0"/>
    <n v="24"/>
    <n v="0"/>
    <n v="0"/>
    <n v="0"/>
    <n v="0"/>
    <n v="0"/>
    <n v="3"/>
    <n v="0"/>
    <n v="0"/>
    <n v="0"/>
    <n v="0"/>
    <n v="0"/>
  </r>
  <r>
    <n v="227"/>
    <d v="2024-04-08T15:48:31"/>
    <d v="2024-04-08T15:54:08"/>
    <s v="mchirwa@lighthouse.org.mw"/>
    <s v="Margaret Chirwa"/>
    <x v="9"/>
    <s v="COE"/>
    <x v="1"/>
    <s v="COP_23"/>
    <x v="0"/>
    <x v="2"/>
    <s v="Quarter2"/>
    <x v="2"/>
    <x v="3"/>
    <d v="2024-03-01T00:00:00"/>
    <d v="2024-03-31T00:00:00"/>
    <x v="0"/>
    <n v="219"/>
    <n v="19"/>
    <n v="161"/>
    <n v="18"/>
    <n v="34"/>
    <n v="9"/>
    <n v="210"/>
    <n v="57"/>
    <n v="92"/>
    <n v="0"/>
    <n v="2"/>
    <n v="0"/>
    <n v="91"/>
    <n v="3"/>
    <n v="2"/>
    <n v="0"/>
    <n v="18"/>
    <n v="9"/>
    <n v="41"/>
    <n v="6"/>
    <n v="5"/>
    <n v="0"/>
    <n v="0"/>
    <n v="2"/>
  </r>
  <r>
    <n v="291"/>
    <d v="2024-04-24T10:43:45"/>
    <d v="2024-04-24T10:44:33"/>
    <s v="mchirwa@lighthouse.org.mw"/>
    <s v="Margaret Chirwa"/>
    <x v="9"/>
    <s v="COE"/>
    <x v="1"/>
    <s v="COP_23"/>
    <x v="0"/>
    <x v="2"/>
    <s v="Quarter2"/>
    <x v="2"/>
    <x v="5"/>
    <d v="2024-02-01T00:00:00"/>
    <d v="2024-02-29T00:00:00"/>
    <x v="3"/>
    <n v="3"/>
    <n v="0"/>
    <n v="3"/>
    <n v="0"/>
    <n v="0"/>
    <n v="0"/>
    <n v="0"/>
    <n v="0"/>
    <n v="0"/>
    <n v="0"/>
    <n v="0"/>
    <n v="0"/>
    <n v="0"/>
    <n v="0"/>
    <n v="0"/>
    <n v="0"/>
    <n v="0"/>
    <n v="0"/>
    <n v="0"/>
    <n v="0"/>
    <n v="0"/>
    <n v="0"/>
    <n v="0"/>
    <n v="0"/>
  </r>
  <r>
    <n v="292"/>
    <d v="2024-04-24T10:44:38"/>
    <d v="2024-04-24T10:46:22"/>
    <s v="mchirwa@lighthouse.org.mw"/>
    <s v="Margaret Chirwa"/>
    <x v="9"/>
    <s v="COE"/>
    <x v="1"/>
    <s v="COP_23"/>
    <x v="0"/>
    <x v="2"/>
    <s v="Quarter2"/>
    <x v="2"/>
    <x v="5"/>
    <d v="2024-02-01T00:00:00"/>
    <d v="2024-02-29T00:00:00"/>
    <x v="4"/>
    <n v="4"/>
    <n v="2"/>
    <n v="2"/>
    <n v="0"/>
    <n v="2"/>
    <n v="0"/>
    <n v="4"/>
    <n v="0"/>
    <n v="4"/>
    <n v="0"/>
    <n v="0"/>
    <n v="0"/>
    <n v="4"/>
    <n v="0"/>
    <n v="0"/>
    <n v="0"/>
    <n v="0"/>
    <n v="0"/>
    <n v="0"/>
    <n v="0"/>
    <n v="0"/>
    <n v="0"/>
    <n v="0"/>
    <n v="0"/>
  </r>
  <r>
    <n v="293"/>
    <d v="2024-04-24T10:46:26"/>
    <d v="2024-04-24T10:48:08"/>
    <s v="mchirwa@lighthouse.org.mw"/>
    <s v="Margaret Chirwa"/>
    <x v="9"/>
    <s v="COE"/>
    <x v="1"/>
    <s v="COP_23"/>
    <x v="0"/>
    <x v="2"/>
    <s v="Quarter2"/>
    <x v="2"/>
    <x v="5"/>
    <d v="2024-02-01T00:00:00"/>
    <d v="2024-02-29T00:00:00"/>
    <x v="0"/>
    <n v="213"/>
    <n v="30"/>
    <n v="145"/>
    <n v="31"/>
    <n v="20"/>
    <n v="16"/>
    <n v="209"/>
    <n v="57"/>
    <n v="103"/>
    <n v="5"/>
    <n v="4"/>
    <n v="0"/>
    <n v="102"/>
    <n v="12"/>
    <n v="0"/>
    <n v="0"/>
    <n v="13"/>
    <n v="2"/>
    <n v="39"/>
    <n v="4"/>
    <n v="16"/>
    <n v="2"/>
    <n v="2"/>
    <n v="0"/>
  </r>
  <r>
    <n v="298"/>
    <d v="2024-04-24T11:10:10"/>
    <d v="2024-04-24T11:13:30"/>
    <s v="mchirwa@lighthouse.org.mw"/>
    <s v="Margaret Chirwa"/>
    <x v="9"/>
    <s v="COE"/>
    <x v="1"/>
    <s v="COP_23"/>
    <x v="0"/>
    <x v="2"/>
    <s v="Quarter2"/>
    <x v="2"/>
    <x v="4"/>
    <d v="2024-01-01T00:00:00"/>
    <d v="2024-01-31T00:00:00"/>
    <x v="3"/>
    <n v="14"/>
    <n v="1"/>
    <n v="13"/>
    <n v="0"/>
    <n v="1"/>
    <n v="0"/>
    <n v="2"/>
    <n v="0"/>
    <n v="13"/>
    <n v="0"/>
    <n v="0"/>
    <n v="0"/>
    <n v="13"/>
    <n v="2"/>
    <n v="0"/>
    <n v="0"/>
    <n v="0"/>
    <n v="0"/>
    <n v="0"/>
    <n v="0"/>
    <n v="0"/>
    <n v="0"/>
    <n v="0"/>
    <n v="0"/>
  </r>
  <r>
    <n v="299"/>
    <d v="2024-04-24T11:21:47"/>
    <d v="2024-04-24T11:27:54"/>
    <s v="mchirwa@lighthouse.org.mw"/>
    <s v="Margaret Chirwa"/>
    <x v="9"/>
    <s v="COE"/>
    <x v="1"/>
    <s v="COP_23"/>
    <x v="0"/>
    <x v="2"/>
    <s v="Quarter2"/>
    <x v="2"/>
    <x v="4"/>
    <d v="2024-01-01T00:00:00"/>
    <d v="2024-01-31T00:00:00"/>
    <x v="4"/>
    <n v="15"/>
    <n v="0"/>
    <n v="15"/>
    <n v="0"/>
    <n v="0"/>
    <n v="0"/>
    <n v="13"/>
    <n v="0"/>
    <n v="13"/>
    <n v="0"/>
    <n v="0"/>
    <n v="0"/>
    <n v="13"/>
    <n v="0"/>
    <n v="0"/>
    <n v="0"/>
    <n v="0"/>
    <n v="0"/>
    <n v="0"/>
    <n v="0"/>
    <n v="0"/>
    <n v="0"/>
    <n v="0"/>
    <n v="0"/>
  </r>
  <r>
    <n v="300"/>
    <d v="2024-04-24T11:27:58"/>
    <d v="2024-04-24T11:30:58"/>
    <s v="mchirwa@lighthouse.org.mw"/>
    <s v="Margaret Chirwa"/>
    <x v="9"/>
    <s v="COE"/>
    <x v="1"/>
    <s v="COP_23"/>
    <x v="0"/>
    <x v="2"/>
    <s v="Quarter2"/>
    <x v="2"/>
    <x v="4"/>
    <d v="2024-01-01T00:00:00"/>
    <d v="2024-01-31T00:00:00"/>
    <x v="5"/>
    <n v="47"/>
    <n v="5"/>
    <n v="27"/>
    <n v="3"/>
    <n v="5"/>
    <n v="4"/>
    <n v="35"/>
    <n v="10"/>
    <n v="32"/>
    <n v="0"/>
    <n v="0"/>
    <n v="0"/>
    <n v="32"/>
    <n v="2"/>
    <n v="1"/>
    <n v="0"/>
    <n v="2"/>
    <n v="1"/>
    <n v="4"/>
    <n v="0"/>
    <n v="3"/>
    <n v="0"/>
    <n v="0"/>
    <n v="1"/>
  </r>
  <r>
    <n v="303"/>
    <d v="2024-04-24T13:32:52"/>
    <d v="2024-04-24T13:35:28"/>
    <s v="mchirwa@lighthouse.org.mw"/>
    <s v="Margaret Chirwa"/>
    <x v="9"/>
    <s v="COE"/>
    <x v="1"/>
    <s v="COP_23"/>
    <x v="0"/>
    <x v="2"/>
    <s v="Quarter2"/>
    <x v="2"/>
    <x v="4"/>
    <d v="2024-01-01T00:00:00"/>
    <d v="2024-01-31T00:00:00"/>
    <x v="0"/>
    <n v="242"/>
    <n v="49"/>
    <n v="162"/>
    <n v="26"/>
    <n v="34"/>
    <n v="20"/>
    <n v="218"/>
    <n v="65"/>
    <n v="132"/>
    <n v="1"/>
    <n v="3"/>
    <n v="1"/>
    <n v="128"/>
    <n v="15"/>
    <n v="5"/>
    <n v="0"/>
    <n v="12"/>
    <n v="8"/>
    <n v="37"/>
    <n v="6"/>
    <n v="17"/>
    <n v="3"/>
    <n v="0"/>
    <n v="3"/>
  </r>
  <r>
    <n v="349"/>
    <d v="2024-04-30T15:32:29"/>
    <d v="2024-04-30T15:35:14"/>
    <s v="mchirwa@lighthouse.org.mw"/>
    <s v="Margaret Chirwa"/>
    <x v="9"/>
    <s v="COE"/>
    <x v="1"/>
    <s v="COP_23"/>
    <x v="0"/>
    <x v="2"/>
    <s v="Quarter2"/>
    <x v="2"/>
    <x v="5"/>
    <d v="2024-02-01T00:00:00"/>
    <d v="2024-02-29T00:00:00"/>
    <x v="5"/>
    <n v="38"/>
    <n v="0"/>
    <n v="22"/>
    <n v="1"/>
    <n v="0"/>
    <n v="0"/>
    <n v="23"/>
    <n v="4"/>
    <n v="22"/>
    <n v="0"/>
    <n v="0"/>
    <n v="0"/>
    <n v="22"/>
    <n v="1"/>
    <n v="0"/>
    <n v="0"/>
    <n v="2"/>
    <n v="0"/>
    <n v="4"/>
    <n v="0"/>
    <n v="1"/>
    <n v="0"/>
    <n v="0"/>
    <n v="0"/>
  </r>
  <r>
    <n v="622"/>
    <d v="2024-07-16T09:06:14"/>
    <d v="2024-07-16T13:44:13"/>
    <s v="jmakoza@lighthouse.org.mw"/>
    <s v="Jonathan Makoza"/>
    <x v="9"/>
    <s v="COE"/>
    <x v="1"/>
    <s v="COP_23"/>
    <x v="0"/>
    <x v="3"/>
    <s v="Quarter3"/>
    <x v="3"/>
    <x v="7"/>
    <d v="2024-04-01T00:00:00"/>
    <d v="2024-04-30T00:00:00"/>
    <x v="3"/>
    <n v="4"/>
    <n v="1"/>
    <n v="2"/>
    <n v="0"/>
    <n v="1"/>
    <n v="1"/>
    <n v="1"/>
    <n v="0"/>
    <n v="1"/>
    <n v="0"/>
    <n v="0"/>
    <n v="0"/>
    <n v="2"/>
    <n v="0"/>
    <n v="0"/>
    <n v="0"/>
    <n v="0"/>
    <n v="0"/>
    <n v="0"/>
    <n v="0"/>
    <n v="0"/>
    <n v="0"/>
    <n v="0"/>
    <n v="0"/>
  </r>
  <r>
    <n v="624"/>
    <d v="2024-07-16T13:48:56"/>
    <d v="2024-07-16T13:53:32"/>
    <s v="jmakoza@lighthouse.org.mw"/>
    <s v="Jonathan Makoza"/>
    <x v="9"/>
    <s v="COE"/>
    <x v="1"/>
    <s v="COP_23"/>
    <x v="0"/>
    <x v="3"/>
    <s v="Quarter3"/>
    <x v="3"/>
    <x v="7"/>
    <d v="2024-04-01T00:00:00"/>
    <d v="2024-04-30T00:00:00"/>
    <x v="4"/>
    <n v="13"/>
    <n v="1"/>
    <n v="3"/>
    <n v="0"/>
    <n v="1"/>
    <n v="0"/>
    <n v="4"/>
    <n v="2"/>
    <n v="3"/>
    <n v="0"/>
    <n v="0"/>
    <n v="0"/>
    <n v="0"/>
    <n v="3"/>
    <n v="0"/>
    <n v="0"/>
    <n v="0"/>
    <n v="0"/>
    <n v="0"/>
    <n v="0"/>
    <n v="0"/>
    <n v="0"/>
    <n v="0"/>
    <n v="0"/>
  </r>
  <r>
    <n v="625"/>
    <d v="2024-07-16T13:53:59"/>
    <d v="2024-07-16T13:58:55"/>
    <s v="jmakoza@lighthouse.org.mw"/>
    <s v="Jonathan Makoza"/>
    <x v="9"/>
    <s v="COE"/>
    <x v="1"/>
    <s v="COP_23"/>
    <x v="0"/>
    <x v="3"/>
    <s v="Quarter3"/>
    <x v="3"/>
    <x v="7"/>
    <d v="2024-04-01T00:00:00"/>
    <d v="2024-04-30T00:00:00"/>
    <x v="5"/>
    <n v="52"/>
    <n v="3"/>
    <n v="23"/>
    <n v="0"/>
    <n v="4"/>
    <n v="1"/>
    <n v="28"/>
    <n v="7"/>
    <n v="8"/>
    <n v="1"/>
    <n v="1"/>
    <n v="1"/>
    <n v="8"/>
    <n v="0"/>
    <n v="1"/>
    <n v="0"/>
    <n v="1"/>
    <n v="1"/>
    <n v="1"/>
    <n v="0"/>
    <n v="1"/>
    <n v="1"/>
    <n v="0"/>
    <n v="0"/>
  </r>
  <r>
    <n v="627"/>
    <d v="2024-07-16T14:18:02"/>
    <d v="2024-07-16T14:21:34"/>
    <s v="jmakoza@lighthouse.org.mw"/>
    <s v="Jonathan Makoza"/>
    <x v="9"/>
    <s v="COE"/>
    <x v="1"/>
    <s v="COP_23"/>
    <x v="0"/>
    <x v="3"/>
    <s v="Quarter3"/>
    <x v="3"/>
    <x v="7"/>
    <d v="2024-04-01T00:00:00"/>
    <d v="2024-04-30T00:00:00"/>
    <x v="0"/>
    <n v="163"/>
    <n v="26"/>
    <n v="118"/>
    <n v="7"/>
    <n v="31"/>
    <n v="7"/>
    <n v="151"/>
    <n v="58"/>
    <n v="55"/>
    <n v="3"/>
    <n v="4"/>
    <n v="2"/>
    <n v="55"/>
    <n v="3"/>
    <n v="6"/>
    <n v="2"/>
    <n v="8"/>
    <n v="4"/>
    <n v="22"/>
    <n v="0"/>
    <n v="10"/>
    <n v="4"/>
    <n v="0"/>
    <n v="0"/>
  </r>
  <r>
    <n v="630"/>
    <d v="2024-07-16T14:56:46"/>
    <d v="2024-07-16T15:01:37"/>
    <s v="jmakoza@lighthouse.org.mw"/>
    <s v="Jonathan Makoza"/>
    <x v="9"/>
    <s v="COE"/>
    <x v="1"/>
    <s v="COP_23"/>
    <x v="0"/>
    <x v="3"/>
    <s v="Quarter3"/>
    <x v="3"/>
    <x v="6"/>
    <d v="2024-05-01T00:00:00"/>
    <d v="2024-05-31T00:00:00"/>
    <x v="4"/>
    <n v="5"/>
    <n v="0"/>
    <n v="2"/>
    <n v="1"/>
    <n v="0"/>
    <n v="0"/>
    <n v="3"/>
    <n v="1"/>
    <n v="3"/>
    <n v="0"/>
    <n v="0"/>
    <n v="0"/>
    <n v="3"/>
    <n v="0"/>
    <n v="0"/>
    <n v="0"/>
    <n v="0"/>
    <n v="0"/>
    <n v="0"/>
    <n v="0"/>
    <n v="0"/>
    <n v="0"/>
    <n v="0"/>
    <n v="0"/>
  </r>
  <r>
    <n v="631"/>
    <d v="2024-07-16T15:01:45"/>
    <d v="2024-07-16T15:04:05"/>
    <s v="jmakoza@lighthouse.org.mw"/>
    <s v="Jonathan Makoza"/>
    <x v="9"/>
    <s v="COE"/>
    <x v="1"/>
    <s v="COP_23"/>
    <x v="0"/>
    <x v="3"/>
    <s v="Quarter3"/>
    <x v="3"/>
    <x v="6"/>
    <d v="2024-05-01T00:00:00"/>
    <d v="2024-05-31T00:00:00"/>
    <x v="5"/>
    <n v="21"/>
    <n v="0"/>
    <n v="17"/>
    <n v="1"/>
    <n v="0"/>
    <n v="0"/>
    <n v="17"/>
    <n v="3"/>
    <n v="4"/>
    <n v="0"/>
    <n v="0"/>
    <n v="0"/>
    <n v="2"/>
    <n v="0"/>
    <n v="0"/>
    <n v="0"/>
    <n v="0"/>
    <n v="0"/>
    <n v="2"/>
    <n v="0"/>
    <n v="0"/>
    <n v="0"/>
    <n v="0"/>
    <n v="0"/>
  </r>
  <r>
    <n v="633"/>
    <d v="2024-07-16T15:13:58"/>
    <d v="2024-07-16T15:18:51"/>
    <s v="jmakoza@lighthouse.org.mw"/>
    <s v="Jonathan Makoza"/>
    <x v="9"/>
    <s v="COE"/>
    <x v="1"/>
    <s v="COP_23"/>
    <x v="0"/>
    <x v="3"/>
    <s v="Quarter3"/>
    <x v="3"/>
    <x v="6"/>
    <d v="2024-05-01T00:00:00"/>
    <d v="2024-05-31T00:00:00"/>
    <x v="0"/>
    <n v="138"/>
    <n v="23"/>
    <n v="96"/>
    <n v="9"/>
    <n v="28"/>
    <n v="4"/>
    <n v="133"/>
    <n v="40"/>
    <n v="49"/>
    <n v="0"/>
    <n v="0"/>
    <n v="0"/>
    <n v="7"/>
    <n v="0"/>
    <n v="2"/>
    <n v="1"/>
    <n v="3"/>
    <n v="0"/>
    <n v="37"/>
    <n v="2"/>
    <n v="4"/>
    <n v="0"/>
    <n v="0"/>
    <n v="2"/>
  </r>
  <r>
    <n v="635"/>
    <d v="2024-07-16T15:27:48"/>
    <d v="2024-07-16T15:32:51"/>
    <s v="jmakoza@lighthouse.org.mw"/>
    <s v="Jonathan Makoza"/>
    <x v="9"/>
    <s v="COE"/>
    <x v="1"/>
    <s v="COP_23"/>
    <x v="0"/>
    <x v="3"/>
    <s v="Quarter3"/>
    <x v="3"/>
    <x v="6"/>
    <d v="2024-06-01T00:00:00"/>
    <d v="2024-06-30T00:00:00"/>
    <x v="3"/>
    <n v="7"/>
    <n v="0"/>
    <n v="5"/>
    <n v="2"/>
    <n v="0"/>
    <n v="0"/>
    <n v="0"/>
    <n v="0"/>
    <n v="5"/>
    <n v="0"/>
    <n v="0"/>
    <n v="0"/>
    <n v="0"/>
    <n v="0"/>
    <n v="0"/>
    <n v="0"/>
    <n v="0"/>
    <n v="0"/>
    <n v="3"/>
    <n v="0"/>
    <n v="0"/>
    <n v="0"/>
    <n v="0"/>
    <n v="0"/>
  </r>
  <r>
    <n v="636"/>
    <d v="2024-07-16T15:33:04"/>
    <d v="2024-07-16T15:41:30"/>
    <s v="jmakoza@lighthouse.org.mw"/>
    <s v="Jonathan Makoza"/>
    <x v="9"/>
    <s v="COE"/>
    <x v="1"/>
    <s v="COP_23"/>
    <x v="0"/>
    <x v="3"/>
    <s v="Quarter3"/>
    <x v="3"/>
    <x v="8"/>
    <d v="2024-06-01T00:00:00"/>
    <d v="2024-06-30T00:00:00"/>
    <x v="4"/>
    <n v="12"/>
    <n v="0"/>
    <n v="12"/>
    <n v="0"/>
    <n v="0"/>
    <n v="0"/>
    <n v="9"/>
    <n v="1"/>
    <n v="0"/>
    <n v="0"/>
    <n v="0"/>
    <n v="0"/>
    <n v="0"/>
    <n v="2"/>
    <n v="0"/>
    <n v="0"/>
    <n v="0"/>
    <n v="0"/>
    <n v="0"/>
    <n v="11"/>
    <n v="0"/>
    <n v="0"/>
    <n v="0"/>
    <n v="0"/>
  </r>
  <r>
    <n v="637"/>
    <d v="2024-07-16T15:42:09"/>
    <d v="2024-07-16T15:44:02"/>
    <s v="jmakoza@lighthouse.org.mw"/>
    <s v="Jonathan Makoza"/>
    <x v="9"/>
    <s v="COE"/>
    <x v="1"/>
    <s v="COP_23"/>
    <x v="0"/>
    <x v="3"/>
    <s v="Quarter3"/>
    <x v="3"/>
    <x v="8"/>
    <d v="2024-06-01T00:00:00"/>
    <d v="2024-06-30T00:00:00"/>
    <x v="5"/>
    <n v="22"/>
    <n v="0"/>
    <n v="21"/>
    <n v="1"/>
    <n v="0"/>
    <n v="0"/>
    <n v="16"/>
    <n v="2"/>
    <n v="5"/>
    <n v="0"/>
    <n v="0"/>
    <n v="0"/>
    <n v="2"/>
    <n v="0"/>
    <n v="0"/>
    <n v="0"/>
    <n v="0"/>
    <n v="0"/>
    <n v="14"/>
    <n v="0"/>
    <n v="0"/>
    <n v="0"/>
    <n v="0"/>
    <n v="0"/>
  </r>
  <r>
    <n v="639"/>
    <d v="2024-07-16T15:53:51"/>
    <d v="2024-07-16T15:55:23"/>
    <s v="jmakoza@lighthouse.org.mw"/>
    <s v="Jonathan Makoza"/>
    <x v="9"/>
    <s v="COE"/>
    <x v="1"/>
    <s v="COP_23"/>
    <x v="0"/>
    <x v="3"/>
    <s v="Quarter3"/>
    <x v="3"/>
    <x v="8"/>
    <d v="2024-06-01T00:00:00"/>
    <d v="2024-06-30T00:00:00"/>
    <x v="0"/>
    <n v="92"/>
    <n v="8"/>
    <n v="67"/>
    <n v="8"/>
    <n v="14"/>
    <n v="3"/>
    <n v="81"/>
    <n v="28"/>
    <n v="35"/>
    <n v="0"/>
    <n v="0"/>
    <n v="0"/>
    <n v="2"/>
    <n v="2"/>
    <n v="1"/>
    <n v="0"/>
    <n v="0"/>
    <n v="0"/>
    <n v="23"/>
    <n v="1"/>
    <n v="0"/>
    <n v="0"/>
    <n v="0"/>
    <n v="0"/>
  </r>
  <r>
    <n v="99"/>
    <d v="2024-01-18T14:35:08"/>
    <d v="2024-01-18T15:30:58"/>
    <s v="mmsiska@lighthouse.org.mw"/>
    <s v="Michael Msiska"/>
    <x v="9"/>
    <s v="COE"/>
    <x v="0"/>
    <s v="COP_23"/>
    <x v="0"/>
    <x v="0"/>
    <s v="Quarter1"/>
    <x v="0"/>
    <x v="11"/>
    <d v="2023-12-01T00:00:00"/>
    <d v="2023-12-31T00:00:00"/>
    <x v="1"/>
    <n v="42"/>
    <n v="3"/>
    <n v="20"/>
    <n v="13"/>
    <n v="1"/>
    <n v="8"/>
    <n v="39"/>
    <n v="22"/>
    <n v="19"/>
    <n v="0"/>
    <n v="0"/>
    <n v="0"/>
    <n v="19"/>
    <n v="6"/>
    <n v="1"/>
    <n v="0"/>
    <n v="5"/>
    <n v="1"/>
    <n v="14"/>
    <n v="2"/>
    <n v="8"/>
    <n v="0"/>
    <n v="0"/>
    <n v="1"/>
  </r>
  <r>
    <n v="102"/>
    <d v="2024-01-19T08:57:34"/>
    <d v="2024-01-19T09:41:25"/>
    <s v="mmsiska@lighthouse.org.mw"/>
    <s v="Michael Msiska"/>
    <x v="9"/>
    <s v="COE"/>
    <x v="0"/>
    <s v="COP_24"/>
    <x v="0"/>
    <x v="0"/>
    <s v="Quarter1"/>
    <x v="0"/>
    <x v="0"/>
    <d v="2023-10-01T00:00:00"/>
    <d v="2023-10-31T00:00:00"/>
    <x v="1"/>
    <n v="31"/>
    <n v="8"/>
    <n v="16"/>
    <n v="4"/>
    <n v="5"/>
    <n v="6"/>
    <n v="31"/>
    <n v="22"/>
    <n v="24"/>
    <n v="0"/>
    <n v="0"/>
    <n v="0"/>
    <n v="25"/>
    <n v="6"/>
    <n v="3"/>
    <n v="0"/>
    <n v="6"/>
    <n v="4"/>
    <n v="18"/>
    <n v="3"/>
    <n v="8"/>
    <n v="0"/>
    <n v="0"/>
    <n v="1"/>
  </r>
  <r>
    <n v="105"/>
    <d v="2024-01-19T09:46:19"/>
    <d v="2024-01-19T09:48:49"/>
    <s v="mmsiska@lighthouse.org.mw"/>
    <s v="Michael Msiska"/>
    <x v="9"/>
    <s v="COE"/>
    <x v="0"/>
    <s v="COP_23"/>
    <x v="0"/>
    <x v="0"/>
    <s v="Quarter1"/>
    <x v="0"/>
    <x v="1"/>
    <d v="2023-11-01T00:00:00"/>
    <d v="2023-11-30T00:00:00"/>
    <x v="1"/>
    <n v="36"/>
    <n v="11"/>
    <n v="14"/>
    <n v="9"/>
    <n v="4"/>
    <n v="9"/>
    <n v="36"/>
    <n v="22"/>
    <n v="23"/>
    <n v="0"/>
    <n v="0"/>
    <n v="0"/>
    <n v="23"/>
    <n v="4"/>
    <n v="4"/>
    <n v="1"/>
    <n v="7"/>
    <n v="3"/>
    <n v="17"/>
    <n v="2"/>
    <n v="7"/>
    <n v="0"/>
    <n v="0"/>
    <n v="2"/>
  </r>
  <r>
    <n v="169"/>
    <d v="2024-03-11T14:26:42"/>
    <d v="2024-03-11T14:31:25"/>
    <s v="mchirwa@lighthouse.org.mw"/>
    <s v="Margaret Chirwa"/>
    <x v="9"/>
    <s v="COE"/>
    <x v="1"/>
    <s v="COP_23"/>
    <x v="0"/>
    <x v="2"/>
    <s v="Quarter2"/>
    <x v="2"/>
    <x v="5"/>
    <d v="2024-02-01T00:00:00"/>
    <d v="2024-02-29T00:00:00"/>
    <x v="1"/>
    <n v="155"/>
    <n v="16"/>
    <n v="84"/>
    <n v="27"/>
    <n v="9"/>
    <n v="11"/>
    <n v="131"/>
    <n v="39"/>
    <n v="39"/>
    <n v="3"/>
    <n v="3"/>
    <n v="0"/>
    <n v="39"/>
    <n v="9"/>
    <n v="0"/>
    <n v="0"/>
    <n v="4"/>
    <n v="1"/>
    <n v="24"/>
    <n v="2"/>
    <n v="9"/>
    <n v="1"/>
    <n v="2"/>
    <n v="0"/>
  </r>
  <r>
    <n v="222"/>
    <d v="2024-04-08T14:28:21"/>
    <d v="2024-04-08T14:41:43"/>
    <s v="mchirwa@lighthouse.org.mw"/>
    <s v="Margaret Chirwa"/>
    <x v="9"/>
    <s v="COE"/>
    <x v="1"/>
    <s v="COP_23"/>
    <x v="0"/>
    <x v="2"/>
    <s v="Quarter2"/>
    <x v="2"/>
    <x v="3"/>
    <d v="2024-03-01T00:00:00"/>
    <d v="2024-03-31T00:00:00"/>
    <x v="1"/>
    <n v="136"/>
    <n v="8"/>
    <n v="62"/>
    <n v="11"/>
    <n v="22"/>
    <n v="4"/>
    <n v="95"/>
    <n v="28"/>
    <n v="33"/>
    <n v="0"/>
    <n v="1"/>
    <n v="0"/>
    <n v="33"/>
    <n v="0"/>
    <n v="2"/>
    <n v="0"/>
    <n v="7"/>
    <n v="5"/>
    <n v="23"/>
    <n v="3"/>
    <n v="7"/>
    <n v="0"/>
    <n v="0"/>
    <n v="1"/>
  </r>
  <r>
    <n v="296"/>
    <d v="2024-04-24T10:50:41"/>
    <d v="2024-04-24T11:02:40"/>
    <s v="mchirwa@lighthouse.org.mw"/>
    <s v="Margaret Chirwa"/>
    <x v="9"/>
    <s v="COE"/>
    <x v="1"/>
    <s v="COP_24"/>
    <x v="0"/>
    <x v="2"/>
    <s v="Quarter2"/>
    <x v="2"/>
    <x v="4"/>
    <d v="2024-01-01T00:00:00"/>
    <d v="2024-01-31T00:00:00"/>
    <x v="1"/>
    <n v="144"/>
    <n v="32"/>
    <n v="89"/>
    <n v="22"/>
    <n v="21"/>
    <n v="12"/>
    <n v="143"/>
    <n v="49"/>
    <n v="57"/>
    <n v="1"/>
    <n v="2"/>
    <n v="1"/>
    <n v="52"/>
    <n v="6"/>
    <n v="3"/>
    <n v="0"/>
    <n v="6"/>
    <n v="3"/>
    <n v="30"/>
    <n v="5"/>
    <n v="9"/>
    <n v="1"/>
    <n v="0"/>
    <n v="2"/>
  </r>
  <r>
    <n v="623"/>
    <d v="2024-07-16T13:45:18"/>
    <d v="2024-07-16T13:48:49"/>
    <s v="jmakoza@lighthouse.org.mw"/>
    <s v="Jonathan Makoza"/>
    <x v="9"/>
    <s v="COE"/>
    <x v="1"/>
    <s v="COP_24"/>
    <x v="0"/>
    <x v="3"/>
    <s v="Quarter3"/>
    <x v="3"/>
    <x v="7"/>
    <d v="2024-04-01T00:00:00"/>
    <d v="2024-04-30T00:00:00"/>
    <x v="1"/>
    <n v="129"/>
    <n v="18"/>
    <n v="79"/>
    <n v="6"/>
    <n v="21"/>
    <n v="4"/>
    <n v="126"/>
    <n v="39"/>
    <n v="36"/>
    <n v="1"/>
    <n v="1"/>
    <n v="0"/>
    <n v="35"/>
    <n v="2"/>
    <n v="5"/>
    <n v="2"/>
    <n v="6"/>
    <n v="3"/>
    <n v="13"/>
    <n v="0"/>
    <n v="8"/>
    <n v="0"/>
    <n v="1"/>
    <n v="0"/>
  </r>
  <r>
    <n v="628"/>
    <d v="2024-07-16T14:34:21"/>
    <d v="2024-07-16T14:43:26"/>
    <s v="jmakoza@lighthouse.org.mw"/>
    <s v="Jonathan Makoza"/>
    <x v="9"/>
    <s v="COE"/>
    <x v="1"/>
    <s v="COP_24"/>
    <x v="0"/>
    <x v="3"/>
    <s v="Quarter3"/>
    <x v="3"/>
    <x v="6"/>
    <d v="2024-05-01T00:00:00"/>
    <d v="2024-05-30T00:00:00"/>
    <x v="1"/>
    <n v="134"/>
    <n v="21"/>
    <n v="67"/>
    <n v="8"/>
    <n v="26"/>
    <n v="5"/>
    <n v="130"/>
    <n v="34"/>
    <n v="43"/>
    <n v="0"/>
    <n v="0"/>
    <n v="0"/>
    <n v="4"/>
    <n v="0"/>
    <n v="2"/>
    <n v="1"/>
    <n v="1"/>
    <n v="0"/>
    <n v="32"/>
    <n v="2"/>
    <n v="4"/>
    <n v="0"/>
    <n v="0"/>
    <n v="2"/>
  </r>
  <r>
    <n v="634"/>
    <d v="2024-07-16T15:20:10"/>
    <d v="2024-07-16T15:27:35"/>
    <s v="jmakoza@lighthouse.org.mw"/>
    <s v="Jonathan Makoza"/>
    <x v="9"/>
    <s v="COE"/>
    <x v="1"/>
    <s v="COP_24"/>
    <x v="0"/>
    <x v="3"/>
    <s v="Quarter3"/>
    <x v="3"/>
    <x v="8"/>
    <d v="2024-06-01T00:00:00"/>
    <d v="2024-06-30T00:00:00"/>
    <x v="1"/>
    <n v="98"/>
    <n v="6"/>
    <n v="44"/>
    <n v="7"/>
    <n v="12"/>
    <n v="3"/>
    <n v="90"/>
    <n v="29"/>
    <n v="34"/>
    <n v="0"/>
    <n v="0"/>
    <n v="0"/>
    <n v="0"/>
    <n v="0"/>
    <n v="1"/>
    <n v="0"/>
    <n v="0"/>
    <n v="0"/>
    <n v="8"/>
    <n v="0"/>
    <n v="0"/>
    <n v="0"/>
    <n v="0"/>
    <n v="0"/>
  </r>
  <r>
    <n v="226"/>
    <d v="2024-04-08T15:42:48"/>
    <d v="2024-04-08T15:48:23"/>
    <s v="mchirwa@lighthouse.org.mw"/>
    <s v="Margaret Chirwa"/>
    <x v="9"/>
    <s v="COE"/>
    <x v="1"/>
    <s v="COP_24"/>
    <x v="0"/>
    <x v="2"/>
    <s v="Quarter2"/>
    <x v="2"/>
    <x v="3"/>
    <d v="2024-03-01T00:00:00"/>
    <d v="2024-03-31T00:00:00"/>
    <x v="2"/>
    <n v="49"/>
    <n v="4"/>
    <n v="37"/>
    <n v="3"/>
    <n v="5"/>
    <n v="4"/>
    <n v="49"/>
    <n v="15"/>
    <n v="25"/>
    <n v="0"/>
    <n v="0"/>
    <n v="0"/>
    <n v="25"/>
    <n v="1"/>
    <n v="2"/>
    <n v="0"/>
    <n v="7"/>
    <n v="1"/>
    <n v="12"/>
    <n v="2"/>
    <n v="4"/>
    <n v="0"/>
    <n v="0"/>
    <n v="0"/>
  </r>
  <r>
    <n v="302"/>
    <d v="2024-04-24T13:31:30"/>
    <d v="2024-04-24T13:32:38"/>
    <s v="mchirwa@lighthouse.org.mw"/>
    <s v="Margaret Chirwa"/>
    <x v="9"/>
    <s v="COE"/>
    <x v="1"/>
    <s v="COP_24"/>
    <x v="0"/>
    <x v="2"/>
    <s v="Quarter2"/>
    <x v="2"/>
    <x v="4"/>
    <d v="2024-01-01T00:00:00"/>
    <d v="2024-01-31T00:00:00"/>
    <x v="2"/>
    <n v="16"/>
    <n v="2"/>
    <n v="12"/>
    <n v="0"/>
    <n v="1"/>
    <n v="1"/>
    <n v="14"/>
    <n v="4"/>
    <n v="7"/>
    <n v="0"/>
    <n v="1"/>
    <n v="0"/>
    <n v="7"/>
    <n v="1"/>
    <n v="0"/>
    <n v="0"/>
    <n v="1"/>
    <n v="1"/>
    <n v="0"/>
    <n v="0"/>
    <n v="2"/>
    <n v="0"/>
    <n v="0"/>
    <n v="0"/>
  </r>
  <r>
    <n v="350"/>
    <d v="2024-04-30T15:35:16"/>
    <d v="2024-04-30T15:36:34"/>
    <s v="mchirwa@lighthouse.org.mw"/>
    <s v="Margaret Chirwa"/>
    <x v="9"/>
    <s v="COE"/>
    <x v="1"/>
    <s v="COP_24"/>
    <x v="0"/>
    <x v="2"/>
    <s v="Quarter2"/>
    <x v="2"/>
    <x v="5"/>
    <d v="2024-02-01T00:00:00"/>
    <d v="2024-02-29T00:00:00"/>
    <x v="2"/>
    <n v="36"/>
    <n v="6"/>
    <n v="20"/>
    <n v="2"/>
    <n v="4"/>
    <n v="3"/>
    <n v="29"/>
    <n v="7"/>
    <n v="24"/>
    <n v="2"/>
    <n v="1"/>
    <n v="0"/>
    <n v="24"/>
    <n v="2"/>
    <n v="0"/>
    <n v="0"/>
    <n v="4"/>
    <n v="0"/>
    <n v="7"/>
    <n v="0"/>
    <n v="2"/>
    <n v="1"/>
    <n v="0"/>
    <n v="0"/>
  </r>
  <r>
    <n v="626"/>
    <d v="2024-07-16T14:00:29"/>
    <d v="2024-07-16T14:12:25"/>
    <s v="jmakoza@lighthouse.org.mw"/>
    <s v="Jonathan Makoza"/>
    <x v="9"/>
    <s v="COE"/>
    <x v="1"/>
    <s v="COP_24"/>
    <x v="0"/>
    <x v="3"/>
    <s v="Quarter3"/>
    <x v="3"/>
    <x v="7"/>
    <d v="2024-04-01T00:00:00"/>
    <d v="2024-04-30T00:00:00"/>
    <x v="2"/>
    <n v="32"/>
    <n v="0"/>
    <n v="24"/>
    <n v="1"/>
    <n v="6"/>
    <n v="1"/>
    <n v="32"/>
    <n v="12"/>
    <n v="12"/>
    <n v="2"/>
    <n v="2"/>
    <n v="2"/>
    <n v="12"/>
    <n v="0"/>
    <n v="1"/>
    <n v="0"/>
    <n v="2"/>
    <n v="1"/>
    <n v="4"/>
    <n v="0"/>
    <n v="1"/>
    <n v="2"/>
    <n v="0"/>
    <n v="0"/>
  </r>
  <r>
    <n v="632"/>
    <d v="2024-07-16T15:05:08"/>
    <d v="2024-07-16T15:12:50"/>
    <s v="jmakoza@lighthouse.org.mw"/>
    <s v="Jonathan Makoza"/>
    <x v="9"/>
    <s v="COE"/>
    <x v="1"/>
    <s v="COP_24"/>
    <x v="0"/>
    <x v="3"/>
    <s v="Quarter3"/>
    <x v="3"/>
    <x v="6"/>
    <d v="2024-05-01T00:00:00"/>
    <d v="2024-05-31T00:00:00"/>
    <x v="2"/>
    <n v="53"/>
    <n v="2"/>
    <n v="12"/>
    <n v="0"/>
    <n v="2"/>
    <n v="0"/>
    <n v="13"/>
    <n v="2"/>
    <n v="2"/>
    <n v="0"/>
    <n v="0"/>
    <n v="0"/>
    <n v="1"/>
    <n v="0"/>
    <n v="0"/>
    <n v="0"/>
    <n v="2"/>
    <n v="0"/>
    <n v="2"/>
    <n v="0"/>
    <n v="0"/>
    <n v="0"/>
    <n v="0"/>
    <n v="0"/>
  </r>
  <r>
    <n v="855"/>
    <d v="2024-10-02T14:39:46"/>
    <d v="2024-10-02T14:45:18"/>
    <s v="jmakoza@lighthouse.org.mw"/>
    <s v="Jonathan Makoza"/>
    <x v="9"/>
    <s v="COE"/>
    <x v="1"/>
    <s v="COP_22"/>
    <x v="0"/>
    <x v="1"/>
    <s v="Quarter4"/>
    <x v="1"/>
    <x v="9"/>
    <d v="2024-07-01T00:00:00"/>
    <d v="2024-07-31T00:00:00"/>
    <x v="1"/>
    <n v="99"/>
    <n v="14"/>
    <n v="69"/>
    <n v="7"/>
    <n v="17"/>
    <n v="6"/>
    <n v="92"/>
    <n v="27"/>
    <n v="33"/>
    <n v="0"/>
    <n v="0"/>
    <n v="0"/>
    <n v="0"/>
    <n v="0"/>
    <n v="0"/>
    <n v="0"/>
    <n v="11"/>
    <n v="4"/>
    <n v="3"/>
    <n v="14"/>
    <n v="6"/>
    <n v="0"/>
    <n v="0"/>
    <n v="0"/>
  </r>
  <r>
    <n v="864"/>
    <d v="2024-10-02T15:21:07"/>
    <d v="2024-10-02T15:23:14"/>
    <s v="jmakoza@lighthouse.org.mw"/>
    <s v="Jonathan Makoza"/>
    <x v="9"/>
    <s v="COE"/>
    <x v="1"/>
    <s v="COP_22"/>
    <x v="0"/>
    <x v="1"/>
    <s v="Quarter4"/>
    <x v="1"/>
    <x v="10"/>
    <d v="2024-08-01T00:00:00"/>
    <d v="2024-08-31T00:00:00"/>
    <x v="1"/>
    <n v="123"/>
    <n v="2"/>
    <n v="76"/>
    <n v="7"/>
    <n v="19"/>
    <n v="8"/>
    <n v="106"/>
    <n v="28"/>
    <n v="30"/>
    <n v="0"/>
    <n v="0"/>
    <n v="0"/>
    <n v="3"/>
    <n v="2"/>
    <n v="0"/>
    <n v="0"/>
    <n v="3"/>
    <n v="2"/>
    <n v="4"/>
    <n v="0"/>
    <n v="9"/>
    <n v="0"/>
    <n v="0"/>
    <n v="0"/>
  </r>
  <r>
    <n v="955"/>
    <d v="2024-10-17T15:18:49"/>
    <d v="2024-10-17T15:25:01"/>
    <s v="jmakoza@lighthouse.org.mw"/>
    <s v="Jonathan Makoza"/>
    <x v="9"/>
    <s v="COE"/>
    <x v="1"/>
    <s v="COP_22"/>
    <x v="0"/>
    <x v="1"/>
    <s v="Quarter4"/>
    <x v="1"/>
    <x v="2"/>
    <d v="2024-09-01T00:00:00"/>
    <d v="2024-09-30T00:00:00"/>
    <x v="1"/>
    <n v="93"/>
    <n v="10"/>
    <n v="61"/>
    <n v="5"/>
    <n v="18"/>
    <n v="11"/>
    <n v="92"/>
    <n v="29"/>
    <n v="25"/>
    <n v="1"/>
    <n v="3"/>
    <n v="0"/>
    <n v="25"/>
    <n v="2"/>
    <n v="3"/>
    <n v="1"/>
    <n v="8"/>
    <n v="4"/>
    <n v="18"/>
    <n v="1"/>
    <n v="4"/>
    <n v="0"/>
    <n v="0"/>
    <n v="0"/>
  </r>
  <r>
    <n v="638"/>
    <d v="2024-07-16T15:44:07"/>
    <d v="2024-07-16T15:46:07"/>
    <s v="jmakoza@lighthouse.org.mw"/>
    <s v="Jonathan Makoza"/>
    <x v="9"/>
    <s v="COE"/>
    <x v="1"/>
    <s v="COP_24"/>
    <x v="0"/>
    <x v="3"/>
    <s v="Quarter3"/>
    <x v="3"/>
    <x v="8"/>
    <d v="2024-06-01T00:00:00"/>
    <d v="2024-06-30T00:00:00"/>
    <x v="2"/>
    <n v="50"/>
    <n v="1"/>
    <n v="5"/>
    <n v="1"/>
    <n v="1"/>
    <n v="0"/>
    <n v="6"/>
    <n v="1"/>
    <n v="1"/>
    <n v="0"/>
    <n v="0"/>
    <n v="0"/>
    <n v="0"/>
    <n v="0"/>
    <n v="0"/>
    <n v="0"/>
    <n v="0"/>
    <n v="0"/>
    <n v="0"/>
    <n v="0"/>
    <n v="0"/>
    <n v="0"/>
    <n v="0"/>
    <n v="0"/>
  </r>
  <r>
    <n v="859"/>
    <d v="2024-10-02T15:03:23"/>
    <d v="2024-10-02T15:05:29"/>
    <s v="jmakoza@lighthouse.org.mw"/>
    <s v="Jonathan Makoza"/>
    <x v="9"/>
    <s v="COE"/>
    <x v="1"/>
    <s v="COP_22"/>
    <x v="0"/>
    <x v="1"/>
    <s v="Quarter4"/>
    <x v="1"/>
    <x v="9"/>
    <d v="2024-07-01T00:00:00"/>
    <d v="2024-07-31T00:00:00"/>
    <x v="2"/>
    <n v="11"/>
    <n v="1"/>
    <n v="9"/>
    <n v="0"/>
    <n v="2"/>
    <n v="0"/>
    <n v="11"/>
    <n v="1"/>
    <n v="0"/>
    <n v="0"/>
    <n v="0"/>
    <n v="0"/>
    <n v="0"/>
    <n v="0"/>
    <n v="0"/>
    <n v="0"/>
    <n v="0"/>
    <n v="0"/>
    <n v="0"/>
    <n v="0"/>
    <n v="0"/>
    <n v="0"/>
    <n v="0"/>
    <n v="0"/>
  </r>
  <r>
    <n v="770"/>
    <d v="2024-08-19T10:34:30"/>
    <d v="2024-08-19T10:38:22"/>
    <s v="mchirwa@lighthouse.org.mw"/>
    <s v="Margaret Chirwa"/>
    <x v="9"/>
    <s v="COE"/>
    <x v="1"/>
    <s v="COP_24"/>
    <x v="0"/>
    <x v="3"/>
    <s v="Quarter3"/>
    <x v="3"/>
    <x v="8"/>
    <d v="2024-06-01T00:00:00"/>
    <d v="2024-06-30T00:00:00"/>
    <x v="3"/>
    <n v="7"/>
    <n v="0"/>
    <n v="5"/>
    <n v="2"/>
    <n v="0"/>
    <n v="0"/>
    <n v="0"/>
    <n v="0"/>
    <n v="5"/>
    <n v="0"/>
    <n v="0"/>
    <n v="0"/>
    <n v="0"/>
    <n v="0"/>
    <n v="0"/>
    <n v="0"/>
    <n v="0"/>
    <n v="0"/>
    <n v="3"/>
    <n v="0"/>
    <n v="0"/>
    <n v="0"/>
    <n v="0"/>
    <n v="0"/>
  </r>
  <r>
    <n v="862"/>
    <d v="2024-10-02T15:13:40"/>
    <d v="2024-10-02T15:17:18"/>
    <s v="jmakoza@lighthouse.org.mw"/>
    <s v="Jonathan Makoza"/>
    <x v="9"/>
    <s v="COE"/>
    <x v="1"/>
    <s v="COP_22"/>
    <x v="0"/>
    <x v="1"/>
    <s v="Quarter4"/>
    <x v="1"/>
    <x v="10"/>
    <d v="2024-08-01T00:00:00"/>
    <d v="2024-08-31T00:00:00"/>
    <x v="2"/>
    <n v="37"/>
    <n v="0"/>
    <n v="10"/>
    <n v="2"/>
    <n v="0"/>
    <n v="0"/>
    <n v="12"/>
    <n v="1"/>
    <n v="1"/>
    <n v="0"/>
    <n v="0"/>
    <n v="0"/>
    <n v="0"/>
    <n v="0"/>
    <n v="0"/>
    <n v="0"/>
    <n v="0"/>
    <n v="0"/>
    <n v="0"/>
    <n v="0"/>
    <n v="0"/>
    <n v="0"/>
    <n v="0"/>
    <n v="0"/>
  </r>
  <r>
    <n v="951"/>
    <d v="2024-10-17T15:05:30"/>
    <d v="2024-10-17T15:11:33"/>
    <s v="jmakoza@lighthouse.org.mw"/>
    <s v="Jonathan Makoza"/>
    <x v="9"/>
    <s v="COE"/>
    <x v="1"/>
    <s v="COP_22"/>
    <x v="0"/>
    <x v="1"/>
    <s v="Quarter4"/>
    <x v="1"/>
    <x v="2"/>
    <d v="2024-09-01T00:00:00"/>
    <d v="2024-09-30T00:00:00"/>
    <x v="2"/>
    <n v="40"/>
    <n v="0"/>
    <n v="8"/>
    <n v="1"/>
    <n v="3"/>
    <n v="1"/>
    <n v="13"/>
    <n v="5"/>
    <n v="6"/>
    <n v="0"/>
    <n v="0"/>
    <n v="0"/>
    <n v="6"/>
    <n v="0"/>
    <n v="0"/>
    <n v="0"/>
    <n v="3"/>
    <n v="1"/>
    <n v="4"/>
    <n v="0"/>
    <n v="1"/>
    <n v="0"/>
    <n v="0"/>
    <n v="0"/>
  </r>
  <r>
    <n v="856"/>
    <d v="2024-10-02T14:47:06"/>
    <d v="2024-10-02T14:50:48"/>
    <s v="jmakoza@lighthouse.org.mw"/>
    <s v="Jonathan Makoza"/>
    <x v="9"/>
    <s v="COE"/>
    <x v="1"/>
    <s v="COP_22"/>
    <x v="0"/>
    <x v="1"/>
    <s v="Quarter4"/>
    <x v="1"/>
    <x v="9"/>
    <d v="2024-07-01T00:00:00"/>
    <d v="2024-07-31T00:00:00"/>
    <x v="3"/>
    <n v="6"/>
    <n v="1"/>
    <n v="4"/>
    <n v="0"/>
    <n v="2"/>
    <n v="0"/>
    <n v="0"/>
    <n v="0"/>
    <n v="5"/>
    <n v="0"/>
    <n v="0"/>
    <n v="0"/>
    <n v="0"/>
    <n v="0"/>
    <n v="0"/>
    <n v="0"/>
    <n v="2"/>
    <n v="1"/>
    <n v="1"/>
    <n v="1"/>
    <n v="1"/>
    <n v="0"/>
    <n v="0"/>
    <n v="0"/>
  </r>
  <r>
    <n v="857"/>
    <d v="2024-10-02T14:53:54"/>
    <d v="2024-10-02T15:00:15"/>
    <s v="jmakoza@lighthouse.org.mw"/>
    <s v="Jonathan Makoza"/>
    <x v="9"/>
    <s v="COE"/>
    <x v="1"/>
    <s v="COP_22"/>
    <x v="0"/>
    <x v="1"/>
    <s v="Quarter4"/>
    <x v="1"/>
    <x v="9"/>
    <d v="2024-10-01T00:00:00"/>
    <d v="2024-10-31T00:00:00"/>
    <x v="4"/>
    <n v="6"/>
    <n v="1"/>
    <n v="3"/>
    <n v="1"/>
    <n v="2"/>
    <n v="0"/>
    <n v="6"/>
    <n v="1"/>
    <n v="0"/>
    <n v="0"/>
    <n v="0"/>
    <n v="0"/>
    <n v="0"/>
    <n v="0"/>
    <n v="0"/>
    <n v="0"/>
    <n v="0"/>
    <n v="0"/>
    <n v="1"/>
    <n v="0"/>
    <n v="0"/>
    <n v="0"/>
    <n v="0"/>
    <n v="0"/>
  </r>
  <r>
    <n v="858"/>
    <d v="2024-10-02T15:00:21"/>
    <d v="2024-10-02T15:03:10"/>
    <s v="jmakoza@lighthouse.org.mw"/>
    <s v="Jonathan Makoza"/>
    <x v="9"/>
    <s v="COE"/>
    <x v="1"/>
    <s v="COP_22"/>
    <x v="0"/>
    <x v="1"/>
    <s v="Quarter4"/>
    <x v="1"/>
    <x v="9"/>
    <d v="2024-07-01T00:00:00"/>
    <d v="2024-07-31T00:00:00"/>
    <x v="5"/>
    <n v="19"/>
    <n v="2"/>
    <n v="17"/>
    <n v="0"/>
    <n v="0"/>
    <n v="2"/>
    <n v="18"/>
    <n v="4"/>
    <n v="3"/>
    <n v="0"/>
    <n v="0"/>
    <n v="0"/>
    <n v="0"/>
    <n v="0"/>
    <n v="0"/>
    <n v="0"/>
    <n v="0"/>
    <n v="0"/>
    <n v="1"/>
    <n v="1"/>
    <n v="1"/>
    <n v="0"/>
    <n v="0"/>
    <n v="0"/>
  </r>
  <r>
    <n v="860"/>
    <d v="2024-10-02T15:06:14"/>
    <d v="2024-10-02T15:09:52"/>
    <s v="jmakoza@lighthouse.org.mw"/>
    <s v="Jonathan Makoza"/>
    <x v="9"/>
    <s v="COE"/>
    <x v="1"/>
    <s v="COP_22"/>
    <x v="0"/>
    <x v="1"/>
    <s v="Quarter4"/>
    <x v="1"/>
    <x v="9"/>
    <d v="2024-07-01T00:00:00"/>
    <d v="2024-07-31T00:00:00"/>
    <x v="0"/>
    <n v="129"/>
    <n v="17"/>
    <n v="95"/>
    <n v="7"/>
    <n v="19"/>
    <n v="8"/>
    <n v="121"/>
    <n v="32"/>
    <n v="36"/>
    <n v="0"/>
    <n v="0"/>
    <n v="0"/>
    <n v="0"/>
    <n v="0"/>
    <n v="0"/>
    <n v="0"/>
    <n v="11"/>
    <n v="4"/>
    <n v="15"/>
    <n v="4"/>
    <n v="7"/>
    <n v="0"/>
    <n v="0"/>
    <n v="0"/>
  </r>
  <r>
    <n v="861"/>
    <d v="2024-10-02T15:10:02"/>
    <d v="2024-10-02T15:13:25"/>
    <s v="jmakoza@lighthouse.org.mw"/>
    <s v="Jonathan Makoza"/>
    <x v="9"/>
    <s v="COE"/>
    <x v="1"/>
    <s v="COP_22"/>
    <x v="1"/>
    <x v="1"/>
    <s v="Quarter4"/>
    <x v="1"/>
    <x v="10"/>
    <d v="2024-08-01T00:00:00"/>
    <d v="2024-08-31T00:00:00"/>
    <x v="0"/>
    <n v="141"/>
    <n v="3"/>
    <n v="103"/>
    <n v="9"/>
    <n v="20"/>
    <n v="9"/>
    <n v="131"/>
    <n v="30"/>
    <n v="44"/>
    <n v="0"/>
    <n v="0"/>
    <n v="0"/>
    <n v="11"/>
    <n v="3"/>
    <n v="0"/>
    <n v="0"/>
    <n v="5"/>
    <n v="4"/>
    <n v="13"/>
    <n v="2"/>
    <n v="11"/>
    <n v="0"/>
    <n v="0"/>
    <n v="0"/>
  </r>
  <r>
    <n v="863"/>
    <d v="2024-10-02T15:17:26"/>
    <d v="2024-10-02T15:20:47"/>
    <s v="jmakoza@lighthouse.org.mw"/>
    <s v="Jonathan Makoza"/>
    <x v="9"/>
    <s v="COE"/>
    <x v="1"/>
    <s v="COP_23"/>
    <x v="0"/>
    <x v="1"/>
    <s v="Quarter4"/>
    <x v="1"/>
    <x v="10"/>
    <d v="2024-08-01T00:00:00"/>
    <d v="2024-08-31T00:00:00"/>
    <x v="5"/>
    <n v="56"/>
    <n v="0"/>
    <n v="11"/>
    <n v="1"/>
    <n v="0"/>
    <n v="1"/>
    <n v="9"/>
    <n v="1"/>
    <n v="7"/>
    <n v="0"/>
    <n v="0"/>
    <n v="0"/>
    <n v="6"/>
    <n v="1"/>
    <n v="0"/>
    <n v="0"/>
    <n v="1"/>
    <n v="1"/>
    <n v="2"/>
    <n v="0"/>
    <n v="0"/>
    <n v="0"/>
    <n v="0"/>
    <n v="0"/>
  </r>
  <r>
    <n v="865"/>
    <d v="2024-10-02T15:29:35"/>
    <d v="2024-10-02T15:31:29"/>
    <s v="jmakoza@lighthouse.org.mw"/>
    <s v="Jonathan Makoza"/>
    <x v="9"/>
    <s v="COE"/>
    <x v="1"/>
    <s v="COP_22"/>
    <x v="1"/>
    <x v="1"/>
    <s v="Quarter4"/>
    <x v="1"/>
    <x v="10"/>
    <d v="2024-08-01T00:00:00"/>
    <d v="2024-08-31T00:00:00"/>
    <x v="3"/>
    <n v="9"/>
    <n v="0"/>
    <n v="8"/>
    <n v="0"/>
    <n v="1"/>
    <n v="0"/>
    <n v="1"/>
    <n v="0"/>
    <n v="9"/>
    <n v="0"/>
    <n v="0"/>
    <n v="0"/>
    <n v="6"/>
    <n v="0"/>
    <n v="0"/>
    <n v="0"/>
    <n v="0"/>
    <n v="4"/>
    <n v="0"/>
    <n v="0"/>
    <n v="0"/>
    <n v="0"/>
    <n v="0"/>
    <n v="0"/>
  </r>
  <r>
    <n v="866"/>
    <d v="2024-10-02T15:32:52"/>
    <d v="2024-10-02T15:34:50"/>
    <s v="jmakoza@lighthouse.org.mw"/>
    <s v="Jonathan Makoza"/>
    <x v="9"/>
    <s v="COE"/>
    <x v="1"/>
    <s v="COP_23"/>
    <x v="0"/>
    <x v="1"/>
    <s v="Quarter4"/>
    <x v="1"/>
    <x v="10"/>
    <d v="2024-08-01T00:00:00"/>
    <d v="2024-08-31T00:00:00"/>
    <x v="4"/>
    <n v="8"/>
    <n v="1"/>
    <n v="5"/>
    <n v="0"/>
    <n v="1"/>
    <n v="2"/>
    <n v="8"/>
    <n v="1"/>
    <n v="1"/>
    <n v="0"/>
    <n v="0"/>
    <n v="0"/>
    <n v="1"/>
    <n v="1"/>
    <n v="0"/>
    <n v="0"/>
    <n v="5"/>
    <n v="0"/>
    <n v="6"/>
    <n v="1"/>
    <n v="2"/>
    <n v="0"/>
    <n v="0"/>
    <n v="0"/>
  </r>
  <r>
    <n v="950"/>
    <d v="2024-10-17T14:58:57"/>
    <d v="2024-10-17T15:04:41"/>
    <s v="jmakoza@lighthouse.org.mw"/>
    <s v="Jonathan Makoza"/>
    <x v="9"/>
    <s v="COE"/>
    <x v="1"/>
    <s v="COP_23"/>
    <x v="0"/>
    <x v="1"/>
    <s v="Quarter4"/>
    <x v="1"/>
    <x v="2"/>
    <d v="2024-09-01T00:00:00"/>
    <d v="2024-09-30T00:00:00"/>
    <x v="0"/>
    <n v="117"/>
    <n v="13"/>
    <n v="75"/>
    <n v="6"/>
    <n v="22"/>
    <n v="14"/>
    <n v="114"/>
    <n v="39"/>
    <n v="36"/>
    <n v="2"/>
    <n v="5"/>
    <n v="0"/>
    <n v="35"/>
    <n v="4"/>
    <n v="3"/>
    <n v="1"/>
    <n v="14"/>
    <n v="6"/>
    <n v="24"/>
    <n v="1"/>
    <n v="6"/>
    <n v="0"/>
    <n v="0"/>
    <n v="0"/>
  </r>
  <r>
    <n v="952"/>
    <d v="2024-10-17T15:11:41"/>
    <d v="2024-10-17T15:14:10"/>
    <s v="jmakoza@lighthouse.org.mw"/>
    <s v="Jonathan Makoza"/>
    <x v="9"/>
    <s v="COE"/>
    <x v="1"/>
    <s v="COP_23"/>
    <x v="0"/>
    <x v="1"/>
    <s v="Quarter4"/>
    <x v="1"/>
    <x v="2"/>
    <d v="2024-09-01T00:00:00"/>
    <d v="2024-09-30T00:00:00"/>
    <x v="5"/>
    <n v="50"/>
    <n v="0"/>
    <n v="8"/>
    <n v="1"/>
    <n v="0"/>
    <n v="0"/>
    <n v="9"/>
    <n v="3"/>
    <n v="3"/>
    <n v="0"/>
    <n v="0"/>
    <n v="0"/>
    <n v="3"/>
    <n v="0"/>
    <n v="0"/>
    <n v="0"/>
    <n v="3"/>
    <n v="1"/>
    <n v="1"/>
    <n v="0"/>
    <n v="0"/>
    <n v="0"/>
    <n v="0"/>
    <n v="0"/>
  </r>
  <r>
    <n v="953"/>
    <d v="2024-10-17T15:14:14"/>
    <d v="2024-10-17T15:16:35"/>
    <s v="jmakoza@lighthouse.org.mw"/>
    <s v="Jonathan Makoza"/>
    <x v="9"/>
    <s v="COE"/>
    <x v="1"/>
    <s v="COP_23"/>
    <x v="0"/>
    <x v="1"/>
    <s v="Quarter4"/>
    <x v="1"/>
    <x v="2"/>
    <d v="2024-09-01T00:00:00"/>
    <d v="2024-09-30T00:00:00"/>
    <x v="4"/>
    <n v="3"/>
    <n v="0"/>
    <n v="0"/>
    <n v="0"/>
    <n v="0"/>
    <n v="2"/>
    <n v="2"/>
    <n v="2"/>
    <n v="2"/>
    <n v="0"/>
    <n v="0"/>
    <n v="0"/>
    <n v="2"/>
    <n v="0"/>
    <n v="0"/>
    <n v="0"/>
    <n v="0"/>
    <n v="0"/>
    <n v="1"/>
    <n v="0"/>
    <n v="0"/>
    <n v="0"/>
    <n v="0"/>
    <n v="0"/>
  </r>
  <r>
    <n v="954"/>
    <d v="2024-10-17T15:16:41"/>
    <d v="2024-10-17T15:18:37"/>
    <s v="jmakoza@lighthouse.org.mw"/>
    <s v="Jonathan Makoza"/>
    <x v="9"/>
    <s v="COE"/>
    <x v="1"/>
    <s v="COP_23"/>
    <x v="0"/>
    <x v="1"/>
    <s v="Quarter4"/>
    <x v="1"/>
    <x v="2"/>
    <d v="2024-09-01T00:00:00"/>
    <d v="2024-09-30T00:00:00"/>
    <x v="3"/>
    <n v="5"/>
    <n v="0"/>
    <n v="2"/>
    <n v="0"/>
    <n v="1"/>
    <n v="0"/>
    <n v="2"/>
    <n v="0"/>
    <n v="0"/>
    <n v="0"/>
    <n v="0"/>
    <n v="0"/>
    <n v="0"/>
    <n v="0"/>
    <n v="0"/>
    <n v="0"/>
    <n v="0"/>
    <n v="0"/>
    <n v="0"/>
    <n v="0"/>
    <n v="0"/>
    <n v="0"/>
    <n v="0"/>
    <n v="0"/>
  </r>
  <r>
    <n v="1138"/>
    <d v="2024-12-17T13:56:54"/>
    <d v="2024-12-17T14:07:14"/>
    <s v="jmakoza@lighthouse.org.mw"/>
    <s v="Jonathan Makoza"/>
    <x v="9"/>
    <s v="COE"/>
    <x v="1"/>
    <s v="COP_23"/>
    <x v="2"/>
    <x v="0"/>
    <s v="Quarter1"/>
    <x v="0"/>
    <x v="1"/>
    <d v="2024-11-01T00:00:00"/>
    <d v="2024-11-30T00:00:00"/>
    <x v="1"/>
    <n v="103"/>
    <n v="5"/>
    <n v="80"/>
    <n v="8"/>
    <n v="10"/>
    <n v="7"/>
    <n v="100"/>
    <n v="30"/>
    <n v="37"/>
    <n v="0"/>
    <n v="0"/>
    <n v="0"/>
    <n v="30"/>
    <n v="4"/>
    <n v="7"/>
    <n v="1"/>
    <n v="4"/>
    <n v="1"/>
    <n v="13"/>
    <n v="0"/>
    <n v="3"/>
    <n v="0"/>
    <n v="0"/>
    <n v="1"/>
  </r>
  <r>
    <n v="1139"/>
    <d v="2024-12-17T14:07:22"/>
    <d v="2024-12-17T14:12:10"/>
    <s v="jmakoza@lighthouse.org.mw"/>
    <s v="Jonathan Makoza"/>
    <x v="9"/>
    <s v="COE"/>
    <x v="1"/>
    <s v="COP_23"/>
    <x v="2"/>
    <x v="0"/>
    <s v="Quarter1"/>
    <x v="0"/>
    <x v="1"/>
    <d v="2024-11-01T00:00:00"/>
    <d v="2024-11-30T00:00:00"/>
    <x v="3"/>
    <n v="5"/>
    <n v="0"/>
    <n v="3"/>
    <n v="0"/>
    <n v="1"/>
    <n v="1"/>
    <n v="5"/>
    <n v="0"/>
    <n v="5"/>
    <n v="0"/>
    <n v="0"/>
    <n v="0"/>
    <n v="4"/>
    <n v="1"/>
    <n v="0"/>
    <n v="0"/>
    <n v="0"/>
    <n v="0"/>
    <n v="1"/>
    <n v="0"/>
    <n v="0"/>
    <n v="0"/>
    <n v="0"/>
    <n v="0"/>
  </r>
  <r>
    <n v="1140"/>
    <d v="2024-12-17T14:12:14"/>
    <d v="2024-12-17T14:15:51"/>
    <s v="jmakoza@lighthouse.org.mw"/>
    <s v="Jonathan Makoza"/>
    <x v="9"/>
    <s v="COE"/>
    <x v="1"/>
    <s v="COP_23"/>
    <x v="2"/>
    <x v="0"/>
    <s v="Quarter1"/>
    <x v="0"/>
    <x v="1"/>
    <d v="2024-11-01T00:00:00"/>
    <d v="2024-11-30T00:00:00"/>
    <x v="4"/>
    <n v="5"/>
    <n v="0"/>
    <n v="4"/>
    <n v="0"/>
    <n v="0"/>
    <n v="1"/>
    <n v="5"/>
    <n v="1"/>
    <n v="4"/>
    <n v="0"/>
    <n v="0"/>
    <n v="0"/>
    <n v="2"/>
    <n v="0"/>
    <n v="0"/>
    <n v="0"/>
    <n v="0"/>
    <n v="0"/>
    <n v="2"/>
    <n v="0"/>
    <n v="1"/>
    <n v="0"/>
    <n v="0"/>
    <n v="0"/>
  </r>
  <r>
    <n v="1141"/>
    <d v="2024-12-17T14:16:56"/>
    <d v="2024-12-17T14:23:11"/>
    <s v="jmakoza@lighthouse.org.mw"/>
    <s v="Jonathan Makoza"/>
    <x v="9"/>
    <s v="COE"/>
    <x v="1"/>
    <s v="COP_23"/>
    <x v="2"/>
    <x v="0"/>
    <s v="Quarter1"/>
    <x v="0"/>
    <x v="1"/>
    <d v="2024-11-01T00:00:00"/>
    <d v="2024-11-30T00:00:00"/>
    <x v="5"/>
    <n v="52"/>
    <n v="3"/>
    <n v="36"/>
    <n v="1"/>
    <n v="0"/>
    <n v="3"/>
    <n v="34"/>
    <n v="4"/>
    <n v="9"/>
    <n v="0"/>
    <n v="0"/>
    <n v="0"/>
    <n v="11"/>
    <n v="1"/>
    <n v="1"/>
    <n v="1"/>
    <n v="0"/>
    <n v="0"/>
    <n v="6"/>
    <n v="1"/>
    <n v="3"/>
    <n v="0"/>
    <n v="0"/>
    <n v="0"/>
  </r>
  <r>
    <n v="1142"/>
    <d v="2024-12-17T14:23:46"/>
    <d v="2024-12-17T14:34:11"/>
    <s v="jmakoza@lighthouse.org.mw"/>
    <s v="Jonathan Makoza"/>
    <x v="9"/>
    <s v="COE"/>
    <x v="1"/>
    <s v="COP_23"/>
    <x v="2"/>
    <x v="0"/>
    <s v="Quarter1"/>
    <x v="0"/>
    <x v="1"/>
    <d v="2024-11-01T00:00:00"/>
    <d v="2024-11-30T00:00:00"/>
    <x v="2"/>
    <n v="74"/>
    <n v="1"/>
    <n v="22"/>
    <n v="2"/>
    <n v="6"/>
    <n v="0"/>
    <n v="29"/>
    <n v="11"/>
    <n v="9"/>
    <n v="0"/>
    <n v="0"/>
    <n v="0"/>
    <n v="9"/>
    <n v="0"/>
    <n v="1"/>
    <n v="0"/>
    <n v="2"/>
    <n v="1"/>
    <n v="7"/>
    <n v="0"/>
    <n v="0"/>
    <n v="0"/>
    <n v="0"/>
    <n v="0"/>
  </r>
  <r>
    <n v="1143"/>
    <d v="2024-12-17T14:35:11"/>
    <d v="2024-12-17T14:38:49"/>
    <s v="jmakoza@lighthouse.org.mw"/>
    <s v="Jonathan Makoza"/>
    <x v="9"/>
    <s v="COE"/>
    <x v="1"/>
    <s v="COP_23"/>
    <x v="2"/>
    <x v="0"/>
    <s v="Quarter1"/>
    <x v="0"/>
    <x v="1"/>
    <d v="2024-11-01T00:00:00"/>
    <d v="2024-11-30T00:00:00"/>
    <x v="0"/>
    <n v="177"/>
    <n v="9"/>
    <n v="140"/>
    <n v="10"/>
    <n v="17"/>
    <n v="10"/>
    <n v="170"/>
    <n v="42"/>
    <n v="60"/>
    <n v="0"/>
    <n v="0"/>
    <n v="0"/>
    <n v="50"/>
    <n v="5"/>
    <n v="9"/>
    <n v="2"/>
    <n v="6"/>
    <n v="2"/>
    <n v="26"/>
    <n v="1"/>
    <n v="6"/>
    <n v="0"/>
    <n v="0"/>
    <n v="1"/>
  </r>
  <r>
    <n v="1147"/>
    <d v="2024-12-17T14:52:22"/>
    <d v="2024-12-17T14:55:40"/>
    <s v="jmakoza@lighthouse.org.mw"/>
    <s v="Jonathan Makoza"/>
    <x v="9"/>
    <s v="COE"/>
    <x v="1"/>
    <s v="COP_23"/>
    <x v="2"/>
    <x v="0"/>
    <s v="Quarter1"/>
    <x v="0"/>
    <x v="0"/>
    <d v="2024-10-01T00:00:00"/>
    <d v="2024-10-31T00:00:00"/>
    <x v="0"/>
    <n v="155"/>
    <n v="11"/>
    <n v="116"/>
    <n v="14"/>
    <n v="12"/>
    <n v="13"/>
    <n v="144"/>
    <n v="44"/>
    <n v="54"/>
    <n v="2"/>
    <n v="0"/>
    <n v="0"/>
    <n v="50"/>
    <n v="6"/>
    <n v="3"/>
    <n v="1"/>
    <n v="10"/>
    <n v="3"/>
    <n v="30"/>
    <n v="2"/>
    <n v="11"/>
    <n v="1"/>
    <n v="0"/>
    <n v="0"/>
  </r>
  <r>
    <n v="1148"/>
    <d v="2024-12-17T15:00:21"/>
    <d v="2024-12-17T15:00:46"/>
    <s v="jmakoza@lighthouse.org.mw"/>
    <s v="Jonathan Makoza"/>
    <x v="9"/>
    <s v="COE"/>
    <x v="1"/>
    <s v="COP_23"/>
    <x v="2"/>
    <x v="0"/>
    <s v="Quarter1"/>
    <x v="0"/>
    <x v="0"/>
    <d v="2024-10-01T00:00:00"/>
    <d v="2024-10-31T00:00:00"/>
    <x v="2"/>
    <n v="66"/>
    <n v="3"/>
    <n v="5"/>
    <n v="3"/>
    <n v="0"/>
    <n v="3"/>
    <n v="11"/>
    <n v="5"/>
    <n v="4"/>
    <n v="1"/>
    <n v="0"/>
    <n v="0"/>
    <n v="5"/>
    <n v="1"/>
    <n v="0"/>
    <n v="0"/>
    <n v="0"/>
    <n v="0"/>
    <n v="4"/>
    <n v="0"/>
    <n v="1"/>
    <n v="0"/>
    <n v="0"/>
    <n v="0"/>
  </r>
  <r>
    <n v="1149"/>
    <d v="2024-12-17T15:01:03"/>
    <d v="2024-12-17T15:06:25"/>
    <s v="jmakoza@lighthouse.org.mw"/>
    <s v="Jonathan Makoza"/>
    <x v="9"/>
    <s v="COE"/>
    <x v="1"/>
    <s v="COP_23"/>
    <x v="2"/>
    <x v="0"/>
    <s v="Quarter1"/>
    <x v="0"/>
    <x v="0"/>
    <d v="2024-10-01T00:00:00"/>
    <d v="2024-10-31T00:00:00"/>
    <x v="5"/>
    <n v="34"/>
    <n v="0"/>
    <n v="23"/>
    <n v="1"/>
    <n v="0"/>
    <n v="0"/>
    <n v="20"/>
    <n v="5"/>
    <n v="10"/>
    <n v="0"/>
    <n v="0"/>
    <n v="0"/>
    <n v="9"/>
    <n v="1"/>
    <n v="0"/>
    <n v="0"/>
    <n v="0"/>
    <n v="0"/>
    <n v="4"/>
    <n v="0"/>
    <n v="1"/>
    <n v="0"/>
    <n v="0"/>
    <n v="0"/>
  </r>
  <r>
    <n v="1150"/>
    <d v="2024-12-17T15:06:32"/>
    <d v="2024-12-17T15:15:04"/>
    <s v="jmakoza@lighthouse.org.mw"/>
    <s v="Jonathan Makoza"/>
    <x v="9"/>
    <s v="COE"/>
    <x v="1"/>
    <s v="COP_23"/>
    <x v="2"/>
    <x v="0"/>
    <s v="Quarter1"/>
    <x v="0"/>
    <x v="0"/>
    <d v="2024-10-01T00:00:00"/>
    <d v="2024-10-31T00:00:00"/>
    <x v="4"/>
    <n v="9"/>
    <n v="0"/>
    <n v="7"/>
    <n v="0"/>
    <n v="0"/>
    <n v="2"/>
    <n v="7"/>
    <n v="2"/>
    <n v="7"/>
    <n v="0"/>
    <n v="0"/>
    <n v="0"/>
    <n v="7"/>
    <n v="0"/>
    <n v="0"/>
    <n v="0"/>
    <n v="2"/>
    <n v="0"/>
    <n v="3"/>
    <n v="0"/>
    <n v="0"/>
    <n v="0"/>
    <n v="0"/>
    <n v="0"/>
  </r>
  <r>
    <n v="1151"/>
    <d v="2024-12-17T15:15:50"/>
    <d v="2024-12-17T15:27:14"/>
    <s v="jmakoza@lighthouse.org.mw"/>
    <s v="Jonathan Makoza"/>
    <x v="9"/>
    <s v="COE"/>
    <x v="1"/>
    <s v="COP_23"/>
    <x v="2"/>
    <x v="0"/>
    <s v="Quarter1"/>
    <x v="0"/>
    <x v="0"/>
    <d v="2024-10-01T00:00:00"/>
    <d v="2024-10-31T00:00:00"/>
    <x v="3"/>
    <n v="6"/>
    <n v="0"/>
    <n v="6"/>
    <n v="0"/>
    <n v="0"/>
    <n v="0"/>
    <n v="0"/>
    <n v="0"/>
    <n v="6"/>
    <n v="0"/>
    <n v="0"/>
    <n v="0"/>
    <n v="2"/>
    <n v="0"/>
    <n v="0"/>
    <n v="0"/>
    <n v="0"/>
    <n v="0"/>
    <n v="0"/>
    <n v="0"/>
    <n v="0"/>
    <n v="0"/>
    <n v="0"/>
    <n v="0"/>
  </r>
  <r>
    <n v="1152"/>
    <d v="2024-12-17T15:27:56"/>
    <d v="2024-12-17T15:31:00"/>
    <s v="jmakoza@lighthouse.org.mw"/>
    <s v="Jonathan Makoza"/>
    <x v="9"/>
    <s v="COE"/>
    <x v="1"/>
    <s v="COP_23"/>
    <x v="2"/>
    <x v="0"/>
    <s v="Quarter1"/>
    <x v="0"/>
    <x v="0"/>
    <d v="2024-10-01T00:00:00"/>
    <d v="2024-10-31T00:00:00"/>
    <x v="1"/>
    <n v="111"/>
    <n v="7"/>
    <n v="84"/>
    <n v="11"/>
    <n v="12"/>
    <n v="9"/>
    <n v="109"/>
    <n v="32"/>
    <n v="38"/>
    <n v="1"/>
    <n v="0"/>
    <n v="0"/>
    <n v="34"/>
    <n v="3"/>
    <n v="3"/>
    <n v="1"/>
    <n v="10"/>
    <n v="3"/>
    <n v="22"/>
    <n v="2"/>
    <n v="8"/>
    <n v="1"/>
    <n v="0"/>
    <n v="0"/>
  </r>
  <r>
    <n v="1249"/>
    <d v="2025-01-13T13:28:09"/>
    <d v="2025-01-13T13:40:56"/>
    <s v="jmakoza@lighthouse.org.mw"/>
    <s v="Jonathan Makoza"/>
    <x v="9"/>
    <s v="COE"/>
    <x v="1"/>
    <s v="COP_23"/>
    <x v="2"/>
    <x v="0"/>
    <s v="Quarter1"/>
    <x v="0"/>
    <x v="11"/>
    <d v="2024-12-01T00:00:00"/>
    <d v="2024-12-31T00:00:00"/>
    <x v="1"/>
    <n v="105"/>
    <n v="5"/>
    <n v="75"/>
    <n v="8"/>
    <n v="8"/>
    <n v="7"/>
    <n v="96"/>
    <n v="28"/>
    <n v="27"/>
    <n v="1"/>
    <n v="1"/>
    <n v="1"/>
    <n v="27"/>
    <n v="1"/>
    <n v="2"/>
    <n v="0"/>
    <n v="5"/>
    <n v="4"/>
    <n v="16"/>
    <n v="2"/>
    <n v="6"/>
    <n v="1"/>
    <n v="0"/>
    <n v="0"/>
  </r>
  <r>
    <n v="1252"/>
    <d v="2025-01-13T13:41:07"/>
    <d v="2025-01-13T13:45:17"/>
    <s v="jmakoza@lighthouse.org.mw"/>
    <s v="Jonathan Makoza"/>
    <x v="9"/>
    <s v="COE"/>
    <x v="1"/>
    <s v="COP_23"/>
    <x v="2"/>
    <x v="0"/>
    <s v="Quarter1"/>
    <x v="0"/>
    <x v="11"/>
    <d v="2024-12-01T00:00:00"/>
    <d v="2024-12-31T00:00:00"/>
    <x v="2"/>
    <n v="61"/>
    <n v="3"/>
    <n v="13"/>
    <n v="1"/>
    <n v="2"/>
    <n v="2"/>
    <n v="18"/>
    <n v="6"/>
    <n v="7"/>
    <n v="0"/>
    <n v="0"/>
    <n v="0"/>
    <n v="7"/>
    <n v="1"/>
    <n v="1"/>
    <n v="0"/>
    <n v="1"/>
    <n v="1"/>
    <n v="4"/>
    <n v="0"/>
    <n v="4"/>
    <n v="0"/>
    <n v="0"/>
    <n v="0"/>
  </r>
  <r>
    <n v="1253"/>
    <d v="2025-01-13T13:45:55"/>
    <d v="2025-01-13T13:47:47"/>
    <s v="jmakoza@lighthouse.org.mw"/>
    <s v="Jonathan Makoza"/>
    <x v="9"/>
    <s v="COE"/>
    <x v="1"/>
    <s v="COP_23"/>
    <x v="2"/>
    <x v="0"/>
    <s v="Quarter1"/>
    <x v="0"/>
    <x v="11"/>
    <d v="2024-12-01T00:00:00"/>
    <d v="2024-12-31T00:00:00"/>
    <x v="5"/>
    <n v="21"/>
    <n v="1"/>
    <n v="20"/>
    <n v="0"/>
    <n v="0"/>
    <n v="1"/>
    <n v="21"/>
    <n v="4"/>
    <n v="6"/>
    <n v="0"/>
    <n v="0"/>
    <n v="0"/>
    <n v="5"/>
    <n v="1"/>
    <n v="0"/>
    <n v="0"/>
    <n v="0"/>
    <n v="0"/>
    <n v="4"/>
    <n v="0"/>
    <n v="1"/>
    <n v="0"/>
    <n v="0"/>
    <n v="0"/>
  </r>
  <r>
    <n v="1254"/>
    <d v="2025-01-13T13:47:55"/>
    <d v="2025-01-13T13:49:35"/>
    <s v="jmakoza@lighthouse.org.mw"/>
    <s v="Jonathan Makoza"/>
    <x v="9"/>
    <s v="COE"/>
    <x v="1"/>
    <s v="COP_23"/>
    <x v="2"/>
    <x v="0"/>
    <s v="Quarter1"/>
    <x v="0"/>
    <x v="11"/>
    <d v="2024-12-01T00:00:00"/>
    <d v="2024-12-31T00:00:00"/>
    <x v="3"/>
    <n v="6"/>
    <n v="1"/>
    <n v="4"/>
    <n v="0"/>
    <n v="1"/>
    <n v="1"/>
    <n v="0"/>
    <n v="0"/>
    <n v="1"/>
    <n v="0"/>
    <n v="0"/>
    <n v="0"/>
    <n v="1"/>
    <n v="1"/>
    <n v="0"/>
    <n v="0"/>
    <n v="1"/>
    <n v="1"/>
    <n v="0"/>
    <n v="0"/>
    <n v="2"/>
    <n v="0"/>
    <n v="0"/>
    <n v="0"/>
  </r>
  <r>
    <n v="1255"/>
    <d v="2025-01-13T13:49:38"/>
    <d v="2025-01-13T13:51:43"/>
    <s v="jmakoza@lighthouse.org.mw"/>
    <s v="Jonathan Makoza"/>
    <x v="9"/>
    <s v="COE"/>
    <x v="1"/>
    <s v="COP_23"/>
    <x v="2"/>
    <x v="0"/>
    <s v="Quarter1"/>
    <x v="0"/>
    <x v="11"/>
    <d v="2024-12-01T00:00:00"/>
    <d v="2024-12-31T00:00:00"/>
    <x v="4"/>
    <n v="6"/>
    <n v="0"/>
    <n v="5"/>
    <n v="0"/>
    <n v="0"/>
    <n v="1"/>
    <n v="0"/>
    <n v="0"/>
    <n v="0"/>
    <n v="0"/>
    <n v="0"/>
    <n v="0"/>
    <n v="0"/>
    <n v="0"/>
    <n v="0"/>
    <n v="0"/>
    <n v="0"/>
    <n v="0"/>
    <n v="0"/>
    <n v="0"/>
    <n v="0"/>
    <n v="0"/>
    <n v="0"/>
    <n v="0"/>
  </r>
  <r>
    <n v="1304"/>
    <d v="2025-01-17T14:29:49"/>
    <d v="2025-01-17T14:37:15"/>
    <s v="eadisoni@lighthouse.org.mw"/>
    <s v="Eliza adisoni"/>
    <x v="9"/>
    <s v="COE"/>
    <x v="1"/>
    <s v="COP_23"/>
    <x v="2"/>
    <x v="0"/>
    <s v="Quarter1"/>
    <x v="0"/>
    <x v="11"/>
    <d v="2024-12-01T00:00:00"/>
    <d v="2024-12-31T00:00:00"/>
    <x v="0"/>
    <n v="149"/>
    <n v="11"/>
    <n v="117"/>
    <n v="9"/>
    <n v="11"/>
    <n v="12"/>
    <n v="138"/>
    <n v="43"/>
    <n v="47"/>
    <n v="1"/>
    <n v="1"/>
    <n v="1"/>
    <n v="46"/>
    <n v="6"/>
    <n v="3"/>
    <n v="0"/>
    <n v="8"/>
    <n v="5"/>
    <n v="26"/>
    <n v="3"/>
    <n v="14"/>
    <n v="1"/>
    <n v="0"/>
    <n v="0"/>
  </r>
  <r>
    <n v="1327"/>
    <d v="2025-02-25T14:22:57"/>
    <d v="2025-02-25T14:29:31"/>
    <s v="eadisoni@lighthouse.org.mw"/>
    <s v="Eliza adisoni"/>
    <x v="9"/>
    <s v="COE"/>
    <x v="2"/>
    <s v="COP_23"/>
    <x v="2"/>
    <x v="2"/>
    <s v="Quarter2"/>
    <x v="2"/>
    <x v="4"/>
    <d v="2025-01-01T00:00:00"/>
    <d v="2025-01-31T00:00:00"/>
    <x v="0"/>
    <n v="106"/>
    <n v="11"/>
    <n v="84"/>
    <n v="7"/>
    <n v="10"/>
    <n v="5"/>
    <n v="103"/>
    <n v="24"/>
    <n v="25"/>
    <n v="0"/>
    <n v="0"/>
    <n v="0"/>
    <n v="25"/>
    <n v="1"/>
    <n v="2"/>
    <n v="1"/>
    <n v="4"/>
    <n v="1"/>
    <n v="20"/>
    <n v="1"/>
    <n v="3"/>
    <n v="0"/>
    <n v="0"/>
    <n v="1"/>
  </r>
  <r>
    <n v="1328"/>
    <d v="2025-02-25T14:29:46"/>
    <d v="2025-02-25T14:32:11"/>
    <s v="eadisoni@lighthouse.org.mw"/>
    <s v="Eliza adisoni"/>
    <x v="9"/>
    <s v="COE"/>
    <x v="2"/>
    <s v="COP_23"/>
    <x v="2"/>
    <x v="2"/>
    <s v="Quarter2"/>
    <x v="2"/>
    <x v="4"/>
    <d v="2025-01-01T00:00:00"/>
    <d v="2025-01-31T00:00:00"/>
    <x v="1"/>
    <n v="80"/>
    <n v="8"/>
    <n v="60"/>
    <n v="6"/>
    <n v="10"/>
    <n v="4"/>
    <n v="77"/>
    <n v="15"/>
    <n v="18"/>
    <n v="0"/>
    <n v="0"/>
    <n v="0"/>
    <n v="18"/>
    <n v="1"/>
    <n v="1"/>
    <n v="0"/>
    <n v="3"/>
    <n v="1"/>
    <n v="12"/>
    <n v="0"/>
    <n v="2"/>
    <n v="0"/>
    <n v="0"/>
    <n v="1"/>
  </r>
  <r>
    <n v="1329"/>
    <d v="2025-02-25T14:32:19"/>
    <d v="2025-02-25T14:34:25"/>
    <s v="eadisoni@lighthouse.org.mw"/>
    <s v="Eliza adisoni"/>
    <x v="9"/>
    <s v="COE"/>
    <x v="2"/>
    <s v="COP_23"/>
    <x v="2"/>
    <x v="2"/>
    <s v="Quarter2"/>
    <x v="2"/>
    <x v="4"/>
    <d v="2025-01-01T00:00:00"/>
    <d v="2025-01-31T00:00:00"/>
    <x v="3"/>
    <n v="3"/>
    <n v="1"/>
    <n v="1"/>
    <n v="0"/>
    <n v="2"/>
    <n v="0"/>
    <n v="0"/>
    <n v="0"/>
    <n v="3"/>
    <n v="0"/>
    <n v="0"/>
    <n v="0"/>
    <n v="3"/>
    <n v="0"/>
    <n v="0"/>
    <n v="0"/>
    <n v="0"/>
    <n v="0"/>
    <n v="2"/>
    <n v="0"/>
    <n v="0"/>
    <n v="0"/>
    <n v="0"/>
    <n v="0"/>
  </r>
  <r>
    <n v="1330"/>
    <d v="2025-02-25T14:34:41"/>
    <d v="2025-02-25T14:37:11"/>
    <s v="eadisoni@lighthouse.org.mw"/>
    <s v="Eliza adisoni"/>
    <x v="9"/>
    <s v="COE"/>
    <x v="2"/>
    <s v="COP_23"/>
    <x v="2"/>
    <x v="2"/>
    <s v="Quarter2"/>
    <x v="2"/>
    <x v="4"/>
    <d v="2025-01-01T00:00:00"/>
    <d v="2025-01-31T00:00:00"/>
    <x v="4"/>
    <n v="2"/>
    <n v="0"/>
    <n v="2"/>
    <n v="0"/>
    <n v="0"/>
    <n v="0"/>
    <n v="2"/>
    <n v="1"/>
    <n v="1"/>
    <n v="0"/>
    <n v="0"/>
    <n v="0"/>
    <n v="1"/>
    <n v="0"/>
    <n v="0"/>
    <n v="0"/>
    <n v="1"/>
    <n v="0"/>
    <n v="1"/>
    <n v="0"/>
    <n v="0"/>
    <n v="0"/>
    <n v="0"/>
    <n v="0"/>
  </r>
  <r>
    <n v="1331"/>
    <d v="2025-02-25T14:37:15"/>
    <d v="2025-02-25T14:39:52"/>
    <s v="eadisoni@lighthouse.org.mw"/>
    <s v="Eliza adisoni"/>
    <x v="9"/>
    <s v="COE"/>
    <x v="2"/>
    <s v="COP_23"/>
    <x v="2"/>
    <x v="2"/>
    <s v="Quarter2"/>
    <x v="2"/>
    <x v="4"/>
    <d v="2025-01-01T00:00:00"/>
    <d v="2025-01-31T00:00:00"/>
    <x v="5"/>
    <n v="9"/>
    <n v="2"/>
    <n v="8"/>
    <n v="0"/>
    <n v="0"/>
    <n v="1"/>
    <n v="9"/>
    <n v="3"/>
    <n v="2"/>
    <n v="0"/>
    <n v="0"/>
    <n v="0"/>
    <n v="2"/>
    <n v="0"/>
    <n v="1"/>
    <n v="0"/>
    <n v="0"/>
    <n v="0"/>
    <n v="2"/>
    <n v="0"/>
    <n v="1"/>
    <n v="0"/>
    <n v="0"/>
    <n v="0"/>
  </r>
  <r>
    <n v="1332"/>
    <d v="2025-02-25T14:40:06"/>
    <d v="2025-02-25T14:42:33"/>
    <s v="eadisoni@lighthouse.org.mw"/>
    <s v="Eliza adisoni"/>
    <x v="9"/>
    <s v="COE"/>
    <x v="2"/>
    <s v="COP_23"/>
    <x v="2"/>
    <x v="2"/>
    <s v="Quarter2"/>
    <x v="2"/>
    <x v="4"/>
    <d v="2025-01-01T00:00:00"/>
    <d v="2025-01-31T00:00:00"/>
    <x v="2"/>
    <n v="20"/>
    <n v="3"/>
    <n v="19"/>
    <n v="1"/>
    <n v="0"/>
    <n v="0"/>
    <n v="20"/>
    <n v="8"/>
    <n v="6"/>
    <n v="0"/>
    <n v="0"/>
    <n v="0"/>
    <n v="7"/>
    <n v="0"/>
    <n v="0"/>
    <n v="0"/>
    <n v="1"/>
    <n v="0"/>
    <n v="7"/>
    <n v="1"/>
    <n v="1"/>
    <n v="0"/>
    <n v="0"/>
    <n v="0"/>
  </r>
  <r>
    <n v="1392"/>
    <d v="2025-03-11T08:21:06"/>
    <d v="2025-03-11T08:31:16"/>
    <s v="lkaonga@lighthouse.org.mw"/>
    <s v="Lameck Kaonga"/>
    <x v="9"/>
    <s v="COE"/>
    <x v="2"/>
    <s v="COP_23"/>
    <x v="2"/>
    <x v="2"/>
    <s v="Quarter2"/>
    <x v="2"/>
    <x v="5"/>
    <d v="2025-02-01T00:00:00"/>
    <d v="2025-02-28T00:00:00"/>
    <x v="0"/>
    <n v="87"/>
    <n v="11"/>
    <n v="49"/>
    <n v="14"/>
    <n v="15"/>
    <n v="8"/>
    <n v="23"/>
    <n v="23"/>
    <n v="26"/>
    <n v="3"/>
    <n v="1"/>
    <n v="0"/>
    <n v="26"/>
    <n v="3"/>
    <n v="2"/>
    <n v="0"/>
    <n v="5"/>
    <n v="1"/>
    <n v="7"/>
    <n v="2"/>
    <n v="5"/>
    <n v="1"/>
    <n v="0"/>
    <n v="0"/>
  </r>
  <r>
    <n v="1393"/>
    <d v="2025-03-11T08:31:25"/>
    <d v="2025-03-11T08:48:32"/>
    <s v="lkaonga@lighthouse.org.mw"/>
    <s v="Lameck Kaonga"/>
    <x v="9"/>
    <s v="COE"/>
    <x v="2"/>
    <s v="COP_23"/>
    <x v="2"/>
    <x v="2"/>
    <s v="Quarter2"/>
    <x v="2"/>
    <x v="5"/>
    <d v="2025-02-01T00:00:00"/>
    <d v="2025-02-28T00:00:00"/>
    <x v="1"/>
    <n v="71"/>
    <n v="10"/>
    <n v="36"/>
    <n v="14"/>
    <n v="13"/>
    <n v="8"/>
    <n v="18"/>
    <n v="18"/>
    <n v="18"/>
    <n v="18"/>
    <n v="18"/>
    <n v="0"/>
    <n v="18"/>
    <n v="2"/>
    <n v="2"/>
    <n v="0"/>
    <n v="5"/>
    <n v="4"/>
    <n v="7"/>
    <n v="2"/>
    <n v="5"/>
    <n v="1"/>
    <n v="0"/>
    <n v="0"/>
  </r>
  <r>
    <n v="1394"/>
    <d v="2025-03-11T08:48:52"/>
    <d v="2025-03-11T08:57:35"/>
    <s v="lkaonga@lighthouse.org.mw"/>
    <s v="Lameck Kaonga"/>
    <x v="9"/>
    <s v="COE"/>
    <x v="2"/>
    <s v="COP_23"/>
    <x v="2"/>
    <x v="2"/>
    <s v="Quarter2"/>
    <x v="2"/>
    <x v="5"/>
    <d v="2025-02-01T00:00:00"/>
    <d v="2025-02-28T00:00:00"/>
    <x v="3"/>
    <n v="1"/>
    <n v="0"/>
    <n v="0"/>
    <n v="0"/>
    <n v="0"/>
    <n v="0"/>
    <n v="0"/>
    <n v="0"/>
    <n v="0"/>
    <n v="0"/>
    <n v="0"/>
    <n v="0"/>
    <n v="0"/>
    <n v="0"/>
    <n v="0"/>
    <n v="0"/>
    <n v="0"/>
    <n v="0"/>
    <n v="0"/>
    <n v="0"/>
    <n v="0"/>
    <n v="0"/>
    <n v="0"/>
    <n v="0"/>
  </r>
  <r>
    <n v="1395"/>
    <d v="2025-03-11T08:58:42"/>
    <d v="2025-03-11T09:00:03"/>
    <s v="lkaonga@lighthouse.org.mw"/>
    <s v="Lameck Kaonga"/>
    <x v="9"/>
    <s v="COE"/>
    <x v="2"/>
    <s v="COP_23"/>
    <x v="2"/>
    <x v="2"/>
    <s v="Quarter2"/>
    <x v="2"/>
    <x v="5"/>
    <d v="2025-02-01T00:00:00"/>
    <d v="2025-02-28T00:00:00"/>
    <x v="4"/>
    <n v="0"/>
    <n v="0"/>
    <n v="0"/>
    <n v="0"/>
    <n v="0"/>
    <n v="0"/>
    <n v="0"/>
    <n v="0"/>
    <n v="0"/>
    <n v="0"/>
    <n v="0"/>
    <n v="0"/>
    <n v="0"/>
    <n v="0"/>
    <n v="0"/>
    <n v="0"/>
    <n v="0"/>
    <n v="0"/>
    <n v="0"/>
    <n v="0"/>
    <n v="0"/>
    <n v="0"/>
    <n v="0"/>
    <n v="0"/>
  </r>
  <r>
    <n v="1396"/>
    <d v="2025-03-11T09:00:10"/>
    <d v="2025-03-11T09:03:01"/>
    <s v="lkaonga@lighthouse.org.mw"/>
    <s v="Lameck Kaonga"/>
    <x v="9"/>
    <s v="COE"/>
    <x v="2"/>
    <s v="COP_23"/>
    <x v="2"/>
    <x v="2"/>
    <s v="Quarter2"/>
    <x v="2"/>
    <x v="5"/>
    <d v="2025-02-01T00:00:00"/>
    <d v="2025-02-28T00:00:00"/>
    <x v="5"/>
    <n v="3"/>
    <n v="0"/>
    <n v="3"/>
    <n v="0"/>
    <n v="0"/>
    <n v="0"/>
    <n v="3"/>
    <n v="1"/>
    <n v="0"/>
    <n v="0"/>
    <n v="1"/>
    <n v="0"/>
    <n v="1"/>
    <n v="0"/>
    <n v="0"/>
    <n v="0"/>
    <n v="0"/>
    <n v="0"/>
    <n v="0"/>
    <n v="0"/>
    <n v="0"/>
    <n v="0"/>
    <n v="0"/>
    <n v="0"/>
  </r>
  <r>
    <n v="1397"/>
    <d v="2025-03-11T09:03:13"/>
    <d v="2025-03-11T09:07:57"/>
    <s v="lkaonga@lighthouse.org.mw"/>
    <s v="Lameck Kaonga"/>
    <x v="9"/>
    <s v="COE"/>
    <x v="2"/>
    <s v="COP_23"/>
    <x v="2"/>
    <x v="2"/>
    <s v="Quarter2"/>
    <x v="2"/>
    <x v="5"/>
    <d v="2025-02-01T00:00:00"/>
    <d v="2025-02-28T00:00:00"/>
    <x v="2"/>
    <n v="9"/>
    <n v="0"/>
    <n v="6"/>
    <n v="0"/>
    <n v="2"/>
    <n v="1"/>
    <n v="9"/>
    <n v="3"/>
    <n v="6"/>
    <n v="0"/>
    <n v="0"/>
    <n v="0"/>
    <n v="5"/>
    <n v="1"/>
    <n v="0"/>
    <n v="0"/>
    <n v="0"/>
    <n v="0"/>
    <n v="0"/>
    <n v="0"/>
    <n v="0"/>
    <n v="0"/>
    <n v="0"/>
    <n v="0"/>
  </r>
  <r>
    <n v="1398"/>
    <d v="2025-03-11T09:08:17"/>
    <d v="2025-03-11T09:09:18"/>
    <s v="lkaonga@lighthouse.org.mw"/>
    <s v="Lameck Kaonga"/>
    <x v="9"/>
    <s v="COE"/>
    <x v="2"/>
    <s v="COP_23"/>
    <x v="2"/>
    <x v="2"/>
    <s v="Quarter2"/>
    <x v="2"/>
    <x v="5"/>
    <d v="2025-02-01T00:00:00"/>
    <d v="2025-02-28T00:00:00"/>
    <x v="6"/>
    <n v="0"/>
    <n v="0"/>
    <n v="0"/>
    <n v="0"/>
    <n v="0"/>
    <n v="0"/>
    <n v="0"/>
    <n v="0"/>
    <n v="0"/>
    <n v="0"/>
    <n v="0"/>
    <n v="0"/>
    <n v="0"/>
    <n v="0"/>
    <n v="0"/>
    <n v="0"/>
    <n v="0"/>
    <n v="0"/>
    <n v="0"/>
    <n v="0"/>
    <n v="0"/>
    <n v="0"/>
    <n v="0"/>
    <n v="0"/>
  </r>
  <r>
    <n v="1463"/>
    <d v="2025-03-20T10:09:49"/>
    <d v="2025-03-20T10:12:32"/>
    <s v="lkaonga@lighthouse.org.mw"/>
    <s v="Lameck Kaonga"/>
    <x v="9"/>
    <s v="COE"/>
    <x v="2"/>
    <s v="COP_23"/>
    <x v="2"/>
    <x v="2"/>
    <s v="Quarter2"/>
    <x v="2"/>
    <x v="4"/>
    <d v="2025-01-01T00:00:00"/>
    <d v="2025-01-31T00:00:00"/>
    <x v="6"/>
    <n v="0"/>
    <n v="0"/>
    <n v="0"/>
    <n v="0"/>
    <n v="0"/>
    <n v="0"/>
    <n v="0"/>
    <n v="0"/>
    <n v="0"/>
    <n v="0"/>
    <n v="0"/>
    <n v="0"/>
    <n v="0"/>
    <n v="0"/>
    <n v="0"/>
    <n v="0"/>
    <n v="0"/>
    <n v="0"/>
    <n v="0"/>
    <n v="0"/>
    <n v="0"/>
    <n v="0"/>
    <n v="0"/>
    <n v="0"/>
  </r>
  <r>
    <n v="1467"/>
    <d v="2025-04-01T14:28:21"/>
    <d v="2025-04-01T14:37:08"/>
    <s v="eadisoni@lighthouse.org.mw"/>
    <s v="Eliza adisoni"/>
    <x v="9"/>
    <s v="COE"/>
    <x v="2"/>
    <s v="COP_23"/>
    <x v="2"/>
    <x v="2"/>
    <s v="Quarter2"/>
    <x v="2"/>
    <x v="3"/>
    <d v="2025-03-01T00:00:00"/>
    <d v="2025-03-31T00:00:00"/>
    <x v="0"/>
    <n v="138"/>
    <n v="14"/>
    <n v="85"/>
    <n v="21"/>
    <n v="22"/>
    <n v="10"/>
    <n v="132"/>
    <n v="39"/>
    <n v="37"/>
    <n v="5"/>
    <n v="4"/>
    <n v="2"/>
    <n v="38"/>
    <n v="5"/>
    <n v="0"/>
    <n v="0"/>
    <n v="6"/>
    <n v="1"/>
    <n v="20"/>
    <n v="0"/>
    <n v="8"/>
    <n v="1"/>
    <n v="0"/>
    <n v="0"/>
  </r>
  <r>
    <n v="1468"/>
    <d v="2025-04-01T14:37:18"/>
    <d v="2025-04-01T14:40:58"/>
    <s v="eadisoni@lighthouse.org.mw"/>
    <s v="Eliza adisoni"/>
    <x v="9"/>
    <s v="COE"/>
    <x v="2"/>
    <s v="COP_23"/>
    <x v="2"/>
    <x v="2"/>
    <s v="Quarter2"/>
    <x v="2"/>
    <x v="3"/>
    <d v="2025-03-01T00:00:00"/>
    <d v="2025-03-31T00:00:00"/>
    <x v="1"/>
    <n v="116"/>
    <n v="7"/>
    <n v="72"/>
    <n v="21"/>
    <n v="18"/>
    <n v="5"/>
    <n v="110"/>
    <n v="30"/>
    <n v="29"/>
    <n v="3"/>
    <n v="2"/>
    <n v="1"/>
    <n v="2"/>
    <n v="1"/>
    <n v="0"/>
    <n v="0"/>
    <n v="4"/>
    <n v="0"/>
    <n v="17"/>
    <n v="0"/>
    <n v="5"/>
    <n v="1"/>
    <n v="0"/>
    <n v="0"/>
  </r>
  <r>
    <n v="1469"/>
    <d v="2025-04-01T14:41:06"/>
    <d v="2025-04-01T14:43:34"/>
    <s v="eadisoni@lighthouse.org.mw"/>
    <s v="Eliza adisoni"/>
    <x v="9"/>
    <s v="COE"/>
    <x v="2"/>
    <s v="COP_23"/>
    <x v="2"/>
    <x v="2"/>
    <s v="Quarter2"/>
    <x v="2"/>
    <x v="3"/>
    <d v="2025-03-01T00:00:00"/>
    <d v="2025-03-31T00:00:00"/>
    <x v="3"/>
    <n v="3"/>
    <n v="0"/>
    <n v="2"/>
    <n v="0"/>
    <n v="1"/>
    <n v="0"/>
    <n v="0"/>
    <n v="0"/>
    <n v="2"/>
    <n v="0"/>
    <n v="0"/>
    <n v="0"/>
    <n v="3"/>
    <n v="0"/>
    <n v="0"/>
    <n v="0"/>
    <n v="1"/>
    <n v="0"/>
    <n v="1"/>
    <n v="0"/>
    <n v="1"/>
    <n v="0"/>
    <n v="0"/>
    <n v="0"/>
  </r>
  <r>
    <n v="1470"/>
    <d v="2025-04-01T14:43:37"/>
    <d v="2025-04-01T14:45:50"/>
    <s v="eadisoni@lighthouse.org.mw"/>
    <s v="Eliza adisoni"/>
    <x v="9"/>
    <s v="COE"/>
    <x v="2"/>
    <s v="COP_23"/>
    <x v="2"/>
    <x v="2"/>
    <s v="Quarter2"/>
    <x v="2"/>
    <x v="3"/>
    <d v="2025-03-01T00:00:00"/>
    <d v="2025-03-31T00:00:00"/>
    <x v="4"/>
    <n v="4"/>
    <n v="1"/>
    <n v="1"/>
    <n v="1"/>
    <n v="1"/>
    <n v="1"/>
    <n v="2"/>
    <n v="0"/>
    <n v="0"/>
    <n v="0"/>
    <n v="0"/>
    <n v="0"/>
    <n v="0"/>
    <n v="0"/>
    <n v="0"/>
    <n v="0"/>
    <n v="0"/>
    <n v="0"/>
    <n v="1"/>
    <n v="0"/>
    <n v="0"/>
    <n v="0"/>
    <n v="0"/>
    <n v="0"/>
  </r>
  <r>
    <n v="1471"/>
    <d v="2025-04-01T14:46:05"/>
    <d v="2025-04-01T14:48:24"/>
    <s v="eadisoni@lighthouse.org.mw"/>
    <s v="Eliza adisoni"/>
    <x v="9"/>
    <s v="COE"/>
    <x v="2"/>
    <s v="COP_23"/>
    <x v="2"/>
    <x v="2"/>
    <s v="Quarter2"/>
    <x v="2"/>
    <x v="3"/>
    <d v="2025-03-01T00:00:00"/>
    <d v="2025-03-31T00:00:00"/>
    <x v="2"/>
    <n v="22"/>
    <n v="7"/>
    <n v="13"/>
    <n v="4"/>
    <n v="5"/>
    <n v="0"/>
    <n v="22"/>
    <n v="9"/>
    <n v="8"/>
    <n v="2"/>
    <n v="2"/>
    <n v="1"/>
    <n v="8"/>
    <n v="1"/>
    <n v="0"/>
    <n v="0"/>
    <n v="2"/>
    <n v="1"/>
    <n v="3"/>
    <n v="0"/>
    <n v="2"/>
    <n v="0"/>
    <n v="0"/>
    <n v="0"/>
  </r>
  <r>
    <n v="1472"/>
    <d v="2025-04-01T14:48:28"/>
    <d v="2025-04-01T14:50:45"/>
    <s v="eadisoni@lighthouse.org.mw"/>
    <s v="Eliza adisoni"/>
    <x v="9"/>
    <s v="COE"/>
    <x v="2"/>
    <s v="COP_23"/>
    <x v="2"/>
    <x v="2"/>
    <s v="Quarter2"/>
    <x v="2"/>
    <x v="3"/>
    <d v="2025-03-01T00:00:00"/>
    <d v="2025-03-31T00:00:00"/>
    <x v="5"/>
    <n v="3"/>
    <n v="1"/>
    <n v="2"/>
    <n v="0"/>
    <n v="1"/>
    <n v="0"/>
    <n v="3"/>
    <n v="2"/>
    <n v="0"/>
    <n v="0"/>
    <n v="0"/>
    <n v="0"/>
    <n v="2"/>
    <n v="0"/>
    <n v="0"/>
    <n v="0"/>
    <n v="1"/>
    <n v="0"/>
    <n v="1"/>
    <n v="0"/>
    <n v="1"/>
    <n v="0"/>
    <n v="0"/>
    <n v="0"/>
  </r>
  <r>
    <n v="1608"/>
    <d v="2025-06-03T09:49:38"/>
    <d v="2025-06-03T09:53:51"/>
    <s v="eadisoni@lighthouse.org.mw"/>
    <s v="Eliza adisoni"/>
    <x v="9"/>
    <s v="COE"/>
    <x v="2"/>
    <s v="COP_23"/>
    <x v="3"/>
    <x v="1"/>
    <s v="Quarter3"/>
    <x v="4"/>
    <x v="7"/>
    <d v="2025-04-01T00:00:00"/>
    <d v="2025-04-30T00:00:00"/>
    <x v="0"/>
    <n v="120"/>
    <n v="7"/>
    <n v="92"/>
    <n v="11"/>
    <n v="6"/>
    <n v="11"/>
    <n v="115"/>
    <n v="36"/>
    <n v="34"/>
    <n v="1"/>
    <n v="9"/>
    <n v="0"/>
    <n v="36"/>
    <n v="5"/>
    <n v="0"/>
    <n v="0"/>
    <n v="8"/>
    <n v="3"/>
    <n v="25"/>
    <n v="2"/>
    <n v="3"/>
    <n v="0"/>
    <n v="0"/>
    <n v="0"/>
  </r>
  <r>
    <n v="1609"/>
    <d v="2025-06-03T09:53:58"/>
    <d v="2025-06-03T09:56:39"/>
    <s v="eadisoni@lighthouse.org.mw"/>
    <s v="Eliza adisoni"/>
    <x v="9"/>
    <s v="COE"/>
    <x v="2"/>
    <s v="COP_23"/>
    <x v="3"/>
    <x v="1"/>
    <s v="Quarter3"/>
    <x v="4"/>
    <x v="7"/>
    <d v="2025-04-01T00:00:00"/>
    <d v="2025-04-30T00:00:00"/>
    <x v="1"/>
    <n v="110"/>
    <n v="6"/>
    <n v="87"/>
    <n v="10"/>
    <n v="4"/>
    <n v="9"/>
    <n v="105"/>
    <n v="34"/>
    <n v="33"/>
    <n v="0"/>
    <n v="8"/>
    <n v="0"/>
    <n v="34"/>
    <n v="3"/>
    <n v="0"/>
    <n v="0"/>
    <n v="7"/>
    <n v="3"/>
    <n v="25"/>
    <n v="2"/>
    <n v="5"/>
    <n v="5"/>
    <n v="0"/>
    <n v="1"/>
  </r>
  <r>
    <n v="1610"/>
    <d v="2025-06-03T09:56:56"/>
    <d v="2025-06-03T10:00:17"/>
    <s v="eadisoni@lighthouse.org.mw"/>
    <s v="Eliza adisoni"/>
    <x v="9"/>
    <s v="COE"/>
    <x v="2"/>
    <s v="COP_23"/>
    <x v="3"/>
    <x v="1"/>
    <s v="Quarter3"/>
    <x v="4"/>
    <x v="7"/>
    <d v="2025-04-01T00:00:00"/>
    <d v="2025-04-30T00:00:00"/>
    <x v="3"/>
    <n v="3"/>
    <n v="0"/>
    <n v="2"/>
    <n v="0"/>
    <n v="0"/>
    <n v="1"/>
    <n v="0"/>
    <n v="0"/>
    <n v="3"/>
    <n v="0"/>
    <n v="1"/>
    <n v="0"/>
    <n v="1"/>
    <n v="0"/>
    <n v="0"/>
    <n v="0"/>
    <n v="0"/>
    <n v="0"/>
    <n v="1"/>
    <n v="0"/>
    <n v="1"/>
    <n v="0"/>
    <n v="0"/>
    <n v="0"/>
  </r>
  <r>
    <n v="1611"/>
    <d v="2025-06-03T10:00:23"/>
    <d v="2025-06-03T10:02:30"/>
    <s v="eadisoni@lighthouse.org.mw"/>
    <s v="Eliza adisoni"/>
    <x v="9"/>
    <s v="COE"/>
    <x v="2"/>
    <s v="COP_23"/>
    <x v="3"/>
    <x v="1"/>
    <s v="Quarter3"/>
    <x v="4"/>
    <x v="7"/>
    <d v="2025-04-01T00:00:00"/>
    <d v="2025-04-30T00:00:00"/>
    <x v="4"/>
    <n v="2"/>
    <n v="1"/>
    <n v="1"/>
    <n v="0"/>
    <n v="0"/>
    <n v="1"/>
    <n v="2"/>
    <n v="2"/>
    <n v="2"/>
    <n v="0"/>
    <n v="0"/>
    <n v="0"/>
    <n v="2"/>
    <n v="0"/>
    <n v="0"/>
    <n v="0"/>
    <n v="0"/>
    <n v="0"/>
    <n v="2"/>
    <n v="0"/>
    <n v="0"/>
    <n v="0"/>
    <n v="0"/>
    <n v="0"/>
  </r>
  <r>
    <n v="1613"/>
    <d v="2025-06-03T10:04:26"/>
    <d v="2025-06-03T10:06:39"/>
    <s v="eadisoni@lighthouse.org.mw"/>
    <s v="Eliza adisoni"/>
    <x v="9"/>
    <s v="COE"/>
    <x v="2"/>
    <s v="COP_23"/>
    <x v="3"/>
    <x v="1"/>
    <s v="Quarter3"/>
    <x v="4"/>
    <x v="7"/>
    <d v="2025-04-01T00:00:00"/>
    <d v="2025-04-30T00:00:00"/>
    <x v="2"/>
    <n v="10"/>
    <n v="1"/>
    <n v="5"/>
    <n v="1"/>
    <n v="2"/>
    <n v="2"/>
    <n v="10"/>
    <n v="2"/>
    <n v="1"/>
    <n v="1"/>
    <n v="0"/>
    <n v="0"/>
    <n v="2"/>
    <n v="2"/>
    <n v="0"/>
    <n v="0"/>
    <n v="1"/>
    <n v="0"/>
    <n v="0"/>
    <n v="0"/>
    <n v="2"/>
    <n v="0"/>
    <n v="0"/>
    <n v="0"/>
  </r>
  <r>
    <n v="1621"/>
    <d v="2025-06-03T11:11:38"/>
    <d v="2025-06-03T11:12:05"/>
    <s v="eadisoni@lighthouse.org.mw"/>
    <s v="Eliza adisoni"/>
    <x v="9"/>
    <s v="COE"/>
    <x v="2"/>
    <s v="COP_23"/>
    <x v="3"/>
    <x v="1"/>
    <s v="Quarter3"/>
    <x v="4"/>
    <x v="6"/>
    <d v="2025-05-01T00:00:00"/>
    <d v="2025-05-31T00:00:00"/>
    <x v="0"/>
    <n v="115"/>
    <n v="18"/>
    <n v="67"/>
    <n v="15"/>
    <n v="24"/>
    <n v="9"/>
    <n v="112"/>
    <n v="26"/>
    <n v="31"/>
    <n v="1"/>
    <n v="2"/>
    <n v="0"/>
    <n v="30"/>
    <n v="1"/>
    <n v="3"/>
    <n v="2"/>
    <n v="13"/>
    <n v="8"/>
    <n v="12"/>
    <n v="1"/>
    <n v="9"/>
    <n v="0"/>
    <n v="0"/>
    <n v="1"/>
  </r>
  <r>
    <n v="1624"/>
    <d v="2025-06-03T11:15:47"/>
    <d v="2025-06-03T11:17:51"/>
    <s v="eadisoni@lighthouse.org.mw"/>
    <s v="Eliza adisoni"/>
    <x v="9"/>
    <s v="COE"/>
    <x v="2"/>
    <s v="COP_23"/>
    <x v="3"/>
    <x v="1"/>
    <s v="Quarter3"/>
    <x v="4"/>
    <x v="6"/>
    <d v="2025-05-01T00:00:00"/>
    <d v="2025-05-31T00:00:00"/>
    <x v="3"/>
    <n v="4"/>
    <n v="2"/>
    <n v="2"/>
    <n v="0"/>
    <n v="1"/>
    <n v="1"/>
    <n v="2"/>
    <n v="0"/>
    <n v="0"/>
    <n v="0"/>
    <n v="0"/>
    <n v="0"/>
    <n v="4"/>
    <n v="0"/>
    <n v="0"/>
    <n v="0"/>
    <n v="1"/>
    <n v="1"/>
    <n v="0"/>
    <n v="0"/>
    <n v="1"/>
    <n v="0"/>
    <n v="0"/>
    <n v="0"/>
  </r>
  <r>
    <n v="1626"/>
    <d v="2025-06-03T11:18:03"/>
    <d v="2025-06-03T11:20:11"/>
    <s v="eadisoni@lighthouse.org.mw"/>
    <s v="Eliza adisoni"/>
    <x v="9"/>
    <s v="COE"/>
    <x v="2"/>
    <s v="COP_23"/>
    <x v="3"/>
    <x v="1"/>
    <s v="Quarter3"/>
    <x v="4"/>
    <x v="6"/>
    <d v="2025-05-01T00:00:00"/>
    <d v="2025-05-31T00:00:00"/>
    <x v="4"/>
    <n v="6"/>
    <n v="4"/>
    <n v="0"/>
    <n v="0"/>
    <n v="3"/>
    <n v="3"/>
    <n v="5"/>
    <n v="1"/>
    <n v="2"/>
    <n v="0"/>
    <n v="0"/>
    <n v="0"/>
    <n v="2"/>
    <n v="0"/>
    <n v="1"/>
    <n v="0"/>
    <n v="3"/>
    <n v="2"/>
    <n v="1"/>
    <n v="0"/>
    <n v="1"/>
    <n v="0"/>
    <n v="0"/>
    <n v="0"/>
  </r>
  <r>
    <n v="1629"/>
    <d v="2025-06-03T11:20:20"/>
    <d v="2025-06-03T11:23:40"/>
    <s v="eadisoni@lighthouse.org.mw"/>
    <s v="Eliza adisoni"/>
    <x v="9"/>
    <s v="COE"/>
    <x v="2"/>
    <s v="COP_23"/>
    <x v="3"/>
    <x v="1"/>
    <s v="Quarter3"/>
    <x v="4"/>
    <x v="6"/>
    <d v="2025-05-01T00:00:00"/>
    <d v="2025-05-31T00:00:00"/>
    <x v="1"/>
    <n v="88"/>
    <n v="9"/>
    <n v="52"/>
    <n v="11"/>
    <n v="16"/>
    <n v="9"/>
    <n v="85"/>
    <n v="16"/>
    <n v="21"/>
    <n v="1"/>
    <n v="2"/>
    <n v="0"/>
    <n v="20"/>
    <n v="1"/>
    <n v="3"/>
    <n v="2"/>
    <n v="9"/>
    <n v="6"/>
    <n v="9"/>
    <n v="1"/>
    <n v="8"/>
    <n v="0"/>
    <n v="0"/>
    <n v="1"/>
  </r>
  <r>
    <n v="1631"/>
    <d v="2025-06-03T11:24:31"/>
    <d v="2025-06-03T11:26:33"/>
    <s v="eadisoni@lighthouse.org.mw"/>
    <s v="Eliza adisoni"/>
    <x v="9"/>
    <s v="COE"/>
    <x v="2"/>
    <s v="COP_23"/>
    <x v="3"/>
    <x v="1"/>
    <s v="Quarter3"/>
    <x v="4"/>
    <x v="6"/>
    <d v="2025-05-01T00:00:00"/>
    <d v="2025-05-31T00:00:00"/>
    <x v="5"/>
    <n v="2"/>
    <n v="1"/>
    <n v="1"/>
    <n v="0"/>
    <n v="1"/>
    <n v="0"/>
    <n v="2"/>
    <n v="1"/>
    <n v="1"/>
    <n v="0"/>
    <n v="0"/>
    <n v="0"/>
    <n v="1"/>
    <n v="0"/>
    <n v="0"/>
    <n v="0"/>
    <n v="0"/>
    <n v="0"/>
    <n v="0"/>
    <n v="0"/>
    <n v="0"/>
    <n v="0"/>
    <n v="0"/>
    <n v="0"/>
  </r>
  <r>
    <n v="1632"/>
    <d v="2025-06-03T11:26:59"/>
    <d v="2025-06-03T11:29:41"/>
    <s v="eadisoni@lighthouse.org.mw"/>
    <s v="Eliza adisoni"/>
    <x v="9"/>
    <s v="COE"/>
    <x v="2"/>
    <s v="COP_23"/>
    <x v="3"/>
    <x v="1"/>
    <s v="Quarter3"/>
    <x v="4"/>
    <x v="6"/>
    <d v="2025-05-01T00:00:00"/>
    <d v="2025-05-31T00:00:00"/>
    <x v="2"/>
    <n v="26"/>
    <n v="8"/>
    <n v="15"/>
    <n v="4"/>
    <n v="7"/>
    <n v="0"/>
    <n v="26"/>
    <n v="10"/>
    <n v="10"/>
    <n v="0"/>
    <n v="0"/>
    <n v="0"/>
    <n v="10"/>
    <n v="0"/>
    <n v="0"/>
    <n v="0"/>
    <n v="4"/>
    <n v="2"/>
    <n v="3"/>
    <n v="0"/>
    <n v="1"/>
    <n v="0"/>
    <n v="0"/>
    <n v="0"/>
  </r>
  <r>
    <n v="1719"/>
    <d v="2025-07-02T15:24:08"/>
    <d v="2025-07-02T15:27:21"/>
    <s v="eadisoni@lighthouse.org.mw"/>
    <s v="Eliza adisoni"/>
    <x v="9"/>
    <s v="COE"/>
    <x v="2"/>
    <s v="COP_23"/>
    <x v="3"/>
    <x v="3"/>
    <s v="Quarter3"/>
    <x v="4"/>
    <x v="8"/>
    <d v="2025-06-01T00:00:00"/>
    <d v="2025-06-30T00:00:00"/>
    <x v="0"/>
    <n v="88"/>
    <n v="9"/>
    <n v="56"/>
    <n v="11"/>
    <n v="12"/>
    <n v="9"/>
    <n v="87"/>
    <n v="22"/>
    <n v="22"/>
    <n v="1"/>
    <n v="2"/>
    <n v="1"/>
    <n v="21"/>
    <n v="2"/>
    <n v="3"/>
    <n v="1"/>
    <n v="6"/>
    <n v="3"/>
    <n v="17"/>
    <n v="1"/>
    <n v="8"/>
    <n v="0"/>
    <n v="0"/>
    <n v="1"/>
  </r>
  <r>
    <n v="1720"/>
    <d v="2025-07-02T15:27:24"/>
    <d v="2025-07-02T15:28:55"/>
    <s v="eadisoni@lighthouse.org.mw"/>
    <s v="Eliza adisoni"/>
    <x v="9"/>
    <s v="COE"/>
    <x v="2"/>
    <s v="COP_23"/>
    <x v="3"/>
    <x v="3"/>
    <s v="Quarter3"/>
    <x v="4"/>
    <x v="8"/>
    <d v="2025-06-01T00:00:00"/>
    <d v="2025-06-30T00:00:00"/>
    <x v="3"/>
    <n v="0"/>
    <n v="0"/>
    <n v="0"/>
    <n v="0"/>
    <n v="0"/>
    <n v="0"/>
    <n v="0"/>
    <n v="0"/>
    <n v="0"/>
    <n v="0"/>
    <n v="0"/>
    <n v="0"/>
    <n v="0"/>
    <n v="0"/>
    <n v="0"/>
    <n v="0"/>
    <n v="0"/>
    <n v="0"/>
    <n v="0"/>
    <n v="0"/>
    <n v="0"/>
    <n v="0"/>
    <n v="0"/>
    <n v="0"/>
  </r>
  <r>
    <n v="1721"/>
    <d v="2025-07-02T15:29:09"/>
    <d v="2025-07-02T15:32:14"/>
    <s v="eadisoni@lighthouse.org.mw"/>
    <s v="Eliza adisoni"/>
    <x v="9"/>
    <s v="COE"/>
    <x v="2"/>
    <s v="COP_23"/>
    <x v="3"/>
    <x v="3"/>
    <s v="Quarter3"/>
    <x v="4"/>
    <x v="8"/>
    <d v="2025-06-01T00:00:00"/>
    <d v="2025-06-30T00:00:00"/>
    <x v="1"/>
    <n v="79"/>
    <n v="5"/>
    <n v="49"/>
    <n v="11"/>
    <n v="11"/>
    <n v="8"/>
    <n v="78"/>
    <n v="18"/>
    <n v="18"/>
    <n v="0"/>
    <n v="1"/>
    <n v="0"/>
    <n v="18"/>
    <n v="2"/>
    <n v="3"/>
    <n v="2"/>
    <n v="6"/>
    <n v="3"/>
    <n v="16"/>
    <n v="1"/>
    <n v="8"/>
    <n v="0"/>
    <n v="0"/>
    <n v="1"/>
  </r>
  <r>
    <n v="1722"/>
    <d v="2025-07-02T15:34:55"/>
    <d v="2025-07-02T15:37:34"/>
    <s v="eadisoni@lighthouse.org.mw"/>
    <s v="Eliza adisoni"/>
    <x v="9"/>
    <s v="COE"/>
    <x v="2"/>
    <s v="COP_23"/>
    <x v="3"/>
    <x v="3"/>
    <s v="Quarter3"/>
    <x v="4"/>
    <x v="8"/>
    <d v="2025-06-01T00:00:00"/>
    <d v="2025-06-30T00:00:00"/>
    <x v="4"/>
    <n v="5"/>
    <n v="2"/>
    <n v="3"/>
    <n v="0"/>
    <n v="0"/>
    <n v="2"/>
    <n v="5"/>
    <n v="2"/>
    <n v="2"/>
    <n v="0"/>
    <n v="0"/>
    <n v="0"/>
    <n v="2"/>
    <n v="0"/>
    <n v="1"/>
    <n v="0"/>
    <n v="0"/>
    <n v="0"/>
    <n v="2"/>
    <n v="0"/>
    <n v="0"/>
    <n v="0"/>
    <n v="0"/>
    <n v="0"/>
  </r>
  <r>
    <n v="1723"/>
    <d v="2025-07-02T15:37:36"/>
    <d v="2025-07-02T15:38:52"/>
    <s v="eadisoni@lighthouse.org.mw"/>
    <s v="Eliza adisoni"/>
    <x v="9"/>
    <s v="COE"/>
    <x v="2"/>
    <s v="COP_23"/>
    <x v="3"/>
    <x v="3"/>
    <s v="Quarter3"/>
    <x v="4"/>
    <x v="8"/>
    <d v="2025-06-01T00:00:00"/>
    <d v="2025-06-30T00:00:00"/>
    <x v="5"/>
    <n v="0"/>
    <n v="0"/>
    <n v="0"/>
    <n v="0"/>
    <n v="0"/>
    <n v="0"/>
    <n v="0"/>
    <n v="0"/>
    <n v="0"/>
    <n v="0"/>
    <n v="0"/>
    <n v="0"/>
    <n v="0"/>
    <n v="0"/>
    <n v="0"/>
    <n v="0"/>
    <n v="0"/>
    <n v="0"/>
    <n v="0"/>
    <n v="0"/>
    <n v="0"/>
    <n v="0"/>
    <n v="0"/>
    <n v="0"/>
  </r>
  <r>
    <n v="1724"/>
    <d v="2025-07-02T15:39:05"/>
    <d v="2025-07-02T15:41:50"/>
    <s v="eadisoni@lighthouse.org.mw"/>
    <s v="Eliza adisoni"/>
    <x v="9"/>
    <s v="COE"/>
    <x v="2"/>
    <s v="COP_23"/>
    <x v="3"/>
    <x v="3"/>
    <s v="Quarter3"/>
    <x v="4"/>
    <x v="8"/>
    <d v="2025-06-01T00:00:00"/>
    <d v="2025-06-30T00:00:00"/>
    <x v="2"/>
    <n v="9"/>
    <n v="2"/>
    <n v="7"/>
    <n v="0"/>
    <n v="1"/>
    <n v="1"/>
    <n v="9"/>
    <n v="4"/>
    <n v="1"/>
    <n v="0"/>
    <n v="1"/>
    <n v="0"/>
    <n v="3"/>
    <n v="0"/>
    <n v="0"/>
    <n v="0"/>
    <n v="0"/>
    <n v="0"/>
    <n v="2"/>
    <n v="0"/>
    <n v="0"/>
    <n v="0"/>
    <n v="0"/>
    <n v="0"/>
  </r>
  <r>
    <n v="205"/>
    <d v="2024-04-05T11:23:49"/>
    <d v="2024-04-05T11:26:08"/>
    <s v="tsatumba@lighthouse.org.mw"/>
    <s v="Thomas Satumba"/>
    <x v="10"/>
    <s v="Prototype"/>
    <x v="1"/>
    <s v="COP_23"/>
    <x v="0"/>
    <x v="2"/>
    <s v="Quarter2"/>
    <x v="2"/>
    <x v="4"/>
    <d v="2024-01-01T00:00:00"/>
    <d v="2024-01-31T00:00:00"/>
    <x v="3"/>
    <n v="0"/>
    <n v="0"/>
    <n v="0"/>
    <n v="0"/>
    <n v="0"/>
    <n v="0"/>
    <n v="0"/>
    <n v="0"/>
    <n v="0"/>
    <n v="0"/>
    <n v="0"/>
    <n v="0"/>
    <n v="0"/>
    <n v="0"/>
    <n v="0"/>
    <n v="0"/>
    <n v="0"/>
    <n v="0"/>
    <n v="0"/>
    <n v="0"/>
    <n v="0"/>
    <n v="0"/>
    <n v="0"/>
    <n v="0"/>
  </r>
  <r>
    <n v="206"/>
    <d v="2024-04-05T11:26:13"/>
    <d v="2024-04-05T11:30:57"/>
    <s v="tsatumba@lighthouse.org.mw"/>
    <s v="Thomas Satumba"/>
    <x v="10"/>
    <s v="Prototype"/>
    <x v="1"/>
    <s v="COP_23"/>
    <x v="0"/>
    <x v="2"/>
    <s v="Quarter2"/>
    <x v="2"/>
    <x v="4"/>
    <d v="2024-01-01T00:00:00"/>
    <d v="2024-01-31T00:00:00"/>
    <x v="5"/>
    <n v="4"/>
    <n v="0"/>
    <n v="3"/>
    <n v="0"/>
    <n v="0"/>
    <n v="1"/>
    <n v="3"/>
    <n v="1"/>
    <n v="2"/>
    <n v="0"/>
    <n v="0"/>
    <n v="0"/>
    <n v="2"/>
    <n v="1"/>
    <n v="0"/>
    <n v="0"/>
    <n v="0"/>
    <n v="0"/>
    <n v="0"/>
    <n v="0"/>
    <n v="0"/>
    <n v="0"/>
    <n v="0"/>
    <n v="0"/>
  </r>
  <r>
    <n v="208"/>
    <d v="2024-04-05T11:42:42"/>
    <d v="2024-04-05T11:46:53"/>
    <s v="tsatumba@lighthouse.org.mw"/>
    <s v="Thomas Satumba"/>
    <x v="10"/>
    <s v="Prototype"/>
    <x v="1"/>
    <s v="COP_23"/>
    <x v="0"/>
    <x v="2"/>
    <s v="Quarter2"/>
    <x v="2"/>
    <x v="4"/>
    <d v="2024-01-01T00:00:00"/>
    <d v="2024-01-31T00:00:00"/>
    <x v="4"/>
    <n v="1"/>
    <n v="0"/>
    <n v="1"/>
    <n v="0"/>
    <n v="0"/>
    <n v="0"/>
    <n v="0"/>
    <n v="0"/>
    <n v="1"/>
    <n v="0"/>
    <n v="0"/>
    <n v="0"/>
    <n v="1"/>
    <n v="0"/>
    <n v="0"/>
    <n v="0"/>
    <n v="0"/>
    <n v="0"/>
    <n v="0"/>
    <n v="0"/>
    <n v="0"/>
    <n v="0"/>
    <n v="0"/>
    <n v="0"/>
  </r>
  <r>
    <n v="211"/>
    <d v="2024-04-05T11:58:36"/>
    <d v="2024-04-05T12:02:05"/>
    <s v="tsatumba@lighthouse.org.mw"/>
    <s v="Thomas Satumba"/>
    <x v="10"/>
    <s v="Prototype"/>
    <x v="1"/>
    <s v="COP_23"/>
    <x v="0"/>
    <x v="2"/>
    <s v="Quarter2"/>
    <x v="2"/>
    <x v="5"/>
    <d v="2024-02-01T00:00:00"/>
    <d v="2024-02-29T00:00:00"/>
    <x v="5"/>
    <n v="3"/>
    <n v="1"/>
    <n v="2"/>
    <n v="0"/>
    <n v="0"/>
    <n v="1"/>
    <n v="3"/>
    <n v="1"/>
    <n v="2"/>
    <n v="0"/>
    <n v="0"/>
    <n v="0"/>
    <n v="2"/>
    <n v="1"/>
    <n v="0"/>
    <n v="0"/>
    <n v="0"/>
    <n v="0"/>
    <n v="0"/>
    <n v="0"/>
    <n v="0"/>
    <n v="0"/>
    <n v="0"/>
    <n v="0"/>
  </r>
  <r>
    <n v="212"/>
    <d v="2024-04-05T12:02:09"/>
    <d v="2024-04-05T12:05:00"/>
    <s v="tsatumba@lighthouse.org.mw"/>
    <s v="Thomas Satumba"/>
    <x v="10"/>
    <s v="Prototype"/>
    <x v="1"/>
    <s v="COP_23"/>
    <x v="0"/>
    <x v="2"/>
    <s v="Quarter2"/>
    <x v="2"/>
    <x v="5"/>
    <d v="2024-01-01T00:00:00"/>
    <d v="2024-02-29T00:00:00"/>
    <x v="4"/>
    <n v="1"/>
    <n v="0"/>
    <n v="1"/>
    <n v="0"/>
    <n v="0"/>
    <n v="0"/>
    <n v="0"/>
    <n v="0"/>
    <n v="0"/>
    <n v="0"/>
    <n v="0"/>
    <n v="0"/>
    <n v="1"/>
    <n v="0"/>
    <n v="0"/>
    <n v="0"/>
    <n v="0"/>
    <n v="0"/>
    <n v="0"/>
    <n v="0"/>
    <n v="0"/>
    <n v="0"/>
    <n v="0"/>
    <n v="0"/>
  </r>
  <r>
    <n v="215"/>
    <d v="2024-04-05T12:40:56"/>
    <d v="2024-04-05T12:42:36"/>
    <s v="tsatumba@lighthouse.org.mw"/>
    <s v="Thomas Satumba"/>
    <x v="10"/>
    <s v="Prototype"/>
    <x v="1"/>
    <s v="COP_23"/>
    <x v="0"/>
    <x v="2"/>
    <s v="Quarter2"/>
    <x v="2"/>
    <x v="3"/>
    <d v="2024-03-01T00:00:00"/>
    <d v="2024-03-31T00:00:00"/>
    <x v="5"/>
    <n v="2"/>
    <n v="1"/>
    <n v="1"/>
    <n v="0"/>
    <n v="0"/>
    <n v="1"/>
    <n v="1"/>
    <n v="0"/>
    <n v="0"/>
    <n v="0"/>
    <n v="0"/>
    <n v="0"/>
    <n v="0"/>
    <n v="0"/>
    <n v="0"/>
    <n v="0"/>
    <n v="0"/>
    <n v="0"/>
    <n v="0"/>
    <n v="0"/>
    <n v="0"/>
    <n v="0"/>
    <n v="0"/>
    <n v="0"/>
  </r>
  <r>
    <n v="216"/>
    <d v="2024-04-05T12:42:46"/>
    <d v="2024-04-05T12:44:24"/>
    <s v="tsatumba@lighthouse.org.mw"/>
    <s v="Thomas Satumba"/>
    <x v="10"/>
    <s v="Prototype"/>
    <x v="1"/>
    <s v="COP_23"/>
    <x v="0"/>
    <x v="2"/>
    <s v="Quarter2"/>
    <x v="2"/>
    <x v="3"/>
    <d v="2024-03-01T00:00:00"/>
    <d v="2024-03-31T00:00:00"/>
    <x v="3"/>
    <n v="1"/>
    <n v="0"/>
    <n v="1"/>
    <n v="0"/>
    <n v="0"/>
    <n v="0"/>
    <n v="0"/>
    <n v="0"/>
    <n v="0"/>
    <n v="0"/>
    <n v="0"/>
    <n v="0"/>
    <n v="1"/>
    <n v="0"/>
    <n v="0"/>
    <n v="0"/>
    <n v="0"/>
    <n v="0"/>
    <n v="0"/>
    <n v="0"/>
    <n v="0"/>
    <n v="0"/>
    <n v="0"/>
    <n v="0"/>
  </r>
  <r>
    <n v="244"/>
    <d v="2024-04-17T15:40:26"/>
    <d v="2024-04-17T15:45:09"/>
    <s v="tsatumba@lighthouse.org.mw"/>
    <s v="Thomas Satumba"/>
    <x v="10"/>
    <s v="Prototype"/>
    <x v="1"/>
    <s v="COP_23"/>
    <x v="0"/>
    <x v="2"/>
    <s v="Quarter2"/>
    <x v="2"/>
    <x v="4"/>
    <d v="2024-01-01T00:00:00"/>
    <d v="2024-01-31T00:00:00"/>
    <x v="0"/>
    <n v="19"/>
    <n v="0"/>
    <n v="15"/>
    <n v="1"/>
    <n v="1"/>
    <n v="2"/>
    <n v="18"/>
    <n v="8"/>
    <n v="19"/>
    <n v="0"/>
    <n v="0"/>
    <n v="0"/>
    <n v="9"/>
    <n v="2"/>
    <n v="0"/>
    <n v="0"/>
    <n v="0"/>
    <n v="0"/>
    <n v="0"/>
    <n v="0"/>
    <n v="1"/>
    <n v="0"/>
    <n v="0"/>
    <n v="0"/>
  </r>
  <r>
    <n v="245"/>
    <d v="2024-04-17T15:45:21"/>
    <d v="2024-04-17T15:48:46"/>
    <s v="tsatumba@lighthouse.org.mw"/>
    <s v="Thomas Satumba"/>
    <x v="10"/>
    <s v="Prototype"/>
    <x v="1"/>
    <s v="COP_23"/>
    <x v="0"/>
    <x v="2"/>
    <s v="Quarter2"/>
    <x v="2"/>
    <x v="5"/>
    <d v="2024-02-01T00:00:00"/>
    <d v="2024-02-29T00:00:00"/>
    <x v="0"/>
    <n v="19"/>
    <n v="1"/>
    <n v="11"/>
    <n v="5"/>
    <n v="0"/>
    <n v="3"/>
    <n v="18"/>
    <n v="8"/>
    <n v="11"/>
    <n v="0"/>
    <n v="0"/>
    <n v="0"/>
    <n v="14"/>
    <n v="5"/>
    <n v="0"/>
    <n v="0"/>
    <n v="0"/>
    <n v="0"/>
    <n v="0"/>
    <n v="0"/>
    <n v="4"/>
    <n v="0"/>
    <n v="0"/>
    <n v="0"/>
  </r>
  <r>
    <n v="246"/>
    <d v="2024-04-17T15:48:50"/>
    <d v="2024-04-17T15:51:56"/>
    <s v="tsatumba@lighthouse.org.mw"/>
    <s v="Thomas Satumba"/>
    <x v="10"/>
    <s v="Prototype"/>
    <x v="1"/>
    <s v="COP_23"/>
    <x v="0"/>
    <x v="2"/>
    <s v="Quarter2"/>
    <x v="2"/>
    <x v="3"/>
    <d v="2024-03-01T00:00:00"/>
    <d v="2024-03-31T00:00:00"/>
    <x v="0"/>
    <n v="29"/>
    <n v="3"/>
    <n v="17"/>
    <n v="1"/>
    <n v="4"/>
    <n v="7"/>
    <n v="20"/>
    <n v="9"/>
    <n v="0"/>
    <n v="0"/>
    <n v="0"/>
    <n v="0"/>
    <n v="20"/>
    <n v="12"/>
    <n v="0"/>
    <n v="0"/>
    <n v="0"/>
    <n v="0"/>
    <n v="0"/>
    <n v="0"/>
    <n v="12"/>
    <n v="1"/>
    <n v="0"/>
    <n v="0"/>
  </r>
  <r>
    <n v="619"/>
    <d v="2024-07-16T08:57:07"/>
    <d v="2024-07-16T09:13:03"/>
    <s v="tsatumba@lighthouse.org.mw"/>
    <s v="Thomas Satumba"/>
    <x v="10"/>
    <s v="Prototype"/>
    <x v="1"/>
    <s v="COP_23"/>
    <x v="0"/>
    <x v="3"/>
    <s v="Quarter3"/>
    <x v="3"/>
    <x v="7"/>
    <d v="2024-04-01T00:00:00"/>
    <d v="2024-04-30T00:00:00"/>
    <x v="0"/>
    <n v="15"/>
    <n v="0"/>
    <n v="10"/>
    <n v="3"/>
    <n v="1"/>
    <n v="1"/>
    <n v="15"/>
    <n v="2"/>
    <n v="2"/>
    <n v="0"/>
    <n v="0"/>
    <n v="0"/>
    <n v="2"/>
    <n v="1"/>
    <n v="0"/>
    <n v="0"/>
    <n v="0"/>
    <n v="0"/>
    <n v="0"/>
    <n v="0"/>
    <n v="1"/>
    <n v="0"/>
    <n v="0"/>
    <n v="0"/>
  </r>
  <r>
    <n v="620"/>
    <d v="2024-07-16T09:13:33"/>
    <d v="2024-07-16T09:17:49"/>
    <s v="tsatumba@lighthouse.org.mw"/>
    <s v="Thomas Satumba"/>
    <x v="10"/>
    <s v="Prototype"/>
    <x v="1"/>
    <s v="COP_23"/>
    <x v="0"/>
    <x v="3"/>
    <s v="Quarter3"/>
    <x v="3"/>
    <x v="6"/>
    <d v="2024-05-01T00:00:00"/>
    <d v="2024-05-31T00:00:00"/>
    <x v="0"/>
    <n v="11"/>
    <n v="0"/>
    <n v="7"/>
    <n v="1"/>
    <n v="2"/>
    <n v="1"/>
    <n v="11"/>
    <n v="3"/>
    <n v="3"/>
    <n v="0"/>
    <n v="0"/>
    <n v="0"/>
    <n v="1"/>
    <n v="1"/>
    <n v="0"/>
    <n v="0"/>
    <n v="0"/>
    <n v="0"/>
    <n v="0"/>
    <n v="0"/>
    <n v="0"/>
    <n v="0"/>
    <n v="0"/>
    <n v="0"/>
  </r>
  <r>
    <n v="621"/>
    <d v="2024-07-16T09:20:29"/>
    <d v="2024-07-16T09:26:13"/>
    <s v="tsatumba@lighthouse.org.mw"/>
    <s v="Thomas Satumba"/>
    <x v="10"/>
    <s v="Prototype"/>
    <x v="1"/>
    <s v="COP_23"/>
    <x v="0"/>
    <x v="3"/>
    <s v="Quarter3"/>
    <x v="3"/>
    <x v="8"/>
    <d v="2024-06-01T00:00:00"/>
    <d v="2024-06-30T00:00:00"/>
    <x v="0"/>
    <n v="12"/>
    <n v="0"/>
    <n v="10"/>
    <n v="1"/>
    <n v="1"/>
    <n v="0"/>
    <n v="10"/>
    <n v="5"/>
    <n v="5"/>
    <n v="0"/>
    <n v="0"/>
    <n v="0"/>
    <n v="0"/>
    <n v="0"/>
    <n v="0"/>
    <n v="0"/>
    <n v="0"/>
    <n v="0"/>
    <n v="0"/>
    <n v="0"/>
    <n v="0"/>
    <n v="0"/>
    <n v="0"/>
    <n v="0"/>
  </r>
  <r>
    <n v="683"/>
    <d v="2024-07-31T09:18:43"/>
    <d v="2024-07-31T09:21:33"/>
    <s v="tsatumba@lighthouse.org.mw"/>
    <s v="Thomas Satumba"/>
    <x v="10"/>
    <s v="Prototype"/>
    <x v="1"/>
    <s v="COP_24"/>
    <x v="0"/>
    <x v="3"/>
    <s v="Quarter3"/>
    <x v="3"/>
    <x v="7"/>
    <d v="2024-04-01T00:00:00"/>
    <d v="2024-04-30T00:00:00"/>
    <x v="3"/>
    <n v="0"/>
    <n v="0"/>
    <n v="0"/>
    <n v="0"/>
    <n v="0"/>
    <n v="0"/>
    <n v="0"/>
    <n v="0"/>
    <n v="0"/>
    <n v="0"/>
    <n v="0"/>
    <n v="0"/>
    <n v="0"/>
    <n v="0"/>
    <n v="0"/>
    <n v="0"/>
    <n v="0"/>
    <n v="0"/>
    <n v="0"/>
    <n v="0"/>
    <n v="0"/>
    <n v="0"/>
    <n v="0"/>
    <n v="0"/>
  </r>
  <r>
    <n v="684"/>
    <d v="2024-07-31T09:22:01"/>
    <d v="2024-07-31T09:24:20"/>
    <s v="tsatumba@lighthouse.org.mw"/>
    <s v="Thomas Satumba"/>
    <x v="10"/>
    <s v="Prototype"/>
    <x v="1"/>
    <s v="COP_23"/>
    <x v="0"/>
    <x v="3"/>
    <s v="Quarter3"/>
    <x v="3"/>
    <x v="6"/>
    <d v="2024-05-01T00:00:00"/>
    <d v="2024-05-31T00:00:00"/>
    <x v="3"/>
    <n v="0"/>
    <n v="0"/>
    <n v="0"/>
    <n v="0"/>
    <n v="0"/>
    <n v="0"/>
    <n v="0"/>
    <n v="0"/>
    <n v="0"/>
    <n v="0"/>
    <n v="0"/>
    <n v="0"/>
    <n v="0"/>
    <n v="0"/>
    <n v="0"/>
    <n v="0"/>
    <n v="0"/>
    <n v="0"/>
    <n v="0"/>
    <n v="0"/>
    <n v="0"/>
    <n v="0"/>
    <n v="0"/>
    <n v="0"/>
  </r>
  <r>
    <n v="685"/>
    <d v="2024-07-31T09:25:35"/>
    <d v="2024-07-31T09:29:15"/>
    <s v="tsatumba@lighthouse.org.mw"/>
    <s v="Thomas Satumba"/>
    <x v="10"/>
    <s v="Prototype"/>
    <x v="1"/>
    <s v="COP_23"/>
    <x v="0"/>
    <x v="3"/>
    <s v="Quarter3"/>
    <x v="3"/>
    <x v="8"/>
    <d v="2024-06-01T00:00:00"/>
    <d v="2024-06-30T00:00:00"/>
    <x v="3"/>
    <n v="0"/>
    <n v="0"/>
    <n v="0"/>
    <n v="0"/>
    <n v="0"/>
    <n v="0"/>
    <n v="0"/>
    <n v="0"/>
    <n v="0"/>
    <n v="0"/>
    <n v="0"/>
    <n v="0"/>
    <n v="0"/>
    <n v="0"/>
    <n v="0"/>
    <n v="0"/>
    <n v="0"/>
    <n v="0"/>
    <n v="0"/>
    <n v="0"/>
    <n v="0"/>
    <n v="0"/>
    <n v="0"/>
    <n v="0"/>
  </r>
  <r>
    <n v="686"/>
    <d v="2024-07-31T09:29:34"/>
    <d v="2024-07-31T09:32:11"/>
    <s v="tsatumba@lighthouse.org.mw"/>
    <s v="Thomas Satumba"/>
    <x v="10"/>
    <s v="Prototype"/>
    <x v="1"/>
    <s v="COP_23"/>
    <x v="0"/>
    <x v="3"/>
    <s v="Quarter3"/>
    <x v="3"/>
    <x v="7"/>
    <d v="2024-04-01T00:00:00"/>
    <d v="2024-04-30T00:00:00"/>
    <x v="4"/>
    <n v="0"/>
    <n v="0"/>
    <n v="0"/>
    <n v="0"/>
    <n v="0"/>
    <n v="0"/>
    <n v="0"/>
    <n v="0"/>
    <n v="0"/>
    <n v="0"/>
    <n v="0"/>
    <n v="0"/>
    <n v="0"/>
    <n v="0"/>
    <n v="0"/>
    <n v="0"/>
    <n v="0"/>
    <n v="0"/>
    <n v="0"/>
    <n v="0"/>
    <n v="0"/>
    <n v="0"/>
    <n v="0"/>
    <n v="0"/>
  </r>
  <r>
    <n v="688"/>
    <d v="2024-07-31T09:33:49"/>
    <d v="2024-07-31T09:34:51"/>
    <s v="tsatumba@lighthouse.org.mw"/>
    <s v="Thomas Satumba"/>
    <x v="10"/>
    <s v="Prototype"/>
    <x v="1"/>
    <s v="COP_24"/>
    <x v="0"/>
    <x v="3"/>
    <s v="Quarter3"/>
    <x v="3"/>
    <x v="6"/>
    <d v="2024-05-01T00:00:00"/>
    <d v="2024-05-31T00:00:00"/>
    <x v="4"/>
    <n v="0"/>
    <n v="0"/>
    <n v="0"/>
    <n v="0"/>
    <n v="0"/>
    <n v="0"/>
    <n v="0"/>
    <n v="0"/>
    <n v="0"/>
    <n v="0"/>
    <n v="0"/>
    <n v="0"/>
    <n v="0"/>
    <n v="0"/>
    <n v="0"/>
    <n v="0"/>
    <n v="0"/>
    <n v="0"/>
    <n v="0"/>
    <n v="0"/>
    <n v="0"/>
    <n v="0"/>
    <n v="0"/>
    <n v="0"/>
  </r>
  <r>
    <n v="689"/>
    <d v="2024-07-31T09:34:55"/>
    <d v="2024-07-31T09:36:16"/>
    <s v="tsatumba@lighthouse.org.mw"/>
    <s v="Thomas Satumba"/>
    <x v="10"/>
    <s v="Prototype"/>
    <x v="1"/>
    <s v="COP_24"/>
    <x v="0"/>
    <x v="3"/>
    <s v="Quarter3"/>
    <x v="3"/>
    <x v="8"/>
    <d v="2024-06-01T00:00:00"/>
    <d v="2024-06-30T00:00:00"/>
    <x v="4"/>
    <n v="0"/>
    <n v="0"/>
    <n v="0"/>
    <n v="0"/>
    <n v="0"/>
    <n v="0"/>
    <n v="0"/>
    <n v="0"/>
    <n v="0"/>
    <n v="0"/>
    <n v="0"/>
    <n v="0"/>
    <n v="0"/>
    <n v="0"/>
    <n v="0"/>
    <n v="0"/>
    <n v="0"/>
    <n v="0"/>
    <n v="0"/>
    <n v="0"/>
    <n v="0"/>
    <n v="0"/>
    <n v="0"/>
    <n v="0"/>
  </r>
  <r>
    <n v="690"/>
    <d v="2024-07-31T09:36:32"/>
    <d v="2024-07-31T10:10:24"/>
    <s v="tsatumba@lighthouse.org.mw"/>
    <s v="Thomas Satumba"/>
    <x v="10"/>
    <s v="Prototype"/>
    <x v="1"/>
    <s v="COP_24"/>
    <x v="0"/>
    <x v="3"/>
    <s v="Quarter3"/>
    <x v="3"/>
    <x v="7"/>
    <d v="2024-04-01T00:00:00"/>
    <d v="2024-04-30T00:00:00"/>
    <x v="5"/>
    <n v="17"/>
    <n v="0"/>
    <n v="1"/>
    <n v="0"/>
    <n v="0"/>
    <n v="1"/>
    <n v="2"/>
    <n v="0"/>
    <n v="0"/>
    <n v="0"/>
    <n v="0"/>
    <n v="0"/>
    <n v="2"/>
    <n v="1"/>
    <n v="0"/>
    <n v="0"/>
    <n v="0"/>
    <n v="0"/>
    <n v="0"/>
    <n v="0"/>
    <n v="0"/>
    <n v="0"/>
    <n v="0"/>
    <n v="0"/>
  </r>
  <r>
    <n v="691"/>
    <d v="2024-07-31T10:10:35"/>
    <d v="2024-07-31T10:13:41"/>
    <s v="tsatumba@lighthouse.org.mw"/>
    <s v="Thomas Satumba"/>
    <x v="10"/>
    <s v="Prototype"/>
    <x v="1"/>
    <s v="COP_24"/>
    <x v="0"/>
    <x v="3"/>
    <s v="Quarter3"/>
    <x v="3"/>
    <x v="6"/>
    <d v="2024-05-01T00:00:00"/>
    <d v="2024-05-31T00:00:00"/>
    <x v="5"/>
    <n v="7"/>
    <n v="0"/>
    <n v="1"/>
    <n v="0"/>
    <n v="2"/>
    <n v="0"/>
    <n v="3"/>
    <n v="1"/>
    <n v="1"/>
    <n v="0"/>
    <n v="0"/>
    <n v="0"/>
    <n v="0"/>
    <n v="0"/>
    <n v="0"/>
    <n v="0"/>
    <n v="0"/>
    <n v="0"/>
    <n v="0"/>
    <n v="0"/>
    <n v="0"/>
    <n v="0"/>
    <n v="0"/>
    <n v="0"/>
  </r>
  <r>
    <n v="692"/>
    <d v="2024-07-31T10:13:54"/>
    <d v="2024-07-31T10:15:16"/>
    <s v="tsatumba@lighthouse.org.mw"/>
    <s v="Thomas Satumba"/>
    <x v="10"/>
    <s v="Prototype"/>
    <x v="1"/>
    <s v="COP_24"/>
    <x v="0"/>
    <x v="3"/>
    <s v="Quarter3"/>
    <x v="3"/>
    <x v="8"/>
    <d v="2024-06-01T00:00:00"/>
    <d v="2024-06-30T00:00:00"/>
    <x v="5"/>
    <n v="7"/>
    <n v="0"/>
    <n v="0"/>
    <n v="0"/>
    <n v="0"/>
    <n v="0"/>
    <n v="0"/>
    <n v="0"/>
    <n v="0"/>
    <n v="0"/>
    <n v="0"/>
    <n v="0"/>
    <n v="0"/>
    <n v="0"/>
    <n v="0"/>
    <n v="0"/>
    <n v="0"/>
    <n v="0"/>
    <n v="0"/>
    <n v="0"/>
    <n v="0"/>
    <n v="0"/>
    <n v="0"/>
    <n v="0"/>
  </r>
  <r>
    <n v="26"/>
    <d v="2023-12-18T07:55:19"/>
    <d v="2023-12-18T08:02:51"/>
    <s v="tsatumba@lighthouse.org.mw"/>
    <s v="Thomas Satumba"/>
    <x v="10"/>
    <s v="Prototype"/>
    <x v="0"/>
    <s v="COP_24"/>
    <x v="0"/>
    <x v="0"/>
    <s v="Quarter1"/>
    <x v="0"/>
    <x v="0"/>
    <d v="2023-10-01T00:00:00"/>
    <d v="2023-10-31T00:00:00"/>
    <x v="1"/>
    <n v="10"/>
    <n v="0"/>
    <n v="6"/>
    <n v="0"/>
    <n v="1"/>
    <n v="1"/>
    <n v="0"/>
    <n v="0"/>
    <n v="0"/>
    <n v="0"/>
    <n v="0"/>
    <n v="0"/>
    <n v="4"/>
    <n v="2"/>
    <n v="0"/>
    <n v="0"/>
    <n v="0"/>
    <n v="0"/>
    <n v="0"/>
    <n v="0"/>
    <n v="2"/>
    <n v="0"/>
    <n v="0"/>
    <n v="0"/>
  </r>
  <r>
    <n v="27"/>
    <d v="2023-12-18T08:03:53"/>
    <d v="2023-12-18T08:08:02"/>
    <s v="tsatumba@lighthouse.org.mw"/>
    <s v="Thomas Satumba"/>
    <x v="10"/>
    <s v="Prototype"/>
    <x v="0"/>
    <s v="COP_24"/>
    <x v="0"/>
    <x v="0"/>
    <s v="Quarter1"/>
    <x v="0"/>
    <x v="1"/>
    <d v="2023-11-01T00:00:00"/>
    <d v="2023-11-30T00:00:00"/>
    <x v="1"/>
    <n v="10"/>
    <n v="0"/>
    <n v="10"/>
    <n v="0"/>
    <n v="0"/>
    <n v="0"/>
    <n v="1"/>
    <n v="0"/>
    <n v="0"/>
    <n v="0"/>
    <n v="0"/>
    <n v="0"/>
    <n v="0"/>
    <n v="0"/>
    <n v="0"/>
    <n v="0"/>
    <n v="0"/>
    <n v="0"/>
    <n v="0"/>
    <n v="0"/>
    <n v="0"/>
    <n v="0"/>
    <n v="0"/>
    <n v="0"/>
  </r>
  <r>
    <n v="97"/>
    <d v="2024-01-18T11:56:20"/>
    <d v="2024-01-18T12:06:19"/>
    <s v="tsatumba@lighthouse.org.mw"/>
    <s v="Thomas Satumba"/>
    <x v="10"/>
    <s v="Prototype"/>
    <x v="0"/>
    <s v="COP_24"/>
    <x v="0"/>
    <x v="0"/>
    <s v="Quarter1"/>
    <x v="0"/>
    <x v="11"/>
    <d v="2023-12-01T00:00:00"/>
    <d v="2023-12-31T00:00:00"/>
    <x v="1"/>
    <n v="8"/>
    <n v="0"/>
    <n v="7"/>
    <n v="1"/>
    <n v="0"/>
    <n v="0"/>
    <n v="8"/>
    <n v="1"/>
    <n v="0"/>
    <n v="1"/>
    <n v="0"/>
    <n v="0"/>
    <n v="0"/>
    <n v="0"/>
    <n v="0"/>
    <n v="0"/>
    <n v="0"/>
    <n v="0"/>
    <n v="0"/>
    <n v="0"/>
    <n v="0"/>
    <n v="0"/>
    <n v="0"/>
    <n v="0"/>
  </r>
  <r>
    <n v="207"/>
    <d v="2024-04-05T11:31:01"/>
    <d v="2024-04-05T11:42:34"/>
    <s v="tsatumba@lighthouse.org.mw"/>
    <s v="Thomas Satumba"/>
    <x v="10"/>
    <s v="Prototype"/>
    <x v="1"/>
    <s v="COP_24"/>
    <x v="0"/>
    <x v="2"/>
    <s v="Quarter2"/>
    <x v="2"/>
    <x v="4"/>
    <d v="2024-01-01T00:00:00"/>
    <d v="2024-01-31T00:00:00"/>
    <x v="2"/>
    <n v="3"/>
    <n v="1"/>
    <n v="2"/>
    <n v="0"/>
    <n v="0"/>
    <n v="1"/>
    <n v="3"/>
    <n v="1"/>
    <n v="1"/>
    <n v="0"/>
    <n v="0"/>
    <n v="0"/>
    <n v="2"/>
    <n v="1"/>
    <n v="0"/>
    <n v="0"/>
    <n v="0"/>
    <n v="0"/>
    <n v="0"/>
    <n v="0"/>
    <n v="0"/>
    <n v="0"/>
    <n v="0"/>
    <n v="0"/>
  </r>
  <r>
    <n v="204"/>
    <d v="2024-04-05T11:09:55"/>
    <d v="2024-04-05T11:22:59"/>
    <s v="tsatumba@lighthouse.org.mw"/>
    <s v="Thomas Satumba"/>
    <x v="10"/>
    <s v="Prototype"/>
    <x v="1"/>
    <s v="COP_24"/>
    <x v="0"/>
    <x v="2"/>
    <s v="Quarter2"/>
    <x v="2"/>
    <x v="4"/>
    <d v="2024-01-01T00:00:00"/>
    <d v="2024-01-31T00:00:00"/>
    <x v="1"/>
    <n v="12"/>
    <n v="1"/>
    <n v="9"/>
    <n v="1"/>
    <n v="1"/>
    <n v="4"/>
    <n v="12"/>
    <n v="5"/>
    <n v="4"/>
    <n v="0"/>
    <n v="0"/>
    <n v="0"/>
    <n v="5"/>
    <n v="2"/>
    <n v="0"/>
    <n v="0"/>
    <n v="0"/>
    <n v="0"/>
    <n v="0"/>
    <n v="0"/>
    <n v="2"/>
    <n v="0"/>
    <n v="0"/>
    <n v="0"/>
  </r>
  <r>
    <n v="209"/>
    <d v="2024-04-05T11:46:57"/>
    <d v="2024-04-05T11:52:48"/>
    <s v="tsatumba@lighthouse.org.mw"/>
    <s v="Thomas Satumba"/>
    <x v="10"/>
    <s v="Prototype"/>
    <x v="1"/>
    <s v="COP_24"/>
    <x v="0"/>
    <x v="2"/>
    <s v="Quarter2"/>
    <x v="2"/>
    <x v="5"/>
    <d v="2024-02-01T00:00:00"/>
    <d v="2024-02-29T00:00:00"/>
    <x v="1"/>
    <n v="7"/>
    <n v="0"/>
    <n v="6"/>
    <n v="1"/>
    <n v="0"/>
    <n v="0"/>
    <n v="7"/>
    <n v="1"/>
    <n v="1"/>
    <n v="0"/>
    <n v="0"/>
    <n v="0"/>
    <n v="1"/>
    <n v="0"/>
    <n v="0"/>
    <n v="0"/>
    <n v="0"/>
    <n v="0"/>
    <n v="0"/>
    <n v="0"/>
    <n v="0"/>
    <n v="0"/>
    <n v="0"/>
    <n v="0"/>
  </r>
  <r>
    <n v="210"/>
    <d v="2024-04-05T11:52:54"/>
    <d v="2024-04-05T11:58:32"/>
    <s v="tsatumba@lighthouse.org.mw"/>
    <s v="Thomas Satumba"/>
    <x v="10"/>
    <s v="Prototype"/>
    <x v="1"/>
    <s v="COP_24"/>
    <x v="0"/>
    <x v="2"/>
    <s v="Quarter2"/>
    <x v="2"/>
    <x v="5"/>
    <d v="2024-02-01T00:00:00"/>
    <d v="2024-02-29T00:00:00"/>
    <x v="2"/>
    <n v="9"/>
    <n v="3"/>
    <n v="2"/>
    <n v="4"/>
    <n v="0"/>
    <n v="3"/>
    <n v="8"/>
    <n v="3"/>
    <n v="5"/>
    <n v="0"/>
    <n v="0"/>
    <n v="0"/>
    <n v="9"/>
    <n v="3"/>
    <n v="0"/>
    <n v="0"/>
    <n v="0"/>
    <n v="0"/>
    <n v="0"/>
    <n v="0"/>
    <n v="0"/>
    <n v="0"/>
    <n v="0"/>
    <n v="0"/>
  </r>
  <r>
    <n v="214"/>
    <d v="2024-04-05T12:29:12"/>
    <d v="2024-04-05T12:40:53"/>
    <s v="tsatumba@lighthouse.org.mw"/>
    <s v="Thomas Satumba"/>
    <x v="10"/>
    <s v="Prototype"/>
    <x v="1"/>
    <s v="COP_24"/>
    <x v="0"/>
    <x v="2"/>
    <s v="Quarter2"/>
    <x v="2"/>
    <x v="3"/>
    <d v="2024-03-01T00:00:00"/>
    <d v="2024-03-31T00:00:00"/>
    <x v="2"/>
    <n v="9"/>
    <n v="4"/>
    <n v="5"/>
    <n v="0"/>
    <n v="1"/>
    <n v="3"/>
    <n v="8"/>
    <n v="6"/>
    <n v="6"/>
    <n v="0"/>
    <n v="0"/>
    <n v="0"/>
    <n v="8"/>
    <n v="5"/>
    <n v="0"/>
    <n v="0"/>
    <n v="0"/>
    <n v="0"/>
    <n v="0"/>
    <n v="0"/>
    <n v="0"/>
    <n v="0"/>
    <n v="0"/>
    <n v="0"/>
  </r>
  <r>
    <n v="213"/>
    <d v="2024-04-05T12:05:12"/>
    <d v="2024-04-05T12:29:08"/>
    <s v="tsatumba@lighthouse.org.mw"/>
    <s v="Thomas Satumba"/>
    <x v="10"/>
    <s v="Prototype"/>
    <x v="1"/>
    <s v="COP_24"/>
    <x v="0"/>
    <x v="2"/>
    <s v="Quarter2"/>
    <x v="2"/>
    <x v="3"/>
    <d v="2024-03-01T00:00:00"/>
    <d v="2024-03-31T00:00:00"/>
    <x v="1"/>
    <n v="15"/>
    <n v="4"/>
    <n v="10"/>
    <n v="1"/>
    <n v="2"/>
    <n v="4"/>
    <n v="15"/>
    <n v="3"/>
    <n v="2"/>
    <n v="0"/>
    <n v="0"/>
    <n v="0"/>
    <n v="9"/>
    <n v="5"/>
    <n v="0"/>
    <n v="0"/>
    <n v="0"/>
    <n v="0"/>
    <n v="0"/>
    <n v="0"/>
    <n v="0"/>
    <n v="0"/>
    <n v="0"/>
    <n v="0"/>
  </r>
  <r>
    <n v="693"/>
    <d v="2024-07-31T10:15:47"/>
    <d v="2024-07-31T10:19:54"/>
    <s v="tsatumba@lighthouse.org.mw"/>
    <s v="Thomas Satumba"/>
    <x v="10"/>
    <s v="Prototype"/>
    <x v="1"/>
    <s v="COP_24"/>
    <x v="0"/>
    <x v="3"/>
    <s v="Quarter3"/>
    <x v="3"/>
    <x v="8"/>
    <d v="2024-06-01T00:00:00"/>
    <d v="2024-06-30T00:00:00"/>
    <x v="2"/>
    <n v="10"/>
    <n v="0"/>
    <n v="1"/>
    <n v="1"/>
    <n v="0"/>
    <n v="0"/>
    <n v="2"/>
    <n v="1"/>
    <n v="1"/>
    <n v="0"/>
    <n v="0"/>
    <n v="0"/>
    <n v="0"/>
    <n v="0"/>
    <n v="0"/>
    <n v="0"/>
    <n v="0"/>
    <n v="0"/>
    <n v="0"/>
    <n v="0"/>
    <n v="0"/>
    <n v="0"/>
    <n v="0"/>
    <n v="0"/>
  </r>
  <r>
    <n v="694"/>
    <d v="2024-07-31T10:20:01"/>
    <d v="2024-07-31T10:21:11"/>
    <s v="tsatumba@lighthouse.org.mw"/>
    <s v="Thomas Satumba"/>
    <x v="10"/>
    <s v="Prototype"/>
    <x v="1"/>
    <s v="COP_24"/>
    <x v="0"/>
    <x v="3"/>
    <s v="Quarter3"/>
    <x v="3"/>
    <x v="7"/>
    <d v="2024-04-01T00:00:00"/>
    <d v="2024-04-30T00:00:00"/>
    <x v="2"/>
    <n v="17"/>
    <n v="0"/>
    <n v="0"/>
    <n v="0"/>
    <n v="0"/>
    <n v="0"/>
    <n v="0"/>
    <n v="0"/>
    <n v="0"/>
    <n v="0"/>
    <n v="0"/>
    <n v="0"/>
    <n v="0"/>
    <n v="0"/>
    <n v="0"/>
    <n v="0"/>
    <n v="0"/>
    <n v="0"/>
    <n v="0"/>
    <n v="0"/>
    <n v="0"/>
    <n v="0"/>
    <n v="0"/>
    <n v="0"/>
  </r>
  <r>
    <n v="680"/>
    <d v="2024-07-31T09:03:05"/>
    <d v="2024-07-31T09:09:00"/>
    <s v="tsatumba@lighthouse.org.mw"/>
    <s v="Thomas Satumba"/>
    <x v="10"/>
    <s v="Prototype"/>
    <x v="1"/>
    <s v="COP_24"/>
    <x v="0"/>
    <x v="3"/>
    <s v="Quarter3"/>
    <x v="3"/>
    <x v="7"/>
    <d v="2024-04-01T00:00:00"/>
    <d v="2024-04-30T00:00:00"/>
    <x v="1"/>
    <n v="9"/>
    <n v="0"/>
    <n v="8"/>
    <n v="1"/>
    <n v="0"/>
    <n v="0"/>
    <n v="9"/>
    <n v="2"/>
    <n v="0"/>
    <n v="0"/>
    <n v="0"/>
    <n v="0"/>
    <n v="0"/>
    <n v="0"/>
    <n v="0"/>
    <n v="0"/>
    <n v="0"/>
    <n v="0"/>
    <n v="0"/>
    <n v="0"/>
    <n v="0"/>
    <n v="0"/>
    <n v="0"/>
    <n v="0"/>
  </r>
  <r>
    <n v="695"/>
    <d v="2024-07-31T10:21:24"/>
    <d v="2024-07-31T10:22:44"/>
    <s v="tsatumba@lighthouse.org.mw"/>
    <s v="Thomas Satumba"/>
    <x v="10"/>
    <s v="Prototype"/>
    <x v="1"/>
    <s v="COP_24"/>
    <x v="0"/>
    <x v="3"/>
    <s v="Quarter3"/>
    <x v="3"/>
    <x v="6"/>
    <d v="2024-05-01T00:00:00"/>
    <d v="2024-05-31T00:00:00"/>
    <x v="2"/>
    <n v="10"/>
    <n v="0"/>
    <n v="0"/>
    <n v="0"/>
    <n v="0"/>
    <n v="0"/>
    <n v="0"/>
    <n v="0"/>
    <n v="0"/>
    <n v="0"/>
    <n v="0"/>
    <n v="0"/>
    <n v="0"/>
    <n v="0"/>
    <n v="0"/>
    <n v="0"/>
    <n v="0"/>
    <n v="0"/>
    <n v="0"/>
    <n v="0"/>
    <n v="0"/>
    <n v="0"/>
    <n v="0"/>
    <n v="0"/>
  </r>
  <r>
    <n v="681"/>
    <d v="2024-07-31T09:09:48"/>
    <d v="2024-07-31T09:13:40"/>
    <s v="tsatumba@lighthouse.org.mw"/>
    <s v="Thomas Satumba"/>
    <x v="10"/>
    <s v="Prototype"/>
    <x v="1"/>
    <s v="COP_24"/>
    <x v="0"/>
    <x v="3"/>
    <s v="Quarter3"/>
    <x v="3"/>
    <x v="6"/>
    <d v="2024-05-01T00:00:00"/>
    <d v="2024-05-31T00:00:00"/>
    <x v="1"/>
    <n v="8"/>
    <n v="0"/>
    <n v="6"/>
    <n v="1"/>
    <n v="0"/>
    <n v="1"/>
    <n v="8"/>
    <n v="2"/>
    <n v="2"/>
    <n v="0"/>
    <n v="0"/>
    <n v="0"/>
    <n v="0"/>
    <n v="0"/>
    <n v="0"/>
    <n v="0"/>
    <n v="0"/>
    <n v="0"/>
    <n v="0"/>
    <n v="0"/>
    <n v="0"/>
    <n v="0"/>
    <n v="0"/>
    <n v="0"/>
  </r>
  <r>
    <n v="682"/>
    <d v="2024-07-31T09:14:03"/>
    <d v="2024-07-31T09:16:58"/>
    <s v="tsatumba@lighthouse.org.mw"/>
    <s v="Thomas Satumba"/>
    <x v="10"/>
    <s v="Prototype"/>
    <x v="1"/>
    <s v="COP_24"/>
    <x v="0"/>
    <x v="3"/>
    <s v="Quarter3"/>
    <x v="3"/>
    <x v="8"/>
    <d v="2024-06-01T00:00:00"/>
    <d v="2024-06-30T00:00:00"/>
    <x v="1"/>
    <n v="10"/>
    <n v="0"/>
    <n v="9"/>
    <n v="0"/>
    <n v="1"/>
    <n v="0"/>
    <n v="8"/>
    <n v="4"/>
    <n v="4"/>
    <n v="0"/>
    <n v="0"/>
    <n v="0"/>
    <n v="0"/>
    <n v="0"/>
    <n v="0"/>
    <n v="0"/>
    <n v="0"/>
    <n v="0"/>
    <n v="0"/>
    <n v="0"/>
    <n v="0"/>
    <n v="0"/>
    <n v="0"/>
    <n v="0"/>
  </r>
  <r>
    <n v="923"/>
    <d v="2024-10-14T09:30:17"/>
    <d v="2024-10-14T09:30:39"/>
    <s v="tsatumba@lighthouse.org.mw"/>
    <s v="Thomas Satumba"/>
    <x v="10"/>
    <s v="Prototype"/>
    <x v="1"/>
    <s v="COP_23"/>
    <x v="0"/>
    <x v="1"/>
    <s v="Quarter4"/>
    <x v="1"/>
    <x v="9"/>
    <d v="2024-07-01T00:00:00"/>
    <d v="2024-07-31T00:00:00"/>
    <x v="1"/>
    <n v="11"/>
    <n v="2"/>
    <n v="8"/>
    <n v="1"/>
    <n v="1"/>
    <n v="0"/>
    <n v="9"/>
    <n v="2"/>
    <n v="3"/>
    <n v="0"/>
    <n v="0"/>
    <n v="0"/>
    <n v="0"/>
    <n v="0"/>
    <n v="0"/>
    <n v="0"/>
    <n v="0"/>
    <n v="0"/>
    <n v="0"/>
    <n v="0"/>
    <n v="0"/>
    <n v="0"/>
    <n v="0"/>
    <n v="0"/>
  </r>
  <r>
    <n v="924"/>
    <d v="2024-10-14T09:30:54"/>
    <d v="2024-10-14T09:33:19"/>
    <s v="tsatumba@lighthouse.org.mw"/>
    <s v="Thomas Satumba"/>
    <x v="10"/>
    <s v="Prototype"/>
    <x v="1"/>
    <s v="COP_23"/>
    <x v="0"/>
    <x v="1"/>
    <s v="Quarter4"/>
    <x v="1"/>
    <x v="10"/>
    <d v="2024-08-01T00:00:00"/>
    <d v="2024-08-31T00:00:00"/>
    <x v="1"/>
    <n v="13"/>
    <n v="0"/>
    <n v="10"/>
    <n v="1"/>
    <n v="1"/>
    <n v="0"/>
    <n v="12"/>
    <n v="3"/>
    <n v="0"/>
    <n v="0"/>
    <n v="0"/>
    <n v="0"/>
    <n v="0"/>
    <n v="0"/>
    <n v="0"/>
    <n v="0"/>
    <n v="0"/>
    <n v="0"/>
    <n v="0"/>
    <n v="0"/>
    <n v="0"/>
    <n v="0"/>
    <n v="0"/>
    <n v="0"/>
  </r>
  <r>
    <n v="925"/>
    <d v="2024-10-14T09:33:28"/>
    <d v="2024-10-14T09:35:34"/>
    <s v="tsatumba@lighthouse.org.mw"/>
    <s v="Thomas Satumba"/>
    <x v="10"/>
    <s v="Prototype"/>
    <x v="1"/>
    <s v="COP_23"/>
    <x v="0"/>
    <x v="1"/>
    <s v="Quarter4"/>
    <x v="1"/>
    <x v="2"/>
    <d v="2024-09-01T00:00:00"/>
    <d v="2024-09-30T00:00:00"/>
    <x v="1"/>
    <n v="8"/>
    <n v="0"/>
    <n v="6"/>
    <n v="1"/>
    <n v="0"/>
    <n v="0"/>
    <n v="4"/>
    <n v="0"/>
    <n v="0"/>
    <n v="0"/>
    <n v="0"/>
    <n v="0"/>
    <n v="0"/>
    <n v="0"/>
    <n v="0"/>
    <n v="0"/>
    <n v="0"/>
    <n v="0"/>
    <n v="0"/>
    <n v="0"/>
    <n v="0"/>
    <n v="0"/>
    <n v="0"/>
    <n v="0"/>
  </r>
  <r>
    <n v="914"/>
    <d v="2024-10-10T14:27:00"/>
    <d v="2024-10-10T14:33:23"/>
    <s v="tsatumba@lighthouse.org.mw"/>
    <s v="Thomas Satumba"/>
    <x v="10"/>
    <s v="Prototype"/>
    <x v="1"/>
    <s v="COP_23"/>
    <x v="0"/>
    <x v="1"/>
    <s v="Quarter4"/>
    <x v="1"/>
    <x v="9"/>
    <d v="2024-07-01T00:00:00"/>
    <d v="2024-07-31T00:00:00"/>
    <x v="0"/>
    <n v="12"/>
    <n v="2"/>
    <n v="10"/>
    <n v="1"/>
    <n v="1"/>
    <n v="0"/>
    <n v="11"/>
    <n v="2"/>
    <n v="3"/>
    <n v="0"/>
    <n v="0"/>
    <n v="0"/>
    <n v="0"/>
    <n v="0"/>
    <n v="0"/>
    <n v="0"/>
    <n v="0"/>
    <n v="0"/>
    <n v="0"/>
    <n v="0"/>
    <n v="0"/>
    <n v="0"/>
    <n v="0"/>
    <n v="0"/>
  </r>
  <r>
    <n v="915"/>
    <d v="2024-10-10T14:34:22"/>
    <d v="2024-10-10T14:44:49"/>
    <s v="tsatumba@lighthouse.org.mw"/>
    <s v="Thomas Satumba"/>
    <x v="10"/>
    <s v="Prototype"/>
    <x v="1"/>
    <s v="COP_23"/>
    <x v="0"/>
    <x v="1"/>
    <s v="Quarter4"/>
    <x v="1"/>
    <x v="10"/>
    <d v="2024-08-01T00:00:00"/>
    <d v="2024-08-31T00:00:00"/>
    <x v="0"/>
    <n v="18"/>
    <n v="1"/>
    <n v="15"/>
    <n v="0"/>
    <n v="2"/>
    <n v="1"/>
    <n v="18"/>
    <n v="5"/>
    <n v="2"/>
    <n v="0"/>
    <n v="0"/>
    <n v="0"/>
    <n v="2"/>
    <n v="1"/>
    <n v="0"/>
    <n v="0"/>
    <n v="0"/>
    <n v="0"/>
    <n v="0"/>
    <n v="0"/>
    <n v="0"/>
    <n v="0"/>
    <n v="0"/>
    <n v="0"/>
  </r>
  <r>
    <n v="916"/>
    <d v="2024-10-10T14:50:40"/>
    <d v="2024-10-10T15:08:19"/>
    <s v="tsatumba@lighthouse.org.mw"/>
    <s v="Thomas Satumba"/>
    <x v="10"/>
    <s v="Prototype"/>
    <x v="1"/>
    <s v="COP_23"/>
    <x v="0"/>
    <x v="1"/>
    <s v="Quarter4"/>
    <x v="1"/>
    <x v="2"/>
    <d v="2024-09-01T00:00:00"/>
    <d v="2024-09-30T00:00:00"/>
    <x v="0"/>
    <n v="17"/>
    <n v="0"/>
    <n v="13"/>
    <n v="1"/>
    <n v="1"/>
    <n v="2"/>
    <n v="11"/>
    <n v="2"/>
    <n v="1"/>
    <n v="0"/>
    <n v="0"/>
    <n v="0"/>
    <n v="7"/>
    <n v="3"/>
    <n v="0"/>
    <n v="0"/>
    <n v="0"/>
    <n v="0"/>
    <n v="0"/>
    <n v="0"/>
    <n v="4"/>
    <n v="0"/>
    <n v="0"/>
    <n v="0"/>
  </r>
  <r>
    <n v="917"/>
    <d v="2024-10-10T15:12:05"/>
    <d v="2024-10-10T15:19:14"/>
    <s v="tsatumba@lighthouse.org.mw"/>
    <s v="Thomas Satumba"/>
    <x v="10"/>
    <s v="Prototype"/>
    <x v="1"/>
    <s v="COP_23"/>
    <x v="0"/>
    <x v="1"/>
    <s v="Quarter4"/>
    <x v="1"/>
    <x v="9"/>
    <d v="2024-07-01T00:00:00"/>
    <d v="2024-07-31T00:00:00"/>
    <x v="3"/>
    <n v="0"/>
    <n v="0"/>
    <n v="0"/>
    <n v="0"/>
    <n v="0"/>
    <n v="0"/>
    <n v="0"/>
    <n v="0"/>
    <n v="0"/>
    <n v="0"/>
    <n v="0"/>
    <n v="0"/>
    <n v="0"/>
    <n v="0"/>
    <n v="0"/>
    <n v="0"/>
    <n v="0"/>
    <n v="0"/>
    <n v="0"/>
    <n v="0"/>
    <n v="0"/>
    <n v="0"/>
    <n v="0"/>
    <n v="0"/>
  </r>
  <r>
    <n v="918"/>
    <d v="2024-10-10T15:19:17"/>
    <d v="2024-10-10T15:20:30"/>
    <s v="tsatumba@lighthouse.org.mw"/>
    <s v="Thomas Satumba"/>
    <x v="10"/>
    <s v="Prototype"/>
    <x v="1"/>
    <s v="COP_23"/>
    <x v="0"/>
    <x v="1"/>
    <s v="Quarter4"/>
    <x v="1"/>
    <x v="10"/>
    <d v="2024-08-01T00:00:00"/>
    <d v="2024-08-31T00:00:00"/>
    <x v="3"/>
    <n v="0"/>
    <n v="0"/>
    <n v="0"/>
    <n v="0"/>
    <n v="0"/>
    <n v="0"/>
    <n v="0"/>
    <n v="0"/>
    <n v="0"/>
    <n v="0"/>
    <n v="0"/>
    <n v="0"/>
    <n v="0"/>
    <n v="0"/>
    <n v="0"/>
    <n v="0"/>
    <n v="0"/>
    <n v="0"/>
    <n v="0"/>
    <n v="0"/>
    <n v="0"/>
    <n v="0"/>
    <n v="0"/>
    <n v="0"/>
  </r>
  <r>
    <n v="919"/>
    <d v="2024-10-10T15:20:33"/>
    <d v="2024-10-10T15:21:50"/>
    <s v="tsatumba@lighthouse.org.mw"/>
    <s v="Thomas Satumba"/>
    <x v="10"/>
    <s v="Prototype"/>
    <x v="1"/>
    <s v="COP_23"/>
    <x v="0"/>
    <x v="1"/>
    <s v="Quarter4"/>
    <x v="1"/>
    <x v="2"/>
    <d v="2024-09-01T00:00:00"/>
    <d v="2024-09-01T00:00:00"/>
    <x v="3"/>
    <n v="0"/>
    <n v="0"/>
    <n v="0"/>
    <n v="0"/>
    <n v="0"/>
    <n v="0"/>
    <n v="0"/>
    <n v="0"/>
    <n v="0"/>
    <n v="0"/>
    <n v="0"/>
    <n v="0"/>
    <n v="0"/>
    <n v="0"/>
    <n v="0"/>
    <n v="0"/>
    <n v="0"/>
    <n v="0"/>
    <n v="0"/>
    <n v="0"/>
    <n v="0"/>
    <n v="0"/>
    <n v="0"/>
    <n v="0"/>
  </r>
  <r>
    <n v="920"/>
    <d v="2024-10-10T15:22:06"/>
    <d v="2024-10-10T15:23:17"/>
    <s v="tsatumba@lighthouse.org.mw"/>
    <s v="Thomas Satumba"/>
    <x v="10"/>
    <s v="Prototype"/>
    <x v="1"/>
    <s v="COP_23"/>
    <x v="0"/>
    <x v="1"/>
    <s v="Quarter4"/>
    <x v="1"/>
    <x v="9"/>
    <d v="2024-07-01T00:00:00"/>
    <d v="2024-07-31T00:00:00"/>
    <x v="6"/>
    <n v="0"/>
    <n v="0"/>
    <n v="0"/>
    <n v="0"/>
    <n v="0"/>
    <n v="0"/>
    <n v="0"/>
    <n v="0"/>
    <n v="0"/>
    <n v="0"/>
    <n v="0"/>
    <n v="0"/>
    <n v="0"/>
    <n v="0"/>
    <n v="0"/>
    <n v="0"/>
    <n v="0"/>
    <n v="0"/>
    <n v="0"/>
    <n v="0"/>
    <n v="0"/>
    <n v="0"/>
    <n v="0"/>
    <n v="0"/>
  </r>
  <r>
    <n v="921"/>
    <d v="2024-10-10T15:23:20"/>
    <d v="2024-10-10T15:24:43"/>
    <s v="tsatumba@lighthouse.org.mw"/>
    <s v="Thomas Satumba"/>
    <x v="10"/>
    <s v="Prototype"/>
    <x v="1"/>
    <s v="COP_23"/>
    <x v="0"/>
    <x v="1"/>
    <s v="Quarter4"/>
    <x v="1"/>
    <x v="10"/>
    <d v="2024-08-01T00:00:00"/>
    <d v="2024-08-31T00:00:00"/>
    <x v="6"/>
    <n v="0"/>
    <n v="0"/>
    <n v="0"/>
    <n v="0"/>
    <n v="0"/>
    <n v="0"/>
    <n v="0"/>
    <n v="0"/>
    <n v="0"/>
    <n v="0"/>
    <n v="0"/>
    <n v="0"/>
    <n v="0"/>
    <n v="0"/>
    <n v="0"/>
    <n v="0"/>
    <n v="0"/>
    <n v="0"/>
    <n v="0"/>
    <n v="0"/>
    <n v="0"/>
    <n v="0"/>
    <n v="0"/>
    <n v="0"/>
  </r>
  <r>
    <n v="922"/>
    <d v="2024-10-10T15:24:46"/>
    <d v="2024-10-10T15:25:56"/>
    <s v="tsatumba@lighthouse.org.mw"/>
    <s v="Thomas Satumba"/>
    <x v="10"/>
    <s v="Prototype"/>
    <x v="1"/>
    <s v="COP_23"/>
    <x v="0"/>
    <x v="1"/>
    <s v="Quarter4"/>
    <x v="1"/>
    <x v="2"/>
    <d v="2024-09-01T00:00:00"/>
    <d v="2024-09-30T00:00:00"/>
    <x v="6"/>
    <n v="0"/>
    <n v="0"/>
    <n v="0"/>
    <n v="0"/>
    <n v="0"/>
    <n v="0"/>
    <n v="0"/>
    <n v="0"/>
    <n v="0"/>
    <n v="0"/>
    <n v="0"/>
    <n v="0"/>
    <n v="0"/>
    <n v="0"/>
    <n v="0"/>
    <n v="0"/>
    <n v="0"/>
    <n v="0"/>
    <n v="0"/>
    <n v="0"/>
    <n v="0"/>
    <n v="0"/>
    <n v="0"/>
    <n v="0"/>
  </r>
  <r>
    <n v="947"/>
    <d v="2024-10-17T13:30:26"/>
    <d v="2024-10-17T13:32:27"/>
    <s v="tsatumba@lighthouse.org.mw"/>
    <s v="Thomas Satumba"/>
    <x v="10"/>
    <s v="Prototype"/>
    <x v="1"/>
    <s v="COP_23"/>
    <x v="0"/>
    <x v="1"/>
    <s v="Quarter4"/>
    <x v="1"/>
    <x v="10"/>
    <d v="2024-08-01T00:00:00"/>
    <d v="2024-08-31T00:00:00"/>
    <x v="4"/>
    <n v="1"/>
    <n v="0"/>
    <n v="0"/>
    <n v="0"/>
    <n v="1"/>
    <n v="0"/>
    <n v="1"/>
    <n v="1"/>
    <n v="0"/>
    <n v="0"/>
    <n v="0"/>
    <n v="0"/>
    <n v="0"/>
    <n v="0"/>
    <n v="0"/>
    <n v="0"/>
    <n v="0"/>
    <n v="0"/>
    <n v="0"/>
    <n v="0"/>
    <n v="0"/>
    <n v="0"/>
    <n v="0"/>
    <n v="0"/>
  </r>
  <r>
    <n v="948"/>
    <d v="2024-10-17T13:32:32"/>
    <d v="2024-10-17T13:34:11"/>
    <s v="tsatumba@lighthouse.org.mw"/>
    <s v="Thomas Satumba"/>
    <x v="10"/>
    <s v="Prototype"/>
    <x v="1"/>
    <s v="COP_23"/>
    <x v="0"/>
    <x v="1"/>
    <s v="Quarter4"/>
    <x v="1"/>
    <x v="2"/>
    <d v="2024-09-01T00:00:00"/>
    <d v="2024-09-30T00:00:00"/>
    <x v="4"/>
    <n v="1"/>
    <n v="0"/>
    <n v="0"/>
    <n v="1"/>
    <n v="0"/>
    <n v="0"/>
    <n v="0"/>
    <n v="0"/>
    <n v="0"/>
    <n v="0"/>
    <n v="0"/>
    <n v="0"/>
    <n v="0"/>
    <n v="0"/>
    <n v="0"/>
    <n v="0"/>
    <n v="0"/>
    <n v="0"/>
    <n v="0"/>
    <n v="0"/>
    <n v="0"/>
    <n v="0"/>
    <n v="0"/>
    <n v="0"/>
  </r>
  <r>
    <n v="949"/>
    <d v="2024-10-17T13:35:33"/>
    <d v="2024-10-17T13:38:18"/>
    <s v="tsatumba@lighthouse.org.mw"/>
    <s v="Thomas Satumba"/>
    <x v="10"/>
    <s v="Prototype"/>
    <x v="1"/>
    <s v="COP_23"/>
    <x v="0"/>
    <x v="1"/>
    <s v="Quarter4"/>
    <x v="1"/>
    <x v="2"/>
    <d v="2024-09-01T00:00:00"/>
    <d v="2024-09-30T00:00:00"/>
    <x v="5"/>
    <n v="6"/>
    <n v="0"/>
    <n v="5"/>
    <n v="0"/>
    <n v="1"/>
    <n v="0"/>
    <n v="6"/>
    <n v="2"/>
    <n v="2"/>
    <n v="0"/>
    <n v="0"/>
    <n v="0"/>
    <n v="2"/>
    <n v="0"/>
    <n v="0"/>
    <n v="0"/>
    <n v="0"/>
    <n v="0"/>
    <n v="0"/>
    <n v="0"/>
    <n v="0"/>
    <n v="0"/>
    <n v="0"/>
    <n v="0"/>
  </r>
  <r>
    <n v="986"/>
    <d v="2024-10-24T11:05:30"/>
    <d v="2024-10-24T11:06:50"/>
    <s v="tsatumba@lighthouse.org.mw"/>
    <s v="Thomas Satumba"/>
    <x v="10"/>
    <s v="Prototype"/>
    <x v="1"/>
    <s v="COP_23"/>
    <x v="0"/>
    <x v="1"/>
    <s v="Quarter4"/>
    <x v="1"/>
    <x v="10"/>
    <d v="2024-08-01T00:00:00"/>
    <d v="2024-08-31T00:00:00"/>
    <x v="5"/>
    <n v="0"/>
    <n v="0"/>
    <n v="0"/>
    <n v="0"/>
    <n v="0"/>
    <n v="0"/>
    <n v="0"/>
    <n v="0"/>
    <n v="0"/>
    <n v="0"/>
    <n v="0"/>
    <n v="0"/>
    <n v="0"/>
    <n v="0"/>
    <n v="0"/>
    <n v="0"/>
    <n v="0"/>
    <n v="0"/>
    <n v="0"/>
    <n v="0"/>
    <n v="0"/>
    <n v="0"/>
    <n v="0"/>
    <n v="0"/>
  </r>
  <r>
    <n v="987"/>
    <d v="2024-10-24T11:06:53"/>
    <d v="2024-10-24T11:07:53"/>
    <s v="tsatumba@lighthouse.org.mw"/>
    <s v="Thomas Satumba"/>
    <x v="10"/>
    <s v="Prototype"/>
    <x v="1"/>
    <s v="COP_23"/>
    <x v="0"/>
    <x v="1"/>
    <s v="Quarter4"/>
    <x v="1"/>
    <x v="9"/>
    <d v="2024-07-01T00:00:00"/>
    <d v="2024-07-31T00:00:00"/>
    <x v="5"/>
    <n v="0"/>
    <n v="0"/>
    <n v="0"/>
    <n v="0"/>
    <n v="0"/>
    <n v="0"/>
    <n v="0"/>
    <n v="0"/>
    <n v="0"/>
    <n v="0"/>
    <n v="0"/>
    <n v="0"/>
    <n v="0"/>
    <n v="0"/>
    <n v="0"/>
    <n v="0"/>
    <n v="0"/>
    <n v="0"/>
    <n v="0"/>
    <n v="0"/>
    <n v="0"/>
    <n v="0"/>
    <n v="0"/>
    <n v="0"/>
  </r>
  <r>
    <n v="1110"/>
    <d v="2024-12-06T09:32:31"/>
    <d v="2024-12-06T09:37:33"/>
    <s v="tsatumba@lighthouse.org.mw"/>
    <s v="Thomas Satumba"/>
    <x v="10"/>
    <s v="Prototype"/>
    <x v="1"/>
    <s v="COP_24"/>
    <x v="2"/>
    <x v="0"/>
    <s v="Quarter1"/>
    <x v="0"/>
    <x v="0"/>
    <d v="2024-10-01T00:00:00"/>
    <d v="2024-10-31T00:00:00"/>
    <x v="0"/>
    <n v="13"/>
    <n v="0"/>
    <n v="13"/>
    <n v="0"/>
    <n v="0"/>
    <n v="0"/>
    <n v="0"/>
    <n v="0"/>
    <n v="0"/>
    <n v="0"/>
    <n v="0"/>
    <n v="0"/>
    <n v="3"/>
    <n v="0"/>
    <n v="0"/>
    <n v="0"/>
    <n v="0"/>
    <n v="0"/>
    <n v="0"/>
    <n v="0"/>
    <n v="0"/>
    <n v="0"/>
    <n v="0"/>
    <n v="0"/>
  </r>
  <r>
    <n v="1111"/>
    <d v="2024-12-06T09:37:56"/>
    <d v="2024-12-06T09:40:10"/>
    <s v="tsatumba@lighthouse.org.mw"/>
    <s v="Thomas Satumba"/>
    <x v="10"/>
    <s v="Prototype"/>
    <x v="1"/>
    <s v="COP_24"/>
    <x v="2"/>
    <x v="0"/>
    <s v="Quarter1"/>
    <x v="0"/>
    <x v="1"/>
    <d v="2024-11-01T00:00:00"/>
    <d v="2024-11-30T00:00:00"/>
    <x v="0"/>
    <n v="21"/>
    <n v="1"/>
    <n v="12"/>
    <n v="2"/>
    <n v="4"/>
    <n v="0"/>
    <n v="0"/>
    <n v="0"/>
    <n v="0"/>
    <n v="0"/>
    <n v="0"/>
    <n v="0"/>
    <n v="7"/>
    <n v="0"/>
    <n v="0"/>
    <n v="0"/>
    <n v="0"/>
    <n v="0"/>
    <n v="0"/>
    <n v="0"/>
    <n v="0"/>
    <n v="0"/>
    <n v="0"/>
    <n v="0"/>
  </r>
  <r>
    <n v="1239"/>
    <d v="2025-01-13T13:04:51"/>
    <d v="2025-01-13T13:12:07"/>
    <s v="tsatumba@lighthouse.org.mw"/>
    <s v="Thomas Satumba"/>
    <x v="10"/>
    <s v="Prototype"/>
    <x v="1"/>
    <s v="COP_24"/>
    <x v="2"/>
    <x v="0"/>
    <s v="Quarter1"/>
    <x v="0"/>
    <x v="11"/>
    <d v="2024-12-01T00:00:00"/>
    <d v="2024-12-31T00:00:00"/>
    <x v="0"/>
    <n v="13"/>
    <n v="0"/>
    <n v="9"/>
    <n v="1"/>
    <n v="3"/>
    <n v="0"/>
    <n v="8"/>
    <n v="3"/>
    <n v="6"/>
    <n v="0"/>
    <n v="0"/>
    <n v="0"/>
    <n v="5"/>
    <n v="0"/>
    <n v="0"/>
    <n v="0"/>
    <n v="0"/>
    <n v="0"/>
    <n v="0"/>
    <n v="0"/>
    <n v="0"/>
    <n v="0"/>
    <n v="0"/>
    <n v="0"/>
  </r>
  <r>
    <n v="1240"/>
    <d v="2025-01-13T13:13:50"/>
    <d v="2025-01-13T13:17:47"/>
    <s v="tsatumba@lighthouse.org.mw"/>
    <s v="Thomas Satumba"/>
    <x v="10"/>
    <s v="Prototype"/>
    <x v="1"/>
    <s v="COP_24"/>
    <x v="2"/>
    <x v="0"/>
    <s v="Quarter1"/>
    <x v="0"/>
    <x v="11"/>
    <d v="2024-12-01T00:00:00"/>
    <d v="2024-12-31T00:00:00"/>
    <x v="1"/>
    <n v="9"/>
    <n v="0"/>
    <n v="6"/>
    <n v="1"/>
    <n v="2"/>
    <n v="0"/>
    <n v="8"/>
    <n v="3"/>
    <n v="5"/>
    <n v="0"/>
    <n v="0"/>
    <n v="0"/>
    <n v="3"/>
    <n v="0"/>
    <n v="0"/>
    <n v="0"/>
    <n v="0"/>
    <n v="0"/>
    <n v="0"/>
    <n v="0"/>
    <n v="0"/>
    <n v="0"/>
    <n v="0"/>
    <n v="0"/>
  </r>
  <r>
    <n v="1241"/>
    <d v="2025-01-13T13:18:43"/>
    <d v="2025-01-13T13:20:31"/>
    <s v="tsatumba@lighthouse.org.mw"/>
    <s v="Thomas Satumba"/>
    <x v="10"/>
    <s v="Prototype"/>
    <x v="1"/>
    <s v="COP_24"/>
    <x v="2"/>
    <x v="0"/>
    <s v="Quarter1"/>
    <x v="0"/>
    <x v="11"/>
    <d v="2024-12-01T00:00:00"/>
    <d v="2024-12-31T00:00:00"/>
    <x v="4"/>
    <n v="0"/>
    <n v="0"/>
    <n v="0"/>
    <n v="0"/>
    <n v="0"/>
    <n v="0"/>
    <n v="0"/>
    <n v="0"/>
    <n v="0"/>
    <n v="0"/>
    <n v="0"/>
    <n v="0"/>
    <n v="0"/>
    <n v="0"/>
    <n v="0"/>
    <n v="0"/>
    <n v="0"/>
    <n v="0"/>
    <n v="0"/>
    <n v="0"/>
    <n v="0"/>
    <n v="0"/>
    <n v="0"/>
    <n v="0"/>
  </r>
  <r>
    <n v="1242"/>
    <d v="2025-01-13T13:20:49"/>
    <d v="2025-01-13T13:24:42"/>
    <s v="tsatumba@lighthouse.org.mw"/>
    <s v="Thomas Satumba"/>
    <x v="10"/>
    <s v="Prototype"/>
    <x v="1"/>
    <s v="COP_24"/>
    <x v="2"/>
    <x v="0"/>
    <s v="Quarter1"/>
    <x v="0"/>
    <x v="11"/>
    <d v="2024-12-01T00:00:00"/>
    <d v="2024-12-31T00:00:00"/>
    <x v="3"/>
    <n v="1"/>
    <n v="0"/>
    <n v="1"/>
    <n v="0"/>
    <n v="0"/>
    <n v="0"/>
    <n v="0"/>
    <n v="0"/>
    <n v="0"/>
    <n v="0"/>
    <n v="0"/>
    <n v="0"/>
    <n v="0"/>
    <n v="0"/>
    <n v="0"/>
    <n v="0"/>
    <n v="0"/>
    <n v="0"/>
    <n v="0"/>
    <n v="0"/>
    <n v="0"/>
    <n v="0"/>
    <n v="0"/>
    <n v="0"/>
  </r>
  <r>
    <n v="1243"/>
    <d v="2025-01-13T13:25:10"/>
    <d v="2025-01-13T13:26:50"/>
    <s v="tsatumba@lighthouse.org.mw"/>
    <s v="Thomas Satumba"/>
    <x v="10"/>
    <s v="Prototype"/>
    <x v="1"/>
    <s v="COP_24"/>
    <x v="2"/>
    <x v="0"/>
    <s v="Quarter1"/>
    <x v="0"/>
    <x v="11"/>
    <d v="2024-12-01T00:00:00"/>
    <d v="2024-12-31T00:00:00"/>
    <x v="5"/>
    <n v="0"/>
    <n v="0"/>
    <n v="0"/>
    <n v="0"/>
    <n v="0"/>
    <n v="0"/>
    <n v="0"/>
    <n v="0"/>
    <n v="0"/>
    <n v="0"/>
    <n v="0"/>
    <n v="0"/>
    <n v="0"/>
    <n v="0"/>
    <n v="0"/>
    <n v="0"/>
    <n v="0"/>
    <n v="0"/>
    <n v="0"/>
    <n v="0"/>
    <n v="0"/>
    <n v="0"/>
    <n v="0"/>
    <n v="0"/>
  </r>
  <r>
    <n v="1245"/>
    <d v="2025-01-13T13:27:00"/>
    <d v="2025-01-13T13:28:47"/>
    <s v="tsatumba@lighthouse.org.mw"/>
    <s v="Thomas Satumba"/>
    <x v="10"/>
    <s v="Prototype"/>
    <x v="1"/>
    <s v="COP_24"/>
    <x v="2"/>
    <x v="0"/>
    <s v="Quarter1"/>
    <x v="0"/>
    <x v="11"/>
    <d v="2024-12-01T00:00:00"/>
    <d v="2024-12-31T00:00:00"/>
    <x v="6"/>
    <n v="0"/>
    <n v="0"/>
    <n v="0"/>
    <n v="0"/>
    <n v="0"/>
    <n v="0"/>
    <n v="0"/>
    <n v="0"/>
    <n v="0"/>
    <n v="0"/>
    <n v="0"/>
    <n v="0"/>
    <n v="0"/>
    <n v="0"/>
    <n v="0"/>
    <n v="0"/>
    <n v="0"/>
    <n v="0"/>
    <n v="0"/>
    <n v="0"/>
    <n v="0"/>
    <n v="0"/>
    <n v="0"/>
    <n v="0"/>
  </r>
  <r>
    <n v="1246"/>
    <d v="2025-01-13T13:30:00"/>
    <d v="2025-01-13T13:32:49"/>
    <s v="tsatumba@lighthouse.org.mw"/>
    <s v="Thomas Satumba"/>
    <x v="10"/>
    <s v="Prototype"/>
    <x v="1"/>
    <s v="COP_24"/>
    <x v="2"/>
    <x v="0"/>
    <s v="Quarter1"/>
    <x v="0"/>
    <x v="1"/>
    <d v="2024-11-01T00:00:00"/>
    <d v="2024-11-30T00:00:00"/>
    <x v="3"/>
    <n v="1"/>
    <n v="0"/>
    <n v="1"/>
    <n v="0"/>
    <n v="0"/>
    <n v="0"/>
    <n v="0"/>
    <n v="0"/>
    <n v="0"/>
    <n v="0"/>
    <n v="0"/>
    <n v="0"/>
    <n v="0"/>
    <n v="0"/>
    <n v="0"/>
    <n v="0"/>
    <n v="0"/>
    <n v="0"/>
    <n v="0"/>
    <n v="0"/>
    <n v="0"/>
    <n v="0"/>
    <n v="0"/>
    <n v="0"/>
  </r>
  <r>
    <n v="1247"/>
    <d v="2025-01-13T13:33:02"/>
    <d v="2025-01-13T13:37:00"/>
    <s v="tsatumba@lighthouse.org.mw"/>
    <s v="Thomas Satumba"/>
    <x v="10"/>
    <s v="Prototype"/>
    <x v="1"/>
    <s v="COP_24"/>
    <x v="2"/>
    <x v="0"/>
    <s v="Quarter1"/>
    <x v="0"/>
    <x v="1"/>
    <d v="2024-11-01T00:00:00"/>
    <d v="2024-11-30T00:00:00"/>
    <x v="4"/>
    <n v="1"/>
    <n v="0"/>
    <n v="0"/>
    <n v="1"/>
    <n v="0"/>
    <n v="0"/>
    <n v="0"/>
    <n v="0"/>
    <n v="0"/>
    <n v="0"/>
    <n v="0"/>
    <n v="0"/>
    <n v="0"/>
    <n v="0"/>
    <n v="0"/>
    <n v="0"/>
    <n v="0"/>
    <n v="0"/>
    <n v="0"/>
    <n v="0"/>
    <n v="0"/>
    <n v="0"/>
    <n v="0"/>
    <n v="0"/>
  </r>
  <r>
    <n v="1248"/>
    <d v="2025-01-13T13:37:17"/>
    <d v="2025-01-13T13:39:19"/>
    <s v="tsatumba@lighthouse.org.mw"/>
    <s v="Thomas Satumba"/>
    <x v="10"/>
    <s v="Prototype"/>
    <x v="1"/>
    <s v="COP_24"/>
    <x v="2"/>
    <x v="0"/>
    <s v="Quarter1"/>
    <x v="0"/>
    <x v="1"/>
    <d v="2024-11-01T00:00:00"/>
    <d v="2024-11-30T00:00:00"/>
    <x v="1"/>
    <n v="13"/>
    <n v="0"/>
    <n v="10"/>
    <n v="0"/>
    <n v="0"/>
    <n v="0"/>
    <n v="0"/>
    <n v="0"/>
    <n v="0"/>
    <n v="0"/>
    <n v="0"/>
    <n v="0"/>
    <n v="0"/>
    <n v="0"/>
    <n v="0"/>
    <n v="0"/>
    <n v="0"/>
    <n v="0"/>
    <n v="0"/>
    <n v="0"/>
    <n v="0"/>
    <n v="0"/>
    <n v="0"/>
    <n v="0"/>
  </r>
  <r>
    <n v="1250"/>
    <d v="2025-01-13T13:40:58"/>
    <d v="2025-01-13T13:43:09"/>
    <s v="tsatumba@lighthouse.org.mw"/>
    <s v="Thomas Satumba"/>
    <x v="10"/>
    <s v="Prototype"/>
    <x v="1"/>
    <s v="COP_24"/>
    <x v="2"/>
    <x v="0"/>
    <s v="Quarter1"/>
    <x v="0"/>
    <x v="1"/>
    <d v="2024-11-01T00:00:00"/>
    <d v="2024-11-30T00:00:00"/>
    <x v="2"/>
    <n v="0"/>
    <n v="0"/>
    <n v="0"/>
    <n v="0"/>
    <n v="0"/>
    <n v="0"/>
    <n v="0"/>
    <n v="0"/>
    <n v="0"/>
    <n v="0"/>
    <n v="0"/>
    <n v="0"/>
    <n v="0"/>
    <n v="0"/>
    <n v="0"/>
    <n v="0"/>
    <n v="0"/>
    <n v="0"/>
    <n v="0"/>
    <n v="0"/>
    <n v="0"/>
    <n v="0"/>
    <n v="0"/>
    <n v="0"/>
  </r>
  <r>
    <n v="1251"/>
    <d v="2025-01-13T13:43:53"/>
    <d v="2025-01-13T13:45:05"/>
    <s v="tsatumba@lighthouse.org.mw"/>
    <s v="Thomas Satumba"/>
    <x v="10"/>
    <s v="Prototype"/>
    <x v="1"/>
    <s v="COP_24"/>
    <x v="2"/>
    <x v="0"/>
    <s v="Quarter1"/>
    <x v="0"/>
    <x v="1"/>
    <d v="2024-11-01T00:00:00"/>
    <d v="2024-11-30T00:00:00"/>
    <x v="6"/>
    <n v="0"/>
    <n v="0"/>
    <n v="0"/>
    <n v="0"/>
    <n v="0"/>
    <n v="0"/>
    <n v="0"/>
    <n v="0"/>
    <n v="0"/>
    <n v="0"/>
    <n v="0"/>
    <n v="0"/>
    <n v="0"/>
    <n v="0"/>
    <n v="0"/>
    <n v="0"/>
    <n v="0"/>
    <n v="0"/>
    <n v="0"/>
    <n v="0"/>
    <n v="0"/>
    <n v="0"/>
    <n v="0"/>
    <n v="0"/>
  </r>
  <r>
    <n v="1256"/>
    <d v="2025-01-13T13:51:45"/>
    <d v="2025-01-13T13:54:44"/>
    <s v="tsatumba@lighthouse.org.mw"/>
    <s v="Thomas Satumba"/>
    <x v="10"/>
    <s v="Prototype"/>
    <x v="1"/>
    <s v="COP_24"/>
    <x v="2"/>
    <x v="0"/>
    <s v="Quarter1"/>
    <x v="0"/>
    <x v="0"/>
    <d v="2024-10-01T00:00:00"/>
    <d v="2024-10-31T00:00:00"/>
    <x v="1"/>
    <n v="14"/>
    <n v="0"/>
    <n v="10"/>
    <n v="0"/>
    <n v="2"/>
    <n v="0"/>
    <n v="0"/>
    <n v="0"/>
    <n v="2"/>
    <n v="0"/>
    <n v="0"/>
    <n v="0"/>
    <n v="2"/>
    <n v="0"/>
    <n v="0"/>
    <n v="0"/>
    <n v="0"/>
    <n v="0"/>
    <n v="0"/>
    <n v="0"/>
    <n v="0"/>
    <n v="0"/>
    <n v="0"/>
    <n v="0"/>
  </r>
  <r>
    <n v="1257"/>
    <d v="2025-01-13T13:55:54"/>
    <d v="2025-01-13T13:57:03"/>
    <s v="tsatumba@lighthouse.org.mw"/>
    <s v="Thomas Satumba"/>
    <x v="10"/>
    <s v="Prototype"/>
    <x v="1"/>
    <s v="COP_24"/>
    <x v="2"/>
    <x v="0"/>
    <s v="Quarter1"/>
    <x v="0"/>
    <x v="0"/>
    <d v="2024-10-01T00:00:00"/>
    <d v="2024-10-31T00:00:00"/>
    <x v="4"/>
    <n v="0"/>
    <n v="0"/>
    <n v="0"/>
    <n v="0"/>
    <n v="0"/>
    <n v="0"/>
    <n v="0"/>
    <n v="0"/>
    <n v="0"/>
    <n v="0"/>
    <n v="0"/>
    <n v="0"/>
    <n v="0"/>
    <n v="0"/>
    <n v="0"/>
    <n v="0"/>
    <n v="0"/>
    <n v="0"/>
    <n v="0"/>
    <n v="0"/>
    <n v="0"/>
    <n v="0"/>
    <n v="0"/>
    <n v="0"/>
  </r>
  <r>
    <n v="1258"/>
    <d v="2025-01-13T13:57:18"/>
    <d v="2025-01-13T13:58:25"/>
    <s v="tsatumba@lighthouse.org.mw"/>
    <s v="Thomas Satumba"/>
    <x v="10"/>
    <s v="Prototype"/>
    <x v="1"/>
    <s v="COP_24"/>
    <x v="2"/>
    <x v="0"/>
    <s v="Quarter1"/>
    <x v="0"/>
    <x v="0"/>
    <d v="2024-10-01T00:00:00"/>
    <d v="2024-10-31T00:00:00"/>
    <x v="3"/>
    <n v="0"/>
    <n v="0"/>
    <n v="0"/>
    <n v="0"/>
    <n v="0"/>
    <n v="0"/>
    <n v="0"/>
    <n v="0"/>
    <n v="0"/>
    <n v="0"/>
    <n v="0"/>
    <n v="0"/>
    <n v="0"/>
    <n v="0"/>
    <n v="0"/>
    <n v="0"/>
    <n v="0"/>
    <n v="0"/>
    <n v="0"/>
    <n v="0"/>
    <n v="0"/>
    <n v="0"/>
    <n v="0"/>
    <n v="0"/>
  </r>
  <r>
    <n v="1259"/>
    <d v="2025-01-13T13:58:29"/>
    <d v="2025-01-13T13:59:45"/>
    <s v="tsatumba@lighthouse.org.mw"/>
    <s v="Thomas Satumba"/>
    <x v="10"/>
    <s v="Prototype"/>
    <x v="1"/>
    <s v="COP_24"/>
    <x v="2"/>
    <x v="0"/>
    <s v="Quarter1"/>
    <x v="0"/>
    <x v="0"/>
    <d v="2024-10-01T00:00:00"/>
    <d v="2024-10-31T00:00:00"/>
    <x v="5"/>
    <n v="0"/>
    <n v="0"/>
    <n v="0"/>
    <n v="0"/>
    <n v="0"/>
    <n v="0"/>
    <n v="0"/>
    <n v="0"/>
    <n v="0"/>
    <n v="0"/>
    <n v="0"/>
    <n v="0"/>
    <n v="0"/>
    <n v="0"/>
    <n v="0"/>
    <n v="0"/>
    <n v="0"/>
    <n v="0"/>
    <n v="0"/>
    <n v="0"/>
    <n v="0"/>
    <n v="0"/>
    <n v="0"/>
    <n v="0"/>
  </r>
  <r>
    <n v="1260"/>
    <d v="2025-01-13T13:59:48"/>
    <d v="2025-01-13T14:00:56"/>
    <s v="tsatumba@lighthouse.org.mw"/>
    <s v="Thomas Satumba"/>
    <x v="10"/>
    <s v="Prototype"/>
    <x v="1"/>
    <s v="COP_24"/>
    <x v="2"/>
    <x v="0"/>
    <s v="Quarter1"/>
    <x v="0"/>
    <x v="0"/>
    <d v="2024-10-01T00:00:00"/>
    <d v="2024-10-31T00:00:00"/>
    <x v="6"/>
    <n v="0"/>
    <n v="0"/>
    <n v="0"/>
    <n v="0"/>
    <n v="0"/>
    <n v="0"/>
    <n v="0"/>
    <n v="0"/>
    <n v="0"/>
    <n v="0"/>
    <n v="0"/>
    <n v="0"/>
    <n v="0"/>
    <n v="0"/>
    <n v="0"/>
    <n v="0"/>
    <n v="0"/>
    <n v="0"/>
    <n v="0"/>
    <n v="0"/>
    <n v="0"/>
    <n v="0"/>
    <n v="0"/>
    <n v="0"/>
  </r>
  <r>
    <n v="1379"/>
    <d v="2025-03-07T19:52:42"/>
    <d v="2025-03-07T20:20:41"/>
    <s v="tsatumba@lighthouse.org.mw"/>
    <s v="Thomas Satumba"/>
    <x v="10"/>
    <s v="Prototype"/>
    <x v="2"/>
    <s v="COP_24"/>
    <x v="2"/>
    <x v="2"/>
    <s v="Quarter2"/>
    <x v="2"/>
    <x v="4"/>
    <d v="2025-01-01T00:00:00"/>
    <d v="2025-01-31T00:00:00"/>
    <x v="0"/>
    <n v="7"/>
    <n v="0"/>
    <n v="4"/>
    <n v="1"/>
    <n v="2"/>
    <n v="0"/>
    <n v="6"/>
    <n v="4"/>
    <n v="4"/>
    <n v="1"/>
    <n v="0"/>
    <n v="0"/>
    <n v="4"/>
    <n v="0"/>
    <n v="1"/>
    <n v="1"/>
    <n v="1"/>
    <n v="1"/>
    <n v="0"/>
    <n v="0"/>
    <n v="1"/>
    <n v="0"/>
    <n v="0"/>
    <n v="0"/>
  </r>
  <r>
    <n v="1380"/>
    <d v="2025-03-07T20:22:25"/>
    <d v="2025-03-07T20:31:44"/>
    <s v="tsatumba@lighthouse.org.mw"/>
    <s v="Thomas Satumba"/>
    <x v="10"/>
    <s v="Prototype"/>
    <x v="2"/>
    <s v="COP_24"/>
    <x v="2"/>
    <x v="2"/>
    <s v="Quarter2"/>
    <x v="2"/>
    <x v="4"/>
    <d v="2025-01-01T00:00:00"/>
    <d v="2025-01-31T00:00:00"/>
    <x v="1"/>
    <n v="5"/>
    <n v="0"/>
    <n v="2"/>
    <n v="1"/>
    <n v="1"/>
    <n v="0"/>
    <n v="4"/>
    <n v="3"/>
    <n v="3"/>
    <n v="1"/>
    <n v="0"/>
    <n v="0"/>
    <n v="3"/>
    <n v="0"/>
    <n v="0"/>
    <n v="0"/>
    <n v="0"/>
    <n v="0"/>
    <n v="0"/>
    <n v="0"/>
    <n v="0"/>
    <n v="0"/>
    <n v="0"/>
    <n v="0"/>
  </r>
  <r>
    <n v="1381"/>
    <d v="2025-03-07T20:34:02"/>
    <d v="2025-03-07T20:38:22"/>
    <s v="tsatumba@lighthouse.org.mw"/>
    <s v="Thomas Satumba"/>
    <x v="10"/>
    <s v="Prototype"/>
    <x v="2"/>
    <s v="COP_24"/>
    <x v="2"/>
    <x v="2"/>
    <s v="Quarter2"/>
    <x v="2"/>
    <x v="4"/>
    <d v="2025-01-01T00:00:00"/>
    <d v="2025-01-31T00:00:00"/>
    <x v="3"/>
    <n v="0"/>
    <n v="0"/>
    <n v="0"/>
    <n v="0"/>
    <n v="0"/>
    <n v="0"/>
    <n v="0"/>
    <n v="0"/>
    <n v="0"/>
    <n v="0"/>
    <n v="0"/>
    <n v="0"/>
    <n v="0"/>
    <n v="0"/>
    <n v="0"/>
    <n v="0"/>
    <n v="0"/>
    <n v="0"/>
    <n v="0"/>
    <n v="0"/>
    <n v="0"/>
    <n v="0"/>
    <n v="0"/>
    <n v="0"/>
  </r>
  <r>
    <n v="1382"/>
    <d v="2025-03-07T20:38:32"/>
    <d v="2025-03-07T20:39:44"/>
    <s v="tsatumba@lighthouse.org.mw"/>
    <s v="Thomas Satumba"/>
    <x v="10"/>
    <s v="Prototype"/>
    <x v="2"/>
    <s v="COP_24"/>
    <x v="2"/>
    <x v="2"/>
    <s v="Quarter2"/>
    <x v="2"/>
    <x v="4"/>
    <d v="2025-01-01T00:00:00"/>
    <d v="2025-01-31T00:00:00"/>
    <x v="4"/>
    <n v="0"/>
    <n v="0"/>
    <n v="0"/>
    <n v="0"/>
    <n v="0"/>
    <n v="0"/>
    <n v="0"/>
    <n v="0"/>
    <n v="0"/>
    <n v="0"/>
    <n v="0"/>
    <n v="0"/>
    <n v="0"/>
    <n v="0"/>
    <n v="0"/>
    <n v="0"/>
    <n v="0"/>
    <n v="0"/>
    <n v="0"/>
    <n v="0"/>
    <n v="0"/>
    <n v="0"/>
    <n v="0"/>
    <n v="0"/>
  </r>
  <r>
    <n v="1383"/>
    <d v="2025-03-07T20:40:12"/>
    <d v="2025-03-07T20:43:27"/>
    <s v="tsatumba@lighthouse.org.mw"/>
    <s v="Thomas Satumba"/>
    <x v="10"/>
    <s v="Prototype"/>
    <x v="2"/>
    <s v="COP_24"/>
    <x v="2"/>
    <x v="2"/>
    <s v="Quarter2"/>
    <x v="2"/>
    <x v="4"/>
    <d v="2025-01-01T00:00:00"/>
    <d v="2025-01-31T00:00:00"/>
    <x v="5"/>
    <n v="0"/>
    <n v="0"/>
    <n v="0"/>
    <n v="0"/>
    <n v="0"/>
    <n v="0"/>
    <n v="0"/>
    <n v="0"/>
    <n v="0"/>
    <n v="0"/>
    <n v="0"/>
    <n v="0"/>
    <n v="0"/>
    <n v="0"/>
    <n v="0"/>
    <n v="0"/>
    <n v="0"/>
    <n v="0"/>
    <n v="0"/>
    <n v="0"/>
    <n v="0"/>
    <n v="0"/>
    <n v="0"/>
    <n v="0"/>
  </r>
  <r>
    <n v="1384"/>
    <d v="2025-03-07T20:44:11"/>
    <d v="2025-03-07T20:46:45"/>
    <s v="tsatumba@lighthouse.org.mw"/>
    <s v="Thomas Satumba"/>
    <x v="10"/>
    <s v="Prototype"/>
    <x v="2"/>
    <s v="COP_24"/>
    <x v="2"/>
    <x v="2"/>
    <s v="Quarter2"/>
    <x v="2"/>
    <x v="4"/>
    <d v="2025-01-01T00:00:00"/>
    <d v="2025-01-31T00:00:00"/>
    <x v="2"/>
    <n v="0"/>
    <n v="0"/>
    <n v="0"/>
    <n v="0"/>
    <n v="0"/>
    <n v="0"/>
    <n v="0"/>
    <n v="0"/>
    <n v="0"/>
    <n v="0"/>
    <n v="0"/>
    <n v="0"/>
    <n v="0"/>
    <n v="0"/>
    <n v="0"/>
    <n v="0"/>
    <n v="0"/>
    <n v="0"/>
    <n v="0"/>
    <n v="0"/>
    <n v="0"/>
    <n v="0"/>
    <n v="0"/>
    <n v="0"/>
  </r>
  <r>
    <n v="1385"/>
    <d v="2025-03-07T20:46:54"/>
    <d v="2025-03-07T20:47:58"/>
    <s v="tsatumba@lighthouse.org.mw"/>
    <s v="Thomas Satumba"/>
    <x v="10"/>
    <s v="Prototype"/>
    <x v="2"/>
    <s v="COP_24"/>
    <x v="2"/>
    <x v="2"/>
    <s v="Quarter2"/>
    <x v="2"/>
    <x v="4"/>
    <d v="2025-01-01T00:00:00"/>
    <d v="2025-01-31T00:00:00"/>
    <x v="6"/>
    <n v="0"/>
    <n v="0"/>
    <n v="0"/>
    <n v="0"/>
    <n v="0"/>
    <n v="0"/>
    <n v="0"/>
    <n v="0"/>
    <n v="0"/>
    <n v="0"/>
    <n v="0"/>
    <n v="0"/>
    <n v="0"/>
    <n v="0"/>
    <n v="0"/>
    <n v="0"/>
    <n v="0"/>
    <n v="0"/>
    <n v="0"/>
    <n v="0"/>
    <n v="0"/>
    <n v="0"/>
    <n v="0"/>
    <n v="0"/>
  </r>
  <r>
    <n v="1386"/>
    <d v="2025-03-07T20:48:27"/>
    <d v="2025-03-07T20:51:48"/>
    <s v="tsatumba@lighthouse.org.mw"/>
    <s v="Thomas Satumba"/>
    <x v="10"/>
    <s v="Prototype"/>
    <x v="2"/>
    <s v="COP_24"/>
    <x v="2"/>
    <x v="2"/>
    <s v="Quarter2"/>
    <x v="2"/>
    <x v="5"/>
    <d v="2025-02-01T00:00:00"/>
    <d v="2025-02-28T00:00:00"/>
    <x v="0"/>
    <n v="8"/>
    <n v="0"/>
    <n v="5"/>
    <n v="0"/>
    <n v="3"/>
    <n v="0"/>
    <n v="3"/>
    <n v="1"/>
    <n v="5"/>
    <n v="0"/>
    <n v="0"/>
    <n v="0"/>
    <n v="5"/>
    <n v="0"/>
    <n v="0"/>
    <n v="0"/>
    <n v="0"/>
    <n v="0"/>
    <n v="0"/>
    <n v="0"/>
    <n v="0"/>
    <n v="0"/>
    <n v="0"/>
    <n v="0"/>
  </r>
  <r>
    <n v="1387"/>
    <d v="2025-03-07T20:52:19"/>
    <d v="2025-03-07T20:54:49"/>
    <s v="tsatumba@lighthouse.org.mw"/>
    <s v="Thomas Satumba"/>
    <x v="10"/>
    <s v="Prototype"/>
    <x v="2"/>
    <s v="COP_24"/>
    <x v="2"/>
    <x v="2"/>
    <s v="Quarter2"/>
    <x v="2"/>
    <x v="5"/>
    <d v="2025-02-01T00:00:00"/>
    <d v="2025-02-28T00:00:00"/>
    <x v="1"/>
    <n v="6"/>
    <n v="0"/>
    <n v="4"/>
    <n v="0"/>
    <n v="1"/>
    <n v="0"/>
    <n v="3"/>
    <n v="1"/>
    <n v="2"/>
    <n v="0"/>
    <n v="0"/>
    <n v="0"/>
    <n v="2"/>
    <n v="0"/>
    <n v="0"/>
    <n v="0"/>
    <n v="0"/>
    <n v="0"/>
    <n v="0"/>
    <n v="0"/>
    <n v="0"/>
    <n v="0"/>
    <n v="0"/>
    <n v="0"/>
  </r>
  <r>
    <n v="1388"/>
    <d v="2025-03-07T20:55:39"/>
    <d v="2025-03-07T20:57:22"/>
    <s v="tsatumba@lighthouse.org.mw"/>
    <s v="Thomas Satumba"/>
    <x v="10"/>
    <s v="Prototype"/>
    <x v="2"/>
    <s v="COP_24"/>
    <x v="2"/>
    <x v="2"/>
    <s v="Quarter2"/>
    <x v="2"/>
    <x v="5"/>
    <d v="2025-02-01T00:00:00"/>
    <d v="2025-02-28T00:00:00"/>
    <x v="3"/>
    <n v="1"/>
    <n v="0"/>
    <n v="1"/>
    <n v="0"/>
    <n v="0"/>
    <n v="0"/>
    <n v="0"/>
    <n v="0"/>
    <n v="0"/>
    <n v="0"/>
    <n v="0"/>
    <n v="0"/>
    <n v="0"/>
    <n v="0"/>
    <n v="0"/>
    <n v="0"/>
    <n v="0"/>
    <n v="0"/>
    <n v="0"/>
    <n v="0"/>
    <n v="0"/>
    <n v="0"/>
    <n v="0"/>
    <n v="0"/>
  </r>
  <r>
    <n v="1389"/>
    <d v="2025-03-07T21:00:35"/>
    <d v="2025-03-07T21:02:35"/>
    <s v="tsatumba@lighthouse.org.mw"/>
    <s v="Thomas Satumba"/>
    <x v="10"/>
    <s v="Prototype"/>
    <x v="2"/>
    <s v="COP_24"/>
    <x v="2"/>
    <x v="2"/>
    <s v="Quarter2"/>
    <x v="2"/>
    <x v="5"/>
    <d v="2025-02-01T00:00:00"/>
    <d v="2025-02-28T00:00:00"/>
    <x v="4"/>
    <n v="0"/>
    <n v="0"/>
    <n v="0"/>
    <n v="0"/>
    <n v="0"/>
    <n v="0"/>
    <n v="0"/>
    <n v="0"/>
    <n v="0"/>
    <n v="0"/>
    <n v="0"/>
    <n v="0"/>
    <n v="0"/>
    <n v="0"/>
    <n v="0"/>
    <n v="0"/>
    <n v="0"/>
    <n v="0"/>
    <n v="0"/>
    <n v="0"/>
    <n v="0"/>
    <n v="0"/>
    <n v="0"/>
    <n v="0"/>
  </r>
  <r>
    <n v="1390"/>
    <d v="2025-03-07T21:02:38"/>
    <d v="2025-03-07T21:05:04"/>
    <s v="tsatumba@lighthouse.org.mw"/>
    <s v="Thomas Satumba"/>
    <x v="10"/>
    <s v="Prototype"/>
    <x v="2"/>
    <s v="COP_24"/>
    <x v="2"/>
    <x v="2"/>
    <s v="Quarter2"/>
    <x v="2"/>
    <x v="5"/>
    <d v="2025-02-01T00:00:00"/>
    <d v="2025-02-28T00:00:00"/>
    <x v="2"/>
    <n v="0"/>
    <n v="0"/>
    <n v="0"/>
    <n v="0"/>
    <n v="0"/>
    <n v="0"/>
    <n v="0"/>
    <n v="0"/>
    <n v="0"/>
    <n v="0"/>
    <n v="0"/>
    <n v="0"/>
    <n v="0"/>
    <n v="0"/>
    <n v="0"/>
    <n v="0"/>
    <n v="0"/>
    <n v="0"/>
    <n v="0"/>
    <n v="0"/>
    <n v="0"/>
    <n v="0"/>
    <n v="0"/>
    <n v="0"/>
  </r>
  <r>
    <n v="1391"/>
    <d v="2025-03-07T21:05:09"/>
    <d v="2025-03-07T21:06:40"/>
    <s v="tsatumba@lighthouse.org.mw"/>
    <s v="Thomas Satumba"/>
    <x v="10"/>
    <s v="Prototype"/>
    <x v="2"/>
    <s v="COP_24"/>
    <x v="2"/>
    <x v="2"/>
    <s v="Quarter2"/>
    <x v="2"/>
    <x v="5"/>
    <d v="2025-02-01T00:00:00"/>
    <d v="2025-02-28T00:00:00"/>
    <x v="6"/>
    <n v="0"/>
    <n v="0"/>
    <n v="0"/>
    <n v="0"/>
    <n v="0"/>
    <n v="0"/>
    <n v="0"/>
    <n v="0"/>
    <n v="0"/>
    <n v="0"/>
    <n v="0"/>
    <n v="0"/>
    <n v="0"/>
    <n v="0"/>
    <n v="0"/>
    <n v="0"/>
    <n v="0"/>
    <n v="0"/>
    <n v="0"/>
    <n v="0"/>
    <n v="0"/>
    <n v="0"/>
    <n v="0"/>
    <n v="0"/>
  </r>
  <r>
    <n v="1431"/>
    <d v="2025-03-18T08:59:34"/>
    <d v="2025-03-18T09:02:23"/>
    <s v="tsatumba@lighthouse.org.mw"/>
    <s v="Thomas Satumba"/>
    <x v="10"/>
    <s v="Prototype"/>
    <x v="2"/>
    <s v="COP_24"/>
    <x v="2"/>
    <x v="2"/>
    <s v="Quarter2"/>
    <x v="2"/>
    <x v="5"/>
    <d v="2025-02-01T00:00:00"/>
    <d v="2025-02-28T00:00:00"/>
    <x v="5"/>
    <n v="10"/>
    <n v="0"/>
    <n v="1"/>
    <n v="0"/>
    <n v="1"/>
    <n v="0"/>
    <n v="0"/>
    <n v="0"/>
    <n v="2"/>
    <n v="0"/>
    <n v="0"/>
    <n v="0"/>
    <n v="2"/>
    <n v="0"/>
    <n v="0"/>
    <n v="0"/>
    <n v="0"/>
    <n v="0"/>
    <n v="0"/>
    <n v="0"/>
    <n v="0"/>
    <n v="0"/>
    <n v="0"/>
    <n v="0"/>
  </r>
  <r>
    <n v="1535"/>
    <d v="2025-04-15T11:23:48"/>
    <d v="2025-04-15T11:30:15"/>
    <s v="tsatumba@lighthouse.org.mw"/>
    <s v="Thomas Satumba"/>
    <x v="10"/>
    <s v="Prototype"/>
    <x v="2"/>
    <s v="COP_24"/>
    <x v="2"/>
    <x v="2"/>
    <s v="Quarter2"/>
    <x v="2"/>
    <x v="3"/>
    <d v="2025-03-01T00:00:00"/>
    <d v="2025-03-31T00:00:00"/>
    <x v="1"/>
    <n v="9"/>
    <n v="0"/>
    <n v="4"/>
    <n v="0"/>
    <n v="1"/>
    <n v="0"/>
    <n v="5"/>
    <n v="1"/>
    <n v="0"/>
    <n v="0"/>
    <n v="0"/>
    <n v="0"/>
    <n v="1"/>
    <n v="1"/>
    <n v="0"/>
    <n v="0"/>
    <n v="0"/>
    <n v="0"/>
    <n v="0"/>
    <n v="0"/>
    <n v="1"/>
    <n v="0"/>
    <n v="0"/>
    <n v="0"/>
  </r>
  <r>
    <n v="1536"/>
    <d v="2025-04-15T11:30:34"/>
    <d v="2025-04-15T11:32:20"/>
    <s v="tsatumba@lighthouse.org.mw"/>
    <s v="Thomas Satumba"/>
    <x v="10"/>
    <s v="Prototype"/>
    <x v="2"/>
    <s v="COP_24"/>
    <x v="2"/>
    <x v="2"/>
    <s v="Quarter2"/>
    <x v="2"/>
    <x v="3"/>
    <d v="2025-03-01T00:00:00"/>
    <d v="2025-03-31T00:00:00"/>
    <x v="3"/>
    <n v="0"/>
    <n v="0"/>
    <n v="0"/>
    <n v="0"/>
    <n v="0"/>
    <n v="0"/>
    <n v="0"/>
    <n v="0"/>
    <n v="0"/>
    <n v="0"/>
    <n v="0"/>
    <n v="0"/>
    <n v="0"/>
    <n v="0"/>
    <n v="0"/>
    <n v="0"/>
    <n v="0"/>
    <n v="0"/>
    <n v="0"/>
    <n v="0"/>
    <n v="0"/>
    <n v="0"/>
    <n v="0"/>
    <n v="0"/>
  </r>
  <r>
    <n v="1537"/>
    <d v="2025-04-15T11:32:26"/>
    <d v="2025-04-15T11:33:32"/>
    <s v="tsatumba@lighthouse.org.mw"/>
    <s v="Thomas Satumba"/>
    <x v="10"/>
    <s v="Prototype"/>
    <x v="2"/>
    <s v="COP_24"/>
    <x v="2"/>
    <x v="2"/>
    <s v="Quarter2"/>
    <x v="2"/>
    <x v="3"/>
    <d v="2025-03-01T00:00:00"/>
    <d v="2025-03-31T00:00:00"/>
    <x v="4"/>
    <n v="0"/>
    <n v="0"/>
    <n v="0"/>
    <n v="0"/>
    <n v="0"/>
    <n v="0"/>
    <n v="0"/>
    <n v="0"/>
    <n v="0"/>
    <n v="0"/>
    <n v="0"/>
    <n v="0"/>
    <n v="0"/>
    <n v="0"/>
    <n v="0"/>
    <n v="0"/>
    <n v="0"/>
    <n v="0"/>
    <n v="0"/>
    <n v="0"/>
    <n v="0"/>
    <n v="0"/>
    <n v="0"/>
    <n v="0"/>
  </r>
  <r>
    <n v="1538"/>
    <d v="2025-04-15T11:33:35"/>
    <d v="2025-04-15T11:35:11"/>
    <s v="tsatumba@lighthouse.org.mw"/>
    <s v="Thomas Satumba"/>
    <x v="10"/>
    <s v="Prototype"/>
    <x v="2"/>
    <s v="COP_24"/>
    <x v="2"/>
    <x v="2"/>
    <s v="Quarter2"/>
    <x v="2"/>
    <x v="3"/>
    <d v="2025-03-01T00:00:00"/>
    <d v="2025-03-31T00:00:00"/>
    <x v="2"/>
    <n v="0"/>
    <n v="0"/>
    <n v="0"/>
    <n v="0"/>
    <n v="0"/>
    <n v="0"/>
    <n v="0"/>
    <n v="0"/>
    <n v="0"/>
    <n v="0"/>
    <n v="0"/>
    <n v="0"/>
    <n v="0"/>
    <n v="0"/>
    <n v="0"/>
    <n v="0"/>
    <n v="0"/>
    <n v="0"/>
    <n v="0"/>
    <n v="0"/>
    <n v="0"/>
    <n v="0"/>
    <n v="0"/>
    <n v="0"/>
  </r>
  <r>
    <n v="1539"/>
    <d v="2025-04-15T11:35:14"/>
    <d v="2025-04-15T11:37:14"/>
    <s v="tsatumba@lighthouse.org.mw"/>
    <s v="Thomas Satumba"/>
    <x v="10"/>
    <s v="Prototype"/>
    <x v="2"/>
    <s v="COP_24"/>
    <x v="2"/>
    <x v="2"/>
    <s v="Quarter2"/>
    <x v="2"/>
    <x v="3"/>
    <d v="2025-03-01T00:00:00"/>
    <d v="2025-03-31T00:00:00"/>
    <x v="6"/>
    <n v="0"/>
    <n v="0"/>
    <n v="0"/>
    <n v="0"/>
    <n v="0"/>
    <n v="0"/>
    <n v="0"/>
    <n v="0"/>
    <n v="0"/>
    <n v="0"/>
    <n v="0"/>
    <n v="0"/>
    <n v="0"/>
    <n v="0"/>
    <n v="0"/>
    <n v="0"/>
    <n v="0"/>
    <n v="0"/>
    <n v="0"/>
    <n v="0"/>
    <n v="0"/>
    <n v="0"/>
    <n v="0"/>
    <n v="0"/>
  </r>
  <r>
    <n v="1540"/>
    <d v="2025-04-15T11:37:17"/>
    <d v="2025-04-15T11:43:05"/>
    <s v="tsatumba@lighthouse.org.mw"/>
    <s v="Thomas Satumba"/>
    <x v="10"/>
    <s v="Prototype"/>
    <x v="2"/>
    <s v="COP_24"/>
    <x v="2"/>
    <x v="2"/>
    <s v="Quarter2"/>
    <x v="2"/>
    <x v="3"/>
    <d v="2025-03-01T00:00:00"/>
    <d v="2025-03-31T00:00:00"/>
    <x v="0"/>
    <n v="9"/>
    <n v="0"/>
    <n v="8"/>
    <n v="0"/>
    <n v="2"/>
    <n v="0"/>
    <n v="7"/>
    <n v="1"/>
    <n v="4"/>
    <n v="0"/>
    <n v="0"/>
    <n v="0"/>
    <n v="4"/>
    <n v="2"/>
    <n v="0"/>
    <n v="0"/>
    <n v="0"/>
    <n v="0"/>
    <n v="0"/>
    <n v="0"/>
    <n v="3"/>
    <n v="0"/>
    <n v="0"/>
    <n v="0"/>
  </r>
  <r>
    <n v="1541"/>
    <d v="2025-04-15T11:43:12"/>
    <d v="2025-04-15T11:50:26"/>
    <s v="tsatumba@lighthouse.org.mw"/>
    <s v="Thomas Satumba"/>
    <x v="10"/>
    <s v="Prototype"/>
    <x v="2"/>
    <s v="COP_24"/>
    <x v="2"/>
    <x v="2"/>
    <s v="Quarter2"/>
    <x v="2"/>
    <x v="3"/>
    <d v="2025-03-01T00:00:00"/>
    <d v="2025-03-31T00:00:00"/>
    <x v="5"/>
    <n v="0"/>
    <n v="4"/>
    <n v="2"/>
    <n v="0"/>
    <n v="0"/>
    <n v="0"/>
    <n v="0"/>
    <n v="0"/>
    <n v="0"/>
    <n v="0"/>
    <n v="0"/>
    <n v="0"/>
    <n v="2"/>
    <n v="1"/>
    <n v="0"/>
    <n v="0"/>
    <n v="0"/>
    <n v="0"/>
    <n v="0"/>
    <n v="0"/>
    <n v="1"/>
    <n v="0"/>
    <n v="0"/>
    <n v="0"/>
  </r>
  <r>
    <n v="1620"/>
    <d v="2025-06-03T11:02:04"/>
    <d v="2025-06-03T11:09:09"/>
    <s v="tsatumba@lighthouse.org.mw"/>
    <s v="Thomas Satumba"/>
    <x v="10"/>
    <s v="Prototype"/>
    <x v="2"/>
    <s v="COP_24"/>
    <x v="3"/>
    <x v="1"/>
    <s v="Quarter3"/>
    <x v="4"/>
    <x v="7"/>
    <d v="2025-04-01T00:00:00"/>
    <d v="2025-04-30T00:00:00"/>
    <x v="1"/>
    <n v="16"/>
    <n v="1"/>
    <n v="9"/>
    <n v="5"/>
    <n v="2"/>
    <n v="0"/>
    <n v="16"/>
    <n v="6"/>
    <n v="6"/>
    <n v="0"/>
    <n v="0"/>
    <n v="0"/>
    <n v="4"/>
    <n v="2"/>
    <n v="0"/>
    <n v="0"/>
    <n v="0"/>
    <n v="0"/>
    <n v="0"/>
    <n v="0"/>
    <n v="4"/>
    <n v="0"/>
    <n v="0"/>
    <n v="0"/>
  </r>
  <r>
    <n v="1622"/>
    <d v="2025-06-03T11:09:19"/>
    <d v="2025-06-03T11:15:17"/>
    <s v="tsatumba@lighthouse.org.mw"/>
    <s v="Thomas Satumba"/>
    <x v="10"/>
    <s v="Prototype"/>
    <x v="2"/>
    <s v="COP_24"/>
    <x v="3"/>
    <x v="3"/>
    <s v="Quarter2"/>
    <x v="4"/>
    <x v="7"/>
    <d v="2025-04-01T00:00:00"/>
    <d v="2025-04-30T00:00:00"/>
    <x v="0"/>
    <n v="24"/>
    <n v="2"/>
    <n v="12"/>
    <n v="7"/>
    <n v="5"/>
    <n v="0"/>
    <n v="21"/>
    <n v="9"/>
    <n v="12"/>
    <n v="0"/>
    <n v="0"/>
    <n v="0"/>
    <n v="12"/>
    <n v="4"/>
    <n v="0"/>
    <n v="0"/>
    <n v="0"/>
    <n v="0"/>
    <n v="0"/>
    <n v="0"/>
    <n v="4"/>
    <n v="0"/>
    <n v="0"/>
    <n v="0"/>
  </r>
  <r>
    <n v="1623"/>
    <d v="2025-06-03T11:15:44"/>
    <d v="2025-06-03T11:17:33"/>
    <s v="tsatumba@lighthouse.org.mw"/>
    <s v="Thomas Satumba"/>
    <x v="10"/>
    <s v="Prototype"/>
    <x v="2"/>
    <s v="COP_24"/>
    <x v="3"/>
    <x v="3"/>
    <s v="Quarter2"/>
    <x v="4"/>
    <x v="7"/>
    <d v="2025-04-01T00:00:00"/>
    <d v="2025-04-30T00:00:00"/>
    <x v="3"/>
    <n v="0"/>
    <n v="0"/>
    <n v="0"/>
    <n v="0"/>
    <n v="0"/>
    <n v="0"/>
    <n v="0"/>
    <n v="0"/>
    <n v="0"/>
    <n v="0"/>
    <n v="0"/>
    <n v="0"/>
    <n v="0"/>
    <n v="0"/>
    <n v="0"/>
    <n v="0"/>
    <n v="0"/>
    <n v="0"/>
    <n v="0"/>
    <n v="0"/>
    <n v="0"/>
    <n v="0"/>
    <n v="0"/>
    <n v="0"/>
  </r>
  <r>
    <n v="1625"/>
    <d v="2025-06-03T11:17:56"/>
    <d v="2025-06-03T11:19:40"/>
    <s v="tsatumba@lighthouse.org.mw"/>
    <s v="Thomas Satumba"/>
    <x v="10"/>
    <s v="Prototype"/>
    <x v="2"/>
    <s v="COP_24"/>
    <x v="3"/>
    <x v="3"/>
    <s v="Quarter2"/>
    <x v="4"/>
    <x v="7"/>
    <d v="2025-04-01T00:00:00"/>
    <d v="2025-04-30T00:00:00"/>
    <x v="4"/>
    <n v="0"/>
    <n v="0"/>
    <n v="0"/>
    <n v="0"/>
    <n v="0"/>
    <n v="0"/>
    <n v="0"/>
    <n v="0"/>
    <n v="0"/>
    <n v="0"/>
    <n v="0"/>
    <n v="0"/>
    <n v="0"/>
    <n v="0"/>
    <n v="0"/>
    <n v="0"/>
    <n v="0"/>
    <n v="0"/>
    <n v="0"/>
    <n v="0"/>
    <n v="0"/>
    <n v="0"/>
    <n v="0"/>
    <n v="0"/>
  </r>
  <r>
    <n v="1627"/>
    <d v="2025-06-03T11:19:46"/>
    <d v="2025-06-03T11:22:01"/>
    <s v="tsatumba@lighthouse.org.mw"/>
    <s v="Thomas Satumba"/>
    <x v="10"/>
    <s v="Prototype"/>
    <x v="2"/>
    <s v="COP_24"/>
    <x v="3"/>
    <x v="3"/>
    <s v="Quarter2"/>
    <x v="4"/>
    <x v="7"/>
    <d v="2025-04-01T00:00:00"/>
    <d v="2025-04-30T00:00:00"/>
    <x v="5"/>
    <n v="0"/>
    <n v="0"/>
    <n v="0"/>
    <n v="0"/>
    <n v="0"/>
    <n v="0"/>
    <n v="0"/>
    <n v="0"/>
    <n v="0"/>
    <n v="0"/>
    <n v="0"/>
    <n v="0"/>
    <n v="0"/>
    <n v="0"/>
    <n v="0"/>
    <n v="0"/>
    <n v="0"/>
    <n v="0"/>
    <n v="0"/>
    <n v="0"/>
    <n v="0"/>
    <n v="0"/>
    <n v="0"/>
    <n v="0"/>
  </r>
  <r>
    <n v="1628"/>
    <d v="2025-06-03T11:22:05"/>
    <d v="2025-06-03T11:23:26"/>
    <s v="tsatumba@lighthouse.org.mw"/>
    <s v="Thomas Satumba"/>
    <x v="10"/>
    <s v="Prototype"/>
    <x v="2"/>
    <s v="COP_24"/>
    <x v="3"/>
    <x v="3"/>
    <s v="Quarter2"/>
    <x v="4"/>
    <x v="7"/>
    <d v="2025-04-01T00:00:00"/>
    <d v="2025-04-30T00:00:00"/>
    <x v="6"/>
    <n v="0"/>
    <n v="0"/>
    <n v="0"/>
    <n v="0"/>
    <n v="0"/>
    <n v="0"/>
    <n v="0"/>
    <n v="0"/>
    <n v="0"/>
    <n v="0"/>
    <n v="0"/>
    <n v="0"/>
    <n v="0"/>
    <n v="0"/>
    <n v="0"/>
    <n v="0"/>
    <n v="0"/>
    <n v="0"/>
    <n v="0"/>
    <n v="0"/>
    <n v="0"/>
    <n v="0"/>
    <n v="0"/>
    <n v="0"/>
  </r>
  <r>
    <n v="1633"/>
    <d v="2025-06-03T11:25:37"/>
    <d v="2025-06-03T11:37:13"/>
    <s v="tsatumba@lighthouse.org.mw"/>
    <s v="Thomas Satumba"/>
    <x v="10"/>
    <s v="Prototype"/>
    <x v="2"/>
    <s v="COP_24"/>
    <x v="3"/>
    <x v="1"/>
    <s v="Quarter3"/>
    <x v="4"/>
    <x v="6"/>
    <d v="2025-05-01T00:00:00"/>
    <d v="2025-05-31T00:00:00"/>
    <x v="1"/>
    <n v="12"/>
    <n v="1"/>
    <n v="6"/>
    <n v="3"/>
    <n v="3"/>
    <n v="0"/>
    <n v="12"/>
    <n v="7"/>
    <n v="0"/>
    <n v="0"/>
    <n v="0"/>
    <n v="0"/>
    <n v="3"/>
    <n v="0"/>
    <n v="0"/>
    <n v="0"/>
    <n v="0"/>
    <n v="0"/>
    <n v="0"/>
    <n v="0"/>
    <n v="0"/>
    <n v="0"/>
    <n v="0"/>
    <n v="0"/>
  </r>
  <r>
    <n v="1634"/>
    <d v="2025-06-03T11:37:25"/>
    <d v="2025-06-03T11:41:05"/>
    <s v="tsatumba@lighthouse.org.mw"/>
    <s v="Thomas Satumba"/>
    <x v="10"/>
    <s v="Prototype"/>
    <x v="2"/>
    <s v="COP_24"/>
    <x v="3"/>
    <x v="1"/>
    <s v="Quarter3"/>
    <x v="4"/>
    <x v="6"/>
    <d v="2025-05-01T00:00:00"/>
    <d v="2025-05-31T00:00:00"/>
    <x v="0"/>
    <n v="12"/>
    <n v="1"/>
    <n v="6"/>
    <n v="3"/>
    <n v="3"/>
    <n v="0"/>
    <n v="12"/>
    <n v="7"/>
    <n v="0"/>
    <n v="0"/>
    <n v="0"/>
    <n v="0"/>
    <n v="3"/>
    <n v="0"/>
    <n v="0"/>
    <n v="0"/>
    <n v="0"/>
    <n v="0"/>
    <n v="0"/>
    <n v="0"/>
    <n v="0"/>
    <n v="0"/>
    <n v="0"/>
    <n v="0"/>
  </r>
  <r>
    <n v="1635"/>
    <d v="2025-06-03T11:41:08"/>
    <d v="2025-06-03T11:42:28"/>
    <s v="tsatumba@lighthouse.org.mw"/>
    <s v="Thomas Satumba"/>
    <x v="10"/>
    <s v="Prototype"/>
    <x v="2"/>
    <s v="COP_24"/>
    <x v="3"/>
    <x v="1"/>
    <s v="Quarter3"/>
    <x v="4"/>
    <x v="6"/>
    <d v="2025-05-01T00:00:00"/>
    <d v="2025-05-31T00:00:00"/>
    <x v="3"/>
    <n v="0"/>
    <n v="0"/>
    <n v="0"/>
    <n v="0"/>
    <n v="0"/>
    <n v="0"/>
    <n v="0"/>
    <n v="0"/>
    <n v="0"/>
    <n v="0"/>
    <n v="0"/>
    <n v="0"/>
    <n v="0"/>
    <n v="0"/>
    <n v="0"/>
    <n v="0"/>
    <n v="0"/>
    <n v="0"/>
    <n v="0"/>
    <n v="0"/>
    <n v="0"/>
    <n v="0"/>
    <n v="0"/>
    <n v="0"/>
  </r>
  <r>
    <n v="1636"/>
    <d v="2025-06-03T11:42:31"/>
    <d v="2025-06-03T11:43:41"/>
    <s v="tsatumba@lighthouse.org.mw"/>
    <s v="Thomas Satumba"/>
    <x v="10"/>
    <s v="Prototype"/>
    <x v="2"/>
    <s v="COP_24"/>
    <x v="3"/>
    <x v="1"/>
    <s v="Quarter3"/>
    <x v="4"/>
    <x v="6"/>
    <d v="2025-05-01T00:00:00"/>
    <d v="2025-05-31T00:00:00"/>
    <x v="4"/>
    <n v="0"/>
    <n v="0"/>
    <n v="0"/>
    <n v="0"/>
    <n v="0"/>
    <n v="0"/>
    <n v="0"/>
    <n v="0"/>
    <n v="0"/>
    <n v="0"/>
    <n v="0"/>
    <n v="0"/>
    <n v="0"/>
    <n v="0"/>
    <n v="0"/>
    <n v="0"/>
    <n v="0"/>
    <n v="0"/>
    <n v="0"/>
    <n v="0"/>
    <n v="0"/>
    <n v="0"/>
    <n v="0"/>
    <n v="0"/>
  </r>
  <r>
    <n v="1637"/>
    <d v="2025-06-03T11:43:43"/>
    <d v="2025-06-03T11:45:05"/>
    <s v="tsatumba@lighthouse.org.mw"/>
    <s v="Thomas Satumba"/>
    <x v="10"/>
    <s v="Prototype"/>
    <x v="2"/>
    <s v="COP_24"/>
    <x v="3"/>
    <x v="1"/>
    <s v="Quarter3"/>
    <x v="4"/>
    <x v="6"/>
    <d v="2025-05-01T00:00:00"/>
    <d v="2025-05-31T00:00:00"/>
    <x v="5"/>
    <n v="0"/>
    <n v="0"/>
    <n v="0"/>
    <n v="0"/>
    <n v="0"/>
    <n v="0"/>
    <n v="0"/>
    <n v="0"/>
    <n v="0"/>
    <n v="0"/>
    <n v="0"/>
    <n v="0"/>
    <n v="0"/>
    <n v="0"/>
    <n v="0"/>
    <n v="0"/>
    <n v="0"/>
    <n v="0"/>
    <n v="0"/>
    <n v="0"/>
    <n v="0"/>
    <n v="0"/>
    <n v="0"/>
    <n v="0"/>
  </r>
  <r>
    <n v="1638"/>
    <d v="2025-06-03T11:45:07"/>
    <d v="2025-06-03T11:46:44"/>
    <s v="tsatumba@lighthouse.org.mw"/>
    <s v="Thomas Satumba"/>
    <x v="10"/>
    <s v="Prototype"/>
    <x v="2"/>
    <s v="COP_24"/>
    <x v="3"/>
    <x v="1"/>
    <s v="Quarter3"/>
    <x v="4"/>
    <x v="6"/>
    <d v="2025-05-01T00:00:00"/>
    <d v="2025-05-31T00:00:00"/>
    <x v="2"/>
    <n v="0"/>
    <n v="0"/>
    <n v="0"/>
    <n v="0"/>
    <n v="0"/>
    <n v="0"/>
    <n v="0"/>
    <n v="0"/>
    <n v="0"/>
    <n v="0"/>
    <n v="0"/>
    <n v="0"/>
    <n v="0"/>
    <n v="0"/>
    <n v="0"/>
    <n v="0"/>
    <n v="0"/>
    <n v="0"/>
    <n v="0"/>
    <n v="0"/>
    <n v="0"/>
    <n v="0"/>
    <n v="0"/>
    <n v="0"/>
  </r>
  <r>
    <n v="1639"/>
    <d v="2025-06-03T11:46:47"/>
    <d v="2025-06-03T11:48:25"/>
    <s v="tsatumba@lighthouse.org.mw"/>
    <s v="Thomas Satumba"/>
    <x v="10"/>
    <s v="Prototype"/>
    <x v="2"/>
    <s v="COP_24"/>
    <x v="3"/>
    <x v="1"/>
    <s v="Quarter3"/>
    <x v="4"/>
    <x v="6"/>
    <d v="2025-05-01T00:00:00"/>
    <d v="2025-05-31T00:00:00"/>
    <x v="6"/>
    <n v="0"/>
    <n v="0"/>
    <n v="0"/>
    <n v="0"/>
    <n v="0"/>
    <n v="0"/>
    <n v="0"/>
    <n v="0"/>
    <n v="0"/>
    <n v="0"/>
    <n v="0"/>
    <n v="0"/>
    <n v="0"/>
    <n v="0"/>
    <n v="0"/>
    <n v="0"/>
    <n v="0"/>
    <n v="0"/>
    <n v="0"/>
    <n v="0"/>
    <n v="0"/>
    <n v="0"/>
    <n v="0"/>
    <n v="0"/>
  </r>
  <r>
    <n v="1653"/>
    <d v="2025-06-06T14:05:16"/>
    <d v="2025-06-06T14:08:33"/>
    <s v="tsatumba@lighthouse.org.mw"/>
    <s v="Thomas Satumba"/>
    <x v="10"/>
    <s v="Prototype"/>
    <x v="2"/>
    <s v="COP_24"/>
    <x v="3"/>
    <x v="3"/>
    <s v="Quarter2"/>
    <x v="4"/>
    <x v="6"/>
    <d v="2025-05-01T00:00:00"/>
    <d v="2025-05-31T00:00:00"/>
    <x v="2"/>
    <n v="30"/>
    <n v="0"/>
    <n v="3"/>
    <n v="2"/>
    <n v="2"/>
    <n v="0"/>
    <n v="7"/>
    <n v="1"/>
    <n v="4"/>
    <n v="0"/>
    <n v="0"/>
    <n v="0"/>
    <n v="4"/>
    <n v="1"/>
    <n v="0"/>
    <n v="0"/>
    <n v="0"/>
    <n v="0"/>
    <n v="0"/>
    <n v="0"/>
    <n v="1"/>
    <n v="0"/>
    <n v="0"/>
    <n v="0"/>
  </r>
  <r>
    <n v="1782"/>
    <d v="2025-07-09T17:18:10"/>
    <d v="2025-07-09T17:19:20"/>
    <s v="tsatumba@lighthouse.org.mw"/>
    <s v="Thomas Satumba"/>
    <x v="10"/>
    <s v="Prototype"/>
    <x v="2"/>
    <s v="COP_24"/>
    <x v="3"/>
    <x v="1"/>
    <s v="Quarter3"/>
    <x v="4"/>
    <x v="8"/>
    <d v="2025-06-01T00:00:00"/>
    <d v="2025-06-30T00:00:00"/>
    <x v="1"/>
    <n v="14"/>
    <n v="0"/>
    <n v="12"/>
    <n v="1"/>
    <n v="1"/>
    <n v="0"/>
    <n v="14"/>
    <n v="4"/>
    <n v="3"/>
    <n v="0"/>
    <n v="0"/>
    <n v="0"/>
    <n v="5"/>
    <n v="0"/>
    <n v="0"/>
    <n v="0"/>
    <n v="0"/>
    <n v="0"/>
    <n v="0"/>
    <n v="0"/>
    <n v="0"/>
    <n v="0"/>
    <n v="0"/>
    <n v="0"/>
  </r>
  <r>
    <n v="1783"/>
    <d v="2025-07-09T17:19:28"/>
    <d v="2025-07-09T17:21:56"/>
    <s v="tsatumba@lighthouse.org.mw"/>
    <s v="Thomas Satumba"/>
    <x v="10"/>
    <s v="Prototype"/>
    <x v="2"/>
    <s v="COP_24"/>
    <x v="3"/>
    <x v="1"/>
    <s v="Quarter3"/>
    <x v="4"/>
    <x v="8"/>
    <d v="2025-06-01T00:00:00"/>
    <d v="2025-06-30T00:00:00"/>
    <x v="3"/>
    <n v="1"/>
    <n v="0"/>
    <n v="1"/>
    <n v="0"/>
    <n v="0"/>
    <n v="0"/>
    <n v="0"/>
    <n v="0"/>
    <n v="0"/>
    <n v="0"/>
    <n v="0"/>
    <n v="0"/>
    <n v="0"/>
    <n v="0"/>
    <n v="0"/>
    <n v="0"/>
    <n v="0"/>
    <n v="0"/>
    <n v="0"/>
    <n v="0"/>
    <n v="0"/>
    <n v="0"/>
    <n v="0"/>
    <n v="0"/>
  </r>
  <r>
    <n v="1784"/>
    <d v="2025-07-09T17:22:04"/>
    <d v="2025-07-09T17:26:45"/>
    <s v="tsatumba@lighthouse.org.mw"/>
    <s v="Thomas Satumba"/>
    <x v="10"/>
    <s v="Prototype"/>
    <x v="2"/>
    <s v="COP_24"/>
    <x v="3"/>
    <x v="1"/>
    <s v="Quarter3"/>
    <x v="4"/>
    <x v="8"/>
    <d v="2025-06-01T00:00:00"/>
    <d v="2025-06-30T00:00:00"/>
    <x v="4"/>
    <n v="2"/>
    <n v="0"/>
    <n v="2"/>
    <n v="0"/>
    <n v="1"/>
    <n v="0"/>
    <n v="0"/>
    <n v="0"/>
    <n v="3"/>
    <n v="0"/>
    <n v="0"/>
    <n v="0"/>
    <n v="3"/>
    <n v="0"/>
    <n v="0"/>
    <n v="0"/>
    <n v="0"/>
    <n v="0"/>
    <n v="0"/>
    <n v="0"/>
    <n v="0"/>
    <n v="0"/>
    <n v="0"/>
    <n v="0"/>
  </r>
  <r>
    <n v="1785"/>
    <d v="2025-07-09T17:26:50"/>
    <d v="2025-07-09T17:31:08"/>
    <s v="tsatumba@lighthouse.org.mw"/>
    <s v="Thomas Satumba"/>
    <x v="10"/>
    <s v="Prototype"/>
    <x v="2"/>
    <s v="COP_24"/>
    <x v="3"/>
    <x v="1"/>
    <s v="Quarter3"/>
    <x v="4"/>
    <x v="8"/>
    <d v="2025-06-01T00:00:00"/>
    <d v="2025-06-30T00:00:00"/>
    <x v="5"/>
    <n v="5"/>
    <n v="0"/>
    <n v="4"/>
    <n v="0"/>
    <n v="1"/>
    <n v="0"/>
    <n v="0"/>
    <n v="0"/>
    <n v="0"/>
    <n v="0"/>
    <n v="0"/>
    <n v="0"/>
    <n v="4"/>
    <n v="0"/>
    <n v="0"/>
    <n v="0"/>
    <n v="0"/>
    <n v="0"/>
    <n v="0"/>
    <n v="0"/>
    <n v="0"/>
    <n v="0"/>
    <n v="0"/>
    <n v="0"/>
  </r>
  <r>
    <n v="1799"/>
    <d v="2025-07-10T18:03:29"/>
    <d v="2025-07-10T18:10:36"/>
    <s v="tsatumba@lighthouse.org.mw"/>
    <s v="Thomas Satumba"/>
    <x v="10"/>
    <s v="Prototype"/>
    <x v="2"/>
    <s v="COP_24"/>
    <x v="3"/>
    <x v="1"/>
    <s v="Quarter3"/>
    <x v="4"/>
    <x v="8"/>
    <d v="2025-06-01T00:00:00"/>
    <d v="2025-06-30T00:00:00"/>
    <x v="2"/>
    <n v="3"/>
    <n v="2"/>
    <n v="0"/>
    <n v="0"/>
    <n v="3"/>
    <n v="0"/>
    <n v="0"/>
    <n v="0"/>
    <n v="1"/>
    <n v="0"/>
    <n v="0"/>
    <n v="0"/>
    <n v="3"/>
    <n v="1"/>
    <n v="0"/>
    <n v="0"/>
    <n v="0"/>
    <n v="0"/>
    <n v="0"/>
    <n v="0"/>
    <n v="0"/>
    <n v="0"/>
    <n v="0"/>
    <n v="0"/>
  </r>
  <r>
    <n v="1800"/>
    <d v="2025-07-10T18:10:41"/>
    <d v="2025-07-10T18:12:33"/>
    <s v="tsatumba@lighthouse.org.mw"/>
    <s v="Thomas Satumba"/>
    <x v="10"/>
    <s v="Prototype"/>
    <x v="2"/>
    <s v="COP_24"/>
    <x v="3"/>
    <x v="3"/>
    <s v="Quarter3"/>
    <x v="4"/>
    <x v="8"/>
    <d v="2025-06-01T00:00:00"/>
    <d v="2025-06-30T00:00:00"/>
    <x v="6"/>
    <n v="0"/>
    <n v="0"/>
    <n v="0"/>
    <n v="0"/>
    <n v="0"/>
    <n v="0"/>
    <n v="0"/>
    <n v="0"/>
    <n v="0"/>
    <n v="0"/>
    <n v="0"/>
    <n v="0"/>
    <n v="0"/>
    <n v="0"/>
    <n v="0"/>
    <n v="0"/>
    <n v="0"/>
    <n v="0"/>
    <n v="0"/>
    <n v="0"/>
    <n v="0"/>
    <n v="0"/>
    <n v="0"/>
    <n v="0"/>
  </r>
  <r>
    <n v="1801"/>
    <d v="2025-07-10T18:12:38"/>
    <d v="2025-07-10T18:16:06"/>
    <s v="tsatumba@lighthouse.org.mw"/>
    <s v="Thomas Satumba"/>
    <x v="10"/>
    <s v="Prototype"/>
    <x v="2"/>
    <s v="COP_24"/>
    <x v="3"/>
    <x v="3"/>
    <s v="Quarter3"/>
    <x v="4"/>
    <x v="8"/>
    <d v="2025-06-01T00:00:00"/>
    <d v="2025-06-30T00:00:00"/>
    <x v="0"/>
    <n v="24"/>
    <n v="2"/>
    <n v="17"/>
    <n v="1"/>
    <n v="6"/>
    <n v="0"/>
    <n v="6"/>
    <n v="0"/>
    <n v="9"/>
    <n v="0"/>
    <n v="0"/>
    <n v="0"/>
    <n v="13"/>
    <n v="2"/>
    <n v="0"/>
    <n v="0"/>
    <n v="0"/>
    <n v="0"/>
    <n v="0"/>
    <n v="0"/>
    <n v="2"/>
    <n v="0"/>
    <n v="0"/>
    <n v="0"/>
  </r>
  <r>
    <n v="56"/>
    <d v="2023-12-21T10:34:05"/>
    <d v="2023-12-21T10:45:06"/>
    <s v="vngwira@lighthouse.org.mw"/>
    <s v="Vincent Ngwira"/>
    <x v="11"/>
    <s v="COE"/>
    <x v="0"/>
    <s v="COP_23"/>
    <x v="0"/>
    <x v="0"/>
    <s v="Quarter1"/>
    <x v="0"/>
    <x v="1"/>
    <d v="2023-11-01T00:00:00"/>
    <d v="2023-11-30T00:00:00"/>
    <x v="6"/>
    <n v="40"/>
    <n v="36"/>
    <n v="0"/>
    <n v="0"/>
    <n v="31"/>
    <n v="9"/>
    <n v="38"/>
    <n v="11"/>
    <n v="40"/>
    <n v="2"/>
    <n v="2"/>
    <n v="1"/>
    <n v="37"/>
    <n v="4"/>
    <n v="4"/>
    <n v="0"/>
    <n v="8"/>
    <n v="1"/>
    <n v="10"/>
    <n v="0"/>
    <n v="2"/>
    <n v="1"/>
    <n v="0"/>
    <n v="0"/>
  </r>
  <r>
    <n v="57"/>
    <d v="2023-12-21T10:45:13"/>
    <d v="2023-12-21T10:48:52"/>
    <s v="vngwira@lighthouse.org.mw"/>
    <s v="Vincent Ngwira"/>
    <x v="11"/>
    <s v="COE"/>
    <x v="0"/>
    <s v="COP_23"/>
    <x v="0"/>
    <x v="0"/>
    <s v="Quarter1"/>
    <x v="0"/>
    <x v="0"/>
    <d v="2023-10-01T00:00:00"/>
    <d v="2023-10-31T00:00:00"/>
    <x v="6"/>
    <n v="59"/>
    <n v="34"/>
    <n v="1"/>
    <n v="0"/>
    <n v="33"/>
    <n v="5"/>
    <n v="37"/>
    <n v="14"/>
    <n v="37"/>
    <n v="2"/>
    <n v="2"/>
    <n v="0"/>
    <n v="23"/>
    <n v="6"/>
    <n v="0"/>
    <n v="0"/>
    <n v="1"/>
    <n v="0"/>
    <n v="6"/>
    <n v="2"/>
    <n v="6"/>
    <n v="0"/>
    <n v="0"/>
    <n v="0"/>
  </r>
  <r>
    <n v="58"/>
    <d v="2023-12-21T10:49:11"/>
    <d v="2023-12-21T10:51:44"/>
    <s v="vngwira@lighthouse.org.mw"/>
    <s v="Vincent Ngwira"/>
    <x v="11"/>
    <s v="COE"/>
    <x v="0"/>
    <s v="COP_22"/>
    <x v="1"/>
    <x v="1"/>
    <s v="Quarter4"/>
    <x v="1"/>
    <x v="2"/>
    <d v="2023-09-01T00:00:00"/>
    <d v="2023-09-30T00:00:00"/>
    <x v="6"/>
    <n v="23"/>
    <n v="18"/>
    <n v="1"/>
    <n v="0"/>
    <n v="19"/>
    <n v="3"/>
    <n v="19"/>
    <n v="12"/>
    <n v="21"/>
    <n v="1"/>
    <n v="1"/>
    <n v="0"/>
    <n v="22"/>
    <n v="1"/>
    <n v="1"/>
    <n v="0"/>
    <n v="8"/>
    <n v="3"/>
    <n v="10"/>
    <n v="3"/>
    <n v="6"/>
    <n v="1"/>
    <n v="0"/>
    <n v="0"/>
  </r>
  <r>
    <n v="59"/>
    <d v="2023-12-21T13:46:06"/>
    <d v="2023-12-21T13:46:20"/>
    <s v="vngwira@lighthouse.org.mw"/>
    <s v="Vincent Ngwira"/>
    <x v="11"/>
    <s v="COE"/>
    <x v="0"/>
    <s v="COP_23"/>
    <x v="0"/>
    <x v="0"/>
    <s v="Quarter1"/>
    <x v="0"/>
    <x v="1"/>
    <d v="2023-11-01T00:00:00"/>
    <d v="2023-11-30T00:00:00"/>
    <x v="0"/>
    <n v="117"/>
    <n v="100"/>
    <n v="84"/>
    <n v="5"/>
    <n v="19"/>
    <n v="9"/>
    <n v="110"/>
    <n v="34"/>
    <n v="37"/>
    <n v="2"/>
    <n v="2"/>
    <n v="1"/>
    <n v="48"/>
    <n v="3"/>
    <n v="12"/>
    <n v="0"/>
    <n v="27"/>
    <n v="4"/>
    <n v="32"/>
    <n v="3"/>
    <n v="7"/>
    <n v="1"/>
    <n v="1"/>
    <n v="1"/>
  </r>
  <r>
    <n v="60"/>
    <d v="2023-12-21T13:46:43"/>
    <d v="2023-12-21T13:50:00"/>
    <s v="vngwira@lighthouse.org.mw"/>
    <s v="Vincent Ngwira"/>
    <x v="11"/>
    <s v="COE"/>
    <x v="0"/>
    <s v="COP_23"/>
    <x v="0"/>
    <x v="0"/>
    <s v="Quarter1"/>
    <x v="0"/>
    <x v="0"/>
    <d v="2023-10-01T00:00:00"/>
    <d v="2023-10-31T00:00:00"/>
    <x v="0"/>
    <n v="119"/>
    <n v="13"/>
    <n v="92"/>
    <n v="0"/>
    <n v="18"/>
    <n v="9"/>
    <n v="114"/>
    <n v="38"/>
    <n v="50"/>
    <n v="3"/>
    <n v="2"/>
    <n v="0"/>
    <n v="40"/>
    <n v="3"/>
    <n v="26"/>
    <n v="1"/>
    <n v="36"/>
    <n v="25"/>
    <n v="29"/>
    <n v="22"/>
    <n v="5"/>
    <n v="1"/>
    <n v="1"/>
    <n v="0"/>
  </r>
  <r>
    <n v="61"/>
    <d v="2023-12-21T13:50:07"/>
    <d v="2023-12-21T13:52:31"/>
    <s v="vngwira@lighthouse.org.mw"/>
    <s v="Vincent Ngwira"/>
    <x v="11"/>
    <s v="COE"/>
    <x v="0"/>
    <s v="COP_22"/>
    <x v="1"/>
    <x v="1"/>
    <s v="Quarter4"/>
    <x v="1"/>
    <x v="2"/>
    <d v="2023-09-01T00:00:00"/>
    <d v="2023-09-30T00:00:00"/>
    <x v="0"/>
    <n v="158"/>
    <n v="29"/>
    <n v="130"/>
    <n v="0"/>
    <n v="19"/>
    <n v="9"/>
    <n v="146"/>
    <n v="45"/>
    <n v="51"/>
    <n v="1"/>
    <n v="1"/>
    <n v="0"/>
    <n v="54"/>
    <n v="4"/>
    <n v="3"/>
    <n v="1"/>
    <n v="10"/>
    <n v="2"/>
    <n v="10"/>
    <n v="2"/>
    <n v="7"/>
    <n v="0"/>
    <n v="0"/>
    <n v="0"/>
  </r>
  <r>
    <n v="65"/>
    <d v="2024-01-11T09:04:52"/>
    <d v="2024-01-11T09:36:10"/>
    <s v="vngwira@lighthouse.org.mw"/>
    <s v="Vincent Ngwira"/>
    <x v="11"/>
    <s v="COE"/>
    <x v="0"/>
    <s v="COP_23"/>
    <x v="0"/>
    <x v="0"/>
    <s v="Quarter1"/>
    <x v="0"/>
    <x v="0"/>
    <d v="2023-10-01T00:00:00"/>
    <d v="2023-10-31T00:00:00"/>
    <x v="3"/>
    <n v="0"/>
    <n v="0"/>
    <n v="0"/>
    <n v="0"/>
    <n v="0"/>
    <n v="0"/>
    <n v="0"/>
    <n v="0"/>
    <n v="0"/>
    <n v="0"/>
    <n v="0"/>
    <n v="0"/>
    <n v="0"/>
    <n v="0"/>
    <n v="0"/>
    <n v="0"/>
    <n v="0"/>
    <n v="0"/>
    <n v="0"/>
    <n v="0"/>
    <n v="0"/>
    <n v="0"/>
    <n v="0"/>
    <n v="0"/>
  </r>
  <r>
    <n v="66"/>
    <d v="2024-01-11T09:36:18"/>
    <d v="2024-01-11T09:42:41"/>
    <s v="vngwira@lighthouse.org.mw"/>
    <s v="Vincent Ngwira"/>
    <x v="11"/>
    <s v="COE"/>
    <x v="0"/>
    <s v="COP_23"/>
    <x v="0"/>
    <x v="0"/>
    <s v="Quarter1"/>
    <x v="0"/>
    <x v="0"/>
    <d v="2023-10-01T00:00:00"/>
    <d v="2023-10-31T00:00:00"/>
    <x v="4"/>
    <n v="7"/>
    <n v="4"/>
    <n v="3"/>
    <n v="0"/>
    <n v="3"/>
    <n v="1"/>
    <n v="7"/>
    <n v="2"/>
    <n v="5"/>
    <n v="0"/>
    <n v="1"/>
    <n v="0"/>
    <n v="5"/>
    <n v="0"/>
    <n v="1"/>
    <n v="0"/>
    <n v="1"/>
    <n v="0"/>
    <n v="2"/>
    <n v="0"/>
    <n v="1"/>
    <n v="0"/>
    <n v="0"/>
    <n v="1"/>
  </r>
  <r>
    <n v="67"/>
    <d v="2024-01-11T09:42:45"/>
    <d v="2024-01-11T09:45:36"/>
    <s v="vngwira@lighthouse.org.mw"/>
    <s v="Vincent Ngwira"/>
    <x v="11"/>
    <s v="COE"/>
    <x v="0"/>
    <s v="COP_23"/>
    <x v="0"/>
    <x v="0"/>
    <s v="Quarter1"/>
    <x v="0"/>
    <x v="0"/>
    <d v="2023-10-01T00:00:00"/>
    <d v="2023-10-31T00:00:00"/>
    <x v="5"/>
    <n v="11"/>
    <n v="0"/>
    <n v="9"/>
    <n v="0"/>
    <n v="1"/>
    <n v="1"/>
    <n v="11"/>
    <n v="5"/>
    <n v="5"/>
    <n v="0"/>
    <n v="0"/>
    <n v="0"/>
    <n v="2"/>
    <n v="0"/>
    <n v="2"/>
    <n v="0"/>
    <n v="3"/>
    <n v="1"/>
    <n v="3"/>
    <n v="1"/>
    <n v="1"/>
    <n v="0"/>
    <n v="0"/>
    <n v="0"/>
  </r>
  <r>
    <n v="69"/>
    <d v="2024-01-11T09:47:48"/>
    <d v="2024-01-11T09:49:45"/>
    <s v="vngwira@lighthouse.org.mw"/>
    <s v="Vincent Ngwira"/>
    <x v="11"/>
    <s v="COE"/>
    <x v="0"/>
    <s v="COP_23"/>
    <x v="0"/>
    <x v="0"/>
    <s v="Quarter1"/>
    <x v="0"/>
    <x v="1"/>
    <d v="2023-11-01T00:00:00"/>
    <d v="2023-11-30T00:00:00"/>
    <x v="3"/>
    <n v="0"/>
    <n v="0"/>
    <n v="0"/>
    <n v="0"/>
    <n v="0"/>
    <n v="0"/>
    <n v="0"/>
    <n v="0"/>
    <n v="0"/>
    <n v="0"/>
    <n v="0"/>
    <n v="0"/>
    <n v="0"/>
    <n v="0"/>
    <n v="0"/>
    <n v="0"/>
    <n v="0"/>
    <n v="0"/>
    <n v="0"/>
    <n v="0"/>
    <n v="0"/>
    <n v="0"/>
    <n v="0"/>
    <n v="0"/>
  </r>
  <r>
    <n v="70"/>
    <d v="2024-01-11T09:49:59"/>
    <d v="2024-01-11T09:52:04"/>
    <s v="vngwira@lighthouse.org.mw"/>
    <s v="Vincent Ngwira"/>
    <x v="11"/>
    <s v="COE"/>
    <x v="0"/>
    <s v="COP_23"/>
    <x v="0"/>
    <x v="0"/>
    <s v="Quarter1"/>
    <x v="0"/>
    <x v="1"/>
    <d v="2023-11-01T00:00:00"/>
    <d v="2023-11-30T00:00:00"/>
    <x v="4"/>
    <n v="13"/>
    <n v="2"/>
    <n v="10"/>
    <n v="0"/>
    <n v="2"/>
    <n v="1"/>
    <n v="13"/>
    <n v="1"/>
    <n v="3"/>
    <n v="0"/>
    <n v="0"/>
    <n v="0"/>
    <n v="3"/>
    <n v="0"/>
    <n v="0"/>
    <n v="0"/>
    <n v="1"/>
    <n v="1"/>
    <n v="1"/>
    <n v="0"/>
    <n v="1"/>
    <n v="0"/>
    <n v="0"/>
    <n v="0"/>
  </r>
  <r>
    <n v="71"/>
    <d v="2024-01-11T09:52:28"/>
    <d v="2024-01-11T09:55:08"/>
    <s v="vngwira@lighthouse.org.mw"/>
    <s v="Vincent Ngwira"/>
    <x v="11"/>
    <s v="COE"/>
    <x v="0"/>
    <s v="COP_23"/>
    <x v="0"/>
    <x v="0"/>
    <s v="Quarter1"/>
    <x v="0"/>
    <x v="1"/>
    <d v="2023-11-01T00:00:00"/>
    <d v="2023-11-30T00:00:00"/>
    <x v="5"/>
    <n v="35"/>
    <n v="1"/>
    <n v="32"/>
    <n v="1"/>
    <n v="1"/>
    <n v="1"/>
    <n v="35"/>
    <n v="9"/>
    <n v="8"/>
    <n v="0"/>
    <n v="0"/>
    <n v="0"/>
    <n v="7"/>
    <n v="0"/>
    <n v="3"/>
    <n v="0"/>
    <n v="3"/>
    <n v="3"/>
    <n v="4"/>
    <n v="0"/>
    <n v="1"/>
    <n v="0"/>
    <n v="0"/>
    <n v="0"/>
  </r>
  <r>
    <n v="73"/>
    <d v="2024-01-11T09:58:19"/>
    <d v="2024-01-11T10:01:12"/>
    <s v="vngwira@lighthouse.org.mw"/>
    <s v="Vincent Ngwira"/>
    <x v="11"/>
    <s v="COE"/>
    <x v="0"/>
    <s v="COP_23"/>
    <x v="0"/>
    <x v="0"/>
    <s v="Quarter1"/>
    <x v="0"/>
    <x v="11"/>
    <d v="2023-12-01T00:00:00"/>
    <d v="2023-12-31T00:00:00"/>
    <x v="6"/>
    <n v="41"/>
    <n v="41"/>
    <n v="0"/>
    <n v="0"/>
    <n v="25"/>
    <n v="16"/>
    <n v="40"/>
    <n v="20"/>
    <n v="41"/>
    <n v="2"/>
    <n v="3"/>
    <n v="2"/>
    <n v="38"/>
    <n v="5"/>
    <n v="4"/>
    <n v="0"/>
    <n v="7"/>
    <n v="1"/>
    <n v="13"/>
    <n v="6"/>
    <n v="10"/>
    <n v="2"/>
    <n v="1"/>
    <n v="1"/>
  </r>
  <r>
    <n v="74"/>
    <d v="2024-01-11T10:01:14"/>
    <d v="2024-01-11T10:03:06"/>
    <s v="vngwira@lighthouse.org.mw"/>
    <s v="Vincent Ngwira"/>
    <x v="11"/>
    <s v="COE"/>
    <x v="0"/>
    <s v="COP_23"/>
    <x v="0"/>
    <x v="0"/>
    <s v="Quarter1"/>
    <x v="0"/>
    <x v="11"/>
    <d v="2023-12-01T00:00:00"/>
    <d v="2023-12-31T00:00:00"/>
    <x v="5"/>
    <n v="19"/>
    <n v="1"/>
    <n v="17"/>
    <n v="0"/>
    <n v="2"/>
    <n v="0"/>
    <n v="18"/>
    <n v="5"/>
    <n v="7"/>
    <n v="0"/>
    <n v="0"/>
    <n v="0"/>
    <n v="7"/>
    <n v="0"/>
    <n v="1"/>
    <n v="0"/>
    <n v="2"/>
    <n v="1"/>
    <n v="4"/>
    <n v="0"/>
    <n v="1"/>
    <n v="0"/>
    <n v="0"/>
    <n v="0"/>
  </r>
  <r>
    <n v="76"/>
    <d v="2024-01-11T10:05:58"/>
    <d v="2024-01-11T10:08:06"/>
    <s v="vngwira@lighthouse.org.mw"/>
    <s v="Vincent Ngwira"/>
    <x v="11"/>
    <s v="COE"/>
    <x v="0"/>
    <s v="COP_23"/>
    <x v="0"/>
    <x v="0"/>
    <s v="Quarter1"/>
    <x v="0"/>
    <x v="11"/>
    <d v="2023-12-01T00:00:00"/>
    <d v="2023-12-31T00:00:00"/>
    <x v="4"/>
    <n v="5"/>
    <n v="2"/>
    <n v="3"/>
    <n v="0"/>
    <n v="2"/>
    <n v="0"/>
    <n v="4"/>
    <n v="1"/>
    <n v="2"/>
    <n v="1"/>
    <n v="2"/>
    <n v="1"/>
    <n v="2"/>
    <n v="0"/>
    <n v="1"/>
    <n v="0"/>
    <n v="1"/>
    <n v="0"/>
    <n v="2"/>
    <n v="0"/>
    <n v="1"/>
    <n v="1"/>
    <n v="0"/>
    <n v="0"/>
  </r>
  <r>
    <n v="77"/>
    <d v="2024-01-11T10:08:08"/>
    <d v="2024-01-11T10:09:59"/>
    <s v="vngwira@lighthouse.org.mw"/>
    <s v="Vincent Ngwira"/>
    <x v="11"/>
    <s v="COE"/>
    <x v="0"/>
    <s v="COP_23"/>
    <x v="0"/>
    <x v="0"/>
    <s v="Quarter1"/>
    <x v="0"/>
    <x v="11"/>
    <d v="2023-12-01T00:00:00"/>
    <d v="2023-12-31T00:00:00"/>
    <x v="3"/>
    <n v="2"/>
    <n v="1"/>
    <n v="0"/>
    <n v="0"/>
    <n v="1"/>
    <n v="1"/>
    <n v="0"/>
    <n v="0"/>
    <n v="2"/>
    <n v="0"/>
    <n v="0"/>
    <n v="0"/>
    <n v="2"/>
    <n v="1"/>
    <n v="0"/>
    <n v="0"/>
    <n v="0"/>
    <n v="0"/>
    <n v="1"/>
    <n v="1"/>
    <n v="1"/>
    <n v="0"/>
    <n v="0"/>
    <n v="0"/>
  </r>
  <r>
    <n v="78"/>
    <d v="2024-01-11T10:10:04"/>
    <d v="2024-01-11T10:30:56"/>
    <s v="vngwira@lighthouse.org.mw"/>
    <s v="Vincent Ngwira"/>
    <x v="11"/>
    <s v="COE"/>
    <x v="0"/>
    <s v="COP_23"/>
    <x v="0"/>
    <x v="0"/>
    <s v="Quarter1"/>
    <x v="0"/>
    <x v="11"/>
    <d v="2023-12-01T00:00:00"/>
    <d v="2023-12-31T00:00:00"/>
    <x v="0"/>
    <n v="136"/>
    <n v="62"/>
    <n v="46"/>
    <n v="1"/>
    <n v="47"/>
    <n v="42"/>
    <n v="130"/>
    <n v="55"/>
    <n v="83"/>
    <n v="5"/>
    <n v="6"/>
    <n v="4"/>
    <n v="74"/>
    <n v="7"/>
    <n v="14"/>
    <n v="0"/>
    <n v="20"/>
    <n v="8"/>
    <n v="38"/>
    <n v="11"/>
    <n v="22"/>
    <n v="4"/>
    <n v="2"/>
    <n v="2"/>
  </r>
  <r>
    <n v="138"/>
    <d v="2024-02-06T09:04:37"/>
    <d v="2024-02-06T09:20:39"/>
    <s v="vngwira@lighthouse.org.mw"/>
    <s v="Vincent Ngwira"/>
    <x v="11"/>
    <s v="COE"/>
    <x v="1"/>
    <s v="COP_23"/>
    <x v="0"/>
    <x v="2"/>
    <s v="Quarter2"/>
    <x v="2"/>
    <x v="4"/>
    <d v="2024-01-01T00:00:00"/>
    <d v="2024-01-31T00:00:00"/>
    <x v="0"/>
    <n v="181"/>
    <n v="54"/>
    <n v="91"/>
    <n v="1"/>
    <n v="63"/>
    <n v="26"/>
    <n v="170"/>
    <n v="60"/>
    <n v="100"/>
    <n v="6"/>
    <n v="4"/>
    <n v="3"/>
    <n v="101"/>
    <n v="17"/>
    <n v="17"/>
    <n v="3"/>
    <n v="8"/>
    <n v="5"/>
    <n v="23"/>
    <n v="17"/>
    <n v="20"/>
    <n v="3"/>
    <n v="0"/>
    <n v="2"/>
  </r>
  <r>
    <n v="139"/>
    <d v="2024-02-06T09:20:44"/>
    <d v="2024-02-06T09:25:30"/>
    <s v="vngwira@lighthouse.org.mw"/>
    <s v="Vincent Ngwira"/>
    <x v="11"/>
    <s v="COE"/>
    <x v="1"/>
    <s v="COP_23"/>
    <x v="0"/>
    <x v="2"/>
    <s v="Quarter2"/>
    <x v="2"/>
    <x v="4"/>
    <d v="2024-01-01T00:00:00"/>
    <d v="2024-01-31T00:00:00"/>
    <x v="6"/>
    <n v="41"/>
    <n v="29"/>
    <n v="4"/>
    <n v="1"/>
    <n v="26"/>
    <n v="10"/>
    <n v="38"/>
    <n v="12"/>
    <n v="35"/>
    <n v="2"/>
    <n v="2"/>
    <n v="2"/>
    <n v="32"/>
    <n v="7"/>
    <n v="0"/>
    <n v="0"/>
    <n v="4"/>
    <n v="2"/>
    <n v="10"/>
    <n v="7"/>
    <n v="7"/>
    <n v="2"/>
    <n v="0"/>
    <n v="0"/>
  </r>
  <r>
    <n v="140"/>
    <d v="2024-02-06T09:25:44"/>
    <d v="2024-02-06T09:29:40"/>
    <s v="vngwira@lighthouse.org.mw"/>
    <s v="Vincent Ngwira"/>
    <x v="11"/>
    <s v="COE"/>
    <x v="1"/>
    <s v="COP_23"/>
    <x v="0"/>
    <x v="2"/>
    <s v="Quarter2"/>
    <x v="2"/>
    <x v="4"/>
    <d v="2024-01-01T00:00:00"/>
    <d v="2024-01-31T00:00:00"/>
    <x v="5"/>
    <n v="37"/>
    <n v="1"/>
    <n v="32"/>
    <n v="0"/>
    <n v="5"/>
    <n v="0"/>
    <n v="35"/>
    <n v="8"/>
    <n v="11"/>
    <n v="0"/>
    <n v="0"/>
    <n v="0"/>
    <n v="10"/>
    <n v="0"/>
    <n v="0"/>
    <n v="0"/>
    <n v="0"/>
    <n v="0"/>
    <n v="0"/>
    <n v="0"/>
    <n v="1"/>
    <n v="0"/>
    <n v="0"/>
    <n v="0"/>
  </r>
  <r>
    <n v="141"/>
    <d v="2024-02-06T09:30:02"/>
    <d v="2024-02-06T09:36:25"/>
    <s v="vngwira@lighthouse.org.mw"/>
    <s v="Vincent Ngwira"/>
    <x v="11"/>
    <s v="COE"/>
    <x v="1"/>
    <s v="COP_23"/>
    <x v="0"/>
    <x v="2"/>
    <s v="Quarter2"/>
    <x v="2"/>
    <x v="4"/>
    <d v="2024-01-01T00:00:00"/>
    <d v="2024-01-31T00:00:00"/>
    <x v="4"/>
    <n v="9"/>
    <n v="0"/>
    <n v="7"/>
    <n v="0"/>
    <n v="2"/>
    <n v="0"/>
    <n v="9"/>
    <n v="3"/>
    <n v="4"/>
    <n v="0"/>
    <n v="0"/>
    <n v="0"/>
    <n v="3"/>
    <n v="0"/>
    <n v="0"/>
    <n v="0"/>
    <n v="0"/>
    <n v="0"/>
    <n v="0"/>
    <n v="0"/>
    <n v="0"/>
    <n v="0"/>
    <n v="0"/>
    <n v="0"/>
  </r>
  <r>
    <n v="142"/>
    <d v="2024-02-06T09:36:41"/>
    <d v="2024-02-06T09:43:54"/>
    <s v="vngwira@lighthouse.org.mw"/>
    <s v="Vincent Ngwira"/>
    <x v="11"/>
    <s v="COE"/>
    <x v="1"/>
    <s v="COP_23"/>
    <x v="0"/>
    <x v="2"/>
    <s v="Quarter2"/>
    <x v="2"/>
    <x v="4"/>
    <d v="2024-01-01T00:00:00"/>
    <d v="2024-01-31T00:00:00"/>
    <x v="3"/>
    <n v="4"/>
    <n v="1"/>
    <n v="2"/>
    <n v="0"/>
    <n v="2"/>
    <n v="0"/>
    <n v="0"/>
    <n v="0"/>
    <n v="4"/>
    <n v="0"/>
    <n v="0"/>
    <n v="0"/>
    <n v="4"/>
    <n v="0"/>
    <n v="0"/>
    <n v="0"/>
    <n v="0"/>
    <n v="0"/>
    <n v="1"/>
    <n v="1"/>
    <n v="1"/>
    <n v="0"/>
    <n v="0"/>
    <n v="0"/>
  </r>
  <r>
    <n v="176"/>
    <d v="2024-03-20T08:03:44"/>
    <d v="2024-03-20T08:07:21"/>
    <s v="vngwira@lighthouse.org.mw"/>
    <s v="Vincent Ngwira"/>
    <x v="11"/>
    <s v="COE"/>
    <x v="1"/>
    <s v="COP_23"/>
    <x v="0"/>
    <x v="2"/>
    <s v="Quarter2"/>
    <x v="2"/>
    <x v="5"/>
    <d v="2024-02-01T00:00:00"/>
    <d v="2024-02-29T00:00:00"/>
    <x v="0"/>
    <n v="175"/>
    <n v="64"/>
    <n v="66"/>
    <n v="3"/>
    <n v="76"/>
    <n v="30"/>
    <n v="164"/>
    <n v="55"/>
    <n v="110"/>
    <n v="7"/>
    <n v="5"/>
    <n v="2"/>
    <n v="112"/>
    <n v="20"/>
    <n v="5"/>
    <n v="0"/>
    <n v="8"/>
    <n v="5"/>
    <n v="30"/>
    <n v="7"/>
    <n v="21"/>
    <n v="2"/>
    <n v="4"/>
    <n v="0"/>
  </r>
  <r>
    <n v="177"/>
    <d v="2024-03-20T08:07:25"/>
    <d v="2024-03-20T08:10:12"/>
    <s v="vngwira@lighthouse.org.mw"/>
    <s v="Vincent Ngwira"/>
    <x v="11"/>
    <s v="COE"/>
    <x v="1"/>
    <s v="COP_23"/>
    <x v="0"/>
    <x v="2"/>
    <s v="Quarter2"/>
    <x v="2"/>
    <x v="5"/>
    <d v="2024-02-01T00:00:00"/>
    <d v="2024-02-29T00:00:00"/>
    <x v="6"/>
    <n v="51"/>
    <n v="46"/>
    <n v="1"/>
    <n v="1"/>
    <n v="32"/>
    <n v="17"/>
    <n v="45"/>
    <n v="21"/>
    <n v="49"/>
    <n v="3"/>
    <n v="2"/>
    <n v="1"/>
    <n v="48"/>
    <n v="10"/>
    <n v="0"/>
    <n v="0"/>
    <n v="4"/>
    <n v="3"/>
    <n v="21"/>
    <n v="7"/>
    <n v="11"/>
    <n v="1"/>
    <n v="1"/>
    <n v="0"/>
  </r>
  <r>
    <n v="178"/>
    <d v="2024-03-20T08:10:20"/>
    <d v="2024-03-20T08:13:37"/>
    <s v="vngwira@lighthouse.org.mw"/>
    <s v="Vincent Ngwira"/>
    <x v="11"/>
    <s v="COE"/>
    <x v="1"/>
    <s v="COP_23"/>
    <x v="0"/>
    <x v="2"/>
    <s v="Quarter2"/>
    <x v="2"/>
    <x v="5"/>
    <d v="2024-02-01T00:00:00"/>
    <d v="2024-02-29T00:00:00"/>
    <x v="5"/>
    <n v="34"/>
    <n v="0"/>
    <n v="29"/>
    <n v="1"/>
    <n v="2"/>
    <n v="2"/>
    <n v="32"/>
    <n v="8"/>
    <n v="10"/>
    <n v="3"/>
    <n v="2"/>
    <n v="0"/>
    <n v="10"/>
    <n v="0"/>
    <n v="0"/>
    <n v="0"/>
    <n v="0"/>
    <n v="0"/>
    <n v="0"/>
    <n v="0"/>
    <n v="0"/>
    <n v="0"/>
    <n v="3"/>
    <n v="0"/>
  </r>
  <r>
    <n v="180"/>
    <d v="2024-03-20T08:16:59"/>
    <d v="2024-03-20T08:18:40"/>
    <s v="vngwira@lighthouse.org.mw"/>
    <s v="Vincent Ngwira"/>
    <x v="11"/>
    <s v="COE"/>
    <x v="1"/>
    <s v="COP_23"/>
    <x v="0"/>
    <x v="2"/>
    <s v="Quarter2"/>
    <x v="2"/>
    <x v="5"/>
    <d v="2024-02-01T00:00:00"/>
    <d v="2024-02-29T00:00:00"/>
    <x v="3"/>
    <n v="4"/>
    <n v="2"/>
    <n v="1"/>
    <n v="1"/>
    <n v="1"/>
    <n v="1"/>
    <n v="0"/>
    <n v="0"/>
    <n v="4"/>
    <n v="0"/>
    <n v="0"/>
    <n v="0"/>
    <n v="4"/>
    <n v="0"/>
    <n v="0"/>
    <n v="0"/>
    <n v="0"/>
    <n v="0"/>
    <n v="1"/>
    <n v="1"/>
    <n v="0"/>
    <n v="0"/>
    <n v="0"/>
    <n v="0"/>
  </r>
  <r>
    <n v="181"/>
    <d v="2024-03-20T08:18:43"/>
    <d v="2024-03-20T08:20:13"/>
    <s v="vngwira@lighthouse.org.mw"/>
    <s v="Vincent Ngwira"/>
    <x v="11"/>
    <s v="COE"/>
    <x v="1"/>
    <s v="COP_23"/>
    <x v="0"/>
    <x v="2"/>
    <s v="Quarter2"/>
    <x v="2"/>
    <x v="5"/>
    <d v="2024-02-01T00:00:00"/>
    <d v="2024-02-29T00:00:00"/>
    <x v="4"/>
    <n v="9"/>
    <n v="1"/>
    <n v="5"/>
    <n v="0"/>
    <n v="3"/>
    <n v="1"/>
    <n v="8"/>
    <n v="2"/>
    <n v="6"/>
    <n v="0"/>
    <n v="0"/>
    <n v="0"/>
    <n v="6"/>
    <n v="1"/>
    <n v="0"/>
    <n v="0"/>
    <n v="0"/>
    <n v="0"/>
    <n v="1"/>
    <n v="0"/>
    <n v="1"/>
    <n v="0"/>
    <n v="0"/>
    <n v="0"/>
  </r>
  <r>
    <n v="235"/>
    <d v="2024-04-12T08:51:21"/>
    <d v="2024-04-12T08:55:35"/>
    <s v="vngwira@lighthouse.org.mw"/>
    <s v="Vincent Ngwira"/>
    <x v="11"/>
    <s v="COE"/>
    <x v="1"/>
    <s v="COP_23"/>
    <x v="0"/>
    <x v="2"/>
    <s v="Quarter2"/>
    <x v="2"/>
    <x v="3"/>
    <d v="2024-03-01T00:00:00"/>
    <d v="2024-03-31T00:00:00"/>
    <x v="6"/>
    <n v="57"/>
    <n v="36"/>
    <n v="0"/>
    <n v="0"/>
    <n v="29"/>
    <n v="16"/>
    <n v="45"/>
    <n v="20"/>
    <n v="45"/>
    <n v="3"/>
    <n v="4"/>
    <n v="2"/>
    <n v="44"/>
    <n v="8"/>
    <n v="0"/>
    <n v="0"/>
    <n v="0"/>
    <n v="0"/>
    <n v="13"/>
    <n v="4"/>
    <n v="8"/>
    <n v="2"/>
    <n v="1"/>
    <n v="0"/>
  </r>
  <r>
    <n v="236"/>
    <d v="2024-04-12T08:56:28"/>
    <d v="2024-04-12T09:01:05"/>
    <s v="vngwira@lighthouse.org.mw"/>
    <s v="Vincent Ngwira"/>
    <x v="11"/>
    <s v="COE"/>
    <x v="1"/>
    <s v="COP_23"/>
    <x v="0"/>
    <x v="2"/>
    <s v="Quarter2"/>
    <x v="2"/>
    <x v="3"/>
    <d v="2024-03-01T00:00:00"/>
    <d v="2024-03-31T00:00:00"/>
    <x v="0"/>
    <n v="175"/>
    <n v="48"/>
    <n v="59"/>
    <n v="7"/>
    <n v="73"/>
    <n v="24"/>
    <n v="155"/>
    <n v="57"/>
    <n v="102"/>
    <n v="6"/>
    <n v="7"/>
    <n v="5"/>
    <n v="100"/>
    <n v="13"/>
    <n v="1"/>
    <n v="0"/>
    <n v="4"/>
    <n v="1"/>
    <n v="24"/>
    <n v="5"/>
    <n v="13"/>
    <n v="5"/>
    <n v="1"/>
    <n v="0"/>
  </r>
  <r>
    <n v="237"/>
    <d v="2024-04-12T09:01:27"/>
    <d v="2024-04-12T09:13:06"/>
    <s v="vngwira@lighthouse.org.mw"/>
    <s v="Vincent Ngwira"/>
    <x v="11"/>
    <s v="COE"/>
    <x v="1"/>
    <s v="COP_23"/>
    <x v="0"/>
    <x v="2"/>
    <s v="Quarter2"/>
    <x v="2"/>
    <x v="3"/>
    <d v="2024-03-01T00:00:00"/>
    <d v="2024-03-31T00:00:00"/>
    <x v="5"/>
    <n v="31"/>
    <n v="1"/>
    <n v="22"/>
    <n v="1"/>
    <n v="6"/>
    <n v="2"/>
    <n v="31"/>
    <n v="8"/>
    <n v="10"/>
    <n v="0"/>
    <n v="0"/>
    <n v="0"/>
    <n v="11"/>
    <n v="2"/>
    <n v="0"/>
    <n v="0"/>
    <n v="0"/>
    <n v="0"/>
    <n v="2"/>
    <n v="1"/>
    <n v="2"/>
    <n v="0"/>
    <n v="0"/>
    <n v="0"/>
  </r>
  <r>
    <n v="238"/>
    <d v="2024-04-12T09:13:43"/>
    <d v="2024-04-12T09:16:13"/>
    <s v="vngwira@lighthouse.org.mw"/>
    <s v="Vincent Ngwira"/>
    <x v="11"/>
    <s v="COE"/>
    <x v="1"/>
    <s v="COP_23"/>
    <x v="0"/>
    <x v="2"/>
    <s v="Quarter2"/>
    <x v="2"/>
    <x v="3"/>
    <d v="2024-03-01T00:00:00"/>
    <d v="2024-03-31T00:00:00"/>
    <x v="3"/>
    <n v="0"/>
    <n v="0"/>
    <n v="0"/>
    <n v="0"/>
    <n v="0"/>
    <n v="0"/>
    <n v="0"/>
    <n v="0"/>
    <n v="0"/>
    <n v="0"/>
    <n v="0"/>
    <n v="0"/>
    <n v="0"/>
    <n v="0"/>
    <n v="0"/>
    <n v="0"/>
    <n v="0"/>
    <n v="0"/>
    <n v="0"/>
    <n v="0"/>
    <n v="0"/>
    <n v="0"/>
    <n v="0"/>
    <n v="0"/>
  </r>
  <r>
    <n v="242"/>
    <d v="2024-04-12T09:24:40"/>
    <d v="2024-04-12T09:26:05"/>
    <s v="vngwira@lighthouse.org.mw"/>
    <s v="Vincent Ngwira"/>
    <x v="11"/>
    <s v="COE"/>
    <x v="1"/>
    <s v="COP_23"/>
    <x v="0"/>
    <x v="2"/>
    <s v="Quarter2"/>
    <x v="2"/>
    <x v="3"/>
    <d v="2024-03-01T00:00:00"/>
    <d v="2024-03-31T00:00:00"/>
    <x v="4"/>
    <n v="2"/>
    <n v="0"/>
    <n v="2"/>
    <n v="0"/>
    <n v="0"/>
    <n v="0"/>
    <n v="2"/>
    <n v="0"/>
    <n v="0"/>
    <n v="0"/>
    <n v="0"/>
    <n v="0"/>
    <n v="0"/>
    <n v="0"/>
    <n v="0"/>
    <n v="0"/>
    <n v="0"/>
    <n v="0"/>
    <n v="0"/>
    <n v="0"/>
    <n v="0"/>
    <n v="0"/>
    <n v="0"/>
    <n v="0"/>
  </r>
  <r>
    <n v="449"/>
    <d v="2024-05-21T13:01:51"/>
    <d v="2024-05-21T13:16:11"/>
    <s v="vngwira@lighthouse.org.mw"/>
    <s v="Vincent Ngwira"/>
    <x v="11"/>
    <s v="COE"/>
    <x v="1"/>
    <s v="COP_24"/>
    <x v="0"/>
    <x v="3"/>
    <s v="Quarter3"/>
    <x v="3"/>
    <x v="7"/>
    <d v="2024-04-01T00:00:00"/>
    <d v="2024-04-30T00:00:00"/>
    <x v="3"/>
    <n v="4"/>
    <n v="2"/>
    <n v="0"/>
    <n v="2"/>
    <n v="1"/>
    <n v="1"/>
    <n v="4"/>
    <n v="1"/>
    <n v="3"/>
    <n v="0"/>
    <n v="0"/>
    <n v="0"/>
    <n v="0"/>
    <n v="0"/>
    <n v="0"/>
    <n v="0"/>
    <n v="2"/>
    <n v="1"/>
    <n v="2"/>
    <n v="0"/>
    <n v="0"/>
    <n v="0"/>
    <n v="0"/>
    <n v="0"/>
  </r>
  <r>
    <n v="451"/>
    <d v="2024-05-21T13:20:10"/>
    <d v="2024-05-21T13:37:15"/>
    <s v="vngwira@lighthouse.org.mw"/>
    <s v="Vincent Ngwira"/>
    <x v="11"/>
    <s v="COE"/>
    <x v="1"/>
    <s v="COP_24"/>
    <x v="0"/>
    <x v="3"/>
    <s v="Quarter3"/>
    <x v="3"/>
    <x v="7"/>
    <d v="2024-04-01T00:00:00"/>
    <d v="2024-04-30T00:00:00"/>
    <x v="5"/>
    <n v="21"/>
    <n v="1"/>
    <n v="19"/>
    <n v="0"/>
    <n v="2"/>
    <n v="0"/>
    <n v="21"/>
    <n v="7"/>
    <n v="9"/>
    <n v="0"/>
    <n v="0"/>
    <n v="0"/>
    <n v="1"/>
    <n v="0"/>
    <n v="0"/>
    <n v="0"/>
    <n v="0"/>
    <n v="0"/>
    <n v="5"/>
    <n v="0"/>
    <n v="0"/>
    <n v="0"/>
    <n v="0"/>
    <n v="0"/>
  </r>
  <r>
    <n v="453"/>
    <d v="2024-05-21T13:43:33"/>
    <d v="2024-05-21T13:47:29"/>
    <s v="vngwira@lighthouse.org.mw"/>
    <s v="Vincent Ngwira"/>
    <x v="11"/>
    <s v="COE"/>
    <x v="1"/>
    <s v="COP_24"/>
    <x v="0"/>
    <x v="3"/>
    <s v="Quarter3"/>
    <x v="3"/>
    <x v="7"/>
    <d v="2024-04-01T00:00:00"/>
    <d v="2024-04-30T00:00:00"/>
    <x v="6"/>
    <n v="55"/>
    <n v="52"/>
    <n v="0"/>
    <n v="0"/>
    <n v="45"/>
    <n v="10"/>
    <n v="54"/>
    <n v="22"/>
    <n v="55"/>
    <n v="2"/>
    <n v="1"/>
    <n v="1"/>
    <n v="18"/>
    <n v="4"/>
    <n v="0"/>
    <n v="0"/>
    <n v="3"/>
    <n v="2"/>
    <n v="15"/>
    <n v="2"/>
    <n v="5"/>
    <n v="2"/>
    <n v="0"/>
    <n v="0"/>
  </r>
  <r>
    <n v="454"/>
    <d v="2024-05-21T13:47:33"/>
    <d v="2024-05-21T13:52:28"/>
    <s v="vngwira@lighthouse.org.mw"/>
    <s v="Vincent Ngwira"/>
    <x v="11"/>
    <s v="COE"/>
    <x v="1"/>
    <s v="COP_24"/>
    <x v="0"/>
    <x v="3"/>
    <s v="Quarter3"/>
    <x v="3"/>
    <x v="7"/>
    <d v="2024-04-08T00:00:00"/>
    <d v="2024-04-30T00:00:00"/>
    <x v="0"/>
    <n v="159"/>
    <n v="63"/>
    <n v="68"/>
    <n v="3"/>
    <n v="70"/>
    <n v="18"/>
    <n v="157"/>
    <n v="58"/>
    <n v="103"/>
    <n v="2"/>
    <n v="1"/>
    <n v="1"/>
    <n v="35"/>
    <n v="9"/>
    <n v="6"/>
    <n v="0"/>
    <n v="5"/>
    <n v="3"/>
    <n v="34"/>
    <n v="2"/>
    <n v="11"/>
    <n v="2"/>
    <n v="0"/>
    <n v="1"/>
  </r>
  <r>
    <n v="455"/>
    <d v="2024-05-21T13:52:31"/>
    <d v="2024-05-21T13:53:51"/>
    <s v="vngwira@lighthouse.org.mw"/>
    <s v="Vincent Ngwira"/>
    <x v="11"/>
    <s v="COE"/>
    <x v="1"/>
    <s v="COP_24"/>
    <x v="0"/>
    <x v="3"/>
    <s v="Quarter3"/>
    <x v="3"/>
    <x v="7"/>
    <d v="2024-04-01T00:00:00"/>
    <d v="2024-04-30T00:00:00"/>
    <x v="4"/>
    <n v="4"/>
    <n v="0"/>
    <n v="4"/>
    <n v="0"/>
    <n v="0"/>
    <n v="0"/>
    <n v="4"/>
    <n v="0"/>
    <n v="0"/>
    <n v="0"/>
    <n v="0"/>
    <n v="0"/>
    <n v="0"/>
    <n v="0"/>
    <n v="0"/>
    <n v="0"/>
    <n v="0"/>
    <n v="0"/>
    <n v="0"/>
    <n v="0"/>
    <n v="0"/>
    <n v="0"/>
    <n v="0"/>
    <n v="0"/>
  </r>
  <r>
    <n v="516"/>
    <d v="2024-06-07T10:35:39"/>
    <d v="2024-06-07T10:51:42"/>
    <s v="vngwira@lighthouse.org.mw"/>
    <s v="Vincent Ngwira"/>
    <x v="11"/>
    <s v="COE"/>
    <x v="1"/>
    <s v="COP_24"/>
    <x v="0"/>
    <x v="3"/>
    <s v="Quarter3"/>
    <x v="3"/>
    <x v="6"/>
    <d v="2024-05-01T00:00:00"/>
    <d v="2024-05-31T00:00:00"/>
    <x v="0"/>
    <n v="153"/>
    <n v="16"/>
    <n v="55"/>
    <n v="11"/>
    <n v="67"/>
    <n v="20"/>
    <n v="150"/>
    <n v="69"/>
    <n v="108"/>
    <n v="4"/>
    <n v="4"/>
    <n v="3"/>
    <n v="0"/>
    <n v="0"/>
    <n v="6"/>
    <n v="0"/>
    <n v="4"/>
    <n v="3"/>
    <n v="47"/>
    <n v="6"/>
    <n v="5"/>
    <n v="3"/>
    <n v="1"/>
    <n v="3"/>
  </r>
  <r>
    <n v="518"/>
    <d v="2024-06-07T10:53:16"/>
    <d v="2024-06-07T10:55:50"/>
    <s v="vngwira@lighthouse.org.mw"/>
    <s v="Vincent Ngwira"/>
    <x v="11"/>
    <s v="COE"/>
    <x v="1"/>
    <s v="COP_24"/>
    <x v="0"/>
    <x v="3"/>
    <s v="Quarter3"/>
    <x v="3"/>
    <x v="6"/>
    <d v="2024-05-01T00:00:00"/>
    <d v="2024-05-31T00:00:00"/>
    <x v="6"/>
    <n v="53"/>
    <n v="4"/>
    <n v="2"/>
    <n v="0"/>
    <n v="37"/>
    <n v="14"/>
    <n v="52"/>
    <n v="31"/>
    <n v="50"/>
    <n v="3"/>
    <n v="4"/>
    <n v="2"/>
    <n v="0"/>
    <n v="0"/>
    <n v="0"/>
    <n v="0"/>
    <n v="1"/>
    <n v="1"/>
    <n v="18"/>
    <n v="5"/>
    <n v="3"/>
    <n v="2"/>
    <n v="1"/>
    <n v="1"/>
  </r>
  <r>
    <n v="520"/>
    <d v="2024-06-07T10:58:22"/>
    <d v="2024-06-07T10:59:57"/>
    <s v="vngwira@lighthouse.org.mw"/>
    <s v="Vincent Ngwira"/>
    <x v="11"/>
    <s v="COE"/>
    <x v="1"/>
    <s v="COP_24"/>
    <x v="0"/>
    <x v="3"/>
    <s v="Quarter3"/>
    <x v="3"/>
    <x v="6"/>
    <d v="2024-05-01T00:00:00"/>
    <d v="2024-05-31T00:00:00"/>
    <x v="5"/>
    <n v="22"/>
    <n v="0"/>
    <n v="18"/>
    <n v="1"/>
    <n v="2"/>
    <n v="0"/>
    <n v="22"/>
    <n v="6"/>
    <n v="9"/>
    <n v="0"/>
    <n v="0"/>
    <n v="0"/>
    <n v="0"/>
    <n v="0"/>
    <n v="0"/>
    <n v="0"/>
    <n v="0"/>
    <n v="0"/>
    <n v="0"/>
    <n v="0"/>
    <n v="0"/>
    <n v="0"/>
    <n v="0"/>
    <n v="0"/>
  </r>
  <r>
    <n v="522"/>
    <d v="2024-06-07T10:59:59"/>
    <d v="2024-06-07T11:11:24"/>
    <s v="vngwira@lighthouse.org.mw"/>
    <s v="Vincent Ngwira"/>
    <x v="11"/>
    <s v="COE"/>
    <x v="1"/>
    <s v="COP_24"/>
    <x v="0"/>
    <x v="3"/>
    <s v="Quarter3"/>
    <x v="3"/>
    <x v="6"/>
    <d v="2024-05-01T00:00:00"/>
    <d v="2024-05-31T00:00:00"/>
    <x v="3"/>
    <n v="2"/>
    <n v="1"/>
    <n v="1"/>
    <n v="0"/>
    <n v="1"/>
    <n v="0"/>
    <n v="0"/>
    <n v="0"/>
    <n v="2"/>
    <n v="0"/>
    <n v="0"/>
    <n v="0"/>
    <n v="0"/>
    <n v="0"/>
    <n v="0"/>
    <n v="0"/>
    <n v="0"/>
    <n v="0"/>
    <n v="2"/>
    <n v="0"/>
    <n v="0"/>
    <n v="0"/>
    <n v="0"/>
    <n v="0"/>
  </r>
  <r>
    <n v="525"/>
    <d v="2024-06-07T11:13:23"/>
    <d v="2024-06-07T11:17:15"/>
    <s v="vngwira@lighthouse.org.mw"/>
    <s v="Vincent Ngwira"/>
    <x v="11"/>
    <s v="COE"/>
    <x v="1"/>
    <s v="COP_24"/>
    <x v="0"/>
    <x v="3"/>
    <s v="Quarter3"/>
    <x v="3"/>
    <x v="6"/>
    <d v="2024-05-01T00:00:00"/>
    <d v="2024-05-31T00:00:00"/>
    <x v="4"/>
    <n v="7"/>
    <n v="1"/>
    <n v="5"/>
    <n v="0"/>
    <n v="2"/>
    <n v="0"/>
    <n v="7"/>
    <n v="2"/>
    <n v="3"/>
    <n v="0"/>
    <n v="0"/>
    <n v="0"/>
    <n v="0"/>
    <n v="0"/>
    <n v="0"/>
    <n v="0"/>
    <n v="0"/>
    <n v="0"/>
    <n v="1"/>
    <n v="0"/>
    <n v="0"/>
    <n v="0"/>
    <n v="0"/>
    <n v="0"/>
  </r>
  <r>
    <n v="654"/>
    <d v="2024-07-26T19:56:13"/>
    <d v="2024-07-26T20:00:01"/>
    <s v="vngwira@lighthouse.org.mw"/>
    <s v="Vincent Ngwira"/>
    <x v="11"/>
    <s v="COE"/>
    <x v="1"/>
    <s v="COP_24"/>
    <x v="0"/>
    <x v="3"/>
    <s v="Quarter3"/>
    <x v="3"/>
    <x v="8"/>
    <d v="2024-06-01T00:00:00"/>
    <d v="2024-06-30T00:00:00"/>
    <x v="0"/>
    <n v="146"/>
    <n v="64"/>
    <n v="61"/>
    <n v="5"/>
    <n v="69"/>
    <n v="11"/>
    <n v="141"/>
    <n v="49"/>
    <n v="98"/>
    <n v="5"/>
    <n v="5"/>
    <n v="5"/>
    <n v="0"/>
    <n v="0"/>
    <n v="3"/>
    <n v="2"/>
    <n v="5"/>
    <n v="2"/>
    <n v="60"/>
    <n v="3"/>
    <n v="6"/>
    <n v="5"/>
    <n v="0"/>
    <n v="1"/>
  </r>
  <r>
    <n v="655"/>
    <d v="2024-07-26T20:00:05"/>
    <d v="2024-07-26T20:06:24"/>
    <s v="vngwira@lighthouse.org.mw"/>
    <s v="Vincent Ngwira"/>
    <x v="11"/>
    <s v="COE"/>
    <x v="1"/>
    <s v="COP_24"/>
    <x v="0"/>
    <x v="3"/>
    <s v="Quarter3"/>
    <x v="3"/>
    <x v="8"/>
    <d v="2024-06-01T00:00:00"/>
    <d v="2024-06-30T00:00:00"/>
    <x v="6"/>
    <n v="56"/>
    <n v="53"/>
    <n v="0"/>
    <n v="1"/>
    <n v="48"/>
    <n v="7"/>
    <n v="56"/>
    <n v="22"/>
    <n v="55"/>
    <n v="4"/>
    <n v="4"/>
    <n v="4"/>
    <n v="0"/>
    <n v="0"/>
    <n v="0"/>
    <n v="0"/>
    <n v="2"/>
    <n v="1"/>
    <n v="18"/>
    <n v="1"/>
    <n v="2"/>
    <n v="4"/>
    <n v="0"/>
    <n v="1"/>
  </r>
  <r>
    <n v="656"/>
    <d v="2024-07-26T20:06:27"/>
    <d v="2024-07-26T20:08:40"/>
    <s v="vngwira@lighthouse.org.mw"/>
    <s v="Vincent Ngwira"/>
    <x v="11"/>
    <s v="COE"/>
    <x v="1"/>
    <s v="COP_24"/>
    <x v="0"/>
    <x v="3"/>
    <s v="Quarter3"/>
    <x v="3"/>
    <x v="8"/>
    <d v="2024-06-01T00:00:00"/>
    <d v="2024-06-30T00:00:00"/>
    <x v="3"/>
    <n v="6"/>
    <n v="3"/>
    <n v="4"/>
    <n v="0"/>
    <n v="2"/>
    <n v="0"/>
    <n v="0"/>
    <n v="0"/>
    <n v="6"/>
    <n v="0"/>
    <n v="0"/>
    <n v="0"/>
    <n v="0"/>
    <n v="0"/>
    <n v="0"/>
    <n v="0"/>
    <n v="0"/>
    <n v="0"/>
    <n v="6"/>
    <n v="1"/>
    <n v="1"/>
    <n v="0"/>
    <n v="0"/>
    <n v="0"/>
  </r>
  <r>
    <n v="659"/>
    <d v="2024-07-26T20:30:34"/>
    <d v="2024-07-26T20:32:36"/>
    <s v="vngwira@lighthouse.org.mw"/>
    <s v="Vincent Ngwira"/>
    <x v="11"/>
    <s v="COE"/>
    <x v="1"/>
    <s v="COP_24"/>
    <x v="0"/>
    <x v="3"/>
    <s v="Quarter3"/>
    <x v="3"/>
    <x v="8"/>
    <d v="2024-06-01T00:00:00"/>
    <d v="2024-06-30T00:00:00"/>
    <x v="4"/>
    <n v="7"/>
    <n v="1"/>
    <n v="5"/>
    <n v="1"/>
    <n v="1"/>
    <n v="0"/>
    <n v="7"/>
    <n v="2"/>
    <n v="3"/>
    <n v="0"/>
    <n v="0"/>
    <n v="0"/>
    <n v="0"/>
    <n v="0"/>
    <n v="0"/>
    <n v="0"/>
    <n v="0"/>
    <n v="0"/>
    <n v="2"/>
    <n v="0"/>
    <n v="0"/>
    <n v="0"/>
    <n v="0"/>
    <n v="0"/>
  </r>
  <r>
    <n v="660"/>
    <d v="2024-07-26T20:32:40"/>
    <d v="2024-07-26T20:34:11"/>
    <s v="vngwira@lighthouse.org.mw"/>
    <s v="Vincent Ngwira"/>
    <x v="11"/>
    <s v="COE"/>
    <x v="1"/>
    <s v="COP_24"/>
    <x v="0"/>
    <x v="3"/>
    <s v="Quarter3"/>
    <x v="3"/>
    <x v="8"/>
    <d v="2024-06-01T00:00:00"/>
    <d v="2024-06-30T00:00:00"/>
    <x v="5"/>
    <n v="21"/>
    <n v="1"/>
    <n v="14"/>
    <n v="3"/>
    <n v="3"/>
    <n v="1"/>
    <n v="19"/>
    <n v="8"/>
    <n v="11"/>
    <n v="1"/>
    <n v="1"/>
    <n v="1"/>
    <n v="0"/>
    <n v="0"/>
    <n v="0"/>
    <n v="0"/>
    <n v="0"/>
    <n v="0"/>
    <n v="11"/>
    <n v="0"/>
    <n v="0"/>
    <n v="1"/>
    <n v="0"/>
    <n v="0"/>
  </r>
  <r>
    <n v="759"/>
    <d v="2024-08-14T12:42:01"/>
    <d v="2024-08-14T12:44:32"/>
    <s v="vngwira@lighthouse.org.mw"/>
    <s v="Vincent Ngwira"/>
    <x v="11"/>
    <s v="COE"/>
    <x v="1"/>
    <s v="COP_23"/>
    <x v="0"/>
    <x v="1"/>
    <s v="Quarter4"/>
    <x v="1"/>
    <x v="9"/>
    <d v="2024-07-01T00:00:00"/>
    <d v="2024-07-31T00:00:00"/>
    <x v="4"/>
    <n v="2"/>
    <n v="2"/>
    <n v="2"/>
    <n v="0"/>
    <n v="0"/>
    <n v="0"/>
    <n v="2"/>
    <n v="1"/>
    <n v="1"/>
    <n v="0"/>
    <n v="0"/>
    <n v="0"/>
    <n v="0"/>
    <n v="0"/>
    <n v="0"/>
    <n v="0"/>
    <n v="0"/>
    <n v="0"/>
    <n v="0"/>
    <n v="0"/>
    <n v="0"/>
    <n v="0"/>
    <n v="0"/>
    <n v="0"/>
  </r>
  <r>
    <n v="760"/>
    <d v="2024-08-14T12:44:37"/>
    <d v="2024-08-14T12:47:30"/>
    <s v="vngwira@lighthouse.org.mw"/>
    <s v="Vincent Ngwira"/>
    <x v="11"/>
    <s v="COE"/>
    <x v="1"/>
    <s v="COP_23"/>
    <x v="0"/>
    <x v="1"/>
    <s v="Quarter4"/>
    <x v="1"/>
    <x v="9"/>
    <d v="2024-07-01T00:00:00"/>
    <d v="2024-07-31T00:00:00"/>
    <x v="3"/>
    <n v="2"/>
    <n v="1"/>
    <n v="0"/>
    <n v="1"/>
    <n v="0"/>
    <n v="1"/>
    <n v="1"/>
    <n v="0"/>
    <n v="1"/>
    <n v="0"/>
    <n v="0"/>
    <n v="0"/>
    <n v="0"/>
    <n v="0"/>
    <n v="0"/>
    <n v="0"/>
    <n v="0"/>
    <n v="0"/>
    <n v="0"/>
    <n v="0"/>
    <n v="0"/>
    <n v="0"/>
    <n v="0"/>
    <n v="0"/>
  </r>
  <r>
    <n v="761"/>
    <d v="2024-08-14T12:47:34"/>
    <d v="2024-08-14T12:49:34"/>
    <s v="vngwira@lighthouse.org.mw"/>
    <s v="Vincent Ngwira"/>
    <x v="11"/>
    <s v="COE"/>
    <x v="1"/>
    <s v="COP_23"/>
    <x v="0"/>
    <x v="1"/>
    <s v="Quarter4"/>
    <x v="1"/>
    <x v="9"/>
    <d v="2024-07-01T00:00:00"/>
    <d v="2024-07-31T00:00:00"/>
    <x v="5"/>
    <n v="19"/>
    <n v="19"/>
    <n v="17"/>
    <n v="1"/>
    <n v="1"/>
    <n v="0"/>
    <n v="19"/>
    <n v="5"/>
    <n v="5"/>
    <n v="0"/>
    <n v="0"/>
    <n v="0"/>
    <n v="0"/>
    <n v="0"/>
    <n v="0"/>
    <n v="0"/>
    <n v="0"/>
    <n v="0"/>
    <n v="4"/>
    <n v="0"/>
    <n v="0"/>
    <n v="0"/>
    <n v="0"/>
    <n v="0"/>
  </r>
  <r>
    <n v="783"/>
    <d v="2024-08-20T10:15:25"/>
    <d v="2024-08-20T10:19:37"/>
    <s v="vngwira@lighthouse.org.mw"/>
    <s v="Vincent Ngwira"/>
    <x v="11"/>
    <s v="COE"/>
    <x v="1"/>
    <s v="COP_23"/>
    <x v="0"/>
    <x v="1"/>
    <s v="Quarter4"/>
    <x v="1"/>
    <x v="9"/>
    <d v="2024-07-01T00:00:00"/>
    <d v="2024-07-31T00:00:00"/>
    <x v="6"/>
    <n v="45"/>
    <n v="43"/>
    <n v="3"/>
    <n v="0"/>
    <n v="32"/>
    <n v="10"/>
    <n v="42"/>
    <n v="18"/>
    <n v="45"/>
    <n v="1"/>
    <n v="3"/>
    <n v="1"/>
    <n v="0"/>
    <n v="0"/>
    <n v="1"/>
    <n v="1"/>
    <n v="3"/>
    <n v="1"/>
    <n v="24"/>
    <n v="8"/>
    <n v="9"/>
    <n v="1"/>
    <n v="2"/>
    <n v="1"/>
  </r>
  <r>
    <n v="784"/>
    <d v="2024-08-20T10:19:41"/>
    <d v="2024-08-20T10:24:06"/>
    <s v="vngwira@lighthouse.org.mw"/>
    <s v="Vincent Ngwira"/>
    <x v="11"/>
    <s v="COE"/>
    <x v="1"/>
    <s v="COP_23"/>
    <x v="0"/>
    <x v="1"/>
    <s v="Quarter4"/>
    <x v="1"/>
    <x v="9"/>
    <d v="2024-07-01T00:00:00"/>
    <d v="2024-07-31T00:00:00"/>
    <x v="0"/>
    <n v="131"/>
    <n v="54"/>
    <n v="52"/>
    <n v="5"/>
    <n v="56"/>
    <n v="18"/>
    <n v="126"/>
    <n v="40"/>
    <n v="84"/>
    <n v="1"/>
    <n v="3"/>
    <n v="1"/>
    <n v="0"/>
    <n v="0"/>
    <n v="4"/>
    <n v="1"/>
    <n v="5"/>
    <n v="1"/>
    <n v="46"/>
    <n v="11"/>
    <n v="12"/>
    <n v="1"/>
    <n v="2"/>
    <n v="1"/>
  </r>
  <r>
    <n v="805"/>
    <d v="2024-09-16T08:50:56"/>
    <d v="2024-09-16T08:55:52"/>
    <s v="vngwira@lighthouse.org.mw"/>
    <s v="Vincent Ngwira"/>
    <x v="11"/>
    <s v="COE"/>
    <x v="1"/>
    <s v="COP_23"/>
    <x v="0"/>
    <x v="1"/>
    <s v="Quarter4"/>
    <x v="1"/>
    <x v="10"/>
    <d v="2024-08-01T00:00:00"/>
    <d v="2024-08-31T00:00:00"/>
    <x v="0"/>
    <n v="185"/>
    <n v="85"/>
    <n v="65"/>
    <n v="2"/>
    <n v="74"/>
    <n v="44"/>
    <n v="159"/>
    <n v="58"/>
    <n v="147"/>
    <n v="9"/>
    <n v="6"/>
    <n v="0"/>
    <n v="52"/>
    <n v="1"/>
    <n v="8"/>
    <n v="0"/>
    <n v="0"/>
    <n v="0"/>
    <n v="90"/>
    <n v="22"/>
    <n v="19"/>
    <n v="1"/>
    <n v="2"/>
    <n v="0"/>
  </r>
  <r>
    <n v="806"/>
    <d v="2024-09-16T08:56:21"/>
    <d v="2024-09-16T08:58:37"/>
    <s v="vngwira@lighthouse.org.mw"/>
    <s v="Vincent Ngwira"/>
    <x v="11"/>
    <s v="COE"/>
    <x v="1"/>
    <s v="COP_23"/>
    <x v="0"/>
    <x v="1"/>
    <s v="Quarter4"/>
    <x v="1"/>
    <x v="10"/>
    <d v="2024-08-01T00:00:00"/>
    <d v="2024-08-31T00:00:00"/>
    <x v="5"/>
    <n v="41"/>
    <n v="1"/>
    <n v="39"/>
    <n v="0"/>
    <n v="1"/>
    <n v="1"/>
    <n v="32"/>
    <n v="13"/>
    <n v="29"/>
    <n v="2"/>
    <n v="2"/>
    <n v="0"/>
    <n v="13"/>
    <n v="0"/>
    <n v="3"/>
    <n v="0"/>
    <n v="0"/>
    <n v="0"/>
    <n v="13"/>
    <n v="0"/>
    <n v="0"/>
    <n v="0"/>
    <n v="2"/>
    <n v="0"/>
  </r>
  <r>
    <n v="807"/>
    <d v="2024-09-16T08:58:39"/>
    <d v="2024-09-16T09:02:18"/>
    <s v="vngwira@lighthouse.org.mw"/>
    <s v="Vincent Ngwira"/>
    <x v="11"/>
    <s v="COE"/>
    <x v="1"/>
    <s v="COP_23"/>
    <x v="0"/>
    <x v="1"/>
    <s v="Quarter4"/>
    <x v="1"/>
    <x v="10"/>
    <d v="2024-08-01T00:00:00"/>
    <d v="2024-08-31T00:00:00"/>
    <x v="3"/>
    <n v="5"/>
    <n v="0"/>
    <n v="5"/>
    <n v="0"/>
    <n v="0"/>
    <n v="0"/>
    <n v="0"/>
    <n v="0"/>
    <n v="5"/>
    <n v="0"/>
    <n v="0"/>
    <n v="0"/>
    <n v="1"/>
    <n v="0"/>
    <n v="0"/>
    <n v="0"/>
    <n v="0"/>
    <n v="0"/>
    <n v="2"/>
    <n v="0"/>
    <n v="0"/>
    <n v="0"/>
    <n v="0"/>
    <n v="0"/>
  </r>
  <r>
    <n v="808"/>
    <d v="2024-09-16T09:02:26"/>
    <d v="2024-09-16T09:04:39"/>
    <s v="vngwira@lighthouse.org.mw"/>
    <s v="Vincent Ngwira"/>
    <x v="11"/>
    <s v="COE"/>
    <x v="1"/>
    <s v="COP_23"/>
    <x v="0"/>
    <x v="1"/>
    <s v="Quarter4"/>
    <x v="1"/>
    <x v="10"/>
    <d v="2024-08-01T00:00:00"/>
    <d v="2024-08-31T00:00:00"/>
    <x v="4"/>
    <n v="5"/>
    <n v="0"/>
    <n v="5"/>
    <n v="0"/>
    <n v="0"/>
    <n v="0"/>
    <n v="4"/>
    <n v="2"/>
    <n v="5"/>
    <n v="0"/>
    <n v="0"/>
    <n v="0"/>
    <n v="4"/>
    <n v="0"/>
    <n v="1"/>
    <n v="0"/>
    <n v="0"/>
    <n v="0"/>
    <n v="2"/>
    <n v="0"/>
    <n v="0"/>
    <n v="0"/>
    <n v="0"/>
    <n v="0"/>
  </r>
  <r>
    <n v="810"/>
    <d v="2024-09-16T09:07:47"/>
    <d v="2024-09-16T09:12:03"/>
    <s v="vngwira@lighthouse.org.mw"/>
    <s v="Vincent Ngwira"/>
    <x v="11"/>
    <s v="COE"/>
    <x v="1"/>
    <s v="COP_23"/>
    <x v="0"/>
    <x v="1"/>
    <s v="Quarter4"/>
    <x v="1"/>
    <x v="10"/>
    <d v="2024-08-01T00:00:00"/>
    <d v="2024-08-31T00:00:00"/>
    <x v="6"/>
    <n v="68"/>
    <n v="63"/>
    <n v="2"/>
    <n v="0"/>
    <n v="44"/>
    <n v="22"/>
    <n v="62"/>
    <n v="26"/>
    <n v="66"/>
    <n v="4"/>
    <n v="4"/>
    <n v="0"/>
    <n v="18"/>
    <n v="1"/>
    <n v="0"/>
    <n v="0"/>
    <n v="8"/>
    <n v="4"/>
    <n v="48"/>
    <n v="18"/>
    <n v="15"/>
    <n v="1"/>
    <n v="0"/>
    <n v="0"/>
  </r>
  <r>
    <n v="68"/>
    <d v="2024-01-11T09:45:39"/>
    <d v="2024-01-11T09:47:44"/>
    <s v="vngwira@lighthouse.org.mw"/>
    <s v="Vincent Ngwira"/>
    <x v="11"/>
    <s v="COE"/>
    <x v="0"/>
    <s v="COP_23"/>
    <x v="0"/>
    <x v="0"/>
    <s v="Quarter1"/>
    <x v="0"/>
    <x v="0"/>
    <d v="2023-10-01T00:00:00"/>
    <d v="2023-10-31T00:00:00"/>
    <x v="2"/>
    <n v="20"/>
    <n v="15"/>
    <n v="14"/>
    <n v="0"/>
    <n v="6"/>
    <n v="0"/>
    <n v="20"/>
    <n v="6"/>
    <n v="10"/>
    <n v="0"/>
    <n v="0"/>
    <n v="0"/>
    <n v="5"/>
    <n v="1"/>
    <n v="2"/>
    <n v="0"/>
    <n v="2"/>
    <n v="0"/>
    <n v="3"/>
    <n v="0"/>
    <n v="1"/>
    <n v="0"/>
    <n v="0"/>
    <n v="0"/>
  </r>
  <r>
    <n v="72"/>
    <d v="2024-01-11T09:55:13"/>
    <d v="2024-01-11T09:58:03"/>
    <s v="vngwira@lighthouse.org.mw"/>
    <s v="Vincent Ngwira"/>
    <x v="11"/>
    <s v="COE"/>
    <x v="0"/>
    <s v="COP_23"/>
    <x v="0"/>
    <x v="0"/>
    <s v="Quarter1"/>
    <x v="0"/>
    <x v="1"/>
    <d v="2023-11-01T00:00:00"/>
    <d v="2023-11-30T00:00:00"/>
    <x v="2"/>
    <n v="16"/>
    <n v="1"/>
    <n v="12"/>
    <n v="0"/>
    <n v="3"/>
    <n v="1"/>
    <n v="16"/>
    <n v="6"/>
    <n v="6"/>
    <n v="1"/>
    <n v="1"/>
    <n v="1"/>
    <n v="7"/>
    <n v="0"/>
    <n v="1"/>
    <n v="0"/>
    <n v="4"/>
    <n v="0"/>
    <n v="5"/>
    <n v="0"/>
    <n v="0"/>
    <n v="1"/>
    <n v="0"/>
    <n v="0"/>
  </r>
  <r>
    <n v="75"/>
    <d v="2024-01-11T10:05:26"/>
    <d v="2024-01-11T10:05:54"/>
    <s v="vngwira@lighthouse.org.mw"/>
    <s v="Vincent Ngwira"/>
    <x v="11"/>
    <s v="COE"/>
    <x v="0"/>
    <s v="COP_23"/>
    <x v="0"/>
    <x v="0"/>
    <s v="Quarter1"/>
    <x v="0"/>
    <x v="11"/>
    <d v="2023-12-01T00:00:00"/>
    <d v="2023-12-31T00:00:00"/>
    <x v="2"/>
    <n v="25"/>
    <n v="8"/>
    <n v="13"/>
    <n v="0"/>
    <n v="5"/>
    <n v="7"/>
    <n v="25"/>
    <n v="8"/>
    <n v="13"/>
    <n v="0"/>
    <n v="1"/>
    <n v="0"/>
    <n v="11"/>
    <n v="0"/>
    <n v="3"/>
    <n v="0"/>
    <n v="2"/>
    <n v="2"/>
    <n v="4"/>
    <n v="0"/>
    <n v="1"/>
    <n v="0"/>
    <n v="0"/>
    <n v="0"/>
  </r>
  <r>
    <n v="143"/>
    <d v="2024-02-06T09:44:31"/>
    <d v="2024-02-06T09:47:27"/>
    <s v="vngwira@lighthouse.org.mw"/>
    <s v="Vincent Ngwira"/>
    <x v="11"/>
    <s v="COE"/>
    <x v="1"/>
    <s v="COP_23"/>
    <x v="0"/>
    <x v="2"/>
    <s v="Quarter2"/>
    <x v="2"/>
    <x v="4"/>
    <d v="2024-01-01T00:00:00"/>
    <d v="2024-01-31T00:00:00"/>
    <x v="2"/>
    <n v="23"/>
    <n v="6"/>
    <n v="19"/>
    <n v="0"/>
    <n v="4"/>
    <n v="0"/>
    <n v="23"/>
    <n v="8"/>
    <n v="9"/>
    <n v="0"/>
    <n v="0"/>
    <n v="0"/>
    <n v="9"/>
    <n v="3"/>
    <n v="0"/>
    <n v="0"/>
    <n v="2"/>
    <n v="2"/>
    <n v="3"/>
    <n v="3"/>
    <n v="3"/>
    <n v="0"/>
    <n v="0"/>
    <n v="0"/>
  </r>
  <r>
    <n v="179"/>
    <d v="2024-03-20T08:14:11"/>
    <d v="2024-03-20T08:16:23"/>
    <s v="vngwira@lighthouse.org.mw"/>
    <s v="Vincent Ngwira"/>
    <x v="11"/>
    <s v="COE"/>
    <x v="1"/>
    <s v="COP_23"/>
    <x v="0"/>
    <x v="2"/>
    <s v="Quarter2"/>
    <x v="2"/>
    <x v="5"/>
    <d v="2024-02-01T00:00:00"/>
    <d v="2024-02-29T00:00:00"/>
    <x v="2"/>
    <n v="24"/>
    <n v="5"/>
    <n v="14"/>
    <n v="0"/>
    <n v="5"/>
    <n v="5"/>
    <n v="22"/>
    <n v="7"/>
    <n v="11"/>
    <n v="0"/>
    <n v="0"/>
    <n v="0"/>
    <n v="10"/>
    <n v="2"/>
    <n v="1"/>
    <n v="0"/>
    <n v="2"/>
    <n v="1"/>
    <n v="5"/>
    <n v="1"/>
    <n v="2"/>
    <n v="0"/>
    <n v="0"/>
    <n v="0"/>
  </r>
  <r>
    <n v="89"/>
    <d v="2024-01-16T15:32:12"/>
    <d v="2024-01-16T15:36:51"/>
    <s v="vngwira@lighthouse.org.mw"/>
    <s v="Vincent Ngwira"/>
    <x v="11"/>
    <s v="COE"/>
    <x v="0"/>
    <s v="COP_23"/>
    <x v="0"/>
    <x v="0"/>
    <s v="Quarter1"/>
    <x v="0"/>
    <x v="0"/>
    <d v="2023-10-01T00:00:00"/>
    <d v="2023-10-31T00:00:00"/>
    <x v="1"/>
    <n v="54"/>
    <n v="13"/>
    <n v="32"/>
    <n v="0"/>
    <n v="16"/>
    <n v="6"/>
    <n v="54"/>
    <n v="23"/>
    <n v="29"/>
    <n v="2"/>
    <n v="2"/>
    <n v="1"/>
    <n v="20"/>
    <n v="4"/>
    <n v="12"/>
    <n v="0"/>
    <n v="13"/>
    <n v="3"/>
    <n v="17"/>
    <n v="3"/>
    <n v="5"/>
    <n v="1"/>
    <n v="0"/>
    <n v="0"/>
  </r>
  <r>
    <n v="241"/>
    <d v="2024-04-12T09:22:58"/>
    <d v="2024-04-12T09:24:33"/>
    <s v="vngwira@lighthouse.org.mw"/>
    <s v="Vincent Ngwira"/>
    <x v="11"/>
    <s v="COE"/>
    <x v="1"/>
    <s v="COP_23"/>
    <x v="0"/>
    <x v="2"/>
    <s v="Quarter2"/>
    <x v="2"/>
    <x v="3"/>
    <d v="2024-03-01T00:00:00"/>
    <d v="2024-03-31T00:00:00"/>
    <x v="2"/>
    <n v="35"/>
    <n v="8"/>
    <n v="24"/>
    <n v="0"/>
    <n v="7"/>
    <n v="4"/>
    <n v="35"/>
    <n v="7"/>
    <n v="11"/>
    <n v="0"/>
    <n v="0"/>
    <n v="0"/>
    <n v="11"/>
    <n v="3"/>
    <n v="0"/>
    <n v="0"/>
    <n v="0"/>
    <n v="0"/>
    <n v="0"/>
    <n v="0"/>
    <n v="3"/>
    <n v="0"/>
    <n v="0"/>
    <n v="0"/>
  </r>
  <r>
    <n v="450"/>
    <d v="2024-05-21T13:16:18"/>
    <d v="2024-05-21T13:20:05"/>
    <s v="vngwira@lighthouse.org.mw"/>
    <s v="Vincent Ngwira"/>
    <x v="11"/>
    <s v="COE"/>
    <x v="1"/>
    <s v="COP_24"/>
    <x v="0"/>
    <x v="3"/>
    <s v="Quarter3"/>
    <x v="3"/>
    <x v="7"/>
    <d v="2024-04-01T00:00:00"/>
    <d v="2024-04-30T00:00:00"/>
    <x v="2"/>
    <n v="18"/>
    <n v="4"/>
    <n v="11"/>
    <n v="1"/>
    <n v="6"/>
    <n v="0"/>
    <n v="18"/>
    <n v="6"/>
    <n v="8"/>
    <n v="0"/>
    <n v="0"/>
    <n v="0"/>
    <n v="0"/>
    <n v="0"/>
    <n v="0"/>
    <n v="0"/>
    <n v="0"/>
    <n v="0"/>
    <n v="7"/>
    <n v="6"/>
    <n v="0"/>
    <n v="0"/>
    <n v="0"/>
    <n v="0"/>
  </r>
  <r>
    <n v="90"/>
    <d v="2024-01-16T15:36:54"/>
    <d v="2024-01-16T15:39:11"/>
    <s v="vngwira@lighthouse.org.mw"/>
    <s v="Vincent Ngwira"/>
    <x v="11"/>
    <s v="COE"/>
    <x v="0"/>
    <s v="COP_23"/>
    <x v="0"/>
    <x v="0"/>
    <s v="Quarter1"/>
    <x v="0"/>
    <x v="1"/>
    <d v="2023-11-01T00:00:00"/>
    <d v="2023-11-30T00:00:00"/>
    <x v="1"/>
    <n v="32"/>
    <n v="6"/>
    <n v="19"/>
    <n v="3"/>
    <n v="4"/>
    <n v="6"/>
    <n v="32"/>
    <n v="12"/>
    <n v="19"/>
    <n v="2"/>
    <n v="3"/>
    <n v="1"/>
    <n v="18"/>
    <n v="0"/>
    <n v="2"/>
    <n v="0"/>
    <n v="8"/>
    <n v="0"/>
    <n v="11"/>
    <n v="1"/>
    <n v="1"/>
    <n v="0"/>
    <n v="0"/>
    <n v="0"/>
  </r>
  <r>
    <n v="91"/>
    <d v="2024-01-16T15:39:14"/>
    <d v="2024-01-16T15:42:09"/>
    <s v="vngwira@lighthouse.org.mw"/>
    <s v="Vincent Ngwira"/>
    <x v="11"/>
    <s v="COE"/>
    <x v="0"/>
    <s v="COP_23"/>
    <x v="0"/>
    <x v="0"/>
    <s v="Quarter1"/>
    <x v="0"/>
    <x v="11"/>
    <d v="2023-12-01T00:00:00"/>
    <d v="2023-12-31T00:00:00"/>
    <x v="1"/>
    <n v="40"/>
    <n v="12"/>
    <n v="19"/>
    <n v="0"/>
    <n v="13"/>
    <n v="8"/>
    <n v="40"/>
    <n v="23"/>
    <n v="27"/>
    <n v="1"/>
    <n v="1"/>
    <n v="1"/>
    <n v="23"/>
    <n v="4"/>
    <n v="6"/>
    <n v="0"/>
    <n v="9"/>
    <n v="5"/>
    <n v="12"/>
    <n v="3"/>
    <n v="14"/>
    <n v="1"/>
    <n v="0"/>
    <n v="1"/>
  </r>
  <r>
    <n v="144"/>
    <d v="2024-02-06T14:59:12"/>
    <d v="2024-02-06T15:02:26"/>
    <s v="vngwira@lighthouse.org.mw"/>
    <s v="Vincent Ngwira"/>
    <x v="11"/>
    <s v="COE"/>
    <x v="1"/>
    <s v="COP_23"/>
    <x v="0"/>
    <x v="2"/>
    <s v="Quarter2"/>
    <x v="2"/>
    <x v="4"/>
    <d v="2024-01-01T00:00:00"/>
    <d v="2024-01-31T00:00:00"/>
    <x v="1"/>
    <n v="57"/>
    <n v="15"/>
    <n v="37"/>
    <n v="0"/>
    <n v="10"/>
    <n v="10"/>
    <n v="54"/>
    <n v="28"/>
    <n v="34"/>
    <n v="1"/>
    <n v="1"/>
    <n v="1"/>
    <n v="33"/>
    <n v="3"/>
    <n v="0"/>
    <n v="0"/>
    <n v="3"/>
    <n v="1"/>
    <n v="7"/>
    <n v="3"/>
    <n v="8"/>
    <n v="1"/>
    <n v="0"/>
    <n v="1"/>
  </r>
  <r>
    <n v="519"/>
    <d v="2024-06-07T10:56:05"/>
    <d v="2024-06-07T10:58:05"/>
    <s v="vngwira@lighthouse.org.mw"/>
    <s v="Vincent Ngwira"/>
    <x v="11"/>
    <s v="COE"/>
    <x v="1"/>
    <s v="COP_24"/>
    <x v="0"/>
    <x v="3"/>
    <s v="Quarter3"/>
    <x v="3"/>
    <x v="6"/>
    <d v="2024-05-01T00:00:00"/>
    <d v="2024-05-31T00:00:00"/>
    <x v="2"/>
    <n v="33"/>
    <n v="7"/>
    <n v="16"/>
    <n v="4"/>
    <n v="11"/>
    <n v="2"/>
    <n v="31"/>
    <n v="11"/>
    <n v="17"/>
    <n v="0"/>
    <n v="0"/>
    <n v="0"/>
    <n v="0"/>
    <n v="0"/>
    <n v="1"/>
    <n v="0"/>
    <n v="2"/>
    <n v="1"/>
    <n v="9"/>
    <n v="7"/>
    <n v="2"/>
    <n v="0"/>
    <n v="0"/>
    <n v="0"/>
  </r>
  <r>
    <n v="175"/>
    <d v="2024-03-20T07:58:17"/>
    <d v="2024-03-20T08:03:38"/>
    <s v="vngwira@lighthouse.org.mw"/>
    <s v="Vincent Ngwira"/>
    <x v="11"/>
    <s v="COE"/>
    <x v="1"/>
    <s v="COP_23"/>
    <x v="0"/>
    <x v="2"/>
    <s v="Quarter2"/>
    <x v="2"/>
    <x v="5"/>
    <d v="2024-02-01T00:00:00"/>
    <d v="2024-02-29T00:00:00"/>
    <x v="1"/>
    <n v="51"/>
    <n v="15"/>
    <n v="29"/>
    <n v="1"/>
    <n v="15"/>
    <n v="6"/>
    <n v="49"/>
    <n v="19"/>
    <n v="32"/>
    <n v="2"/>
    <n v="2"/>
    <n v="1"/>
    <n v="32"/>
    <n v="6"/>
    <n v="1"/>
    <n v="0"/>
    <n v="2"/>
    <n v="1"/>
    <n v="11"/>
    <n v="9"/>
    <n v="6"/>
    <n v="0"/>
    <n v="1"/>
    <n v="1"/>
  </r>
  <r>
    <n v="240"/>
    <d v="2024-04-12T09:20:25"/>
    <d v="2024-04-12T09:22:44"/>
    <s v="vngwira@lighthouse.org.mw"/>
    <s v="Vincent Ngwira"/>
    <x v="11"/>
    <s v="COE"/>
    <x v="1"/>
    <s v="COP_23"/>
    <x v="0"/>
    <x v="2"/>
    <s v="Quarter2"/>
    <x v="2"/>
    <x v="3"/>
    <d v="2024-03-01T00:00:00"/>
    <d v="2024-03-31T00:00:00"/>
    <x v="1"/>
    <n v="37"/>
    <n v="7"/>
    <n v="19"/>
    <n v="5"/>
    <n v="12"/>
    <n v="1"/>
    <n v="37"/>
    <n v="17"/>
    <n v="21"/>
    <n v="0"/>
    <n v="1"/>
    <n v="1"/>
    <n v="20"/>
    <n v="5"/>
    <n v="0"/>
    <n v="0"/>
    <n v="3"/>
    <n v="1"/>
    <n v="6"/>
    <n v="6"/>
    <n v="5"/>
    <n v="0"/>
    <n v="0"/>
    <n v="0"/>
  </r>
  <r>
    <n v="657"/>
    <d v="2024-07-26T20:08:45"/>
    <d v="2024-07-26T20:24:50"/>
    <s v="vngwira@lighthouse.org.mw"/>
    <s v="Vincent Ngwira"/>
    <x v="11"/>
    <s v="COE"/>
    <x v="1"/>
    <s v="COP_24"/>
    <x v="0"/>
    <x v="3"/>
    <s v="Quarter3"/>
    <x v="3"/>
    <x v="8"/>
    <d v="2024-06-01T00:00:00"/>
    <d v="2024-06-30T00:00:00"/>
    <x v="2"/>
    <n v="23"/>
    <n v="0"/>
    <n v="21"/>
    <n v="0"/>
    <n v="0"/>
    <n v="2"/>
    <n v="23"/>
    <n v="7"/>
    <n v="7"/>
    <n v="1"/>
    <n v="1"/>
    <n v="1"/>
    <n v="0"/>
    <n v="0"/>
    <n v="0"/>
    <n v="0"/>
    <n v="0"/>
    <n v="0"/>
    <n v="7"/>
    <n v="6"/>
    <n v="1"/>
    <n v="1"/>
    <n v="0"/>
    <n v="0"/>
  </r>
  <r>
    <n v="782"/>
    <d v="2024-08-20T10:11:57"/>
    <d v="2024-08-20T10:15:08"/>
    <s v="vngwira@lighthouse.org.mw"/>
    <s v="Vincent Ngwira"/>
    <x v="11"/>
    <s v="COE"/>
    <x v="1"/>
    <s v="COP_23"/>
    <x v="0"/>
    <x v="1"/>
    <s v="Quarter4"/>
    <x v="1"/>
    <x v="9"/>
    <d v="2024-07-01T00:00:00"/>
    <d v="2024-07-31T00:00:00"/>
    <x v="2"/>
    <n v="29"/>
    <n v="4"/>
    <n v="23"/>
    <n v="0"/>
    <n v="4"/>
    <n v="2"/>
    <n v="29"/>
    <n v="8"/>
    <n v="12"/>
    <n v="0"/>
    <n v="0"/>
    <n v="0"/>
    <n v="0"/>
    <n v="0"/>
    <n v="1"/>
    <n v="1"/>
    <n v="1"/>
    <n v="0"/>
    <n v="7"/>
    <n v="1"/>
    <n v="1"/>
    <n v="0"/>
    <n v="0"/>
    <n v="0"/>
  </r>
  <r>
    <n v="452"/>
    <d v="2024-05-21T13:37:19"/>
    <d v="2024-05-21T13:43:29"/>
    <s v="vngwira@lighthouse.org.mw"/>
    <s v="Vincent Ngwira"/>
    <x v="11"/>
    <s v="COE"/>
    <x v="1"/>
    <s v="COP_24"/>
    <x v="0"/>
    <x v="3"/>
    <s v="Quarter3"/>
    <x v="3"/>
    <x v="7"/>
    <d v="2024-04-01T00:00:00"/>
    <d v="2024-04-30T00:00:00"/>
    <x v="1"/>
    <n v="54"/>
    <n v="14"/>
    <n v="31"/>
    <n v="1"/>
    <n v="14"/>
    <n v="8"/>
    <n v="53"/>
    <n v="27"/>
    <n v="33"/>
    <n v="0"/>
    <n v="0"/>
    <n v="0"/>
    <n v="15"/>
    <n v="3"/>
    <n v="3"/>
    <n v="0"/>
    <n v="2"/>
    <n v="1"/>
    <n v="16"/>
    <n v="0"/>
    <n v="3"/>
    <n v="0"/>
    <n v="0"/>
    <n v="1"/>
  </r>
  <r>
    <n v="653"/>
    <d v="2024-07-26T19:55:39"/>
    <d v="2024-07-26T19:56:06"/>
    <s v="vngwira@lighthouse.org.mw"/>
    <s v="Vincent Ngwira"/>
    <x v="11"/>
    <s v="COE"/>
    <x v="1"/>
    <s v="COP_24"/>
    <x v="0"/>
    <x v="3"/>
    <s v="Quarter3"/>
    <x v="3"/>
    <x v="6"/>
    <d v="2024-05-01T00:00:00"/>
    <d v="2024-05-31T00:00:00"/>
    <x v="1"/>
    <n v="46"/>
    <n v="8"/>
    <n v="14"/>
    <n v="7"/>
    <n v="19"/>
    <n v="6"/>
    <n v="46"/>
    <n v="28"/>
    <n v="42"/>
    <n v="1"/>
    <n v="1"/>
    <n v="1"/>
    <n v="0"/>
    <n v="0"/>
    <n v="5"/>
    <n v="0"/>
    <n v="1"/>
    <n v="1"/>
    <n v="24"/>
    <n v="1"/>
    <n v="1"/>
    <n v="1"/>
    <n v="0"/>
    <n v="1"/>
  </r>
  <r>
    <n v="811"/>
    <d v="2024-09-16T09:12:05"/>
    <d v="2024-09-16T09:14:32"/>
    <s v="vngwira@lighthouse.org.mw"/>
    <s v="Vincent Ngwira"/>
    <x v="11"/>
    <s v="COE"/>
    <x v="1"/>
    <s v="COP_23"/>
    <x v="0"/>
    <x v="1"/>
    <s v="Quarter4"/>
    <x v="1"/>
    <x v="10"/>
    <d v="2024-08-01T00:00:00"/>
    <d v="2024-08-31T00:00:00"/>
    <x v="2"/>
    <n v="28"/>
    <n v="7"/>
    <n v="19"/>
    <n v="0"/>
    <n v="4"/>
    <n v="5"/>
    <n v="26"/>
    <n v="9"/>
    <n v="16"/>
    <n v="1"/>
    <n v="1"/>
    <n v="0"/>
    <n v="6"/>
    <n v="1"/>
    <n v="0"/>
    <n v="0"/>
    <n v="1"/>
    <n v="0"/>
    <n v="12"/>
    <n v="5"/>
    <n v="3"/>
    <n v="0"/>
    <n v="0"/>
    <n v="0"/>
  </r>
  <r>
    <n v="959"/>
    <d v="2024-10-18T12:41:21"/>
    <d v="2024-10-18T12:45:14"/>
    <s v="vngwira@lighthouse.org.mw"/>
    <s v="Vincent Ngwira"/>
    <x v="11"/>
    <s v="COE"/>
    <x v="1"/>
    <s v="COP_23"/>
    <x v="0"/>
    <x v="1"/>
    <s v="Quarter4"/>
    <x v="1"/>
    <x v="2"/>
    <d v="2024-09-01T00:00:00"/>
    <d v="2024-09-30T00:00:00"/>
    <x v="2"/>
    <n v="28"/>
    <n v="4"/>
    <n v="23"/>
    <n v="0"/>
    <n v="2"/>
    <n v="3"/>
    <n v="28"/>
    <n v="6"/>
    <n v="7"/>
    <n v="0"/>
    <n v="1"/>
    <n v="0"/>
    <n v="7"/>
    <n v="1"/>
    <n v="0"/>
    <n v="0"/>
    <n v="2"/>
    <n v="1"/>
    <n v="4"/>
    <n v="2"/>
    <n v="3"/>
    <n v="0"/>
    <n v="0"/>
    <n v="0"/>
  </r>
  <r>
    <n v="658"/>
    <d v="2024-07-26T20:24:56"/>
    <d v="2024-07-26T20:30:18"/>
    <s v="vngwira@lighthouse.org.mw"/>
    <s v="Vincent Ngwira"/>
    <x v="11"/>
    <s v="COE"/>
    <x v="1"/>
    <s v="COP_24"/>
    <x v="0"/>
    <x v="3"/>
    <s v="Quarter3"/>
    <x v="3"/>
    <x v="8"/>
    <d v="2024-06-01T00:00:00"/>
    <d v="2024-06-30T00:00:00"/>
    <x v="1"/>
    <n v="39"/>
    <n v="5"/>
    <n v="32"/>
    <n v="1"/>
    <n v="4"/>
    <n v="2"/>
    <n v="36"/>
    <n v="11"/>
    <n v="15"/>
    <n v="0"/>
    <n v="0"/>
    <n v="0"/>
    <n v="0"/>
    <n v="0"/>
    <n v="1"/>
    <n v="1"/>
    <n v="2"/>
    <n v="1"/>
    <n v="15"/>
    <n v="14"/>
    <n v="3"/>
    <n v="0"/>
    <n v="0"/>
    <n v="0"/>
  </r>
  <r>
    <n v="1071"/>
    <d v="2024-11-15T10:39:59"/>
    <d v="2024-11-15T10:42:04"/>
    <s v="vngwira@lighthouse.org.mw"/>
    <s v="Vincent Ngwira"/>
    <x v="11"/>
    <s v="COE"/>
    <x v="1"/>
    <s v="COP_24"/>
    <x v="2"/>
    <x v="0"/>
    <s v="Quarter1"/>
    <x v="0"/>
    <x v="0"/>
    <d v="2024-10-01T00:00:00"/>
    <d v="2024-10-31T00:00:00"/>
    <x v="2"/>
    <n v="38"/>
    <n v="7"/>
    <n v="25"/>
    <n v="1"/>
    <n v="12"/>
    <n v="0"/>
    <n v="38"/>
    <n v="15"/>
    <n v="19"/>
    <n v="1"/>
    <n v="1"/>
    <n v="0"/>
    <n v="17"/>
    <n v="1"/>
    <n v="3"/>
    <n v="0"/>
    <n v="8"/>
    <n v="0"/>
    <n v="15"/>
    <n v="2"/>
    <n v="2"/>
    <n v="0"/>
    <n v="1"/>
    <n v="0"/>
  </r>
  <r>
    <n v="781"/>
    <d v="2024-08-20T10:10:23"/>
    <d v="2024-08-20T10:11:35"/>
    <s v="vngwira@lighthouse.org.mw"/>
    <s v="Vincent Ngwira"/>
    <x v="11"/>
    <s v="COE"/>
    <x v="1"/>
    <s v="COP_23"/>
    <x v="0"/>
    <x v="1"/>
    <s v="Quarter4"/>
    <x v="1"/>
    <x v="9"/>
    <d v="2024-07-01T00:00:00"/>
    <d v="2024-07-31T00:00:00"/>
    <x v="1"/>
    <n v="31"/>
    <n v="4"/>
    <n v="20"/>
    <n v="2"/>
    <n v="8"/>
    <n v="1"/>
    <n v="31"/>
    <n v="8"/>
    <n v="31"/>
    <n v="1"/>
    <n v="1"/>
    <n v="1"/>
    <n v="0"/>
    <n v="0"/>
    <n v="5"/>
    <n v="0"/>
    <n v="1"/>
    <n v="1"/>
    <n v="9"/>
    <n v="1"/>
    <n v="1"/>
    <n v="1"/>
    <n v="0"/>
    <n v="1"/>
  </r>
  <r>
    <n v="809"/>
    <d v="2024-09-16T09:04:41"/>
    <d v="2024-09-16T09:07:29"/>
    <s v="vngwira@lighthouse.org.mw"/>
    <s v="Vincent Ngwira"/>
    <x v="11"/>
    <s v="COE"/>
    <x v="1"/>
    <s v="COP_23"/>
    <x v="0"/>
    <x v="1"/>
    <s v="Quarter4"/>
    <x v="1"/>
    <x v="10"/>
    <d v="2024-08-01T00:00:00"/>
    <d v="2024-08-31T00:00:00"/>
    <x v="1"/>
    <n v="37"/>
    <n v="15"/>
    <n v="17"/>
    <n v="1"/>
    <n v="12"/>
    <n v="7"/>
    <n v="34"/>
    <n v="15"/>
    <n v="26"/>
    <n v="1"/>
    <n v="2"/>
    <n v="0"/>
    <n v="3"/>
    <n v="0"/>
    <n v="0"/>
    <n v="0"/>
    <n v="2"/>
    <n v="0"/>
    <n v="20"/>
    <n v="4"/>
    <n v="5"/>
    <n v="0"/>
    <n v="0"/>
    <n v="0"/>
  </r>
  <r>
    <n v="957"/>
    <d v="2024-10-18T12:34:09"/>
    <d v="2024-10-18T12:37:33"/>
    <s v="vngwira@lighthouse.org.mw"/>
    <s v="Vincent Ngwira"/>
    <x v="11"/>
    <s v="COE"/>
    <x v="1"/>
    <s v="COP_23"/>
    <x v="0"/>
    <x v="1"/>
    <s v="Quarter4"/>
    <x v="1"/>
    <x v="2"/>
    <d v="2024-09-01T00:00:00"/>
    <d v="2024-09-30T00:00:00"/>
    <x v="1"/>
    <n v="29"/>
    <n v="6"/>
    <n v="20"/>
    <n v="1"/>
    <n v="5"/>
    <n v="3"/>
    <n v="29"/>
    <n v="14"/>
    <n v="22"/>
    <n v="0"/>
    <n v="2"/>
    <n v="0"/>
    <n v="19"/>
    <n v="3"/>
    <n v="0"/>
    <n v="0"/>
    <n v="4"/>
    <n v="3"/>
    <n v="6"/>
    <n v="4"/>
    <n v="5"/>
    <n v="0"/>
    <n v="0"/>
    <n v="0"/>
  </r>
  <r>
    <n v="956"/>
    <d v="2024-10-18T12:30:45"/>
    <d v="2024-10-18T12:34:04"/>
    <s v="vngwira@lighthouse.org.mw"/>
    <s v="Vincent Ngwira"/>
    <x v="11"/>
    <s v="COE"/>
    <x v="1"/>
    <s v="COP_23"/>
    <x v="0"/>
    <x v="1"/>
    <s v="Quarter4"/>
    <x v="1"/>
    <x v="2"/>
    <d v="2024-09-01T00:00:00"/>
    <d v="2024-09-30T00:00:00"/>
    <x v="5"/>
    <n v="30"/>
    <n v="0"/>
    <n v="29"/>
    <n v="0"/>
    <n v="1"/>
    <n v="0"/>
    <n v="28"/>
    <n v="7"/>
    <n v="14"/>
    <n v="0"/>
    <n v="0"/>
    <n v="0"/>
    <n v="11"/>
    <n v="0"/>
    <n v="0"/>
    <n v="0"/>
    <n v="0"/>
    <n v="0"/>
    <n v="5"/>
    <n v="0"/>
    <n v="0"/>
    <n v="0"/>
    <n v="0"/>
    <n v="0"/>
  </r>
  <r>
    <n v="958"/>
    <d v="2024-10-18T12:37:37"/>
    <d v="2024-10-18T12:41:18"/>
    <s v="vngwira@lighthouse.org.mw"/>
    <s v="Vincent Ngwira"/>
    <x v="11"/>
    <s v="COE"/>
    <x v="1"/>
    <s v="COP_23"/>
    <x v="0"/>
    <x v="1"/>
    <s v="Quarter4"/>
    <x v="1"/>
    <x v="2"/>
    <d v="2024-09-01T00:00:00"/>
    <d v="2024-09-30T00:00:00"/>
    <x v="6"/>
    <n v="34"/>
    <n v="32"/>
    <n v="0"/>
    <n v="0"/>
    <n v="17"/>
    <n v="17"/>
    <n v="32"/>
    <n v="15"/>
    <n v="32"/>
    <n v="0"/>
    <n v="4"/>
    <n v="0"/>
    <n v="31"/>
    <n v="9"/>
    <n v="1"/>
    <n v="0"/>
    <n v="10"/>
    <n v="6"/>
    <n v="12"/>
    <n v="7"/>
    <n v="11"/>
    <n v="0"/>
    <n v="0"/>
    <n v="0"/>
  </r>
  <r>
    <n v="960"/>
    <d v="2024-10-18T12:45:17"/>
    <d v="2024-10-18T12:49:05"/>
    <s v="vngwira@lighthouse.org.mw"/>
    <s v="Vincent Ngwira"/>
    <x v="11"/>
    <s v="COE"/>
    <x v="1"/>
    <s v="COP_23"/>
    <x v="0"/>
    <x v="1"/>
    <s v="Quarter4"/>
    <x v="1"/>
    <x v="2"/>
    <d v="2024-09-01T00:00:00"/>
    <d v="2024-09-30T00:00:00"/>
    <x v="3"/>
    <n v="4"/>
    <n v="1"/>
    <n v="4"/>
    <n v="0"/>
    <n v="0"/>
    <n v="0"/>
    <n v="0"/>
    <n v="0"/>
    <n v="4"/>
    <n v="0"/>
    <n v="0"/>
    <n v="0"/>
    <n v="0"/>
    <n v="0"/>
    <n v="0"/>
    <n v="0"/>
    <n v="0"/>
    <n v="0"/>
    <n v="0"/>
    <n v="0"/>
    <n v="0"/>
    <n v="0"/>
    <n v="0"/>
    <n v="0"/>
  </r>
  <r>
    <n v="961"/>
    <d v="2024-10-18T12:49:08"/>
    <d v="2024-10-18T12:52:50"/>
    <s v="vngwira@lighthouse.org.mw"/>
    <s v="Vincent Ngwira"/>
    <x v="11"/>
    <s v="COE"/>
    <x v="1"/>
    <s v="COP_23"/>
    <x v="0"/>
    <x v="1"/>
    <s v="Quarter4"/>
    <x v="1"/>
    <x v="2"/>
    <d v="2024-09-01T00:00:00"/>
    <d v="2024-09-30T00:00:00"/>
    <x v="4"/>
    <n v="3"/>
    <n v="0"/>
    <n v="2"/>
    <n v="0"/>
    <n v="1"/>
    <n v="0"/>
    <n v="3"/>
    <n v="0"/>
    <n v="1"/>
    <n v="0"/>
    <n v="0"/>
    <n v="0"/>
    <n v="1"/>
    <n v="0"/>
    <n v="0"/>
    <n v="0"/>
    <n v="0"/>
    <n v="0"/>
    <n v="0"/>
    <n v="0"/>
    <n v="0"/>
    <n v="0"/>
    <n v="0"/>
    <n v="0"/>
  </r>
  <r>
    <n v="962"/>
    <d v="2024-10-18T12:54:20"/>
    <d v="2024-10-18T13:02:03"/>
    <s v="vngwira@lighthouse.org.mw"/>
    <s v="Vincent Ngwira"/>
    <x v="11"/>
    <s v="COE"/>
    <x v="1"/>
    <s v="COP_23"/>
    <x v="0"/>
    <x v="1"/>
    <s v="Quarter4"/>
    <x v="1"/>
    <x v="2"/>
    <d v="2024-09-01T00:00:00"/>
    <d v="2024-09-30T00:00:00"/>
    <x v="0"/>
    <n v="130"/>
    <n v="39"/>
    <n v="73"/>
    <n v="0"/>
    <n v="36"/>
    <n v="21"/>
    <n v="123"/>
    <n v="37"/>
    <n v="75"/>
    <n v="0"/>
    <n v="5"/>
    <n v="0"/>
    <n v="60"/>
    <n v="11"/>
    <n v="1"/>
    <n v="0"/>
    <n v="11"/>
    <n v="4"/>
    <n v="36"/>
    <n v="10"/>
    <n v="14"/>
    <n v="0"/>
    <n v="0"/>
    <n v="0"/>
  </r>
  <r>
    <n v="1067"/>
    <d v="2024-11-15T10:26:24"/>
    <d v="2024-11-15T10:30:29"/>
    <s v="vngwira@lighthouse.org.mw"/>
    <s v="Vincent Ngwira"/>
    <x v="11"/>
    <s v="COE"/>
    <x v="1"/>
    <s v="COP_24"/>
    <x v="2"/>
    <x v="0"/>
    <s v="Quarter1"/>
    <x v="0"/>
    <x v="0"/>
    <d v="2024-10-01T00:00:00"/>
    <d v="2024-10-31T00:00:00"/>
    <x v="0"/>
    <n v="181"/>
    <n v="68"/>
    <n v="74"/>
    <n v="2"/>
    <n v="90"/>
    <n v="15"/>
    <n v="181"/>
    <n v="61"/>
    <n v="130"/>
    <n v="3"/>
    <n v="7"/>
    <n v="3"/>
    <n v="129"/>
    <n v="14"/>
    <n v="9"/>
    <n v="1"/>
    <n v="27"/>
    <n v="4"/>
    <n v="75"/>
    <n v="9"/>
    <n v="19"/>
    <n v="3"/>
    <n v="1"/>
    <n v="0"/>
  </r>
  <r>
    <n v="1068"/>
    <d v="2024-11-15T10:30:55"/>
    <d v="2024-11-15T10:35:12"/>
    <s v="vngwira@lighthouse.org.mw"/>
    <s v="Vincent Ngwira"/>
    <x v="11"/>
    <s v="COE"/>
    <x v="1"/>
    <s v="COP_24"/>
    <x v="2"/>
    <x v="0"/>
    <s v="Quarter1"/>
    <x v="0"/>
    <x v="0"/>
    <d v="2024-10-01T00:00:00"/>
    <d v="2024-10-31T00:00:00"/>
    <x v="3"/>
    <n v="3"/>
    <n v="1"/>
    <n v="2"/>
    <n v="0"/>
    <n v="1"/>
    <n v="0"/>
    <n v="0"/>
    <n v="0"/>
    <n v="3"/>
    <n v="0"/>
    <n v="0"/>
    <n v="0"/>
    <n v="3"/>
    <n v="0"/>
    <n v="0"/>
    <n v="0"/>
    <n v="1"/>
    <n v="1"/>
    <n v="3"/>
    <n v="0"/>
    <n v="0"/>
    <n v="0"/>
    <n v="0"/>
    <n v="0"/>
  </r>
  <r>
    <n v="1069"/>
    <d v="2024-11-15T10:35:14"/>
    <d v="2024-11-15T10:36:54"/>
    <s v="vngwira@lighthouse.org.mw"/>
    <s v="Vincent Ngwira"/>
    <x v="11"/>
    <s v="COE"/>
    <x v="1"/>
    <s v="COP_24"/>
    <x v="2"/>
    <x v="0"/>
    <s v="Quarter1"/>
    <x v="0"/>
    <x v="0"/>
    <d v="2024-10-01T00:00:00"/>
    <d v="2024-10-31T00:00:00"/>
    <x v="4"/>
    <n v="6"/>
    <n v="1"/>
    <n v="2"/>
    <n v="0"/>
    <n v="3"/>
    <n v="1"/>
    <n v="6"/>
    <n v="2"/>
    <n v="5"/>
    <n v="0"/>
    <n v="0"/>
    <n v="0"/>
    <n v="5"/>
    <n v="1"/>
    <n v="0"/>
    <n v="0"/>
    <n v="0"/>
    <n v="0"/>
    <n v="5"/>
    <n v="1"/>
    <n v="2"/>
    <n v="0"/>
    <n v="0"/>
    <n v="0"/>
  </r>
  <r>
    <n v="1070"/>
    <d v="2024-11-15T10:36:56"/>
    <d v="2024-11-15T10:39:56"/>
    <s v="vngwira@lighthouse.org.mw"/>
    <s v="Vincent Ngwira"/>
    <x v="11"/>
    <s v="COE"/>
    <x v="1"/>
    <s v="COP_24"/>
    <x v="2"/>
    <x v="0"/>
    <s v="Quarter1"/>
    <x v="0"/>
    <x v="0"/>
    <d v="2024-10-01T00:00:00"/>
    <d v="2024-10-31T00:00:00"/>
    <x v="6"/>
    <n v="66"/>
    <n v="60"/>
    <n v="0"/>
    <n v="0"/>
    <n v="55"/>
    <n v="11"/>
    <n v="66"/>
    <n v="25"/>
    <n v="66"/>
    <n v="2"/>
    <n v="5"/>
    <n v="3"/>
    <n v="66"/>
    <n v="10"/>
    <n v="1"/>
    <n v="0"/>
    <n v="6"/>
    <n v="2"/>
    <n v="31"/>
    <n v="7"/>
    <n v="14"/>
    <n v="3"/>
    <n v="0"/>
    <n v="0"/>
  </r>
  <r>
    <n v="1072"/>
    <d v="2024-11-15T10:42:34"/>
    <d v="2024-11-15T10:44:06"/>
    <s v="vngwira@lighthouse.org.mw"/>
    <s v="Vincent Ngwira"/>
    <x v="11"/>
    <s v="COE"/>
    <x v="1"/>
    <s v="COP_24"/>
    <x v="2"/>
    <x v="0"/>
    <s v="Quarter1"/>
    <x v="0"/>
    <x v="0"/>
    <d v="2024-10-01T00:00:00"/>
    <d v="2024-10-31T00:00:00"/>
    <x v="5"/>
    <n v="21"/>
    <n v="1"/>
    <n v="19"/>
    <n v="0"/>
    <n v="2"/>
    <n v="0"/>
    <n v="21"/>
    <n v="8"/>
    <n v="10"/>
    <n v="0"/>
    <n v="0"/>
    <n v="0"/>
    <n v="10"/>
    <n v="0"/>
    <n v="1"/>
    <n v="0"/>
    <n v="2"/>
    <n v="1"/>
    <n v="6"/>
    <n v="0"/>
    <n v="0"/>
    <n v="0"/>
    <n v="0"/>
    <n v="0"/>
  </r>
  <r>
    <n v="1088"/>
    <d v="2024-11-21T08:39:56"/>
    <d v="2024-11-21T08:44:30"/>
    <s v="vngwira@lighthouse.org.mw"/>
    <s v="Vincent Ngwira"/>
    <x v="11"/>
    <s v="COE"/>
    <x v="1"/>
    <s v="COP_24"/>
    <x v="2"/>
    <x v="0"/>
    <s v="Quarter1"/>
    <x v="0"/>
    <x v="0"/>
    <d v="2024-10-01T00:00:00"/>
    <d v="2024-10-31T00:00:00"/>
    <x v="1"/>
    <n v="44"/>
    <n v="7"/>
    <n v="26"/>
    <n v="1"/>
    <n v="14"/>
    <n v="3"/>
    <n v="43"/>
    <n v="14"/>
    <n v="28"/>
    <n v="1"/>
    <n v="3"/>
    <n v="2"/>
    <n v="26"/>
    <n v="3"/>
    <n v="3"/>
    <n v="1"/>
    <n v="7"/>
    <n v="1"/>
    <n v="25"/>
    <n v="3"/>
    <n v="5"/>
    <n v="2"/>
    <n v="0"/>
    <n v="0"/>
  </r>
  <r>
    <n v="1156"/>
    <d v="2024-12-18T08:39:30"/>
    <d v="2024-12-18T08:45:45"/>
    <s v="vngwira@lighthouse.org.mw"/>
    <s v="Vincent Ngwira"/>
    <x v="11"/>
    <s v="COE"/>
    <x v="1"/>
    <s v="COP_24"/>
    <x v="2"/>
    <x v="0"/>
    <s v="Quarter1"/>
    <x v="0"/>
    <x v="1"/>
    <d v="2024-11-01T00:00:00"/>
    <d v="2024-11-30T00:00:00"/>
    <x v="0"/>
    <n v="147"/>
    <n v="56"/>
    <n v="65"/>
    <n v="2"/>
    <n v="72"/>
    <n v="8"/>
    <n v="142"/>
    <n v="45"/>
    <n v="91"/>
    <n v="0"/>
    <n v="4"/>
    <n v="0"/>
    <n v="85"/>
    <n v="6"/>
    <n v="10"/>
    <n v="1"/>
    <n v="17"/>
    <n v="4"/>
    <n v="52"/>
    <n v="7"/>
    <n v="9"/>
    <n v="0"/>
    <n v="0"/>
    <n v="0"/>
  </r>
  <r>
    <n v="1157"/>
    <d v="2024-12-18T08:45:50"/>
    <d v="2024-12-18T08:49:37"/>
    <s v="vngwira@lighthouse.org.mw"/>
    <s v="Vincent Ngwira"/>
    <x v="11"/>
    <s v="COE"/>
    <x v="1"/>
    <s v="COP_24"/>
    <x v="2"/>
    <x v="0"/>
    <s v="Quarter1"/>
    <x v="0"/>
    <x v="1"/>
    <d v="2024-11-01T00:00:00"/>
    <d v="2024-11-30T00:00:00"/>
    <x v="1"/>
    <n v="33"/>
    <n v="3"/>
    <n v="22"/>
    <n v="1"/>
    <n v="8"/>
    <n v="2"/>
    <n v="32"/>
    <n v="5"/>
    <n v="15"/>
    <n v="0"/>
    <n v="4"/>
    <n v="0"/>
    <n v="13"/>
    <n v="0"/>
    <n v="1"/>
    <n v="0"/>
    <n v="2"/>
    <n v="0"/>
    <n v="8"/>
    <n v="7"/>
    <n v="0"/>
    <n v="0"/>
    <n v="0"/>
    <n v="0"/>
  </r>
  <r>
    <n v="1158"/>
    <d v="2024-12-18T08:49:48"/>
    <d v="2024-12-18T08:51:26"/>
    <s v="vngwira@lighthouse.org.mw"/>
    <s v="Vincent Ngwira"/>
    <x v="11"/>
    <s v="COE"/>
    <x v="1"/>
    <s v="COP_24"/>
    <x v="2"/>
    <x v="0"/>
    <s v="Quarter1"/>
    <x v="0"/>
    <x v="1"/>
    <d v="2024-11-01T00:00:00"/>
    <d v="2024-11-30T00:00:00"/>
    <x v="3"/>
    <n v="1"/>
    <n v="1"/>
    <n v="0"/>
    <n v="0"/>
    <n v="0"/>
    <n v="1"/>
    <n v="0"/>
    <n v="0"/>
    <n v="1"/>
    <n v="0"/>
    <n v="0"/>
    <n v="0"/>
    <n v="1"/>
    <n v="0"/>
    <n v="0"/>
    <n v="0"/>
    <n v="0"/>
    <n v="0"/>
    <n v="1"/>
    <n v="1"/>
    <n v="1"/>
    <n v="0"/>
    <n v="0"/>
    <n v="0"/>
  </r>
  <r>
    <n v="1159"/>
    <d v="2024-12-18T08:51:28"/>
    <d v="2024-12-18T08:53:11"/>
    <s v="vngwira@lighthouse.org.mw"/>
    <s v="Vincent Ngwira"/>
    <x v="11"/>
    <s v="COE"/>
    <x v="1"/>
    <s v="COP_24"/>
    <x v="2"/>
    <x v="0"/>
    <s v="Quarter1"/>
    <x v="0"/>
    <x v="1"/>
    <d v="2024-11-01T00:00:00"/>
    <d v="2024-11-30T00:00:00"/>
    <x v="4"/>
    <n v="2"/>
    <n v="0"/>
    <n v="1"/>
    <n v="0"/>
    <n v="1"/>
    <n v="0"/>
    <n v="2"/>
    <n v="0"/>
    <n v="1"/>
    <n v="0"/>
    <n v="0"/>
    <n v="0"/>
    <n v="1"/>
    <n v="0"/>
    <n v="0"/>
    <n v="0"/>
    <n v="0"/>
    <n v="0"/>
    <n v="1"/>
    <n v="0"/>
    <n v="0"/>
    <n v="0"/>
    <n v="0"/>
    <n v="0"/>
  </r>
  <r>
    <n v="1160"/>
    <d v="2024-12-18T08:53:29"/>
    <d v="2024-12-18T08:55:19"/>
    <s v="vngwira@lighthouse.org.mw"/>
    <s v="Vincent Ngwira"/>
    <x v="11"/>
    <s v="COE"/>
    <x v="1"/>
    <s v="COP_24"/>
    <x v="2"/>
    <x v="0"/>
    <s v="Quarter1"/>
    <x v="0"/>
    <x v="1"/>
    <d v="2024-11-01T00:00:00"/>
    <d v="2024-11-30T00:00:00"/>
    <x v="5"/>
    <n v="19"/>
    <n v="0"/>
    <n v="16"/>
    <n v="0"/>
    <n v="3"/>
    <n v="0"/>
    <n v="19"/>
    <n v="3"/>
    <n v="6"/>
    <n v="0"/>
    <n v="0"/>
    <n v="0"/>
    <n v="6"/>
    <n v="0"/>
    <n v="0"/>
    <n v="0"/>
    <n v="1"/>
    <n v="1"/>
    <n v="4"/>
    <n v="0"/>
    <n v="0"/>
    <n v="0"/>
    <n v="0"/>
    <n v="0"/>
  </r>
  <r>
    <n v="1161"/>
    <d v="2024-12-18T08:55:56"/>
    <d v="2024-12-18T08:58:52"/>
    <s v="vngwira@lighthouse.org.mw"/>
    <s v="Vincent Ngwira"/>
    <x v="11"/>
    <s v="COE"/>
    <x v="1"/>
    <s v="COP_24"/>
    <x v="2"/>
    <x v="0"/>
    <s v="Quarter1"/>
    <x v="0"/>
    <x v="1"/>
    <d v="2024-11-01T00:00:00"/>
    <d v="2024-11-30T00:00:00"/>
    <x v="2"/>
    <n v="32"/>
    <n v="2"/>
    <n v="22"/>
    <n v="1"/>
    <n v="7"/>
    <n v="2"/>
    <n v="32"/>
    <n v="13"/>
    <n v="4"/>
    <n v="0"/>
    <n v="1"/>
    <n v="0"/>
    <n v="15"/>
    <n v="2"/>
    <n v="2"/>
    <n v="0"/>
    <n v="3"/>
    <n v="1"/>
    <n v="12"/>
    <n v="12"/>
    <n v="3"/>
    <n v="0"/>
    <n v="0"/>
    <n v="0"/>
  </r>
  <r>
    <n v="1162"/>
    <d v="2024-12-18T08:58:55"/>
    <d v="2024-12-18T09:01:53"/>
    <s v="vngwira@lighthouse.org.mw"/>
    <s v="Vincent Ngwira"/>
    <x v="11"/>
    <s v="COE"/>
    <x v="1"/>
    <s v="COP_24"/>
    <x v="2"/>
    <x v="0"/>
    <s v="Quarter1"/>
    <x v="0"/>
    <x v="1"/>
    <d v="2024-11-01T00:00:00"/>
    <d v="2024-11-30T00:00:00"/>
    <x v="6"/>
    <n v="43"/>
    <n v="40"/>
    <n v="1"/>
    <n v="0"/>
    <n v="39"/>
    <n v="3"/>
    <n v="42"/>
    <n v="20"/>
    <n v="42"/>
    <n v="0"/>
    <n v="2"/>
    <n v="0"/>
    <n v="38"/>
    <n v="4"/>
    <n v="5"/>
    <n v="1"/>
    <n v="5"/>
    <n v="1"/>
    <n v="21"/>
    <n v="6"/>
    <n v="5"/>
    <n v="0"/>
    <n v="0"/>
    <n v="0"/>
  </r>
  <r>
    <n v="1306"/>
    <d v="2025-01-22T15:02:00"/>
    <d v="2025-01-22T15:08:13"/>
    <s v="vngwira@lighthouse.org.mw"/>
    <s v="Vincent Ngwira"/>
    <x v="11"/>
    <s v="COE"/>
    <x v="1"/>
    <s v="COP_24"/>
    <x v="2"/>
    <x v="0"/>
    <s v="Quarter1"/>
    <x v="0"/>
    <x v="11"/>
    <d v="2024-12-01T00:00:00"/>
    <d v="2024-12-31T00:00:00"/>
    <x v="1"/>
    <n v="30"/>
    <n v="12"/>
    <n v="15"/>
    <n v="1"/>
    <n v="8"/>
    <n v="6"/>
    <n v="30"/>
    <n v="19"/>
    <n v="22"/>
    <n v="0"/>
    <n v="0"/>
    <n v="0"/>
    <n v="21"/>
    <n v="0"/>
    <n v="3"/>
    <n v="0"/>
    <n v="2"/>
    <n v="2"/>
    <n v="18"/>
    <n v="2"/>
    <n v="5"/>
    <n v="0"/>
    <n v="0"/>
    <n v="0"/>
  </r>
  <r>
    <n v="1307"/>
    <d v="2025-01-22T15:08:18"/>
    <d v="2025-01-22T15:10:19"/>
    <s v="vngwira@lighthouse.org.mw"/>
    <s v="Vincent Ngwira"/>
    <x v="11"/>
    <s v="COE"/>
    <x v="1"/>
    <s v="COP_24"/>
    <x v="2"/>
    <x v="0"/>
    <s v="Quarter1"/>
    <x v="0"/>
    <x v="11"/>
    <d v="2024-12-01T00:00:00"/>
    <d v="2024-12-31T00:00:00"/>
    <x v="3"/>
    <n v="0"/>
    <n v="0"/>
    <n v="0"/>
    <n v="0"/>
    <n v="0"/>
    <n v="0"/>
    <n v="0"/>
    <n v="0"/>
    <n v="0"/>
    <n v="0"/>
    <n v="0"/>
    <n v="0"/>
    <n v="0"/>
    <n v="0"/>
    <n v="0"/>
    <n v="0"/>
    <n v="0"/>
    <n v="0"/>
    <n v="0"/>
    <n v="0"/>
    <n v="0"/>
    <n v="0"/>
    <n v="0"/>
    <n v="0"/>
  </r>
  <r>
    <n v="1308"/>
    <d v="2025-01-22T15:10:21"/>
    <d v="2025-01-22T15:17:45"/>
    <s v="vngwira@lighthouse.org.mw"/>
    <s v="Vincent Ngwira"/>
    <x v="11"/>
    <s v="COE"/>
    <x v="1"/>
    <s v="COP_24"/>
    <x v="2"/>
    <x v="0"/>
    <s v="Quarter1"/>
    <x v="0"/>
    <x v="11"/>
    <d v="2024-12-01T00:00:00"/>
    <d v="2024-12-31T00:00:00"/>
    <x v="4"/>
    <n v="0"/>
    <n v="0"/>
    <n v="0"/>
    <n v="0"/>
    <n v="0"/>
    <n v="0"/>
    <n v="0"/>
    <n v="0"/>
    <n v="0"/>
    <n v="0"/>
    <n v="0"/>
    <n v="0"/>
    <n v="0"/>
    <n v="0"/>
    <n v="0"/>
    <n v="0"/>
    <n v="0"/>
    <n v="0"/>
    <n v="0"/>
    <n v="0"/>
    <n v="0"/>
    <n v="0"/>
    <n v="0"/>
    <n v="0"/>
  </r>
  <r>
    <n v="1310"/>
    <d v="2025-01-22T15:18:58"/>
    <d v="2025-01-22T15:21:47"/>
    <s v="vngwira@lighthouse.org.mw"/>
    <s v="Vincent Ngwira"/>
    <x v="11"/>
    <s v="COE"/>
    <x v="1"/>
    <s v="COP_24"/>
    <x v="2"/>
    <x v="0"/>
    <s v="Quarter1"/>
    <x v="0"/>
    <x v="11"/>
    <d v="2024-12-01T00:00:00"/>
    <d v="2024-12-31T00:00:00"/>
    <x v="5"/>
    <n v="14"/>
    <n v="0"/>
    <n v="13"/>
    <n v="0"/>
    <n v="1"/>
    <n v="0"/>
    <n v="14"/>
    <n v="4"/>
    <n v="6"/>
    <n v="0"/>
    <n v="0"/>
    <n v="0"/>
    <n v="6"/>
    <n v="0"/>
    <n v="1"/>
    <n v="0"/>
    <n v="1"/>
    <n v="0"/>
    <n v="5"/>
    <n v="0"/>
    <n v="0"/>
    <n v="0"/>
    <n v="0"/>
    <n v="0"/>
  </r>
  <r>
    <n v="1311"/>
    <d v="2025-01-22T15:21:49"/>
    <d v="2025-01-22T15:24:05"/>
    <s v="vngwira@lighthouse.org.mw"/>
    <s v="Vincent Ngwira"/>
    <x v="11"/>
    <s v="COE"/>
    <x v="1"/>
    <s v="COP_24"/>
    <x v="2"/>
    <x v="0"/>
    <s v="Quarter1"/>
    <x v="0"/>
    <x v="11"/>
    <d v="2024-12-01T00:00:00"/>
    <d v="2024-12-31T00:00:00"/>
    <x v="2"/>
    <n v="28"/>
    <n v="2"/>
    <n v="25"/>
    <n v="0"/>
    <n v="2"/>
    <n v="1"/>
    <n v="28"/>
    <n v="7"/>
    <n v="9"/>
    <n v="0"/>
    <n v="0"/>
    <n v="0"/>
    <n v="9"/>
    <n v="1"/>
    <n v="0"/>
    <n v="0"/>
    <n v="0"/>
    <n v="0"/>
    <n v="5"/>
    <n v="5"/>
    <n v="0"/>
    <n v="0"/>
    <n v="0"/>
    <n v="0"/>
  </r>
  <r>
    <n v="1312"/>
    <d v="2025-01-22T15:24:07"/>
    <d v="2025-01-22T15:27:16"/>
    <s v="vngwira@lighthouse.org.mw"/>
    <s v="Vincent Ngwira"/>
    <x v="11"/>
    <s v="COE"/>
    <x v="1"/>
    <s v="COP_24"/>
    <x v="2"/>
    <x v="0"/>
    <s v="Quarter1"/>
    <x v="0"/>
    <x v="11"/>
    <d v="2024-12-01T00:00:00"/>
    <d v="2024-12-31T00:00:00"/>
    <x v="6"/>
    <n v="45"/>
    <n v="44"/>
    <n v="0"/>
    <n v="0"/>
    <n v="30"/>
    <n v="15"/>
    <n v="43"/>
    <n v="25"/>
    <n v="45"/>
    <n v="1"/>
    <n v="3"/>
    <n v="1"/>
    <n v="43"/>
    <n v="9"/>
    <n v="6"/>
    <n v="0"/>
    <n v="2"/>
    <n v="2"/>
    <n v="29"/>
    <n v="11"/>
    <n v="9"/>
    <n v="1"/>
    <n v="0"/>
    <n v="0"/>
  </r>
  <r>
    <n v="1314"/>
    <d v="2025-01-22T15:27:18"/>
    <d v="2025-01-22T15:41:08"/>
    <s v="vngwira@lighthouse.org.mw"/>
    <s v="Vincent Ngwira"/>
    <x v="11"/>
    <s v="COE"/>
    <x v="1"/>
    <s v="COP_24"/>
    <x v="2"/>
    <x v="0"/>
    <s v="Quarter1"/>
    <x v="0"/>
    <x v="11"/>
    <d v="2024-12-01T00:00:00"/>
    <d v="2024-12-31T00:00:00"/>
    <x v="0"/>
    <n v="124"/>
    <n v="57"/>
    <n v="63"/>
    <n v="3"/>
    <n v="38"/>
    <n v="20"/>
    <n v="121"/>
    <n v="50"/>
    <n v="88"/>
    <n v="2"/>
    <n v="4"/>
    <n v="2"/>
    <n v="84"/>
    <n v="13"/>
    <n v="9"/>
    <n v="0"/>
    <n v="5"/>
    <n v="4"/>
    <n v="54"/>
    <n v="12"/>
    <n v="15"/>
    <n v="3"/>
    <n v="0"/>
    <n v="0"/>
  </r>
  <r>
    <n v="1553"/>
    <d v="2025-04-29T11:13:49"/>
    <d v="2025-04-29T11:20:09"/>
    <s v="vngwira@lighthouse.org.mw"/>
    <s v="Vincent Ngwira"/>
    <x v="11"/>
    <s v="COE"/>
    <x v="2"/>
    <s v="COP_24"/>
    <x v="2"/>
    <x v="2"/>
    <s v="Quarter2"/>
    <x v="2"/>
    <x v="4"/>
    <d v="2025-01-01T00:00:00"/>
    <d v="2025-01-31T00:00:00"/>
    <x v="0"/>
    <n v="163"/>
    <n v="138"/>
    <n v="74"/>
    <n v="0"/>
    <n v="76"/>
    <n v="13"/>
    <n v="155"/>
    <n v="56"/>
    <n v="99"/>
    <n v="1"/>
    <n v="1"/>
    <n v="1"/>
    <n v="90"/>
    <n v="6"/>
    <n v="6"/>
    <n v="0"/>
    <n v="5"/>
    <n v="4"/>
    <n v="62"/>
    <n v="5"/>
    <n v="10"/>
    <n v="1"/>
    <n v="0"/>
    <n v="1"/>
  </r>
  <r>
    <n v="1554"/>
    <d v="2025-04-29T11:21:12"/>
    <d v="2025-04-29T11:24:17"/>
    <s v="vngwira@lighthouse.org.mw"/>
    <s v="Vincent Ngwira"/>
    <x v="11"/>
    <s v="COE"/>
    <x v="2"/>
    <s v="COP_24"/>
    <x v="2"/>
    <x v="2"/>
    <s v="Quarter2"/>
    <x v="2"/>
    <x v="4"/>
    <d v="2025-01-01T00:00:00"/>
    <d v="2025-01-31T00:00:00"/>
    <x v="6"/>
    <n v="36"/>
    <n v="32"/>
    <n v="0"/>
    <n v="0"/>
    <n v="30"/>
    <n v="6"/>
    <n v="34"/>
    <n v="17"/>
    <n v="36"/>
    <n v="1"/>
    <n v="1"/>
    <n v="1"/>
    <n v="31"/>
    <n v="3"/>
    <n v="1"/>
    <n v="0"/>
    <n v="0"/>
    <n v="0"/>
    <n v="26"/>
    <n v="4"/>
    <n v="6"/>
    <n v="1"/>
    <n v="0"/>
    <n v="0"/>
  </r>
  <r>
    <n v="1555"/>
    <d v="2025-04-29T11:24:35"/>
    <d v="2025-04-29T11:26:09"/>
    <s v="vngwira@lighthouse.org.mw"/>
    <s v="Vincent Ngwira"/>
    <x v="11"/>
    <s v="COE"/>
    <x v="2"/>
    <s v="COP_24"/>
    <x v="2"/>
    <x v="2"/>
    <s v="Quarter2"/>
    <x v="2"/>
    <x v="4"/>
    <d v="2025-01-01T00:00:00"/>
    <d v="2025-01-30T00:00:00"/>
    <x v="3"/>
    <n v="2"/>
    <n v="1"/>
    <n v="2"/>
    <n v="0"/>
    <n v="0"/>
    <n v="0"/>
    <n v="0"/>
    <n v="0"/>
    <n v="2"/>
    <n v="0"/>
    <n v="0"/>
    <n v="0"/>
    <n v="2"/>
    <n v="0"/>
    <n v="0"/>
    <n v="0"/>
    <n v="0"/>
    <n v="0"/>
    <n v="1"/>
    <n v="0"/>
    <n v="0"/>
    <n v="0"/>
    <n v="0"/>
    <n v="0"/>
  </r>
  <r>
    <n v="1556"/>
    <d v="2025-04-29T11:26:39"/>
    <d v="2025-04-29T11:28:07"/>
    <s v="vngwira@lighthouse.org.mw"/>
    <s v="Vincent Ngwira"/>
    <x v="11"/>
    <s v="COE"/>
    <x v="2"/>
    <s v="COP_24"/>
    <x v="2"/>
    <x v="2"/>
    <s v="Quarter2"/>
    <x v="2"/>
    <x v="4"/>
    <d v="2025-01-01T00:00:00"/>
    <d v="2025-01-31T00:00:00"/>
    <x v="4"/>
    <n v="8"/>
    <n v="3"/>
    <n v="4"/>
    <n v="1"/>
    <n v="3"/>
    <n v="0"/>
    <n v="8"/>
    <n v="5"/>
    <n v="7"/>
    <n v="0"/>
    <n v="0"/>
    <n v="0"/>
    <n v="7"/>
    <n v="0"/>
    <n v="0"/>
    <n v="0"/>
    <n v="0"/>
    <n v="0"/>
    <n v="4"/>
    <n v="4"/>
    <n v="0"/>
    <n v="0"/>
    <n v="0"/>
    <n v="0"/>
  </r>
  <r>
    <n v="1557"/>
    <d v="2025-04-29T11:28:30"/>
    <d v="2025-04-29T11:30:25"/>
    <s v="vngwira@lighthouse.org.mw"/>
    <s v="Vincent Ngwira"/>
    <x v="11"/>
    <s v="COE"/>
    <x v="2"/>
    <s v="COP_24"/>
    <x v="2"/>
    <x v="2"/>
    <s v="Quarter2"/>
    <x v="2"/>
    <x v="4"/>
    <d v="2025-01-01T00:00:00"/>
    <d v="2025-01-31T00:00:00"/>
    <x v="5"/>
    <n v="24"/>
    <n v="1"/>
    <n v="23"/>
    <n v="0"/>
    <n v="0"/>
    <n v="1"/>
    <n v="23"/>
    <n v="10"/>
    <n v="10"/>
    <n v="0"/>
    <n v="0"/>
    <n v="0"/>
    <n v="7"/>
    <n v="0"/>
    <n v="0"/>
    <n v="0"/>
    <n v="0"/>
    <n v="0"/>
    <n v="3"/>
    <n v="2"/>
    <n v="1"/>
    <n v="0"/>
    <n v="0"/>
    <n v="0"/>
  </r>
  <r>
    <n v="1558"/>
    <d v="2025-04-29T11:30:43"/>
    <d v="2025-04-29T11:32:53"/>
    <s v="vngwira@lighthouse.org.mw"/>
    <s v="Vincent Ngwira"/>
    <x v="11"/>
    <s v="COE"/>
    <x v="2"/>
    <s v="COP_24"/>
    <x v="2"/>
    <x v="2"/>
    <s v="Quarter2"/>
    <x v="2"/>
    <x v="4"/>
    <d v="2025-01-01T00:00:00"/>
    <d v="2025-01-31T00:00:00"/>
    <x v="2"/>
    <n v="34"/>
    <n v="6"/>
    <n v="25"/>
    <n v="0"/>
    <n v="7"/>
    <n v="2"/>
    <n v="32"/>
    <n v="4"/>
    <n v="12"/>
    <n v="0"/>
    <n v="0"/>
    <n v="0"/>
    <n v="11"/>
    <n v="0"/>
    <n v="1"/>
    <n v="0"/>
    <n v="1"/>
    <n v="0"/>
    <n v="4"/>
    <n v="1"/>
    <n v="1"/>
    <n v="0"/>
    <n v="0"/>
    <n v="0"/>
  </r>
  <r>
    <n v="1559"/>
    <d v="2025-04-29T11:33:12"/>
    <d v="2025-04-29T11:36:32"/>
    <s v="vngwira@lighthouse.org.mw"/>
    <s v="Vincent Ngwira"/>
    <x v="11"/>
    <s v="COE"/>
    <x v="2"/>
    <s v="COP_24"/>
    <x v="2"/>
    <x v="2"/>
    <s v="Quarter2"/>
    <x v="2"/>
    <x v="4"/>
    <d v="2025-01-01T00:00:00"/>
    <d v="2025-01-31T00:00:00"/>
    <x v="1"/>
    <n v="36"/>
    <n v="8"/>
    <n v="22"/>
    <n v="1"/>
    <n v="12"/>
    <n v="1"/>
    <n v="36"/>
    <n v="15"/>
    <n v="0"/>
    <n v="0"/>
    <n v="0"/>
    <n v="0"/>
    <n v="16"/>
    <n v="1"/>
    <n v="2"/>
    <n v="0"/>
    <n v="0"/>
    <n v="0"/>
    <n v="14"/>
    <n v="0"/>
    <n v="1"/>
    <n v="0"/>
    <n v="0"/>
    <n v="0"/>
  </r>
  <r>
    <n v="1589"/>
    <d v="2025-05-07T08:48:20"/>
    <d v="2025-05-07T09:19:09"/>
    <s v="vngwira@lighthouse.org.mw"/>
    <s v="Vincent Ngwira"/>
    <x v="11"/>
    <s v="COE"/>
    <x v="2"/>
    <s v="COP_24"/>
    <x v="3"/>
    <x v="2"/>
    <s v="Quarter2"/>
    <x v="4"/>
    <x v="5"/>
    <d v="2025-02-01T00:00:00"/>
    <d v="2025-02-28T00:00:00"/>
    <x v="0"/>
    <n v="134"/>
    <n v="45"/>
    <n v="56"/>
    <n v="1"/>
    <n v="64"/>
    <n v="13"/>
    <n v="130"/>
    <n v="48"/>
    <n v="63"/>
    <n v="0"/>
    <n v="2"/>
    <n v="1"/>
    <n v="67"/>
    <n v="9"/>
    <n v="9"/>
    <n v="2"/>
    <n v="5"/>
    <n v="3"/>
    <n v="52"/>
    <n v="3"/>
    <n v="13"/>
    <n v="1"/>
    <n v="0"/>
    <n v="0"/>
  </r>
  <r>
    <n v="1590"/>
    <d v="2025-05-07T09:19:14"/>
    <d v="2025-05-07T09:22:05"/>
    <s v="vngwira@lighthouse.org.mw"/>
    <s v="Vincent Ngwira"/>
    <x v="11"/>
    <s v="COE"/>
    <x v="2"/>
    <s v="COP_24"/>
    <x v="3"/>
    <x v="2"/>
    <s v="Quarter2"/>
    <x v="4"/>
    <x v="5"/>
    <d v="2025-02-01T00:00:00"/>
    <d v="2025-02-28T00:00:00"/>
    <x v="6"/>
    <n v="29"/>
    <n v="29"/>
    <n v="0"/>
    <n v="0"/>
    <n v="22"/>
    <n v="7"/>
    <n v="28"/>
    <n v="12"/>
    <n v="29"/>
    <n v="0"/>
    <n v="0"/>
    <n v="0"/>
    <n v="23"/>
    <n v="5"/>
    <n v="0"/>
    <n v="0"/>
    <n v="1"/>
    <n v="1"/>
    <n v="14"/>
    <n v="1"/>
    <n v="6"/>
    <n v="0"/>
    <n v="0"/>
    <n v="0"/>
  </r>
  <r>
    <n v="1591"/>
    <d v="2025-05-07T09:22:26"/>
    <d v="2025-05-07T09:23:51"/>
    <s v="vngwira@lighthouse.org.mw"/>
    <s v="Vincent Ngwira"/>
    <x v="11"/>
    <s v="COE"/>
    <x v="2"/>
    <s v="COP_24"/>
    <x v="3"/>
    <x v="2"/>
    <s v="Quarter2"/>
    <x v="4"/>
    <x v="5"/>
    <d v="2025-02-01T00:00:00"/>
    <d v="2025-02-28T00:00:00"/>
    <x v="3"/>
    <n v="3"/>
    <n v="2"/>
    <n v="1"/>
    <n v="0"/>
    <n v="1"/>
    <n v="1"/>
    <n v="0"/>
    <n v="0"/>
    <n v="3"/>
    <n v="0"/>
    <n v="0"/>
    <n v="0"/>
    <n v="2"/>
    <n v="0"/>
    <n v="0"/>
    <n v="0"/>
    <n v="0"/>
    <n v="0"/>
    <n v="3"/>
    <n v="0"/>
    <n v="0"/>
    <n v="0"/>
    <n v="0"/>
    <n v="0"/>
  </r>
  <r>
    <n v="1592"/>
    <d v="2025-05-07T09:24:14"/>
    <d v="2025-05-07T09:26:28"/>
    <s v="vngwira@lighthouse.org.mw"/>
    <s v="Vincent Ngwira"/>
    <x v="11"/>
    <s v="COE"/>
    <x v="2"/>
    <s v="COP_24"/>
    <x v="3"/>
    <x v="2"/>
    <s v="Quarter2"/>
    <x v="4"/>
    <x v="5"/>
    <d v="2025-02-01T00:00:00"/>
    <d v="2025-02-28T00:00:00"/>
    <x v="4"/>
    <n v="3"/>
    <n v="1"/>
    <n v="1"/>
    <n v="0"/>
    <n v="1"/>
    <n v="1"/>
    <n v="3"/>
    <n v="0"/>
    <n v="1"/>
    <n v="0"/>
    <n v="0"/>
    <n v="0"/>
    <n v="1"/>
    <n v="0"/>
    <n v="0"/>
    <n v="0"/>
    <n v="0"/>
    <n v="0"/>
    <n v="0"/>
    <n v="0"/>
    <n v="0"/>
    <n v="0"/>
    <n v="0"/>
    <n v="0"/>
  </r>
  <r>
    <n v="1593"/>
    <d v="2025-05-07T09:26:50"/>
    <d v="2025-05-07T09:28:58"/>
    <s v="vngwira@lighthouse.org.mw"/>
    <s v="Vincent Ngwira"/>
    <x v="11"/>
    <s v="COE"/>
    <x v="2"/>
    <s v="COP_24"/>
    <x v="2"/>
    <x v="2"/>
    <s v="Quarter2"/>
    <x v="2"/>
    <x v="5"/>
    <d v="2025-02-01T00:00:00"/>
    <d v="2025-02-28T00:00:00"/>
    <x v="2"/>
    <n v="30"/>
    <n v="3"/>
    <n v="23"/>
    <n v="0"/>
    <n v="6"/>
    <n v="1"/>
    <n v="30"/>
    <n v="7"/>
    <n v="7"/>
    <n v="0"/>
    <n v="0"/>
    <n v="0"/>
    <n v="7"/>
    <n v="1"/>
    <n v="0"/>
    <n v="0"/>
    <n v="0"/>
    <n v="0"/>
    <n v="7"/>
    <n v="0"/>
    <n v="1"/>
    <n v="0"/>
    <n v="0"/>
    <n v="0"/>
  </r>
  <r>
    <n v="1594"/>
    <d v="2025-05-07T09:29:21"/>
    <d v="2025-05-07T09:32:23"/>
    <s v="vngwira@lighthouse.org.mw"/>
    <s v="Vincent Ngwira"/>
    <x v="11"/>
    <s v="COE"/>
    <x v="2"/>
    <s v="COP_24"/>
    <x v="3"/>
    <x v="2"/>
    <s v="Quarter2"/>
    <x v="4"/>
    <x v="5"/>
    <d v="2025-02-01T00:00:00"/>
    <d v="2025-02-28T00:00:00"/>
    <x v="1"/>
    <n v="31"/>
    <n v="9"/>
    <n v="14"/>
    <n v="1"/>
    <n v="13"/>
    <n v="3"/>
    <n v="29"/>
    <n v="18"/>
    <n v="16"/>
    <n v="1"/>
    <n v="5"/>
    <n v="1"/>
    <n v="19"/>
    <n v="3"/>
    <n v="4"/>
    <n v="1"/>
    <n v="2"/>
    <n v="1"/>
    <n v="18"/>
    <n v="16"/>
    <n v="5"/>
    <n v="1"/>
    <n v="0"/>
    <n v="0"/>
  </r>
  <r>
    <n v="1595"/>
    <d v="2025-05-07T09:33:13"/>
    <d v="2025-05-07T09:36:01"/>
    <s v="vngwira@lighthouse.org.mw"/>
    <s v="Vincent Ngwira"/>
    <x v="11"/>
    <s v="COE"/>
    <x v="2"/>
    <s v="COP_24"/>
    <x v="3"/>
    <x v="2"/>
    <s v="Quarter2"/>
    <x v="4"/>
    <x v="5"/>
    <d v="2025-02-01T00:00:00"/>
    <d v="2025-02-28T00:00:00"/>
    <x v="5"/>
    <n v="22"/>
    <n v="0"/>
    <n v="20"/>
    <n v="0"/>
    <n v="1"/>
    <n v="1"/>
    <n v="22"/>
    <n v="6"/>
    <n v="5"/>
    <n v="0"/>
    <n v="0"/>
    <n v="0"/>
    <n v="7"/>
    <n v="1"/>
    <n v="1"/>
    <n v="0"/>
    <n v="1"/>
    <n v="0"/>
    <n v="5"/>
    <n v="0"/>
    <n v="1"/>
    <n v="0"/>
    <n v="0"/>
    <n v="0"/>
  </r>
  <r>
    <n v="1596"/>
    <d v="2025-05-07T09:36:23"/>
    <d v="2025-05-07T09:44:18"/>
    <s v="vngwira@lighthouse.org.mw"/>
    <s v="Vincent Ngwira"/>
    <x v="11"/>
    <s v="COE"/>
    <x v="2"/>
    <s v="COP_24"/>
    <x v="3"/>
    <x v="2"/>
    <s v="Quarter2"/>
    <x v="4"/>
    <x v="3"/>
    <d v="2025-03-01T00:00:00"/>
    <d v="2025-03-31T00:00:00"/>
    <x v="0"/>
    <n v="137"/>
    <n v="69"/>
    <n v="43"/>
    <n v="1"/>
    <n v="72"/>
    <n v="21"/>
    <n v="98"/>
    <n v="28"/>
    <n v="60"/>
    <n v="2"/>
    <n v="2"/>
    <n v="1"/>
    <n v="35"/>
    <n v="6"/>
    <n v="14"/>
    <n v="3"/>
    <n v="8"/>
    <n v="3"/>
    <n v="59"/>
    <n v="8"/>
    <n v="17"/>
    <n v="1"/>
    <n v="1"/>
    <n v="1"/>
  </r>
  <r>
    <n v="1600"/>
    <d v="2025-05-07T11:28:25"/>
    <d v="2025-05-07T11:28:35"/>
    <s v="vngwira@lighthouse.org.mw"/>
    <s v="Vincent Ngwira"/>
    <x v="11"/>
    <s v="COE"/>
    <x v="2"/>
    <s v="COP_24"/>
    <x v="3"/>
    <x v="2"/>
    <s v="Quarter2"/>
    <x v="4"/>
    <x v="3"/>
    <d v="2025-03-01T00:00:00"/>
    <d v="2025-03-31T00:00:00"/>
    <x v="6"/>
    <n v="48"/>
    <n v="48"/>
    <n v="0"/>
    <n v="0"/>
    <n v="34"/>
    <n v="14"/>
    <n v="29"/>
    <n v="11"/>
    <n v="30"/>
    <n v="0"/>
    <n v="0"/>
    <n v="0"/>
    <n v="16"/>
    <n v="1"/>
    <n v="1"/>
    <n v="1"/>
    <n v="4"/>
    <n v="3"/>
    <n v="20"/>
    <n v="6"/>
    <n v="9"/>
    <n v="0"/>
    <n v="0"/>
    <n v="0"/>
  </r>
  <r>
    <n v="1603"/>
    <d v="2025-05-07T13:19:33"/>
    <d v="2025-05-07T13:20:12"/>
    <s v="vngwira@lighthouse.org.mw"/>
    <s v="Vincent Ngwira"/>
    <x v="11"/>
    <s v="COE"/>
    <x v="2"/>
    <s v="COP_24"/>
    <x v="3"/>
    <x v="2"/>
    <s v="Quarter2"/>
    <x v="4"/>
    <x v="3"/>
    <d v="2025-03-01T00:00:00"/>
    <d v="2025-03-31T00:00:00"/>
    <x v="3"/>
    <n v="0"/>
    <n v="0"/>
    <n v="0"/>
    <n v="0"/>
    <n v="0"/>
    <n v="0"/>
    <n v="0"/>
    <n v="0"/>
    <n v="0"/>
    <n v="0"/>
    <n v="0"/>
    <n v="0"/>
    <n v="0"/>
    <n v="0"/>
    <n v="0"/>
    <n v="0"/>
    <n v="0"/>
    <n v="0"/>
    <n v="0"/>
    <n v="0"/>
    <n v="0"/>
    <n v="0"/>
    <n v="0"/>
    <n v="0"/>
  </r>
  <r>
    <n v="1604"/>
    <d v="2025-05-07T13:20:14"/>
    <d v="2025-05-07T13:22:18"/>
    <s v="vngwira@lighthouse.org.mw"/>
    <s v="Vincent Ngwira"/>
    <x v="11"/>
    <s v="COE"/>
    <x v="2"/>
    <s v="COP_24"/>
    <x v="3"/>
    <x v="2"/>
    <s v="Quarter2"/>
    <x v="4"/>
    <x v="3"/>
    <d v="2025-03-01T00:00:00"/>
    <d v="2025-03-31T00:00:00"/>
    <x v="4"/>
    <n v="2"/>
    <n v="2"/>
    <n v="0"/>
    <n v="0"/>
    <n v="2"/>
    <n v="0"/>
    <n v="2"/>
    <n v="1"/>
    <n v="0"/>
    <n v="0"/>
    <n v="0"/>
    <n v="0"/>
    <n v="2"/>
    <n v="0"/>
    <n v="0"/>
    <n v="0"/>
    <n v="0"/>
    <n v="0"/>
    <n v="2"/>
    <n v="2"/>
    <n v="0"/>
    <n v="0"/>
    <n v="0"/>
    <n v="0"/>
  </r>
  <r>
    <n v="1605"/>
    <d v="2025-05-07T13:23:08"/>
    <d v="2025-05-07T13:25:56"/>
    <s v="vngwira@lighthouse.org.mw"/>
    <s v="Vincent Ngwira"/>
    <x v="11"/>
    <s v="COE"/>
    <x v="2"/>
    <s v="COP_24"/>
    <x v="3"/>
    <x v="2"/>
    <s v="Quarter2"/>
    <x v="4"/>
    <x v="3"/>
    <d v="2025-03-01T00:00:00"/>
    <d v="2025-03-31T00:00:00"/>
    <x v="1"/>
    <n v="38"/>
    <n v="15"/>
    <n v="16"/>
    <n v="0"/>
    <n v="15"/>
    <n v="7"/>
    <n v="31"/>
    <n v="14"/>
    <n v="14"/>
    <n v="1"/>
    <n v="1"/>
    <n v="0"/>
    <n v="10"/>
    <n v="1"/>
    <n v="8"/>
    <n v="2"/>
    <n v="4"/>
    <n v="4"/>
    <n v="16"/>
    <n v="1"/>
    <n v="5"/>
    <n v="0"/>
    <n v="1"/>
    <n v="1"/>
  </r>
  <r>
    <n v="1606"/>
    <d v="2025-05-07T13:26:16"/>
    <d v="2025-05-07T13:27:42"/>
    <s v="vngwira@lighthouse.org.mw"/>
    <s v="Vincent Ngwira"/>
    <x v="11"/>
    <s v="COE"/>
    <x v="2"/>
    <s v="COP_24"/>
    <x v="3"/>
    <x v="2"/>
    <s v="Quarter2"/>
    <x v="4"/>
    <x v="3"/>
    <d v="2025-03-01T00:00:00"/>
    <d v="2025-03-31T00:00:00"/>
    <x v="5"/>
    <n v="14"/>
    <n v="2"/>
    <n v="11"/>
    <n v="0"/>
    <n v="3"/>
    <n v="0"/>
    <n v="13"/>
    <n v="0"/>
    <n v="1"/>
    <n v="0"/>
    <n v="0"/>
    <n v="0"/>
    <n v="1"/>
    <n v="1"/>
    <n v="1"/>
    <n v="0"/>
    <n v="0"/>
    <n v="0"/>
    <n v="3"/>
    <n v="0"/>
    <n v="1"/>
    <n v="0"/>
    <n v="0"/>
    <n v="0"/>
  </r>
  <r>
    <n v="1607"/>
    <d v="2025-05-07T13:28:09"/>
    <d v="2025-05-07T13:29:46"/>
    <s v="vngwira@lighthouse.org.mw"/>
    <s v="Vincent Ngwira"/>
    <x v="11"/>
    <s v="COE"/>
    <x v="2"/>
    <s v="COP_24"/>
    <x v="3"/>
    <x v="2"/>
    <s v="Quarter2"/>
    <x v="4"/>
    <x v="3"/>
    <d v="2025-03-01T00:00:00"/>
    <d v="2025-03-31T00:00:00"/>
    <x v="2"/>
    <n v="30"/>
    <n v="2"/>
    <n v="25"/>
    <n v="1"/>
    <n v="3"/>
    <n v="1"/>
    <n v="26"/>
    <n v="3"/>
    <n v="3"/>
    <n v="0"/>
    <n v="0"/>
    <n v="0"/>
    <n v="3"/>
    <n v="1"/>
    <n v="2"/>
    <n v="1"/>
    <n v="0"/>
    <n v="0"/>
    <n v="4"/>
    <n v="0"/>
    <n v="2"/>
    <n v="0"/>
    <n v="0"/>
    <n v="0"/>
  </r>
  <r>
    <n v="9"/>
    <d v="2023-12-16T12:09:45"/>
    <d v="2023-12-16T13:10:47"/>
    <s v="anhlema@lighthouse.org.mw"/>
    <s v="Angelina Nhlema"/>
    <x v="12"/>
    <s v="COE"/>
    <x v="0"/>
    <s v="COP_22"/>
    <x v="1"/>
    <x v="1"/>
    <s v="Quarter4"/>
    <x v="1"/>
    <x v="2"/>
    <d v="2023-09-01T00:00:00"/>
    <d v="2023-09-30T00:00:00"/>
    <x v="0"/>
    <n v="168"/>
    <n v="79"/>
    <n v="108"/>
    <n v="10"/>
    <n v="29"/>
    <n v="21"/>
    <n v="161"/>
    <n v="54"/>
    <n v="57"/>
    <n v="1"/>
    <n v="3"/>
    <n v="1"/>
    <n v="75"/>
    <n v="18"/>
    <n v="62"/>
    <n v="2"/>
    <n v="63"/>
    <n v="6"/>
    <n v="56"/>
    <n v="1"/>
    <n v="8"/>
    <n v="1"/>
    <n v="0"/>
    <n v="1"/>
  </r>
  <r>
    <n v="10"/>
    <d v="2023-12-16T13:10:53"/>
    <d v="2023-12-16T13:18:34"/>
    <s v="anhlema@lighthouse.org.mw"/>
    <s v="Angelina Nhlema"/>
    <x v="12"/>
    <s v="COE"/>
    <x v="0"/>
    <s v="COP_22"/>
    <x v="1"/>
    <x v="1"/>
    <s v="Quarter4"/>
    <x v="1"/>
    <x v="2"/>
    <d v="2023-09-01T00:00:00"/>
    <d v="2023-09-30T00:00:00"/>
    <x v="6"/>
    <n v="1"/>
    <n v="1"/>
    <n v="1"/>
    <n v="0"/>
    <n v="0"/>
    <n v="0"/>
    <n v="1"/>
    <n v="1"/>
    <n v="0"/>
    <n v="0"/>
    <n v="0"/>
    <n v="0"/>
    <n v="0"/>
    <n v="0"/>
    <n v="0"/>
    <n v="0"/>
    <n v="0"/>
    <n v="0"/>
    <n v="0"/>
    <n v="0"/>
    <n v="0"/>
    <n v="0"/>
    <n v="0"/>
    <n v="0"/>
  </r>
  <r>
    <n v="11"/>
    <d v="2023-12-16T13:18:47"/>
    <d v="2023-12-16T14:32:51"/>
    <s v="anhlema@lighthouse.org.mw"/>
    <s v="Angelina Nhlema"/>
    <x v="12"/>
    <s v="COE"/>
    <x v="0"/>
    <s v="COP_23"/>
    <x v="0"/>
    <x v="0"/>
    <s v="Quarter1"/>
    <x v="0"/>
    <x v="0"/>
    <d v="2023-10-01T00:00:00"/>
    <d v="2023-10-31T00:00:00"/>
    <x v="6"/>
    <n v="34"/>
    <n v="32"/>
    <n v="10"/>
    <n v="9"/>
    <n v="11"/>
    <n v="4"/>
    <n v="31"/>
    <n v="13"/>
    <n v="14"/>
    <n v="1"/>
    <n v="5"/>
    <n v="1"/>
    <n v="18"/>
    <n v="7"/>
    <n v="3"/>
    <n v="0"/>
    <n v="6"/>
    <n v="2"/>
    <n v="6"/>
    <n v="1"/>
    <n v="4"/>
    <n v="1"/>
    <n v="0"/>
    <n v="0"/>
  </r>
  <r>
    <n v="12"/>
    <d v="2023-12-16T15:11:50"/>
    <d v="2023-12-16T15:19:05"/>
    <s v="anhlema@lighthouse.org.mw"/>
    <s v="Angelina Nhlema"/>
    <x v="12"/>
    <s v="COE"/>
    <x v="0"/>
    <s v="COP_23"/>
    <x v="0"/>
    <x v="0"/>
    <s v="Quarter1"/>
    <x v="0"/>
    <x v="0"/>
    <d v="2023-10-01T00:00:00"/>
    <d v="2023-10-31T00:00:00"/>
    <x v="0"/>
    <n v="188"/>
    <n v="58"/>
    <n v="115"/>
    <n v="2"/>
    <n v="40"/>
    <n v="30"/>
    <n v="179"/>
    <n v="49"/>
    <n v="51"/>
    <n v="4"/>
    <n v="5"/>
    <n v="0"/>
    <n v="82"/>
    <n v="15"/>
    <n v="32"/>
    <n v="1"/>
    <n v="48"/>
    <n v="4"/>
    <n v="56"/>
    <n v="1"/>
    <n v="7"/>
    <n v="0"/>
    <n v="4"/>
    <n v="1"/>
  </r>
  <r>
    <n v="13"/>
    <d v="2023-12-16T15:39:57"/>
    <d v="2023-12-16T15:40:12"/>
    <s v="anhlema@lighthouse.org.mw"/>
    <s v="Angelina Nhlema"/>
    <x v="12"/>
    <s v="COE"/>
    <x v="0"/>
    <s v="COP_23"/>
    <x v="0"/>
    <x v="0"/>
    <s v="Quarter1"/>
    <x v="0"/>
    <x v="1"/>
    <d v="2023-11-01T00:00:00"/>
    <d v="2023-11-30T00:00:00"/>
    <x v="6"/>
    <n v="26"/>
    <n v="26"/>
    <n v="0"/>
    <n v="20"/>
    <n v="3"/>
    <n v="3"/>
    <n v="24"/>
    <n v="9"/>
    <n v="18"/>
    <n v="0"/>
    <n v="4"/>
    <n v="1"/>
    <n v="13"/>
    <n v="2"/>
    <n v="0"/>
    <n v="0"/>
    <n v="1"/>
    <n v="0"/>
    <n v="9"/>
    <n v="0"/>
    <n v="0"/>
    <n v="0"/>
    <n v="0"/>
    <n v="0"/>
  </r>
  <r>
    <n v="14"/>
    <d v="2023-12-16T15:40:15"/>
    <d v="2023-12-16T15:54:12"/>
    <s v="anhlema@lighthouse.org.mw"/>
    <s v="Angelina Nhlema"/>
    <x v="12"/>
    <s v="COE"/>
    <x v="0"/>
    <s v="COP_23"/>
    <x v="0"/>
    <x v="0"/>
    <s v="Quarter1"/>
    <x v="0"/>
    <x v="1"/>
    <d v="2023-11-01T00:00:00"/>
    <d v="2023-11-30T00:00:00"/>
    <x v="0"/>
    <n v="182"/>
    <n v="75"/>
    <n v="95"/>
    <n v="26"/>
    <n v="38"/>
    <n v="23"/>
    <n v="179"/>
    <n v="46"/>
    <n v="57"/>
    <n v="5"/>
    <n v="13"/>
    <n v="5"/>
    <n v="69"/>
    <n v="7"/>
    <n v="24"/>
    <n v="0"/>
    <n v="40"/>
    <n v="1"/>
    <n v="40"/>
    <n v="1"/>
    <n v="3"/>
    <n v="2"/>
    <n v="3"/>
    <n v="0"/>
  </r>
  <r>
    <n v="81"/>
    <d v="2024-01-11T15:57:25"/>
    <d v="2024-01-11T16:08:41"/>
    <s v="cdziwe@lighthouse.org.mw"/>
    <s v="Clement Dziwe"/>
    <x v="12"/>
    <s v="COE"/>
    <x v="0"/>
    <s v="COP_23"/>
    <x v="0"/>
    <x v="0"/>
    <s v="Quarter1"/>
    <x v="0"/>
    <x v="11"/>
    <d v="2023-12-01T00:00:00"/>
    <d v="2023-12-31T00:00:00"/>
    <x v="3"/>
    <n v="8"/>
    <n v="5"/>
    <n v="2"/>
    <n v="1"/>
    <n v="3"/>
    <n v="2"/>
    <n v="3"/>
    <n v="0"/>
    <n v="4"/>
    <n v="0"/>
    <n v="0"/>
    <n v="0"/>
    <n v="7"/>
    <n v="2"/>
    <n v="0"/>
    <n v="0"/>
    <n v="0"/>
    <n v="0"/>
    <n v="0"/>
    <n v="0"/>
    <n v="2"/>
    <n v="0"/>
    <n v="0"/>
    <n v="0"/>
  </r>
  <r>
    <n v="94"/>
    <d v="2024-01-17T14:40:22"/>
    <d v="2024-01-17T15:23:30"/>
    <s v="cdziwe@lighthouse.org.mw"/>
    <s v="Clement Dziwe"/>
    <x v="12"/>
    <s v="COE"/>
    <x v="0"/>
    <s v="COP_23"/>
    <x v="0"/>
    <x v="0"/>
    <s v="Quarter1"/>
    <x v="0"/>
    <x v="11"/>
    <d v="2023-12-01T00:00:00"/>
    <d v="2023-12-31T00:00:00"/>
    <x v="6"/>
    <n v="20"/>
    <n v="20"/>
    <n v="1"/>
    <n v="2"/>
    <n v="17"/>
    <n v="0"/>
    <n v="20"/>
    <n v="7"/>
    <n v="9"/>
    <n v="1"/>
    <n v="1"/>
    <n v="1"/>
    <n v="11"/>
    <n v="1"/>
    <n v="0"/>
    <n v="0"/>
    <n v="0"/>
    <n v="0"/>
    <n v="7"/>
    <n v="0"/>
    <n v="0"/>
    <n v="1"/>
    <n v="0"/>
    <n v="0"/>
  </r>
  <r>
    <n v="95"/>
    <d v="2024-01-17T15:28:02"/>
    <d v="2024-01-17T15:30:13"/>
    <s v="cdziwe@lighthouse.org.mw"/>
    <s v="Clement Dziwe"/>
    <x v="12"/>
    <s v="COE"/>
    <x v="0"/>
    <s v="COP_23"/>
    <x v="0"/>
    <x v="0"/>
    <s v="Quarter1"/>
    <x v="0"/>
    <x v="11"/>
    <d v="2023-12-01T00:00:00"/>
    <d v="2023-12-31T00:00:00"/>
    <x v="4"/>
    <n v="5"/>
    <n v="2"/>
    <n v="2"/>
    <n v="0"/>
    <n v="1"/>
    <n v="2"/>
    <n v="5"/>
    <n v="2"/>
    <n v="2"/>
    <n v="2"/>
    <n v="2"/>
    <n v="0"/>
    <n v="2"/>
    <n v="0"/>
    <n v="0"/>
    <n v="0"/>
    <n v="0"/>
    <n v="0"/>
    <n v="2"/>
    <n v="0"/>
    <n v="0"/>
    <n v="0"/>
    <n v="0"/>
    <n v="0"/>
  </r>
  <r>
    <n v="96"/>
    <d v="2024-01-17T15:47:17"/>
    <d v="2024-01-17T15:57:04"/>
    <s v="cdziwe@lighthouse.org.mw"/>
    <s v="Clement Dziwe"/>
    <x v="12"/>
    <s v="COE"/>
    <x v="0"/>
    <s v="COP_23"/>
    <x v="0"/>
    <x v="0"/>
    <s v="Quarter1"/>
    <x v="0"/>
    <x v="11"/>
    <d v="2023-12-01T00:00:00"/>
    <d v="2023-12-31T00:00:00"/>
    <x v="5"/>
    <n v="25"/>
    <n v="1"/>
    <n v="15"/>
    <n v="2"/>
    <n v="7"/>
    <n v="1"/>
    <n v="25"/>
    <n v="2"/>
    <n v="2"/>
    <n v="0"/>
    <n v="0"/>
    <n v="0"/>
    <n v="2"/>
    <n v="0"/>
    <n v="0"/>
    <n v="0"/>
    <n v="0"/>
    <n v="0"/>
    <n v="0"/>
    <n v="0"/>
    <n v="0"/>
    <n v="0"/>
    <n v="0"/>
    <n v="0"/>
  </r>
  <r>
    <n v="113"/>
    <d v="2024-01-23T16:04:15"/>
    <d v="2024-01-23T16:13:21"/>
    <s v="cdziwe@lighthouse.org.mw"/>
    <s v="Clement Dziwe"/>
    <x v="12"/>
    <s v="COE"/>
    <x v="0"/>
    <s v="COP_23"/>
    <x v="0"/>
    <x v="0"/>
    <s v="Quarter1"/>
    <x v="0"/>
    <x v="0"/>
    <d v="2023-10-01T00:00:00"/>
    <d v="2023-10-31T00:00:00"/>
    <x v="3"/>
    <n v="3"/>
    <n v="2"/>
    <n v="1"/>
    <n v="0"/>
    <n v="1"/>
    <n v="1"/>
    <n v="0"/>
    <n v="0"/>
    <n v="3"/>
    <n v="0"/>
    <n v="0"/>
    <n v="0"/>
    <n v="3"/>
    <n v="1"/>
    <n v="1"/>
    <n v="0"/>
    <n v="1"/>
    <n v="1"/>
    <n v="2"/>
    <n v="1"/>
    <n v="1"/>
    <n v="0"/>
    <n v="0"/>
    <n v="0"/>
  </r>
  <r>
    <n v="114"/>
    <d v="2024-01-23T16:13:35"/>
    <d v="2024-01-23T16:21:17"/>
    <s v="cdziwe@lighthouse.org.mw"/>
    <s v="Clement Dziwe"/>
    <x v="12"/>
    <s v="COE"/>
    <x v="0"/>
    <s v="COP_23"/>
    <x v="0"/>
    <x v="0"/>
    <s v="Quarter1"/>
    <x v="0"/>
    <x v="1"/>
    <d v="2023-11-01T00:00:00"/>
    <d v="2023-11-30T00:00:00"/>
    <x v="3"/>
    <n v="1"/>
    <n v="0"/>
    <n v="1"/>
    <n v="0"/>
    <n v="0"/>
    <n v="0"/>
    <n v="1"/>
    <n v="0"/>
    <n v="0"/>
    <n v="0"/>
    <n v="0"/>
    <n v="0"/>
    <n v="0"/>
    <n v="0"/>
    <n v="0"/>
    <n v="0"/>
    <n v="0"/>
    <n v="0"/>
    <n v="0"/>
    <n v="0"/>
    <n v="0"/>
    <n v="0"/>
    <n v="0"/>
    <n v="0"/>
  </r>
  <r>
    <n v="115"/>
    <d v="2024-01-23T16:21:33"/>
    <d v="2024-01-23T16:32:12"/>
    <s v="cdziwe@lighthouse.org.mw"/>
    <s v="Clement Dziwe"/>
    <x v="12"/>
    <s v="COE"/>
    <x v="0"/>
    <s v="COP_23"/>
    <x v="0"/>
    <x v="0"/>
    <s v="Quarter1"/>
    <x v="0"/>
    <x v="0"/>
    <d v="2023-10-01T00:00:00"/>
    <d v="2023-10-31T00:00:00"/>
    <x v="5"/>
    <n v="22"/>
    <n v="0"/>
    <n v="20"/>
    <n v="0"/>
    <n v="0"/>
    <n v="2"/>
    <n v="21"/>
    <n v="5"/>
    <n v="6"/>
    <n v="0"/>
    <n v="0"/>
    <n v="0"/>
    <n v="7"/>
    <n v="0"/>
    <n v="2"/>
    <n v="0"/>
    <n v="2"/>
    <n v="0"/>
    <n v="6"/>
    <n v="0"/>
    <n v="0"/>
    <n v="0"/>
    <n v="0"/>
    <n v="0"/>
  </r>
  <r>
    <n v="116"/>
    <d v="2024-01-23T16:32:46"/>
    <d v="2024-01-23T16:43:57"/>
    <s v="cdziwe@lighthouse.org.mw"/>
    <s v="Clement Dziwe"/>
    <x v="12"/>
    <s v="COE"/>
    <x v="0"/>
    <s v="COP_23"/>
    <x v="0"/>
    <x v="0"/>
    <s v="Quarter1"/>
    <x v="0"/>
    <x v="1"/>
    <d v="2023-11-01T00:00:00"/>
    <d v="2023-11-30T00:00:00"/>
    <x v="5"/>
    <n v="22"/>
    <n v="2"/>
    <n v="17"/>
    <n v="3"/>
    <n v="1"/>
    <n v="1"/>
    <n v="22"/>
    <n v="7"/>
    <n v="7"/>
    <n v="1"/>
    <n v="1"/>
    <n v="0"/>
    <n v="7"/>
    <n v="0"/>
    <n v="1"/>
    <n v="0"/>
    <n v="2"/>
    <n v="0"/>
    <n v="7"/>
    <n v="0"/>
    <n v="0"/>
    <n v="0"/>
    <n v="1"/>
    <n v="0"/>
  </r>
  <r>
    <n v="182"/>
    <d v="2024-03-21T10:22:57"/>
    <d v="2024-03-21T11:38:07"/>
    <s v="pchaula@lighthouse.org.mw"/>
    <s v="Pachalo Chaula"/>
    <x v="12"/>
    <s v="COE"/>
    <x v="1"/>
    <s v="COP_23"/>
    <x v="0"/>
    <x v="2"/>
    <s v="Quarter2"/>
    <x v="2"/>
    <x v="5"/>
    <d v="2024-02-01T00:00:00"/>
    <d v="2024-02-29T00:00:00"/>
    <x v="0"/>
    <n v="207"/>
    <n v="30"/>
    <n v="72"/>
    <n v="38"/>
    <n v="75"/>
    <n v="22"/>
    <n v="22"/>
    <n v="44"/>
    <n v="159"/>
    <n v="1"/>
    <n v="159"/>
    <n v="1"/>
    <n v="150"/>
    <n v="3"/>
    <n v="3"/>
    <n v="1"/>
    <n v="207"/>
    <n v="0"/>
    <n v="207"/>
    <n v="6"/>
    <n v="6"/>
    <n v="1"/>
    <n v="0"/>
    <n v="2"/>
  </r>
  <r>
    <n v="183"/>
    <d v="2024-03-21T11:39:55"/>
    <d v="2024-03-21T11:44:58"/>
    <s v="pchaula@lighthouse.org.mw"/>
    <s v="Pachalo Chaula"/>
    <x v="12"/>
    <s v="COE"/>
    <x v="1"/>
    <s v="COP_23"/>
    <x v="0"/>
    <x v="2"/>
    <s v="Quarter2"/>
    <x v="2"/>
    <x v="5"/>
    <d v="2024-02-01T00:00:00"/>
    <d v="2024-02-29T00:00:00"/>
    <x v="6"/>
    <n v="40"/>
    <n v="40"/>
    <n v="9"/>
    <n v="18"/>
    <n v="11"/>
    <n v="2"/>
    <n v="40"/>
    <n v="12"/>
    <n v="40"/>
    <n v="1"/>
    <n v="40"/>
    <n v="0"/>
    <n v="40"/>
    <n v="3"/>
    <n v="40"/>
    <n v="0"/>
    <n v="40"/>
    <n v="0"/>
    <n v="40"/>
    <n v="2"/>
    <n v="1"/>
    <n v="0"/>
    <n v="1"/>
    <n v="0"/>
  </r>
  <r>
    <n v="229"/>
    <d v="2024-04-09T09:20:50"/>
    <d v="2024-04-09T09:25:39"/>
    <s v="pchaula@lighthouse.org.mw"/>
    <s v="Pachalo Chaula"/>
    <x v="12"/>
    <s v="COE"/>
    <x v="1"/>
    <s v="COP_23"/>
    <x v="0"/>
    <x v="2"/>
    <s v="Quarter2"/>
    <x v="2"/>
    <x v="3"/>
    <d v="2024-03-01T00:00:00"/>
    <d v="2024-03-31T00:00:00"/>
    <x v="3"/>
    <n v="4"/>
    <n v="4"/>
    <n v="3"/>
    <n v="0"/>
    <n v="0"/>
    <n v="1"/>
    <n v="4"/>
    <n v="0"/>
    <n v="4"/>
    <n v="1"/>
    <n v="1"/>
    <n v="0"/>
    <n v="4"/>
    <n v="1"/>
    <n v="0"/>
    <n v="0"/>
    <n v="0"/>
    <n v="0"/>
    <n v="1"/>
    <n v="0"/>
    <n v="0"/>
    <n v="0"/>
    <n v="1"/>
    <n v="0"/>
  </r>
  <r>
    <n v="304"/>
    <d v="2024-04-25T07:43:17"/>
    <d v="2024-04-25T07:59:17"/>
    <s v="pchaula@lighthouse.org.mw"/>
    <s v="Pachalo Chaula"/>
    <x v="12"/>
    <s v="COE"/>
    <x v="1"/>
    <s v="COP_23"/>
    <x v="0"/>
    <x v="2"/>
    <s v="Quarter2"/>
    <x v="2"/>
    <x v="4"/>
    <d v="2024-01-01T00:00:00"/>
    <d v="2024-01-31T00:00:00"/>
    <x v="0"/>
    <n v="195"/>
    <n v="56"/>
    <n v="109"/>
    <n v="24"/>
    <n v="54"/>
    <n v="8"/>
    <n v="144"/>
    <n v="51"/>
    <n v="55"/>
    <n v="1"/>
    <n v="5"/>
    <n v="2"/>
    <n v="62"/>
    <n v="10"/>
    <n v="3"/>
    <n v="0"/>
    <n v="7"/>
    <n v="5"/>
    <n v="28"/>
    <n v="3"/>
    <n v="7"/>
    <n v="2"/>
    <n v="1"/>
    <n v="0"/>
  </r>
  <r>
    <n v="306"/>
    <d v="2024-04-25T08:19:41"/>
    <d v="2024-04-25T08:22:58"/>
    <s v="pchaula@lighthouse.org.mw"/>
    <s v="Pachalo Chaula"/>
    <x v="12"/>
    <s v="COE"/>
    <x v="1"/>
    <s v="COP_23"/>
    <x v="0"/>
    <x v="2"/>
    <s v="Quarter2"/>
    <x v="2"/>
    <x v="4"/>
    <d v="2024-01-01T00:00:00"/>
    <d v="2024-01-31T00:00:00"/>
    <x v="6"/>
    <n v="24"/>
    <n v="24"/>
    <n v="5"/>
    <n v="8"/>
    <n v="10"/>
    <n v="1"/>
    <n v="24"/>
    <n v="10"/>
    <n v="11"/>
    <n v="0"/>
    <n v="1"/>
    <n v="0"/>
    <n v="12"/>
    <n v="3"/>
    <n v="0"/>
    <n v="0"/>
    <n v="0"/>
    <n v="0"/>
    <n v="2"/>
    <n v="0"/>
    <n v="2"/>
    <n v="0"/>
    <n v="0"/>
    <n v="0"/>
  </r>
  <r>
    <n v="308"/>
    <d v="2024-04-25T08:31:19"/>
    <d v="2024-04-25T08:34:26"/>
    <s v="pchaula@lighthouse.org.mw"/>
    <s v="Pachalo Chaula"/>
    <x v="12"/>
    <s v="COE"/>
    <x v="1"/>
    <s v="COP_23"/>
    <x v="0"/>
    <x v="2"/>
    <s v="Quarter2"/>
    <x v="2"/>
    <x v="4"/>
    <d v="2024-01-01T00:00:00"/>
    <d v="2024-01-31T00:00:00"/>
    <x v="5"/>
    <n v="31"/>
    <n v="0"/>
    <n v="27"/>
    <n v="2"/>
    <n v="2"/>
    <n v="0"/>
    <n v="31"/>
    <n v="3"/>
    <n v="3"/>
    <n v="0"/>
    <n v="0"/>
    <n v="0"/>
    <n v="3"/>
    <n v="0"/>
    <n v="0"/>
    <n v="0"/>
    <n v="0"/>
    <n v="0"/>
    <n v="3"/>
    <n v="0"/>
    <n v="0"/>
    <n v="0"/>
    <n v="0"/>
    <n v="0"/>
  </r>
  <r>
    <n v="309"/>
    <d v="2024-04-25T08:34:43"/>
    <d v="2024-04-25T08:39:08"/>
    <s v="pchaula@lighthouse.org.mw"/>
    <s v="Pachalo Chaula"/>
    <x v="12"/>
    <s v="COE"/>
    <x v="1"/>
    <s v="COP_23"/>
    <x v="0"/>
    <x v="2"/>
    <s v="Quarter2"/>
    <x v="2"/>
    <x v="4"/>
    <d v="2024-01-01T00:00:00"/>
    <d v="2024-01-31T00:00:00"/>
    <x v="4"/>
    <n v="7"/>
    <n v="0"/>
    <n v="5"/>
    <n v="0"/>
    <n v="2"/>
    <n v="0"/>
    <n v="7"/>
    <n v="0"/>
    <n v="0"/>
    <n v="0"/>
    <n v="0"/>
    <n v="0"/>
    <n v="0"/>
    <n v="0"/>
    <n v="0"/>
    <n v="0"/>
    <n v="0"/>
    <n v="0"/>
    <n v="0"/>
    <n v="0"/>
    <n v="0"/>
    <n v="0"/>
    <n v="0"/>
    <n v="0"/>
  </r>
  <r>
    <n v="319"/>
    <d v="2024-04-29T14:05:48"/>
    <d v="2024-04-29T14:09:57"/>
    <s v="pchaula@lighthouse.org.mw"/>
    <s v="Pachalo Chaula"/>
    <x v="12"/>
    <s v="COE"/>
    <x v="1"/>
    <s v="COP_23"/>
    <x v="0"/>
    <x v="2"/>
    <s v="Quarter2"/>
    <x v="2"/>
    <x v="5"/>
    <d v="2024-02-01T00:00:00"/>
    <d v="2024-02-29T00:00:00"/>
    <x v="5"/>
    <n v="24"/>
    <n v="0"/>
    <n v="15"/>
    <n v="2"/>
    <n v="7"/>
    <n v="0"/>
    <n v="21"/>
    <n v="1"/>
    <n v="0"/>
    <n v="0"/>
    <n v="4"/>
    <n v="0"/>
    <n v="7"/>
    <n v="3"/>
    <n v="0"/>
    <n v="0"/>
    <n v="0"/>
    <n v="0"/>
    <n v="0"/>
    <n v="0"/>
    <n v="0"/>
    <n v="0"/>
    <n v="0"/>
    <n v="0"/>
  </r>
  <r>
    <n v="321"/>
    <d v="2024-04-29T14:34:12"/>
    <d v="2024-04-29T14:38:56"/>
    <s v="pchaula@lighthouse.org.mw"/>
    <s v="Pachalo Chaula"/>
    <x v="12"/>
    <s v="COE"/>
    <x v="1"/>
    <s v="COP_23"/>
    <x v="0"/>
    <x v="2"/>
    <s v="Quarter2"/>
    <x v="2"/>
    <x v="5"/>
    <d v="2024-02-01T00:00:00"/>
    <d v="2024-02-29T00:00:00"/>
    <x v="4"/>
    <n v="15"/>
    <n v="3"/>
    <n v="7"/>
    <n v="2"/>
    <n v="4"/>
    <n v="2"/>
    <n v="14"/>
    <n v="2"/>
    <n v="2"/>
    <n v="0"/>
    <n v="2"/>
    <n v="0"/>
    <n v="2"/>
    <n v="0"/>
    <n v="0"/>
    <n v="0"/>
    <n v="0"/>
    <n v="0"/>
    <n v="0"/>
    <n v="0"/>
    <n v="0"/>
    <n v="0"/>
    <n v="0"/>
    <n v="0"/>
  </r>
  <r>
    <n v="322"/>
    <d v="2024-04-29T14:40:24"/>
    <d v="2024-04-29T14:45:19"/>
    <s v="pchaula@lighthouse.org.mw"/>
    <s v="Pachalo Chaula"/>
    <x v="12"/>
    <s v="COE"/>
    <x v="1"/>
    <s v="COP_23"/>
    <x v="0"/>
    <x v="2"/>
    <s v="Quarter2"/>
    <x v="2"/>
    <x v="5"/>
    <d v="2024-02-01T00:00:00"/>
    <d v="2024-02-29T00:00:00"/>
    <x v="3"/>
    <n v="3"/>
    <n v="0"/>
    <n v="1"/>
    <n v="0"/>
    <n v="2"/>
    <n v="0"/>
    <n v="0"/>
    <n v="0"/>
    <n v="2"/>
    <n v="0"/>
    <n v="0"/>
    <n v="0"/>
    <n v="3"/>
    <n v="2"/>
    <n v="0"/>
    <n v="0"/>
    <n v="0"/>
    <n v="0"/>
    <n v="0"/>
    <n v="0"/>
    <n v="0"/>
    <n v="0"/>
    <n v="0"/>
    <n v="0"/>
  </r>
  <r>
    <n v="325"/>
    <d v="2024-04-29T15:01:33"/>
    <d v="2024-04-29T15:10:36"/>
    <s v="pchaula@lighthouse.org.mw"/>
    <s v="Pachalo Chaula"/>
    <x v="12"/>
    <s v="COE"/>
    <x v="1"/>
    <s v="COP_23"/>
    <x v="0"/>
    <x v="2"/>
    <s v="Quarter2"/>
    <x v="2"/>
    <x v="3"/>
    <d v="2024-03-01T00:00:00"/>
    <d v="2024-03-31T00:00:00"/>
    <x v="6"/>
    <n v="14"/>
    <n v="14"/>
    <n v="1"/>
    <n v="2"/>
    <n v="2"/>
    <n v="9"/>
    <n v="11"/>
    <n v="6"/>
    <n v="5"/>
    <n v="1"/>
    <n v="0"/>
    <n v="0"/>
    <n v="5"/>
    <n v="2"/>
    <n v="1"/>
    <n v="1"/>
    <n v="2"/>
    <n v="2"/>
    <n v="4"/>
    <n v="1"/>
    <n v="1"/>
    <n v="0"/>
    <n v="0"/>
    <n v="0"/>
  </r>
  <r>
    <n v="326"/>
    <d v="2024-04-29T15:10:47"/>
    <d v="2024-04-29T15:25:01"/>
    <s v="pchaula@lighthouse.org.mw"/>
    <s v="Pachalo Chaula"/>
    <x v="12"/>
    <s v="COE"/>
    <x v="1"/>
    <s v="COP_23"/>
    <x v="0"/>
    <x v="2"/>
    <s v="Quarter2"/>
    <x v="2"/>
    <x v="3"/>
    <d v="2024-03-01T00:00:00"/>
    <d v="2024-03-31T00:00:00"/>
    <x v="4"/>
    <n v="7"/>
    <n v="2"/>
    <n v="3"/>
    <n v="2"/>
    <n v="0"/>
    <n v="2"/>
    <n v="0"/>
    <n v="3"/>
    <n v="3"/>
    <n v="0"/>
    <n v="3"/>
    <n v="0"/>
    <n v="1"/>
    <n v="1"/>
    <n v="2"/>
    <n v="0"/>
    <n v="0"/>
    <n v="0"/>
    <n v="1"/>
    <n v="0"/>
    <n v="0"/>
    <n v="0"/>
    <n v="0"/>
    <n v="0"/>
  </r>
  <r>
    <n v="369"/>
    <d v="2024-05-08T11:24:29"/>
    <d v="2024-05-08T11:25:55"/>
    <s v="pchaula@lighthouse.org.mw"/>
    <s v="Pachalo Chaula"/>
    <x v="12"/>
    <s v="COE"/>
    <x v="1"/>
    <s v="COP_23"/>
    <x v="0"/>
    <x v="2"/>
    <s v="Quarter2"/>
    <x v="2"/>
    <x v="4"/>
    <d v="2024-01-01T00:00:00"/>
    <d v="2024-01-31T00:00:00"/>
    <x v="3"/>
    <n v="0"/>
    <n v="0"/>
    <n v="0"/>
    <n v="0"/>
    <n v="0"/>
    <n v="0"/>
    <n v="0"/>
    <n v="0"/>
    <n v="0"/>
    <n v="0"/>
    <n v="0"/>
    <n v="0"/>
    <n v="0"/>
    <n v="0"/>
    <n v="0"/>
    <n v="0"/>
    <n v="0"/>
    <n v="0"/>
    <n v="0"/>
    <n v="0"/>
    <n v="0"/>
    <n v="0"/>
    <n v="0"/>
    <n v="0"/>
  </r>
  <r>
    <n v="370"/>
    <d v="2024-05-08T11:26:01"/>
    <d v="2024-05-08T11:30:20"/>
    <s v="pchaula@lighthouse.org.mw"/>
    <s v="Pachalo Chaula"/>
    <x v="12"/>
    <s v="COE"/>
    <x v="1"/>
    <s v="COP_23"/>
    <x v="0"/>
    <x v="2"/>
    <s v="Quarter2"/>
    <x v="2"/>
    <x v="3"/>
    <d v="2024-03-01T00:00:00"/>
    <d v="2024-03-31T00:00:00"/>
    <x v="0"/>
    <n v="145"/>
    <n v="30"/>
    <n v="64"/>
    <n v="14"/>
    <n v="44"/>
    <n v="23"/>
    <n v="140"/>
    <n v="40"/>
    <n v="39"/>
    <n v="4"/>
    <n v="4"/>
    <n v="1"/>
    <n v="42"/>
    <n v="9"/>
    <n v="35"/>
    <n v="5"/>
    <n v="44"/>
    <n v="4"/>
    <n v="35"/>
    <n v="6"/>
    <n v="9"/>
    <n v="1"/>
    <n v="3"/>
    <n v="2"/>
  </r>
  <r>
    <n v="371"/>
    <d v="2024-05-08T11:30:39"/>
    <d v="2024-05-08T11:34:09"/>
    <s v="pchaula@lighthouse.org.mw"/>
    <s v="Pachalo Chaula"/>
    <x v="12"/>
    <s v="COE"/>
    <x v="1"/>
    <s v="COP_23"/>
    <x v="0"/>
    <x v="2"/>
    <s v="Quarter2"/>
    <x v="2"/>
    <x v="3"/>
    <d v="2024-03-01T00:00:00"/>
    <d v="2024-03-31T00:00:00"/>
    <x v="5"/>
    <n v="23"/>
    <n v="3"/>
    <n v="19"/>
    <n v="0"/>
    <n v="2"/>
    <n v="2"/>
    <n v="23"/>
    <n v="5"/>
    <n v="5"/>
    <n v="0"/>
    <n v="0"/>
    <n v="0"/>
    <n v="5"/>
    <n v="1"/>
    <n v="0"/>
    <n v="0"/>
    <n v="0"/>
    <n v="0"/>
    <n v="5"/>
    <n v="0"/>
    <n v="1"/>
    <n v="0"/>
    <n v="0"/>
    <n v="0"/>
  </r>
  <r>
    <n v="397"/>
    <d v="2024-05-09T14:41:32"/>
    <d v="2024-05-09T14:47:01"/>
    <s v="pchaula@lighthouse.org.mw"/>
    <s v="Pachalo Chaula"/>
    <x v="12"/>
    <s v="COE"/>
    <x v="1"/>
    <s v="COP_24"/>
    <x v="0"/>
    <x v="3"/>
    <s v="Quarter3"/>
    <x v="3"/>
    <x v="7"/>
    <d v="2024-04-01T00:00:00"/>
    <d v="2024-04-30T00:00:00"/>
    <x v="0"/>
    <n v="141"/>
    <n v="37"/>
    <n v="73"/>
    <n v="17"/>
    <n v="37"/>
    <n v="14"/>
    <n v="14"/>
    <n v="62"/>
    <n v="43"/>
    <n v="1"/>
    <n v="2"/>
    <n v="0"/>
    <n v="47"/>
    <n v="5"/>
    <n v="7"/>
    <n v="1"/>
    <n v="15"/>
    <n v="7"/>
    <n v="35"/>
    <n v="5"/>
    <n v="7"/>
    <n v="0"/>
    <n v="1"/>
    <n v="0"/>
  </r>
  <r>
    <n v="398"/>
    <d v="2024-05-09T14:47:19"/>
    <d v="2024-05-09T14:52:43"/>
    <s v="pchaula@lighthouse.org.mw"/>
    <s v="Pachalo Chaula"/>
    <x v="12"/>
    <s v="COE"/>
    <x v="1"/>
    <s v="COP_24"/>
    <x v="0"/>
    <x v="3"/>
    <s v="Quarter3"/>
    <x v="3"/>
    <x v="7"/>
    <d v="2024-04-01T00:00:00"/>
    <d v="2024-04-30T00:00:00"/>
    <x v="6"/>
    <n v="63"/>
    <n v="63"/>
    <n v="14"/>
    <n v="20"/>
    <n v="25"/>
    <n v="4"/>
    <n v="62"/>
    <n v="24"/>
    <n v="22"/>
    <n v="2"/>
    <n v="4"/>
    <n v="0"/>
    <n v="20"/>
    <n v="3"/>
    <n v="1"/>
    <n v="0"/>
    <n v="4"/>
    <n v="1"/>
    <n v="11"/>
    <n v="2"/>
    <n v="4"/>
    <n v="4"/>
    <n v="0"/>
    <n v="2"/>
  </r>
  <r>
    <n v="400"/>
    <d v="2024-05-09T14:58:09"/>
    <d v="2024-05-09T15:01:03"/>
    <s v="pchaula@lighthouse.org.mw"/>
    <s v="Pachalo Chaula"/>
    <x v="12"/>
    <s v="COE"/>
    <x v="1"/>
    <s v="COP_24"/>
    <x v="0"/>
    <x v="3"/>
    <s v="Quarter3"/>
    <x v="3"/>
    <x v="7"/>
    <d v="2024-04-01T00:00:00"/>
    <d v="2024-04-30T00:00:00"/>
    <x v="5"/>
    <n v="31"/>
    <n v="0"/>
    <n v="37"/>
    <n v="1"/>
    <n v="1"/>
    <n v="2"/>
    <n v="31"/>
    <n v="5"/>
    <n v="5"/>
    <n v="0"/>
    <n v="0"/>
    <n v="0"/>
    <n v="0"/>
    <n v="0"/>
    <n v="2"/>
    <n v="0"/>
    <n v="3"/>
    <n v="0"/>
    <n v="5"/>
    <n v="0"/>
    <n v="2"/>
    <n v="0"/>
    <n v="0"/>
    <n v="0"/>
  </r>
  <r>
    <n v="401"/>
    <d v="2024-05-09T15:01:17"/>
    <d v="2024-05-09T15:02:21"/>
    <s v="pchaula@lighthouse.org.mw"/>
    <s v="Pachalo Chaula"/>
    <x v="12"/>
    <s v="COE"/>
    <x v="1"/>
    <s v="COP_24"/>
    <x v="0"/>
    <x v="3"/>
    <s v="Quarter3"/>
    <x v="3"/>
    <x v="7"/>
    <d v="2024-04-01T00:00:00"/>
    <d v="2024-04-30T00:00:00"/>
    <x v="3"/>
    <n v="0"/>
    <n v="0"/>
    <n v="0"/>
    <n v="0"/>
    <n v="0"/>
    <n v="0"/>
    <n v="0"/>
    <n v="0"/>
    <n v="0"/>
    <n v="0"/>
    <n v="0"/>
    <n v="0"/>
    <n v="0"/>
    <n v="0"/>
    <n v="0"/>
    <n v="0"/>
    <n v="0"/>
    <n v="0"/>
    <n v="0"/>
    <n v="0"/>
    <n v="0"/>
    <n v="0"/>
    <n v="0"/>
    <n v="0"/>
  </r>
  <r>
    <n v="402"/>
    <d v="2024-05-09T15:02:34"/>
    <d v="2024-05-09T15:06:37"/>
    <s v="pchaula@lighthouse.org.mw"/>
    <s v="Pachalo Chaula"/>
    <x v="12"/>
    <s v="COE"/>
    <x v="1"/>
    <s v="COP_24"/>
    <x v="0"/>
    <x v="3"/>
    <s v="Quarter3"/>
    <x v="3"/>
    <x v="7"/>
    <d v="2024-04-01T00:00:00"/>
    <d v="2024-04-30T00:00:00"/>
    <x v="4"/>
    <n v="8"/>
    <n v="0"/>
    <n v="4"/>
    <n v="2"/>
    <n v="2"/>
    <n v="0"/>
    <n v="8"/>
    <n v="2"/>
    <n v="0"/>
    <n v="0"/>
    <n v="0"/>
    <n v="0"/>
    <n v="2"/>
    <n v="0"/>
    <n v="0"/>
    <n v="0"/>
    <n v="0"/>
    <n v="0"/>
    <n v="2"/>
    <n v="0"/>
    <n v="0"/>
    <n v="0"/>
    <n v="0"/>
    <n v="0"/>
  </r>
  <r>
    <n v="515"/>
    <d v="2024-06-07T10:43:26"/>
    <d v="2024-06-07T10:50:20"/>
    <s v="pchaula@lighthouse.org.mw"/>
    <s v="Pachalo Chaula"/>
    <x v="12"/>
    <s v="COE"/>
    <x v="1"/>
    <s v="COP_24"/>
    <x v="0"/>
    <x v="3"/>
    <s v="Quarter3"/>
    <x v="3"/>
    <x v="6"/>
    <d v="2024-05-01T00:00:00"/>
    <d v="2024-05-31T00:00:00"/>
    <x v="0"/>
    <n v="124"/>
    <n v="24"/>
    <n v="82"/>
    <n v="9"/>
    <n v="17"/>
    <n v="16"/>
    <n v="71"/>
    <n v="20"/>
    <n v="72"/>
    <n v="2"/>
    <n v="3"/>
    <n v="1"/>
    <n v="9"/>
    <n v="0"/>
    <n v="11"/>
    <n v="0"/>
    <n v="4"/>
    <n v="0"/>
    <n v="49"/>
    <n v="4"/>
    <n v="3"/>
    <n v="1"/>
    <n v="2"/>
    <n v="4"/>
  </r>
  <r>
    <n v="521"/>
    <d v="2024-06-07T10:54:53"/>
    <d v="2024-06-07T11:09:56"/>
    <s v="pchaula@lighthouse.org.mw"/>
    <s v="Pachalo Chaula"/>
    <x v="12"/>
    <s v="COE"/>
    <x v="1"/>
    <s v="COP_24"/>
    <x v="0"/>
    <x v="3"/>
    <s v="Quarter3"/>
    <x v="3"/>
    <x v="6"/>
    <d v="2024-05-01T00:00:00"/>
    <d v="2024-05-31T00:00:00"/>
    <x v="6"/>
    <n v="54"/>
    <n v="54"/>
    <n v="18"/>
    <n v="7"/>
    <n v="14"/>
    <n v="15"/>
    <n v="35"/>
    <n v="10"/>
    <n v="22"/>
    <n v="2"/>
    <n v="2"/>
    <n v="1"/>
    <n v="4"/>
    <n v="1"/>
    <n v="8"/>
    <n v="1"/>
    <n v="11"/>
    <n v="7"/>
    <n v="26"/>
    <n v="6"/>
    <n v="6"/>
    <n v="1"/>
    <n v="0"/>
    <n v="0"/>
  </r>
  <r>
    <n v="524"/>
    <d v="2024-06-07T11:13:00"/>
    <d v="2024-06-07T11:14:48"/>
    <s v="pchaula@lighthouse.org.mw"/>
    <s v="Pachalo Chaula"/>
    <x v="12"/>
    <s v="COE"/>
    <x v="1"/>
    <s v="COP_24"/>
    <x v="0"/>
    <x v="3"/>
    <s v="Quarter3"/>
    <x v="3"/>
    <x v="6"/>
    <d v="2024-05-01T00:00:00"/>
    <d v="2024-05-31T00:00:00"/>
    <x v="4"/>
    <n v="6"/>
    <n v="1"/>
    <n v="3"/>
    <n v="1"/>
    <n v="1"/>
    <n v="1"/>
    <n v="2"/>
    <n v="1"/>
    <n v="4"/>
    <n v="0"/>
    <n v="1"/>
    <n v="0"/>
    <n v="1"/>
    <n v="0"/>
    <n v="0"/>
    <n v="0"/>
    <n v="0"/>
    <n v="0"/>
    <n v="2"/>
    <n v="0"/>
    <n v="0"/>
    <n v="0"/>
    <n v="0"/>
    <n v="0"/>
  </r>
  <r>
    <n v="526"/>
    <d v="2024-06-07T11:15:26"/>
    <d v="2024-06-07T11:37:57"/>
    <s v="pchaula@lighthouse.org.mw"/>
    <s v="Pachalo Chaula"/>
    <x v="12"/>
    <s v="COE"/>
    <x v="1"/>
    <s v="COP_24"/>
    <x v="0"/>
    <x v="3"/>
    <s v="Quarter3"/>
    <x v="3"/>
    <x v="6"/>
    <d v="2024-05-01T00:00:00"/>
    <d v="2024-05-31T00:00:00"/>
    <x v="5"/>
    <n v="17"/>
    <n v="1"/>
    <n v="14"/>
    <n v="0"/>
    <n v="2"/>
    <n v="1"/>
    <n v="12"/>
    <n v="2"/>
    <n v="0"/>
    <n v="0"/>
    <n v="0"/>
    <n v="0"/>
    <n v="2"/>
    <n v="0"/>
    <n v="0"/>
    <n v="0"/>
    <n v="0"/>
    <n v="0"/>
    <n v="2"/>
    <n v="0"/>
    <n v="0"/>
    <n v="0"/>
    <n v="0"/>
    <n v="0"/>
  </r>
  <r>
    <n v="527"/>
    <d v="2024-06-07T15:41:11"/>
    <d v="2024-06-07T15:45:14"/>
    <s v="pchaula@lighthouse.org.mw"/>
    <s v="Pachalo Chaula"/>
    <x v="12"/>
    <s v="COE"/>
    <x v="1"/>
    <s v="COP_24"/>
    <x v="0"/>
    <x v="3"/>
    <s v="Quarter3"/>
    <x v="3"/>
    <x v="6"/>
    <d v="2024-05-01T00:00:00"/>
    <d v="2024-05-31T00:00:00"/>
    <x v="3"/>
    <n v="7"/>
    <n v="1"/>
    <n v="3"/>
    <n v="0"/>
    <n v="2"/>
    <n v="2"/>
    <n v="0"/>
    <n v="0"/>
    <n v="0"/>
    <n v="0"/>
    <n v="0"/>
    <n v="0"/>
    <n v="0"/>
    <n v="0"/>
    <n v="0"/>
    <n v="0"/>
    <n v="0"/>
    <n v="0"/>
    <n v="2"/>
    <n v="1"/>
    <n v="1"/>
    <n v="0"/>
    <n v="0"/>
    <n v="0"/>
  </r>
  <r>
    <n v="581"/>
    <d v="2024-07-04T13:27:16"/>
    <d v="2024-07-04T13:33:23"/>
    <s v="pchaula@lighthouse.org.mw"/>
    <s v="Pachalo Chaula"/>
    <x v="12"/>
    <s v="COE"/>
    <x v="1"/>
    <s v="COP_24"/>
    <x v="0"/>
    <x v="3"/>
    <s v="Quarter3"/>
    <x v="3"/>
    <x v="8"/>
    <d v="2024-06-01T00:00:00"/>
    <d v="2024-06-30T00:00:00"/>
    <x v="0"/>
    <n v="158"/>
    <n v="46"/>
    <n v="85"/>
    <n v="15"/>
    <n v="36"/>
    <n v="22"/>
    <n v="156"/>
    <n v="42"/>
    <n v="46"/>
    <n v="1"/>
    <n v="5"/>
    <n v="0"/>
    <n v="0"/>
    <n v="0"/>
    <n v="6"/>
    <n v="1"/>
    <n v="15"/>
    <n v="6"/>
    <n v="39"/>
    <n v="6"/>
    <n v="7"/>
    <n v="0"/>
    <n v="1"/>
    <n v="7"/>
  </r>
  <r>
    <n v="583"/>
    <d v="2024-07-04T13:37:42"/>
    <d v="2024-07-04T13:43:14"/>
    <s v="pchaula@lighthouse.org.mw"/>
    <s v="Pachalo Chaula"/>
    <x v="12"/>
    <s v="COE"/>
    <x v="1"/>
    <s v="COP_24"/>
    <x v="0"/>
    <x v="3"/>
    <s v="Quarter3"/>
    <x v="3"/>
    <x v="8"/>
    <d v="2024-06-01T00:00:00"/>
    <d v="2024-06-30T00:00:00"/>
    <x v="4"/>
    <n v="7"/>
    <n v="3"/>
    <n v="5"/>
    <n v="1"/>
    <n v="0"/>
    <n v="1"/>
    <n v="7"/>
    <n v="1"/>
    <n v="2"/>
    <n v="0"/>
    <n v="0"/>
    <n v="0"/>
    <n v="0"/>
    <n v="0"/>
    <n v="0"/>
    <n v="0"/>
    <n v="0"/>
    <n v="0"/>
    <n v="1"/>
    <n v="0"/>
    <n v="0"/>
    <n v="0"/>
    <n v="0"/>
    <n v="1"/>
  </r>
  <r>
    <n v="584"/>
    <d v="2024-07-04T13:45:33"/>
    <d v="2024-07-04T14:07:17"/>
    <s v="pchaula@lighthouse.org.mw"/>
    <s v="Pachalo Chaula"/>
    <x v="12"/>
    <s v="COE"/>
    <x v="1"/>
    <s v="COP_24"/>
    <x v="0"/>
    <x v="3"/>
    <s v="Quarter3"/>
    <x v="3"/>
    <x v="8"/>
    <d v="2024-06-01T00:00:00"/>
    <d v="2024-06-30T00:00:00"/>
    <x v="5"/>
    <n v="29"/>
    <n v="4"/>
    <n v="23"/>
    <n v="2"/>
    <n v="1"/>
    <n v="32"/>
    <n v="28"/>
    <n v="7"/>
    <n v="7"/>
    <n v="0"/>
    <n v="1"/>
    <n v="0"/>
    <n v="0"/>
    <n v="0"/>
    <n v="0"/>
    <n v="0"/>
    <n v="0"/>
    <n v="0"/>
    <n v="6"/>
    <n v="1"/>
    <n v="1"/>
    <n v="0"/>
    <n v="0"/>
    <n v="1"/>
  </r>
  <r>
    <n v="585"/>
    <d v="2024-07-04T14:07:26"/>
    <d v="2024-07-04T14:11:43"/>
    <s v="pchaula@lighthouse.org.mw"/>
    <s v="Pachalo Chaula"/>
    <x v="12"/>
    <s v="COE"/>
    <x v="1"/>
    <s v="COP_24"/>
    <x v="0"/>
    <x v="3"/>
    <s v="Quarter3"/>
    <x v="3"/>
    <x v="8"/>
    <d v="2024-06-01T00:00:00"/>
    <d v="2024-06-30T00:00:00"/>
    <x v="3"/>
    <n v="1"/>
    <n v="0"/>
    <n v="1"/>
    <n v="0"/>
    <n v="0"/>
    <n v="0"/>
    <n v="0"/>
    <n v="0"/>
    <n v="1"/>
    <n v="0"/>
    <n v="0"/>
    <n v="0"/>
    <n v="0"/>
    <n v="0"/>
    <n v="0"/>
    <n v="0"/>
    <n v="0"/>
    <n v="0"/>
    <n v="1"/>
    <n v="0"/>
    <n v="0"/>
    <n v="0"/>
    <n v="0"/>
    <n v="0"/>
  </r>
  <r>
    <n v="587"/>
    <d v="2024-07-04T14:16:07"/>
    <d v="2024-07-04T14:20:20"/>
    <s v="pchaula@lighthouse.org.mw"/>
    <s v="Pachalo Chaula"/>
    <x v="12"/>
    <s v="COE"/>
    <x v="1"/>
    <s v="COP_24"/>
    <x v="0"/>
    <x v="3"/>
    <s v="Quarter3"/>
    <x v="3"/>
    <x v="8"/>
    <d v="2024-06-01T00:00:00"/>
    <d v="2024-06-30T00:00:00"/>
    <x v="6"/>
    <n v="44"/>
    <n v="44"/>
    <n v="31"/>
    <n v="2"/>
    <n v="9"/>
    <n v="2"/>
    <n v="44"/>
    <n v="16"/>
    <n v="16"/>
    <n v="0"/>
    <n v="2"/>
    <n v="0"/>
    <n v="0"/>
    <n v="0"/>
    <n v="5"/>
    <n v="0"/>
    <n v="7"/>
    <n v="1"/>
    <n v="12"/>
    <n v="1"/>
    <n v="1"/>
    <n v="0"/>
    <n v="0"/>
    <n v="1"/>
  </r>
  <r>
    <n v="711"/>
    <d v="2024-08-05T13:56:32"/>
    <d v="2024-08-05T14:03:02"/>
    <s v="pchaula@lighthouse.org.mw"/>
    <s v="Pachalo Chaula"/>
    <x v="12"/>
    <s v="COE"/>
    <x v="1"/>
    <s v="COP_23"/>
    <x v="0"/>
    <x v="1"/>
    <s v="Quarter4"/>
    <x v="1"/>
    <x v="9"/>
    <d v="2024-07-01T00:00:00"/>
    <d v="2024-07-31T00:00:00"/>
    <x v="0"/>
    <n v="127"/>
    <n v="33"/>
    <n v="67"/>
    <n v="16"/>
    <n v="36"/>
    <n v="8"/>
    <n v="122"/>
    <n v="37"/>
    <n v="48"/>
    <n v="0"/>
    <n v="5"/>
    <n v="0"/>
    <n v="0"/>
    <n v="0"/>
    <n v="2"/>
    <n v="0"/>
    <n v="19"/>
    <n v="11"/>
    <n v="43"/>
    <n v="0"/>
    <n v="0"/>
    <n v="0"/>
    <n v="0"/>
    <n v="3"/>
  </r>
  <r>
    <n v="718"/>
    <d v="2024-08-05T15:01:43"/>
    <d v="2024-08-06T08:14:22"/>
    <s v="pchaula@lighthouse.org.mw"/>
    <s v="Pachalo Chaula"/>
    <x v="12"/>
    <s v="COE"/>
    <x v="1"/>
    <s v="COP_23"/>
    <x v="0"/>
    <x v="1"/>
    <s v="Quarter4"/>
    <x v="1"/>
    <x v="9"/>
    <d v="2024-07-01T00:00:00"/>
    <d v="2024-07-31T00:00:00"/>
    <x v="5"/>
    <n v="26"/>
    <n v="0"/>
    <n v="20"/>
    <n v="5"/>
    <n v="1"/>
    <n v="0"/>
    <n v="26"/>
    <n v="6"/>
    <n v="7"/>
    <n v="0"/>
    <n v="0"/>
    <n v="0"/>
    <n v="0"/>
    <n v="0"/>
    <n v="0"/>
    <n v="0"/>
    <n v="1"/>
    <n v="0"/>
    <n v="5"/>
    <n v="0"/>
    <n v="0"/>
    <n v="0"/>
    <n v="0"/>
    <n v="0"/>
  </r>
  <r>
    <n v="719"/>
    <d v="2024-08-06T08:14:26"/>
    <d v="2024-08-06T08:16:31"/>
    <s v="pchaula@lighthouse.org.mw"/>
    <s v="Pachalo Chaula"/>
    <x v="12"/>
    <s v="COE"/>
    <x v="1"/>
    <s v="COP_23"/>
    <x v="0"/>
    <x v="1"/>
    <s v="Quarter4"/>
    <x v="1"/>
    <x v="9"/>
    <d v="2024-07-01T00:00:00"/>
    <d v="2024-07-31T00:00:00"/>
    <x v="4"/>
    <n v="4"/>
    <n v="0"/>
    <n v="4"/>
    <n v="0"/>
    <n v="0"/>
    <n v="0"/>
    <n v="4"/>
    <n v="0"/>
    <n v="4"/>
    <n v="0"/>
    <n v="4"/>
    <n v="0"/>
    <n v="0"/>
    <n v="0"/>
    <n v="0"/>
    <n v="0"/>
    <n v="0"/>
    <n v="0"/>
    <n v="0"/>
    <n v="0"/>
    <n v="0"/>
    <n v="0"/>
    <n v="0"/>
    <n v="0"/>
  </r>
  <r>
    <n v="720"/>
    <d v="2024-08-06T08:16:57"/>
    <d v="2024-08-06T08:19:40"/>
    <s v="pchaula@lighthouse.org.mw"/>
    <s v="Pachalo Chaula"/>
    <x v="12"/>
    <s v="COE"/>
    <x v="1"/>
    <s v="COP_23"/>
    <x v="0"/>
    <x v="1"/>
    <s v="Quarter4"/>
    <x v="1"/>
    <x v="9"/>
    <d v="2024-07-01T00:00:00"/>
    <d v="2024-07-31T00:00:00"/>
    <x v="3"/>
    <n v="1"/>
    <n v="1"/>
    <n v="0"/>
    <n v="0"/>
    <n v="0"/>
    <n v="1"/>
    <n v="0"/>
    <n v="0"/>
    <n v="0"/>
    <n v="0"/>
    <n v="0"/>
    <n v="0"/>
    <n v="0"/>
    <n v="0"/>
    <n v="0"/>
    <n v="0"/>
    <n v="0"/>
    <n v="0"/>
    <n v="1"/>
    <n v="1"/>
    <n v="1"/>
    <n v="0"/>
    <n v="0"/>
    <n v="0"/>
  </r>
  <r>
    <n v="721"/>
    <d v="2024-08-06T08:19:52"/>
    <d v="2024-08-06T08:24:48"/>
    <s v="pchaula@lighthouse.org.mw"/>
    <s v="Pachalo Chaula"/>
    <x v="12"/>
    <s v="COE"/>
    <x v="1"/>
    <s v="COP_23"/>
    <x v="0"/>
    <x v="1"/>
    <s v="Quarter4"/>
    <x v="1"/>
    <x v="9"/>
    <d v="2024-07-01T00:00:00"/>
    <d v="2024-07-31T00:00:00"/>
    <x v="6"/>
    <n v="30"/>
    <n v="30"/>
    <n v="12"/>
    <n v="3"/>
    <n v="8"/>
    <n v="7"/>
    <n v="26"/>
    <n v="7"/>
    <n v="11"/>
    <n v="0"/>
    <n v="2"/>
    <n v="0"/>
    <n v="0"/>
    <n v="0"/>
    <n v="1"/>
    <n v="1"/>
    <n v="2"/>
    <n v="2"/>
    <n v="10"/>
    <n v="3"/>
    <n v="2"/>
    <n v="0"/>
    <n v="0"/>
    <n v="0"/>
  </r>
  <r>
    <n v="799"/>
    <d v="2024-09-12T08:54:16"/>
    <d v="2024-09-12T08:58:45"/>
    <s v="pchaula@lighthouse.org.mw"/>
    <s v="Pachalo Chaula"/>
    <x v="12"/>
    <s v="COE"/>
    <x v="1"/>
    <s v="COP_23"/>
    <x v="0"/>
    <x v="1"/>
    <s v="Quarter4"/>
    <x v="1"/>
    <x v="10"/>
    <d v="2024-08-01T00:00:00"/>
    <d v="2024-08-31T00:00:00"/>
    <x v="0"/>
    <n v="102"/>
    <n v="38"/>
    <n v="49"/>
    <n v="11"/>
    <n v="30"/>
    <n v="12"/>
    <n v="80"/>
    <n v="20"/>
    <n v="20"/>
    <n v="3"/>
    <n v="3"/>
    <n v="0"/>
    <n v="7"/>
    <n v="1"/>
    <n v="5"/>
    <n v="2"/>
    <n v="17"/>
    <n v="8"/>
    <n v="40"/>
    <n v="8"/>
    <n v="10"/>
    <n v="0"/>
    <n v="3"/>
    <n v="1"/>
  </r>
  <r>
    <n v="801"/>
    <d v="2024-09-12T09:03:53"/>
    <d v="2024-09-12T09:09:14"/>
    <s v="pchaula@lighthouse.org.mw"/>
    <s v="Pachalo Chaula"/>
    <x v="12"/>
    <s v="COE"/>
    <x v="1"/>
    <s v="COP_23"/>
    <x v="0"/>
    <x v="1"/>
    <s v="Quarter4"/>
    <x v="1"/>
    <x v="10"/>
    <d v="2024-08-31T00:00:00"/>
    <d v="2024-08-31T00:00:00"/>
    <x v="5"/>
    <n v="15"/>
    <n v="2"/>
    <n v="12"/>
    <n v="2"/>
    <n v="0"/>
    <n v="1"/>
    <n v="13"/>
    <n v="2"/>
    <n v="0"/>
    <n v="0"/>
    <n v="0"/>
    <n v="0"/>
    <n v="2"/>
    <n v="0"/>
    <n v="1"/>
    <n v="0"/>
    <n v="1"/>
    <n v="0"/>
    <n v="14"/>
    <n v="1"/>
    <n v="1"/>
    <n v="0"/>
    <n v="0"/>
    <n v="0"/>
  </r>
  <r>
    <n v="802"/>
    <d v="2024-09-12T09:09:28"/>
    <d v="2024-09-12T09:12:09"/>
    <s v="pchaula@lighthouse.org.mw"/>
    <s v="Pachalo Chaula"/>
    <x v="12"/>
    <s v="COE"/>
    <x v="1"/>
    <s v="COP_23"/>
    <x v="0"/>
    <x v="1"/>
    <s v="Quarter4"/>
    <x v="1"/>
    <x v="10"/>
    <d v="2024-08-01T00:00:00"/>
    <d v="2024-08-31T00:00:00"/>
    <x v="3"/>
    <n v="3"/>
    <n v="1"/>
    <n v="2"/>
    <n v="0"/>
    <n v="1"/>
    <n v="0"/>
    <n v="0"/>
    <n v="0"/>
    <n v="3"/>
    <n v="0"/>
    <n v="0"/>
    <n v="0"/>
    <n v="0"/>
    <n v="0"/>
    <n v="0"/>
    <n v="0"/>
    <n v="0"/>
    <n v="0"/>
    <n v="0"/>
    <n v="0"/>
    <n v="0"/>
    <n v="0"/>
    <n v="0"/>
    <n v="0"/>
  </r>
  <r>
    <n v="803"/>
    <d v="2024-09-12T09:12:20"/>
    <d v="2024-09-12T09:18:04"/>
    <s v="pchaula@lighthouse.org.mw"/>
    <s v="Pachalo Chaula"/>
    <x v="12"/>
    <s v="COE"/>
    <x v="1"/>
    <s v="COP_23"/>
    <x v="0"/>
    <x v="1"/>
    <s v="Quarter4"/>
    <x v="1"/>
    <x v="10"/>
    <d v="2024-08-01T00:00:00"/>
    <d v="2024-08-31T00:00:00"/>
    <x v="6"/>
    <n v="29"/>
    <n v="29"/>
    <n v="0"/>
    <n v="5"/>
    <n v="21"/>
    <n v="3"/>
    <n v="25"/>
    <n v="7"/>
    <n v="7"/>
    <n v="0"/>
    <n v="0"/>
    <n v="0"/>
    <n v="2"/>
    <n v="0"/>
    <n v="2"/>
    <n v="0"/>
    <n v="4"/>
    <n v="1"/>
    <n v="13"/>
    <n v="1"/>
    <n v="0"/>
    <n v="0"/>
    <n v="0"/>
    <n v="1"/>
  </r>
  <r>
    <n v="804"/>
    <d v="2024-09-12T09:18:15"/>
    <d v="2024-09-12T09:21:26"/>
    <s v="pchaula@lighthouse.org.mw"/>
    <s v="Pachalo Chaula"/>
    <x v="12"/>
    <s v="COE"/>
    <x v="1"/>
    <s v="COP_23"/>
    <x v="0"/>
    <x v="1"/>
    <s v="Quarter4"/>
    <x v="1"/>
    <x v="10"/>
    <d v="2024-08-01T00:00:00"/>
    <d v="2024-08-31T00:00:00"/>
    <x v="4"/>
    <n v="2"/>
    <n v="1"/>
    <n v="0"/>
    <n v="1"/>
    <n v="1"/>
    <n v="0"/>
    <n v="2"/>
    <n v="1"/>
    <n v="2"/>
    <n v="0"/>
    <n v="1"/>
    <n v="0"/>
    <n v="0"/>
    <n v="0"/>
    <n v="0"/>
    <n v="0"/>
    <n v="0"/>
    <n v="0"/>
    <n v="1"/>
    <n v="0"/>
    <n v="0"/>
    <n v="0"/>
    <n v="0"/>
    <n v="0"/>
  </r>
  <r>
    <n v="904"/>
    <d v="2024-10-08T15:12:18"/>
    <d v="2024-10-08T15:17:11"/>
    <s v="pchaula@lighthouse.org.mw"/>
    <s v="Pachalo Chaula"/>
    <x v="12"/>
    <s v="COE"/>
    <x v="1"/>
    <s v="COP_23"/>
    <x v="0"/>
    <x v="1"/>
    <s v="Quarter4"/>
    <x v="1"/>
    <x v="2"/>
    <d v="2024-09-01T00:00:00"/>
    <d v="2024-09-30T00:00:00"/>
    <x v="0"/>
    <n v="186"/>
    <n v="52"/>
    <n v="101"/>
    <n v="22"/>
    <n v="42"/>
    <n v="21"/>
    <n v="184"/>
    <n v="51"/>
    <n v="54"/>
    <n v="3"/>
    <n v="3"/>
    <n v="0"/>
    <n v="56"/>
    <n v="4"/>
    <n v="3"/>
    <n v="1"/>
    <n v="12"/>
    <n v="5"/>
    <n v="63"/>
    <n v="8"/>
    <n v="6"/>
    <n v="0"/>
    <n v="3"/>
    <n v="3"/>
  </r>
  <r>
    <n v="905"/>
    <d v="2024-10-08T15:17:20"/>
    <d v="2024-10-08T15:19:30"/>
    <s v="pchaula@lighthouse.org.mw"/>
    <s v="Pachalo Chaula"/>
    <x v="12"/>
    <s v="COE"/>
    <x v="1"/>
    <s v="COP_23"/>
    <x v="0"/>
    <x v="1"/>
    <s v="Quarter4"/>
    <x v="1"/>
    <x v="2"/>
    <d v="2024-09-01T00:00:00"/>
    <d v="2024-09-30T00:00:00"/>
    <x v="3"/>
    <n v="1"/>
    <n v="0"/>
    <n v="0"/>
    <n v="1"/>
    <n v="0"/>
    <n v="0"/>
    <n v="1"/>
    <n v="1"/>
    <n v="1"/>
    <n v="0"/>
    <n v="1"/>
    <n v="0"/>
    <n v="1"/>
    <n v="0"/>
    <n v="0"/>
    <n v="0"/>
    <n v="0"/>
    <n v="0"/>
    <n v="1"/>
    <n v="0"/>
    <n v="0"/>
    <n v="0"/>
    <n v="0"/>
    <n v="0"/>
  </r>
  <r>
    <n v="906"/>
    <d v="2024-10-08T15:19:37"/>
    <d v="2024-10-08T15:22:30"/>
    <s v="pchaula@lighthouse.org.mw"/>
    <s v="Pachalo Chaula"/>
    <x v="12"/>
    <s v="COE"/>
    <x v="1"/>
    <s v="COP_23"/>
    <x v="0"/>
    <x v="1"/>
    <s v="Quarter4"/>
    <x v="1"/>
    <x v="2"/>
    <d v="2024-09-01T00:00:00"/>
    <d v="2024-09-30T00:00:00"/>
    <x v="6"/>
    <n v="27"/>
    <n v="27"/>
    <n v="7"/>
    <n v="5"/>
    <n v="9"/>
    <n v="6"/>
    <n v="27"/>
    <n v="11"/>
    <n v="12"/>
    <n v="2"/>
    <n v="2"/>
    <n v="0"/>
    <n v="14"/>
    <n v="0"/>
    <n v="3"/>
    <n v="0"/>
    <n v="6"/>
    <n v="1"/>
    <n v="15"/>
    <n v="4"/>
    <n v="2"/>
    <n v="0"/>
    <n v="2"/>
    <n v="1"/>
  </r>
  <r>
    <n v="908"/>
    <d v="2024-10-08T15:26:49"/>
    <d v="2024-10-08T15:29:30"/>
    <s v="pchaula@lighthouse.org.mw"/>
    <s v="Pachalo Chaula"/>
    <x v="12"/>
    <s v="COE"/>
    <x v="1"/>
    <s v="COP_23"/>
    <x v="0"/>
    <x v="1"/>
    <s v="Quarter4"/>
    <x v="1"/>
    <x v="2"/>
    <d v="2024-09-01T00:00:00"/>
    <d v="2024-09-30T00:00:00"/>
    <x v="4"/>
    <n v="6"/>
    <n v="0"/>
    <n v="4"/>
    <n v="1"/>
    <n v="1"/>
    <n v="0"/>
    <n v="6"/>
    <n v="1"/>
    <n v="1"/>
    <n v="0"/>
    <n v="0"/>
    <n v="0"/>
    <n v="1"/>
    <n v="0"/>
    <n v="0"/>
    <n v="0"/>
    <n v="1"/>
    <n v="0"/>
    <n v="2"/>
    <n v="0"/>
    <n v="0"/>
    <n v="0"/>
    <n v="0"/>
    <n v="0"/>
  </r>
  <r>
    <n v="909"/>
    <d v="2024-10-08T15:29:43"/>
    <d v="2024-10-08T15:35:29"/>
    <s v="pchaula@lighthouse.org.mw"/>
    <s v="Pachalo Chaula"/>
    <x v="12"/>
    <s v="COE"/>
    <x v="1"/>
    <s v="COP_23"/>
    <x v="0"/>
    <x v="1"/>
    <s v="Quarter4"/>
    <x v="1"/>
    <x v="2"/>
    <d v="2024-09-01T00:00:00"/>
    <d v="2024-09-30T00:00:00"/>
    <x v="5"/>
    <n v="27"/>
    <n v="4"/>
    <n v="21"/>
    <n v="2"/>
    <n v="2"/>
    <n v="2"/>
    <n v="27"/>
    <n v="6"/>
    <n v="9"/>
    <n v="0"/>
    <n v="0"/>
    <n v="0"/>
    <n v="6"/>
    <n v="0"/>
    <n v="1"/>
    <n v="0"/>
    <n v="0"/>
    <n v="0"/>
    <n v="13"/>
    <n v="3"/>
    <n v="2"/>
    <n v="0"/>
    <n v="0"/>
    <n v="0"/>
  </r>
  <r>
    <n v="80"/>
    <d v="2024-01-11T15:34:00"/>
    <d v="2024-01-11T15:56:34"/>
    <s v="cdziwe@lighthouse.org.mw"/>
    <s v="Clement Dziwe"/>
    <x v="12"/>
    <s v="COE"/>
    <x v="0"/>
    <s v="COP_23"/>
    <x v="0"/>
    <x v="0"/>
    <s v="Quarter1"/>
    <x v="0"/>
    <x v="11"/>
    <d v="2023-12-01T00:00:00"/>
    <d v="2023-12-31T00:00:00"/>
    <x v="1"/>
    <n v="31"/>
    <n v="8"/>
    <n v="12"/>
    <n v="12"/>
    <n v="5"/>
    <n v="2"/>
    <n v="30"/>
    <n v="16"/>
    <n v="16"/>
    <n v="1"/>
    <n v="1"/>
    <n v="0"/>
    <n v="16"/>
    <n v="2"/>
    <n v="0"/>
    <n v="0"/>
    <n v="0"/>
    <n v="0"/>
    <n v="8"/>
    <n v="0"/>
    <n v="2"/>
    <n v="0"/>
    <n v="1"/>
    <n v="0"/>
  </r>
  <r>
    <n v="79"/>
    <d v="2024-01-11T15:14:34"/>
    <d v="2024-01-11T15:30:41"/>
    <s v="cdziwe@lighthouse.org.mw"/>
    <s v="Clement Dziwe"/>
    <x v="12"/>
    <s v="COE"/>
    <x v="0"/>
    <s v="COP_23"/>
    <x v="0"/>
    <x v="0"/>
    <s v="Quarter1"/>
    <x v="0"/>
    <x v="11"/>
    <d v="2023-12-01T00:00:00"/>
    <d v="2023-12-31T00:00:00"/>
    <x v="2"/>
    <n v="7"/>
    <n v="2"/>
    <n v="2"/>
    <n v="1"/>
    <n v="2"/>
    <n v="2"/>
    <n v="7"/>
    <n v="3"/>
    <n v="3"/>
    <n v="0"/>
    <n v="0"/>
    <n v="0"/>
    <n v="4"/>
    <n v="0"/>
    <n v="2"/>
    <n v="0"/>
    <n v="1"/>
    <n v="0"/>
    <n v="3"/>
    <n v="0"/>
    <n v="0"/>
    <n v="0"/>
    <n v="0"/>
    <n v="1"/>
  </r>
  <r>
    <n v="446"/>
    <d v="2024-05-21T12:36:10"/>
    <d v="2024-05-21T12:37:23"/>
    <s v="pchaula@lighthouse.org.mw"/>
    <s v="Pachalo Chaula"/>
    <x v="12"/>
    <s v="COE"/>
    <x v="1"/>
    <s v="COP_23"/>
    <x v="0"/>
    <x v="2"/>
    <s v="Quarter2"/>
    <x v="2"/>
    <x v="4"/>
    <d v="2024-02-01T00:00:00"/>
    <d v="2024-01-31T00:00:00"/>
    <x v="1"/>
    <n v="40"/>
    <n v="7"/>
    <n v="19"/>
    <n v="8"/>
    <n v="9"/>
    <n v="4"/>
    <n v="40"/>
    <n v="18"/>
    <n v="18"/>
    <n v="0"/>
    <n v="0"/>
    <n v="0"/>
    <n v="18"/>
    <n v="3"/>
    <n v="0"/>
    <n v="0"/>
    <n v="0"/>
    <n v="0"/>
    <n v="18"/>
    <n v="0"/>
    <n v="3"/>
    <n v="0"/>
    <n v="0"/>
    <n v="0"/>
  </r>
  <r>
    <n v="447"/>
    <d v="2024-05-21T12:37:35"/>
    <d v="2024-05-21T12:42:34"/>
    <s v="pchaula@lighthouse.org.mw"/>
    <s v="Pachalo Chaula"/>
    <x v="12"/>
    <s v="COE"/>
    <x v="1"/>
    <s v="COP_23"/>
    <x v="0"/>
    <x v="2"/>
    <s v="Quarter2"/>
    <x v="2"/>
    <x v="5"/>
    <d v="2024-02-01T00:00:00"/>
    <d v="2024-02-29T00:00:00"/>
    <x v="1"/>
    <n v="49"/>
    <n v="13"/>
    <n v="36"/>
    <n v="6"/>
    <n v="5"/>
    <n v="2"/>
    <n v="49"/>
    <n v="16"/>
    <n v="16"/>
    <n v="1"/>
    <n v="16"/>
    <n v="0"/>
    <n v="16"/>
    <n v="2"/>
    <n v="2"/>
    <n v="2"/>
    <n v="1"/>
    <n v="1"/>
    <n v="16"/>
    <n v="0"/>
    <n v="2"/>
    <n v="0"/>
    <n v="1"/>
    <n v="0"/>
  </r>
  <r>
    <n v="231"/>
    <d v="2024-04-09T09:42:35"/>
    <d v="2024-04-09T09:49:33"/>
    <s v="pchaula@lighthouse.org.mw"/>
    <s v="Pachalo Chaula"/>
    <x v="12"/>
    <s v="COE"/>
    <x v="1"/>
    <s v="COP_23"/>
    <x v="0"/>
    <x v="2"/>
    <s v="Quarter2"/>
    <x v="2"/>
    <x v="3"/>
    <d v="2024-03-01T00:00:00"/>
    <d v="2024-03-31T00:00:00"/>
    <x v="2"/>
    <n v="11"/>
    <n v="2"/>
    <n v="7"/>
    <n v="0"/>
    <n v="4"/>
    <n v="0"/>
    <n v="11"/>
    <n v="4"/>
    <n v="4"/>
    <n v="1"/>
    <n v="1"/>
    <n v="0"/>
    <n v="4"/>
    <n v="1"/>
    <n v="0"/>
    <n v="0"/>
    <n v="3"/>
    <n v="0"/>
    <n v="4"/>
    <n v="0"/>
    <n v="1"/>
    <n v="0"/>
    <n v="1"/>
    <n v="0"/>
  </r>
  <r>
    <n v="307"/>
    <d v="2024-04-25T08:23:09"/>
    <d v="2024-04-25T08:30:17"/>
    <s v="pchaula@lighthouse.org.mw"/>
    <s v="Pachalo Chaula"/>
    <x v="12"/>
    <s v="COE"/>
    <x v="1"/>
    <s v="COP_23"/>
    <x v="0"/>
    <x v="2"/>
    <s v="Quarter2"/>
    <x v="2"/>
    <x v="4"/>
    <d v="2024-01-01T00:00:00"/>
    <d v="2024-01-31T00:00:00"/>
    <x v="2"/>
    <n v="6"/>
    <n v="0"/>
    <n v="3"/>
    <n v="1"/>
    <n v="2"/>
    <n v="0"/>
    <n v="1"/>
    <n v="1"/>
    <n v="0"/>
    <n v="0"/>
    <n v="0"/>
    <n v="0"/>
    <n v="0"/>
    <n v="0"/>
    <n v="0"/>
    <n v="0"/>
    <n v="0"/>
    <n v="0"/>
    <n v="0"/>
    <n v="0"/>
    <n v="0"/>
    <n v="0"/>
    <n v="0"/>
    <n v="0"/>
  </r>
  <r>
    <n v="448"/>
    <d v="2024-05-21T12:43:03"/>
    <d v="2024-05-21T12:47:19"/>
    <s v="pchaula@lighthouse.org.mw"/>
    <s v="Pachalo Chaula"/>
    <x v="12"/>
    <s v="COE"/>
    <x v="1"/>
    <s v="COP_23"/>
    <x v="0"/>
    <x v="2"/>
    <s v="Quarter2"/>
    <x v="2"/>
    <x v="3"/>
    <d v="2024-03-01T00:00:00"/>
    <d v="2024-03-31T00:00:00"/>
    <x v="1"/>
    <n v="42"/>
    <n v="17"/>
    <n v="16"/>
    <n v="5"/>
    <n v="7"/>
    <n v="14"/>
    <n v="42"/>
    <n v="8"/>
    <n v="12"/>
    <n v="3"/>
    <n v="2"/>
    <n v="0"/>
    <n v="12"/>
    <n v="4"/>
    <n v="9"/>
    <n v="4"/>
    <n v="2"/>
    <n v="2"/>
    <n v="6"/>
    <n v="1"/>
    <n v="4"/>
    <n v="0"/>
    <n v="3"/>
    <n v="0"/>
  </r>
  <r>
    <n v="517"/>
    <d v="2024-06-07T10:50:30"/>
    <d v="2024-06-07T10:54:47"/>
    <s v="pchaula@lighthouse.org.mw"/>
    <s v="Pachalo Chaula"/>
    <x v="12"/>
    <s v="COE"/>
    <x v="1"/>
    <s v="COP_24"/>
    <x v="0"/>
    <x v="3"/>
    <s v="Quarter3"/>
    <x v="3"/>
    <x v="6"/>
    <d v="2024-05-01T00:00:00"/>
    <d v="2024-05-31T00:00:00"/>
    <x v="1"/>
    <n v="54"/>
    <n v="11"/>
    <n v="32"/>
    <n v="8"/>
    <n v="9"/>
    <n v="5"/>
    <n v="24"/>
    <n v="8"/>
    <n v="37"/>
    <n v="2"/>
    <n v="2"/>
    <n v="1"/>
    <n v="5"/>
    <n v="0"/>
    <n v="3"/>
    <n v="1"/>
    <n v="3"/>
    <n v="1"/>
    <n v="31"/>
    <n v="2"/>
    <n v="2"/>
    <n v="1"/>
    <n v="1"/>
    <n v="0"/>
  </r>
  <r>
    <n v="323"/>
    <d v="2024-04-29T14:46:21"/>
    <d v="2024-04-29T14:49:08"/>
    <s v="pchaula@lighthouse.org.mw"/>
    <s v="Pachalo Chaula"/>
    <x v="12"/>
    <s v="COE"/>
    <x v="1"/>
    <s v="COP_23"/>
    <x v="0"/>
    <x v="2"/>
    <s v="Quarter2"/>
    <x v="2"/>
    <x v="5"/>
    <d v="2024-02-02T00:00:00"/>
    <d v="2024-02-29T00:00:00"/>
    <x v="2"/>
    <n v="11"/>
    <n v="0"/>
    <n v="3"/>
    <n v="1"/>
    <n v="3"/>
    <n v="4"/>
    <n v="11"/>
    <n v="3"/>
    <n v="1"/>
    <n v="0"/>
    <n v="1"/>
    <n v="0"/>
    <n v="1"/>
    <n v="0"/>
    <n v="0"/>
    <n v="0"/>
    <n v="2"/>
    <n v="0"/>
    <n v="0"/>
    <n v="0"/>
    <n v="0"/>
    <n v="0"/>
    <n v="0"/>
    <n v="0"/>
  </r>
  <r>
    <n v="582"/>
    <d v="2024-07-04T13:33:32"/>
    <d v="2024-07-04T13:37:32"/>
    <s v="pchaula@lighthouse.org.mw"/>
    <s v="Pachalo Chaula"/>
    <x v="12"/>
    <s v="COE"/>
    <x v="1"/>
    <s v="COP_24"/>
    <x v="0"/>
    <x v="3"/>
    <s v="Quarter3"/>
    <x v="3"/>
    <x v="8"/>
    <d v="2024-06-01T00:00:00"/>
    <d v="2024-06-30T00:00:00"/>
    <x v="1"/>
    <n v="31"/>
    <n v="6"/>
    <n v="21"/>
    <n v="3"/>
    <n v="6"/>
    <n v="0"/>
    <n v="30"/>
    <n v="15"/>
    <n v="18"/>
    <n v="1"/>
    <n v="30"/>
    <n v="0"/>
    <n v="0"/>
    <n v="0"/>
    <n v="1"/>
    <n v="0"/>
    <n v="1"/>
    <n v="0"/>
    <n v="14"/>
    <n v="4"/>
    <n v="3"/>
    <n v="0"/>
    <n v="1"/>
    <n v="0"/>
  </r>
  <r>
    <n v="699"/>
    <d v="2024-07-31T12:46:13"/>
    <d v="2024-07-31T12:51:15"/>
    <s v="pchaula@lighthouse.org.mw"/>
    <s v="Pachalo Chaula"/>
    <x v="12"/>
    <s v="COE"/>
    <x v="1"/>
    <s v="COP_24"/>
    <x v="0"/>
    <x v="3"/>
    <s v="Quarter3"/>
    <x v="3"/>
    <x v="7"/>
    <d v="2024-04-01T00:00:00"/>
    <d v="2024-04-30T00:00:00"/>
    <x v="1"/>
    <n v="35"/>
    <n v="11"/>
    <n v="19"/>
    <n v="10"/>
    <n v="6"/>
    <n v="0"/>
    <n v="34"/>
    <n v="12"/>
    <n v="13"/>
    <n v="1"/>
    <n v="1"/>
    <n v="0"/>
    <n v="14"/>
    <n v="2"/>
    <n v="1"/>
    <n v="0"/>
    <n v="2"/>
    <n v="1"/>
    <n v="11"/>
    <n v="1"/>
    <n v="2"/>
    <n v="0"/>
    <n v="1"/>
    <n v="0"/>
  </r>
  <r>
    <n v="712"/>
    <d v="2024-08-05T14:03:08"/>
    <d v="2024-08-05T14:10:07"/>
    <s v="pchaula@lighthouse.org.mw"/>
    <s v="Pachalo Chaula"/>
    <x v="12"/>
    <s v="COE"/>
    <x v="1"/>
    <s v="COP_23"/>
    <x v="0"/>
    <x v="1"/>
    <s v="Quarter4"/>
    <x v="1"/>
    <x v="9"/>
    <d v="2024-07-01T00:00:00"/>
    <d v="2024-07-31T00:00:00"/>
    <x v="1"/>
    <n v="33"/>
    <n v="10"/>
    <n v="18"/>
    <n v="3"/>
    <n v="8"/>
    <n v="4"/>
    <n v="33"/>
    <n v="9"/>
    <n v="13"/>
    <n v="0"/>
    <n v="0"/>
    <n v="0"/>
    <n v="0"/>
    <n v="0"/>
    <n v="1"/>
    <n v="0"/>
    <n v="1"/>
    <n v="1"/>
    <n v="11"/>
    <n v="1"/>
    <n v="1"/>
    <n v="0"/>
    <n v="0"/>
    <n v="0"/>
  </r>
  <r>
    <n v="911"/>
    <d v="2024-10-08T15:37:19"/>
    <d v="2024-10-08T15:39:54"/>
    <s v="pchaula@lighthouse.org.mw"/>
    <s v="Pachalo Chaula"/>
    <x v="12"/>
    <s v="COE"/>
    <x v="1"/>
    <s v="COP_23"/>
    <x v="0"/>
    <x v="1"/>
    <s v="Quarter4"/>
    <x v="1"/>
    <x v="2"/>
    <d v="2024-09-01T00:00:00"/>
    <d v="2024-09-30T00:00:00"/>
    <x v="1"/>
    <n v="51"/>
    <n v="12"/>
    <n v="30"/>
    <n v="10"/>
    <n v="8"/>
    <n v="3"/>
    <n v="51"/>
    <n v="14"/>
    <n v="15"/>
    <n v="1"/>
    <n v="1"/>
    <n v="0"/>
    <n v="14"/>
    <n v="1"/>
    <n v="1"/>
    <n v="0"/>
    <n v="5"/>
    <n v="0"/>
    <n v="13"/>
    <n v="3"/>
    <n v="2"/>
    <n v="0"/>
    <n v="1"/>
    <n v="0"/>
  </r>
  <r>
    <n v="399"/>
    <d v="2024-05-09T14:53:04"/>
    <d v="2024-05-09T14:57:49"/>
    <s v="pchaula@lighthouse.org.mw"/>
    <s v="Pachalo Chaula"/>
    <x v="12"/>
    <s v="COE"/>
    <x v="1"/>
    <s v="COP_24"/>
    <x v="0"/>
    <x v="3"/>
    <s v="Quarter3"/>
    <x v="3"/>
    <x v="7"/>
    <d v="2024-04-01T00:00:00"/>
    <d v="2024-04-30T00:00:00"/>
    <x v="2"/>
    <n v="6"/>
    <n v="1"/>
    <n v="5"/>
    <n v="0"/>
    <n v="0"/>
    <n v="0"/>
    <n v="6"/>
    <n v="3"/>
    <n v="3"/>
    <n v="0"/>
    <n v="6"/>
    <n v="0"/>
    <n v="3"/>
    <n v="1"/>
    <n v="2"/>
    <n v="0"/>
    <n v="0"/>
    <n v="0"/>
    <n v="3"/>
    <n v="0"/>
    <n v="1"/>
    <n v="0"/>
    <n v="0"/>
    <n v="0"/>
  </r>
  <r>
    <n v="963"/>
    <d v="2024-10-18T15:39:52"/>
    <d v="2024-10-18T15:43:16"/>
    <s v="pchaula@lighthouse.org.mw"/>
    <s v="Pachalo Chaula"/>
    <x v="12"/>
    <s v="COE"/>
    <x v="1"/>
    <s v="COP_23"/>
    <x v="0"/>
    <x v="1"/>
    <s v="Quarter4"/>
    <x v="1"/>
    <x v="10"/>
    <d v="2024-08-01T00:00:00"/>
    <d v="2024-08-31T00:00:00"/>
    <x v="1"/>
    <n v="35"/>
    <n v="11"/>
    <n v="19"/>
    <n v="7"/>
    <n v="8"/>
    <n v="1"/>
    <n v="24"/>
    <n v="10"/>
    <n v="21"/>
    <n v="1"/>
    <n v="2"/>
    <n v="0"/>
    <n v="4"/>
    <n v="1"/>
    <n v="1"/>
    <n v="0"/>
    <n v="3"/>
    <n v="1"/>
    <n v="16"/>
    <n v="2"/>
    <n v="1"/>
    <n v="0"/>
    <n v="1"/>
    <n v="1"/>
  </r>
  <r>
    <n v="523"/>
    <d v="2024-06-07T11:10:01"/>
    <d v="2024-06-07T11:12:39"/>
    <s v="pchaula@lighthouse.org.mw"/>
    <s v="Pachalo Chaula"/>
    <x v="12"/>
    <s v="COE"/>
    <x v="1"/>
    <s v="COP_24"/>
    <x v="0"/>
    <x v="3"/>
    <s v="Quarter3"/>
    <x v="3"/>
    <x v="6"/>
    <d v="2024-05-01T00:00:00"/>
    <d v="2024-05-31T00:00:00"/>
    <x v="2"/>
    <n v="5"/>
    <n v="1"/>
    <n v="3"/>
    <n v="0"/>
    <n v="0"/>
    <n v="2"/>
    <n v="3"/>
    <n v="1"/>
    <n v="4"/>
    <n v="0"/>
    <n v="0"/>
    <n v="0"/>
    <n v="1"/>
    <n v="0"/>
    <n v="0"/>
    <n v="0"/>
    <n v="0"/>
    <n v="0"/>
    <n v="1"/>
    <n v="0"/>
    <n v="0"/>
    <n v="0"/>
    <n v="0"/>
    <n v="0"/>
  </r>
  <r>
    <n v="586"/>
    <d v="2024-07-04T14:11:55"/>
    <d v="2024-07-04T14:15:33"/>
    <s v="pchaula@lighthouse.org.mw"/>
    <s v="Pachalo Chaula"/>
    <x v="12"/>
    <s v="COE"/>
    <x v="1"/>
    <s v="COP_24"/>
    <x v="0"/>
    <x v="3"/>
    <s v="Quarter3"/>
    <x v="3"/>
    <x v="8"/>
    <d v="2024-06-01T00:00:00"/>
    <d v="2024-06-30T00:00:00"/>
    <x v="2"/>
    <n v="9"/>
    <n v="1"/>
    <n v="6"/>
    <n v="1"/>
    <n v="1"/>
    <n v="1"/>
    <n v="9"/>
    <n v="1"/>
    <n v="1"/>
    <n v="0"/>
    <n v="0"/>
    <n v="0"/>
    <n v="0"/>
    <n v="0"/>
    <n v="0"/>
    <n v="0"/>
    <n v="0"/>
    <n v="0"/>
    <n v="1"/>
    <n v="0"/>
    <n v="0"/>
    <n v="0"/>
    <n v="0"/>
    <n v="1"/>
  </r>
  <r>
    <n v="1034"/>
    <d v="2024-11-07T09:16:06"/>
    <d v="2024-11-07T09:37:32"/>
    <s v="pchaula@lighthouse.org.mw"/>
    <s v="Pachalo Chaula"/>
    <x v="12"/>
    <s v="COE"/>
    <x v="1"/>
    <s v="COP_24"/>
    <x v="2"/>
    <x v="0"/>
    <s v="Quarter1"/>
    <x v="0"/>
    <x v="0"/>
    <d v="2024-10-01T00:00:00"/>
    <d v="2024-10-31T00:00:00"/>
    <x v="1"/>
    <n v="24"/>
    <n v="7"/>
    <n v="13"/>
    <n v="5"/>
    <n v="4"/>
    <n v="2"/>
    <n v="22"/>
    <n v="7"/>
    <n v="9"/>
    <n v="1"/>
    <n v="1"/>
    <n v="0"/>
    <n v="8"/>
    <n v="0"/>
    <n v="2"/>
    <n v="0"/>
    <n v="4"/>
    <n v="2"/>
    <n v="9"/>
    <n v="0"/>
    <n v="0"/>
    <n v="0"/>
    <n v="1"/>
    <n v="0"/>
  </r>
  <r>
    <n v="713"/>
    <d v="2024-08-05T14:10:26"/>
    <d v="2024-08-05T14:16:14"/>
    <s v="pchaula@lighthouse.org.mw"/>
    <s v="Pachalo Chaula"/>
    <x v="12"/>
    <s v="COE"/>
    <x v="1"/>
    <s v="COP_23"/>
    <x v="0"/>
    <x v="1"/>
    <s v="Quarter4"/>
    <x v="1"/>
    <x v="9"/>
    <d v="2024-07-01T00:00:00"/>
    <d v="2024-07-31T00:00:00"/>
    <x v="2"/>
    <n v="11"/>
    <n v="5"/>
    <n v="4"/>
    <n v="2"/>
    <n v="4"/>
    <n v="1"/>
    <n v="9"/>
    <n v="5"/>
    <n v="6"/>
    <n v="0"/>
    <n v="1"/>
    <n v="0"/>
    <n v="0"/>
    <n v="0"/>
    <n v="1"/>
    <n v="0"/>
    <n v="1"/>
    <n v="1"/>
    <n v="6"/>
    <n v="1"/>
    <n v="0"/>
    <n v="0"/>
    <n v="0"/>
    <n v="0"/>
  </r>
  <r>
    <n v="800"/>
    <d v="2024-09-12T08:59:15"/>
    <d v="2024-09-12T09:03:25"/>
    <s v="pchaula@lighthouse.org.mw"/>
    <s v="Pachalo Chaula"/>
    <x v="12"/>
    <s v="COE"/>
    <x v="1"/>
    <s v="COP_23"/>
    <x v="0"/>
    <x v="1"/>
    <s v="Quarter4"/>
    <x v="1"/>
    <x v="10"/>
    <d v="2024-08-01T00:00:00"/>
    <d v="2024-08-31T00:00:00"/>
    <x v="2"/>
    <n v="4"/>
    <n v="2"/>
    <n v="0"/>
    <n v="0"/>
    <n v="4"/>
    <n v="0"/>
    <n v="3"/>
    <n v="0"/>
    <n v="4"/>
    <n v="0"/>
    <n v="0"/>
    <n v="0"/>
    <n v="0"/>
    <n v="0"/>
    <n v="0"/>
    <n v="0"/>
    <n v="1"/>
    <n v="1"/>
    <n v="1"/>
    <n v="0"/>
    <n v="0"/>
    <n v="0"/>
    <n v="0"/>
    <n v="0"/>
  </r>
  <r>
    <n v="907"/>
    <d v="2024-10-08T15:22:38"/>
    <d v="2024-10-08T15:25:05"/>
    <s v="pchaula@lighthouse.org.mw"/>
    <s v="Pachalo Chaula"/>
    <x v="12"/>
    <s v="COE"/>
    <x v="1"/>
    <s v="COP_23"/>
    <x v="0"/>
    <x v="1"/>
    <s v="Quarter4"/>
    <x v="1"/>
    <x v="2"/>
    <d v="2024-09-01T00:00:00"/>
    <d v="2024-09-30T00:00:00"/>
    <x v="2"/>
    <n v="10"/>
    <n v="4"/>
    <n v="5"/>
    <n v="0"/>
    <n v="2"/>
    <n v="3"/>
    <n v="9"/>
    <n v="5"/>
    <n v="5"/>
    <n v="1"/>
    <n v="1"/>
    <n v="0"/>
    <n v="6"/>
    <n v="0"/>
    <n v="1"/>
    <n v="1"/>
    <n v="2"/>
    <n v="0"/>
    <n v="6"/>
    <n v="2"/>
    <n v="2"/>
    <n v="0"/>
    <n v="1"/>
    <n v="0"/>
  </r>
  <r>
    <n v="1039"/>
    <d v="2024-11-07T09:53:41"/>
    <d v="2024-11-07T09:56:25"/>
    <s v="pchaula@lighthouse.org.mw"/>
    <s v="Pachalo Chaula"/>
    <x v="12"/>
    <s v="COE"/>
    <x v="1"/>
    <s v="COP_24"/>
    <x v="2"/>
    <x v="0"/>
    <s v="Quarter1"/>
    <x v="0"/>
    <x v="0"/>
    <d v="2024-10-01T00:00:00"/>
    <d v="2024-10-31T00:00:00"/>
    <x v="2"/>
    <n v="13"/>
    <n v="3"/>
    <n v="6"/>
    <n v="2"/>
    <n v="5"/>
    <n v="0"/>
    <n v="13"/>
    <n v="4"/>
    <n v="5"/>
    <n v="3"/>
    <n v="3"/>
    <n v="0"/>
    <n v="6"/>
    <n v="0"/>
    <n v="1"/>
    <n v="0"/>
    <n v="2"/>
    <n v="0"/>
    <n v="4"/>
    <n v="0"/>
    <n v="0"/>
    <n v="0"/>
    <n v="3"/>
    <n v="0"/>
  </r>
  <r>
    <n v="1033"/>
    <d v="2024-11-07T09:08:45"/>
    <d v="2024-11-07T09:15:44"/>
    <s v="pchaula@lighthouse.org.mw"/>
    <s v="Pachalo Chaula"/>
    <x v="12"/>
    <s v="COE"/>
    <x v="1"/>
    <s v="COP_24"/>
    <x v="2"/>
    <x v="0"/>
    <s v="Quarter1"/>
    <x v="0"/>
    <x v="0"/>
    <d v="2024-10-01T00:00:00"/>
    <d v="2024-10-31T00:00:00"/>
    <x v="0"/>
    <n v="147"/>
    <n v="67"/>
    <n v="71"/>
    <n v="14"/>
    <n v="47"/>
    <n v="15"/>
    <n v="132"/>
    <n v="32"/>
    <n v="53"/>
    <n v="6"/>
    <n v="6"/>
    <n v="0"/>
    <n v="68"/>
    <n v="4"/>
    <n v="10"/>
    <n v="0"/>
    <n v="14"/>
    <n v="2"/>
    <n v="48"/>
    <n v="2"/>
    <n v="5"/>
    <n v="0"/>
    <n v="6"/>
    <n v="1"/>
  </r>
  <r>
    <n v="1035"/>
    <d v="2024-11-07T09:39:47"/>
    <d v="2024-11-07T09:43:51"/>
    <s v="pchaula@lighthouse.org.mw"/>
    <s v="Pachalo Chaula"/>
    <x v="12"/>
    <s v="COE"/>
    <x v="1"/>
    <s v="COP_24"/>
    <x v="2"/>
    <x v="0"/>
    <s v="Quarter1"/>
    <x v="0"/>
    <x v="0"/>
    <d v="2024-10-01T00:00:00"/>
    <d v="2024-10-31T00:00:00"/>
    <x v="4"/>
    <n v="7"/>
    <n v="3"/>
    <n v="4"/>
    <n v="0"/>
    <n v="2"/>
    <n v="1"/>
    <n v="6"/>
    <n v="1"/>
    <n v="4"/>
    <n v="0"/>
    <n v="0"/>
    <n v="0"/>
    <n v="3"/>
    <n v="0"/>
    <n v="0"/>
    <n v="0"/>
    <n v="0"/>
    <n v="0"/>
    <n v="2"/>
    <n v="0"/>
    <n v="0"/>
    <n v="0"/>
    <n v="0"/>
    <n v="0"/>
  </r>
  <r>
    <n v="1036"/>
    <d v="2024-11-07T09:44:00"/>
    <d v="2024-11-07T09:46:40"/>
    <s v="pchaula@lighthouse.org.mw"/>
    <s v="Pachalo Chaula"/>
    <x v="12"/>
    <s v="COE"/>
    <x v="1"/>
    <s v="COP_24"/>
    <x v="2"/>
    <x v="0"/>
    <s v="Quarter1"/>
    <x v="0"/>
    <x v="0"/>
    <d v="2024-10-01T00:00:00"/>
    <d v="2024-10-31T00:00:00"/>
    <x v="3"/>
    <n v="2"/>
    <n v="1"/>
    <n v="1"/>
    <n v="0"/>
    <n v="0"/>
    <n v="1"/>
    <n v="0"/>
    <n v="0"/>
    <n v="2"/>
    <n v="0"/>
    <n v="0"/>
    <n v="0"/>
    <n v="1"/>
    <n v="1"/>
    <n v="0"/>
    <n v="0"/>
    <n v="1"/>
    <n v="0"/>
    <n v="1"/>
    <n v="0"/>
    <n v="0"/>
    <n v="0"/>
    <n v="0"/>
    <n v="0"/>
  </r>
  <r>
    <n v="1037"/>
    <d v="2024-11-07T09:46:51"/>
    <d v="2024-11-07T09:49:06"/>
    <s v="pchaula@lighthouse.org.mw"/>
    <s v="Pachalo Chaula"/>
    <x v="12"/>
    <s v="COE"/>
    <x v="1"/>
    <s v="COP_24"/>
    <x v="2"/>
    <x v="0"/>
    <s v="Quarter1"/>
    <x v="0"/>
    <x v="0"/>
    <d v="2024-10-01T00:00:00"/>
    <d v="2024-10-31T00:00:00"/>
    <x v="6"/>
    <n v="23"/>
    <n v="23"/>
    <n v="4"/>
    <n v="11"/>
    <n v="6"/>
    <n v="2"/>
    <n v="13"/>
    <n v="4"/>
    <n v="6"/>
    <n v="0"/>
    <n v="0"/>
    <n v="0"/>
    <n v="12"/>
    <n v="0"/>
    <n v="4"/>
    <n v="0"/>
    <n v="8"/>
    <n v="0"/>
    <n v="7"/>
    <n v="0"/>
    <n v="0"/>
    <n v="0"/>
    <n v="0"/>
    <n v="0"/>
  </r>
  <r>
    <n v="1038"/>
    <d v="2024-11-07T09:49:43"/>
    <d v="2024-11-07T09:53:19"/>
    <s v="pchaula@lighthouse.org.mw"/>
    <s v="Pachalo Chaula"/>
    <x v="12"/>
    <s v="COE"/>
    <x v="1"/>
    <s v="COP_24"/>
    <x v="2"/>
    <x v="0"/>
    <s v="Quarter1"/>
    <x v="0"/>
    <x v="0"/>
    <d v="2024-10-01T00:00:00"/>
    <d v="2024-10-31T00:00:00"/>
    <x v="5"/>
    <n v="18"/>
    <n v="1"/>
    <n v="17"/>
    <n v="0"/>
    <n v="0"/>
    <n v="1"/>
    <n v="16"/>
    <n v="3"/>
    <n v="7"/>
    <n v="0"/>
    <n v="0"/>
    <n v="0"/>
    <n v="6"/>
    <n v="0"/>
    <n v="1"/>
    <n v="0"/>
    <n v="1"/>
    <n v="0"/>
    <n v="7"/>
    <n v="0"/>
    <n v="0"/>
    <n v="0"/>
    <n v="0"/>
    <n v="0"/>
  </r>
  <r>
    <n v="1124"/>
    <d v="2024-12-06T10:30:11"/>
    <d v="2024-12-10T13:03:32"/>
    <s v="pchaula@lighthouse.org.mw"/>
    <s v="Pachalo Chaula"/>
    <x v="12"/>
    <s v="COE"/>
    <x v="1"/>
    <s v="COP_24"/>
    <x v="2"/>
    <x v="0"/>
    <s v="Quarter1"/>
    <x v="0"/>
    <x v="1"/>
    <d v="2024-11-01T00:00:00"/>
    <d v="2024-11-30T00:00:00"/>
    <x v="1"/>
    <n v="39"/>
    <n v="12"/>
    <n v="17"/>
    <n v="7"/>
    <n v="11"/>
    <n v="4"/>
    <n v="39"/>
    <n v="14"/>
    <n v="14"/>
    <n v="0"/>
    <n v="0"/>
    <n v="0"/>
    <n v="14"/>
    <n v="3"/>
    <n v="3"/>
    <n v="1"/>
    <n v="6"/>
    <n v="5"/>
    <n v="11"/>
    <n v="2"/>
    <n v="4"/>
    <n v="0"/>
    <n v="0"/>
    <n v="0"/>
  </r>
  <r>
    <n v="1125"/>
    <d v="2024-12-10T13:05:48"/>
    <d v="2024-12-10T13:09:47"/>
    <s v="pchaula@lighthouse.org.mw"/>
    <s v="Pachalo Chaula"/>
    <x v="12"/>
    <s v="COE"/>
    <x v="1"/>
    <s v="COP_24"/>
    <x v="2"/>
    <x v="0"/>
    <s v="Quarter1"/>
    <x v="0"/>
    <x v="1"/>
    <d v="2024-11-01T00:00:00"/>
    <d v="2024-11-30T00:00:00"/>
    <x v="5"/>
    <n v="41"/>
    <n v="3"/>
    <n v="34"/>
    <n v="3"/>
    <n v="3"/>
    <n v="1"/>
    <n v="0"/>
    <n v="8"/>
    <n v="8"/>
    <n v="0"/>
    <n v="0"/>
    <n v="0"/>
    <n v="8"/>
    <n v="0"/>
    <n v="1"/>
    <n v="0"/>
    <n v="4"/>
    <n v="0"/>
    <n v="31"/>
    <n v="0"/>
    <n v="0"/>
    <n v="0"/>
    <n v="0"/>
    <n v="0"/>
  </r>
  <r>
    <n v="1126"/>
    <d v="2024-12-10T13:10:00"/>
    <d v="2024-12-10T13:14:56"/>
    <s v="pchaula@lighthouse.org.mw"/>
    <s v="Pachalo Chaula"/>
    <x v="12"/>
    <s v="COE"/>
    <x v="1"/>
    <s v="COP_24"/>
    <x v="2"/>
    <x v="0"/>
    <s v="Quarter1"/>
    <x v="0"/>
    <x v="1"/>
    <d v="2024-11-01T00:00:00"/>
    <d v="2024-11-30T00:00:00"/>
    <x v="4"/>
    <n v="10"/>
    <n v="2"/>
    <n v="4"/>
    <n v="0"/>
    <n v="5"/>
    <n v="1"/>
    <n v="10"/>
    <n v="5"/>
    <n v="5"/>
    <n v="0"/>
    <n v="0"/>
    <n v="0"/>
    <n v="6"/>
    <n v="1"/>
    <n v="0"/>
    <n v="0"/>
    <n v="0"/>
    <n v="0"/>
    <n v="7"/>
    <n v="0"/>
    <n v="1"/>
    <n v="0"/>
    <n v="0"/>
    <n v="0"/>
  </r>
  <r>
    <n v="1127"/>
    <d v="2024-12-10T13:15:29"/>
    <d v="2024-12-10T13:27:50"/>
    <s v="pchaula@lighthouse.org.mw"/>
    <s v="Pachalo Chaula"/>
    <x v="12"/>
    <s v="COE"/>
    <x v="1"/>
    <s v="COP_24"/>
    <x v="2"/>
    <x v="0"/>
    <s v="Quarter1"/>
    <x v="0"/>
    <x v="1"/>
    <d v="2024-11-01T00:00:00"/>
    <d v="2024-11-30T00:00:00"/>
    <x v="3"/>
    <n v="1"/>
    <n v="1"/>
    <n v="0"/>
    <n v="1"/>
    <n v="0"/>
    <n v="0"/>
    <n v="1"/>
    <n v="0"/>
    <n v="1"/>
    <n v="0"/>
    <n v="0"/>
    <n v="0"/>
    <n v="1"/>
    <n v="0"/>
    <n v="0"/>
    <n v="0"/>
    <n v="0"/>
    <n v="0"/>
    <n v="1"/>
    <n v="0"/>
    <n v="0"/>
    <n v="0"/>
    <n v="0"/>
    <n v="0"/>
  </r>
  <r>
    <n v="1128"/>
    <d v="2024-12-10T13:28:05"/>
    <d v="2024-12-10T13:32:04"/>
    <s v="pchaula@lighthouse.org.mw"/>
    <s v="Pachalo Chaula"/>
    <x v="12"/>
    <s v="COE"/>
    <x v="1"/>
    <s v="COP_24"/>
    <x v="2"/>
    <x v="0"/>
    <s v="Quarter1"/>
    <x v="0"/>
    <x v="1"/>
    <d v="2024-11-01T00:00:00"/>
    <d v="2024-11-30T00:00:00"/>
    <x v="6"/>
    <n v="34"/>
    <n v="34"/>
    <n v="8"/>
    <n v="12"/>
    <n v="9"/>
    <n v="5"/>
    <n v="33"/>
    <n v="15"/>
    <n v="1"/>
    <n v="0"/>
    <n v="1"/>
    <n v="0"/>
    <n v="18"/>
    <n v="2"/>
    <n v="4"/>
    <n v="1"/>
    <n v="12"/>
    <n v="3"/>
    <n v="15"/>
    <n v="0"/>
    <n v="2"/>
    <n v="0"/>
    <n v="1"/>
    <n v="0"/>
  </r>
  <r>
    <n v="1129"/>
    <d v="2024-12-10T13:32:14"/>
    <d v="2024-12-10T13:35:55"/>
    <s v="pchaula@lighthouse.org.mw"/>
    <s v="Pachalo Chaula"/>
    <x v="12"/>
    <s v="COE"/>
    <x v="1"/>
    <s v="COP_24"/>
    <x v="2"/>
    <x v="0"/>
    <s v="Quarter1"/>
    <x v="0"/>
    <x v="1"/>
    <d v="2024-11-01T00:00:00"/>
    <d v="2024-11-30T00:00:00"/>
    <x v="2"/>
    <n v="19"/>
    <n v="2"/>
    <n v="11"/>
    <n v="5"/>
    <n v="2"/>
    <n v="1"/>
    <n v="19"/>
    <n v="5"/>
    <n v="6"/>
    <n v="2"/>
    <n v="2"/>
    <n v="0"/>
    <n v="5"/>
    <n v="0"/>
    <n v="0"/>
    <n v="0"/>
    <n v="2"/>
    <n v="0"/>
    <n v="6"/>
    <n v="0"/>
    <n v="0"/>
    <n v="0"/>
    <n v="2"/>
    <n v="0"/>
  </r>
  <r>
    <n v="1130"/>
    <d v="2024-12-12T14:05:38"/>
    <d v="2024-12-12T14:05:53"/>
    <s v="pchaula@lighthouse.org.mw"/>
    <s v="Pachalo Chaula"/>
    <x v="12"/>
    <s v="COE"/>
    <x v="1"/>
    <s v="COP_24"/>
    <x v="2"/>
    <x v="0"/>
    <s v="Quarter1"/>
    <x v="0"/>
    <x v="1"/>
    <d v="2024-11-01T00:00:00"/>
    <d v="2024-11-30T00:00:00"/>
    <x v="0"/>
    <n v="165"/>
    <n v="43"/>
    <n v="87"/>
    <n v="27"/>
    <n v="40"/>
    <n v="11"/>
    <n v="164"/>
    <n v="49"/>
    <n v="51"/>
    <n v="3"/>
    <n v="3"/>
    <n v="0"/>
    <n v="51"/>
    <n v="1"/>
    <n v="3"/>
    <n v="0"/>
    <n v="12"/>
    <n v="3"/>
    <n v="66"/>
    <n v="1"/>
    <n v="1"/>
    <n v="0"/>
    <n v="3"/>
    <n v="0"/>
  </r>
  <r>
    <n v="1276"/>
    <d v="2025-01-14T15:45:39"/>
    <d v="2025-01-14T15:47:07"/>
    <s v="pchaula@lighthouse.org.mw"/>
    <s v="Pachalo Chaula"/>
    <x v="12"/>
    <s v="COE"/>
    <x v="1"/>
    <s v="COP_24"/>
    <x v="2"/>
    <x v="0"/>
    <s v="Quarter1"/>
    <x v="0"/>
    <x v="11"/>
    <d v="2024-12-01T00:00:00"/>
    <d v="2024-12-31T00:00:00"/>
    <x v="3"/>
    <n v="0"/>
    <n v="0"/>
    <n v="0"/>
    <n v="0"/>
    <n v="0"/>
    <n v="0"/>
    <n v="0"/>
    <n v="0"/>
    <n v="0"/>
    <n v="0"/>
    <n v="0"/>
    <n v="0"/>
    <n v="0"/>
    <n v="0"/>
    <n v="0"/>
    <n v="0"/>
    <n v="0"/>
    <n v="0"/>
    <n v="0"/>
    <n v="0"/>
    <n v="0"/>
    <n v="0"/>
    <n v="0"/>
    <n v="0"/>
  </r>
  <r>
    <n v="1289"/>
    <d v="2025-01-16T10:35:44"/>
    <d v="2025-01-16T10:36:20"/>
    <s v="pchaula@lighthouse.org.mw"/>
    <s v="Pachalo Chaula"/>
    <x v="12"/>
    <s v="COE"/>
    <x v="1"/>
    <s v="COP_24"/>
    <x v="2"/>
    <x v="0"/>
    <s v="Quarter1"/>
    <x v="0"/>
    <x v="11"/>
    <d v="2024-12-01T00:00:00"/>
    <d v="2024-12-31T00:00:00"/>
    <x v="4"/>
    <n v="7"/>
    <n v="4"/>
    <n v="4"/>
    <n v="1"/>
    <n v="2"/>
    <n v="0"/>
    <n v="7"/>
    <n v="3"/>
    <n v="2"/>
    <n v="0"/>
    <n v="2"/>
    <n v="0"/>
    <n v="3"/>
    <n v="0"/>
    <n v="0"/>
    <n v="0"/>
    <n v="0"/>
    <n v="0"/>
    <n v="2"/>
    <n v="0"/>
    <n v="0"/>
    <n v="0"/>
    <n v="0"/>
    <n v="0"/>
  </r>
  <r>
    <n v="1292"/>
    <d v="2025-01-16T10:36:24"/>
    <d v="2025-01-16T10:40:24"/>
    <s v="pchaula@lighthouse.org.mw"/>
    <s v="Pachalo Chaula"/>
    <x v="12"/>
    <s v="COE"/>
    <x v="1"/>
    <s v="COP_24"/>
    <x v="2"/>
    <x v="0"/>
    <s v="Quarter1"/>
    <x v="0"/>
    <x v="11"/>
    <d v="2024-12-01T00:00:00"/>
    <d v="2024-12-31T00:00:00"/>
    <x v="0"/>
    <n v="163"/>
    <n v="78"/>
    <n v="72"/>
    <n v="10"/>
    <n v="62"/>
    <n v="19"/>
    <n v="157"/>
    <n v="43"/>
    <n v="47"/>
    <n v="2"/>
    <n v="6"/>
    <n v="0"/>
    <n v="49"/>
    <n v="4"/>
    <n v="17"/>
    <n v="0"/>
    <n v="27"/>
    <n v="14"/>
    <n v="63"/>
    <n v="9"/>
    <n v="7"/>
    <n v="0"/>
    <n v="1"/>
    <n v="5"/>
  </r>
  <r>
    <n v="1293"/>
    <d v="2025-01-16T10:40:40"/>
    <d v="2025-01-16T10:43:49"/>
    <s v="pchaula@lighthouse.org.mw"/>
    <s v="Pachalo Chaula"/>
    <x v="12"/>
    <s v="COE"/>
    <x v="1"/>
    <s v="COP_24"/>
    <x v="2"/>
    <x v="0"/>
    <s v="Quarter1"/>
    <x v="0"/>
    <x v="11"/>
    <d v="2024-12-01T00:00:00"/>
    <d v="2024-12-31T00:00:00"/>
    <x v="2"/>
    <n v="11"/>
    <n v="2"/>
    <n v="6"/>
    <n v="0"/>
    <n v="3"/>
    <n v="2"/>
    <n v="11"/>
    <n v="6"/>
    <n v="5"/>
    <n v="0"/>
    <n v="1"/>
    <n v="0"/>
    <n v="4"/>
    <n v="0"/>
    <n v="1"/>
    <n v="0"/>
    <n v="0"/>
    <n v="0"/>
    <n v="6"/>
    <n v="1"/>
    <n v="0"/>
    <n v="0"/>
    <n v="0"/>
    <n v="0"/>
  </r>
  <r>
    <n v="1294"/>
    <d v="2025-01-16T10:45:58"/>
    <d v="2025-01-16T11:19:12"/>
    <s v="pchaula@lighthouse.org.mw"/>
    <s v="Pachalo Chaula"/>
    <x v="12"/>
    <s v="COE"/>
    <x v="1"/>
    <s v="COP_24"/>
    <x v="2"/>
    <x v="0"/>
    <s v="Quarter1"/>
    <x v="0"/>
    <x v="11"/>
    <d v="2024-12-01T00:00:00"/>
    <d v="2024-12-31T00:00:00"/>
    <x v="5"/>
    <n v="24"/>
    <n v="4"/>
    <n v="21"/>
    <n v="0"/>
    <n v="2"/>
    <n v="1"/>
    <n v="23"/>
    <n v="5"/>
    <n v="4"/>
    <n v="1"/>
    <n v="1"/>
    <n v="0"/>
    <n v="4"/>
    <n v="0"/>
    <n v="0"/>
    <n v="0"/>
    <n v="0"/>
    <n v="0"/>
    <n v="6"/>
    <n v="1"/>
    <n v="1"/>
    <n v="0"/>
    <n v="1"/>
    <n v="0"/>
  </r>
  <r>
    <n v="1295"/>
    <d v="2025-01-16T12:08:42"/>
    <d v="2025-01-16T12:13:49"/>
    <s v="pchaula@lighthouse.org.mw"/>
    <s v="Pachalo Chaula"/>
    <x v="12"/>
    <s v="COE"/>
    <x v="1"/>
    <s v="COP_24"/>
    <x v="2"/>
    <x v="0"/>
    <s v="Quarter1"/>
    <x v="0"/>
    <x v="11"/>
    <d v="2024-12-01T00:00:00"/>
    <d v="2024-12-31T00:00:00"/>
    <x v="1"/>
    <n v="28"/>
    <n v="6"/>
    <n v="16"/>
    <n v="3"/>
    <n v="7"/>
    <n v="2"/>
    <n v="28"/>
    <n v="9"/>
    <n v="9"/>
    <n v="0"/>
    <n v="3"/>
    <n v="0"/>
    <n v="8"/>
    <n v="2"/>
    <n v="2"/>
    <n v="0"/>
    <n v="1"/>
    <n v="1"/>
    <n v="10"/>
    <n v="1"/>
    <n v="0"/>
    <n v="0"/>
    <n v="0"/>
    <n v="0"/>
  </r>
  <r>
    <n v="1309"/>
    <d v="2025-01-22T15:20:49"/>
    <d v="2025-01-22T15:20:59"/>
    <s v="pchaula@lighthouse.org.mw"/>
    <s v="Pachalo Chaula"/>
    <x v="12"/>
    <s v="COE"/>
    <x v="1"/>
    <s v="COP_24"/>
    <x v="2"/>
    <x v="0"/>
    <s v="Quarter1"/>
    <x v="0"/>
    <x v="11"/>
    <d v="2025-01-01T00:00:00"/>
    <d v="2024-12-31T00:00:00"/>
    <x v="6"/>
    <n v="27"/>
    <n v="23"/>
    <n v="14"/>
    <n v="0"/>
    <n v="9"/>
    <n v="4"/>
    <n v="25"/>
    <n v="8"/>
    <n v="9"/>
    <n v="1"/>
    <n v="2"/>
    <n v="0"/>
    <n v="6"/>
    <n v="1"/>
    <n v="1"/>
    <n v="0"/>
    <n v="6"/>
    <n v="3"/>
    <n v="10"/>
    <n v="0"/>
    <n v="2"/>
    <n v="0"/>
    <n v="1"/>
    <n v="1"/>
  </r>
  <r>
    <n v="1313"/>
    <d v="2025-01-22T15:21:02"/>
    <d v="2025-01-22T15:35:48"/>
    <s v="pchaula@lighthouse.org.mw"/>
    <s v="Pachalo Chaula"/>
    <x v="12"/>
    <s v="COE"/>
    <x v="1"/>
    <s v="COP_24"/>
    <x v="2"/>
    <x v="0"/>
    <s v="Quarter1"/>
    <x v="0"/>
    <x v="11"/>
    <d v="2024-12-01T00:00:00"/>
    <d v="2024-12-31T00:00:00"/>
    <x v="6"/>
    <n v="27"/>
    <n v="23"/>
    <n v="14"/>
    <n v="0"/>
    <n v="9"/>
    <n v="4"/>
    <n v="25"/>
    <n v="8"/>
    <n v="9"/>
    <n v="1"/>
    <n v="2"/>
    <n v="0"/>
    <n v="6"/>
    <n v="1"/>
    <n v="1"/>
    <n v="0"/>
    <n v="3"/>
    <n v="3"/>
    <n v="10"/>
    <n v="0"/>
    <n v="2"/>
    <n v="0"/>
    <n v="1"/>
    <n v="1"/>
  </r>
  <r>
    <n v="1399"/>
    <d v="2025-03-11T10:16:52"/>
    <d v="2025-03-11T10:32:17"/>
    <s v="pchaula@lighthouse.org.mw"/>
    <s v="Pachalo Chaula"/>
    <x v="12"/>
    <s v="COE"/>
    <x v="2"/>
    <s v="COP_24"/>
    <x v="2"/>
    <x v="2"/>
    <s v="Quarter2"/>
    <x v="2"/>
    <x v="5"/>
    <d v="2025-02-01T00:00:00"/>
    <d v="2025-02-28T00:00:00"/>
    <x v="0"/>
    <n v="104"/>
    <n v="43"/>
    <n v="44"/>
    <n v="19"/>
    <n v="32"/>
    <n v="9"/>
    <n v="101"/>
    <n v="29"/>
    <n v="0"/>
    <n v="0"/>
    <n v="0"/>
    <n v="0"/>
    <n v="27"/>
    <n v="0"/>
    <n v="0"/>
    <n v="0"/>
    <n v="3"/>
    <n v="2"/>
    <n v="33"/>
    <n v="1"/>
    <n v="1"/>
    <n v="0"/>
    <n v="0"/>
    <n v="0"/>
  </r>
  <r>
    <n v="1400"/>
    <d v="2025-03-11T10:32:30"/>
    <d v="2025-03-11T10:35:49"/>
    <s v="pchaula@lighthouse.org.mw"/>
    <s v="Pachalo Chaula"/>
    <x v="12"/>
    <s v="COE"/>
    <x v="2"/>
    <s v="COP_24"/>
    <x v="2"/>
    <x v="2"/>
    <s v="Quarter2"/>
    <x v="2"/>
    <x v="5"/>
    <d v="2025-02-01T00:00:00"/>
    <d v="2025-02-28T00:00:00"/>
    <x v="6"/>
    <n v="9"/>
    <n v="9"/>
    <n v="0"/>
    <n v="6"/>
    <n v="3"/>
    <n v="0"/>
    <n v="9"/>
    <n v="3"/>
    <n v="0"/>
    <n v="0"/>
    <n v="0"/>
    <n v="0"/>
    <n v="2"/>
    <n v="0"/>
    <n v="0"/>
    <n v="0"/>
    <n v="0"/>
    <n v="0"/>
    <n v="3"/>
    <n v="0"/>
    <n v="0"/>
    <n v="0"/>
    <n v="0"/>
    <n v="0"/>
  </r>
  <r>
    <n v="1401"/>
    <d v="2025-03-11T10:36:33"/>
    <d v="2025-03-11T10:42:30"/>
    <s v="pchaula@lighthouse.org.mw"/>
    <s v="Pachalo Chaula"/>
    <x v="12"/>
    <s v="COE"/>
    <x v="2"/>
    <s v="COP_24"/>
    <x v="2"/>
    <x v="2"/>
    <s v="Quarter2"/>
    <x v="2"/>
    <x v="5"/>
    <d v="2025-02-01T00:00:00"/>
    <d v="2025-02-28T00:00:00"/>
    <x v="5"/>
    <n v="8"/>
    <n v="2"/>
    <n v="6"/>
    <n v="2"/>
    <n v="0"/>
    <n v="0"/>
    <n v="8"/>
    <n v="4"/>
    <n v="0"/>
    <n v="0"/>
    <n v="0"/>
    <n v="0"/>
    <n v="2"/>
    <n v="0"/>
    <n v="0"/>
    <n v="0"/>
    <n v="0"/>
    <n v="0"/>
    <n v="6"/>
    <n v="0"/>
    <n v="0"/>
    <n v="0"/>
    <n v="0"/>
    <n v="0"/>
  </r>
  <r>
    <n v="1402"/>
    <d v="2025-03-11T10:42:38"/>
    <d v="2025-03-11T10:44:50"/>
    <s v="pchaula@lighthouse.org.mw"/>
    <s v="Pachalo Chaula"/>
    <x v="12"/>
    <s v="COE"/>
    <x v="2"/>
    <s v="COP_24"/>
    <x v="2"/>
    <x v="2"/>
    <s v="Quarter2"/>
    <x v="2"/>
    <x v="5"/>
    <d v="2025-02-01T00:00:00"/>
    <d v="2025-02-28T00:00:00"/>
    <x v="2"/>
    <n v="14"/>
    <n v="4"/>
    <n v="8"/>
    <n v="3"/>
    <n v="3"/>
    <n v="0"/>
    <n v="13"/>
    <n v="6"/>
    <n v="0"/>
    <n v="0"/>
    <n v="0"/>
    <n v="0"/>
    <n v="3"/>
    <n v="0"/>
    <n v="0"/>
    <n v="0"/>
    <n v="0"/>
    <n v="0"/>
    <n v="7"/>
    <n v="0"/>
    <n v="0"/>
    <n v="0"/>
    <n v="0"/>
    <n v="0"/>
  </r>
  <r>
    <n v="1403"/>
    <d v="2025-03-11T10:44:59"/>
    <d v="2025-03-11T10:47:49"/>
    <s v="pchaula@lighthouse.org.mw"/>
    <s v="Pachalo Chaula"/>
    <x v="12"/>
    <s v="COE"/>
    <x v="2"/>
    <s v="COP_24"/>
    <x v="2"/>
    <x v="2"/>
    <s v="Quarter2"/>
    <x v="2"/>
    <x v="5"/>
    <d v="2025-02-01T00:00:00"/>
    <d v="2025-02-28T00:00:00"/>
    <x v="4"/>
    <n v="2"/>
    <n v="1"/>
    <n v="0"/>
    <n v="2"/>
    <n v="0"/>
    <n v="0"/>
    <n v="2"/>
    <n v="2"/>
    <n v="0"/>
    <n v="0"/>
    <n v="0"/>
    <n v="0"/>
    <n v="1"/>
    <n v="0"/>
    <n v="0"/>
    <n v="0"/>
    <n v="0"/>
    <n v="0"/>
    <n v="2"/>
    <n v="0"/>
    <n v="0"/>
    <n v="0"/>
    <n v="0"/>
    <n v="0"/>
  </r>
  <r>
    <n v="1404"/>
    <d v="2025-03-11T10:48:01"/>
    <d v="2025-03-11T10:50:38"/>
    <s v="pchaula@lighthouse.org.mw"/>
    <s v="Pachalo Chaula"/>
    <x v="12"/>
    <s v="COE"/>
    <x v="2"/>
    <s v="COP_24"/>
    <x v="2"/>
    <x v="2"/>
    <s v="Quarter2"/>
    <x v="2"/>
    <x v="5"/>
    <d v="2025-03-01T00:00:00"/>
    <d v="2025-02-28T00:00:00"/>
    <x v="3"/>
    <n v="1"/>
    <n v="1"/>
    <n v="0"/>
    <n v="0"/>
    <n v="1"/>
    <n v="0"/>
    <n v="0"/>
    <n v="0"/>
    <n v="0"/>
    <n v="0"/>
    <n v="0"/>
    <n v="0"/>
    <n v="0"/>
    <n v="0"/>
    <n v="0"/>
    <n v="0"/>
    <n v="0"/>
    <n v="0"/>
    <n v="0"/>
    <n v="0"/>
    <n v="0"/>
    <n v="0"/>
    <n v="0"/>
    <n v="0"/>
  </r>
  <r>
    <n v="1405"/>
    <d v="2025-03-11T10:51:17"/>
    <d v="2025-03-11T10:56:20"/>
    <s v="pchaula@lighthouse.org.mw"/>
    <s v="Pachalo Chaula"/>
    <x v="12"/>
    <s v="COE"/>
    <x v="2"/>
    <s v="COP_24"/>
    <x v="2"/>
    <x v="2"/>
    <s v="Quarter2"/>
    <x v="2"/>
    <x v="5"/>
    <d v="2025-02-01T00:00:00"/>
    <d v="2025-02-28T00:00:00"/>
    <x v="1"/>
    <n v="19"/>
    <n v="6"/>
    <n v="12"/>
    <n v="7"/>
    <n v="0"/>
    <n v="0"/>
    <n v="19"/>
    <n v="8"/>
    <n v="0"/>
    <n v="0"/>
    <n v="0"/>
    <n v="0"/>
    <n v="0"/>
    <n v="0"/>
    <n v="0"/>
    <n v="0"/>
    <n v="0"/>
    <n v="0"/>
    <n v="8"/>
    <n v="0"/>
    <n v="0"/>
    <n v="0"/>
    <n v="0"/>
    <n v="0"/>
  </r>
  <r>
    <n v="1426"/>
    <d v="2025-03-14T10:49:03"/>
    <d v="2025-03-14T10:58:39"/>
    <s v="pchaula@lighthouse.org.mw"/>
    <s v="Pachalo Chaula"/>
    <x v="12"/>
    <s v="COE"/>
    <x v="2"/>
    <s v="COP_24"/>
    <x v="2"/>
    <x v="2"/>
    <s v="Quarter2"/>
    <x v="2"/>
    <x v="4"/>
    <d v="2025-01-01T00:00:00"/>
    <d v="2025-01-31T00:00:00"/>
    <x v="5"/>
    <n v="23"/>
    <n v="0"/>
    <n v="19"/>
    <n v="3"/>
    <n v="1"/>
    <n v="0"/>
    <n v="19"/>
    <n v="11"/>
    <n v="0"/>
    <n v="0"/>
    <n v="1"/>
    <n v="0"/>
    <n v="3"/>
    <n v="0"/>
    <n v="0"/>
    <n v="0"/>
    <n v="0"/>
    <n v="0"/>
    <n v="17"/>
    <n v="0"/>
    <n v="0"/>
    <n v="0"/>
    <n v="0"/>
    <n v="0"/>
  </r>
  <r>
    <n v="1427"/>
    <d v="2025-03-14T10:58:49"/>
    <d v="2025-03-14T11:01:23"/>
    <s v="pchaula@lighthouse.org.mw"/>
    <s v="Pachalo Chaula"/>
    <x v="12"/>
    <s v="COE"/>
    <x v="2"/>
    <s v="COP_24"/>
    <x v="2"/>
    <x v="2"/>
    <s v="Quarter2"/>
    <x v="2"/>
    <x v="4"/>
    <d v="2025-01-01T00:00:00"/>
    <d v="2025-01-31T00:00:00"/>
    <x v="2"/>
    <n v="8"/>
    <n v="2"/>
    <n v="2"/>
    <n v="3"/>
    <n v="2"/>
    <n v="1"/>
    <n v="7"/>
    <n v="1"/>
    <n v="0"/>
    <n v="0"/>
    <n v="0"/>
    <n v="0"/>
    <n v="2"/>
    <n v="1"/>
    <n v="1"/>
    <n v="1"/>
    <n v="1"/>
    <n v="1"/>
    <n v="4"/>
    <n v="1"/>
    <n v="1"/>
    <n v="0"/>
    <n v="0"/>
    <n v="0"/>
  </r>
  <r>
    <n v="1428"/>
    <d v="2025-03-14T11:06:54"/>
    <d v="2025-03-14T11:07:20"/>
    <s v="pchaula@lighthouse.org.mw"/>
    <s v="Pachalo Chaula"/>
    <x v="12"/>
    <s v="COE"/>
    <x v="2"/>
    <s v="COP_24"/>
    <x v="2"/>
    <x v="2"/>
    <s v="Quarter2"/>
    <x v="2"/>
    <x v="4"/>
    <d v="2025-01-01T00:00:00"/>
    <d v="2025-01-31T00:00:00"/>
    <x v="3"/>
    <n v="2"/>
    <n v="0"/>
    <n v="0"/>
    <n v="0"/>
    <n v="2"/>
    <n v="0"/>
    <n v="0"/>
    <n v="0"/>
    <n v="1"/>
    <n v="0"/>
    <n v="0"/>
    <n v="0"/>
    <n v="1"/>
    <n v="0"/>
    <n v="0"/>
    <n v="0"/>
    <n v="0"/>
    <n v="0"/>
    <n v="0"/>
    <n v="0"/>
    <n v="0"/>
    <n v="0"/>
    <n v="0"/>
    <n v="0"/>
  </r>
  <r>
    <n v="1429"/>
    <d v="2025-03-14T11:07:25"/>
    <d v="2025-03-14T11:26:11"/>
    <s v="pchaula@lighthouse.org.mw"/>
    <s v="Pachalo Chaula"/>
    <x v="12"/>
    <s v="COE"/>
    <x v="2"/>
    <s v="COP_24"/>
    <x v="2"/>
    <x v="2"/>
    <s v="Quarter2"/>
    <x v="2"/>
    <x v="4"/>
    <d v="2025-01-01T00:00:00"/>
    <d v="2025-01-31T00:00:00"/>
    <x v="4"/>
    <n v="19"/>
    <n v="7"/>
    <n v="10"/>
    <n v="4"/>
    <n v="4"/>
    <n v="1"/>
    <n v="15"/>
    <n v="2"/>
    <n v="0"/>
    <n v="0"/>
    <n v="0"/>
    <n v="0"/>
    <n v="5"/>
    <n v="0"/>
    <n v="1"/>
    <n v="0"/>
    <n v="1"/>
    <n v="0"/>
    <n v="11"/>
    <n v="0"/>
    <n v="0"/>
    <n v="0"/>
    <n v="0"/>
    <n v="0"/>
  </r>
  <r>
    <n v="1430"/>
    <d v="2025-03-14T11:26:22"/>
    <d v="2025-03-14T11:28:30"/>
    <s v="pchaula@lighthouse.org.mw"/>
    <s v="Pachalo Chaula"/>
    <x v="12"/>
    <s v="COE"/>
    <x v="2"/>
    <s v="COP_24"/>
    <x v="2"/>
    <x v="2"/>
    <s v="Quarter2"/>
    <x v="2"/>
    <x v="4"/>
    <d v="2025-01-01T00:00:00"/>
    <d v="2025-01-31T00:00:00"/>
    <x v="6"/>
    <n v="3"/>
    <n v="3"/>
    <n v="1"/>
    <n v="0"/>
    <n v="2"/>
    <n v="0"/>
    <n v="3"/>
    <n v="2"/>
    <n v="0"/>
    <n v="0"/>
    <n v="0"/>
    <n v="0"/>
    <n v="2"/>
    <n v="0"/>
    <n v="0"/>
    <n v="0"/>
    <n v="0"/>
    <n v="0"/>
    <n v="1"/>
    <n v="0"/>
    <n v="0"/>
    <n v="0"/>
    <n v="0"/>
    <n v="0"/>
  </r>
  <r>
    <n v="1466"/>
    <d v="2025-03-24T13:09:10"/>
    <d v="2025-03-24T13:13:33"/>
    <s v="pchaula@lighthouse.org.mw"/>
    <s v="Pachalo Chaula"/>
    <x v="12"/>
    <s v="COE"/>
    <x v="2"/>
    <s v="COP_24"/>
    <x v="2"/>
    <x v="2"/>
    <s v="Quarter2"/>
    <x v="2"/>
    <x v="4"/>
    <d v="2025-01-01T00:00:00"/>
    <d v="2025-01-31T00:00:00"/>
    <x v="0"/>
    <n v="171"/>
    <n v="61"/>
    <n v="96"/>
    <n v="23"/>
    <n v="44"/>
    <n v="8"/>
    <n v="152"/>
    <n v="40"/>
    <n v="16"/>
    <n v="1"/>
    <n v="4"/>
    <n v="1"/>
    <n v="59"/>
    <n v="5"/>
    <n v="9"/>
    <n v="1"/>
    <n v="10"/>
    <n v="2"/>
    <n v="69"/>
    <n v="2"/>
    <n v="5"/>
    <n v="1"/>
    <n v="0"/>
    <n v="0"/>
  </r>
  <r>
    <n v="1511"/>
    <d v="2025-04-07T14:33:43"/>
    <d v="2025-04-07T14:41:15"/>
    <s v="pchaula@lighthouse.org.mw"/>
    <s v="Pachalo Chaula"/>
    <x v="12"/>
    <s v="COE"/>
    <x v="2"/>
    <s v="COP_24"/>
    <x v="2"/>
    <x v="2"/>
    <s v="Quarter2"/>
    <x v="2"/>
    <x v="3"/>
    <d v="2025-03-01T00:00:00"/>
    <d v="2025-03-31T00:00:00"/>
    <x v="4"/>
    <n v="7"/>
    <n v="4"/>
    <n v="2"/>
    <n v="1"/>
    <n v="4"/>
    <n v="0"/>
    <n v="7"/>
    <n v="1"/>
    <n v="1"/>
    <n v="0"/>
    <n v="0"/>
    <n v="0"/>
    <n v="2"/>
    <n v="0"/>
    <n v="0"/>
    <n v="0"/>
    <n v="1"/>
    <n v="1"/>
    <n v="1"/>
    <n v="0"/>
    <n v="0"/>
    <n v="0"/>
    <n v="0"/>
    <n v="0"/>
  </r>
  <r>
    <n v="1512"/>
    <d v="2025-04-07T14:41:20"/>
    <d v="2025-04-07T14:44:58"/>
    <s v="pchaula@lighthouse.org.mw"/>
    <s v="Pachalo Chaula"/>
    <x v="12"/>
    <s v="COE"/>
    <x v="2"/>
    <s v="COP_24"/>
    <x v="2"/>
    <x v="2"/>
    <s v="Quarter2"/>
    <x v="2"/>
    <x v="3"/>
    <d v="2025-03-01T00:00:00"/>
    <d v="2025-03-31T00:00:00"/>
    <x v="6"/>
    <n v="37"/>
    <n v="37"/>
    <n v="8"/>
    <n v="10"/>
    <n v="11"/>
    <n v="8"/>
    <n v="37"/>
    <n v="20"/>
    <n v="4"/>
    <n v="0"/>
    <n v="0"/>
    <n v="0"/>
    <n v="19"/>
    <n v="2"/>
    <n v="4"/>
    <n v="1"/>
    <n v="11"/>
    <n v="3"/>
    <n v="20"/>
    <n v="3"/>
    <n v="6"/>
    <n v="0"/>
    <n v="0"/>
    <n v="0"/>
  </r>
  <r>
    <n v="1513"/>
    <d v="2025-04-07T14:45:22"/>
    <d v="2025-04-07T14:50:07"/>
    <s v="pchaula@lighthouse.org.mw"/>
    <s v="Pachalo Chaula"/>
    <x v="12"/>
    <s v="COE"/>
    <x v="2"/>
    <s v="COP_24"/>
    <x v="2"/>
    <x v="2"/>
    <s v="Quarter2"/>
    <x v="2"/>
    <x v="3"/>
    <d v="2025-03-01T00:00:00"/>
    <d v="2025-03-31T00:00:00"/>
    <x v="5"/>
    <n v="25"/>
    <n v="2"/>
    <n v="20"/>
    <n v="1"/>
    <n v="3"/>
    <n v="1"/>
    <n v="24"/>
    <n v="4"/>
    <n v="1"/>
    <n v="0"/>
    <n v="0"/>
    <n v="0"/>
    <n v="6"/>
    <n v="1"/>
    <n v="1"/>
    <n v="0"/>
    <n v="4"/>
    <n v="0"/>
    <n v="19"/>
    <n v="1"/>
    <n v="1"/>
    <n v="0"/>
    <n v="0"/>
    <n v="0"/>
  </r>
  <r>
    <n v="1514"/>
    <d v="2025-04-07T14:50:34"/>
    <d v="2025-04-07T14:52:47"/>
    <s v="pchaula@lighthouse.org.mw"/>
    <s v="Pachalo Chaula"/>
    <x v="12"/>
    <s v="COE"/>
    <x v="2"/>
    <s v="COP_24"/>
    <x v="2"/>
    <x v="2"/>
    <s v="Quarter2"/>
    <x v="2"/>
    <x v="3"/>
    <d v="2025-03-01T00:00:00"/>
    <d v="2025-03-31T00:00:00"/>
    <x v="2"/>
    <n v="12"/>
    <n v="6"/>
    <n v="5"/>
    <n v="2"/>
    <n v="3"/>
    <n v="2"/>
    <n v="12"/>
    <n v="3"/>
    <n v="0"/>
    <n v="0"/>
    <n v="0"/>
    <n v="0"/>
    <n v="3"/>
    <n v="0"/>
    <n v="0"/>
    <n v="0"/>
    <n v="4"/>
    <n v="0"/>
    <n v="4"/>
    <n v="0"/>
    <n v="0"/>
    <n v="0"/>
    <n v="0"/>
    <n v="0"/>
  </r>
  <r>
    <n v="1515"/>
    <d v="2025-04-07T14:53:08"/>
    <d v="2025-04-07T14:55:17"/>
    <s v="pchaula@lighthouse.org.mw"/>
    <s v="Pachalo Chaula"/>
    <x v="12"/>
    <s v="COE"/>
    <x v="2"/>
    <s v="COP_24"/>
    <x v="2"/>
    <x v="2"/>
    <s v="Quarter2"/>
    <x v="2"/>
    <x v="3"/>
    <m/>
    <d v="2025-03-31T00:00:00"/>
    <x v="3"/>
    <n v="2"/>
    <n v="1"/>
    <n v="0"/>
    <n v="0"/>
    <n v="2"/>
    <n v="0"/>
    <n v="0"/>
    <n v="0"/>
    <n v="0"/>
    <n v="0"/>
    <n v="0"/>
    <n v="0"/>
    <n v="2"/>
    <n v="1"/>
    <n v="1"/>
    <n v="0"/>
    <n v="1"/>
    <n v="0"/>
    <n v="1"/>
    <n v="1"/>
    <n v="1"/>
    <n v="0"/>
    <n v="0"/>
    <n v="0"/>
  </r>
  <r>
    <n v="1516"/>
    <d v="2025-04-07T15:24:34"/>
    <d v="2025-04-07T15:27:37"/>
    <s v="pchaula@lighthouse.org.mw"/>
    <s v="Pachalo Chaula"/>
    <x v="12"/>
    <s v="COE"/>
    <x v="2"/>
    <s v="COP_24"/>
    <x v="2"/>
    <x v="2"/>
    <s v="Quarter2"/>
    <x v="2"/>
    <x v="3"/>
    <d v="2025-03-01T00:00:00"/>
    <d v="2025-03-31T00:00:00"/>
    <x v="1"/>
    <n v="38"/>
    <n v="13"/>
    <n v="16"/>
    <n v="9"/>
    <n v="7"/>
    <n v="6"/>
    <n v="38"/>
    <n v="20"/>
    <n v="6"/>
    <n v="0"/>
    <n v="1"/>
    <n v="0"/>
    <n v="19"/>
    <n v="2"/>
    <n v="1"/>
    <n v="0"/>
    <n v="7"/>
    <n v="1"/>
    <n v="19"/>
    <n v="2"/>
    <n v="2"/>
    <n v="0"/>
    <n v="0"/>
    <n v="0"/>
  </r>
  <r>
    <n v="1531"/>
    <d v="2025-04-11T13:59:36"/>
    <d v="2025-04-11T14:02:51"/>
    <s v="pchaula@lighthouse.org.mw"/>
    <s v="Pachalo Chaula"/>
    <x v="12"/>
    <s v="COE"/>
    <x v="2"/>
    <s v="COP_24"/>
    <x v="2"/>
    <x v="2"/>
    <s v="Quarter2"/>
    <x v="2"/>
    <x v="4"/>
    <d v="2025-01-01T00:00:00"/>
    <d v="2025-01-31T00:00:00"/>
    <x v="1"/>
    <n v="37"/>
    <n v="3"/>
    <n v="24"/>
    <n v="2"/>
    <n v="10"/>
    <n v="1"/>
    <n v="31"/>
    <n v="9"/>
    <n v="6"/>
    <n v="1"/>
    <n v="1"/>
    <n v="1"/>
    <n v="14"/>
    <n v="1"/>
    <n v="3"/>
    <n v="0"/>
    <n v="4"/>
    <n v="1"/>
    <n v="16"/>
    <n v="1"/>
    <n v="0"/>
    <n v="0"/>
    <n v="1"/>
    <n v="0"/>
  </r>
  <r>
    <n v="15"/>
    <d v="2023-12-16T15:54:17"/>
    <d v="2023-12-16T16:10:46"/>
    <s v="anhlema@lighthouse.org.mw"/>
    <s v="Angelina Nhlema"/>
    <x v="13"/>
    <s v="COE"/>
    <x v="0"/>
    <s v="COP_22"/>
    <x v="1"/>
    <x v="1"/>
    <s v="Quarter4"/>
    <x v="1"/>
    <x v="2"/>
    <d v="2023-09-01T00:00:00"/>
    <d v="2023-09-30T00:00:00"/>
    <x v="6"/>
    <n v="16"/>
    <n v="11"/>
    <n v="1"/>
    <n v="0"/>
    <n v="7"/>
    <n v="8"/>
    <n v="16"/>
    <n v="8"/>
    <n v="14"/>
    <n v="0"/>
    <n v="14"/>
    <n v="0"/>
    <n v="12"/>
    <n v="0"/>
    <n v="0"/>
    <n v="0"/>
    <n v="1"/>
    <n v="1"/>
    <n v="2"/>
    <n v="1"/>
    <n v="3"/>
    <n v="0"/>
    <n v="0"/>
    <n v="0"/>
  </r>
  <r>
    <n v="22"/>
    <d v="2023-12-16T17:12:47"/>
    <d v="2023-12-16T17:16:18"/>
    <s v="anhlema@lighthouse.org.mw"/>
    <s v="Angelina Nhlema"/>
    <x v="13"/>
    <s v="COE"/>
    <x v="0"/>
    <s v="COP_23"/>
    <x v="0"/>
    <x v="0"/>
    <s v="Quarter1"/>
    <x v="0"/>
    <x v="1"/>
    <d v="2023-11-01T00:00:00"/>
    <d v="2023-11-30T00:00:00"/>
    <x v="0"/>
    <n v="239"/>
    <n v="0"/>
    <n v="154"/>
    <n v="57"/>
    <n v="14"/>
    <n v="9"/>
    <n v="239"/>
    <n v="58"/>
    <n v="63"/>
    <n v="3"/>
    <n v="3"/>
    <n v="0"/>
    <n v="61"/>
    <n v="1"/>
    <n v="0"/>
    <n v="0"/>
    <n v="0"/>
    <n v="0"/>
    <n v="21"/>
    <n v="0"/>
    <n v="3"/>
    <n v="3"/>
    <n v="0"/>
    <n v="1"/>
  </r>
  <r>
    <n v="25"/>
    <d v="2023-12-16T18:58:28"/>
    <d v="2023-12-16T19:07:43"/>
    <s v="anhlema@lighthouse.org.mw"/>
    <s v="Angelina Nhlema"/>
    <x v="13"/>
    <s v="COE"/>
    <x v="0"/>
    <s v="COP_22"/>
    <x v="1"/>
    <x v="1"/>
    <s v="Quarter4"/>
    <x v="1"/>
    <x v="2"/>
    <d v="2023-09-01T00:00:00"/>
    <d v="2023-09-30T00:00:00"/>
    <x v="0"/>
    <n v="68"/>
    <n v="17"/>
    <n v="44"/>
    <n v="11"/>
    <n v="9"/>
    <n v="4"/>
    <n v="68"/>
    <n v="29"/>
    <n v="32"/>
    <n v="4"/>
    <n v="4"/>
    <n v="0"/>
    <n v="36"/>
    <n v="0"/>
    <n v="0"/>
    <n v="0"/>
    <n v="0"/>
    <n v="0"/>
    <n v="2"/>
    <n v="0"/>
    <n v="2"/>
    <n v="0"/>
    <n v="2"/>
    <n v="0"/>
  </r>
  <r>
    <n v="28"/>
    <d v="2023-12-18T08:48:14"/>
    <d v="2023-12-18T09:37:49"/>
    <s v="amakweti@lighthouse.org.mw"/>
    <s v="Alphat Makweti"/>
    <x v="13"/>
    <s v="COE"/>
    <x v="0"/>
    <s v="COP_23"/>
    <x v="0"/>
    <x v="0"/>
    <s v="Quarter1"/>
    <x v="0"/>
    <x v="0"/>
    <d v="2023-10-01T00:00:00"/>
    <d v="2023-10-31T00:00:00"/>
    <x v="0"/>
    <n v="255"/>
    <n v="2"/>
    <n v="150"/>
    <n v="79"/>
    <n v="22"/>
    <n v="4"/>
    <n v="255"/>
    <n v="79"/>
    <n v="85"/>
    <n v="0"/>
    <n v="0"/>
    <n v="0"/>
    <n v="87"/>
    <n v="3"/>
    <n v="0"/>
    <n v="0"/>
    <n v="0"/>
    <n v="0"/>
    <n v="62"/>
    <n v="0"/>
    <n v="2"/>
    <n v="0"/>
    <n v="0"/>
    <n v="0"/>
  </r>
  <r>
    <n v="31"/>
    <d v="2023-12-18T09:51:14"/>
    <d v="2023-12-18T09:57:54"/>
    <s v="amakweti@lighthouse.org.mw"/>
    <s v="Alphat Makweti"/>
    <x v="13"/>
    <s v="COE"/>
    <x v="0"/>
    <s v="COP_23"/>
    <x v="0"/>
    <x v="0"/>
    <s v="Quarter1"/>
    <x v="0"/>
    <x v="1"/>
    <d v="2023-11-01T00:00:00"/>
    <d v="2023-11-30T00:00:00"/>
    <x v="6"/>
    <n v="212"/>
    <n v="136"/>
    <n v="10"/>
    <n v="22"/>
    <n v="112"/>
    <n v="68"/>
    <n v="200"/>
    <n v="76"/>
    <n v="85"/>
    <n v="3"/>
    <n v="4"/>
    <n v="2"/>
    <n v="79"/>
    <n v="14"/>
    <n v="0"/>
    <n v="0"/>
    <n v="1"/>
    <n v="0"/>
    <n v="3"/>
    <n v="0"/>
    <n v="17"/>
    <n v="3"/>
    <n v="1"/>
    <n v="0"/>
  </r>
  <r>
    <n v="32"/>
    <d v="2023-12-18T09:58:06"/>
    <d v="2023-12-18T10:02:07"/>
    <s v="amakweti@lighthouse.org.mw"/>
    <s v="Alphat Makweti"/>
    <x v="13"/>
    <s v="COE"/>
    <x v="0"/>
    <s v="COP_23"/>
    <x v="0"/>
    <x v="0"/>
    <s v="Quarter1"/>
    <x v="0"/>
    <x v="0"/>
    <d v="2023-10-01T00:00:00"/>
    <d v="2023-10-31T00:00:00"/>
    <x v="6"/>
    <n v="206"/>
    <n v="23"/>
    <n v="8"/>
    <n v="0"/>
    <n v="185"/>
    <n v="13"/>
    <n v="198"/>
    <n v="65"/>
    <n v="79"/>
    <n v="2"/>
    <n v="0"/>
    <n v="0"/>
    <n v="82"/>
    <n v="10"/>
    <n v="9"/>
    <n v="0"/>
    <n v="2"/>
    <n v="2"/>
    <n v="14"/>
    <n v="0"/>
    <n v="11"/>
    <n v="0"/>
    <n v="2"/>
    <n v="1"/>
  </r>
  <r>
    <n v="83"/>
    <d v="2024-01-12T15:17:39"/>
    <d v="2024-01-12T15:28:49"/>
    <s v="amakweti@lighthouse.org.mw"/>
    <s v="Alphat Makweti"/>
    <x v="13"/>
    <s v="COE"/>
    <x v="0"/>
    <s v="COP_23"/>
    <x v="0"/>
    <x v="0"/>
    <s v="Quarter1"/>
    <x v="0"/>
    <x v="11"/>
    <d v="2023-12-01T00:00:00"/>
    <d v="2023-12-31T00:00:00"/>
    <x v="0"/>
    <n v="228"/>
    <n v="0"/>
    <n v="142"/>
    <n v="68"/>
    <n v="10"/>
    <n v="8"/>
    <n v="228"/>
    <n v="75"/>
    <n v="81"/>
    <n v="4"/>
    <n v="0"/>
    <n v="0"/>
    <n v="75"/>
    <n v="2"/>
    <n v="0"/>
    <n v="0"/>
    <n v="0"/>
    <n v="0"/>
    <n v="65"/>
    <n v="6"/>
    <n v="10"/>
    <n v="0"/>
    <n v="4"/>
    <n v="1"/>
  </r>
  <r>
    <n v="84"/>
    <d v="2024-01-12T15:33:56"/>
    <d v="2024-01-12T15:40:06"/>
    <s v="amakweti@lighthouse.org.mw"/>
    <s v="Alphat Makweti"/>
    <x v="13"/>
    <s v="COE"/>
    <x v="0"/>
    <s v="COP_23"/>
    <x v="0"/>
    <x v="0"/>
    <s v="Quarter1"/>
    <x v="0"/>
    <x v="11"/>
    <d v="2023-12-01T00:00:00"/>
    <d v="2023-12-31T00:00:00"/>
    <x v="6"/>
    <n v="158"/>
    <n v="108"/>
    <n v="32"/>
    <n v="24"/>
    <n v="47"/>
    <n v="55"/>
    <n v="151"/>
    <n v="60"/>
    <n v="68"/>
    <n v="2"/>
    <n v="0"/>
    <n v="0"/>
    <n v="45"/>
    <n v="8"/>
    <n v="2"/>
    <n v="2"/>
    <n v="5"/>
    <n v="5"/>
    <n v="1"/>
    <n v="1"/>
    <n v="15"/>
    <n v="3"/>
    <n v="1"/>
    <n v="19"/>
  </r>
  <r>
    <n v="127"/>
    <d v="2024-01-26T13:19:07"/>
    <d v="2024-01-26T13:20:49"/>
    <s v="chbanda@lighthouse.org.mw"/>
    <s v="Chipiliro Banda"/>
    <x v="13"/>
    <s v="COE"/>
    <x v="0"/>
    <s v="COP_23"/>
    <x v="0"/>
    <x v="0"/>
    <s v="Quarter1"/>
    <x v="0"/>
    <x v="0"/>
    <d v="2023-10-01T00:00:00"/>
    <d v="2023-10-31T00:00:00"/>
    <x v="3"/>
    <n v="0"/>
    <n v="0"/>
    <n v="0"/>
    <n v="0"/>
    <n v="0"/>
    <n v="0"/>
    <n v="0"/>
    <n v="0"/>
    <n v="0"/>
    <n v="0"/>
    <n v="0"/>
    <n v="0"/>
    <n v="0"/>
    <n v="0"/>
    <n v="0"/>
    <n v="0"/>
    <n v="0"/>
    <n v="0"/>
    <n v="0"/>
    <n v="0"/>
    <n v="0"/>
    <n v="0"/>
    <n v="0"/>
    <n v="0"/>
  </r>
  <r>
    <n v="128"/>
    <d v="2024-01-26T13:21:17"/>
    <d v="2024-01-26T13:25:50"/>
    <s v="chbanda@lighthouse.org.mw"/>
    <s v="Chipiliro Banda"/>
    <x v="13"/>
    <s v="COE"/>
    <x v="0"/>
    <s v="COP_23"/>
    <x v="0"/>
    <x v="0"/>
    <s v="Quarter1"/>
    <x v="0"/>
    <x v="0"/>
    <d v="2023-10-01T00:00:00"/>
    <d v="2024-10-31T00:00:00"/>
    <x v="5"/>
    <n v="82"/>
    <n v="0"/>
    <n v="51"/>
    <n v="18"/>
    <n v="19"/>
    <n v="2"/>
    <n v="82"/>
    <n v="22"/>
    <n v="28"/>
    <n v="1"/>
    <n v="0"/>
    <n v="0"/>
    <n v="22"/>
    <n v="1"/>
    <n v="0"/>
    <n v="0"/>
    <n v="0"/>
    <n v="0"/>
    <n v="28"/>
    <n v="0"/>
    <n v="1"/>
    <n v="0"/>
    <n v="0"/>
    <n v="0"/>
  </r>
  <r>
    <n v="130"/>
    <d v="2024-01-26T13:29:48"/>
    <d v="2024-01-26T13:31:23"/>
    <s v="chbanda@lighthouse.org.mw"/>
    <s v="Chipiliro Banda"/>
    <x v="13"/>
    <s v="COE"/>
    <x v="0"/>
    <s v="COP_23"/>
    <x v="0"/>
    <x v="0"/>
    <s v="Quarter1"/>
    <x v="0"/>
    <x v="1"/>
    <d v="2024-11-01T00:00:00"/>
    <d v="2024-11-30T00:00:00"/>
    <x v="3"/>
    <n v="1"/>
    <n v="0"/>
    <n v="1"/>
    <n v="0"/>
    <n v="0"/>
    <n v="0"/>
    <n v="1"/>
    <n v="0"/>
    <n v="0"/>
    <n v="0"/>
    <n v="0"/>
    <n v="0"/>
    <n v="0"/>
    <n v="0"/>
    <n v="0"/>
    <n v="0"/>
    <n v="0"/>
    <n v="0"/>
    <n v="0"/>
    <n v="0"/>
    <n v="0"/>
    <n v="0"/>
    <n v="0"/>
    <n v="0"/>
  </r>
  <r>
    <n v="132"/>
    <d v="2024-01-26T13:34:54"/>
    <d v="2024-01-26T13:38:03"/>
    <s v="chbanda@lighthouse.org.mw"/>
    <s v="Chipiliro Banda"/>
    <x v="13"/>
    <s v="COE"/>
    <x v="0"/>
    <s v="COP_23"/>
    <x v="0"/>
    <x v="0"/>
    <s v="Quarter1"/>
    <x v="0"/>
    <x v="1"/>
    <d v="2024-11-01T00:00:00"/>
    <d v="2024-11-30T00:00:00"/>
    <x v="5"/>
    <n v="105"/>
    <n v="0"/>
    <n v="84"/>
    <n v="19"/>
    <n v="2"/>
    <n v="0"/>
    <n v="105"/>
    <n v="17"/>
    <n v="18"/>
    <n v="0"/>
    <n v="0"/>
    <n v="0"/>
    <n v="18"/>
    <n v="0"/>
    <n v="0"/>
    <n v="0"/>
    <n v="0"/>
    <n v="0"/>
    <n v="18"/>
    <n v="0"/>
    <n v="0"/>
    <n v="0"/>
    <n v="0"/>
    <n v="0"/>
  </r>
  <r>
    <n v="134"/>
    <d v="2024-01-26T13:40:57"/>
    <d v="2024-01-26T13:43:59"/>
    <s v="chbanda@lighthouse.org.mw"/>
    <s v="Chipiliro Banda"/>
    <x v="13"/>
    <s v="COE"/>
    <x v="0"/>
    <s v="COP_23"/>
    <x v="0"/>
    <x v="0"/>
    <s v="Quarter1"/>
    <x v="0"/>
    <x v="11"/>
    <d v="2024-12-01T00:00:00"/>
    <d v="2024-12-31T00:00:00"/>
    <x v="5"/>
    <n v="94"/>
    <n v="0"/>
    <n v="60"/>
    <n v="27"/>
    <n v="6"/>
    <n v="1"/>
    <n v="94"/>
    <n v="29"/>
    <n v="36"/>
    <n v="1"/>
    <n v="1"/>
    <n v="0"/>
    <n v="38"/>
    <n v="3"/>
    <n v="0"/>
    <n v="0"/>
    <n v="0"/>
    <n v="0"/>
    <n v="35"/>
    <n v="0"/>
    <n v="0"/>
    <n v="0"/>
    <n v="1"/>
    <n v="0"/>
  </r>
  <r>
    <n v="135"/>
    <d v="2024-01-26T13:44:05"/>
    <d v="2024-01-26T13:45:32"/>
    <s v="chbanda@lighthouse.org.mw"/>
    <s v="Chipiliro Banda"/>
    <x v="13"/>
    <s v="COE"/>
    <x v="0"/>
    <s v="COP_23"/>
    <x v="0"/>
    <x v="0"/>
    <s v="Quarter1"/>
    <x v="0"/>
    <x v="11"/>
    <d v="2024-12-01T00:00:00"/>
    <d v="2024-12-31T00:00:00"/>
    <x v="3"/>
    <n v="1"/>
    <n v="0"/>
    <n v="0"/>
    <n v="0"/>
    <n v="1"/>
    <n v="0"/>
    <n v="0"/>
    <n v="0"/>
    <n v="0"/>
    <n v="0"/>
    <n v="0"/>
    <n v="0"/>
    <n v="0"/>
    <n v="0"/>
    <n v="0"/>
    <n v="0"/>
    <n v="0"/>
    <n v="0"/>
    <n v="0"/>
    <n v="0"/>
    <n v="0"/>
    <n v="0"/>
    <n v="0"/>
    <n v="0"/>
  </r>
  <r>
    <n v="153"/>
    <d v="2024-02-13T11:55:18"/>
    <d v="2024-02-13T11:59:34"/>
    <s v="amakweti@lighthouse.org.mw"/>
    <s v="Alphat Makweti"/>
    <x v="13"/>
    <s v="COE"/>
    <x v="1"/>
    <s v="COP_23"/>
    <x v="0"/>
    <x v="2"/>
    <s v="Quarter2"/>
    <x v="2"/>
    <x v="4"/>
    <d v="2024-01-01T00:00:00"/>
    <d v="2024-01-31T00:00:00"/>
    <x v="6"/>
    <n v="219"/>
    <n v="168"/>
    <n v="59"/>
    <n v="39"/>
    <n v="34"/>
    <n v="87"/>
    <n v="209"/>
    <n v="79"/>
    <n v="98"/>
    <n v="2"/>
    <n v="0"/>
    <n v="0"/>
    <n v="82"/>
    <n v="8"/>
    <n v="0"/>
    <n v="0"/>
    <n v="0"/>
    <n v="0"/>
    <n v="1"/>
    <n v="1"/>
    <n v="11"/>
    <n v="3"/>
    <n v="0"/>
    <n v="5"/>
  </r>
  <r>
    <n v="154"/>
    <d v="2024-02-13T12:07:58"/>
    <d v="2024-02-13T12:13:07"/>
    <s v="amakweti@lighthouse.org.mw"/>
    <s v="Alphat Makweti"/>
    <x v="13"/>
    <s v="COE"/>
    <x v="1"/>
    <s v="COP_23"/>
    <x v="0"/>
    <x v="2"/>
    <s v="Quarter2"/>
    <x v="2"/>
    <x v="4"/>
    <d v="2024-01-01T00:00:00"/>
    <d v="2024-01-31T00:00:00"/>
    <x v="0"/>
    <n v="331"/>
    <n v="0"/>
    <n v="190"/>
    <n v="110"/>
    <n v="13"/>
    <n v="14"/>
    <n v="327"/>
    <n v="95"/>
    <n v="122"/>
    <n v="8"/>
    <n v="7"/>
    <n v="2"/>
    <n v="18"/>
    <n v="8"/>
    <n v="0"/>
    <n v="0"/>
    <n v="0"/>
    <n v="0"/>
    <n v="95"/>
    <n v="8"/>
    <n v="8"/>
    <n v="1"/>
    <n v="2"/>
    <n v="1"/>
  </r>
  <r>
    <n v="156"/>
    <d v="2024-02-13T12:18:40"/>
    <d v="2024-02-13T12:22:27"/>
    <s v="amakweti@lighthouse.org.mw"/>
    <s v="Alphat Makweti"/>
    <x v="13"/>
    <s v="COE"/>
    <x v="1"/>
    <s v="COP_23"/>
    <x v="0"/>
    <x v="2"/>
    <s v="Quarter2"/>
    <x v="2"/>
    <x v="4"/>
    <d v="2024-01-01T00:00:00"/>
    <d v="2024-01-31T00:00:00"/>
    <x v="5"/>
    <n v="103"/>
    <n v="0"/>
    <n v="70"/>
    <n v="27"/>
    <n v="1"/>
    <n v="5"/>
    <n v="102"/>
    <n v="34"/>
    <n v="34"/>
    <n v="0"/>
    <n v="0"/>
    <n v="0"/>
    <n v="34"/>
    <n v="0"/>
    <n v="0"/>
    <n v="0"/>
    <n v="0"/>
    <n v="0"/>
    <n v="34"/>
    <n v="0"/>
    <n v="0"/>
    <n v="0"/>
    <n v="0"/>
    <n v="0"/>
  </r>
  <r>
    <n v="157"/>
    <d v="2024-02-14T08:04:24"/>
    <d v="2024-02-14T08:06:37"/>
    <s v="amakweti@lighthouse.org.mw"/>
    <s v="Alphat Makweti"/>
    <x v="13"/>
    <s v="COE"/>
    <x v="1"/>
    <s v="COP_23"/>
    <x v="0"/>
    <x v="2"/>
    <s v="Quarter2"/>
    <x v="2"/>
    <x v="4"/>
    <d v="2024-01-01T00:00:00"/>
    <d v="2024-01-31T00:00:00"/>
    <x v="3"/>
    <n v="4"/>
    <n v="0"/>
    <n v="4"/>
    <n v="0"/>
    <n v="0"/>
    <n v="0"/>
    <n v="0"/>
    <n v="0"/>
    <n v="4"/>
    <n v="0"/>
    <n v="0"/>
    <n v="0"/>
    <n v="0"/>
    <n v="0"/>
    <n v="0"/>
    <n v="0"/>
    <n v="0"/>
    <n v="0"/>
    <n v="0"/>
    <n v="0"/>
    <n v="0"/>
    <n v="0"/>
    <n v="0"/>
    <n v="0"/>
  </r>
  <r>
    <n v="163"/>
    <d v="2024-03-08T14:13:19"/>
    <d v="2024-03-08T14:22:11"/>
    <s v="chbanda@lighthouse.org.mw"/>
    <s v="Chipiliro Banda"/>
    <x v="13"/>
    <s v="COE"/>
    <x v="1"/>
    <s v="COP_23"/>
    <x v="0"/>
    <x v="2"/>
    <s v="Quarter2"/>
    <x v="2"/>
    <x v="5"/>
    <d v="2024-02-01T00:00:00"/>
    <d v="2024-02-29T00:00:00"/>
    <x v="0"/>
    <n v="538"/>
    <n v="142"/>
    <n v="237"/>
    <n v="105"/>
    <n v="78"/>
    <n v="118"/>
    <n v="314"/>
    <n v="152"/>
    <n v="154"/>
    <n v="4"/>
    <n v="3"/>
    <n v="0"/>
    <n v="129"/>
    <n v="12"/>
    <n v="2"/>
    <n v="2"/>
    <n v="0"/>
    <n v="0"/>
    <n v="63"/>
    <n v="8"/>
    <n v="18"/>
    <n v="3"/>
    <n v="0"/>
    <n v="7"/>
  </r>
  <r>
    <n v="217"/>
    <d v="2024-04-08T11:30:07"/>
    <d v="2024-04-08T11:45:00"/>
    <s v="chbanda@lighthouse.org.mw"/>
    <s v="Chipiliro Banda"/>
    <x v="13"/>
    <s v="COE"/>
    <x v="1"/>
    <s v="COP_23"/>
    <x v="0"/>
    <x v="2"/>
    <s v="Quarter2"/>
    <x v="2"/>
    <x v="3"/>
    <d v="2024-03-01T00:00:00"/>
    <d v="2024-03-31T00:00:00"/>
    <x v="5"/>
    <n v="97"/>
    <n v="0"/>
    <n v="69"/>
    <n v="22"/>
    <n v="5"/>
    <n v="1"/>
    <n v="97"/>
    <n v="23"/>
    <n v="23"/>
    <n v="0"/>
    <n v="0"/>
    <n v="0"/>
    <n v="22"/>
    <n v="1"/>
    <n v="0"/>
    <n v="0"/>
    <n v="0"/>
    <n v="0"/>
    <n v="22"/>
    <n v="2"/>
    <n v="2"/>
    <n v="0"/>
    <n v="0"/>
    <n v="0"/>
  </r>
  <r>
    <n v="220"/>
    <d v="2024-04-08T11:52:54"/>
    <d v="2024-04-08T11:59:02"/>
    <s v="chbanda@lighthouse.org.mw"/>
    <s v="Chipiliro Banda"/>
    <x v="13"/>
    <s v="COE"/>
    <x v="1"/>
    <s v="COP_23"/>
    <x v="0"/>
    <x v="2"/>
    <s v="Quarter2"/>
    <x v="2"/>
    <x v="3"/>
    <d v="2024-02-29T00:00:00"/>
    <d v="2024-03-31T00:00:00"/>
    <x v="0"/>
    <n v="333"/>
    <n v="0"/>
    <n v="191"/>
    <n v="101"/>
    <n v="28"/>
    <n v="13"/>
    <n v="317"/>
    <n v="77"/>
    <n v="87"/>
    <n v="1"/>
    <n v="2"/>
    <n v="1"/>
    <n v="84"/>
    <n v="3"/>
    <n v="0"/>
    <n v="0"/>
    <n v="0"/>
    <n v="0"/>
    <n v="71"/>
    <n v="9"/>
    <n v="14"/>
    <n v="1"/>
    <n v="0"/>
    <n v="0"/>
  </r>
  <r>
    <n v="221"/>
    <d v="2024-04-08T11:59:15"/>
    <d v="2024-04-08T12:02:03"/>
    <s v="chbanda@lighthouse.org.mw"/>
    <s v="Chipiliro Banda"/>
    <x v="13"/>
    <s v="COE"/>
    <x v="1"/>
    <s v="COP_23"/>
    <x v="0"/>
    <x v="2"/>
    <s v="Quarter2"/>
    <x v="2"/>
    <x v="3"/>
    <d v="2024-03-01T00:00:00"/>
    <d v="2024-03-31T00:00:00"/>
    <x v="3"/>
    <n v="8"/>
    <n v="0"/>
    <n v="8"/>
    <n v="0"/>
    <n v="0"/>
    <n v="0"/>
    <n v="0"/>
    <n v="0"/>
    <n v="8"/>
    <n v="0"/>
    <n v="0"/>
    <n v="0"/>
    <n v="8"/>
    <n v="0"/>
    <n v="0"/>
    <n v="0"/>
    <n v="0"/>
    <n v="0"/>
    <n v="0"/>
    <n v="0"/>
    <n v="0"/>
    <n v="0"/>
    <n v="0"/>
    <n v="0"/>
  </r>
  <r>
    <n v="243"/>
    <d v="2024-04-12T14:33:27"/>
    <d v="2024-04-12T14:40:37"/>
    <s v="chbanda@lighthouse.org.mw"/>
    <s v="Chipiliro Banda"/>
    <x v="13"/>
    <s v="COE"/>
    <x v="1"/>
    <s v="COP_23"/>
    <x v="0"/>
    <x v="2"/>
    <s v="Quarter2"/>
    <x v="2"/>
    <x v="3"/>
    <d v="2024-03-01T00:00:00"/>
    <d v="2024-03-31T00:00:00"/>
    <x v="6"/>
    <n v="198"/>
    <n v="154"/>
    <n v="42"/>
    <n v="44"/>
    <n v="51"/>
    <n v="61"/>
    <n v="185"/>
    <n v="74"/>
    <n v="85"/>
    <n v="6"/>
    <n v="5"/>
    <n v="2"/>
    <n v="53"/>
    <n v="6"/>
    <n v="0"/>
    <n v="0"/>
    <n v="0"/>
    <n v="0"/>
    <n v="5"/>
    <n v="3"/>
    <n v="8"/>
    <n v="6"/>
    <n v="0"/>
    <n v="3"/>
  </r>
  <r>
    <n v="263"/>
    <d v="2024-04-22T10:01:41"/>
    <d v="2024-04-22T10:07:16"/>
    <s v="chbanda@lighthouse.org.mw"/>
    <s v="Chipiliro Banda"/>
    <x v="13"/>
    <s v="COE"/>
    <x v="1"/>
    <s v="COP_23"/>
    <x v="0"/>
    <x v="2"/>
    <s v="Quarter2"/>
    <x v="2"/>
    <x v="5"/>
    <d v="2024-02-01T00:00:00"/>
    <d v="2024-02-29T00:00:00"/>
    <x v="6"/>
    <n v="214"/>
    <n v="142"/>
    <n v="38"/>
    <n v="29"/>
    <n v="44"/>
    <n v="103"/>
    <n v="208"/>
    <n v="71"/>
    <n v="71"/>
    <n v="2"/>
    <n v="0"/>
    <n v="0"/>
    <n v="52"/>
    <n v="8"/>
    <n v="2"/>
    <n v="2"/>
    <n v="2"/>
    <n v="2"/>
    <n v="2"/>
    <n v="2"/>
    <n v="6"/>
    <n v="1"/>
    <n v="0"/>
    <n v="6"/>
  </r>
  <r>
    <n v="284"/>
    <d v="2024-04-24T09:20:47"/>
    <d v="2024-04-24T09:23:03"/>
    <s v="chbanda@lighthouse.org.mw"/>
    <s v="Chipiliro Banda"/>
    <x v="13"/>
    <s v="COE"/>
    <x v="1"/>
    <s v="COP_23"/>
    <x v="0"/>
    <x v="2"/>
    <s v="Quarter2"/>
    <x v="2"/>
    <x v="5"/>
    <d v="2024-02-01T00:00:00"/>
    <d v="2024-02-29T00:00:00"/>
    <x v="3"/>
    <n v="0"/>
    <m/>
    <n v="0"/>
    <n v="0"/>
    <n v="0"/>
    <n v="0"/>
    <n v="0"/>
    <n v="0"/>
    <n v="0"/>
    <n v="0"/>
    <n v="0"/>
    <n v="0"/>
    <n v="0"/>
    <n v="0"/>
    <n v="0"/>
    <n v="0"/>
    <n v="0"/>
    <n v="0"/>
    <n v="0"/>
    <n v="0"/>
    <n v="0"/>
    <n v="0"/>
    <n v="0"/>
    <n v="0"/>
  </r>
  <r>
    <n v="286"/>
    <d v="2024-04-24T09:30:28"/>
    <d v="2024-04-24T09:38:00"/>
    <s v="chbanda@lighthouse.org.mw"/>
    <s v="Chipiliro Banda"/>
    <x v="13"/>
    <s v="COE"/>
    <x v="1"/>
    <s v="COP_23"/>
    <x v="0"/>
    <x v="2"/>
    <s v="Quarter2"/>
    <x v="2"/>
    <x v="5"/>
    <d v="2024-02-01T00:00:00"/>
    <d v="2024-02-29T00:00:00"/>
    <x v="5"/>
    <n v="95"/>
    <n v="0"/>
    <n v="64"/>
    <n v="23"/>
    <n v="5"/>
    <n v="3"/>
    <n v="95"/>
    <n v="23"/>
    <n v="23"/>
    <n v="1"/>
    <n v="0"/>
    <n v="0"/>
    <n v="22"/>
    <n v="0"/>
    <n v="0"/>
    <n v="0"/>
    <n v="0"/>
    <n v="0"/>
    <n v="21"/>
    <n v="1"/>
    <n v="1"/>
    <n v="0"/>
    <n v="0"/>
    <n v="0"/>
  </r>
  <r>
    <n v="289"/>
    <d v="2024-04-24T09:55:51"/>
    <d v="2024-04-24T10:19:54"/>
    <s v="chbanda@lighthouse.org.mw"/>
    <s v="Chipiliro Banda"/>
    <x v="13"/>
    <s v="COE"/>
    <x v="1"/>
    <s v="COP_23"/>
    <x v="0"/>
    <x v="2"/>
    <s v="Quarter2"/>
    <x v="2"/>
    <x v="3"/>
    <d v="2024-03-01T00:00:00"/>
    <d v="2024-03-31T00:00:00"/>
    <x v="4"/>
    <n v="8"/>
    <n v="0"/>
    <n v="7"/>
    <n v="1"/>
    <n v="0"/>
    <n v="0"/>
    <n v="8"/>
    <n v="2"/>
    <n v="0"/>
    <n v="0"/>
    <n v="0"/>
    <n v="0"/>
    <n v="2"/>
    <n v="0"/>
    <n v="0"/>
    <n v="0"/>
    <n v="0"/>
    <n v="0"/>
    <n v="2"/>
    <n v="0"/>
    <n v="0"/>
    <n v="0"/>
    <n v="0"/>
    <n v="0"/>
  </r>
  <r>
    <n v="290"/>
    <d v="2024-04-24T10:21:24"/>
    <d v="2024-04-24T10:23:00"/>
    <s v="chbanda@lighthouse.org.mw"/>
    <s v="Chipiliro Banda"/>
    <x v="13"/>
    <s v="COE"/>
    <x v="1"/>
    <s v="COP_23"/>
    <x v="0"/>
    <x v="2"/>
    <s v="Quarter2"/>
    <x v="2"/>
    <x v="4"/>
    <d v="2024-01-01T00:00:00"/>
    <d v="2024-01-31T00:00:00"/>
    <x v="4"/>
    <n v="19"/>
    <n v="0"/>
    <n v="13"/>
    <n v="4"/>
    <n v="2"/>
    <n v="0"/>
    <n v="19"/>
    <n v="3"/>
    <n v="2"/>
    <n v="0"/>
    <n v="0"/>
    <n v="0"/>
    <n v="2"/>
    <n v="0"/>
    <n v="0"/>
    <n v="0"/>
    <n v="0"/>
    <n v="0"/>
    <n v="2"/>
    <n v="0"/>
    <n v="0"/>
    <n v="0"/>
    <n v="0"/>
    <n v="0"/>
  </r>
  <r>
    <n v="295"/>
    <d v="2024-04-24T10:52:46"/>
    <d v="2024-04-24T10:55:03"/>
    <s v="chbanda@lighthouse.org.mw"/>
    <s v="Chipiliro Banda"/>
    <x v="13"/>
    <s v="COE"/>
    <x v="1"/>
    <s v="COP_23"/>
    <x v="0"/>
    <x v="2"/>
    <s v="Quarter2"/>
    <x v="2"/>
    <x v="5"/>
    <d v="2024-01-01T00:00:00"/>
    <d v="2024-01-31T00:00:00"/>
    <x v="4"/>
    <n v="19"/>
    <n v="0"/>
    <n v="13"/>
    <n v="4"/>
    <n v="2"/>
    <n v="0"/>
    <n v="19"/>
    <n v="3"/>
    <n v="0"/>
    <n v="0"/>
    <n v="0"/>
    <n v="0"/>
    <n v="2"/>
    <n v="0"/>
    <n v="0"/>
    <n v="0"/>
    <n v="0"/>
    <n v="0"/>
    <n v="2"/>
    <n v="0"/>
    <n v="0"/>
    <n v="0"/>
    <n v="0"/>
    <n v="0"/>
  </r>
  <r>
    <n v="403"/>
    <d v="2024-05-15T09:47:58"/>
    <d v="2024-05-15T10:02:34"/>
    <s v="chbanda@lighthouse.org.mw"/>
    <s v="Chipiliro Banda"/>
    <x v="13"/>
    <s v="COE"/>
    <x v="1"/>
    <s v="COP_24"/>
    <x v="0"/>
    <x v="3"/>
    <s v="Quarter3"/>
    <x v="3"/>
    <x v="7"/>
    <d v="2024-04-01T00:00:00"/>
    <d v="2024-04-30T00:00:00"/>
    <x v="0"/>
    <n v="289"/>
    <n v="0"/>
    <n v="208"/>
    <n v="55"/>
    <n v="18"/>
    <n v="8"/>
    <n v="256"/>
    <n v="69"/>
    <n v="101"/>
    <n v="2"/>
    <n v="12"/>
    <n v="1"/>
    <n v="23"/>
    <n v="1"/>
    <n v="0"/>
    <n v="0"/>
    <n v="0"/>
    <n v="0"/>
    <n v="66"/>
    <n v="10"/>
    <n v="13"/>
    <n v="0"/>
    <n v="1"/>
    <n v="0"/>
  </r>
  <r>
    <n v="405"/>
    <d v="2024-05-15T10:13:41"/>
    <d v="2024-05-15T10:16:22"/>
    <s v="chbanda@lighthouse.org.mw"/>
    <s v="Chipiliro Banda"/>
    <x v="13"/>
    <s v="COE"/>
    <x v="1"/>
    <s v="COP_24"/>
    <x v="0"/>
    <x v="3"/>
    <s v="Quarter3"/>
    <x v="3"/>
    <x v="7"/>
    <d v="2024-04-01T00:00:00"/>
    <d v="2024-04-30T00:00:00"/>
    <x v="5"/>
    <n v="102"/>
    <n v="0"/>
    <n v="81"/>
    <n v="18"/>
    <n v="3"/>
    <n v="0"/>
    <n v="92"/>
    <n v="20"/>
    <n v="20"/>
    <n v="0"/>
    <n v="0"/>
    <n v="0"/>
    <n v="20"/>
    <n v="2"/>
    <n v="0"/>
    <n v="0"/>
    <n v="0"/>
    <n v="0"/>
    <n v="15"/>
    <n v="2"/>
    <n v="2"/>
    <n v="0"/>
    <n v="0"/>
    <n v="0"/>
  </r>
  <r>
    <n v="463"/>
    <d v="2024-05-27T11:14:02"/>
    <d v="2024-05-27T11:59:23"/>
    <s v="chbanda@lighthouse.org.mw"/>
    <s v="Chipiliro Banda"/>
    <x v="13"/>
    <s v="COE"/>
    <x v="1"/>
    <s v="COP_24"/>
    <x v="0"/>
    <x v="3"/>
    <s v="Quarter3"/>
    <x v="3"/>
    <x v="7"/>
    <d v="2024-04-01T00:00:00"/>
    <d v="2024-04-30T00:00:00"/>
    <x v="3"/>
    <n v="5"/>
    <n v="0"/>
    <n v="3"/>
    <n v="0"/>
    <n v="0"/>
    <n v="0"/>
    <n v="0"/>
    <n v="0"/>
    <n v="0"/>
    <n v="0"/>
    <n v="0"/>
    <n v="0"/>
    <n v="3"/>
    <n v="1"/>
    <n v="0"/>
    <n v="0"/>
    <n v="0"/>
    <n v="0"/>
    <n v="0"/>
    <n v="0"/>
    <n v="1"/>
    <n v="0"/>
    <n v="0"/>
    <n v="0"/>
  </r>
  <r>
    <n v="464"/>
    <d v="2024-05-27T12:02:24"/>
    <d v="2024-05-27T12:04:00"/>
    <s v="chbanda@lighthouse.org.mw"/>
    <s v="Chipiliro Banda"/>
    <x v="13"/>
    <s v="COE"/>
    <x v="1"/>
    <s v="COP_24"/>
    <x v="0"/>
    <x v="3"/>
    <s v="Quarter3"/>
    <x v="3"/>
    <x v="7"/>
    <d v="2024-04-01T00:00:00"/>
    <d v="2024-04-30T00:00:00"/>
    <x v="4"/>
    <n v="14"/>
    <n v="0"/>
    <n v="12"/>
    <n v="1"/>
    <n v="1"/>
    <n v="0"/>
    <n v="13"/>
    <n v="0"/>
    <n v="0"/>
    <n v="0"/>
    <n v="0"/>
    <n v="0"/>
    <n v="0"/>
    <n v="0"/>
    <n v="0"/>
    <n v="0"/>
    <n v="0"/>
    <n v="0"/>
    <n v="0"/>
    <n v="0"/>
    <n v="0"/>
    <n v="0"/>
    <n v="0"/>
    <n v="0"/>
  </r>
  <r>
    <n v="547"/>
    <d v="2024-06-12T08:27:35"/>
    <d v="2024-06-12T08:32:55"/>
    <s v="chbanda@lighthouse.org.mw"/>
    <s v="Chipiliro Banda"/>
    <x v="13"/>
    <s v="COE"/>
    <x v="1"/>
    <s v="COP_24"/>
    <x v="0"/>
    <x v="3"/>
    <s v="Quarter3"/>
    <x v="3"/>
    <x v="6"/>
    <d v="2024-05-01T00:00:00"/>
    <d v="2024-05-31T00:00:00"/>
    <x v="0"/>
    <n v="315"/>
    <n v="0"/>
    <n v="214"/>
    <n v="56"/>
    <n v="33"/>
    <n v="12"/>
    <n v="303"/>
    <n v="86"/>
    <n v="1"/>
    <n v="0"/>
    <n v="0"/>
    <n v="0"/>
    <n v="6"/>
    <n v="0"/>
    <n v="0"/>
    <n v="0"/>
    <n v="0"/>
    <n v="0"/>
    <n v="86"/>
    <n v="15"/>
    <n v="15"/>
    <n v="0"/>
    <n v="0"/>
    <n v="0"/>
  </r>
  <r>
    <n v="548"/>
    <d v="2024-06-12T08:33:45"/>
    <d v="2024-06-12T08:35:33"/>
    <s v="chbanda@lighthouse.org.mw"/>
    <s v="Chipiliro Banda"/>
    <x v="13"/>
    <s v="COE"/>
    <x v="1"/>
    <s v="COP_24"/>
    <x v="0"/>
    <x v="3"/>
    <s v="Quarter3"/>
    <x v="3"/>
    <x v="6"/>
    <d v="2024-05-01T00:00:00"/>
    <d v="2024-05-31T00:00:00"/>
    <x v="3"/>
    <n v="8"/>
    <n v="0"/>
    <n v="4"/>
    <n v="3"/>
    <n v="1"/>
    <n v="0"/>
    <n v="2"/>
    <n v="2"/>
    <n v="0"/>
    <n v="0"/>
    <n v="0"/>
    <n v="0"/>
    <n v="5"/>
    <n v="0"/>
    <n v="0"/>
    <n v="0"/>
    <n v="0"/>
    <n v="0"/>
    <n v="0"/>
    <n v="0"/>
    <n v="0"/>
    <n v="0"/>
    <n v="0"/>
    <n v="0"/>
  </r>
  <r>
    <n v="549"/>
    <d v="2024-06-12T09:06:06"/>
    <d v="2024-06-12T09:09:34"/>
    <s v="chbanda@lighthouse.org.mw"/>
    <s v="Chipiliro Banda"/>
    <x v="13"/>
    <s v="COE"/>
    <x v="1"/>
    <s v="COP_24"/>
    <x v="0"/>
    <x v="3"/>
    <s v="Quarter3"/>
    <x v="3"/>
    <x v="6"/>
    <d v="2024-05-01T00:00:00"/>
    <d v="2024-05-31T00:00:00"/>
    <x v="4"/>
    <n v="16"/>
    <n v="0"/>
    <n v="11"/>
    <n v="2"/>
    <n v="2"/>
    <n v="1"/>
    <n v="14"/>
    <n v="3"/>
    <n v="4"/>
    <n v="0"/>
    <n v="0"/>
    <n v="0"/>
    <n v="1"/>
    <n v="0"/>
    <n v="0"/>
    <n v="0"/>
    <n v="0"/>
    <n v="0"/>
    <n v="0"/>
    <n v="4"/>
    <n v="0"/>
    <n v="0"/>
    <n v="0"/>
    <n v="0"/>
  </r>
  <r>
    <n v="552"/>
    <d v="2024-06-12T09:54:22"/>
    <d v="2024-06-12T10:17:31"/>
    <s v="chbanda@lighthouse.org.mw"/>
    <s v="Chipiliro Banda"/>
    <x v="13"/>
    <s v="COE"/>
    <x v="1"/>
    <s v="COP_24"/>
    <x v="0"/>
    <x v="3"/>
    <s v="Quarter3"/>
    <x v="3"/>
    <x v="6"/>
    <d v="2024-05-01T00:00:00"/>
    <d v="2024-05-31T00:00:00"/>
    <x v="5"/>
    <n v="98"/>
    <n v="0"/>
    <n v="71"/>
    <n v="20"/>
    <n v="4"/>
    <n v="3"/>
    <n v="96"/>
    <n v="29"/>
    <n v="29"/>
    <n v="0"/>
    <n v="0"/>
    <n v="0"/>
    <n v="0"/>
    <n v="0"/>
    <n v="0"/>
    <n v="0"/>
    <n v="0"/>
    <n v="0"/>
    <n v="31"/>
    <n v="4"/>
    <n v="4"/>
    <n v="0"/>
    <n v="0"/>
    <n v="0"/>
  </r>
  <r>
    <n v="553"/>
    <d v="2024-06-14T09:54:26"/>
    <d v="2024-06-14T09:56:31"/>
    <s v="chbanda@lighthouse.org.mw"/>
    <s v="Chipiliro Banda"/>
    <x v="13"/>
    <s v="COE"/>
    <x v="1"/>
    <s v="COP_24"/>
    <x v="0"/>
    <x v="3"/>
    <s v="Quarter3"/>
    <x v="3"/>
    <x v="6"/>
    <d v="2024-05-01T00:00:00"/>
    <d v="2024-05-31T00:00:00"/>
    <x v="6"/>
    <n v="187"/>
    <n v="166"/>
    <n v="29"/>
    <n v="56"/>
    <n v="44"/>
    <n v="58"/>
    <n v="184"/>
    <n v="80"/>
    <n v="0"/>
    <n v="0"/>
    <n v="0"/>
    <n v="0"/>
    <n v="0"/>
    <n v="0"/>
    <n v="0"/>
    <n v="0"/>
    <n v="0"/>
    <n v="0"/>
    <n v="0"/>
    <n v="0"/>
    <n v="0"/>
    <n v="8"/>
    <n v="0"/>
    <n v="29"/>
  </r>
  <r>
    <n v="646"/>
    <d v="2024-07-18T09:11:19"/>
    <d v="2024-07-18T09:17:16"/>
    <s v="chbanda@lighthouse.org.mw"/>
    <s v="Chipiliro Banda"/>
    <x v="13"/>
    <s v="COE"/>
    <x v="1"/>
    <s v="COP_24"/>
    <x v="0"/>
    <x v="3"/>
    <s v="Quarter3"/>
    <x v="3"/>
    <x v="8"/>
    <d v="2024-06-01T00:00:00"/>
    <d v="2024-06-30T00:00:00"/>
    <x v="6"/>
    <n v="170"/>
    <n v="135"/>
    <n v="38"/>
    <n v="48"/>
    <n v="26"/>
    <n v="52"/>
    <n v="170"/>
    <n v="80"/>
    <n v="0"/>
    <n v="0"/>
    <n v="0"/>
    <n v="0"/>
    <n v="0"/>
    <n v="0"/>
    <n v="0"/>
    <n v="0"/>
    <n v="0"/>
    <n v="0"/>
    <n v="0"/>
    <n v="0"/>
    <n v="5"/>
    <n v="20"/>
    <n v="1"/>
    <n v="28"/>
  </r>
  <r>
    <n v="647"/>
    <d v="2024-07-18T12:18:03"/>
    <d v="2024-07-18T12:20:40"/>
    <s v="chbanda@lighthouse.org.mw"/>
    <s v="Chipiliro Banda"/>
    <x v="13"/>
    <s v="COE"/>
    <x v="1"/>
    <s v="COP_24"/>
    <x v="0"/>
    <x v="3"/>
    <s v="Quarter3"/>
    <x v="3"/>
    <x v="8"/>
    <d v="2024-06-01T00:00:00"/>
    <d v="2024-06-30T00:00:00"/>
    <x v="0"/>
    <n v="453"/>
    <n v="135"/>
    <n v="223"/>
    <n v="97"/>
    <n v="53"/>
    <n v="80"/>
    <n v="2"/>
    <n v="159"/>
    <n v="165"/>
    <n v="8"/>
    <n v="1"/>
    <n v="1"/>
    <n v="0"/>
    <n v="0"/>
    <n v="0"/>
    <n v="0"/>
    <n v="0"/>
    <n v="0"/>
    <n v="79"/>
    <n v="12"/>
    <n v="17"/>
    <n v="20"/>
    <n v="4"/>
    <n v="29"/>
  </r>
  <r>
    <n v="648"/>
    <d v="2024-07-18T13:43:22"/>
    <d v="2024-07-18T13:43:31"/>
    <s v="chbanda@lighthouse.org.mw"/>
    <s v="Chipiliro Banda"/>
    <x v="13"/>
    <s v="COE"/>
    <x v="1"/>
    <s v="COP_24"/>
    <x v="0"/>
    <x v="3"/>
    <s v="Quarter3"/>
    <x v="3"/>
    <x v="8"/>
    <d v="2024-06-01T00:00:00"/>
    <d v="2024-06-30T00:00:00"/>
    <x v="5"/>
    <n v="123"/>
    <n v="0"/>
    <n v="93"/>
    <n v="21"/>
    <n v="7"/>
    <n v="2"/>
    <n v="122"/>
    <n v="32"/>
    <n v="32"/>
    <n v="1"/>
    <n v="0"/>
    <n v="0"/>
    <n v="0"/>
    <n v="0"/>
    <n v="0"/>
    <n v="0"/>
    <n v="0"/>
    <n v="0"/>
    <n v="33"/>
    <n v="2"/>
    <n v="2"/>
    <n v="0"/>
    <n v="0"/>
    <n v="0"/>
  </r>
  <r>
    <n v="649"/>
    <d v="2024-07-18T13:43:36"/>
    <d v="2024-07-18T13:45:26"/>
    <s v="chbanda@lighthouse.org.mw"/>
    <s v="Chipiliro Banda"/>
    <x v="13"/>
    <s v="COE"/>
    <x v="1"/>
    <s v="COP_24"/>
    <x v="0"/>
    <x v="3"/>
    <s v="Quarter3"/>
    <x v="3"/>
    <x v="8"/>
    <d v="2024-06-01T00:00:00"/>
    <d v="2024-06-30T00:00:00"/>
    <x v="4"/>
    <n v="23"/>
    <n v="0"/>
    <n v="15"/>
    <n v="5"/>
    <n v="1"/>
    <n v="2"/>
    <n v="23"/>
    <n v="3"/>
    <n v="3"/>
    <n v="0"/>
    <n v="0"/>
    <n v="0"/>
    <n v="0"/>
    <n v="0"/>
    <n v="0"/>
    <n v="0"/>
    <n v="0"/>
    <n v="0"/>
    <n v="3"/>
    <n v="0"/>
    <n v="0"/>
    <n v="0"/>
    <n v="0"/>
    <n v="0"/>
  </r>
  <r>
    <n v="650"/>
    <d v="2024-07-18T13:45:29"/>
    <d v="2024-07-18T13:47:01"/>
    <s v="chbanda@lighthouse.org.mw"/>
    <s v="Chipiliro Banda"/>
    <x v="13"/>
    <s v="COE"/>
    <x v="1"/>
    <s v="COP_24"/>
    <x v="0"/>
    <x v="3"/>
    <s v="Quarter3"/>
    <x v="3"/>
    <x v="8"/>
    <d v="2024-06-01T00:00:00"/>
    <d v="2024-06-30T00:00:00"/>
    <x v="3"/>
    <n v="10"/>
    <n v="1"/>
    <n v="0"/>
    <n v="1"/>
    <n v="0"/>
    <n v="0"/>
    <n v="0"/>
    <n v="0"/>
    <n v="1"/>
    <n v="0"/>
    <n v="0"/>
    <n v="0"/>
    <n v="0"/>
    <n v="0"/>
    <n v="0"/>
    <n v="0"/>
    <n v="0"/>
    <n v="0"/>
    <n v="0"/>
    <n v="0"/>
    <n v="0"/>
    <n v="0"/>
    <n v="0"/>
    <n v="0"/>
  </r>
  <r>
    <n v="780"/>
    <d v="2024-08-19T18:02:29"/>
    <d v="2024-08-19T18:07:22"/>
    <s v="anhlema@lighthouse.org.mw"/>
    <s v="Angelina Nhlema"/>
    <x v="13"/>
    <s v="COE"/>
    <x v="1"/>
    <s v="COP_24"/>
    <x v="0"/>
    <x v="3"/>
    <s v="Quarter3"/>
    <x v="3"/>
    <x v="7"/>
    <d v="2024-04-01T00:00:00"/>
    <d v="2024-04-30T00:00:00"/>
    <x v="6"/>
    <n v="143"/>
    <n v="26"/>
    <n v="43"/>
    <n v="44"/>
    <n v="30"/>
    <n v="26"/>
    <n v="133"/>
    <n v="40"/>
    <n v="48"/>
    <n v="3"/>
    <n v="0"/>
    <n v="0"/>
    <n v="14"/>
    <n v="0"/>
    <n v="0"/>
    <n v="0"/>
    <n v="0"/>
    <n v="0"/>
    <n v="0"/>
    <n v="0"/>
    <n v="0"/>
    <n v="0"/>
    <n v="0"/>
    <n v="0"/>
  </r>
  <r>
    <n v="968"/>
    <d v="2024-10-21T11:17:06"/>
    <d v="2024-10-21T11:18:35"/>
    <s v="chbanda@lighthouse.org.mw"/>
    <s v="Chipiliro Banda"/>
    <x v="13"/>
    <s v="COE"/>
    <x v="1"/>
    <s v="COP_23"/>
    <x v="0"/>
    <x v="1"/>
    <s v="Quarter4"/>
    <x v="1"/>
    <x v="10"/>
    <d v="2024-08-01T00:00:00"/>
    <d v="2024-08-31T00:00:00"/>
    <x v="6"/>
    <n v="116"/>
    <n v="102"/>
    <n v="11"/>
    <n v="47"/>
    <n v="36"/>
    <n v="22"/>
    <n v="113"/>
    <n v="54"/>
    <n v="58"/>
    <n v="4"/>
    <n v="1"/>
    <n v="0"/>
    <n v="4"/>
    <n v="1"/>
    <n v="0"/>
    <n v="0"/>
    <n v="0"/>
    <n v="0"/>
    <n v="1"/>
    <n v="0"/>
    <n v="2"/>
    <n v="1"/>
    <n v="5"/>
    <n v="15"/>
  </r>
  <r>
    <n v="969"/>
    <d v="2024-10-21T11:21:06"/>
    <d v="2024-10-21T11:29:17"/>
    <s v="chbanda@lighthouse.org.mw"/>
    <s v="Chipiliro Banda"/>
    <x v="13"/>
    <s v="COE"/>
    <x v="1"/>
    <s v="COP_23"/>
    <x v="0"/>
    <x v="1"/>
    <s v="Quarter4"/>
    <x v="1"/>
    <x v="10"/>
    <d v="2024-08-01T00:00:00"/>
    <d v="2024-08-31T00:00:00"/>
    <x v="0"/>
    <n v="377"/>
    <n v="107"/>
    <n v="159"/>
    <n v="103"/>
    <n v="70"/>
    <n v="45"/>
    <n v="367"/>
    <n v="120"/>
    <n v="132"/>
    <n v="8"/>
    <n v="1"/>
    <n v="0"/>
    <n v="25"/>
    <n v="1"/>
    <n v="0"/>
    <n v="0"/>
    <n v="0"/>
    <n v="0"/>
    <n v="63"/>
    <n v="14"/>
    <n v="16"/>
    <n v="1"/>
    <n v="5"/>
    <n v="18"/>
  </r>
  <r>
    <n v="972"/>
    <d v="2024-10-21T11:54:58"/>
    <d v="2024-10-21T11:56:38"/>
    <s v="chbanda@lighthouse.org.mw"/>
    <s v="Chipiliro Banda"/>
    <x v="13"/>
    <s v="COE"/>
    <x v="1"/>
    <s v="COP_23"/>
    <x v="0"/>
    <x v="1"/>
    <s v="Quarter4"/>
    <x v="1"/>
    <x v="10"/>
    <d v="2024-08-01T00:00:00"/>
    <d v="2024-08-31T00:00:00"/>
    <x v="3"/>
    <n v="2"/>
    <n v="0"/>
    <n v="0"/>
    <n v="2"/>
    <n v="0"/>
    <n v="0"/>
    <n v="0"/>
    <n v="0"/>
    <n v="2"/>
    <n v="0"/>
    <n v="0"/>
    <n v="0"/>
    <n v="0"/>
    <n v="0"/>
    <n v="0"/>
    <n v="0"/>
    <n v="0"/>
    <n v="0"/>
    <n v="0"/>
    <n v="0"/>
    <n v="0"/>
    <n v="0"/>
    <n v="0"/>
    <n v="1"/>
  </r>
  <r>
    <n v="973"/>
    <d v="2024-10-21T12:00:06"/>
    <d v="2024-10-21T12:02:27"/>
    <s v="chbanda@lighthouse.org.mw"/>
    <s v="Chipiliro Banda"/>
    <x v="13"/>
    <s v="COE"/>
    <x v="1"/>
    <s v="COP_23"/>
    <x v="0"/>
    <x v="1"/>
    <s v="Quarter4"/>
    <x v="1"/>
    <x v="10"/>
    <d v="2024-08-01T00:00:00"/>
    <d v="2024-08-31T00:00:00"/>
    <x v="4"/>
    <n v="12"/>
    <n v="0"/>
    <n v="7"/>
    <n v="4"/>
    <n v="1"/>
    <n v="0"/>
    <n v="12"/>
    <n v="3"/>
    <n v="0"/>
    <n v="0"/>
    <n v="0"/>
    <n v="0"/>
    <n v="0"/>
    <n v="0"/>
    <n v="0"/>
    <n v="0"/>
    <n v="0"/>
    <n v="0"/>
    <n v="0"/>
    <n v="0"/>
    <n v="0"/>
    <n v="0"/>
    <n v="0"/>
    <n v="0"/>
  </r>
  <r>
    <n v="974"/>
    <d v="2024-10-21T12:26:11"/>
    <d v="2024-10-21T12:26:18"/>
    <s v="chbanda@lighthouse.org.mw"/>
    <s v="Chipiliro Banda"/>
    <x v="13"/>
    <s v="COE"/>
    <x v="1"/>
    <s v="COP_23"/>
    <x v="0"/>
    <x v="1"/>
    <s v="Quarter4"/>
    <x v="1"/>
    <x v="10"/>
    <d v="2024-08-01T00:00:00"/>
    <d v="2024-08-31T00:00:00"/>
    <x v="5"/>
    <n v="82"/>
    <n v="0"/>
    <n v="66"/>
    <n v="14"/>
    <n v="2"/>
    <n v="0"/>
    <n v="81"/>
    <n v="18"/>
    <n v="18"/>
    <n v="0"/>
    <n v="0"/>
    <n v="0"/>
    <n v="7"/>
    <n v="0"/>
    <n v="0"/>
    <n v="0"/>
    <n v="0"/>
    <n v="0"/>
    <n v="18"/>
    <n v="2"/>
    <n v="2"/>
    <n v="0"/>
    <n v="0"/>
    <n v="0"/>
  </r>
  <r>
    <n v="981"/>
    <d v="2024-10-23T13:08:08"/>
    <d v="2024-10-23T13:21:44"/>
    <s v="chbanda@lighthouse.org.mw"/>
    <s v="Chipiliro Banda"/>
    <x v="13"/>
    <s v="COE"/>
    <x v="1"/>
    <s v="COP_23"/>
    <x v="0"/>
    <x v="1"/>
    <s v="Quarter4"/>
    <x v="1"/>
    <x v="9"/>
    <d v="2024-07-01T00:00:00"/>
    <d v="2024-07-31T00:00:00"/>
    <x v="0"/>
    <n v="557"/>
    <n v="157"/>
    <n v="309"/>
    <n v="116"/>
    <n v="67"/>
    <n v="65"/>
    <n v="534"/>
    <n v="168"/>
    <n v="189"/>
    <n v="5"/>
    <n v="0"/>
    <n v="0"/>
    <n v="0"/>
    <n v="0"/>
    <n v="0"/>
    <n v="0"/>
    <n v="0"/>
    <n v="0"/>
    <n v="79"/>
    <n v="7"/>
    <n v="12"/>
    <n v="0"/>
    <n v="3"/>
    <n v="24"/>
  </r>
  <r>
    <n v="983"/>
    <d v="2024-10-23T14:15:47"/>
    <d v="2024-10-23T14:16:26"/>
    <s v="chbanda@lighthouse.org.mw"/>
    <s v="Chipiliro Banda"/>
    <x v="13"/>
    <s v="COE"/>
    <x v="1"/>
    <s v="COP_23"/>
    <x v="0"/>
    <x v="1"/>
    <s v="Quarter4"/>
    <x v="1"/>
    <x v="9"/>
    <d v="2024-07-01T00:00:00"/>
    <d v="2024-07-31T00:00:00"/>
    <x v="5"/>
    <n v="148"/>
    <n v="0"/>
    <n v="125"/>
    <n v="18"/>
    <n v="4"/>
    <n v="1"/>
    <n v="128"/>
    <n v="30"/>
    <n v="41"/>
    <n v="1"/>
    <n v="0"/>
    <n v="0"/>
    <n v="0"/>
    <n v="0"/>
    <n v="0"/>
    <n v="0"/>
    <n v="0"/>
    <n v="0"/>
    <n v="28"/>
    <n v="5"/>
    <n v="5"/>
    <n v="0"/>
    <n v="0"/>
    <n v="0"/>
  </r>
  <r>
    <n v="984"/>
    <d v="2024-10-23T14:16:32"/>
    <d v="2024-10-23T14:18:44"/>
    <s v="chbanda@lighthouse.org.mw"/>
    <s v="Chipiliro Banda"/>
    <x v="13"/>
    <s v="COE"/>
    <x v="1"/>
    <s v="COP_23"/>
    <x v="0"/>
    <x v="1"/>
    <s v="Quarter4"/>
    <x v="1"/>
    <x v="9"/>
    <d v="2024-07-01T00:00:00"/>
    <d v="2024-07-31T00:00:00"/>
    <x v="4"/>
    <n v="23"/>
    <n v="0"/>
    <n v="18"/>
    <n v="1"/>
    <n v="4"/>
    <n v="0"/>
    <n v="20"/>
    <n v="4"/>
    <n v="7"/>
    <n v="0"/>
    <n v="0"/>
    <n v="0"/>
    <n v="0"/>
    <n v="0"/>
    <n v="0"/>
    <n v="0"/>
    <n v="0"/>
    <n v="0"/>
    <n v="4"/>
    <n v="0"/>
    <n v="0"/>
    <n v="0"/>
    <n v="0"/>
    <n v="0"/>
  </r>
  <r>
    <n v="989"/>
    <d v="2024-10-24T15:22:21"/>
    <d v="2024-10-24T15:23:54"/>
    <s v="chbanda@lighthouse.org.mw"/>
    <s v="Chipiliro Banda"/>
    <x v="13"/>
    <s v="COE"/>
    <x v="1"/>
    <s v="COP_23"/>
    <x v="0"/>
    <x v="1"/>
    <s v="Quarter4"/>
    <x v="1"/>
    <x v="2"/>
    <d v="2024-09-01T00:00:00"/>
    <d v="2024-09-30T00:00:00"/>
    <x v="4"/>
    <n v="17"/>
    <n v="0"/>
    <n v="8"/>
    <n v="4"/>
    <n v="5"/>
    <n v="0"/>
    <n v="17"/>
    <n v="4"/>
    <n v="4"/>
    <n v="0"/>
    <n v="0"/>
    <n v="0"/>
    <n v="4"/>
    <n v="0"/>
    <n v="0"/>
    <n v="0"/>
    <n v="0"/>
    <n v="0"/>
    <n v="3"/>
    <n v="0"/>
    <n v="0"/>
    <n v="0"/>
    <n v="0"/>
    <n v="0"/>
  </r>
  <r>
    <n v="991"/>
    <d v="2024-10-24T15:26:15"/>
    <d v="2024-10-24T15:28:17"/>
    <s v="chbanda@lighthouse.org.mw"/>
    <s v="Chipiliro Banda"/>
    <x v="13"/>
    <s v="COE"/>
    <x v="1"/>
    <s v="COP_23"/>
    <x v="0"/>
    <x v="1"/>
    <s v="Quarter4"/>
    <x v="1"/>
    <x v="2"/>
    <d v="2024-09-01T00:00:00"/>
    <d v="2024-09-30T00:00:00"/>
    <x v="5"/>
    <n v="91"/>
    <n v="0"/>
    <n v="77"/>
    <n v="11"/>
    <n v="3"/>
    <n v="0"/>
    <n v="91"/>
    <n v="19"/>
    <n v="19"/>
    <n v="1"/>
    <n v="1"/>
    <n v="0"/>
    <n v="19"/>
    <n v="1"/>
    <n v="0"/>
    <n v="0"/>
    <n v="0"/>
    <n v="0"/>
    <n v="19"/>
    <n v="1"/>
    <n v="1"/>
    <n v="0"/>
    <n v="1"/>
    <n v="0"/>
  </r>
  <r>
    <n v="992"/>
    <d v="2024-10-24T15:28:47"/>
    <d v="2024-10-24T15:29:55"/>
    <s v="chbanda@lighthouse.org.mw"/>
    <s v="Chipiliro Banda"/>
    <x v="13"/>
    <s v="COE"/>
    <x v="1"/>
    <s v="COP_23"/>
    <x v="0"/>
    <x v="1"/>
    <s v="Quarter4"/>
    <x v="1"/>
    <x v="2"/>
    <d v="2024-09-01T00:00:00"/>
    <d v="2024-09-30T00:00:00"/>
    <x v="3"/>
    <n v="1"/>
    <n v="0"/>
    <n v="0"/>
    <n v="0"/>
    <n v="1"/>
    <n v="0"/>
    <n v="0"/>
    <n v="0"/>
    <n v="1"/>
    <n v="0"/>
    <n v="0"/>
    <n v="0"/>
    <n v="0"/>
    <n v="0"/>
    <n v="0"/>
    <n v="0"/>
    <n v="0"/>
    <n v="0"/>
    <n v="0"/>
    <n v="0"/>
    <n v="0"/>
    <n v="0"/>
    <n v="0"/>
    <n v="0"/>
  </r>
  <r>
    <n v="993"/>
    <d v="2024-10-24T15:30:44"/>
    <d v="2024-10-24T15:32:36"/>
    <s v="chbanda@lighthouse.org.mw"/>
    <s v="Chipiliro Banda"/>
    <x v="13"/>
    <s v="COE"/>
    <x v="1"/>
    <s v="COP_23"/>
    <x v="0"/>
    <x v="1"/>
    <s v="Quarter4"/>
    <x v="1"/>
    <x v="9"/>
    <d v="2024-07-01T00:00:00"/>
    <d v="2024-07-31T00:00:00"/>
    <x v="6"/>
    <n v="196"/>
    <n v="157"/>
    <n v="41"/>
    <n v="67"/>
    <n v="39"/>
    <n v="49"/>
    <n v="196"/>
    <n v="80"/>
    <n v="78"/>
    <n v="2"/>
    <n v="0"/>
    <n v="0"/>
    <n v="0"/>
    <n v="0"/>
    <n v="0"/>
    <n v="0"/>
    <n v="0"/>
    <n v="0"/>
    <n v="0"/>
    <n v="0"/>
    <n v="5"/>
    <n v="0"/>
    <n v="3"/>
    <n v="23"/>
  </r>
  <r>
    <n v="996"/>
    <d v="2024-10-30T13:19:25"/>
    <d v="2024-10-30T13:21:38"/>
    <s v="chbanda@lighthouse.org.mw"/>
    <s v="Chipiliro Banda"/>
    <x v="13"/>
    <s v="COE"/>
    <x v="1"/>
    <s v="COP_23"/>
    <x v="0"/>
    <x v="1"/>
    <s v="Quarter4"/>
    <x v="1"/>
    <x v="9"/>
    <d v="2024-07-01T00:00:00"/>
    <d v="2024-07-31T00:00:00"/>
    <x v="3"/>
    <n v="20"/>
    <n v="0"/>
    <n v="15"/>
    <n v="2"/>
    <n v="2"/>
    <n v="1"/>
    <n v="0"/>
    <n v="0"/>
    <n v="20"/>
    <n v="0"/>
    <n v="0"/>
    <n v="0"/>
    <n v="0"/>
    <n v="0"/>
    <n v="0"/>
    <n v="0"/>
    <n v="0"/>
    <n v="0"/>
    <n v="0"/>
    <n v="0"/>
    <n v="0"/>
    <n v="0"/>
    <n v="0"/>
    <n v="0"/>
  </r>
  <r>
    <n v="998"/>
    <d v="2024-10-30T13:32:22"/>
    <d v="2024-10-30T13:36:06"/>
    <s v="chbanda@lighthouse.org.mw"/>
    <s v="Chipiliro Banda"/>
    <x v="13"/>
    <s v="COE"/>
    <x v="1"/>
    <s v="COP_23"/>
    <x v="0"/>
    <x v="1"/>
    <s v="Quarter4"/>
    <x v="1"/>
    <x v="2"/>
    <d v="2024-09-01T00:00:00"/>
    <d v="2024-09-30T00:00:00"/>
    <x v="6"/>
    <n v="137"/>
    <n v="118"/>
    <n v="29"/>
    <n v="59"/>
    <n v="31"/>
    <n v="18"/>
    <n v="125"/>
    <n v="10"/>
    <n v="8"/>
    <n v="3"/>
    <n v="0"/>
    <n v="0"/>
    <n v="34"/>
    <n v="8"/>
    <n v="0"/>
    <n v="0"/>
    <n v="0"/>
    <n v="0"/>
    <n v="0"/>
    <n v="0"/>
    <n v="8"/>
    <n v="1"/>
    <n v="1"/>
    <n v="4"/>
  </r>
  <r>
    <n v="129"/>
    <d v="2024-01-26T13:26:08"/>
    <d v="2024-01-26T13:29:29"/>
    <s v="chbanda@lighthouse.org.mw"/>
    <s v="Chipiliro Banda"/>
    <x v="13"/>
    <s v="COE"/>
    <x v="0"/>
    <s v="COP_23"/>
    <x v="0"/>
    <x v="0"/>
    <s v="Quarter1"/>
    <x v="0"/>
    <x v="0"/>
    <d v="2023-10-01T00:00:00"/>
    <d v="2024-10-31T00:00:00"/>
    <x v="1"/>
    <n v="76"/>
    <n v="76"/>
    <n v="45"/>
    <n v="23"/>
    <n v="8"/>
    <n v="9"/>
    <n v="76"/>
    <n v="27"/>
    <n v="30"/>
    <n v="0"/>
    <n v="0"/>
    <n v="0"/>
    <n v="30"/>
    <n v="2"/>
    <n v="0"/>
    <n v="0"/>
    <n v="0"/>
    <n v="0"/>
    <n v="30"/>
    <n v="0"/>
    <n v="2"/>
    <n v="0"/>
    <n v="0"/>
    <n v="0"/>
  </r>
  <r>
    <n v="131"/>
    <d v="2024-01-26T13:31:28"/>
    <d v="2024-01-26T13:34:47"/>
    <s v="chbanda@lighthouse.org.mw"/>
    <s v="Chipiliro Banda"/>
    <x v="13"/>
    <s v="COE"/>
    <x v="0"/>
    <s v="COP_23"/>
    <x v="0"/>
    <x v="0"/>
    <s v="Quarter1"/>
    <x v="0"/>
    <x v="1"/>
    <d v="2024-11-01T00:00:00"/>
    <d v="2024-11-30T00:00:00"/>
    <x v="1"/>
    <n v="56"/>
    <n v="56"/>
    <n v="38"/>
    <n v="9"/>
    <n v="6"/>
    <n v="3"/>
    <n v="56"/>
    <n v="21"/>
    <n v="30"/>
    <n v="1"/>
    <n v="1"/>
    <n v="1"/>
    <n v="30"/>
    <n v="1"/>
    <n v="0"/>
    <n v="0"/>
    <n v="0"/>
    <n v="0"/>
    <n v="30"/>
    <n v="0"/>
    <n v="1"/>
    <n v="1"/>
    <n v="0"/>
    <n v="0"/>
  </r>
  <r>
    <n v="133"/>
    <d v="2024-01-26T13:38:15"/>
    <d v="2024-01-26T13:40:51"/>
    <s v="chbanda@lighthouse.org.mw"/>
    <s v="Chipiliro Banda"/>
    <x v="13"/>
    <s v="COE"/>
    <x v="0"/>
    <s v="COP_23"/>
    <x v="0"/>
    <x v="0"/>
    <s v="Quarter1"/>
    <x v="0"/>
    <x v="11"/>
    <d v="2024-12-01T00:00:00"/>
    <d v="2024-12-31T00:00:00"/>
    <x v="1"/>
    <n v="49"/>
    <n v="0"/>
    <n v="37"/>
    <n v="20"/>
    <n v="0"/>
    <n v="2"/>
    <n v="49"/>
    <n v="23"/>
    <n v="25"/>
    <n v="0"/>
    <n v="0"/>
    <n v="0"/>
    <n v="25"/>
    <n v="0"/>
    <n v="0"/>
    <n v="0"/>
    <n v="0"/>
    <n v="0"/>
    <n v="25"/>
    <n v="2"/>
    <n v="2"/>
    <n v="0"/>
    <n v="0"/>
    <n v="0"/>
  </r>
  <r>
    <n v="155"/>
    <d v="2024-02-13T12:13:50"/>
    <d v="2024-02-13T12:18:34"/>
    <s v="amakweti@lighthouse.org.mw"/>
    <s v="Alphat Makweti"/>
    <x v="13"/>
    <s v="COE"/>
    <x v="1"/>
    <s v="COP_23"/>
    <x v="0"/>
    <x v="2"/>
    <s v="Quarter2"/>
    <x v="2"/>
    <x v="4"/>
    <d v="2024-01-01T00:00:00"/>
    <d v="2024-01-31T00:00:00"/>
    <x v="1"/>
    <n v="74"/>
    <n v="0"/>
    <n v="46"/>
    <n v="18"/>
    <n v="4"/>
    <n v="6"/>
    <n v="74"/>
    <n v="31"/>
    <n v="34"/>
    <n v="1"/>
    <n v="0"/>
    <n v="0"/>
    <n v="34"/>
    <n v="3"/>
    <n v="0"/>
    <n v="0"/>
    <n v="0"/>
    <n v="0"/>
    <n v="34"/>
    <n v="3"/>
    <n v="3"/>
    <n v="0"/>
    <n v="1"/>
    <n v="0"/>
  </r>
  <r>
    <n v="218"/>
    <d v="2024-04-08T11:45:31"/>
    <d v="2024-04-08T11:49:46"/>
    <s v="chbanda@lighthouse.org.mw"/>
    <s v="Chipiliro Banda"/>
    <x v="13"/>
    <s v="COE"/>
    <x v="1"/>
    <s v="COP_23"/>
    <x v="0"/>
    <x v="2"/>
    <s v="Quarter2"/>
    <x v="2"/>
    <x v="3"/>
    <d v="2024-03-01T00:00:00"/>
    <d v="2024-03-31T00:00:00"/>
    <x v="1"/>
    <n v="77"/>
    <n v="0"/>
    <n v="46"/>
    <n v="20"/>
    <n v="7"/>
    <n v="4"/>
    <n v="74"/>
    <n v="24"/>
    <n v="22"/>
    <n v="0"/>
    <n v="0"/>
    <n v="0"/>
    <n v="22"/>
    <n v="0"/>
    <n v="0"/>
    <n v="0"/>
    <n v="0"/>
    <n v="0"/>
    <n v="77"/>
    <n v="6"/>
    <n v="7"/>
    <n v="0"/>
    <n v="0"/>
    <n v="0"/>
  </r>
  <r>
    <n v="285"/>
    <d v="2024-04-24T09:23:30"/>
    <d v="2024-04-24T09:30:09"/>
    <s v="chbanda@lighthouse.org.mw"/>
    <s v="Chipiliro Banda"/>
    <x v="13"/>
    <s v="COE"/>
    <x v="1"/>
    <s v="COP_23"/>
    <x v="0"/>
    <x v="2"/>
    <s v="Quarter2"/>
    <x v="2"/>
    <x v="5"/>
    <d v="2024-02-01T00:00:00"/>
    <d v="2024-02-29T00:00:00"/>
    <x v="1"/>
    <n v="81"/>
    <s v="y"/>
    <n v="56"/>
    <n v="12"/>
    <n v="8"/>
    <n v="5"/>
    <n v="81"/>
    <n v="22"/>
    <n v="22"/>
    <n v="0"/>
    <n v="0"/>
    <n v="0"/>
    <n v="20"/>
    <n v="2"/>
    <n v="0"/>
    <n v="0"/>
    <n v="0"/>
    <n v="0"/>
    <n v="23"/>
    <n v="3"/>
    <n v="5"/>
    <n v="0"/>
    <n v="0"/>
    <n v="0"/>
  </r>
  <r>
    <n v="219"/>
    <d v="2024-04-08T11:49:50"/>
    <d v="2024-04-08T11:52:50"/>
    <s v="chbanda@lighthouse.org.mw"/>
    <s v="Chipiliro Banda"/>
    <x v="13"/>
    <s v="COE"/>
    <x v="1"/>
    <s v="COP_23"/>
    <x v="0"/>
    <x v="2"/>
    <s v="Quarter2"/>
    <x v="2"/>
    <x v="3"/>
    <d v="2024-03-01T00:00:00"/>
    <d v="2024-03-31T00:00:00"/>
    <x v="2"/>
    <n v="44"/>
    <n v="0"/>
    <n v="31"/>
    <n v="12"/>
    <n v="1"/>
    <n v="0"/>
    <n v="44"/>
    <n v="10"/>
    <n v="11"/>
    <n v="0"/>
    <n v="0"/>
    <n v="0"/>
    <n v="11"/>
    <n v="0"/>
    <n v="0"/>
    <n v="0"/>
    <n v="0"/>
    <n v="0"/>
    <n v="11"/>
    <n v="11"/>
    <n v="0"/>
    <n v="0"/>
    <n v="0"/>
    <n v="0"/>
  </r>
  <r>
    <n v="404"/>
    <d v="2024-05-15T10:05:28"/>
    <d v="2024-05-15T10:13:33"/>
    <s v="chbanda@lighthouse.org.mw"/>
    <s v="Chipiliro Banda"/>
    <x v="13"/>
    <s v="COE"/>
    <x v="1"/>
    <s v="COP_24"/>
    <x v="0"/>
    <x v="3"/>
    <s v="Quarter3"/>
    <x v="3"/>
    <x v="7"/>
    <d v="2024-05-01T00:00:00"/>
    <d v="2024-04-30T00:00:00"/>
    <x v="1"/>
    <n v="118"/>
    <n v="0"/>
    <n v="50"/>
    <n v="17"/>
    <n v="11"/>
    <n v="7"/>
    <n v="75"/>
    <n v="36"/>
    <n v="42"/>
    <n v="0"/>
    <n v="30"/>
    <n v="0"/>
    <n v="32"/>
    <n v="6"/>
    <n v="0"/>
    <n v="0"/>
    <n v="0"/>
    <n v="0"/>
    <n v="30"/>
    <n v="6"/>
    <n v="6"/>
    <n v="0"/>
    <n v="0"/>
    <n v="0"/>
  </r>
  <r>
    <n v="287"/>
    <d v="2024-04-24T09:39:08"/>
    <d v="2024-04-24T09:42:59"/>
    <s v="chbanda@lighthouse.org.mw"/>
    <s v="Chipiliro Banda"/>
    <x v="13"/>
    <s v="COE"/>
    <x v="1"/>
    <s v="COP_23"/>
    <x v="0"/>
    <x v="2"/>
    <s v="Quarter2"/>
    <x v="2"/>
    <x v="5"/>
    <d v="2024-02-01T00:00:00"/>
    <d v="2024-02-29T00:00:00"/>
    <x v="2"/>
    <n v="36"/>
    <n v="0"/>
    <n v="23"/>
    <n v="10"/>
    <n v="2"/>
    <n v="1"/>
    <n v="36"/>
    <n v="10"/>
    <n v="10"/>
    <n v="0"/>
    <n v="0"/>
    <n v="0"/>
    <n v="10"/>
    <n v="0"/>
    <n v="0"/>
    <n v="0"/>
    <n v="0"/>
    <n v="0"/>
    <n v="10"/>
    <n v="0"/>
    <n v="0"/>
    <n v="0"/>
    <n v="0"/>
    <n v="0"/>
  </r>
  <r>
    <n v="551"/>
    <d v="2024-06-12T09:54:03"/>
    <d v="2024-06-12T09:54:13"/>
    <s v="chbanda@lighthouse.org.mw"/>
    <s v="Chipiliro Banda"/>
    <x v="13"/>
    <s v="COE"/>
    <x v="1"/>
    <s v="COP_24"/>
    <x v="0"/>
    <x v="3"/>
    <s v="Quarter3"/>
    <x v="3"/>
    <x v="6"/>
    <d v="2024-05-01T00:00:00"/>
    <d v="2024-05-31T00:00:00"/>
    <x v="1"/>
    <n v="102"/>
    <n v="0"/>
    <n v="48"/>
    <n v="27"/>
    <n v="14"/>
    <n v="3"/>
    <n v="87"/>
    <n v="37"/>
    <n v="47"/>
    <n v="1"/>
    <n v="0"/>
    <n v="0"/>
    <n v="0"/>
    <n v="0"/>
    <n v="0"/>
    <n v="0"/>
    <n v="0"/>
    <n v="0"/>
    <n v="28"/>
    <n v="5"/>
    <n v="5"/>
    <n v="0"/>
    <n v="0"/>
    <n v="0"/>
  </r>
  <r>
    <n v="294"/>
    <d v="2024-04-24T10:50:38"/>
    <d v="2024-04-24T10:52:38"/>
    <s v="chbanda@lighthouse.org.mw"/>
    <s v="Chipiliro Banda"/>
    <x v="13"/>
    <s v="COE"/>
    <x v="1"/>
    <s v="COP_23"/>
    <x v="0"/>
    <x v="2"/>
    <s v="Quarter2"/>
    <x v="2"/>
    <x v="4"/>
    <d v="2024-01-01T00:00:00"/>
    <d v="2024-01-31T00:00:00"/>
    <x v="2"/>
    <n v="14"/>
    <n v="0"/>
    <n v="10"/>
    <n v="4"/>
    <n v="0"/>
    <n v="0"/>
    <n v="14"/>
    <n v="3"/>
    <n v="2"/>
    <n v="0"/>
    <n v="0"/>
    <n v="0"/>
    <n v="2"/>
    <n v="0"/>
    <n v="0"/>
    <n v="0"/>
    <n v="0"/>
    <n v="0"/>
    <n v="2"/>
    <n v="0"/>
    <n v="0"/>
    <n v="0"/>
    <n v="0"/>
    <n v="0"/>
  </r>
  <r>
    <n v="777"/>
    <d v="2024-08-19T12:33:08"/>
    <d v="2024-08-19T12:35:58"/>
    <s v="chbanda@lighthouse.org.mw"/>
    <s v="Chipiliro Banda"/>
    <x v="13"/>
    <s v="COE"/>
    <x v="1"/>
    <s v="COP_24"/>
    <x v="0"/>
    <x v="3"/>
    <s v="Quarter3"/>
    <x v="3"/>
    <x v="8"/>
    <d v="2024-06-01T00:00:00"/>
    <d v="2024-06-30T00:00:00"/>
    <x v="1"/>
    <n v="72"/>
    <n v="15"/>
    <n v="38"/>
    <n v="16"/>
    <n v="12"/>
    <n v="6"/>
    <n v="72"/>
    <n v="38"/>
    <n v="40"/>
    <n v="2"/>
    <n v="1"/>
    <n v="1"/>
    <n v="0"/>
    <n v="0"/>
    <n v="0"/>
    <n v="0"/>
    <n v="0"/>
    <n v="0"/>
    <n v="41"/>
    <n v="6"/>
    <n v="7"/>
    <n v="1"/>
    <n v="1"/>
    <n v="0"/>
  </r>
  <r>
    <n v="970"/>
    <d v="2024-10-21T11:33:46"/>
    <d v="2024-10-21T11:38:27"/>
    <s v="chbanda@lighthouse.org.mw"/>
    <s v="Chipiliro Banda"/>
    <x v="13"/>
    <s v="COE"/>
    <x v="1"/>
    <s v="COP_23"/>
    <x v="0"/>
    <x v="1"/>
    <s v="Quarter4"/>
    <x v="1"/>
    <x v="10"/>
    <d v="2024-08-01T00:00:00"/>
    <d v="2024-08-31T00:00:00"/>
    <x v="1"/>
    <n v="81"/>
    <n v="14"/>
    <n v="37"/>
    <n v="24"/>
    <n v="14"/>
    <n v="6"/>
    <n v="74"/>
    <n v="30"/>
    <n v="32"/>
    <n v="2"/>
    <n v="0"/>
    <n v="0"/>
    <n v="8"/>
    <n v="0"/>
    <n v="0"/>
    <n v="0"/>
    <n v="0"/>
    <n v="0"/>
    <n v="21"/>
    <n v="5"/>
    <n v="15"/>
    <n v="0"/>
    <n v="2"/>
    <n v="0"/>
  </r>
  <r>
    <n v="465"/>
    <d v="2024-05-27T12:04:12"/>
    <d v="2024-05-27T12:12:58"/>
    <s v="chbanda@lighthouse.org.mw"/>
    <s v="Chipiliro Banda"/>
    <x v="13"/>
    <s v="COE"/>
    <x v="1"/>
    <s v="COP_24"/>
    <x v="0"/>
    <x v="3"/>
    <s v="Quarter3"/>
    <x v="3"/>
    <x v="7"/>
    <d v="2024-04-01T00:00:00"/>
    <d v="2024-04-30T00:00:00"/>
    <x v="2"/>
    <n v="50"/>
    <n v="0"/>
    <n v="31"/>
    <n v="6"/>
    <n v="1"/>
    <n v="0"/>
    <n v="37"/>
    <n v="7"/>
    <n v="8"/>
    <n v="1"/>
    <n v="0"/>
    <n v="0"/>
    <n v="0"/>
    <n v="0"/>
    <n v="0"/>
    <n v="0"/>
    <n v="0"/>
    <n v="0"/>
    <n v="8"/>
    <n v="0"/>
    <n v="0"/>
    <n v="0"/>
    <n v="0"/>
    <n v="0"/>
  </r>
  <r>
    <n v="994"/>
    <d v="2024-10-30T13:00:51"/>
    <d v="2024-10-30T13:01:11"/>
    <s v="chbanda@lighthouse.org.mw"/>
    <s v="Chipiliro Banda"/>
    <x v="13"/>
    <s v="COE"/>
    <x v="1"/>
    <s v="COP_23"/>
    <x v="0"/>
    <x v="1"/>
    <s v="Quarter4"/>
    <x v="1"/>
    <x v="2"/>
    <d v="2024-09-01T00:00:00"/>
    <d v="2024-09-30T00:00:00"/>
    <x v="1"/>
    <n v="69"/>
    <n v="13"/>
    <n v="37"/>
    <n v="17"/>
    <n v="8"/>
    <n v="6"/>
    <n v="65"/>
    <n v="36"/>
    <n v="35"/>
    <n v="3"/>
    <n v="1"/>
    <n v="0"/>
    <n v="29"/>
    <n v="5"/>
    <n v="0"/>
    <n v="0"/>
    <n v="0"/>
    <n v="0"/>
    <n v="23"/>
    <n v="6"/>
    <n v="10"/>
    <n v="1"/>
    <n v="0"/>
    <n v="0"/>
  </r>
  <r>
    <n v="550"/>
    <d v="2024-06-12T09:09:50"/>
    <d v="2024-06-12T09:18:41"/>
    <s v="chbanda@lighthouse.org.mw"/>
    <s v="Chipiliro Banda"/>
    <x v="13"/>
    <s v="COE"/>
    <x v="1"/>
    <s v="COP_24"/>
    <x v="0"/>
    <x v="3"/>
    <s v="Quarter3"/>
    <x v="3"/>
    <x v="6"/>
    <d v="2024-05-01T00:00:00"/>
    <d v="2024-05-31T00:00:00"/>
    <x v="2"/>
    <n v="67"/>
    <n v="0"/>
    <n v="35"/>
    <n v="6"/>
    <n v="1"/>
    <n v="1"/>
    <n v="42"/>
    <n v="8"/>
    <n v="11"/>
    <n v="0"/>
    <n v="0"/>
    <n v="0"/>
    <n v="0"/>
    <n v="0"/>
    <n v="0"/>
    <n v="0"/>
    <n v="0"/>
    <n v="0"/>
    <n v="12"/>
    <n v="1"/>
    <n v="1"/>
    <n v="0"/>
    <n v="0"/>
    <n v="0"/>
  </r>
  <r>
    <n v="652"/>
    <d v="2024-07-18T13:50:18"/>
    <d v="2024-07-18T14:10:56"/>
    <s v="chbanda@lighthouse.org.mw"/>
    <s v="Chipiliro Banda"/>
    <x v="13"/>
    <s v="COE"/>
    <x v="1"/>
    <s v="COP_24"/>
    <x v="0"/>
    <x v="3"/>
    <s v="Quarter3"/>
    <x v="3"/>
    <x v="8"/>
    <d v="2024-06-01T00:00:00"/>
    <d v="2024-06-30T00:00:00"/>
    <x v="2"/>
    <n v="45"/>
    <n v="0"/>
    <n v="34"/>
    <n v="7"/>
    <n v="4"/>
    <n v="0"/>
    <n v="45"/>
    <n v="11"/>
    <n v="0"/>
    <n v="0"/>
    <n v="0"/>
    <n v="0"/>
    <n v="0"/>
    <n v="0"/>
    <n v="0"/>
    <n v="0"/>
    <n v="0"/>
    <n v="0"/>
    <n v="11"/>
    <n v="0"/>
    <n v="0"/>
    <n v="0"/>
    <n v="0"/>
    <n v="0"/>
  </r>
  <r>
    <n v="1000"/>
    <d v="2024-10-31T10:24:05"/>
    <d v="2024-10-31T10:29:12"/>
    <s v="chbanda@lighthouse.org.mw"/>
    <s v="Chipiliro Banda"/>
    <x v="13"/>
    <s v="COE"/>
    <x v="1"/>
    <s v="COP_23"/>
    <x v="0"/>
    <x v="1"/>
    <s v="Quarter4"/>
    <x v="1"/>
    <x v="9"/>
    <d v="2024-07-01T00:00:00"/>
    <d v="2024-07-31T00:00:00"/>
    <x v="1"/>
    <n v="101"/>
    <n v="11"/>
    <n v="62"/>
    <n v="20"/>
    <n v="16"/>
    <n v="3"/>
    <n v="98"/>
    <n v="39"/>
    <n v="42"/>
    <n v="1"/>
    <n v="0"/>
    <n v="0"/>
    <n v="0"/>
    <n v="0"/>
    <n v="1"/>
    <n v="1"/>
    <n v="0"/>
    <n v="0"/>
    <n v="0"/>
    <n v="0"/>
    <n v="2"/>
    <n v="1"/>
    <n v="0"/>
    <n v="0"/>
  </r>
  <r>
    <n v="1066"/>
    <d v="2024-11-14T09:06:53"/>
    <d v="2024-11-14T09:13:15"/>
    <s v="chbanda@lighthouse.org.mw"/>
    <s v="Chipiliro Banda"/>
    <x v="13"/>
    <s v="COE"/>
    <x v="1"/>
    <s v="COP_24"/>
    <x v="2"/>
    <x v="0"/>
    <s v="Quarter1"/>
    <x v="0"/>
    <x v="0"/>
    <d v="2024-10-01T00:00:00"/>
    <d v="2024-10-31T00:00:00"/>
    <x v="6"/>
    <n v="165"/>
    <n v="134"/>
    <n v="36"/>
    <n v="44"/>
    <n v="36"/>
    <n v="49"/>
    <n v="156"/>
    <n v="58"/>
    <n v="60"/>
    <n v="6"/>
    <n v="0"/>
    <n v="0"/>
    <n v="43"/>
    <n v="4"/>
    <n v="0"/>
    <n v="0"/>
    <n v="0"/>
    <n v="0"/>
    <n v="0"/>
    <n v="0"/>
    <n v="3"/>
    <n v="1"/>
    <n v="5"/>
    <n v="11"/>
  </r>
  <r>
    <n v="971"/>
    <d v="2024-10-21T11:43:30"/>
    <d v="2024-10-21T11:50:19"/>
    <s v="chbanda@lighthouse.org.mw"/>
    <s v="Chipiliro Banda"/>
    <x v="13"/>
    <s v="COE"/>
    <x v="1"/>
    <s v="COP_23"/>
    <x v="0"/>
    <x v="1"/>
    <s v="Quarter4"/>
    <x v="1"/>
    <x v="10"/>
    <d v="2024-08-01T00:00:00"/>
    <d v="2024-08-31T00:00:00"/>
    <x v="2"/>
    <n v="44"/>
    <n v="0"/>
    <n v="32"/>
    <n v="9"/>
    <n v="1"/>
    <n v="2"/>
    <n v="44"/>
    <n v="11"/>
    <n v="11"/>
    <n v="0"/>
    <n v="0"/>
    <n v="0"/>
    <n v="2"/>
    <n v="0"/>
    <n v="0"/>
    <n v="0"/>
    <n v="0"/>
    <n v="0"/>
    <n v="11"/>
    <n v="2"/>
    <n v="2"/>
    <n v="0"/>
    <n v="0"/>
    <n v="0"/>
  </r>
  <r>
    <n v="988"/>
    <d v="2024-10-24T15:15:28"/>
    <d v="2024-10-24T15:21:07"/>
    <s v="chbanda@lighthouse.org.mw"/>
    <s v="Chipiliro Banda"/>
    <x v="13"/>
    <s v="COE"/>
    <x v="1"/>
    <s v="COP_23"/>
    <x v="0"/>
    <x v="1"/>
    <s v="Quarter4"/>
    <x v="1"/>
    <x v="2"/>
    <d v="2024-09-01T00:00:00"/>
    <d v="2024-09-30T00:00:00"/>
    <x v="2"/>
    <n v="48"/>
    <n v="0"/>
    <n v="37"/>
    <n v="7"/>
    <n v="3"/>
    <n v="1"/>
    <n v="48"/>
    <n v="20"/>
    <n v="20"/>
    <n v="2"/>
    <n v="0"/>
    <n v="0"/>
    <n v="20"/>
    <n v="2"/>
    <n v="0"/>
    <n v="0"/>
    <n v="0"/>
    <n v="0"/>
    <n v="20"/>
    <n v="2"/>
    <n v="2"/>
    <n v="0"/>
    <n v="2"/>
    <n v="0"/>
  </r>
  <r>
    <n v="995"/>
    <d v="2024-10-30T13:17:42"/>
    <d v="2024-10-30T13:19:13"/>
    <s v="chbanda@lighthouse.org.mw"/>
    <s v="Chipiliro Banda"/>
    <x v="13"/>
    <s v="COE"/>
    <x v="1"/>
    <s v="COP_23"/>
    <x v="0"/>
    <x v="1"/>
    <s v="Quarter4"/>
    <x v="1"/>
    <x v="9"/>
    <d v="2024-07-01T00:00:00"/>
    <d v="2024-07-31T00:00:00"/>
    <x v="2"/>
    <n v="64"/>
    <n v="0"/>
    <n v="53"/>
    <n v="8"/>
    <n v="2"/>
    <n v="1"/>
    <n v="64"/>
    <n v="17"/>
    <n v="16"/>
    <n v="1"/>
    <n v="0"/>
    <n v="0"/>
    <n v="0"/>
    <n v="0"/>
    <n v="0"/>
    <n v="0"/>
    <n v="0"/>
    <n v="0"/>
    <n v="17"/>
    <n v="0"/>
    <n v="0"/>
    <n v="0"/>
    <n v="0"/>
    <n v="0"/>
  </r>
  <r>
    <n v="1181"/>
    <d v="2025-01-06T09:12:38"/>
    <d v="2025-01-06T09:27:13"/>
    <s v="chbanda@lighthouse.org.mw"/>
    <s v="Chipiliro Banda"/>
    <x v="13"/>
    <s v="COE"/>
    <x v="1"/>
    <s v="COP_24"/>
    <x v="2"/>
    <x v="0"/>
    <s v="Quarter1"/>
    <x v="0"/>
    <x v="0"/>
    <d v="2024-10-01T00:00:00"/>
    <d v="2024-10-31T00:00:00"/>
    <x v="5"/>
    <n v="87"/>
    <n v="0"/>
    <n v="73"/>
    <n v="8"/>
    <n v="5"/>
    <n v="1"/>
    <n v="83"/>
    <n v="18"/>
    <n v="24"/>
    <n v="0"/>
    <n v="0"/>
    <n v="0"/>
    <n v="20"/>
    <n v="1"/>
    <n v="0"/>
    <n v="0"/>
    <n v="0"/>
    <n v="0"/>
    <n v="14"/>
    <n v="1"/>
    <n v="4"/>
    <n v="0"/>
    <n v="0"/>
    <n v="0"/>
  </r>
  <r>
    <n v="1182"/>
    <d v="2025-01-06T10:23:13"/>
    <d v="2025-01-06T10:25:23"/>
    <s v="chbanda@lighthouse.org.mw"/>
    <s v="Chipiliro Banda"/>
    <x v="13"/>
    <s v="COE"/>
    <x v="1"/>
    <s v="COP_24"/>
    <x v="2"/>
    <x v="0"/>
    <s v="Quarter1"/>
    <x v="0"/>
    <x v="0"/>
    <d v="2024-10-01T00:00:00"/>
    <d v="2024-10-31T00:00:00"/>
    <x v="0"/>
    <n v="440"/>
    <n v="134"/>
    <n v="228"/>
    <n v="92"/>
    <n v="64"/>
    <n v="56"/>
    <n v="419"/>
    <n v="119"/>
    <n v="127"/>
    <n v="11"/>
    <n v="3"/>
    <n v="0"/>
    <n v="102"/>
    <n v="7"/>
    <n v="0"/>
    <n v="0"/>
    <n v="0"/>
    <n v="0"/>
    <n v="67"/>
    <n v="13"/>
    <n v="16"/>
    <n v="1"/>
    <n v="10"/>
    <n v="12"/>
  </r>
  <r>
    <n v="1183"/>
    <d v="2025-01-06T10:25:28"/>
    <d v="2025-01-06T10:30:47"/>
    <s v="chbanda@lighthouse.org.mw"/>
    <s v="Chipiliro Banda"/>
    <x v="13"/>
    <s v="COE"/>
    <x v="1"/>
    <s v="COP_24"/>
    <x v="2"/>
    <x v="0"/>
    <s v="Quarter1"/>
    <x v="0"/>
    <x v="0"/>
    <d v="2024-10-01T00:00:00"/>
    <d v="2024-10-31T00:00:00"/>
    <x v="2"/>
    <n v="41"/>
    <n v="0"/>
    <n v="32"/>
    <n v="4"/>
    <n v="3"/>
    <n v="2"/>
    <n v="41"/>
    <n v="11"/>
    <n v="11"/>
    <n v="0"/>
    <n v="0"/>
    <n v="0"/>
    <n v="11"/>
    <n v="1"/>
    <n v="0"/>
    <n v="0"/>
    <n v="0"/>
    <n v="0"/>
    <n v="11"/>
    <n v="1"/>
    <n v="1"/>
    <n v="0"/>
    <n v="0"/>
    <n v="0"/>
  </r>
  <r>
    <n v="1184"/>
    <d v="2025-01-06T10:32:53"/>
    <d v="2025-01-06T10:35:18"/>
    <s v="chbanda@lighthouse.org.mw"/>
    <s v="Chipiliro Banda"/>
    <x v="13"/>
    <s v="COE"/>
    <x v="1"/>
    <s v="COP_24"/>
    <x v="2"/>
    <x v="0"/>
    <s v="Quarter1"/>
    <x v="0"/>
    <x v="0"/>
    <d v="2024-10-01T00:00:00"/>
    <d v="2024-10-31T00:00:00"/>
    <x v="3"/>
    <n v="9"/>
    <n v="0"/>
    <n v="4"/>
    <n v="0"/>
    <n v="3"/>
    <n v="2"/>
    <n v="0"/>
    <n v="0"/>
    <n v="9"/>
    <n v="0"/>
    <n v="0"/>
    <n v="0"/>
    <n v="9"/>
    <n v="1"/>
    <n v="0"/>
    <n v="0"/>
    <n v="0"/>
    <n v="0"/>
    <n v="0"/>
    <n v="0"/>
    <n v="1"/>
    <n v="0"/>
    <n v="0"/>
    <n v="0"/>
  </r>
  <r>
    <n v="1185"/>
    <d v="2025-01-06T10:37:25"/>
    <d v="2025-01-06T10:39:02"/>
    <s v="chbanda@lighthouse.org.mw"/>
    <s v="Chipiliro Banda"/>
    <x v="13"/>
    <s v="COE"/>
    <x v="1"/>
    <s v="COP_24"/>
    <x v="2"/>
    <x v="0"/>
    <s v="Quarter1"/>
    <x v="0"/>
    <x v="0"/>
    <d v="2024-10-01T00:00:00"/>
    <d v="2024-10-31T00:00:00"/>
    <x v="4"/>
    <n v="10"/>
    <n v="0"/>
    <n v="7"/>
    <n v="2"/>
    <n v="1"/>
    <n v="0"/>
    <n v="10"/>
    <n v="2"/>
    <n v="2"/>
    <n v="0"/>
    <n v="0"/>
    <n v="0"/>
    <n v="2"/>
    <n v="0"/>
    <n v="0"/>
    <n v="0"/>
    <n v="0"/>
    <n v="0"/>
    <n v="2"/>
    <n v="0"/>
    <n v="0"/>
    <n v="0"/>
    <n v="0"/>
    <n v="0"/>
  </r>
  <r>
    <n v="1186"/>
    <d v="2025-01-06T10:41:51"/>
    <d v="2025-01-06T11:10:13"/>
    <s v="chbanda@lighthouse.org.mw"/>
    <s v="Chipiliro Banda"/>
    <x v="13"/>
    <s v="COE"/>
    <x v="1"/>
    <s v="COP_24"/>
    <x v="2"/>
    <x v="0"/>
    <s v="Quarter1"/>
    <x v="0"/>
    <x v="0"/>
    <d v="2024-10-01T00:00:00"/>
    <d v="2024-10-31T00:00:00"/>
    <x v="1"/>
    <n v="86"/>
    <n v="12"/>
    <n v="49"/>
    <n v="20"/>
    <n v="13"/>
    <n v="4"/>
    <n v="82"/>
    <n v="28"/>
    <n v="30"/>
    <n v="4"/>
    <n v="3"/>
    <n v="0"/>
    <n v="24"/>
    <n v="2"/>
    <n v="0"/>
    <n v="0"/>
    <n v="0"/>
    <n v="0"/>
    <n v="21"/>
    <n v="5"/>
    <n v="6"/>
    <n v="0"/>
    <n v="4"/>
    <n v="0"/>
  </r>
  <r>
    <n v="1192"/>
    <d v="2025-01-06T13:31:31"/>
    <d v="2025-01-06T13:31:36"/>
    <s v="chbanda@lighthouse.org.mw"/>
    <s v="Chipiliro Banda"/>
    <x v="13"/>
    <s v="COE"/>
    <x v="1"/>
    <s v="COP_24"/>
    <x v="2"/>
    <x v="0"/>
    <s v="Quarter1"/>
    <x v="0"/>
    <x v="1"/>
    <d v="2024-11-01T00:00:00"/>
    <d v="2024-11-30T00:00:00"/>
    <x v="0"/>
    <n v="478"/>
    <n v="170"/>
    <n v="227"/>
    <n v="100"/>
    <n v="89"/>
    <n v="62"/>
    <n v="465"/>
    <n v="140"/>
    <n v="155"/>
    <n v="7"/>
    <n v="1"/>
    <n v="0"/>
    <n v="127"/>
    <n v="12"/>
    <n v="0"/>
    <n v="0"/>
    <n v="1"/>
    <n v="1"/>
    <n v="185"/>
    <n v="7"/>
    <n v="16"/>
    <n v="1"/>
    <n v="5"/>
    <n v="10"/>
  </r>
  <r>
    <n v="1195"/>
    <d v="2025-01-06T13:34:42"/>
    <d v="2025-01-06T13:38:17"/>
    <s v="chbanda@lighthouse.org.mw"/>
    <s v="Chipiliro Banda"/>
    <x v="13"/>
    <s v="COE"/>
    <x v="1"/>
    <s v="COP_24"/>
    <x v="2"/>
    <x v="0"/>
    <s v="Quarter1"/>
    <x v="0"/>
    <x v="1"/>
    <d v="2024-11-01T00:00:00"/>
    <d v="2024-11-30T00:00:00"/>
    <x v="6"/>
    <n v="198"/>
    <n v="170"/>
    <n v="32"/>
    <n v="51"/>
    <n v="64"/>
    <n v="51"/>
    <n v="191"/>
    <n v="65"/>
    <n v="0"/>
    <n v="0"/>
    <n v="0"/>
    <n v="0"/>
    <n v="59"/>
    <n v="9"/>
    <n v="0"/>
    <n v="0"/>
    <n v="0"/>
    <n v="0"/>
    <n v="0"/>
    <n v="0"/>
    <n v="7"/>
    <n v="1"/>
    <n v="4"/>
    <n v="7"/>
  </r>
  <r>
    <n v="1196"/>
    <d v="2025-01-06T14:21:17"/>
    <d v="2025-01-06T14:25:08"/>
    <s v="chbanda@lighthouse.org.mw"/>
    <s v="Chipiliro Banda"/>
    <x v="13"/>
    <s v="COE"/>
    <x v="1"/>
    <s v="COP_24"/>
    <x v="2"/>
    <x v="0"/>
    <s v="Quarter1"/>
    <x v="0"/>
    <x v="1"/>
    <d v="2024-11-01T00:00:00"/>
    <d v="2024-11-30T00:00:00"/>
    <x v="1"/>
    <n v="107"/>
    <n v="11"/>
    <n v="67"/>
    <n v="18"/>
    <n v="13"/>
    <n v="9"/>
    <n v="105"/>
    <n v="43"/>
    <n v="45"/>
    <n v="1"/>
    <n v="0"/>
    <n v="0"/>
    <n v="41"/>
    <n v="4"/>
    <n v="0"/>
    <n v="0"/>
    <n v="1"/>
    <n v="1"/>
    <n v="32"/>
    <n v="6"/>
    <n v="9"/>
    <n v="0"/>
    <n v="1"/>
    <n v="0"/>
  </r>
  <r>
    <n v="1197"/>
    <d v="2025-01-06T14:35:37"/>
    <d v="2025-01-06T14:35:44"/>
    <s v="chbanda@lighthouse.org.mw"/>
    <s v="Chipiliro Banda"/>
    <x v="13"/>
    <s v="COE"/>
    <x v="1"/>
    <s v="COP_24"/>
    <x v="2"/>
    <x v="0"/>
    <s v="Quarter1"/>
    <x v="0"/>
    <x v="1"/>
    <d v="2024-11-01T00:00:00"/>
    <d v="2024-11-30T00:00:00"/>
    <x v="3"/>
    <n v="1"/>
    <n v="0"/>
    <n v="0"/>
    <n v="0"/>
    <n v="0"/>
    <n v="1"/>
    <n v="0"/>
    <n v="0"/>
    <n v="0"/>
    <n v="0"/>
    <n v="0"/>
    <n v="0"/>
    <n v="0"/>
    <n v="0"/>
    <n v="0"/>
    <n v="0"/>
    <n v="0"/>
    <n v="0"/>
    <n v="0"/>
    <n v="0"/>
    <n v="0"/>
    <n v="0"/>
    <n v="0"/>
    <n v="0"/>
  </r>
  <r>
    <n v="1198"/>
    <d v="2025-01-06T14:35:48"/>
    <d v="2025-01-06T14:38:18"/>
    <s v="chbanda@lighthouse.org.mw"/>
    <s v="Chipiliro Banda"/>
    <x v="13"/>
    <s v="COE"/>
    <x v="1"/>
    <s v="COP_24"/>
    <x v="2"/>
    <x v="0"/>
    <s v="Quarter1"/>
    <x v="0"/>
    <x v="1"/>
    <d v="2024-11-01T00:00:00"/>
    <d v="2024-11-30T00:00:00"/>
    <x v="4"/>
    <n v="11"/>
    <n v="0"/>
    <n v="5"/>
    <n v="3"/>
    <n v="1"/>
    <n v="2"/>
    <n v="11"/>
    <n v="2"/>
    <n v="2"/>
    <n v="0"/>
    <n v="0"/>
    <n v="0"/>
    <n v="2"/>
    <n v="0"/>
    <n v="0"/>
    <n v="0"/>
    <n v="0"/>
    <n v="0"/>
    <n v="0"/>
    <n v="0"/>
    <n v="0"/>
    <n v="0"/>
    <n v="0"/>
    <n v="0"/>
  </r>
  <r>
    <n v="1199"/>
    <d v="2025-01-06T14:42:22"/>
    <d v="2025-01-06T14:48:03"/>
    <s v="chbanda@lighthouse.org.mw"/>
    <s v="Chipiliro Banda"/>
    <x v="13"/>
    <s v="COE"/>
    <x v="1"/>
    <s v="COP_24"/>
    <x v="2"/>
    <x v="0"/>
    <s v="Quarter1"/>
    <x v="0"/>
    <x v="1"/>
    <d v="2024-11-01T00:00:00"/>
    <d v="2024-11-30T00:00:00"/>
    <x v="2"/>
    <n v="29"/>
    <n v="0"/>
    <n v="21"/>
    <n v="6"/>
    <n v="2"/>
    <n v="0"/>
    <n v="29"/>
    <n v="5"/>
    <n v="5"/>
    <n v="0"/>
    <n v="0"/>
    <n v="0"/>
    <n v="5"/>
    <n v="0"/>
    <n v="0"/>
    <n v="0"/>
    <n v="0"/>
    <n v="0"/>
    <n v="5"/>
    <n v="0"/>
    <n v="0"/>
    <n v="0"/>
    <n v="0"/>
    <n v="0"/>
  </r>
  <r>
    <n v="1201"/>
    <d v="2025-01-06T14:49:07"/>
    <d v="2025-01-06T14:52:22"/>
    <s v="chbanda@lighthouse.org.mw"/>
    <s v="Chipiliro Banda"/>
    <x v="13"/>
    <s v="COE"/>
    <x v="1"/>
    <s v="COP_24"/>
    <x v="2"/>
    <x v="0"/>
    <s v="Quarter1"/>
    <x v="0"/>
    <x v="1"/>
    <d v="2024-11-01T00:00:00"/>
    <d v="2024-11-30T00:00:00"/>
    <x v="5"/>
    <n v="84"/>
    <n v="0"/>
    <n v="71"/>
    <n v="7"/>
    <n v="6"/>
    <n v="0"/>
    <n v="81"/>
    <n v="25"/>
    <n v="26"/>
    <n v="1"/>
    <n v="1"/>
    <n v="0"/>
    <n v="24"/>
    <n v="0"/>
    <n v="0"/>
    <n v="0"/>
    <n v="0"/>
    <n v="0"/>
    <n v="24"/>
    <n v="1"/>
    <n v="1"/>
    <n v="0"/>
    <n v="0"/>
    <n v="0"/>
  </r>
  <r>
    <n v="1205"/>
    <d v="2025-01-06T14:56:24"/>
    <d v="2025-01-06T14:58:51"/>
    <s v="chbanda@lighthouse.org.mw"/>
    <s v="Chipiliro Banda"/>
    <x v="13"/>
    <s v="COE"/>
    <x v="1"/>
    <s v="COP_24"/>
    <x v="2"/>
    <x v="0"/>
    <s v="Quarter1"/>
    <x v="0"/>
    <x v="11"/>
    <d v="2024-12-01T00:00:00"/>
    <d v="2024-12-31T00:00:00"/>
    <x v="6"/>
    <n v="135"/>
    <n v="120"/>
    <n v="25"/>
    <n v="32"/>
    <n v="49"/>
    <n v="29"/>
    <n v="127"/>
    <n v="42"/>
    <n v="47"/>
    <n v="3"/>
    <n v="0"/>
    <n v="0"/>
    <n v="36"/>
    <n v="10"/>
    <n v="0"/>
    <n v="0"/>
    <n v="0"/>
    <n v="0"/>
    <n v="0"/>
    <n v="0"/>
    <n v="6"/>
    <n v="0"/>
    <n v="3"/>
    <n v="12"/>
  </r>
  <r>
    <n v="1233"/>
    <d v="2025-01-13T09:02:19"/>
    <d v="2025-01-13T09:06:37"/>
    <s v="chbanda@lighthouse.org.mw"/>
    <s v="Chipiliro Banda"/>
    <x v="13"/>
    <s v="COE"/>
    <x v="1"/>
    <s v="COP_24"/>
    <x v="2"/>
    <x v="0"/>
    <s v="Quarter1"/>
    <x v="0"/>
    <x v="11"/>
    <d v="2024-12-01T00:00:00"/>
    <d v="2024-12-31T00:00:00"/>
    <x v="0"/>
    <n v="453"/>
    <n v="150"/>
    <n v="219"/>
    <n v="99"/>
    <n v="87"/>
    <n v="48"/>
    <n v="440"/>
    <n v="139"/>
    <n v="149"/>
    <n v="7"/>
    <n v="4"/>
    <n v="2"/>
    <n v="124"/>
    <n v="14"/>
    <n v="0"/>
    <n v="0"/>
    <n v="0"/>
    <n v="0"/>
    <n v="91"/>
    <n v="13"/>
    <n v="23"/>
    <n v="2"/>
    <n v="5"/>
    <n v="14"/>
  </r>
  <r>
    <n v="1234"/>
    <d v="2025-01-13T09:07:16"/>
    <d v="2025-01-13T09:13:31"/>
    <s v="chbanda@lighthouse.org.mw"/>
    <s v="Chipiliro Banda"/>
    <x v="13"/>
    <s v="COE"/>
    <x v="1"/>
    <s v="COP_24"/>
    <x v="2"/>
    <x v="0"/>
    <s v="Quarter1"/>
    <x v="0"/>
    <x v="11"/>
    <d v="2024-12-01T00:00:00"/>
    <d v="2024-12-31T00:00:00"/>
    <x v="4"/>
    <n v="14"/>
    <n v="0"/>
    <n v="12"/>
    <n v="1"/>
    <n v="1"/>
    <n v="0"/>
    <n v="14"/>
    <n v="2"/>
    <n v="2"/>
    <n v="0"/>
    <n v="0"/>
    <n v="0"/>
    <n v="2"/>
    <n v="0"/>
    <n v="0"/>
    <n v="0"/>
    <n v="0"/>
    <n v="0"/>
    <n v="2"/>
    <n v="0"/>
    <n v="0"/>
    <n v="0"/>
    <n v="0"/>
    <n v="0"/>
  </r>
  <r>
    <n v="1235"/>
    <d v="2025-01-13T09:13:36"/>
    <d v="2025-01-13T09:16:24"/>
    <s v="chbanda@lighthouse.org.mw"/>
    <s v="Chipiliro Banda"/>
    <x v="13"/>
    <s v="COE"/>
    <x v="1"/>
    <s v="COP_24"/>
    <x v="2"/>
    <x v="0"/>
    <s v="Quarter1"/>
    <x v="0"/>
    <x v="11"/>
    <d v="2024-12-01T00:00:00"/>
    <d v="2024-12-31T00:00:00"/>
    <x v="1"/>
    <n v="104"/>
    <n v="19"/>
    <n v="61"/>
    <n v="19"/>
    <n v="15"/>
    <n v="9"/>
    <n v="101"/>
    <n v="40"/>
    <n v="43"/>
    <n v="2"/>
    <n v="1"/>
    <n v="0"/>
    <n v="43"/>
    <n v="5"/>
    <n v="0"/>
    <n v="0"/>
    <n v="0"/>
    <n v="0"/>
    <n v="31"/>
    <n v="6"/>
    <n v="9"/>
    <n v="0"/>
    <n v="2"/>
    <n v="2"/>
  </r>
  <r>
    <n v="1236"/>
    <d v="2025-01-13T09:16:43"/>
    <d v="2025-01-13T09:20:21"/>
    <s v="chbanda@lighthouse.org.mw"/>
    <s v="Chipiliro Banda"/>
    <x v="13"/>
    <s v="COE"/>
    <x v="1"/>
    <s v="COP_24"/>
    <x v="2"/>
    <x v="0"/>
    <s v="Quarter1"/>
    <x v="0"/>
    <x v="11"/>
    <d v="2024-12-01T00:00:00"/>
    <d v="2024-12-31T00:00:00"/>
    <x v="3"/>
    <n v="3"/>
    <n v="0"/>
    <n v="1"/>
    <n v="1"/>
    <n v="1"/>
    <n v="0"/>
    <n v="1"/>
    <n v="0"/>
    <n v="2"/>
    <n v="0"/>
    <n v="0"/>
    <n v="0"/>
    <n v="1"/>
    <n v="0"/>
    <n v="0"/>
    <n v="0"/>
    <n v="0"/>
    <n v="0"/>
    <n v="0"/>
    <n v="0"/>
    <n v="0"/>
    <n v="0"/>
    <n v="0"/>
    <n v="0"/>
  </r>
  <r>
    <n v="1237"/>
    <d v="2025-01-13T09:20:35"/>
    <d v="2025-01-13T09:24:01"/>
    <s v="chbanda@lighthouse.org.mw"/>
    <s v="Chipiliro Banda"/>
    <x v="13"/>
    <s v="COE"/>
    <x v="1"/>
    <s v="COP_24"/>
    <x v="2"/>
    <x v="0"/>
    <s v="Quarter1"/>
    <x v="0"/>
    <x v="11"/>
    <d v="2024-12-01T00:00:00"/>
    <d v="2024-12-31T00:00:00"/>
    <x v="2"/>
    <n v="50"/>
    <n v="0"/>
    <n v="37"/>
    <n v="7"/>
    <n v="3"/>
    <n v="3"/>
    <n v="50"/>
    <n v="16"/>
    <n v="16"/>
    <n v="1"/>
    <n v="1"/>
    <n v="0"/>
    <n v="16"/>
    <n v="3"/>
    <n v="0"/>
    <n v="0"/>
    <n v="0"/>
    <n v="0"/>
    <n v="13"/>
    <n v="4"/>
    <n v="7"/>
    <n v="0"/>
    <n v="1"/>
    <n v="0"/>
  </r>
  <r>
    <n v="1238"/>
    <d v="2025-01-13T09:24:30"/>
    <d v="2025-01-13T09:48:07"/>
    <s v="chbanda@lighthouse.org.mw"/>
    <s v="Chipiliro Banda"/>
    <x v="13"/>
    <s v="COE"/>
    <x v="1"/>
    <s v="COP_24"/>
    <x v="2"/>
    <x v="0"/>
    <s v="Quarter1"/>
    <x v="0"/>
    <x v="11"/>
    <d v="2024-12-01T00:00:00"/>
    <d v="2024-12-31T00:00:00"/>
    <x v="5"/>
    <n v="74"/>
    <n v="0"/>
    <n v="59"/>
    <n v="10"/>
    <n v="4"/>
    <n v="1"/>
    <n v="74"/>
    <n v="23"/>
    <n v="23"/>
    <n v="2"/>
    <n v="2"/>
    <n v="1"/>
    <n v="23"/>
    <n v="1"/>
    <n v="0"/>
    <n v="0"/>
    <n v="0"/>
    <n v="0"/>
    <n v="23"/>
    <n v="0"/>
    <n v="1"/>
    <n v="1"/>
    <n v="1"/>
    <n v="0"/>
  </r>
  <r>
    <n v="1543"/>
    <d v="2025-04-23T14:14:29"/>
    <d v="2025-04-23T14:21:28"/>
    <s v="chbanda@lighthouse.org.mw"/>
    <s v="Chipiliro Banda"/>
    <x v="13"/>
    <s v="COE"/>
    <x v="2"/>
    <s v="COP_24"/>
    <x v="2"/>
    <x v="2"/>
    <s v="Quarter2"/>
    <x v="2"/>
    <x v="5"/>
    <d v="2025-02-01T00:00:00"/>
    <d v="2025-02-28T00:00:00"/>
    <x v="3"/>
    <n v="0"/>
    <n v="0"/>
    <n v="0"/>
    <n v="0"/>
    <n v="0"/>
    <n v="0"/>
    <n v="0"/>
    <n v="0"/>
    <n v="0"/>
    <n v="0"/>
    <n v="0"/>
    <n v="0"/>
    <n v="0"/>
    <n v="0"/>
    <n v="0"/>
    <n v="0"/>
    <n v="0"/>
    <n v="0"/>
    <n v="0"/>
    <n v="0"/>
    <n v="0"/>
    <n v="0"/>
    <n v="0"/>
    <n v="0"/>
  </r>
  <r>
    <n v="1544"/>
    <d v="2025-04-23T14:21:45"/>
    <d v="2025-04-23T14:25:22"/>
    <s v="chbanda@lighthouse.org.mw"/>
    <s v="Chipiliro Banda"/>
    <x v="13"/>
    <s v="COE"/>
    <x v="2"/>
    <s v="COP_24"/>
    <x v="2"/>
    <x v="2"/>
    <s v="Quarter2"/>
    <x v="2"/>
    <x v="5"/>
    <d v="2025-02-01T00:00:00"/>
    <d v="2025-02-28T00:00:00"/>
    <x v="0"/>
    <n v="170"/>
    <n v="14"/>
    <n v="89"/>
    <n v="35"/>
    <n v="28"/>
    <n v="18"/>
    <n v="164"/>
    <n v="50"/>
    <n v="51"/>
    <n v="6"/>
    <n v="6"/>
    <n v="1"/>
    <n v="46"/>
    <n v="2"/>
    <n v="0"/>
    <n v="0"/>
    <n v="0"/>
    <n v="0"/>
    <n v="50"/>
    <n v="3"/>
    <n v="5"/>
    <n v="1"/>
    <n v="5"/>
    <n v="0"/>
  </r>
  <r>
    <n v="1545"/>
    <d v="2025-04-23T14:27:32"/>
    <d v="2025-04-23T14:29:42"/>
    <s v="chbanda@lighthouse.org.mw"/>
    <s v="Chipiliro Banda"/>
    <x v="13"/>
    <s v="COE"/>
    <x v="2"/>
    <s v="COP_24"/>
    <x v="2"/>
    <x v="2"/>
    <s v="Quarter2"/>
    <x v="2"/>
    <x v="5"/>
    <d v="2025-02-01T00:00:00"/>
    <d v="2025-02-28T00:00:00"/>
    <x v="5"/>
    <n v="32"/>
    <n v="0"/>
    <n v="22"/>
    <n v="5"/>
    <n v="1"/>
    <n v="4"/>
    <n v="32"/>
    <n v="10"/>
    <n v="10"/>
    <n v="3"/>
    <n v="3"/>
    <n v="0"/>
    <n v="10"/>
    <n v="0"/>
    <n v="0"/>
    <n v="0"/>
    <n v="0"/>
    <n v="0"/>
    <n v="10"/>
    <n v="0"/>
    <n v="0"/>
    <n v="0"/>
    <n v="3"/>
    <n v="0"/>
  </r>
  <r>
    <n v="1546"/>
    <d v="2025-04-23T14:36:27"/>
    <d v="2025-04-23T14:38:51"/>
    <s v="chbanda@lighthouse.org.mw"/>
    <s v="Chipiliro Banda"/>
    <x v="13"/>
    <s v="COE"/>
    <x v="2"/>
    <s v="COP_24"/>
    <x v="2"/>
    <x v="2"/>
    <s v="Quarter2"/>
    <x v="2"/>
    <x v="5"/>
    <d v="2025-02-01T00:00:00"/>
    <d v="2025-02-28T00:00:00"/>
    <x v="4"/>
    <n v="7"/>
    <n v="0"/>
    <n v="4"/>
    <n v="1"/>
    <n v="1"/>
    <n v="1"/>
    <n v="7"/>
    <n v="2"/>
    <n v="2"/>
    <n v="0"/>
    <n v="0"/>
    <n v="0"/>
    <n v="2"/>
    <n v="0"/>
    <n v="0"/>
    <n v="0"/>
    <n v="0"/>
    <n v="0"/>
    <n v="2"/>
    <n v="0"/>
    <n v="0"/>
    <n v="0"/>
    <n v="0"/>
    <n v="0"/>
  </r>
  <r>
    <n v="1547"/>
    <d v="2025-04-23T14:39:06"/>
    <d v="2025-04-23T14:43:51"/>
    <s v="chbanda@lighthouse.org.mw"/>
    <s v="Chipiliro Banda"/>
    <x v="13"/>
    <s v="COE"/>
    <x v="2"/>
    <s v="COP_24"/>
    <x v="2"/>
    <x v="2"/>
    <s v="Quarter2"/>
    <x v="2"/>
    <x v="5"/>
    <d v="2025-02-01T00:00:00"/>
    <d v="2025-02-28T00:00:00"/>
    <x v="2"/>
    <n v="26"/>
    <n v="0"/>
    <n v="22"/>
    <n v="1"/>
    <n v="2"/>
    <n v="1"/>
    <n v="26"/>
    <n v="5"/>
    <n v="5"/>
    <n v="1"/>
    <n v="0"/>
    <n v="0"/>
    <n v="5"/>
    <n v="0"/>
    <n v="0"/>
    <n v="0"/>
    <n v="0"/>
    <n v="0"/>
    <n v="0"/>
    <n v="0"/>
    <n v="0"/>
    <n v="0"/>
    <n v="0"/>
    <n v="0"/>
  </r>
  <r>
    <n v="1548"/>
    <d v="2025-04-23T14:44:27"/>
    <d v="2025-04-23T14:48:10"/>
    <s v="chbanda@lighthouse.org.mw"/>
    <s v="Chipiliro Banda"/>
    <x v="13"/>
    <s v="COE"/>
    <x v="2"/>
    <s v="COP_24"/>
    <x v="2"/>
    <x v="2"/>
    <s v="Quarter2"/>
    <x v="2"/>
    <x v="4"/>
    <d v="2025-01-01T00:00:00"/>
    <d v="2025-01-31T00:00:00"/>
    <x v="0"/>
    <n v="247"/>
    <n v="7"/>
    <n v="161"/>
    <n v="44"/>
    <n v="29"/>
    <n v="13"/>
    <n v="233"/>
    <n v="71"/>
    <n v="93"/>
    <n v="5"/>
    <n v="4"/>
    <n v="3"/>
    <n v="74"/>
    <n v="3"/>
    <n v="0"/>
    <n v="0"/>
    <n v="0"/>
    <n v="0"/>
    <n v="74"/>
    <n v="3"/>
    <n v="6"/>
    <n v="3"/>
    <n v="2"/>
    <n v="2"/>
  </r>
  <r>
    <n v="1549"/>
    <d v="2025-04-23T14:48:19"/>
    <d v="2025-04-23T14:50:36"/>
    <s v="chbanda@lighthouse.org.mw"/>
    <s v="Chipiliro Banda"/>
    <x v="13"/>
    <s v="COE"/>
    <x v="2"/>
    <s v="COP_24"/>
    <x v="2"/>
    <x v="2"/>
    <s v="Quarter2"/>
    <x v="2"/>
    <x v="4"/>
    <d v="2025-01-01T00:00:00"/>
    <d v="2025-01-31T00:00:00"/>
    <x v="4"/>
    <n v="7"/>
    <n v="0"/>
    <n v="4"/>
    <n v="1"/>
    <n v="1"/>
    <n v="1"/>
    <n v="7"/>
    <n v="2"/>
    <n v="2"/>
    <n v="0"/>
    <n v="0"/>
    <n v="0"/>
    <n v="2"/>
    <n v="0"/>
    <n v="0"/>
    <n v="0"/>
    <n v="0"/>
    <n v="0"/>
    <n v="0"/>
    <n v="0"/>
    <n v="0"/>
    <n v="0"/>
    <n v="0"/>
    <n v="0"/>
  </r>
  <r>
    <n v="1550"/>
    <d v="2025-04-23T14:50:54"/>
    <d v="2025-04-23T14:53:49"/>
    <s v="chbanda@lighthouse.org.mw"/>
    <s v="Chipiliro Banda"/>
    <x v="13"/>
    <s v="COE"/>
    <x v="2"/>
    <s v="COP_24"/>
    <x v="2"/>
    <x v="2"/>
    <s v="Quarter2"/>
    <x v="2"/>
    <x v="4"/>
    <d v="2025-01-01T00:00:00"/>
    <d v="2025-01-31T00:00:00"/>
    <x v="3"/>
    <n v="8"/>
    <n v="0"/>
    <n v="5"/>
    <n v="0"/>
    <n v="2"/>
    <n v="1"/>
    <n v="0"/>
    <n v="0"/>
    <n v="8"/>
    <n v="0"/>
    <n v="0"/>
    <n v="0"/>
    <n v="4"/>
    <n v="1"/>
    <n v="0"/>
    <n v="0"/>
    <n v="0"/>
    <n v="0"/>
    <n v="0"/>
    <n v="0"/>
    <n v="1"/>
    <n v="0"/>
    <n v="0"/>
    <n v="0"/>
  </r>
  <r>
    <n v="1551"/>
    <d v="2025-04-23T15:08:35"/>
    <d v="2025-04-23T15:11:02"/>
    <s v="chbanda@lighthouse.org.mw"/>
    <s v="Chipiliro Banda"/>
    <x v="13"/>
    <s v="COE"/>
    <x v="2"/>
    <s v="COP_24"/>
    <x v="2"/>
    <x v="2"/>
    <s v="Quarter2"/>
    <x v="2"/>
    <x v="4"/>
    <d v="2025-01-01T00:00:00"/>
    <d v="2025-01-31T00:00:00"/>
    <x v="2"/>
    <n v="44"/>
    <n v="0"/>
    <n v="34"/>
    <n v="5"/>
    <n v="3"/>
    <n v="2"/>
    <n v="44"/>
    <n v="9"/>
    <n v="9"/>
    <n v="2"/>
    <n v="2"/>
    <n v="1"/>
    <n v="9"/>
    <n v="1"/>
    <n v="0"/>
    <n v="0"/>
    <n v="0"/>
    <n v="0"/>
    <n v="8"/>
    <n v="1"/>
    <n v="2"/>
    <n v="1"/>
    <n v="1"/>
    <n v="0"/>
  </r>
  <r>
    <n v="1552"/>
    <d v="2025-04-25T15:31:39"/>
    <d v="2025-04-25T15:36:23"/>
    <s v="chbanda@lighthouse.org.mw"/>
    <s v="Chipiliro Banda"/>
    <x v="13"/>
    <s v="COE"/>
    <x v="2"/>
    <s v="COP_24"/>
    <x v="2"/>
    <x v="2"/>
    <s v="Quarter2"/>
    <x v="2"/>
    <x v="3"/>
    <d v="2025-03-01T00:00:00"/>
    <d v="2025-03-31T00:00:00"/>
    <x v="0"/>
    <n v="429"/>
    <n v="151"/>
    <n v="204"/>
    <n v="89"/>
    <n v="96"/>
    <n v="40"/>
    <n v="423"/>
    <n v="122"/>
    <n v="116"/>
    <n v="6"/>
    <n v="6"/>
    <n v="2"/>
    <n v="111"/>
    <n v="6"/>
    <n v="0"/>
    <n v="0"/>
    <n v="0"/>
    <n v="0"/>
    <n v="0"/>
    <n v="0"/>
    <n v="2"/>
    <n v="2"/>
    <n v="4"/>
    <n v="0"/>
  </r>
  <r>
    <n v="1560"/>
    <d v="2025-05-05T09:35:02"/>
    <d v="2025-05-05T09:40:48"/>
    <s v="chbanda@lighthouse.org.mw"/>
    <s v="Chipiliro Banda"/>
    <x v="13"/>
    <s v="COE"/>
    <x v="2"/>
    <s v="COP_24"/>
    <x v="2"/>
    <x v="2"/>
    <s v="Quarter2"/>
    <x v="2"/>
    <x v="3"/>
    <d v="2025-03-01T00:00:00"/>
    <d v="2025-03-31T00:00:00"/>
    <x v="5"/>
    <n v="49"/>
    <n v="0"/>
    <n v="32"/>
    <n v="10"/>
    <n v="6"/>
    <n v="1"/>
    <n v="48"/>
    <n v="12"/>
    <n v="13"/>
    <n v="0"/>
    <n v="0"/>
    <n v="0"/>
    <n v="13"/>
    <n v="0"/>
    <n v="0"/>
    <n v="0"/>
    <n v="0"/>
    <n v="0"/>
    <n v="12"/>
    <n v="0"/>
    <n v="0"/>
    <n v="0"/>
    <n v="0"/>
    <n v="0"/>
  </r>
  <r>
    <n v="1561"/>
    <d v="2025-05-05T09:42:54"/>
    <d v="2025-05-05T10:03:53"/>
    <s v="chbanda@lighthouse.org.mw"/>
    <s v="Chipiliro Banda"/>
    <x v="13"/>
    <s v="COE"/>
    <x v="2"/>
    <s v="COP_24"/>
    <x v="2"/>
    <x v="2"/>
    <s v="Quarter2"/>
    <x v="2"/>
    <x v="3"/>
    <d v="2025-03-01T00:00:00"/>
    <d v="2025-03-31T00:00:00"/>
    <x v="4"/>
    <n v="18"/>
    <n v="0"/>
    <n v="9"/>
    <n v="5"/>
    <n v="3"/>
    <n v="1"/>
    <n v="17"/>
    <n v="2"/>
    <n v="18"/>
    <n v="2"/>
    <n v="0"/>
    <n v="0"/>
    <n v="3"/>
    <n v="0"/>
    <n v="0"/>
    <n v="0"/>
    <n v="0"/>
    <n v="0"/>
    <n v="2"/>
    <n v="0"/>
    <n v="0"/>
    <n v="0"/>
    <n v="0"/>
    <n v="0"/>
  </r>
  <r>
    <n v="1563"/>
    <d v="2025-05-05T11:05:22"/>
    <d v="2025-05-05T11:07:05"/>
    <s v="chbanda@lighthouse.org.mw"/>
    <s v="Chipiliro Banda"/>
    <x v="13"/>
    <s v="COE"/>
    <x v="2"/>
    <s v="COP_24"/>
    <x v="2"/>
    <x v="2"/>
    <s v="Quarter2"/>
    <x v="2"/>
    <x v="3"/>
    <d v="2025-03-01T00:00:00"/>
    <d v="2025-03-31T00:00:00"/>
    <x v="3"/>
    <n v="3"/>
    <n v="0"/>
    <n v="1"/>
    <n v="0"/>
    <n v="0"/>
    <n v="2"/>
    <n v="0"/>
    <n v="0"/>
    <n v="3"/>
    <n v="0"/>
    <n v="0"/>
    <n v="0"/>
    <n v="3"/>
    <n v="1"/>
    <n v="0"/>
    <n v="0"/>
    <n v="0"/>
    <n v="0"/>
    <n v="0"/>
    <n v="0"/>
    <n v="1"/>
    <n v="0"/>
    <n v="0"/>
    <n v="0"/>
  </r>
  <r>
    <n v="1564"/>
    <d v="2025-05-05T11:07:20"/>
    <d v="2025-05-05T11:14:53"/>
    <s v="chbanda@lighthouse.org.mw"/>
    <s v="Chipiliro Banda"/>
    <x v="13"/>
    <s v="COE"/>
    <x v="2"/>
    <s v="COP_24"/>
    <x v="2"/>
    <x v="2"/>
    <s v="Quarter2"/>
    <x v="2"/>
    <x v="3"/>
    <d v="2025-03-01T00:00:00"/>
    <d v="2025-03-31T00:00:00"/>
    <x v="2"/>
    <n v="24"/>
    <n v="0"/>
    <n v="14"/>
    <n v="6"/>
    <n v="4"/>
    <n v="0"/>
    <n v="24"/>
    <n v="4"/>
    <n v="4"/>
    <n v="0"/>
    <n v="0"/>
    <n v="0"/>
    <n v="4"/>
    <n v="1"/>
    <n v="0"/>
    <n v="0"/>
    <n v="0"/>
    <n v="0"/>
    <n v="3"/>
    <n v="1"/>
    <n v="2"/>
    <n v="0"/>
    <n v="0"/>
    <n v="0"/>
  </r>
  <r>
    <n v="1565"/>
    <d v="2025-05-05T11:15:42"/>
    <d v="2025-05-05T11:20:19"/>
    <s v="chbanda@lighthouse.org.mw"/>
    <s v="Chipiliro Banda"/>
    <x v="13"/>
    <s v="COE"/>
    <x v="2"/>
    <s v="COP_24"/>
    <x v="2"/>
    <x v="2"/>
    <s v="Quarter2"/>
    <x v="2"/>
    <x v="3"/>
    <d v="2025-03-01T00:00:00"/>
    <d v="2025-03-31T00:00:00"/>
    <x v="1"/>
    <n v="61"/>
    <n v="0"/>
    <n v="40"/>
    <n v="12"/>
    <n v="4"/>
    <n v="5"/>
    <n v="59"/>
    <n v="19"/>
    <n v="19"/>
    <n v="0"/>
    <n v="0"/>
    <n v="0"/>
    <n v="20"/>
    <n v="2"/>
    <n v="0"/>
    <n v="0"/>
    <n v="0"/>
    <n v="0"/>
    <n v="16"/>
    <n v="1"/>
    <n v="3"/>
    <n v="0"/>
    <n v="0"/>
    <n v="0"/>
  </r>
  <r>
    <n v="1566"/>
    <d v="2025-05-05T12:16:49"/>
    <d v="2025-05-05T12:16:54"/>
    <s v="chbanda@lighthouse.org.mw"/>
    <s v="Chipiliro Banda"/>
    <x v="13"/>
    <s v="COE"/>
    <x v="2"/>
    <s v="COP_24"/>
    <x v="2"/>
    <x v="2"/>
    <s v="Quarter2"/>
    <x v="2"/>
    <x v="4"/>
    <d v="2025-01-01T00:00:00"/>
    <d v="2025-01-31T00:00:00"/>
    <x v="6"/>
    <n v="186"/>
    <n v="168"/>
    <n v="16"/>
    <n v="42"/>
    <n v="86"/>
    <n v="42"/>
    <n v="179"/>
    <n v="68"/>
    <n v="71"/>
    <n v="6"/>
    <n v="0"/>
    <n v="0"/>
    <n v="54"/>
    <n v="10"/>
    <n v="0"/>
    <n v="0"/>
    <n v="0"/>
    <n v="0"/>
    <n v="0"/>
    <n v="0"/>
    <n v="10"/>
    <n v="0"/>
    <n v="3"/>
    <n v="16"/>
  </r>
  <r>
    <n v="1573"/>
    <d v="2025-05-06T10:44:34"/>
    <d v="2025-05-06T10:46:33"/>
    <s v="chbanda@lighthouse.org.mw"/>
    <s v="Chipiliro Banda"/>
    <x v="13"/>
    <s v="COE"/>
    <x v="2"/>
    <s v="COP_24"/>
    <x v="2"/>
    <x v="2"/>
    <s v="Quarter2"/>
    <x v="2"/>
    <x v="4"/>
    <d v="2025-01-01T00:00:00"/>
    <d v="2025-01-31T00:00:00"/>
    <x v="1"/>
    <n v="54"/>
    <n v="0"/>
    <n v="28"/>
    <n v="11"/>
    <n v="10"/>
    <n v="5"/>
    <n v="51"/>
    <n v="24"/>
    <n v="26"/>
    <n v="1"/>
    <n v="1"/>
    <n v="1"/>
    <n v="26"/>
    <n v="2"/>
    <n v="0"/>
    <n v="0"/>
    <n v="0"/>
    <n v="0"/>
    <n v="22"/>
    <n v="2"/>
    <n v="4"/>
    <n v="1"/>
    <n v="0"/>
    <n v="0"/>
  </r>
  <r>
    <n v="1581"/>
    <d v="2025-05-06T14:14:39"/>
    <d v="2025-05-06T14:15:08"/>
    <s v="chbanda@lighthouse.org.mw"/>
    <s v="Chipiliro Banda"/>
    <x v="13"/>
    <s v="COE"/>
    <x v="2"/>
    <s v="COP_24"/>
    <x v="2"/>
    <x v="2"/>
    <s v="Quarter2"/>
    <x v="2"/>
    <x v="5"/>
    <d v="2025-02-01T00:00:00"/>
    <d v="2025-02-28T00:00:00"/>
    <x v="1"/>
    <n v="42"/>
    <n v="0"/>
    <n v="23"/>
    <n v="9"/>
    <n v="7"/>
    <n v="3"/>
    <n v="42"/>
    <n v="15"/>
    <n v="15"/>
    <n v="1"/>
    <n v="1"/>
    <n v="0"/>
    <n v="14"/>
    <n v="0"/>
    <n v="0"/>
    <n v="0"/>
    <n v="0"/>
    <n v="0"/>
    <n v="14"/>
    <n v="1"/>
    <n v="0"/>
    <n v="0"/>
    <n v="0"/>
    <n v="0"/>
  </r>
  <r>
    <n v="1582"/>
    <d v="2025-05-06T16:10:56"/>
    <d v="2025-05-06T16:13:16"/>
    <s v="chbanda@lighthouse.org.mw"/>
    <s v="Chipiliro Banda"/>
    <x v="13"/>
    <s v="COE"/>
    <x v="2"/>
    <s v="COP_24"/>
    <x v="3"/>
    <x v="2"/>
    <s v="Quarter2"/>
    <x v="4"/>
    <x v="4"/>
    <d v="2025-01-01T00:00:00"/>
    <d v="2025-01-31T00:00:00"/>
    <x v="5"/>
    <n v="95"/>
    <n v="0"/>
    <n v="81"/>
    <n v="8"/>
    <n v="6"/>
    <n v="0"/>
    <n v="92"/>
    <n v="31"/>
    <n v="37"/>
    <n v="1"/>
    <n v="1"/>
    <n v="0"/>
    <n v="35"/>
    <n v="0"/>
    <n v="0"/>
    <n v="0"/>
    <n v="0"/>
    <n v="0"/>
    <n v="24"/>
    <n v="1"/>
    <n v="1"/>
    <n v="0"/>
    <n v="0"/>
    <n v="0"/>
  </r>
  <r>
    <n v="1597"/>
    <d v="2025-05-07T10:01:24"/>
    <d v="2025-05-07T10:02:13"/>
    <s v="chbanda@lighthouse.org.mw"/>
    <s v="Chipiliro Banda"/>
    <x v="13"/>
    <s v="COE"/>
    <x v="2"/>
    <s v="COP_24"/>
    <x v="3"/>
    <x v="2"/>
    <s v="Quarter2"/>
    <x v="4"/>
    <x v="5"/>
    <d v="2025-02-01T00:00:00"/>
    <d v="2025-02-28T00:00:00"/>
    <x v="6"/>
    <n v="0"/>
    <n v="0"/>
    <n v="0"/>
    <n v="0"/>
    <n v="0"/>
    <n v="0"/>
    <n v="0"/>
    <n v="0"/>
    <n v="0"/>
    <n v="0"/>
    <n v="0"/>
    <n v="0"/>
    <n v="0"/>
    <n v="0"/>
    <n v="0"/>
    <n v="0"/>
    <n v="0"/>
    <n v="0"/>
    <n v="0"/>
    <n v="0"/>
    <n v="0"/>
    <n v="0"/>
    <n v="0"/>
    <n v="0"/>
  </r>
  <r>
    <n v="1598"/>
    <d v="2025-05-07T10:02:15"/>
    <d v="2025-05-07T10:02:59"/>
    <s v="chbanda@lighthouse.org.mw"/>
    <s v="Chipiliro Banda"/>
    <x v="13"/>
    <s v="COE"/>
    <x v="2"/>
    <s v="COP_24"/>
    <x v="3"/>
    <x v="2"/>
    <s v="Quarter2"/>
    <x v="4"/>
    <x v="3"/>
    <d v="2025-03-01T00:00:00"/>
    <d v="2025-03-31T00:00:00"/>
    <x v="6"/>
    <n v="0"/>
    <n v="0"/>
    <n v="0"/>
    <n v="0"/>
    <n v="0"/>
    <n v="0"/>
    <n v="0"/>
    <n v="0"/>
    <n v="0"/>
    <n v="0"/>
    <n v="0"/>
    <n v="0"/>
    <n v="0"/>
    <n v="0"/>
    <n v="0"/>
    <n v="0"/>
    <n v="0"/>
    <n v="0"/>
    <n v="0"/>
    <n v="0"/>
    <n v="0"/>
    <n v="0"/>
    <n v="0"/>
    <n v="0"/>
  </r>
  <r>
    <n v="1601"/>
    <d v="2025-05-07T12:11:46"/>
    <d v="2025-05-07T12:13:15"/>
    <s v="anhlema@lighthouse.org.mw"/>
    <s v="Angelina Nhlema"/>
    <x v="13"/>
    <s v="COE"/>
    <x v="2"/>
    <s v="COP_24"/>
    <x v="3"/>
    <x v="2"/>
    <s v="Quarter2"/>
    <x v="4"/>
    <x v="5"/>
    <m/>
    <m/>
    <x v="6"/>
    <n v="0"/>
    <n v="0"/>
    <n v="0"/>
    <n v="0"/>
    <n v="0"/>
    <n v="0"/>
    <n v="0"/>
    <n v="0"/>
    <n v="0"/>
    <n v="0"/>
    <n v="0"/>
    <n v="0"/>
    <n v="0"/>
    <n v="0"/>
    <n v="0"/>
    <n v="0"/>
    <n v="0"/>
    <n v="0"/>
    <n v="0"/>
    <n v="0"/>
    <n v="0"/>
    <n v="0"/>
    <n v="0"/>
    <n v="0"/>
  </r>
  <r>
    <n v="1602"/>
    <d v="2025-05-07T12:15:00"/>
    <d v="2025-05-07T12:20:34"/>
    <s v="anhlema@lighthouse.org.mw"/>
    <s v="Angelina Nhlema"/>
    <x v="13"/>
    <s v="COE"/>
    <x v="2"/>
    <s v="COP_24"/>
    <x v="3"/>
    <x v="2"/>
    <s v="Quarter2"/>
    <x v="4"/>
    <x v="3"/>
    <m/>
    <m/>
    <x v="6"/>
    <n v="0"/>
    <n v="0"/>
    <n v="0"/>
    <n v="0"/>
    <n v="0"/>
    <n v="0"/>
    <n v="0"/>
    <n v="0"/>
    <n v="0"/>
    <n v="0"/>
    <n v="0"/>
    <n v="0"/>
    <n v="0"/>
    <n v="0"/>
    <n v="0"/>
    <n v="0"/>
    <n v="0"/>
    <n v="0"/>
    <n v="0"/>
    <n v="0"/>
    <n v="0"/>
    <n v="0"/>
    <n v="0"/>
    <n v="0"/>
  </r>
  <r>
    <n v="1665"/>
    <d v="2025-06-10T08:31:06"/>
    <d v="2025-06-10T09:02:22"/>
    <s v="chbanda@lighthouse.org.mw"/>
    <s v="Chipiliro Banda"/>
    <x v="13"/>
    <s v="COE"/>
    <x v="2"/>
    <s v="COP_24"/>
    <x v="3"/>
    <x v="3"/>
    <s v="Quarter3"/>
    <x v="4"/>
    <x v="7"/>
    <d v="2025-04-01T00:00:00"/>
    <d v="2025-04-30T00:00:00"/>
    <x v="0"/>
    <n v="528"/>
    <n v="216"/>
    <n v="315"/>
    <n v="69"/>
    <n v="85"/>
    <n v="59"/>
    <n v="501"/>
    <n v="160"/>
    <n v="186"/>
    <n v="9"/>
    <n v="2"/>
    <n v="0"/>
    <n v="134"/>
    <n v="20"/>
    <n v="0"/>
    <n v="0"/>
    <n v="0"/>
    <n v="0"/>
    <n v="142"/>
    <n v="6"/>
    <n v="27"/>
    <n v="2"/>
    <n v="7"/>
    <n v="29"/>
  </r>
  <r>
    <n v="1666"/>
    <d v="2025-06-10T09:03:04"/>
    <d v="2025-06-10T09:06:18"/>
    <s v="chbanda@lighthouse.org.mw"/>
    <s v="Chipiliro Banda"/>
    <x v="13"/>
    <s v="COE"/>
    <x v="2"/>
    <s v="COP_24"/>
    <x v="3"/>
    <x v="3"/>
    <s v="Quarter3"/>
    <x v="4"/>
    <x v="7"/>
    <d v="2025-04-01T00:00:00"/>
    <d v="2025-04-30T00:00:00"/>
    <x v="6"/>
    <n v="116"/>
    <n v="112"/>
    <n v="12"/>
    <n v="15"/>
    <n v="51"/>
    <n v="38"/>
    <n v="107"/>
    <n v="40"/>
    <n v="44"/>
    <n v="4"/>
    <n v="0"/>
    <n v="0"/>
    <n v="24"/>
    <n v="6"/>
    <n v="0"/>
    <n v="0"/>
    <n v="0"/>
    <n v="0"/>
    <n v="0"/>
    <n v="0"/>
    <n v="7"/>
    <n v="2"/>
    <n v="2"/>
    <n v="29"/>
  </r>
  <r>
    <n v="1667"/>
    <d v="2025-06-10T09:34:58"/>
    <d v="2025-06-10T09:35:13"/>
    <s v="chbanda@lighthouse.org.mw"/>
    <s v="Chipiliro Banda"/>
    <x v="13"/>
    <s v="COE"/>
    <x v="2"/>
    <s v="COP_24"/>
    <x v="3"/>
    <x v="3"/>
    <s v="Quarter3"/>
    <x v="4"/>
    <x v="7"/>
    <d v="2025-04-01T00:00:00"/>
    <d v="2025-04-30T00:00:00"/>
    <x v="4"/>
    <n v="11"/>
    <n v="0"/>
    <n v="8"/>
    <n v="3"/>
    <n v="0"/>
    <n v="0"/>
    <n v="11"/>
    <n v="1"/>
    <n v="1"/>
    <n v="0"/>
    <n v="0"/>
    <n v="0"/>
    <n v="1"/>
    <n v="0"/>
    <n v="0"/>
    <n v="0"/>
    <n v="0"/>
    <n v="0"/>
    <n v="1"/>
    <n v="0"/>
    <n v="0"/>
    <n v="0"/>
    <n v="0"/>
    <n v="0"/>
  </r>
  <r>
    <n v="1668"/>
    <d v="2025-06-10T09:37:00"/>
    <d v="2025-06-10T09:41:57"/>
    <s v="chbanda@lighthouse.org.mw"/>
    <s v="Chipiliro Banda"/>
    <x v="13"/>
    <s v="COE"/>
    <x v="2"/>
    <s v="COP_24"/>
    <x v="3"/>
    <x v="3"/>
    <s v="Quarter3"/>
    <x v="4"/>
    <x v="7"/>
    <d v="2025-04-01T00:00:00"/>
    <d v="2025-04-30T00:00:00"/>
    <x v="3"/>
    <n v="13"/>
    <n v="0"/>
    <n v="8"/>
    <n v="2"/>
    <n v="1"/>
    <n v="2"/>
    <n v="0"/>
    <n v="0"/>
    <n v="12"/>
    <n v="0"/>
    <n v="0"/>
    <n v="0"/>
    <n v="11"/>
    <n v="0"/>
    <n v="0"/>
    <n v="0"/>
    <n v="0"/>
    <n v="0"/>
    <n v="0"/>
    <n v="0"/>
    <n v="1"/>
    <n v="0"/>
    <n v="0"/>
    <n v="0"/>
  </r>
  <r>
    <n v="1669"/>
    <d v="2025-06-10T09:42:17"/>
    <d v="2025-06-10T09:44:44"/>
    <s v="chbanda@lighthouse.org.mw"/>
    <s v="Chipiliro Banda"/>
    <x v="13"/>
    <s v="COE"/>
    <x v="2"/>
    <s v="COP_24"/>
    <x v="3"/>
    <x v="3"/>
    <s v="Quarter3"/>
    <x v="4"/>
    <x v="7"/>
    <d v="2025-04-01T00:00:00"/>
    <d v="2025-04-30T00:00:00"/>
    <x v="2"/>
    <n v="35"/>
    <n v="0"/>
    <n v="30"/>
    <n v="1"/>
    <n v="4"/>
    <n v="0"/>
    <n v="34"/>
    <n v="6"/>
    <n v="6"/>
    <n v="0"/>
    <n v="0"/>
    <n v="0"/>
    <n v="6"/>
    <n v="0"/>
    <n v="0"/>
    <n v="0"/>
    <n v="0"/>
    <n v="0"/>
    <n v="6"/>
    <n v="0"/>
    <n v="1"/>
    <n v="0"/>
    <n v="0"/>
    <n v="0"/>
  </r>
  <r>
    <n v="1670"/>
    <d v="2025-06-10T09:44:58"/>
    <d v="2025-06-10T09:48:13"/>
    <s v="chbanda@lighthouse.org.mw"/>
    <s v="Chipiliro Banda"/>
    <x v="13"/>
    <s v="COE"/>
    <x v="2"/>
    <s v="COP_24"/>
    <x v="3"/>
    <x v="3"/>
    <s v="Quarter3"/>
    <x v="4"/>
    <x v="7"/>
    <d v="2025-04-01T00:00:00"/>
    <d v="2025-04-30T00:00:00"/>
    <x v="5"/>
    <n v="94"/>
    <n v="0"/>
    <n v="69"/>
    <n v="7"/>
    <n v="4"/>
    <n v="2"/>
    <n v="68"/>
    <n v="16"/>
    <n v="20"/>
    <n v="1"/>
    <n v="0"/>
    <n v="0"/>
    <n v="16"/>
    <n v="0"/>
    <n v="0"/>
    <n v="0"/>
    <n v="0"/>
    <n v="0"/>
    <n v="14"/>
    <n v="1"/>
    <n v="1"/>
    <n v="0"/>
    <n v="0"/>
    <n v="0"/>
  </r>
  <r>
    <n v="1677"/>
    <d v="2025-06-17T08:44:39"/>
    <d v="2025-06-17T08:48:59"/>
    <s v="chbanda@lighthouse.org.mw"/>
    <s v="Chipiliro Banda"/>
    <x v="13"/>
    <s v="COE"/>
    <x v="2"/>
    <s v="COP_24"/>
    <x v="3"/>
    <x v="3"/>
    <s v="Quarter3"/>
    <x v="4"/>
    <x v="7"/>
    <d v="2025-04-01T00:00:00"/>
    <d v="2025-04-30T00:00:00"/>
    <x v="1"/>
    <n v="88"/>
    <n v="4"/>
    <n v="59"/>
    <n v="15"/>
    <n v="5"/>
    <n v="2"/>
    <n v="77"/>
    <n v="31"/>
    <n v="35"/>
    <n v="1"/>
    <n v="1"/>
    <n v="0"/>
    <n v="35"/>
    <n v="4"/>
    <n v="0"/>
    <n v="0"/>
    <n v="0"/>
    <n v="0"/>
    <n v="33"/>
    <n v="4"/>
    <n v="8"/>
    <n v="0"/>
    <n v="1"/>
    <n v="0"/>
  </r>
  <r>
    <n v="1678"/>
    <d v="2025-06-17T08:51:44"/>
    <d v="2025-06-17T09:00:18"/>
    <s v="chbanda@lighthouse.org.mw"/>
    <s v="Chipiliro Banda"/>
    <x v="13"/>
    <s v="COE"/>
    <x v="2"/>
    <s v="COP_24"/>
    <x v="3"/>
    <x v="3"/>
    <s v="Quarter3"/>
    <x v="4"/>
    <x v="6"/>
    <d v="2025-05-01T00:00:00"/>
    <d v="2025-05-31T00:00:00"/>
    <x v="6"/>
    <n v="182"/>
    <n v="136"/>
    <n v="31"/>
    <n v="44"/>
    <n v="49"/>
    <n v="58"/>
    <n v="174"/>
    <n v="70"/>
    <n v="0"/>
    <n v="0"/>
    <n v="0"/>
    <n v="0"/>
    <n v="22"/>
    <n v="2"/>
    <n v="0"/>
    <n v="0"/>
    <n v="0"/>
    <n v="0"/>
    <n v="0"/>
    <n v="0"/>
    <n v="5"/>
    <n v="0"/>
    <n v="0"/>
    <n v="8"/>
  </r>
  <r>
    <n v="1679"/>
    <d v="2025-06-17T09:11:34"/>
    <d v="2025-06-17T09:14:07"/>
    <s v="chbanda@lighthouse.org.mw"/>
    <s v="Chipiliro Banda"/>
    <x v="13"/>
    <s v="COE"/>
    <x v="2"/>
    <s v="COP_24"/>
    <x v="3"/>
    <x v="3"/>
    <s v="Quarter3"/>
    <x v="4"/>
    <x v="6"/>
    <d v="2025-05-01T00:00:00"/>
    <d v="2025-05-31T00:00:00"/>
    <x v="3"/>
    <n v="7"/>
    <n v="0"/>
    <n v="2"/>
    <n v="1"/>
    <n v="2"/>
    <n v="2"/>
    <n v="0"/>
    <n v="0"/>
    <n v="7"/>
    <n v="1"/>
    <n v="0"/>
    <n v="0"/>
    <n v="4"/>
    <n v="0"/>
    <n v="0"/>
    <n v="0"/>
    <n v="0"/>
    <n v="0"/>
    <n v="0"/>
    <n v="0"/>
    <n v="0"/>
    <n v="0"/>
    <n v="1"/>
    <n v="0"/>
  </r>
  <r>
    <n v="1680"/>
    <d v="2025-06-17T11:02:30"/>
    <d v="2025-06-17T11:02:36"/>
    <s v="chbanda@lighthouse.org.mw"/>
    <s v="Chipiliro Banda"/>
    <x v="13"/>
    <s v="COE"/>
    <x v="2"/>
    <s v="COP_24"/>
    <x v="3"/>
    <x v="3"/>
    <s v="Quarter3"/>
    <x v="4"/>
    <x v="6"/>
    <d v="2025-05-01T00:00:00"/>
    <d v="2025-05-31T00:00:00"/>
    <x v="4"/>
    <n v="13"/>
    <n v="0"/>
    <n v="12"/>
    <n v="1"/>
    <n v="0"/>
    <n v="0"/>
    <n v="13"/>
    <n v="2"/>
    <n v="2"/>
    <n v="0"/>
    <n v="0"/>
    <n v="0"/>
    <n v="2"/>
    <n v="0"/>
    <n v="0"/>
    <n v="0"/>
    <n v="0"/>
    <n v="0"/>
    <n v="2"/>
    <n v="0"/>
    <n v="0"/>
    <n v="0"/>
    <n v="0"/>
    <n v="0"/>
  </r>
  <r>
    <n v="1681"/>
    <d v="2025-06-17T11:04:09"/>
    <d v="2025-06-17T11:08:46"/>
    <s v="chbanda@lighthouse.org.mw"/>
    <s v="Chipiliro Banda"/>
    <x v="13"/>
    <s v="COE"/>
    <x v="2"/>
    <s v="COP_24"/>
    <x v="3"/>
    <x v="3"/>
    <s v="Quarter3"/>
    <x v="4"/>
    <x v="6"/>
    <d v="2025-05-01T00:00:00"/>
    <d v="2025-05-31T00:00:00"/>
    <x v="2"/>
    <n v="69"/>
    <n v="0"/>
    <n v="30"/>
    <n v="4"/>
    <n v="2"/>
    <n v="0"/>
    <n v="35"/>
    <n v="2"/>
    <n v="3"/>
    <n v="0"/>
    <n v="0"/>
    <n v="0"/>
    <n v="3"/>
    <n v="0"/>
    <n v="0"/>
    <n v="0"/>
    <n v="0"/>
    <n v="0"/>
    <n v="2"/>
    <n v="0"/>
    <n v="0"/>
    <n v="0"/>
    <n v="0"/>
    <n v="0"/>
  </r>
  <r>
    <n v="1682"/>
    <d v="2025-06-17T13:11:20"/>
    <d v="2025-06-17T13:11:25"/>
    <s v="chbanda@lighthouse.org.mw"/>
    <s v="Chipiliro Banda"/>
    <x v="13"/>
    <s v="COE"/>
    <x v="2"/>
    <s v="COP_24"/>
    <x v="3"/>
    <x v="3"/>
    <s v="Quarter3"/>
    <x v="4"/>
    <x v="6"/>
    <d v="2025-05-01T00:00:00"/>
    <d v="2025-05-31T00:00:00"/>
    <x v="5"/>
    <n v="88"/>
    <n v="0"/>
    <n v="62"/>
    <n v="3"/>
    <n v="6"/>
    <n v="1"/>
    <n v="71"/>
    <n v="24"/>
    <n v="22"/>
    <n v="0"/>
    <n v="0"/>
    <n v="0"/>
    <n v="23"/>
    <n v="2"/>
    <n v="0"/>
    <n v="0"/>
    <n v="0"/>
    <n v="0"/>
    <n v="20"/>
    <n v="1"/>
    <n v="3"/>
    <n v="0"/>
    <n v="0"/>
    <n v="0"/>
  </r>
  <r>
    <n v="1684"/>
    <d v="2025-06-17T14:01:12"/>
    <d v="2025-06-17T14:03:57"/>
    <s v="chbanda@lighthouse.org.mw"/>
    <s v="Chipiliro Banda"/>
    <x v="13"/>
    <s v="COE"/>
    <x v="2"/>
    <s v="COP_24"/>
    <x v="3"/>
    <x v="3"/>
    <s v="Quarter3"/>
    <x v="4"/>
    <x v="6"/>
    <d v="2025-05-01T00:00:00"/>
    <d v="2025-05-31T00:00:00"/>
    <x v="0"/>
    <n v="471"/>
    <n v="173"/>
    <n v="236"/>
    <n v="74"/>
    <n v="85"/>
    <n v="76"/>
    <n v="449"/>
    <n v="147"/>
    <n v="86"/>
    <n v="5"/>
    <n v="1"/>
    <n v="0"/>
    <n v="106"/>
    <n v="8"/>
    <n v="0"/>
    <n v="0"/>
    <n v="0"/>
    <n v="0"/>
    <n v="54"/>
    <n v="2"/>
    <n v="14"/>
    <n v="0"/>
    <n v="1"/>
    <n v="9"/>
  </r>
  <r>
    <n v="1685"/>
    <d v="2025-06-17T14:24:27"/>
    <d v="2025-06-17T14:24:33"/>
    <s v="chbanda@lighthouse.org.mw"/>
    <s v="Chipiliro Banda"/>
    <x v="13"/>
    <s v="COE"/>
    <x v="2"/>
    <s v="COP_24"/>
    <x v="3"/>
    <x v="3"/>
    <s v="Quarter3"/>
    <x v="4"/>
    <x v="6"/>
    <d v="2025-05-01T00:00:00"/>
    <d v="2025-05-31T00:00:00"/>
    <x v="1"/>
    <n v="93"/>
    <n v="0"/>
    <n v="47"/>
    <n v="23"/>
    <n v="20"/>
    <n v="9"/>
    <n v="93"/>
    <n v="46"/>
    <n v="51"/>
    <n v="3"/>
    <n v="1"/>
    <n v="0"/>
    <n v="37"/>
    <n v="3"/>
    <n v="0"/>
    <n v="0"/>
    <n v="0"/>
    <n v="0"/>
    <n v="0"/>
    <n v="0"/>
    <n v="5"/>
    <n v="0"/>
    <n v="3"/>
    <n v="0"/>
  </r>
  <r>
    <n v="1777"/>
    <d v="2025-07-09T14:41:02"/>
    <d v="2025-07-09T14:44:40"/>
    <s v="chbanda@lighthouse.org.mw"/>
    <s v="Chipiliro Banda"/>
    <x v="13"/>
    <s v="COE"/>
    <x v="2"/>
    <s v="COP_24"/>
    <x v="3"/>
    <x v="3"/>
    <s v="Quarter3"/>
    <x v="4"/>
    <x v="8"/>
    <d v="2025-06-01T00:00:00"/>
    <d v="2025-06-30T00:00:00"/>
    <x v="6"/>
    <n v="163"/>
    <n v="136"/>
    <n v="16"/>
    <n v="33"/>
    <n v="56"/>
    <n v="58"/>
    <n v="156"/>
    <n v="58"/>
    <n v="62"/>
    <n v="2"/>
    <n v="0"/>
    <n v="0"/>
    <n v="43"/>
    <n v="10"/>
    <n v="0"/>
    <n v="0"/>
    <n v="0"/>
    <n v="0"/>
    <n v="0"/>
    <n v="0"/>
    <n v="6"/>
    <n v="0"/>
    <n v="1"/>
    <n v="21"/>
  </r>
  <r>
    <n v="1805"/>
    <d v="2025-07-14T12:37:58"/>
    <d v="2025-07-14T12:59:36"/>
    <s v="tsatumba@lighthouse.org.mw"/>
    <s v="Thomas Satumba"/>
    <x v="4"/>
    <s v="Prototype"/>
    <x v="2"/>
    <s v="COP_24"/>
    <x v="3"/>
    <x v="3"/>
    <s v="Quarter3"/>
    <x v="4"/>
    <x v="7"/>
    <d v="2025-04-01T00:00:00"/>
    <d v="2025-04-30T00:00:00"/>
    <x v="1"/>
    <n v="5"/>
    <n v="0"/>
    <n v="4"/>
    <n v="0"/>
    <n v="0"/>
    <n v="0"/>
    <n v="4"/>
    <n v="1"/>
    <n v="1"/>
    <n v="0"/>
    <n v="0"/>
    <n v="0"/>
    <n v="0"/>
    <n v="0"/>
    <n v="0"/>
    <n v="0"/>
    <n v="0"/>
    <n v="0"/>
    <n v="0"/>
    <n v="0"/>
    <n v="0"/>
    <n v="0"/>
    <n v="0"/>
    <n v="0"/>
  </r>
  <r>
    <n v="1806"/>
    <d v="2025-07-14T12:59:41"/>
    <d v="2025-07-14T13:01:28"/>
    <s v="tsatumba@lighthouse.org.mw"/>
    <s v="Thomas Satumba"/>
    <x v="4"/>
    <s v="Prototype"/>
    <x v="2"/>
    <s v="COP_24"/>
    <x v="3"/>
    <x v="3"/>
    <s v="Quarter3"/>
    <x v="4"/>
    <x v="7"/>
    <d v="2025-04-01T00:00:00"/>
    <d v="2025-04-30T00:00:00"/>
    <x v="3"/>
    <n v="0"/>
    <n v="0"/>
    <n v="0"/>
    <n v="0"/>
    <n v="0"/>
    <n v="0"/>
    <n v="0"/>
    <n v="0"/>
    <n v="0"/>
    <n v="0"/>
    <n v="0"/>
    <n v="0"/>
    <n v="0"/>
    <n v="0"/>
    <n v="0"/>
    <n v="0"/>
    <n v="0"/>
    <n v="0"/>
    <n v="0"/>
    <n v="0"/>
    <n v="0"/>
    <n v="0"/>
    <n v="0"/>
    <n v="0"/>
  </r>
  <r>
    <n v="1807"/>
    <d v="2025-07-14T13:01:30"/>
    <d v="2025-07-14T13:02:42"/>
    <s v="tsatumba@lighthouse.org.mw"/>
    <s v="Thomas Satumba"/>
    <x v="4"/>
    <s v="Prototype"/>
    <x v="2"/>
    <s v="COP_24"/>
    <x v="3"/>
    <x v="3"/>
    <s v="Quarter3"/>
    <x v="4"/>
    <x v="7"/>
    <d v="2025-04-01T00:00:00"/>
    <d v="2025-04-30T00:00:00"/>
    <x v="4"/>
    <n v="0"/>
    <n v="0"/>
    <n v="0"/>
    <n v="0"/>
    <n v="0"/>
    <n v="0"/>
    <n v="0"/>
    <n v="0"/>
    <n v="0"/>
    <n v="0"/>
    <n v="0"/>
    <n v="0"/>
    <n v="0"/>
    <n v="0"/>
    <n v="0"/>
    <n v="0"/>
    <n v="0"/>
    <n v="0"/>
    <n v="0"/>
    <n v="0"/>
    <n v="0"/>
    <n v="0"/>
    <n v="0"/>
    <n v="0"/>
  </r>
  <r>
    <n v="1808"/>
    <d v="2025-07-14T13:02:45"/>
    <d v="2025-07-14T13:04:57"/>
    <s v="tsatumba@lighthouse.org.mw"/>
    <s v="Thomas Satumba"/>
    <x v="4"/>
    <s v="Prototype"/>
    <x v="2"/>
    <s v="COP_24"/>
    <x v="3"/>
    <x v="3"/>
    <s v="Quarter3"/>
    <x v="4"/>
    <x v="7"/>
    <d v="2025-04-01T00:00:00"/>
    <d v="2025-04-30T00:00:00"/>
    <x v="2"/>
    <n v="0"/>
    <n v="0"/>
    <n v="0"/>
    <n v="0"/>
    <n v="0"/>
    <n v="0"/>
    <n v="0"/>
    <n v="0"/>
    <n v="0"/>
    <n v="0"/>
    <n v="0"/>
    <n v="0"/>
    <n v="0"/>
    <n v="0"/>
    <n v="0"/>
    <n v="0"/>
    <n v="0"/>
    <n v="0"/>
    <n v="0"/>
    <n v="0"/>
    <n v="0"/>
    <n v="0"/>
    <n v="0"/>
    <n v="0"/>
  </r>
  <r>
    <n v="1809"/>
    <d v="2025-07-14T13:05:01"/>
    <d v="2025-07-14T13:07:16"/>
    <s v="tsatumba@lighthouse.org.mw"/>
    <s v="Thomas Satumba"/>
    <x v="4"/>
    <s v="Prototype"/>
    <x v="2"/>
    <s v="COP_24"/>
    <x v="3"/>
    <x v="3"/>
    <s v="Quarter3"/>
    <x v="4"/>
    <x v="7"/>
    <d v="2025-04-01T00:00:00"/>
    <d v="2025-04-30T00:00:00"/>
    <x v="6"/>
    <n v="0"/>
    <n v="0"/>
    <n v="0"/>
    <n v="0"/>
    <n v="0"/>
    <n v="0"/>
    <n v="0"/>
    <n v="0"/>
    <n v="0"/>
    <n v="0"/>
    <n v="0"/>
    <n v="0"/>
    <n v="0"/>
    <n v="0"/>
    <n v="0"/>
    <n v="0"/>
    <n v="0"/>
    <n v="0"/>
    <n v="0"/>
    <n v="0"/>
    <n v="0"/>
    <n v="0"/>
    <n v="0"/>
    <n v="0"/>
  </r>
  <r>
    <n v="1810"/>
    <d v="2025-07-14T13:07:22"/>
    <d v="2025-07-14T13:12:22"/>
    <s v="tsatumba@lighthouse.org.mw"/>
    <s v="Thomas Satumba"/>
    <x v="4"/>
    <s v="Prototype"/>
    <x v="2"/>
    <s v="COP_24"/>
    <x v="3"/>
    <x v="3"/>
    <s v="Quarter3"/>
    <x v="4"/>
    <x v="7"/>
    <d v="2025-04-01T00:00:00"/>
    <d v="2025-04-30T00:00:00"/>
    <x v="0"/>
    <n v="5"/>
    <n v="1"/>
    <n v="4"/>
    <n v="0"/>
    <n v="0"/>
    <n v="1"/>
    <n v="5"/>
    <n v="2"/>
    <n v="2"/>
    <n v="0"/>
    <n v="0"/>
    <n v="0"/>
    <n v="2"/>
    <n v="1"/>
    <n v="0"/>
    <n v="0"/>
    <n v="0"/>
    <n v="0"/>
    <n v="1"/>
    <n v="0"/>
    <n v="1"/>
    <n v="0"/>
    <n v="0"/>
    <n v="0"/>
  </r>
  <r>
    <n v="1811"/>
    <d v="2025-07-14T13:14:09"/>
    <d v="2025-07-14T13:16:51"/>
    <s v="tsatumba@lighthouse.org.mw"/>
    <s v="Thomas Satumba"/>
    <x v="4"/>
    <s v="Prototype"/>
    <x v="2"/>
    <s v="COP_24"/>
    <x v="3"/>
    <x v="3"/>
    <s v="Quarter3"/>
    <x v="4"/>
    <x v="6"/>
    <d v="2025-05-01T00:00:00"/>
    <d v="2025-05-31T00:00:00"/>
    <x v="1"/>
    <n v="12"/>
    <n v="1"/>
    <n v="2"/>
    <n v="0"/>
    <n v="4"/>
    <n v="0"/>
    <n v="6"/>
    <n v="3"/>
    <n v="3"/>
    <n v="1"/>
    <n v="1"/>
    <n v="1"/>
    <n v="3"/>
    <n v="0"/>
    <n v="0"/>
    <n v="0"/>
    <n v="0"/>
    <n v="0"/>
    <n v="1"/>
    <n v="0"/>
    <n v="0"/>
    <n v="1"/>
    <n v="0"/>
    <n v="0"/>
  </r>
  <r>
    <n v="1812"/>
    <d v="2025-07-14T13:21:09"/>
    <d v="2025-07-14T13:22:32"/>
    <s v="tsatumba@lighthouse.org.mw"/>
    <s v="Thomas Satumba"/>
    <x v="4"/>
    <s v="Prototype"/>
    <x v="2"/>
    <s v="COP_24"/>
    <x v="3"/>
    <x v="3"/>
    <s v="Quarter3"/>
    <x v="4"/>
    <x v="6"/>
    <d v="2025-05-01T00:00:00"/>
    <d v="2025-05-31T00:00:00"/>
    <x v="3"/>
    <n v="0"/>
    <n v="0"/>
    <n v="0"/>
    <n v="0"/>
    <n v="0"/>
    <n v="0"/>
    <n v="0"/>
    <n v="0"/>
    <n v="0"/>
    <n v="0"/>
    <n v="0"/>
    <n v="0"/>
    <n v="0"/>
    <n v="0"/>
    <n v="0"/>
    <n v="0"/>
    <n v="0"/>
    <n v="0"/>
    <n v="0"/>
    <n v="0"/>
    <n v="0"/>
    <n v="0"/>
    <n v="0"/>
    <n v="0"/>
  </r>
  <r>
    <n v="1813"/>
    <d v="2025-07-14T13:22:35"/>
    <d v="2025-07-14T13:23:40"/>
    <s v="tsatumba@lighthouse.org.mw"/>
    <s v="Thomas Satumba"/>
    <x v="4"/>
    <s v="Prototype"/>
    <x v="2"/>
    <s v="COP_24"/>
    <x v="3"/>
    <x v="3"/>
    <s v="Quarter3"/>
    <x v="4"/>
    <x v="6"/>
    <d v="2025-05-01T00:00:00"/>
    <d v="2025-05-31T00:00:00"/>
    <x v="4"/>
    <n v="0"/>
    <n v="0"/>
    <n v="0"/>
    <n v="0"/>
    <n v="0"/>
    <n v="0"/>
    <n v="0"/>
    <n v="0"/>
    <n v="0"/>
    <n v="0"/>
    <n v="0"/>
    <n v="0"/>
    <n v="0"/>
    <n v="0"/>
    <n v="0"/>
    <n v="0"/>
    <n v="0"/>
    <n v="0"/>
    <n v="0"/>
    <n v="0"/>
    <n v="0"/>
    <n v="0"/>
    <n v="0"/>
    <n v="0"/>
  </r>
  <r>
    <n v="1814"/>
    <d v="2025-07-14T13:23:46"/>
    <d v="2025-07-14T13:25:05"/>
    <s v="tsatumba@lighthouse.org.mw"/>
    <s v="Thomas Satumba"/>
    <x v="4"/>
    <s v="Prototype"/>
    <x v="2"/>
    <s v="COP_24"/>
    <x v="3"/>
    <x v="3"/>
    <s v="Quarter3"/>
    <x v="4"/>
    <x v="6"/>
    <d v="2025-05-01T00:00:00"/>
    <d v="2025-05-31T00:00:00"/>
    <x v="5"/>
    <n v="0"/>
    <n v="0"/>
    <n v="0"/>
    <n v="0"/>
    <n v="0"/>
    <n v="0"/>
    <n v="0"/>
    <n v="0"/>
    <n v="0"/>
    <n v="0"/>
    <n v="0"/>
    <n v="0"/>
    <n v="0"/>
    <n v="0"/>
    <n v="0"/>
    <n v="0"/>
    <n v="0"/>
    <n v="0"/>
    <n v="0"/>
    <n v="0"/>
    <n v="0"/>
    <n v="0"/>
    <n v="0"/>
    <n v="0"/>
  </r>
  <r>
    <n v="1815"/>
    <d v="2025-07-14T13:25:10"/>
    <d v="2025-07-14T13:26:33"/>
    <s v="tsatumba@lighthouse.org.mw"/>
    <s v="Thomas Satumba"/>
    <x v="4"/>
    <s v="Prototype"/>
    <x v="2"/>
    <s v="COP_24"/>
    <x v="3"/>
    <x v="3"/>
    <s v="Quarter3"/>
    <x v="4"/>
    <x v="6"/>
    <d v="2025-05-01T00:00:00"/>
    <d v="2025-05-31T00:00:00"/>
    <x v="2"/>
    <n v="0"/>
    <n v="0"/>
    <n v="0"/>
    <n v="0"/>
    <n v="0"/>
    <n v="0"/>
    <n v="0"/>
    <n v="0"/>
    <n v="0"/>
    <n v="0"/>
    <n v="0"/>
    <n v="0"/>
    <n v="0"/>
    <n v="0"/>
    <n v="0"/>
    <n v="0"/>
    <n v="0"/>
    <n v="0"/>
    <n v="0"/>
    <n v="0"/>
    <n v="0"/>
    <n v="0"/>
    <n v="0"/>
    <n v="0"/>
  </r>
  <r>
    <n v="1816"/>
    <d v="2025-07-14T13:26:35"/>
    <d v="2025-07-14T13:27:58"/>
    <s v="tsatumba@lighthouse.org.mw"/>
    <s v="Thomas Satumba"/>
    <x v="4"/>
    <s v="Prototype"/>
    <x v="2"/>
    <s v="COP_24"/>
    <x v="3"/>
    <x v="3"/>
    <s v="Quarter3"/>
    <x v="4"/>
    <x v="6"/>
    <d v="2025-05-01T00:00:00"/>
    <d v="2025-05-31T00:00:00"/>
    <x v="6"/>
    <n v="0"/>
    <n v="0"/>
    <n v="0"/>
    <n v="0"/>
    <n v="0"/>
    <n v="0"/>
    <n v="0"/>
    <n v="0"/>
    <n v="0"/>
    <n v="0"/>
    <n v="0"/>
    <n v="0"/>
    <n v="0"/>
    <n v="0"/>
    <n v="0"/>
    <n v="0"/>
    <n v="0"/>
    <n v="0"/>
    <n v="0"/>
    <n v="0"/>
    <n v="0"/>
    <n v="0"/>
    <n v="0"/>
    <n v="0"/>
  </r>
  <r>
    <n v="1817"/>
    <d v="2025-07-14T13:28:02"/>
    <d v="2025-07-14T13:34:39"/>
    <s v="tsatumba@lighthouse.org.mw"/>
    <s v="Thomas Satumba"/>
    <x v="4"/>
    <s v="Prototype"/>
    <x v="2"/>
    <s v="COP_24"/>
    <x v="3"/>
    <x v="3"/>
    <s v="Quarter3"/>
    <x v="4"/>
    <x v="6"/>
    <d v="2025-05-01T00:00:00"/>
    <d v="2025-05-31T00:00:00"/>
    <x v="0"/>
    <n v="6"/>
    <n v="1"/>
    <n v="2"/>
    <n v="0"/>
    <n v="4"/>
    <n v="0"/>
    <n v="6"/>
    <n v="3"/>
    <n v="3"/>
    <n v="1"/>
    <n v="1"/>
    <n v="1"/>
    <n v="3"/>
    <n v="0"/>
    <n v="0"/>
    <n v="0"/>
    <n v="0"/>
    <n v="0"/>
    <n v="1"/>
    <n v="0"/>
    <n v="0"/>
    <n v="1"/>
    <n v="0"/>
    <n v="0"/>
  </r>
  <r>
    <n v="1818"/>
    <d v="2025-07-14T13:38:27"/>
    <d v="2025-07-14T13:43:09"/>
    <s v="tsatumba@lighthouse.org.mw"/>
    <s v="Thomas Satumba"/>
    <x v="4"/>
    <s v="Prototype"/>
    <x v="2"/>
    <s v="COP_24"/>
    <x v="3"/>
    <x v="3"/>
    <s v="Quarter3"/>
    <x v="4"/>
    <x v="8"/>
    <d v="2025-06-01T00:00:00"/>
    <d v="2025-06-30T00:00:00"/>
    <x v="0"/>
    <n v="7"/>
    <n v="4"/>
    <n v="2"/>
    <n v="1"/>
    <n v="2"/>
    <n v="2"/>
    <n v="7"/>
    <n v="5"/>
    <n v="6"/>
    <n v="1"/>
    <n v="1"/>
    <n v="0"/>
    <n v="6"/>
    <n v="1"/>
    <n v="0"/>
    <n v="0"/>
    <n v="0"/>
    <n v="0"/>
    <n v="6"/>
    <n v="0"/>
    <n v="1"/>
    <n v="0"/>
    <n v="1"/>
    <n v="1"/>
  </r>
  <r>
    <n v="1819"/>
    <d v="2025-07-14T13:43:12"/>
    <d v="2025-07-14T13:46:39"/>
    <s v="tsatumba@lighthouse.org.mw"/>
    <s v="Thomas Satumba"/>
    <x v="4"/>
    <s v="Prototype"/>
    <x v="2"/>
    <s v="COP_24"/>
    <x v="3"/>
    <x v="3"/>
    <s v="Quarter3"/>
    <x v="4"/>
    <x v="8"/>
    <d v="2025-06-01T00:00:00"/>
    <d v="2025-06-30T00:00:00"/>
    <x v="1"/>
    <n v="15"/>
    <n v="3"/>
    <n v="1"/>
    <n v="1"/>
    <n v="1"/>
    <n v="2"/>
    <n v="5"/>
    <n v="4"/>
    <n v="5"/>
    <n v="1"/>
    <n v="1"/>
    <n v="0"/>
    <n v="5"/>
    <n v="1"/>
    <n v="0"/>
    <n v="0"/>
    <n v="0"/>
    <n v="0"/>
    <n v="5"/>
    <n v="0"/>
    <n v="1"/>
    <n v="0"/>
    <n v="1"/>
    <n v="1"/>
  </r>
  <r>
    <n v="1820"/>
    <d v="2025-07-14T13:47:28"/>
    <d v="2025-07-14T13:48:39"/>
    <s v="tsatumba@lighthouse.org.mw"/>
    <s v="Thomas Satumba"/>
    <x v="4"/>
    <s v="Prototype"/>
    <x v="2"/>
    <s v="COP_24"/>
    <x v="3"/>
    <x v="3"/>
    <s v="Quarter3"/>
    <x v="4"/>
    <x v="8"/>
    <d v="2025-06-01T00:00:00"/>
    <d v="2025-06-30T00:00:00"/>
    <x v="3"/>
    <n v="0"/>
    <n v="0"/>
    <n v="0"/>
    <n v="0"/>
    <n v="0"/>
    <n v="0"/>
    <n v="0"/>
    <n v="0"/>
    <n v="0"/>
    <n v="0"/>
    <n v="0"/>
    <n v="0"/>
    <n v="0"/>
    <n v="0"/>
    <n v="0"/>
    <n v="0"/>
    <n v="0"/>
    <n v="0"/>
    <n v="0"/>
    <n v="0"/>
    <n v="0"/>
    <n v="0"/>
    <n v="0"/>
    <n v="0"/>
  </r>
  <r>
    <n v="1821"/>
    <d v="2025-07-14T13:48:42"/>
    <d v="2025-07-14T13:49:53"/>
    <s v="tsatumba@lighthouse.org.mw"/>
    <s v="Thomas Satumba"/>
    <x v="4"/>
    <s v="Prototype"/>
    <x v="2"/>
    <s v="COP_24"/>
    <x v="3"/>
    <x v="3"/>
    <s v="Quarter3"/>
    <x v="4"/>
    <x v="8"/>
    <d v="2025-06-01T00:00:00"/>
    <d v="2025-06-30T00:00:00"/>
    <x v="4"/>
    <n v="0"/>
    <n v="0"/>
    <n v="0"/>
    <n v="0"/>
    <n v="0"/>
    <n v="0"/>
    <n v="0"/>
    <n v="0"/>
    <n v="0"/>
    <n v="0"/>
    <n v="0"/>
    <n v="0"/>
    <n v="0"/>
    <n v="0"/>
    <n v="0"/>
    <n v="0"/>
    <n v="0"/>
    <n v="0"/>
    <n v="0"/>
    <n v="0"/>
    <n v="0"/>
    <n v="0"/>
    <n v="0"/>
    <n v="0"/>
  </r>
  <r>
    <n v="1822"/>
    <d v="2025-07-14T13:49:58"/>
    <d v="2025-07-14T13:52:11"/>
    <s v="tsatumba@lighthouse.org.mw"/>
    <s v="Thomas Satumba"/>
    <x v="4"/>
    <s v="Prototype"/>
    <x v="2"/>
    <s v="COP_24"/>
    <x v="3"/>
    <x v="3"/>
    <s v="Quarter3"/>
    <x v="4"/>
    <x v="8"/>
    <d v="2025-06-01T00:00:00"/>
    <d v="2025-06-30T00:00:00"/>
    <x v="2"/>
    <n v="0"/>
    <n v="0"/>
    <n v="0"/>
    <n v="0"/>
    <n v="0"/>
    <n v="0"/>
    <n v="0"/>
    <n v="0"/>
    <n v="0"/>
    <n v="0"/>
    <n v="0"/>
    <n v="0"/>
    <n v="0"/>
    <n v="0"/>
    <n v="0"/>
    <n v="0"/>
    <n v="0"/>
    <n v="0"/>
    <n v="0"/>
    <n v="0"/>
    <n v="0"/>
    <n v="0"/>
    <n v="0"/>
    <n v="0"/>
  </r>
  <r>
    <n v="1823"/>
    <d v="2025-07-14T13:52:14"/>
    <d v="2025-07-14T13:53:41"/>
    <s v="tsatumba@lighthouse.org.mw"/>
    <s v="Thomas Satumba"/>
    <x v="4"/>
    <s v="Prototype"/>
    <x v="2"/>
    <s v="COP_24"/>
    <x v="3"/>
    <x v="3"/>
    <s v="Quarter3"/>
    <x v="4"/>
    <x v="8"/>
    <d v="2025-06-01T00:00:00"/>
    <d v="2025-06-30T00:00:00"/>
    <x v="6"/>
    <n v="0"/>
    <n v="0"/>
    <n v="0"/>
    <n v="0"/>
    <n v="0"/>
    <n v="0"/>
    <n v="0"/>
    <n v="0"/>
    <n v="0"/>
    <n v="0"/>
    <n v="0"/>
    <n v="0"/>
    <n v="0"/>
    <n v="0"/>
    <n v="0"/>
    <n v="0"/>
    <n v="0"/>
    <n v="0"/>
    <n v="0"/>
    <n v="0"/>
    <n v="0"/>
    <n v="0"/>
    <n v="0"/>
    <n v="0"/>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3"/>
    <m/>
    <m/>
    <x v="7"/>
    <m/>
    <m/>
    <m/>
    <m/>
    <m/>
    <m/>
    <m/>
    <m/>
    <m/>
    <m/>
    <m/>
    <m/>
    <m/>
    <m/>
    <m/>
    <m/>
    <m/>
    <m/>
    <m/>
    <m/>
    <m/>
    <m/>
    <m/>
    <m/>
  </r>
  <r>
    <m/>
    <m/>
    <m/>
    <m/>
    <m/>
    <x v="14"/>
    <m/>
    <x v="3"/>
    <m/>
    <x v="3"/>
    <x v="4"/>
    <m/>
    <x v="4"/>
    <x v="12"/>
    <m/>
    <m/>
    <x v="7"/>
    <s v="   "/>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m/>
    <m/>
    <m/>
    <m/>
    <x v="14"/>
    <m/>
    <x v="3"/>
    <m/>
    <x v="3"/>
    <x v="4"/>
    <m/>
    <x v="4"/>
    <x v="12"/>
    <m/>
    <m/>
    <x v="7"/>
    <m/>
    <m/>
    <m/>
    <m/>
    <m/>
    <m/>
    <m/>
    <m/>
    <m/>
    <m/>
    <m/>
    <m/>
    <m/>
    <m/>
    <m/>
    <m/>
    <m/>
    <m/>
    <m/>
    <m/>
    <m/>
    <m/>
    <m/>
    <m/>
  </r>
  <r>
    <m/>
    <d v="2025-03-06T08:07:31"/>
    <m/>
    <m/>
    <m/>
    <x v="14"/>
    <m/>
    <x v="3"/>
    <m/>
    <x v="3"/>
    <x v="4"/>
    <m/>
    <x v="4"/>
    <x v="12"/>
    <m/>
    <m/>
    <x v="7"/>
    <m/>
    <m/>
    <m/>
    <m/>
    <m/>
    <m/>
    <m/>
    <m/>
    <m/>
    <m/>
    <m/>
    <m/>
    <m/>
    <m/>
    <m/>
    <m/>
    <m/>
    <m/>
    <m/>
    <m/>
    <m/>
    <m/>
    <m/>
    <m/>
  </r>
  <r>
    <m/>
    <m/>
    <m/>
    <m/>
    <m/>
    <x v="14"/>
    <m/>
    <x v="3"/>
    <m/>
    <x v="3"/>
    <x v="4"/>
    <m/>
    <x v="4"/>
    <x v="12"/>
    <m/>
    <m/>
    <x v="7"/>
    <m/>
    <m/>
    <m/>
    <m/>
    <m/>
    <m/>
    <m/>
    <m/>
    <m/>
    <m/>
    <m/>
    <m/>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48">
  <r>
    <n v="5"/>
    <d v="2023-12-15T12:13:28"/>
    <d v="2023-12-15T12:31:37"/>
    <s v="mchirwa@lighthouse.org.mw"/>
    <s v="Margaret Chirwa"/>
    <x v="0"/>
    <s v="Prototype"/>
    <x v="0"/>
    <s v="COP_23"/>
    <s v="COP_23"/>
    <x v="0"/>
    <s v="Quarter1"/>
    <s v="Qtr_1"/>
    <s v="Oct"/>
    <d v="2023-10-01T00:00:00"/>
    <d v="2023-10-31T00:00:00"/>
    <x v="0"/>
    <n v="35"/>
    <n v="0"/>
    <n v="12"/>
    <n v="2"/>
    <n v="1"/>
    <n v="1"/>
    <n v="16"/>
    <n v="3"/>
    <n v="1"/>
    <n v="0"/>
    <n v="0"/>
    <n v="0"/>
    <n v="2"/>
    <n v="0"/>
    <n v="0"/>
    <n v="0"/>
    <n v="0"/>
    <n v="0"/>
    <n v="1"/>
    <n v="0"/>
    <n v="1"/>
    <n v="0"/>
    <n v="0"/>
    <n v="0"/>
    <n v="0"/>
    <m/>
  </r>
  <r>
    <n v="7"/>
    <d v="2023-12-15T12:31:51"/>
    <d v="2023-12-15T12:39:44"/>
    <s v="mchirwa@lighthouse.org.mw"/>
    <s v="Margaret Chirwa"/>
    <x v="0"/>
    <s v="Prototype"/>
    <x v="0"/>
    <s v="COP_23"/>
    <s v="COP_23"/>
    <x v="0"/>
    <s v="Quarter1"/>
    <s v="Qtr_1"/>
    <s v="Nov"/>
    <d v="2023-11-01T00:00:00"/>
    <d v="2023-11-30T00:00:00"/>
    <x v="0"/>
    <n v="55"/>
    <n v="0"/>
    <n v="38"/>
    <n v="1"/>
    <n v="1"/>
    <n v="1"/>
    <n v="41"/>
    <n v="7"/>
    <n v="6"/>
    <n v="0"/>
    <n v="0"/>
    <n v="0"/>
    <n v="1"/>
    <n v="0"/>
    <n v="0"/>
    <n v="0"/>
    <n v="0"/>
    <n v="0"/>
    <n v="0"/>
    <n v="0"/>
    <n v="0"/>
    <n v="0"/>
    <n v="0"/>
    <n v="1"/>
    <n v="0"/>
    <m/>
  </r>
  <r>
    <n v="8"/>
    <d v="2023-12-15T13:15:02"/>
    <d v="2023-12-15T13:15:53"/>
    <s v="mchirwa@lighthouse.org.mw"/>
    <s v="Margaret Chirwa"/>
    <x v="0"/>
    <s v="Prototype"/>
    <x v="0"/>
    <s v="COP_22"/>
    <s v="COP_22"/>
    <x v="1"/>
    <s v="Quarter4"/>
    <s v="Qtr_4"/>
    <s v="Sep"/>
    <d v="2023-09-01T00:00:00"/>
    <d v="2023-09-30T00:00:00"/>
    <x v="0"/>
    <n v="35"/>
    <n v="1"/>
    <n v="35"/>
    <n v="2"/>
    <n v="1"/>
    <n v="1"/>
    <n v="39"/>
    <n v="8"/>
    <n v="10"/>
    <n v="0"/>
    <n v="8"/>
    <n v="0"/>
    <n v="8"/>
    <n v="0"/>
    <n v="1"/>
    <n v="1"/>
    <n v="0"/>
    <n v="0"/>
    <n v="0"/>
    <n v="0"/>
    <n v="2"/>
    <n v="0"/>
    <n v="0"/>
    <n v="1"/>
    <n v="0"/>
    <m/>
  </r>
  <r>
    <n v="232"/>
    <d v="2024-04-09T13:21:04"/>
    <d v="2024-04-09T13:33:06"/>
    <s v="mchirwa@lighthouse.org.mw"/>
    <s v="Margaret Chirwa"/>
    <x v="0"/>
    <s v="Prototype"/>
    <x v="1"/>
    <s v="COP_23"/>
    <s v="COP_23"/>
    <x v="2"/>
    <s v="Quarter2"/>
    <s v="Qtr_2"/>
    <s v="Mar"/>
    <d v="2024-03-01T00:00:00"/>
    <d v="2024-03-31T00:00:00"/>
    <x v="1"/>
    <n v="30"/>
    <n v="0"/>
    <n v="17"/>
    <n v="0"/>
    <n v="1"/>
    <n v="0"/>
    <n v="3"/>
    <n v="0"/>
    <n v="1"/>
    <n v="0"/>
    <n v="0"/>
    <n v="0"/>
    <n v="1"/>
    <n v="1"/>
    <n v="0"/>
    <n v="0"/>
    <n v="0"/>
    <n v="0"/>
    <n v="0"/>
    <n v="0"/>
    <n v="1"/>
    <n v="0"/>
    <n v="0"/>
    <n v="0"/>
    <n v="1"/>
    <m/>
  </r>
  <r>
    <n v="280"/>
    <d v="2024-04-24T08:10:55"/>
    <d v="2024-04-24T08:31:59"/>
    <s v="mchirwa@lighthouse.org.mw"/>
    <s v="Margaret Chirwa"/>
    <x v="0"/>
    <s v="Prototype"/>
    <x v="1"/>
    <s v="COP_23"/>
    <s v="COP_23"/>
    <x v="2"/>
    <s v="Quarter2"/>
    <s v="Qtr_2"/>
    <s v="Jan"/>
    <d v="2024-01-01T00:00:00"/>
    <d v="2024-01-31T00:00:00"/>
    <x v="1"/>
    <n v="53"/>
    <n v="0"/>
    <n v="39"/>
    <n v="2"/>
    <n v="0"/>
    <n v="0"/>
    <n v="11"/>
    <n v="3"/>
    <n v="0"/>
    <n v="0"/>
    <n v="0"/>
    <n v="0"/>
    <n v="1"/>
    <n v="0"/>
    <n v="0"/>
    <n v="0"/>
    <n v="0"/>
    <n v="0"/>
    <n v="0"/>
    <n v="0"/>
    <n v="0"/>
    <n v="0"/>
    <n v="0"/>
    <n v="0"/>
    <n v="1"/>
    <m/>
  </r>
  <r>
    <n v="328"/>
    <d v="2024-04-30T08:55:55"/>
    <d v="2024-04-30T09:18:36"/>
    <s v="mchirwa@lighthouse.org.mw"/>
    <s v="Margaret Chirwa"/>
    <x v="0"/>
    <s v="Prototype"/>
    <x v="1"/>
    <s v="COP_23"/>
    <s v="COP_23"/>
    <x v="2"/>
    <s v="Quarter2"/>
    <s v="Qtr_2"/>
    <s v="Feb"/>
    <d v="2024-02-01T00:00:00"/>
    <d v="2024-02-29T00:00:00"/>
    <x v="1"/>
    <n v="48"/>
    <n v="0"/>
    <n v="47"/>
    <n v="24"/>
    <n v="0"/>
    <n v="0"/>
    <n v="24"/>
    <n v="3"/>
    <n v="2"/>
    <n v="0"/>
    <n v="0"/>
    <n v="0"/>
    <n v="2"/>
    <n v="0"/>
    <n v="0"/>
    <n v="0"/>
    <n v="0"/>
    <n v="0"/>
    <n v="0"/>
    <n v="0"/>
    <n v="0"/>
    <n v="0"/>
    <n v="0"/>
    <n v="0"/>
    <n v="0"/>
    <m/>
  </r>
  <r>
    <n v="599"/>
    <d v="2024-07-12T08:34:30"/>
    <d v="2024-07-12T09:07:02"/>
    <s v="mchirwa@lighthouse.org.mw"/>
    <s v="Margaret Chirwa"/>
    <x v="0"/>
    <s v="Prototype"/>
    <x v="1"/>
    <s v="COP_23"/>
    <s v="COP_23"/>
    <x v="3"/>
    <s v="Quarter3"/>
    <s v="Qtr_3"/>
    <s v="May"/>
    <d v="2024-05-01T00:00:00"/>
    <d v="2024-05-31T00:00:00"/>
    <x v="1"/>
    <n v="44"/>
    <n v="0"/>
    <n v="37"/>
    <n v="0"/>
    <n v="0"/>
    <n v="0"/>
    <n v="18"/>
    <n v="0"/>
    <n v="0"/>
    <n v="0"/>
    <n v="0"/>
    <n v="0"/>
    <n v="0"/>
    <n v="0"/>
    <n v="0"/>
    <n v="0"/>
    <n v="0"/>
    <n v="0"/>
    <n v="0"/>
    <n v="0"/>
    <n v="0"/>
    <n v="0"/>
    <n v="0"/>
    <n v="0"/>
    <n v="0"/>
    <m/>
  </r>
  <r>
    <n v="606"/>
    <d v="2024-07-12T09:24:45"/>
    <d v="2024-07-12T09:27:40"/>
    <s v="mchirwa@lighthouse.org.mw"/>
    <s v="Margaret Chirwa"/>
    <x v="0"/>
    <s v="Prototype"/>
    <x v="1"/>
    <s v="COP_23"/>
    <s v="COP_23"/>
    <x v="3"/>
    <s v="Quarter3"/>
    <s v="Qtr_3"/>
    <s v="Apr"/>
    <d v="2024-04-01T00:00:00"/>
    <d v="2024-04-30T00:00:00"/>
    <x v="1"/>
    <n v="70"/>
    <n v="0"/>
    <n v="57"/>
    <n v="0"/>
    <n v="0"/>
    <n v="0"/>
    <n v="29"/>
    <n v="9"/>
    <n v="9"/>
    <n v="0"/>
    <n v="0"/>
    <n v="0"/>
    <n v="0"/>
    <n v="0"/>
    <n v="0"/>
    <n v="0"/>
    <n v="0"/>
    <n v="0"/>
    <n v="0"/>
    <n v="0"/>
    <n v="0"/>
    <n v="0"/>
    <n v="0"/>
    <n v="0"/>
    <n v="0"/>
    <m/>
  </r>
  <r>
    <n v="709"/>
    <d v="2024-08-05T13:37:37"/>
    <d v="2024-08-05T13:42:43"/>
    <s v="mchirwa@lighthouse.org.mw"/>
    <s v="Margaret Chirwa"/>
    <x v="0"/>
    <s v="Prototype"/>
    <x v="1"/>
    <s v="COP_23"/>
    <s v="COP_23"/>
    <x v="3"/>
    <s v="Quarter3"/>
    <s v="Qtr_3"/>
    <s v="Jun"/>
    <d v="2024-06-01T00:00:00"/>
    <d v="2024-06-30T00:00:00"/>
    <x v="1"/>
    <n v="30"/>
    <n v="0"/>
    <n v="27"/>
    <n v="2"/>
    <n v="0"/>
    <n v="0"/>
    <n v="27"/>
    <n v="3"/>
    <n v="3"/>
    <n v="0"/>
    <n v="0"/>
    <n v="0"/>
    <n v="1"/>
    <n v="0"/>
    <n v="0"/>
    <n v="0"/>
    <n v="0"/>
    <n v="0"/>
    <n v="0"/>
    <n v="0"/>
    <n v="0"/>
    <n v="0"/>
    <n v="0"/>
    <n v="0"/>
    <n v="0"/>
    <m/>
  </r>
  <r>
    <n v="926"/>
    <d v="2024-10-16T09:49:01"/>
    <d v="2024-10-16T09:53:51"/>
    <s v="mchirwa@lighthouse.org.mw"/>
    <s v="Margaret Chirwa"/>
    <x v="0"/>
    <s v="Prototype"/>
    <x v="1"/>
    <s v="COP_23"/>
    <s v="COP_23"/>
    <x v="1"/>
    <s v="Quarter4"/>
    <s v="Qtr_4"/>
    <s v="Jul"/>
    <d v="2024-07-01T00:00:00"/>
    <d v="2024-08-31T00:00:00"/>
    <x v="1"/>
    <n v="56"/>
    <n v="1"/>
    <n v="46"/>
    <n v="2"/>
    <n v="1"/>
    <n v="0"/>
    <n v="35"/>
    <n v="2"/>
    <n v="3"/>
    <n v="0"/>
    <n v="0"/>
    <n v="0"/>
    <n v="1"/>
    <n v="0"/>
    <n v="1"/>
    <n v="0"/>
    <n v="0"/>
    <n v="0"/>
    <n v="0"/>
    <n v="0"/>
    <n v="0"/>
    <n v="0"/>
    <n v="0"/>
    <n v="0"/>
    <n v="0"/>
    <m/>
  </r>
  <r>
    <n v="933"/>
    <d v="2024-10-16T10:06:15"/>
    <d v="2024-10-16T10:08:19"/>
    <s v="mchirwa@lighthouse.org.mw"/>
    <s v="Margaret Chirwa"/>
    <x v="0"/>
    <s v="Prototype"/>
    <x v="1"/>
    <s v="COP_23"/>
    <s v="COP_23"/>
    <x v="1"/>
    <s v="Quarter4"/>
    <s v="Qtr_4"/>
    <s v="Aug"/>
    <d v="2024-08-01T00:00:00"/>
    <d v="2024-08-31T00:00:00"/>
    <x v="1"/>
    <n v="45"/>
    <n v="0"/>
    <n v="41"/>
    <n v="0"/>
    <n v="0"/>
    <n v="1"/>
    <n v="38"/>
    <n v="9"/>
    <n v="5"/>
    <n v="0"/>
    <n v="0"/>
    <n v="0"/>
    <n v="1"/>
    <n v="0"/>
    <n v="0"/>
    <n v="0"/>
    <n v="0"/>
    <n v="0"/>
    <n v="0"/>
    <n v="0"/>
    <n v="0"/>
    <n v="0"/>
    <n v="0"/>
    <n v="0"/>
    <n v="0"/>
    <m/>
  </r>
  <r>
    <n v="64"/>
    <d v="2024-01-10T09:05:40"/>
    <d v="2024-01-10T09:20:16"/>
    <s v="mchirwa@lighthouse.org.mw"/>
    <s v="Margaret Chirwa"/>
    <x v="0"/>
    <s v="Prototype"/>
    <x v="0"/>
    <s v="COP_23"/>
    <s v="COP_23"/>
    <x v="0"/>
    <s v="Quarter1"/>
    <s v="Qtr_1"/>
    <s v="Dec"/>
    <d v="2023-12-01T00:00:00"/>
    <d v="2023-12-31T00:00:00"/>
    <x v="0"/>
    <n v="25"/>
    <n v="1"/>
    <n v="23"/>
    <n v="0"/>
    <n v="0"/>
    <n v="2"/>
    <n v="21"/>
    <n v="1"/>
    <n v="1"/>
    <n v="0"/>
    <n v="0"/>
    <n v="0"/>
    <n v="1"/>
    <n v="1"/>
    <n v="0"/>
    <n v="0"/>
    <n v="0"/>
    <n v="0"/>
    <n v="0"/>
    <n v="0"/>
    <n v="1"/>
    <n v="0"/>
    <n v="0"/>
    <n v="1"/>
    <n v="0"/>
    <m/>
  </r>
  <r>
    <n v="332"/>
    <d v="2024-04-30T10:35:18"/>
    <d v="2024-04-30T10:44:18"/>
    <s v="mchirwa@lighthouse.org.mw"/>
    <s v="Margaret Chirwa"/>
    <x v="0"/>
    <s v="Prototype"/>
    <x v="1"/>
    <s v="COP_23"/>
    <s v="COP_23"/>
    <x v="2"/>
    <s v="Quarter2"/>
    <s v="Qtr_2"/>
    <s v="Feb"/>
    <d v="2024-02-01T00:00:00"/>
    <d v="2024-02-29T00:00:00"/>
    <x v="2"/>
    <n v="53"/>
    <n v="2"/>
    <n v="0"/>
    <n v="1"/>
    <n v="0"/>
    <n v="1"/>
    <n v="0"/>
    <n v="0"/>
    <n v="1"/>
    <n v="0"/>
    <n v="0"/>
    <n v="0"/>
    <n v="1"/>
    <n v="1"/>
    <n v="0"/>
    <n v="0"/>
    <n v="0"/>
    <n v="0"/>
    <n v="0"/>
    <n v="0"/>
    <n v="1"/>
    <n v="0"/>
    <n v="0"/>
    <n v="0"/>
    <n v="0"/>
    <m/>
  </r>
  <r>
    <n v="335"/>
    <d v="2024-04-30T10:56:07"/>
    <d v="2024-04-30T10:57:28"/>
    <s v="mchirwa@lighthouse.org.mw"/>
    <s v="Margaret Chirwa"/>
    <x v="0"/>
    <s v="Prototype"/>
    <x v="1"/>
    <s v="COP_23"/>
    <s v="COP_23"/>
    <x v="2"/>
    <s v="Quarter2"/>
    <s v="Qtr_2"/>
    <s v="Jan"/>
    <d v="2024-01-01T00:00:00"/>
    <d v="2024-01-31T00:00:00"/>
    <x v="2"/>
    <n v="51"/>
    <n v="0"/>
    <n v="0"/>
    <n v="0"/>
    <n v="0"/>
    <n v="0"/>
    <n v="0"/>
    <n v="0"/>
    <n v="0"/>
    <n v="0"/>
    <n v="0"/>
    <n v="0"/>
    <n v="0"/>
    <n v="0"/>
    <n v="0"/>
    <n v="0"/>
    <n v="0"/>
    <n v="0"/>
    <n v="0"/>
    <n v="0"/>
    <n v="0"/>
    <n v="0"/>
    <n v="0"/>
    <n v="0"/>
    <n v="0"/>
    <m/>
  </r>
  <r>
    <n v="342"/>
    <d v="2024-04-30T11:34:52"/>
    <d v="2024-04-30T11:36:07"/>
    <s v="mchirwa@lighthouse.org.mw"/>
    <s v="Margaret Chirwa"/>
    <x v="0"/>
    <s v="Prototype"/>
    <x v="1"/>
    <s v="COP_23"/>
    <s v="COP_23"/>
    <x v="2"/>
    <s v="Quarter2"/>
    <s v="Qtr_2"/>
    <s v="Mar"/>
    <d v="2024-03-01T00:00:00"/>
    <d v="2024-03-31T00:00:00"/>
    <x v="2"/>
    <n v="50"/>
    <n v="1"/>
    <n v="4"/>
    <n v="0"/>
    <n v="0"/>
    <n v="0"/>
    <n v="0"/>
    <n v="0"/>
    <n v="1"/>
    <n v="0"/>
    <n v="0"/>
    <n v="0"/>
    <n v="1"/>
    <n v="0"/>
    <n v="0"/>
    <n v="0"/>
    <n v="0"/>
    <n v="0"/>
    <n v="0"/>
    <n v="0"/>
    <n v="0"/>
    <n v="0"/>
    <n v="0"/>
    <n v="0"/>
    <n v="0"/>
    <m/>
  </r>
  <r>
    <n v="594"/>
    <d v="2024-07-11T10:21:59"/>
    <d v="2024-07-11T10:23:33"/>
    <s v="mchirwa@lighthouse.org.mw"/>
    <s v="Margaret Chirwa"/>
    <x v="0"/>
    <s v="Prototype"/>
    <x v="1"/>
    <s v="COP_23"/>
    <s v="COP_23"/>
    <x v="3"/>
    <s v="Quarter3"/>
    <s v="Qtr_3"/>
    <s v="Jun"/>
    <d v="2024-06-01T00:00:00"/>
    <d v="2024-06-30T00:00:00"/>
    <x v="2"/>
    <n v="62"/>
    <n v="0"/>
    <n v="1"/>
    <n v="1"/>
    <n v="0"/>
    <n v="0"/>
    <n v="2"/>
    <n v="1"/>
    <n v="1"/>
    <n v="0"/>
    <n v="0"/>
    <n v="0"/>
    <n v="0"/>
    <n v="0"/>
    <n v="0"/>
    <n v="0"/>
    <n v="0"/>
    <n v="0"/>
    <n v="0"/>
    <n v="0"/>
    <n v="0"/>
    <n v="0"/>
    <n v="0"/>
    <n v="0"/>
    <n v="0"/>
    <m/>
  </r>
  <r>
    <n v="940"/>
    <d v="2024-10-16T10:19:52"/>
    <d v="2024-10-16T10:29:57"/>
    <s v="mchirwa@lighthouse.org.mw"/>
    <s v="Margaret Chirwa"/>
    <x v="0"/>
    <s v="Prototype"/>
    <x v="1"/>
    <s v="COP_23"/>
    <s v="COP_23"/>
    <x v="1"/>
    <s v="Quarter4"/>
    <s v="Qtr_4"/>
    <s v="Sep"/>
    <d v="2024-09-01T00:00:00"/>
    <d v="2024-09-30T00:00:00"/>
    <x v="1"/>
    <n v="52"/>
    <n v="0"/>
    <n v="42"/>
    <n v="0"/>
    <n v="0"/>
    <n v="0"/>
    <n v="35"/>
    <n v="8"/>
    <n v="8"/>
    <n v="0"/>
    <n v="0"/>
    <n v="0"/>
    <n v="7"/>
    <n v="0"/>
    <n v="0"/>
    <n v="0"/>
    <n v="0"/>
    <n v="0"/>
    <n v="0"/>
    <n v="0"/>
    <n v="0"/>
    <n v="0"/>
    <n v="0"/>
    <n v="0"/>
    <n v="0"/>
    <m/>
  </r>
  <r>
    <n v="603"/>
    <d v="2024-07-12T09:20:33"/>
    <d v="2024-07-12T09:21:20"/>
    <s v="mchirwa@lighthouse.org.mw"/>
    <s v="Margaret Chirwa"/>
    <x v="0"/>
    <s v="Prototype"/>
    <x v="1"/>
    <s v="COP_23"/>
    <s v="COP_23"/>
    <x v="3"/>
    <s v="Quarter3"/>
    <s v="Qtr_3"/>
    <s v="May"/>
    <d v="2024-05-01T00:00:00"/>
    <d v="2024-05-31T00:00:00"/>
    <x v="2"/>
    <n v="58"/>
    <n v="0"/>
    <n v="5"/>
    <n v="0"/>
    <n v="0"/>
    <n v="0"/>
    <n v="5"/>
    <n v="2"/>
    <n v="1"/>
    <n v="0"/>
    <n v="0"/>
    <n v="0"/>
    <n v="0"/>
    <n v="0"/>
    <n v="0"/>
    <n v="0"/>
    <n v="0"/>
    <n v="0"/>
    <n v="0"/>
    <n v="0"/>
    <n v="0"/>
    <n v="0"/>
    <n v="0"/>
    <n v="0"/>
    <n v="0"/>
    <m/>
  </r>
  <r>
    <n v="611"/>
    <d v="2024-07-12T10:16:00"/>
    <d v="2024-07-12T10:18:14"/>
    <s v="mchirwa@lighthouse.org.mw"/>
    <s v="Margaret Chirwa"/>
    <x v="0"/>
    <s v="Prototype"/>
    <x v="1"/>
    <s v="COP_23"/>
    <s v="COP_23"/>
    <x v="3"/>
    <s v="Quarter3"/>
    <s v="Qtr_3"/>
    <s v="Apr"/>
    <d v="2024-04-01T00:00:00"/>
    <d v="2024-04-30T00:00:00"/>
    <x v="2"/>
    <n v="66"/>
    <n v="0"/>
    <n v="2"/>
    <n v="0"/>
    <n v="2"/>
    <n v="0"/>
    <n v="4"/>
    <n v="1"/>
    <n v="2"/>
    <n v="0"/>
    <n v="0"/>
    <n v="0"/>
    <n v="2"/>
    <n v="1"/>
    <n v="0"/>
    <n v="0"/>
    <n v="0"/>
    <n v="0"/>
    <n v="0"/>
    <n v="0"/>
    <n v="1"/>
    <n v="0"/>
    <n v="0"/>
    <n v="0"/>
    <n v="0"/>
    <m/>
  </r>
  <r>
    <n v="930"/>
    <d v="2024-10-16T09:58:22"/>
    <d v="2024-10-16T10:02:04"/>
    <s v="mchirwa@lighthouse.org.mw"/>
    <s v="Margaret Chirwa"/>
    <x v="0"/>
    <s v="Prototype"/>
    <x v="1"/>
    <s v="COP_23"/>
    <s v="COP_23"/>
    <x v="1"/>
    <s v="Quarter4"/>
    <s v="Qtr_4"/>
    <s v="Jul"/>
    <d v="2024-07-01T00:00:00"/>
    <d v="2024-07-31T00:00:00"/>
    <x v="2"/>
    <n v="21"/>
    <n v="1"/>
    <n v="15"/>
    <n v="0"/>
    <n v="0"/>
    <n v="0"/>
    <n v="7"/>
    <n v="3"/>
    <n v="4"/>
    <n v="0"/>
    <n v="0"/>
    <n v="0"/>
    <n v="0"/>
    <n v="0"/>
    <n v="0"/>
    <n v="0"/>
    <n v="0"/>
    <n v="0"/>
    <n v="0"/>
    <n v="0"/>
    <n v="0"/>
    <n v="0"/>
    <n v="0"/>
    <n v="0"/>
    <n v="0"/>
    <m/>
  </r>
  <r>
    <n v="944"/>
    <d v="2024-10-16T10:50:30"/>
    <d v="2024-10-16T10:51:08"/>
    <s v="mchirwa@lighthouse.org.mw"/>
    <s v="Margaret Chirwa"/>
    <x v="0"/>
    <s v="Prototype"/>
    <x v="1"/>
    <s v="COP_23"/>
    <s v="COP_23"/>
    <x v="1"/>
    <s v="Quarter4"/>
    <s v="Qtr_4"/>
    <s v="Sep"/>
    <d v="2024-09-01T00:00:00"/>
    <d v="2024-09-30T00:00:00"/>
    <x v="2"/>
    <n v="23"/>
    <n v="0"/>
    <n v="23"/>
    <n v="0"/>
    <n v="0"/>
    <n v="0"/>
    <n v="3"/>
    <n v="0"/>
    <n v="0"/>
    <n v="0"/>
    <n v="0"/>
    <n v="0"/>
    <n v="0"/>
    <n v="0"/>
    <n v="0"/>
    <n v="0"/>
    <n v="0"/>
    <n v="0"/>
    <n v="0"/>
    <n v="0"/>
    <n v="0"/>
    <n v="0"/>
    <n v="0"/>
    <n v="0"/>
    <n v="0"/>
    <m/>
  </r>
  <r>
    <n v="281"/>
    <d v="2024-04-24T08:32:56"/>
    <d v="2024-04-24T08:34:17"/>
    <s v="mchirwa@lighthouse.org.mw"/>
    <s v="Margaret Chirwa"/>
    <x v="0"/>
    <s v="Prototype"/>
    <x v="1"/>
    <s v="COP_23"/>
    <s v="COP_23"/>
    <x v="2"/>
    <s v="Quarter2"/>
    <s v="Qtr_2"/>
    <s v="Jan"/>
    <d v="2024-01-01T00:00:00"/>
    <d v="2024-01-31T00:00:00"/>
    <x v="3"/>
    <n v="1"/>
    <n v="0"/>
    <n v="0"/>
    <n v="1"/>
    <n v="0"/>
    <n v="0"/>
    <n v="0"/>
    <n v="0"/>
    <n v="0"/>
    <n v="0"/>
    <n v="0"/>
    <n v="0"/>
    <n v="0"/>
    <n v="0"/>
    <n v="0"/>
    <n v="0"/>
    <n v="0"/>
    <n v="0"/>
    <n v="0"/>
    <n v="0"/>
    <n v="0"/>
    <n v="0"/>
    <n v="0"/>
    <n v="0"/>
    <n v="0"/>
    <m/>
  </r>
  <r>
    <n v="282"/>
    <d v="2024-04-24T08:34:28"/>
    <d v="2024-04-24T08:45:07"/>
    <s v="mchirwa@lighthouse.org.mw"/>
    <s v="Margaret Chirwa"/>
    <x v="0"/>
    <s v="Prototype"/>
    <x v="1"/>
    <s v="COP_23"/>
    <s v="COP_23"/>
    <x v="2"/>
    <s v="Quarter2"/>
    <s v="Qtr_2"/>
    <s v="Jan"/>
    <d v="2024-01-01T00:00:00"/>
    <d v="2024-01-31T00:00:00"/>
    <x v="4"/>
    <n v="1"/>
    <n v="0"/>
    <n v="0"/>
    <n v="0"/>
    <n v="0"/>
    <n v="1"/>
    <n v="1"/>
    <n v="1"/>
    <n v="1"/>
    <n v="0"/>
    <n v="0"/>
    <n v="0"/>
    <n v="1"/>
    <n v="1"/>
    <n v="0"/>
    <n v="0"/>
    <n v="0"/>
    <n v="0"/>
    <n v="0"/>
    <n v="0"/>
    <n v="1"/>
    <n v="0"/>
    <n v="0"/>
    <n v="0"/>
    <n v="0"/>
    <m/>
  </r>
  <r>
    <n v="283"/>
    <d v="2024-04-24T08:45:13"/>
    <d v="2024-04-24T08:56:35"/>
    <s v="mchirwa@lighthouse.org.mw"/>
    <s v="Margaret Chirwa"/>
    <x v="0"/>
    <s v="Prototype"/>
    <x v="1"/>
    <s v="COP_23"/>
    <s v="COP_23"/>
    <x v="2"/>
    <s v="Quarter2"/>
    <s v="Qtr_2"/>
    <s v="Jan"/>
    <d v="2024-01-01T00:00:00"/>
    <d v="2024-01-31T00:00:00"/>
    <x v="0"/>
    <n v="43"/>
    <n v="39"/>
    <n v="3"/>
    <n v="0"/>
    <n v="1"/>
    <n v="12"/>
    <n v="4"/>
    <n v="1"/>
    <n v="0"/>
    <n v="0"/>
    <n v="0"/>
    <n v="0"/>
    <n v="2"/>
    <n v="1"/>
    <n v="0"/>
    <n v="0"/>
    <n v="0"/>
    <n v="0"/>
    <n v="0"/>
    <n v="0"/>
    <n v="1"/>
    <n v="0"/>
    <n v="0"/>
    <n v="0"/>
    <n v="1"/>
    <m/>
  </r>
  <r>
    <n v="329"/>
    <d v="2024-04-30T10:22:37"/>
    <d v="2024-04-30T10:22:58"/>
    <s v="mchirwa@lighthouse.org.mw"/>
    <s v="Margaret Chirwa"/>
    <x v="0"/>
    <s v="Prototype"/>
    <x v="1"/>
    <s v="COP_23"/>
    <s v="COP_23"/>
    <x v="2"/>
    <s v="Quarter2"/>
    <s v="Qtr_2"/>
    <s v="Feb"/>
    <d v="2024-01-01T00:00:00"/>
    <d v="2024-02-29T00:00:00"/>
    <x v="3"/>
    <n v="2"/>
    <n v="0"/>
    <n v="0"/>
    <n v="0"/>
    <n v="0"/>
    <n v="0"/>
    <n v="0"/>
    <n v="0"/>
    <n v="0"/>
    <n v="0"/>
    <n v="0"/>
    <n v="0"/>
    <n v="0"/>
    <n v="0"/>
    <n v="0"/>
    <n v="0"/>
    <n v="0"/>
    <n v="0"/>
    <n v="0"/>
    <n v="0"/>
    <n v="0"/>
    <n v="0"/>
    <n v="0"/>
    <n v="0"/>
    <n v="0"/>
    <m/>
  </r>
  <r>
    <n v="330"/>
    <d v="2024-04-30T10:23:03"/>
    <d v="2024-04-30T10:24:55"/>
    <s v="mchirwa@lighthouse.org.mw"/>
    <s v="Margaret Chirwa"/>
    <x v="0"/>
    <s v="Prototype"/>
    <x v="1"/>
    <s v="COP_23"/>
    <s v="COP_23"/>
    <x v="2"/>
    <s v="Quarter2"/>
    <s v="Qtr_2"/>
    <s v="Feb"/>
    <d v="2024-02-01T00:00:00"/>
    <d v="2024-02-29T00:00:00"/>
    <x v="4"/>
    <n v="2"/>
    <n v="0"/>
    <n v="1"/>
    <n v="0"/>
    <n v="0"/>
    <n v="0"/>
    <n v="0"/>
    <n v="0"/>
    <n v="0"/>
    <n v="0"/>
    <n v="0"/>
    <n v="0"/>
    <n v="0"/>
    <n v="0"/>
    <n v="0"/>
    <n v="0"/>
    <n v="0"/>
    <n v="0"/>
    <n v="0"/>
    <n v="0"/>
    <n v="0"/>
    <n v="0"/>
    <n v="0"/>
    <n v="0"/>
    <n v="0"/>
    <m/>
  </r>
  <r>
    <n v="331"/>
    <d v="2024-04-30T10:25:03"/>
    <d v="2024-04-30T10:35:15"/>
    <s v="mchirwa@lighthouse.org.mw"/>
    <s v="Margaret Chirwa"/>
    <x v="0"/>
    <s v="Prototype"/>
    <x v="1"/>
    <s v="COP_23"/>
    <s v="COP_23"/>
    <x v="2"/>
    <s v="Quarter2"/>
    <s v="Qtr_2"/>
    <s v="Feb"/>
    <d v="2024-02-01T00:00:00"/>
    <d v="2024-02-29T00:00:00"/>
    <x v="5"/>
    <n v="0"/>
    <n v="0"/>
    <n v="0"/>
    <n v="0"/>
    <n v="0"/>
    <n v="0"/>
    <n v="0"/>
    <n v="0"/>
    <n v="0"/>
    <n v="0"/>
    <n v="0"/>
    <n v="0"/>
    <n v="0"/>
    <n v="0"/>
    <n v="0"/>
    <n v="0"/>
    <n v="0"/>
    <n v="0"/>
    <n v="0"/>
    <n v="0"/>
    <n v="0"/>
    <n v="0"/>
    <n v="0"/>
    <n v="0"/>
    <n v="0"/>
    <m/>
  </r>
  <r>
    <n v="333"/>
    <d v="2024-04-30T10:44:37"/>
    <d v="2024-04-30T10:54:10"/>
    <s v="mchirwa@lighthouse.org.mw"/>
    <s v="Margaret Chirwa"/>
    <x v="0"/>
    <s v="Prototype"/>
    <x v="1"/>
    <s v="COP_23"/>
    <s v="COP_23"/>
    <x v="2"/>
    <s v="Quarter2"/>
    <s v="Qtr_2"/>
    <s v="Feb"/>
    <d v="2024-02-01T00:00:00"/>
    <d v="2024-02-29T00:00:00"/>
    <x v="0"/>
    <n v="123"/>
    <n v="2"/>
    <n v="48"/>
    <n v="1"/>
    <n v="0"/>
    <n v="1"/>
    <n v="24"/>
    <n v="3"/>
    <n v="3"/>
    <n v="0"/>
    <n v="0"/>
    <n v="0"/>
    <n v="3"/>
    <n v="1"/>
    <n v="0"/>
    <n v="0"/>
    <n v="0"/>
    <n v="0"/>
    <n v="0"/>
    <n v="0"/>
    <n v="1"/>
    <n v="0"/>
    <n v="0"/>
    <n v="0"/>
    <n v="0"/>
    <m/>
  </r>
  <r>
    <n v="334"/>
    <d v="2024-04-30T10:54:28"/>
    <d v="2024-04-30T10:56:03"/>
    <s v="mchirwa@lighthouse.org.mw"/>
    <s v="Margaret Chirwa"/>
    <x v="0"/>
    <s v="Prototype"/>
    <x v="1"/>
    <s v="COP_23"/>
    <s v="COP_23"/>
    <x v="2"/>
    <s v="Quarter2"/>
    <s v="Qtr_2"/>
    <s v="Jan"/>
    <d v="2024-01-01T00:00:00"/>
    <d v="2024-01-31T00:00:00"/>
    <x v="5"/>
    <n v="13"/>
    <n v="0"/>
    <n v="0"/>
    <n v="0"/>
    <n v="0"/>
    <n v="0"/>
    <n v="0"/>
    <n v="0"/>
    <n v="0"/>
    <n v="0"/>
    <n v="0"/>
    <n v="0"/>
    <n v="0"/>
    <n v="0"/>
    <n v="0"/>
    <n v="0"/>
    <n v="0"/>
    <n v="0"/>
    <n v="0"/>
    <n v="0"/>
    <n v="0"/>
    <n v="0"/>
    <n v="0"/>
    <n v="0"/>
    <n v="0"/>
    <m/>
  </r>
  <r>
    <n v="336"/>
    <d v="2024-04-30T10:57:31"/>
    <d v="2024-04-30T10:59:25"/>
    <s v="mchirwa@lighthouse.org.mw"/>
    <s v="Margaret Chirwa"/>
    <x v="0"/>
    <s v="Prototype"/>
    <x v="1"/>
    <s v="COP_23"/>
    <s v="COP_23"/>
    <x v="2"/>
    <s v="Quarter2"/>
    <s v="Qtr_2"/>
    <s v="Jan"/>
    <d v="2024-01-01T00:00:00"/>
    <d v="2024-01-31T00:00:00"/>
    <x v="0"/>
    <n v="120"/>
    <n v="0"/>
    <n v="39"/>
    <n v="3"/>
    <n v="0"/>
    <n v="1"/>
    <n v="12"/>
    <n v="4"/>
    <n v="1"/>
    <n v="0"/>
    <n v="0"/>
    <n v="0"/>
    <n v="2"/>
    <n v="1"/>
    <n v="0"/>
    <n v="0"/>
    <n v="0"/>
    <n v="0"/>
    <n v="0"/>
    <n v="0"/>
    <n v="1"/>
    <n v="0"/>
    <n v="0"/>
    <n v="0"/>
    <n v="1"/>
    <m/>
  </r>
  <r>
    <n v="337"/>
    <d v="2024-04-30T11:25:38"/>
    <d v="2024-04-30T11:26:26"/>
    <s v="mchirwa@lighthouse.org.mw"/>
    <s v="Margaret Chirwa"/>
    <x v="0"/>
    <s v="Prototype"/>
    <x v="1"/>
    <s v="COP_23"/>
    <s v="COP_23"/>
    <x v="2"/>
    <s v="Quarter2"/>
    <s v="Qtr_2"/>
    <s v="Mar"/>
    <d v="2024-03-01T00:00:00"/>
    <d v="2024-03-31T00:00:00"/>
    <x v="3"/>
    <n v="2"/>
    <n v="0"/>
    <n v="0"/>
    <n v="0"/>
    <n v="0"/>
    <n v="0"/>
    <n v="0"/>
    <n v="0"/>
    <n v="0"/>
    <n v="0"/>
    <n v="0"/>
    <n v="0"/>
    <n v="0"/>
    <n v="0"/>
    <n v="0"/>
    <n v="0"/>
    <n v="0"/>
    <n v="0"/>
    <n v="0"/>
    <n v="0"/>
    <n v="0"/>
    <n v="0"/>
    <n v="0"/>
    <n v="0"/>
    <n v="0"/>
    <m/>
  </r>
  <r>
    <n v="338"/>
    <d v="2024-04-30T11:26:30"/>
    <d v="2024-04-30T11:28:40"/>
    <s v="mchirwa@lighthouse.org.mw"/>
    <s v="Margaret Chirwa"/>
    <x v="0"/>
    <s v="Prototype"/>
    <x v="1"/>
    <s v="COP_23"/>
    <s v="COP_23"/>
    <x v="2"/>
    <s v="Quarter2"/>
    <s v="Qtr_2"/>
    <s v="Mar"/>
    <d v="2024-03-01T00:00:00"/>
    <d v="2024-03-31T00:00:00"/>
    <x v="4"/>
    <n v="9"/>
    <n v="0"/>
    <n v="0"/>
    <n v="0"/>
    <n v="0"/>
    <n v="0"/>
    <n v="0"/>
    <n v="0"/>
    <n v="0"/>
    <n v="0"/>
    <n v="0"/>
    <n v="0"/>
    <n v="0"/>
    <n v="0"/>
    <n v="0"/>
    <n v="0"/>
    <n v="0"/>
    <n v="0"/>
    <n v="0"/>
    <n v="0"/>
    <n v="0"/>
    <n v="0"/>
    <n v="0"/>
    <n v="0"/>
    <n v="0"/>
    <m/>
  </r>
  <r>
    <n v="339"/>
    <d v="2024-04-30T11:28:43"/>
    <d v="2024-04-30T11:30:51"/>
    <s v="mchirwa@lighthouse.org.mw"/>
    <s v="Margaret Chirwa"/>
    <x v="0"/>
    <s v="Prototype"/>
    <x v="1"/>
    <s v="COP_23"/>
    <s v="COP_23"/>
    <x v="2"/>
    <s v="Quarter2"/>
    <s v="Qtr_2"/>
    <s v="Mar"/>
    <d v="2024-03-01T00:00:00"/>
    <d v="2024-03-31T00:00:00"/>
    <x v="5"/>
    <n v="22"/>
    <n v="0"/>
    <n v="0"/>
    <n v="0"/>
    <n v="0"/>
    <n v="0"/>
    <n v="0"/>
    <n v="0"/>
    <n v="0"/>
    <n v="0"/>
    <n v="0"/>
    <n v="0"/>
    <n v="0"/>
    <n v="0"/>
    <n v="0"/>
    <n v="0"/>
    <n v="0"/>
    <n v="0"/>
    <n v="0"/>
    <n v="0"/>
    <n v="0"/>
    <n v="0"/>
    <n v="0"/>
    <n v="0"/>
    <n v="0"/>
    <m/>
  </r>
  <r>
    <n v="340"/>
    <d v="2024-04-30T11:31:11"/>
    <d v="2024-04-30T11:32:38"/>
    <s v="mchirwa@lighthouse.org.mw"/>
    <s v="Margaret Chirwa"/>
    <x v="0"/>
    <s v="Prototype"/>
    <x v="1"/>
    <s v="COP_23"/>
    <s v="COP_23"/>
    <x v="2"/>
    <s v="Quarter2"/>
    <s v="Qtr_2"/>
    <s v="Mar"/>
    <d v="2024-03-01T00:00:00"/>
    <d v="2024-03-31T00:00:00"/>
    <x v="0"/>
    <n v="113"/>
    <n v="1"/>
    <n v="21"/>
    <n v="0"/>
    <n v="1"/>
    <n v="0"/>
    <n v="3"/>
    <n v="0"/>
    <n v="2"/>
    <n v="0"/>
    <n v="0"/>
    <n v="0"/>
    <n v="2"/>
    <n v="0"/>
    <n v="0"/>
    <n v="0"/>
    <n v="2"/>
    <n v="1"/>
    <n v="0"/>
    <n v="0"/>
    <n v="1"/>
    <n v="0"/>
    <n v="0"/>
    <n v="0"/>
    <n v="1"/>
    <m/>
  </r>
  <r>
    <n v="595"/>
    <d v="2024-07-11T10:23:46"/>
    <d v="2024-07-11T10:25:56"/>
    <s v="mchirwa@lighthouse.org.mw"/>
    <s v="Margaret Chirwa"/>
    <x v="0"/>
    <s v="Prototype"/>
    <x v="1"/>
    <s v="COP_23"/>
    <s v="COP_23"/>
    <x v="3"/>
    <s v="Quarter3"/>
    <s v="Qtr_3"/>
    <s v="Jun"/>
    <d v="2024-07-01T00:00:00"/>
    <d v="2024-06-30T00:00:00"/>
    <x v="0"/>
    <n v="31"/>
    <n v="0"/>
    <n v="28"/>
    <n v="3"/>
    <n v="0"/>
    <n v="0"/>
    <n v="29"/>
    <n v="4"/>
    <n v="4"/>
    <n v="0"/>
    <n v="0"/>
    <n v="0"/>
    <n v="1"/>
    <n v="0"/>
    <n v="0"/>
    <n v="0"/>
    <n v="0"/>
    <n v="0"/>
    <n v="0"/>
    <n v="0"/>
    <n v="0"/>
    <n v="0"/>
    <n v="0"/>
    <n v="0"/>
    <n v="0"/>
    <m/>
  </r>
  <r>
    <n v="596"/>
    <d v="2024-07-12T08:19:26"/>
    <d v="2024-07-12T08:30:34"/>
    <s v="mchirwa@lighthouse.org.mw"/>
    <s v="Margaret Chirwa"/>
    <x v="0"/>
    <s v="Prototype"/>
    <x v="1"/>
    <s v="COP_23"/>
    <s v="COP_23"/>
    <x v="3"/>
    <s v="Quarter3"/>
    <s v="Qtr_3"/>
    <s v="Jun"/>
    <d v="2024-06-01T00:00:00"/>
    <d v="2024-06-30T00:00:00"/>
    <x v="5"/>
    <n v="12"/>
    <n v="0"/>
    <n v="0"/>
    <n v="0"/>
    <n v="0"/>
    <n v="0"/>
    <n v="0"/>
    <n v="0"/>
    <n v="0"/>
    <n v="0"/>
    <n v="0"/>
    <n v="0"/>
    <n v="0"/>
    <n v="0"/>
    <n v="0"/>
    <n v="0"/>
    <n v="0"/>
    <n v="0"/>
    <n v="0"/>
    <n v="0"/>
    <n v="0"/>
    <n v="0"/>
    <n v="0"/>
    <n v="0"/>
    <n v="0"/>
    <m/>
  </r>
  <r>
    <n v="597"/>
    <d v="2024-07-12T08:31:19"/>
    <d v="2024-07-12T08:33:14"/>
    <s v="mchirwa@lighthouse.org.mw"/>
    <s v="Margaret Chirwa"/>
    <x v="0"/>
    <s v="Prototype"/>
    <x v="1"/>
    <s v="COP_23"/>
    <s v="COP_23"/>
    <x v="3"/>
    <s v="Quarter3"/>
    <s v="Qtr_3"/>
    <s v="Jun"/>
    <d v="2024-06-01T00:00:00"/>
    <d v="2024-06-30T00:00:00"/>
    <x v="4"/>
    <n v="3"/>
    <n v="0"/>
    <n v="0"/>
    <n v="0"/>
    <n v="0"/>
    <n v="0"/>
    <n v="0"/>
    <n v="0"/>
    <n v="0"/>
    <n v="0"/>
    <n v="0"/>
    <n v="0"/>
    <n v="0"/>
    <n v="0"/>
    <n v="0"/>
    <n v="0"/>
    <n v="0"/>
    <n v="0"/>
    <n v="0"/>
    <n v="0"/>
    <n v="0"/>
    <n v="0"/>
    <n v="0"/>
    <n v="0"/>
    <n v="0"/>
    <m/>
  </r>
  <r>
    <n v="598"/>
    <d v="2024-07-12T08:33:18"/>
    <d v="2024-07-12T08:34:16"/>
    <s v="mchirwa@lighthouse.org.mw"/>
    <s v="Margaret Chirwa"/>
    <x v="0"/>
    <s v="Prototype"/>
    <x v="1"/>
    <s v="COP_23"/>
    <s v="COP_23"/>
    <x v="3"/>
    <s v="Quarter3"/>
    <s v="Qtr_3"/>
    <s v="Jun"/>
    <d v="2024-06-01T00:00:00"/>
    <d v="2024-06-30T00:00:00"/>
    <x v="3"/>
    <n v="2"/>
    <n v="0"/>
    <n v="0"/>
    <n v="2"/>
    <n v="0"/>
    <n v="0"/>
    <n v="0"/>
    <n v="0"/>
    <n v="0"/>
    <n v="0"/>
    <n v="0"/>
    <n v="0"/>
    <n v="0"/>
    <n v="0"/>
    <n v="0"/>
    <n v="0"/>
    <n v="0"/>
    <n v="0"/>
    <n v="0"/>
    <n v="0"/>
    <n v="0"/>
    <n v="0"/>
    <n v="0"/>
    <n v="0"/>
    <n v="0"/>
    <m/>
  </r>
  <r>
    <n v="600"/>
    <d v="2024-07-12T09:07:11"/>
    <d v="2024-07-12T09:11:37"/>
    <s v="mchirwa@lighthouse.org.mw"/>
    <s v="Margaret Chirwa"/>
    <x v="0"/>
    <s v="Prototype"/>
    <x v="1"/>
    <s v="COP_23"/>
    <s v="COP_23"/>
    <x v="3"/>
    <s v="Quarter3"/>
    <s v="Qtr_3"/>
    <s v="May"/>
    <d v="2024-05-01T00:00:00"/>
    <d v="2024-05-31T00:00:00"/>
    <x v="3"/>
    <n v="1"/>
    <n v="0"/>
    <n v="0"/>
    <n v="0"/>
    <n v="0"/>
    <n v="0"/>
    <n v="0"/>
    <n v="0"/>
    <n v="0"/>
    <n v="0"/>
    <n v="0"/>
    <n v="0"/>
    <n v="0"/>
    <n v="0"/>
    <n v="0"/>
    <n v="0"/>
    <n v="0"/>
    <n v="0"/>
    <n v="0"/>
    <n v="0"/>
    <n v="0"/>
    <n v="0"/>
    <n v="0"/>
    <n v="0"/>
    <n v="0"/>
    <m/>
  </r>
  <r>
    <n v="601"/>
    <d v="2024-07-12T09:11:44"/>
    <d v="2024-07-12T09:13:50"/>
    <s v="mchirwa@lighthouse.org.mw"/>
    <s v="Margaret Chirwa"/>
    <x v="0"/>
    <s v="Prototype"/>
    <x v="1"/>
    <s v="COP_23"/>
    <s v="COP_23"/>
    <x v="3"/>
    <s v="Quarter3"/>
    <s v="Qtr_3"/>
    <s v="May"/>
    <d v="2024-05-01T00:00:00"/>
    <d v="2024-05-31T00:00:00"/>
    <x v="4"/>
    <n v="2"/>
    <n v="0"/>
    <n v="0"/>
    <n v="0"/>
    <n v="0"/>
    <n v="0"/>
    <n v="0"/>
    <n v="0"/>
    <n v="0"/>
    <n v="0"/>
    <n v="0"/>
    <n v="0"/>
    <n v="0"/>
    <n v="0"/>
    <n v="0"/>
    <n v="0"/>
    <n v="0"/>
    <n v="0"/>
    <n v="0"/>
    <n v="0"/>
    <n v="0"/>
    <n v="0"/>
    <n v="0"/>
    <n v="0"/>
    <n v="0"/>
    <m/>
  </r>
  <r>
    <n v="602"/>
    <d v="2024-07-12T09:14:06"/>
    <d v="2024-07-12T09:16:46"/>
    <s v="mchirwa@lighthouse.org.mw"/>
    <s v="Margaret Chirwa"/>
    <x v="0"/>
    <s v="Prototype"/>
    <x v="1"/>
    <s v="COP_23"/>
    <s v="COP_23"/>
    <x v="3"/>
    <s v="Quarter3"/>
    <s v="Qtr_3"/>
    <s v="May"/>
    <d v="2024-05-01T00:00:00"/>
    <d v="2024-05-31T00:00:00"/>
    <x v="5"/>
    <n v="7"/>
    <n v="0"/>
    <n v="0"/>
    <n v="0"/>
    <n v="0"/>
    <n v="0"/>
    <n v="0"/>
    <n v="0"/>
    <n v="0"/>
    <n v="0"/>
    <n v="0"/>
    <n v="0"/>
    <n v="0"/>
    <n v="0"/>
    <n v="0"/>
    <n v="0"/>
    <n v="0"/>
    <n v="0"/>
    <n v="0"/>
    <n v="0"/>
    <n v="0"/>
    <n v="0"/>
    <n v="0"/>
    <n v="0"/>
    <n v="0"/>
    <m/>
  </r>
  <r>
    <n v="604"/>
    <d v="2024-07-12T09:21:26"/>
    <d v="2024-07-12T09:22:21"/>
    <s v="mchirwa@lighthouse.org.mw"/>
    <s v="Margaret Chirwa"/>
    <x v="0"/>
    <s v="Prototype"/>
    <x v="1"/>
    <s v="COP_23"/>
    <s v="COP_23"/>
    <x v="3"/>
    <s v="Quarter3"/>
    <s v="Qtr_3"/>
    <s v="May"/>
    <d v="2024-05-01T00:00:00"/>
    <d v="2024-05-31T00:00:00"/>
    <x v="6"/>
    <n v="0"/>
    <n v="0"/>
    <n v="0"/>
    <n v="0"/>
    <n v="0"/>
    <n v="0"/>
    <n v="0"/>
    <n v="0"/>
    <n v="0"/>
    <n v="0"/>
    <n v="0"/>
    <n v="0"/>
    <n v="0"/>
    <n v="0"/>
    <n v="0"/>
    <n v="0"/>
    <n v="0"/>
    <n v="0"/>
    <n v="0"/>
    <n v="0"/>
    <n v="0"/>
    <n v="0"/>
    <n v="0"/>
    <n v="0"/>
    <n v="0"/>
    <m/>
  </r>
  <r>
    <n v="605"/>
    <d v="2024-07-12T09:23:19"/>
    <d v="2024-07-12T09:24:20"/>
    <s v="mchirwa@lighthouse.org.mw"/>
    <s v="Margaret Chirwa"/>
    <x v="0"/>
    <s v="Prototype"/>
    <x v="1"/>
    <s v="COP_23"/>
    <s v="COP_23"/>
    <x v="3"/>
    <s v="Quarter3"/>
    <s v="Qtr_3"/>
    <s v="May"/>
    <d v="2024-05-01T00:00:00"/>
    <d v="2024-05-31T00:00:00"/>
    <x v="0"/>
    <n v="42"/>
    <n v="0"/>
    <n v="42"/>
    <n v="0"/>
    <n v="0"/>
    <n v="0"/>
    <n v="23"/>
    <n v="2"/>
    <n v="1"/>
    <n v="0"/>
    <n v="0"/>
    <n v="0"/>
    <n v="0"/>
    <n v="0"/>
    <n v="0"/>
    <n v="0"/>
    <n v="0"/>
    <n v="0"/>
    <n v="0"/>
    <n v="0"/>
    <n v="0"/>
    <n v="0"/>
    <n v="0"/>
    <n v="0"/>
    <n v="0"/>
    <m/>
  </r>
  <r>
    <n v="607"/>
    <d v="2024-07-12T09:28:21"/>
    <d v="2024-07-12T10:03:39"/>
    <s v="mchirwa@lighthouse.org.mw"/>
    <s v="Margaret Chirwa"/>
    <x v="0"/>
    <s v="Prototype"/>
    <x v="1"/>
    <s v="COP_23"/>
    <s v="COP_23"/>
    <x v="3"/>
    <s v="Quarter3"/>
    <s v="Qtr_3"/>
    <s v="Apr"/>
    <d v="2024-05-01T00:00:00"/>
    <d v="2024-05-31T00:00:00"/>
    <x v="3"/>
    <n v="1"/>
    <n v="0"/>
    <n v="0"/>
    <n v="0"/>
    <n v="1"/>
    <n v="0"/>
    <n v="0"/>
    <n v="0"/>
    <n v="0"/>
    <n v="0"/>
    <n v="0"/>
    <n v="0"/>
    <n v="0"/>
    <n v="0"/>
    <n v="0"/>
    <n v="0"/>
    <n v="0"/>
    <n v="0"/>
    <n v="0"/>
    <n v="0"/>
    <n v="0"/>
    <n v="0"/>
    <n v="0"/>
    <n v="0"/>
    <n v="0"/>
    <m/>
  </r>
  <r>
    <n v="608"/>
    <d v="2024-07-12T10:03:50"/>
    <d v="2024-07-12T10:06:31"/>
    <s v="mchirwa@lighthouse.org.mw"/>
    <s v="Margaret Chirwa"/>
    <x v="0"/>
    <s v="Prototype"/>
    <x v="1"/>
    <s v="COP_23"/>
    <s v="COP_23"/>
    <x v="3"/>
    <s v="Quarter3"/>
    <s v="Qtr_3"/>
    <s v="Apr"/>
    <d v="2024-04-01T00:00:00"/>
    <d v="2024-04-30T00:00:00"/>
    <x v="4"/>
    <n v="3"/>
    <n v="0"/>
    <n v="0"/>
    <n v="0"/>
    <n v="0"/>
    <n v="0"/>
    <n v="0"/>
    <n v="0"/>
    <n v="0"/>
    <n v="0"/>
    <n v="0"/>
    <n v="0"/>
    <n v="0"/>
    <n v="0"/>
    <n v="0"/>
    <n v="0"/>
    <n v="0"/>
    <n v="0"/>
    <n v="0"/>
    <n v="0"/>
    <n v="0"/>
    <n v="0"/>
    <n v="0"/>
    <n v="0"/>
    <n v="0"/>
    <m/>
  </r>
  <r>
    <n v="610"/>
    <d v="2024-07-12T10:13:55"/>
    <d v="2024-07-12T10:15:56"/>
    <s v="mchirwa@lighthouse.org.mw"/>
    <s v="Margaret Chirwa"/>
    <x v="0"/>
    <s v="Prototype"/>
    <x v="1"/>
    <s v="COP_23"/>
    <s v="COP_23"/>
    <x v="3"/>
    <s v="Quarter3"/>
    <s v="Qtr_3"/>
    <s v="Apr"/>
    <d v="2024-04-01T00:00:00"/>
    <d v="2024-04-30T00:00:00"/>
    <x v="5"/>
    <n v="4"/>
    <n v="0"/>
    <n v="1"/>
    <n v="0"/>
    <n v="1"/>
    <n v="0"/>
    <n v="2"/>
    <n v="1"/>
    <n v="2"/>
    <n v="1"/>
    <n v="0"/>
    <n v="0"/>
    <n v="2"/>
    <n v="1"/>
    <n v="0"/>
    <n v="0"/>
    <n v="0"/>
    <n v="0"/>
    <n v="0"/>
    <n v="0"/>
    <n v="1"/>
    <n v="0"/>
    <n v="0"/>
    <n v="0"/>
    <n v="0"/>
    <m/>
  </r>
  <r>
    <n v="612"/>
    <d v="2024-07-12T10:18:56"/>
    <d v="2024-07-12T10:19:45"/>
    <s v="mchirwa@lighthouse.org.mw"/>
    <s v="Margaret Chirwa"/>
    <x v="0"/>
    <s v="Prototype"/>
    <x v="1"/>
    <s v="COP_23"/>
    <s v="COP_23"/>
    <x v="3"/>
    <s v="Quarter3"/>
    <s v="Qtr_3"/>
    <s v="Apr"/>
    <d v="2024-04-01T00:00:00"/>
    <d v="2024-04-30T00:00:00"/>
    <x v="6"/>
    <n v="0"/>
    <n v="0"/>
    <n v="0"/>
    <n v="0"/>
    <n v="0"/>
    <n v="0"/>
    <n v="0"/>
    <n v="0"/>
    <n v="0"/>
    <n v="0"/>
    <n v="0"/>
    <n v="0"/>
    <n v="0"/>
    <n v="0"/>
    <n v="0"/>
    <n v="0"/>
    <n v="0"/>
    <n v="0"/>
    <n v="0"/>
    <n v="0"/>
    <n v="0"/>
    <n v="0"/>
    <n v="0"/>
    <n v="0"/>
    <n v="0"/>
    <m/>
  </r>
  <r>
    <n v="769"/>
    <d v="2024-08-19T10:24:28"/>
    <d v="2024-08-19T10:33:16"/>
    <s v="mchirwa@lighthouse.org.mw"/>
    <s v="Margaret Chirwa"/>
    <x v="0"/>
    <s v="Prototype"/>
    <x v="1"/>
    <s v="COP_23"/>
    <s v="COP_23"/>
    <x v="3"/>
    <s v="Quarter3"/>
    <s v="Qtr_3"/>
    <s v="Apr"/>
    <d v="2024-04-01T00:00:00"/>
    <d v="2024-04-30T00:00:00"/>
    <x v="0"/>
    <n v="62"/>
    <n v="0"/>
    <n v="59"/>
    <n v="0"/>
    <n v="3"/>
    <n v="0"/>
    <n v="34"/>
    <n v="10"/>
    <n v="0"/>
    <n v="12"/>
    <n v="0"/>
    <n v="0"/>
    <n v="15"/>
    <n v="3"/>
    <n v="0"/>
    <n v="0"/>
    <n v="0"/>
    <n v="0"/>
    <n v="0"/>
    <n v="0"/>
    <n v="3"/>
    <n v="0"/>
    <n v="0"/>
    <n v="0"/>
    <n v="0"/>
    <m/>
  </r>
  <r>
    <n v="927"/>
    <d v="2024-10-16T09:53:57"/>
    <d v="2024-10-16T09:55:15"/>
    <s v="mchirwa@lighthouse.org.mw"/>
    <s v="Margaret Chirwa"/>
    <x v="0"/>
    <s v="Prototype"/>
    <x v="1"/>
    <s v="COP_23"/>
    <s v="COP_23"/>
    <x v="1"/>
    <s v="Quarter4"/>
    <s v="Qtr_4"/>
    <s v="Jul"/>
    <d v="2024-07-01T00:00:00"/>
    <d v="2024-07-31T00:00:00"/>
    <x v="3"/>
    <n v="0"/>
    <n v="0"/>
    <n v="0"/>
    <n v="0"/>
    <n v="0"/>
    <n v="0"/>
    <n v="0"/>
    <n v="0"/>
    <n v="0"/>
    <n v="0"/>
    <n v="0"/>
    <n v="0"/>
    <n v="0"/>
    <n v="0"/>
    <n v="0"/>
    <n v="0"/>
    <n v="0"/>
    <n v="0"/>
    <n v="0"/>
    <n v="0"/>
    <n v="0"/>
    <n v="0"/>
    <n v="0"/>
    <n v="0"/>
    <n v="0"/>
    <m/>
  </r>
  <r>
    <n v="928"/>
    <d v="2024-10-16T09:55:18"/>
    <d v="2024-10-16T09:56:27"/>
    <s v="mchirwa@lighthouse.org.mw"/>
    <s v="Margaret Chirwa"/>
    <x v="0"/>
    <s v="Prototype"/>
    <x v="1"/>
    <s v="COP_23"/>
    <s v="COP_23"/>
    <x v="1"/>
    <s v="Quarter4"/>
    <s v="Qtr_4"/>
    <s v="Jul"/>
    <d v="2024-07-01T00:00:00"/>
    <d v="2024-07-31T00:00:00"/>
    <x v="4"/>
    <n v="3"/>
    <n v="0"/>
    <n v="0"/>
    <n v="0"/>
    <n v="0"/>
    <n v="0"/>
    <n v="0"/>
    <n v="0"/>
    <n v="0"/>
    <n v="0"/>
    <n v="0"/>
    <n v="0"/>
    <n v="0"/>
    <n v="0"/>
    <n v="0"/>
    <n v="0"/>
    <n v="0"/>
    <n v="0"/>
    <n v="0"/>
    <n v="0"/>
    <n v="0"/>
    <n v="0"/>
    <n v="0"/>
    <n v="0"/>
    <n v="0"/>
    <m/>
  </r>
  <r>
    <n v="929"/>
    <d v="2024-10-16T09:56:34"/>
    <d v="2024-10-16T09:58:10"/>
    <s v="mchirwa@lighthouse.org.mw"/>
    <s v="Margaret Chirwa"/>
    <x v="0"/>
    <s v="Prototype"/>
    <x v="1"/>
    <s v="COP_23"/>
    <s v="COP_23"/>
    <x v="1"/>
    <s v="Quarter4"/>
    <s v="Qtr_4"/>
    <s v="Jul"/>
    <d v="2024-07-01T00:00:00"/>
    <d v="2024-07-31T00:00:00"/>
    <x v="5"/>
    <n v="29"/>
    <n v="0"/>
    <n v="4"/>
    <n v="0"/>
    <n v="0"/>
    <n v="0"/>
    <n v="1"/>
    <n v="0"/>
    <n v="1"/>
    <n v="0"/>
    <n v="0"/>
    <n v="0"/>
    <n v="0"/>
    <n v="0"/>
    <n v="0"/>
    <n v="0"/>
    <n v="0"/>
    <n v="0"/>
    <n v="0"/>
    <n v="0"/>
    <n v="0"/>
    <n v="0"/>
    <n v="0"/>
    <n v="0"/>
    <n v="0"/>
    <m/>
  </r>
  <r>
    <n v="931"/>
    <d v="2024-10-16T10:02:10"/>
    <d v="2024-10-16T10:03:03"/>
    <s v="mchirwa@lighthouse.org.mw"/>
    <s v="Margaret Chirwa"/>
    <x v="0"/>
    <s v="Prototype"/>
    <x v="1"/>
    <s v="COP_23"/>
    <s v="COP_23"/>
    <x v="1"/>
    <s v="Quarter4"/>
    <s v="Qtr_4"/>
    <s v="Jul"/>
    <d v="2024-07-01T00:00:00"/>
    <d v="2024-07-31T00:00:00"/>
    <x v="6"/>
    <n v="0"/>
    <n v="0"/>
    <n v="0"/>
    <n v="0"/>
    <n v="0"/>
    <n v="0"/>
    <n v="0"/>
    <n v="0"/>
    <n v="0"/>
    <n v="0"/>
    <n v="0"/>
    <n v="0"/>
    <n v="0"/>
    <n v="0"/>
    <n v="0"/>
    <n v="0"/>
    <n v="0"/>
    <n v="0"/>
    <n v="0"/>
    <n v="0"/>
    <n v="0"/>
    <n v="0"/>
    <n v="0"/>
    <n v="0"/>
    <n v="0"/>
    <m/>
  </r>
  <r>
    <n v="932"/>
    <d v="2024-10-16T10:03:13"/>
    <d v="2024-10-16T10:06:06"/>
    <s v="mchirwa@lighthouse.org.mw"/>
    <s v="Margaret Chirwa"/>
    <x v="0"/>
    <s v="Prototype"/>
    <x v="1"/>
    <s v="COP_23"/>
    <s v="COP_23"/>
    <x v="1"/>
    <s v="Quarter4"/>
    <s v="Qtr_4"/>
    <s v="Jul"/>
    <d v="2024-07-01T00:00:00"/>
    <d v="2024-07-31T00:00:00"/>
    <x v="0"/>
    <n v="67"/>
    <n v="3"/>
    <n v="63"/>
    <n v="2"/>
    <n v="2"/>
    <n v="0"/>
    <n v="42"/>
    <n v="5"/>
    <n v="7"/>
    <n v="0"/>
    <n v="1"/>
    <n v="0"/>
    <n v="1"/>
    <n v="0"/>
    <n v="0"/>
    <n v="0"/>
    <n v="0"/>
    <n v="0"/>
    <n v="0"/>
    <n v="0"/>
    <n v="0"/>
    <n v="0"/>
    <n v="0"/>
    <n v="0"/>
    <n v="0"/>
    <m/>
  </r>
  <r>
    <n v="934"/>
    <d v="2024-10-16T10:08:22"/>
    <d v="2024-10-16T10:09:29"/>
    <s v="mchirwa@lighthouse.org.mw"/>
    <s v="Margaret Chirwa"/>
    <x v="0"/>
    <s v="Prototype"/>
    <x v="1"/>
    <s v="COP_23"/>
    <s v="COP_23"/>
    <x v="1"/>
    <s v="Quarter4"/>
    <s v="Qtr_4"/>
    <s v="Aug"/>
    <d v="2024-08-01T00:00:00"/>
    <d v="2024-08-31T00:00:00"/>
    <x v="3"/>
    <n v="2"/>
    <n v="0"/>
    <n v="1"/>
    <n v="0"/>
    <n v="0"/>
    <n v="0"/>
    <n v="0"/>
    <n v="0"/>
    <n v="0"/>
    <n v="0"/>
    <n v="0"/>
    <n v="0"/>
    <n v="0"/>
    <n v="0"/>
    <n v="0"/>
    <n v="0"/>
    <n v="0"/>
    <n v="0"/>
    <n v="0"/>
    <n v="0"/>
    <n v="0"/>
    <n v="0"/>
    <n v="0"/>
    <n v="0"/>
    <n v="0"/>
    <m/>
  </r>
  <r>
    <n v="935"/>
    <d v="2024-10-16T10:09:31"/>
    <d v="2024-10-16T10:10:41"/>
    <s v="mchirwa@lighthouse.org.mw"/>
    <s v="Margaret Chirwa"/>
    <x v="0"/>
    <s v="Prototype"/>
    <x v="1"/>
    <s v="COP_23"/>
    <s v="COP_23"/>
    <x v="1"/>
    <s v="Quarter4"/>
    <s v="Qtr_4"/>
    <s v="Aug"/>
    <d v="2024-08-01T00:00:00"/>
    <d v="2024-08-31T00:00:00"/>
    <x v="4"/>
    <n v="2"/>
    <n v="0"/>
    <n v="0"/>
    <n v="0"/>
    <n v="0"/>
    <n v="0"/>
    <n v="0"/>
    <n v="0"/>
    <n v="0"/>
    <n v="0"/>
    <n v="0"/>
    <n v="0"/>
    <n v="0"/>
    <n v="0"/>
    <n v="0"/>
    <n v="0"/>
    <n v="0"/>
    <n v="0"/>
    <n v="0"/>
    <n v="0"/>
    <n v="0"/>
    <n v="0"/>
    <n v="0"/>
    <n v="0"/>
    <n v="0"/>
    <m/>
  </r>
  <r>
    <n v="936"/>
    <d v="2024-10-16T10:11:26"/>
    <d v="2024-10-16T10:14:05"/>
    <s v="mchirwa@lighthouse.org.mw"/>
    <s v="Margaret Chirwa"/>
    <x v="0"/>
    <s v="Prototype"/>
    <x v="1"/>
    <s v="COP_23"/>
    <s v="COP_23"/>
    <x v="1"/>
    <s v="Quarter4"/>
    <s v="Qtr_4"/>
    <s v="Aug"/>
    <d v="2024-08-01T00:00:00"/>
    <d v="2024-08-31T00:00:00"/>
    <x v="5"/>
    <n v="23"/>
    <n v="1"/>
    <n v="7"/>
    <n v="0"/>
    <n v="1"/>
    <n v="0"/>
    <n v="8"/>
    <n v="2"/>
    <n v="2"/>
    <n v="0"/>
    <n v="0"/>
    <n v="0"/>
    <n v="0"/>
    <n v="0"/>
    <n v="0"/>
    <n v="0"/>
    <n v="0"/>
    <n v="0"/>
    <n v="0"/>
    <n v="0"/>
    <n v="0"/>
    <n v="0"/>
    <n v="0"/>
    <n v="0"/>
    <n v="0"/>
    <m/>
  </r>
  <r>
    <n v="937"/>
    <d v="2024-10-16T10:14:08"/>
    <d v="2024-10-16T10:16:10"/>
    <s v="mchirwa@lighthouse.org.mw"/>
    <s v="Margaret Chirwa"/>
    <x v="0"/>
    <s v="Prototype"/>
    <x v="1"/>
    <s v="COP_23"/>
    <s v="COP_23"/>
    <x v="1"/>
    <s v="Quarter4"/>
    <s v="Qtr_4"/>
    <s v="Aug"/>
    <d v="2024-08-01T00:00:00"/>
    <d v="2024-08-31T00:00:00"/>
    <x v="6"/>
    <n v="11"/>
    <n v="0"/>
    <n v="3"/>
    <n v="0"/>
    <n v="0"/>
    <n v="0"/>
    <n v="3"/>
    <n v="0"/>
    <n v="0"/>
    <n v="0"/>
    <n v="0"/>
    <n v="0"/>
    <n v="1"/>
    <n v="0"/>
    <n v="0"/>
    <n v="0"/>
    <n v="0"/>
    <n v="0"/>
    <n v="0"/>
    <n v="0"/>
    <n v="0"/>
    <n v="0"/>
    <n v="0"/>
    <n v="0"/>
    <n v="0"/>
    <m/>
  </r>
  <r>
    <n v="938"/>
    <d v="2024-10-16T10:16:43"/>
    <d v="2024-10-16T10:17:47"/>
    <s v="mchirwa@lighthouse.org.mw"/>
    <s v="Margaret Chirwa"/>
    <x v="0"/>
    <s v="Prototype"/>
    <x v="1"/>
    <s v="COP_23"/>
    <s v="COP_23"/>
    <x v="1"/>
    <s v="Quarter4"/>
    <s v="Qtr_4"/>
    <s v="Aug"/>
    <d v="2024-08-01T00:00:00"/>
    <d v="2024-08-31T00:00:00"/>
    <x v="6"/>
    <n v="0"/>
    <n v="0"/>
    <n v="0"/>
    <n v="0"/>
    <n v="0"/>
    <n v="0"/>
    <n v="0"/>
    <n v="0"/>
    <n v="0"/>
    <n v="0"/>
    <n v="0"/>
    <n v="0"/>
    <n v="0"/>
    <n v="0"/>
    <n v="0"/>
    <n v="0"/>
    <n v="0"/>
    <n v="0"/>
    <n v="0"/>
    <n v="0"/>
    <n v="0"/>
    <n v="0"/>
    <n v="0"/>
    <n v="0"/>
    <n v="0"/>
    <m/>
  </r>
  <r>
    <n v="939"/>
    <d v="2024-10-16T10:17:55"/>
    <d v="2024-10-16T10:19:07"/>
    <s v="mchirwa@lighthouse.org.mw"/>
    <s v="Margaret Chirwa"/>
    <x v="0"/>
    <s v="Prototype"/>
    <x v="1"/>
    <s v="COP_23"/>
    <s v="COP_23"/>
    <x v="1"/>
    <s v="Quarter4"/>
    <s v="Qtr_4"/>
    <s v="Aug"/>
    <d v="2024-08-01T00:00:00"/>
    <d v="2024-08-31T00:00:00"/>
    <x v="0"/>
    <n v="55"/>
    <n v="1"/>
    <n v="53"/>
    <n v="0"/>
    <n v="1"/>
    <n v="1"/>
    <n v="51"/>
    <n v="11"/>
    <n v="7"/>
    <n v="0"/>
    <n v="0"/>
    <n v="0"/>
    <n v="1"/>
    <n v="0"/>
    <n v="0"/>
    <n v="0"/>
    <n v="0"/>
    <n v="0"/>
    <n v="0"/>
    <n v="0"/>
    <n v="0"/>
    <n v="0"/>
    <n v="0"/>
    <n v="0"/>
    <n v="0"/>
    <m/>
  </r>
  <r>
    <n v="941"/>
    <d v="2024-10-16T10:30:05"/>
    <d v="2024-10-16T10:38:08"/>
    <s v="mchirwa@lighthouse.org.mw"/>
    <s v="Margaret Chirwa"/>
    <x v="0"/>
    <s v="Prototype"/>
    <x v="1"/>
    <s v="COP_23"/>
    <s v="COP_23"/>
    <x v="1"/>
    <s v="Quarter4"/>
    <s v="Qtr_4"/>
    <s v="Sep"/>
    <d v="2024-09-01T00:00:00"/>
    <d v="2024-09-30T00:00:00"/>
    <x v="3"/>
    <n v="1"/>
    <n v="0"/>
    <n v="1"/>
    <n v="0"/>
    <n v="0"/>
    <n v="0"/>
    <n v="0"/>
    <n v="0"/>
    <n v="0"/>
    <n v="0"/>
    <n v="0"/>
    <n v="0"/>
    <n v="0"/>
    <n v="0"/>
    <n v="0"/>
    <n v="0"/>
    <n v="0"/>
    <n v="0"/>
    <n v="0"/>
    <n v="0"/>
    <n v="0"/>
    <n v="0"/>
    <n v="0"/>
    <n v="0"/>
    <n v="0"/>
    <m/>
  </r>
  <r>
    <n v="942"/>
    <d v="2024-10-16T10:38:12"/>
    <d v="2024-10-16T10:41:08"/>
    <s v="mchirwa@lighthouse.org.mw"/>
    <s v="Margaret Chirwa"/>
    <x v="0"/>
    <s v="Prototype"/>
    <x v="1"/>
    <s v="COP_23"/>
    <s v="COP_23"/>
    <x v="1"/>
    <s v="Quarter4"/>
    <s v="Qtr_4"/>
    <s v="Sep"/>
    <d v="2024-09-01T00:00:00"/>
    <d v="2024-09-30T00:00:00"/>
    <x v="4"/>
    <n v="2"/>
    <n v="0"/>
    <n v="2"/>
    <n v="0"/>
    <n v="0"/>
    <n v="0"/>
    <n v="2"/>
    <n v="0"/>
    <n v="1"/>
    <n v="0"/>
    <n v="0"/>
    <n v="0"/>
    <n v="1"/>
    <n v="0"/>
    <n v="0"/>
    <n v="0"/>
    <n v="0"/>
    <n v="0"/>
    <n v="0"/>
    <n v="0"/>
    <n v="0"/>
    <n v="0"/>
    <n v="0"/>
    <n v="0"/>
    <n v="0"/>
    <m/>
  </r>
  <r>
    <n v="943"/>
    <d v="2024-10-16T10:41:31"/>
    <d v="2024-10-16T10:42:34"/>
    <s v="mchirwa@lighthouse.org.mw"/>
    <s v="Margaret Chirwa"/>
    <x v="0"/>
    <s v="Prototype"/>
    <x v="1"/>
    <s v="COP_23"/>
    <s v="COP_23"/>
    <x v="1"/>
    <s v="Quarter4"/>
    <s v="Qtr_4"/>
    <s v="Sep"/>
    <d v="2024-09-01T00:00:00"/>
    <d v="2024-09-30T00:00:00"/>
    <x v="5"/>
    <n v="6"/>
    <n v="0"/>
    <n v="1"/>
    <n v="0"/>
    <n v="0"/>
    <n v="0"/>
    <n v="1"/>
    <n v="0"/>
    <n v="0"/>
    <n v="0"/>
    <n v="0"/>
    <n v="0"/>
    <n v="0"/>
    <n v="0"/>
    <n v="0"/>
    <n v="0"/>
    <n v="0"/>
    <n v="0"/>
    <n v="0"/>
    <n v="0"/>
    <n v="0"/>
    <n v="0"/>
    <n v="0"/>
    <n v="0"/>
    <n v="0"/>
    <m/>
  </r>
  <r>
    <n v="945"/>
    <d v="2024-10-16T10:51:11"/>
    <d v="2024-10-16T10:52:17"/>
    <s v="mchirwa@lighthouse.org.mw"/>
    <s v="Margaret Chirwa"/>
    <x v="0"/>
    <s v="Prototype"/>
    <x v="1"/>
    <s v="COP_23"/>
    <s v="COP_23"/>
    <x v="1"/>
    <s v="Quarter4"/>
    <s v="Qtr_4"/>
    <s v="Sep"/>
    <d v="2024-09-01T00:00:00"/>
    <d v="2024-09-30T00:00:00"/>
    <x v="6"/>
    <n v="0"/>
    <n v="0"/>
    <n v="0"/>
    <n v="0"/>
    <n v="0"/>
    <n v="0"/>
    <n v="0"/>
    <n v="0"/>
    <n v="0"/>
    <n v="0"/>
    <n v="0"/>
    <n v="0"/>
    <n v="0"/>
    <n v="0"/>
    <n v="0"/>
    <n v="0"/>
    <n v="0"/>
    <n v="0"/>
    <n v="0"/>
    <n v="0"/>
    <n v="0"/>
    <n v="0"/>
    <n v="0"/>
    <n v="0"/>
    <n v="0"/>
    <m/>
  </r>
  <r>
    <n v="946"/>
    <d v="2024-10-16T10:52:34"/>
    <d v="2024-10-16T10:56:48"/>
    <s v="mchirwa@lighthouse.org.mw"/>
    <s v="Margaret Chirwa"/>
    <x v="0"/>
    <s v="Prototype"/>
    <x v="1"/>
    <s v="COP_23"/>
    <s v="COP_23"/>
    <x v="1"/>
    <s v="Quarter4"/>
    <s v="Qtr_4"/>
    <s v="Sep"/>
    <d v="2024-09-01T00:00:00"/>
    <d v="2024-09-30T00:00:00"/>
    <x v="0"/>
    <n v="66"/>
    <n v="0"/>
    <n v="66"/>
    <n v="0"/>
    <n v="0"/>
    <n v="0"/>
    <n v="59"/>
    <n v="11"/>
    <n v="11"/>
    <n v="0"/>
    <n v="0"/>
    <n v="0"/>
    <n v="10"/>
    <n v="0"/>
    <n v="0"/>
    <n v="0"/>
    <n v="0"/>
    <n v="0"/>
    <n v="0"/>
    <n v="0"/>
    <n v="0"/>
    <n v="0"/>
    <n v="0"/>
    <n v="0"/>
    <n v="0"/>
    <m/>
  </r>
  <r>
    <n v="1169"/>
    <d v="2025-01-02T14:20:19"/>
    <d v="2025-01-02T14:33:56"/>
    <s v="mchirwa@lighthouse.org.mw"/>
    <s v="Margaret Chirwa"/>
    <x v="0"/>
    <s v="Prototype"/>
    <x v="1"/>
    <s v="COP_24"/>
    <s v="COP_24"/>
    <x v="0"/>
    <s v="Quarter1"/>
    <s v="Qtr_1"/>
    <s v="Oct"/>
    <d v="2024-10-01T00:00:00"/>
    <d v="2024-10-31T00:00:00"/>
    <x v="1"/>
    <n v="36"/>
    <n v="0"/>
    <n v="28"/>
    <n v="0"/>
    <n v="0"/>
    <n v="0"/>
    <n v="9"/>
    <n v="2"/>
    <n v="0"/>
    <n v="0"/>
    <n v="0"/>
    <n v="0"/>
    <n v="1"/>
    <n v="0"/>
    <n v="0"/>
    <n v="0"/>
    <n v="0"/>
    <n v="0"/>
    <n v="0"/>
    <n v="0"/>
    <n v="0"/>
    <n v="0"/>
    <n v="0"/>
    <n v="0"/>
    <n v="0"/>
    <m/>
  </r>
  <r>
    <n v="1170"/>
    <d v="2025-01-02T14:34:17"/>
    <d v="2025-01-02T14:37:00"/>
    <s v="mchirwa@lighthouse.org.mw"/>
    <s v="Margaret Chirwa"/>
    <x v="0"/>
    <s v="Prototype"/>
    <x v="1"/>
    <s v="COP_24"/>
    <s v="COP_24"/>
    <x v="0"/>
    <s v="Quarter1"/>
    <s v="Qtr_1"/>
    <s v="Oct"/>
    <d v="2024-10-01T00:00:00"/>
    <d v="2024-10-31T00:00:00"/>
    <x v="3"/>
    <n v="0"/>
    <n v="0"/>
    <n v="0"/>
    <n v="0"/>
    <n v="0"/>
    <n v="0"/>
    <n v="0"/>
    <n v="0"/>
    <n v="0"/>
    <n v="0"/>
    <n v="0"/>
    <n v="0"/>
    <n v="0"/>
    <n v="0"/>
    <n v="0"/>
    <n v="0"/>
    <n v="0"/>
    <n v="0"/>
    <n v="0"/>
    <n v="0"/>
    <n v="0"/>
    <n v="0"/>
    <n v="0"/>
    <n v="0"/>
    <n v="0"/>
    <m/>
  </r>
  <r>
    <n v="1171"/>
    <d v="2025-01-02T14:37:09"/>
    <d v="2025-01-02T14:38:43"/>
    <s v="mchirwa@lighthouse.org.mw"/>
    <s v="Margaret Chirwa"/>
    <x v="0"/>
    <s v="Prototype"/>
    <x v="1"/>
    <s v="COP_24"/>
    <s v="COP_24"/>
    <x v="0"/>
    <s v="Quarter1"/>
    <s v="Qtr_1"/>
    <s v="Oct"/>
    <d v="2024-10-01T00:00:00"/>
    <d v="2024-10-31T00:00:00"/>
    <x v="4"/>
    <n v="1"/>
    <n v="0"/>
    <n v="1"/>
    <n v="0"/>
    <n v="0"/>
    <n v="0"/>
    <n v="0"/>
    <n v="0"/>
    <n v="0"/>
    <n v="0"/>
    <n v="0"/>
    <n v="0"/>
    <n v="0"/>
    <n v="0"/>
    <n v="0"/>
    <n v="0"/>
    <n v="0"/>
    <n v="0"/>
    <n v="0"/>
    <n v="0"/>
    <n v="0"/>
    <n v="0"/>
    <n v="0"/>
    <n v="0"/>
    <n v="0"/>
    <m/>
  </r>
  <r>
    <n v="1172"/>
    <d v="2025-01-02T14:38:50"/>
    <d v="2025-01-02T14:44:14"/>
    <s v="mchirwa@lighthouse.org.mw"/>
    <s v="Margaret Chirwa"/>
    <x v="0"/>
    <s v="Prototype"/>
    <x v="1"/>
    <s v="COP_24"/>
    <s v="COP_24"/>
    <x v="0"/>
    <s v="Quarter1"/>
    <s v="Qtr_1"/>
    <s v="Oct"/>
    <d v="2024-10-01T00:00:00"/>
    <d v="2024-10-31T00:00:00"/>
    <x v="5"/>
    <n v="0"/>
    <n v="0"/>
    <n v="0"/>
    <n v="0"/>
    <n v="0"/>
    <n v="0"/>
    <n v="0"/>
    <n v="0"/>
    <n v="0"/>
    <n v="0"/>
    <n v="0"/>
    <n v="0"/>
    <n v="0"/>
    <n v="0"/>
    <n v="0"/>
    <n v="0"/>
    <n v="0"/>
    <n v="0"/>
    <n v="0"/>
    <n v="0"/>
    <n v="0"/>
    <n v="0"/>
    <n v="0"/>
    <n v="0"/>
    <n v="0"/>
    <m/>
  </r>
  <r>
    <n v="1173"/>
    <d v="2025-01-02T14:44:17"/>
    <d v="2025-01-02T14:51:02"/>
    <s v="mchirwa@lighthouse.org.mw"/>
    <s v="Margaret Chirwa"/>
    <x v="0"/>
    <s v="Prototype"/>
    <x v="1"/>
    <s v="COP_24"/>
    <s v="COP_24"/>
    <x v="0"/>
    <s v="Quarter1"/>
    <s v="Qtr_1"/>
    <s v="Oct"/>
    <d v="2024-10-01T00:00:00"/>
    <d v="2024-10-31T00:00:00"/>
    <x v="2"/>
    <n v="8"/>
    <n v="0"/>
    <n v="8"/>
    <n v="0"/>
    <n v="0"/>
    <n v="0"/>
    <n v="8"/>
    <n v="0"/>
    <n v="1"/>
    <n v="0"/>
    <n v="0"/>
    <n v="0"/>
    <n v="0"/>
    <n v="0"/>
    <n v="0"/>
    <n v="0"/>
    <n v="0"/>
    <n v="0"/>
    <n v="0"/>
    <n v="0"/>
    <n v="0"/>
    <n v="0"/>
    <n v="0"/>
    <n v="0"/>
    <n v="0"/>
    <m/>
  </r>
  <r>
    <n v="1174"/>
    <d v="2025-01-02T14:51:15"/>
    <d v="2025-01-02T14:54:08"/>
    <s v="mchirwa@lighthouse.org.mw"/>
    <s v="Margaret Chirwa"/>
    <x v="0"/>
    <s v="Prototype"/>
    <x v="1"/>
    <s v="COP_24"/>
    <s v="COP_24"/>
    <x v="0"/>
    <s v="Quarter1"/>
    <s v="Qtr_1"/>
    <s v="Oct"/>
    <d v="2024-10-01T00:00:00"/>
    <d v="2024-10-31T00:00:00"/>
    <x v="0"/>
    <n v="37"/>
    <n v="0"/>
    <n v="37"/>
    <n v="0"/>
    <n v="0"/>
    <n v="0"/>
    <n v="17"/>
    <n v="2"/>
    <n v="1"/>
    <n v="0"/>
    <n v="0"/>
    <n v="0"/>
    <n v="1"/>
    <n v="0"/>
    <n v="0"/>
    <n v="0"/>
    <n v="0"/>
    <n v="0"/>
    <n v="0"/>
    <n v="0"/>
    <n v="0"/>
    <n v="0"/>
    <n v="0"/>
    <n v="0"/>
    <n v="0"/>
    <m/>
  </r>
  <r>
    <n v="1175"/>
    <d v="2025-01-02T14:55:54"/>
    <d v="2025-01-02T14:58:23"/>
    <s v="mchirwa@lighthouse.org.mw"/>
    <s v="Margaret Chirwa"/>
    <x v="0"/>
    <s v="Prototype"/>
    <x v="1"/>
    <s v="COP_24"/>
    <s v="COP_24"/>
    <x v="0"/>
    <s v="Quarter1"/>
    <s v="Qtr_1"/>
    <s v="Nov"/>
    <d v="2024-11-01T00:00:00"/>
    <d v="2024-11-30T00:00:00"/>
    <x v="1"/>
    <n v="35"/>
    <n v="0"/>
    <n v="32"/>
    <n v="1"/>
    <n v="1"/>
    <n v="0"/>
    <n v="24"/>
    <n v="4"/>
    <n v="4"/>
    <n v="0"/>
    <n v="0"/>
    <n v="0"/>
    <n v="4"/>
    <n v="0"/>
    <n v="0"/>
    <n v="0"/>
    <n v="0"/>
    <n v="0"/>
    <n v="0"/>
    <n v="0"/>
    <n v="0"/>
    <n v="0"/>
    <n v="0"/>
    <n v="0"/>
    <n v="0"/>
    <m/>
  </r>
  <r>
    <n v="1176"/>
    <d v="2025-01-02T14:58:26"/>
    <d v="2025-01-02T14:59:43"/>
    <s v="mchirwa@lighthouse.org.mw"/>
    <s v="Margaret Chirwa"/>
    <x v="0"/>
    <s v="Prototype"/>
    <x v="1"/>
    <s v="COP_24"/>
    <s v="COP_24"/>
    <x v="0"/>
    <s v="Quarter1"/>
    <s v="Qtr_1"/>
    <s v="Nov"/>
    <d v="2024-11-01T00:00:00"/>
    <d v="2024-11-30T00:00:00"/>
    <x v="3"/>
    <n v="0"/>
    <n v="0"/>
    <n v="0"/>
    <n v="0"/>
    <n v="0"/>
    <n v="0"/>
    <n v="0"/>
    <n v="0"/>
    <n v="0"/>
    <n v="0"/>
    <n v="0"/>
    <n v="0"/>
    <n v="0"/>
    <n v="0"/>
    <n v="0"/>
    <n v="0"/>
    <n v="0"/>
    <n v="0"/>
    <n v="0"/>
    <n v="0"/>
    <n v="0"/>
    <n v="0"/>
    <n v="0"/>
    <n v="0"/>
    <n v="0"/>
    <m/>
  </r>
  <r>
    <n v="1177"/>
    <d v="2025-01-02T14:59:54"/>
    <d v="2025-01-02T15:00:52"/>
    <s v="mchirwa@lighthouse.org.mw"/>
    <s v="Margaret Chirwa"/>
    <x v="0"/>
    <s v="Prototype"/>
    <x v="1"/>
    <s v="COP_24"/>
    <s v="COP_24"/>
    <x v="0"/>
    <s v="Quarter1"/>
    <s v="Qtr_1"/>
    <s v="Nov"/>
    <d v="2024-11-01T00:00:00"/>
    <d v="2024-11-30T00:00:00"/>
    <x v="4"/>
    <n v="1"/>
    <n v="0"/>
    <n v="1"/>
    <n v="0"/>
    <n v="0"/>
    <n v="0"/>
    <n v="0"/>
    <n v="0"/>
    <n v="0"/>
    <n v="0"/>
    <n v="0"/>
    <n v="0"/>
    <n v="0"/>
    <n v="0"/>
    <n v="0"/>
    <n v="0"/>
    <n v="0"/>
    <n v="0"/>
    <n v="0"/>
    <n v="0"/>
    <n v="0"/>
    <n v="0"/>
    <n v="0"/>
    <n v="0"/>
    <n v="0"/>
    <m/>
  </r>
  <r>
    <n v="1178"/>
    <d v="2025-01-02T15:00:56"/>
    <d v="2025-01-02T15:04:13"/>
    <s v="mchirwa@lighthouse.org.mw"/>
    <s v="Margaret Chirwa"/>
    <x v="0"/>
    <s v="Prototype"/>
    <x v="1"/>
    <s v="COP_24"/>
    <s v="COP_24"/>
    <x v="0"/>
    <s v="Quarter1"/>
    <s v="Qtr_1"/>
    <s v="Nov"/>
    <d v="2024-11-01T00:00:00"/>
    <d v="2024-11-30T00:00:00"/>
    <x v="5"/>
    <n v="0"/>
    <n v="0"/>
    <n v="0"/>
    <n v="0"/>
    <n v="0"/>
    <n v="0"/>
    <n v="0"/>
    <n v="0"/>
    <n v="0"/>
    <n v="0"/>
    <n v="0"/>
    <n v="0"/>
    <n v="0"/>
    <n v="0"/>
    <n v="0"/>
    <n v="0"/>
    <n v="0"/>
    <n v="0"/>
    <n v="0"/>
    <n v="0"/>
    <n v="0"/>
    <n v="0"/>
    <n v="0"/>
    <n v="0"/>
    <n v="0"/>
    <m/>
  </r>
  <r>
    <n v="1179"/>
    <d v="2025-01-02T15:04:17"/>
    <d v="2025-01-02T15:06:25"/>
    <s v="mchirwa@lighthouse.org.mw"/>
    <s v="Margaret Chirwa"/>
    <x v="0"/>
    <s v="Prototype"/>
    <x v="1"/>
    <s v="COP_24"/>
    <s v="COP_24"/>
    <x v="0"/>
    <s v="Quarter1"/>
    <s v="Qtr_1"/>
    <s v="Nov"/>
    <d v="2024-11-01T00:00:00"/>
    <d v="2024-11-30T00:00:00"/>
    <x v="2"/>
    <n v="11"/>
    <n v="0"/>
    <n v="9"/>
    <n v="2"/>
    <n v="0"/>
    <n v="0"/>
    <n v="11"/>
    <n v="6"/>
    <n v="6"/>
    <n v="0"/>
    <n v="0"/>
    <n v="0"/>
    <n v="6"/>
    <n v="0"/>
    <n v="0"/>
    <n v="0"/>
    <n v="0"/>
    <n v="0"/>
    <n v="0"/>
    <n v="0"/>
    <n v="0"/>
    <n v="0"/>
    <n v="0"/>
    <n v="0"/>
    <n v="0"/>
    <m/>
  </r>
  <r>
    <n v="1180"/>
    <d v="2025-01-02T15:22:07"/>
    <d v="2025-01-02T15:22:39"/>
    <s v="mchirwa@lighthouse.org.mw"/>
    <s v="Margaret Chirwa"/>
    <x v="0"/>
    <s v="Prototype"/>
    <x v="1"/>
    <s v="COP_24"/>
    <s v="COP_24"/>
    <x v="0"/>
    <s v="Quarter1"/>
    <s v="Qtr_1"/>
    <s v="Nov"/>
    <d v="2024-11-01T00:00:00"/>
    <d v="2024-11-30T00:00:00"/>
    <x v="0"/>
    <n v="45"/>
    <n v="0"/>
    <n v="41"/>
    <n v="3"/>
    <n v="1"/>
    <n v="0"/>
    <n v="35"/>
    <n v="10"/>
    <n v="10"/>
    <n v="0"/>
    <n v="0"/>
    <n v="0"/>
    <n v="10"/>
    <n v="0"/>
    <n v="0"/>
    <n v="0"/>
    <n v="0"/>
    <n v="0"/>
    <n v="0"/>
    <n v="0"/>
    <n v="0"/>
    <n v="0"/>
    <n v="0"/>
    <n v="0"/>
    <n v="0"/>
    <m/>
  </r>
  <r>
    <n v="1261"/>
    <d v="2025-01-14T11:47:53"/>
    <d v="2025-01-14T11:51:28"/>
    <s v="mchirwa@lighthouse.org.mw"/>
    <s v="Margaret Chirwa"/>
    <x v="0"/>
    <s v="Prototype"/>
    <x v="1"/>
    <s v="COP_24"/>
    <s v="COP_24"/>
    <x v="0"/>
    <s v="Quarter1"/>
    <s v="Qtr_1"/>
    <s v="Dec"/>
    <d v="2024-12-01T00:00:00"/>
    <d v="2023-12-31T00:00:00"/>
    <x v="1"/>
    <n v="36"/>
    <n v="0"/>
    <n v="33"/>
    <n v="1"/>
    <n v="2"/>
    <n v="0"/>
    <n v="17"/>
    <n v="1"/>
    <n v="1"/>
    <n v="0"/>
    <n v="0"/>
    <n v="0"/>
    <n v="1"/>
    <n v="0"/>
    <n v="0"/>
    <n v="0"/>
    <n v="0"/>
    <n v="0"/>
    <n v="0"/>
    <n v="0"/>
    <n v="0"/>
    <n v="0"/>
    <n v="0"/>
    <n v="0"/>
    <n v="0"/>
    <m/>
  </r>
  <r>
    <n v="1263"/>
    <d v="2025-01-14T11:51:35"/>
    <d v="2025-01-14T11:53:58"/>
    <s v="mchirwa@lighthouse.org.mw"/>
    <s v="Margaret Chirwa"/>
    <x v="0"/>
    <s v="Prototype"/>
    <x v="1"/>
    <s v="COP_24"/>
    <s v="COP_24"/>
    <x v="0"/>
    <s v="Quarter1"/>
    <s v="Qtr_1"/>
    <s v="Dec"/>
    <d v="2024-12-01T00:00:00"/>
    <d v="2024-12-31T00:00:00"/>
    <x v="3"/>
    <n v="1"/>
    <n v="0"/>
    <n v="0"/>
    <n v="0"/>
    <n v="1"/>
    <n v="0"/>
    <n v="0"/>
    <n v="0"/>
    <n v="0"/>
    <n v="0"/>
    <n v="0"/>
    <n v="0"/>
    <n v="0"/>
    <n v="0"/>
    <n v="0"/>
    <n v="0"/>
    <n v="0"/>
    <n v="0"/>
    <n v="0"/>
    <n v="0"/>
    <n v="0"/>
    <n v="0"/>
    <n v="0"/>
    <n v="0"/>
    <n v="0"/>
    <m/>
  </r>
  <r>
    <n v="1265"/>
    <d v="2025-01-14T11:54:02"/>
    <d v="2025-01-14T11:58:51"/>
    <s v="mchirwa@lighthouse.org.mw"/>
    <s v="Margaret Chirwa"/>
    <x v="0"/>
    <s v="Prototype"/>
    <x v="1"/>
    <s v="COP_24"/>
    <s v="COP_24"/>
    <x v="0"/>
    <s v="Quarter1"/>
    <s v="Qtr_1"/>
    <s v="Dec"/>
    <d v="2024-12-01T00:00:00"/>
    <d v="2024-12-31T00:00:00"/>
    <x v="4"/>
    <n v="0"/>
    <n v="0"/>
    <n v="0"/>
    <n v="0"/>
    <n v="0"/>
    <n v="0"/>
    <n v="0"/>
    <n v="0"/>
    <n v="0"/>
    <n v="0"/>
    <n v="0"/>
    <n v="0"/>
    <n v="0"/>
    <n v="0"/>
    <n v="0"/>
    <n v="0"/>
    <n v="0"/>
    <n v="0"/>
    <n v="0"/>
    <n v="0"/>
    <n v="0"/>
    <n v="0"/>
    <n v="0"/>
    <n v="0"/>
    <n v="0"/>
    <m/>
  </r>
  <r>
    <n v="1266"/>
    <d v="2025-01-14T11:58:55"/>
    <d v="2025-01-14T12:11:47"/>
    <s v="mchirwa@lighthouse.org.mw"/>
    <s v="Margaret Chirwa"/>
    <x v="0"/>
    <s v="Prototype"/>
    <x v="1"/>
    <s v="COP_24"/>
    <s v="COP_24"/>
    <x v="0"/>
    <s v="Quarter1"/>
    <s v="Qtr_1"/>
    <s v="Dec"/>
    <d v="2024-12-01T00:00:00"/>
    <d v="2024-12-31T00:00:00"/>
    <x v="5"/>
    <n v="1"/>
    <n v="0"/>
    <n v="0"/>
    <n v="0"/>
    <n v="1"/>
    <n v="0"/>
    <n v="0"/>
    <n v="0"/>
    <n v="0"/>
    <n v="0"/>
    <n v="0"/>
    <n v="0"/>
    <n v="0"/>
    <n v="0"/>
    <n v="0"/>
    <n v="0"/>
    <n v="0"/>
    <n v="0"/>
    <n v="0"/>
    <n v="0"/>
    <n v="0"/>
    <n v="0"/>
    <n v="0"/>
    <n v="0"/>
    <n v="0"/>
    <m/>
  </r>
  <r>
    <n v="1267"/>
    <d v="2025-01-14T12:11:51"/>
    <d v="2025-01-14T12:19:52"/>
    <s v="mchirwa@lighthouse.org.mw"/>
    <s v="Margaret Chirwa"/>
    <x v="0"/>
    <s v="Prototype"/>
    <x v="1"/>
    <s v="COP_24"/>
    <s v="COP_24"/>
    <x v="0"/>
    <s v="Quarter1"/>
    <s v="Qtr_1"/>
    <s v="Dec"/>
    <d v="2024-12-01T00:00:00"/>
    <d v="2024-12-31T00:00:00"/>
    <x v="2"/>
    <n v="2"/>
    <n v="0"/>
    <n v="1"/>
    <n v="1"/>
    <n v="0"/>
    <n v="0"/>
    <n v="0"/>
    <n v="0"/>
    <n v="2"/>
    <n v="0"/>
    <n v="0"/>
    <n v="0"/>
    <n v="2"/>
    <n v="0"/>
    <n v="0"/>
    <n v="0"/>
    <n v="0"/>
    <n v="0"/>
    <n v="0"/>
    <n v="0"/>
    <n v="0"/>
    <n v="0"/>
    <n v="0"/>
    <n v="0"/>
    <n v="0"/>
    <m/>
  </r>
  <r>
    <n v="1268"/>
    <d v="2025-01-14T12:19:57"/>
    <d v="2025-01-14T12:27:10"/>
    <s v="mchirwa@lighthouse.org.mw"/>
    <s v="Margaret Chirwa"/>
    <x v="0"/>
    <s v="Prototype"/>
    <x v="1"/>
    <s v="COP_24"/>
    <s v="COP_24"/>
    <x v="0"/>
    <s v="Quarter1"/>
    <s v="Qtr_1"/>
    <s v="Dec"/>
    <d v="2024-12-01T00:00:00"/>
    <d v="2024-12-31T00:00:00"/>
    <x v="0"/>
    <n v="36"/>
    <n v="0"/>
    <n v="0"/>
    <n v="33"/>
    <n v="1"/>
    <n v="2"/>
    <n v="18"/>
    <n v="1"/>
    <n v="3"/>
    <n v="0"/>
    <n v="0"/>
    <n v="0"/>
    <n v="3"/>
    <n v="0"/>
    <n v="0"/>
    <n v="0"/>
    <n v="0"/>
    <n v="0"/>
    <n v="0"/>
    <n v="0"/>
    <n v="0"/>
    <n v="0"/>
    <n v="0"/>
    <n v="0"/>
    <n v="0"/>
    <m/>
  </r>
  <r>
    <n v="1269"/>
    <d v="2025-01-14T12:27:58"/>
    <d v="2025-01-14T12:30:49"/>
    <s v="mchirwa@lighthouse.org.mw"/>
    <s v="Margaret Chirwa"/>
    <x v="0"/>
    <s v="Prototype"/>
    <x v="1"/>
    <s v="COP_24"/>
    <s v="COP_24"/>
    <x v="0"/>
    <s v="Quarter1"/>
    <s v="Qtr_1"/>
    <s v="Dec"/>
    <d v="2024-12-01T00:00:00"/>
    <d v="2024-12-31T00:00:00"/>
    <x v="2"/>
    <n v="2"/>
    <n v="0"/>
    <n v="1"/>
    <n v="1"/>
    <n v="0"/>
    <n v="0"/>
    <n v="0"/>
    <n v="0"/>
    <n v="2"/>
    <n v="0"/>
    <n v="0"/>
    <n v="0"/>
    <n v="2"/>
    <n v="0"/>
    <n v="0"/>
    <n v="0"/>
    <n v="0"/>
    <n v="0"/>
    <n v="0"/>
    <n v="0"/>
    <n v="0"/>
    <n v="0"/>
    <n v="0"/>
    <n v="0"/>
    <n v="0"/>
    <m/>
  </r>
  <r>
    <n v="1432"/>
    <d v="2025-03-19T08:14:19"/>
    <d v="2025-03-19T08:25:42"/>
    <s v="mchirwa@lighthouse.org.mw"/>
    <s v="Margaret Chirwa"/>
    <x v="0"/>
    <s v="Prototype"/>
    <x v="2"/>
    <s v="COP_22"/>
    <s v="COP_24"/>
    <x v="2"/>
    <s v="Quarter2"/>
    <s v="Qtr_2"/>
    <s v="Jan"/>
    <d v="2025-01-01T00:00:00"/>
    <d v="2025-01-31T00:00:00"/>
    <x v="1"/>
    <n v="35"/>
    <n v="1"/>
    <n v="26"/>
    <n v="2"/>
    <n v="0"/>
    <n v="1"/>
    <n v="0"/>
    <n v="0"/>
    <n v="1"/>
    <n v="0"/>
    <n v="0"/>
    <n v="0"/>
    <n v="1"/>
    <n v="0"/>
    <n v="0"/>
    <n v="0"/>
    <n v="0"/>
    <n v="0"/>
    <n v="0"/>
    <n v="0"/>
    <n v="0"/>
    <n v="0"/>
    <n v="0"/>
    <n v="0"/>
    <n v="0"/>
    <m/>
  </r>
  <r>
    <n v="1433"/>
    <d v="2025-03-19T08:25:45"/>
    <d v="2025-03-19T08:27:38"/>
    <s v="mchirwa@lighthouse.org.mw"/>
    <s v="Margaret Chirwa"/>
    <x v="0"/>
    <s v="Prototype"/>
    <x v="2"/>
    <s v="COP_23"/>
    <s v="COP_24"/>
    <x v="2"/>
    <s v="Quarter2"/>
    <s v="Qtr_2"/>
    <s v="Jan"/>
    <d v="2025-01-01T00:00:00"/>
    <d v="2025-01-31T00:00:00"/>
    <x v="3"/>
    <n v="3"/>
    <n v="0"/>
    <n v="2"/>
    <n v="0"/>
    <n v="0"/>
    <n v="1"/>
    <n v="0"/>
    <n v="0"/>
    <n v="0"/>
    <n v="0"/>
    <n v="0"/>
    <n v="0"/>
    <n v="0"/>
    <n v="0"/>
    <n v="0"/>
    <n v="0"/>
    <n v="0"/>
    <n v="0"/>
    <n v="0"/>
    <n v="0"/>
    <n v="0"/>
    <n v="0"/>
    <n v="0"/>
    <n v="0"/>
    <n v="0"/>
    <m/>
  </r>
  <r>
    <n v="1434"/>
    <d v="2025-03-19T08:27:48"/>
    <d v="2025-03-19T08:30:46"/>
    <s v="mchirwa@lighthouse.org.mw"/>
    <s v="Margaret Chirwa"/>
    <x v="0"/>
    <s v="Prototype"/>
    <x v="2"/>
    <s v="COP_23"/>
    <s v="COP_24"/>
    <x v="2"/>
    <s v="Quarter2"/>
    <s v="Qtr_2"/>
    <s v="Jan"/>
    <d v="2025-01-01T00:00:00"/>
    <d v="2025-01-31T00:00:00"/>
    <x v="4"/>
    <n v="0"/>
    <n v="0"/>
    <n v="0"/>
    <n v="0"/>
    <n v="0"/>
    <n v="0"/>
    <n v="0"/>
    <n v="0"/>
    <n v="0"/>
    <n v="0"/>
    <n v="0"/>
    <n v="0"/>
    <n v="0"/>
    <n v="0"/>
    <n v="0"/>
    <n v="0"/>
    <n v="0"/>
    <n v="0"/>
    <n v="0"/>
    <n v="0"/>
    <n v="0"/>
    <n v="0"/>
    <n v="0"/>
    <n v="0"/>
    <n v="0"/>
    <m/>
  </r>
  <r>
    <n v="1435"/>
    <d v="2025-03-19T08:31:04"/>
    <d v="2025-03-19T08:31:58"/>
    <s v="mchirwa@lighthouse.org.mw"/>
    <s v="Margaret Chirwa"/>
    <x v="0"/>
    <s v="Prototype"/>
    <x v="2"/>
    <s v="COP_23"/>
    <s v="COP_24"/>
    <x v="2"/>
    <s v="Quarter2"/>
    <s v="Qtr_2"/>
    <s v="Jan"/>
    <d v="2025-01-01T00:00:00"/>
    <d v="2025-01-31T00:00:00"/>
    <x v="5"/>
    <n v="0"/>
    <n v="0"/>
    <n v="0"/>
    <n v="0"/>
    <n v="0"/>
    <n v="0"/>
    <n v="0"/>
    <n v="0"/>
    <n v="0"/>
    <n v="0"/>
    <n v="0"/>
    <n v="0"/>
    <n v="0"/>
    <n v="0"/>
    <n v="0"/>
    <n v="0"/>
    <n v="0"/>
    <n v="0"/>
    <n v="0"/>
    <n v="0"/>
    <n v="0"/>
    <n v="0"/>
    <n v="0"/>
    <n v="0"/>
    <n v="0"/>
    <m/>
  </r>
  <r>
    <n v="1436"/>
    <d v="2025-03-19T08:33:35"/>
    <d v="2025-03-19T08:36:52"/>
    <s v="mchirwa@lighthouse.org.mw"/>
    <s v="Margaret Chirwa"/>
    <x v="0"/>
    <s v="Prototype"/>
    <x v="2"/>
    <s v="COP_23"/>
    <s v="COP_24"/>
    <x v="2"/>
    <s v="Quarter2"/>
    <s v="Qtr_2"/>
    <s v="Jan"/>
    <d v="2025-01-01T00:00:00"/>
    <d v="2025-01-31T00:00:00"/>
    <x v="6"/>
    <n v="0"/>
    <n v="0"/>
    <n v="0"/>
    <n v="0"/>
    <n v="0"/>
    <n v="0"/>
    <n v="0"/>
    <n v="0"/>
    <n v="0"/>
    <n v="0"/>
    <n v="0"/>
    <n v="0"/>
    <n v="0"/>
    <n v="0"/>
    <n v="0"/>
    <n v="0"/>
    <n v="0"/>
    <n v="0"/>
    <n v="0"/>
    <n v="0"/>
    <n v="0"/>
    <n v="0"/>
    <n v="0"/>
    <n v="0"/>
    <n v="0"/>
    <m/>
  </r>
  <r>
    <n v="1437"/>
    <d v="2025-03-19T08:37:24"/>
    <d v="2025-03-19T08:42:54"/>
    <s v="mchirwa@lighthouse.org.mw"/>
    <s v="Margaret Chirwa"/>
    <x v="0"/>
    <s v="Prototype"/>
    <x v="2"/>
    <s v="COP_23"/>
    <s v="COP_24"/>
    <x v="2"/>
    <s v="Quarter2"/>
    <s v="Qtr_2"/>
    <s v="Jan"/>
    <d v="2025-01-01T00:00:00"/>
    <d v="2025-01-31T00:00:00"/>
    <x v="0"/>
    <n v="30"/>
    <n v="1"/>
    <n v="27"/>
    <n v="2"/>
    <n v="0"/>
    <n v="1"/>
    <n v="0"/>
    <n v="0"/>
    <n v="1"/>
    <n v="0"/>
    <n v="0"/>
    <n v="0"/>
    <n v="1"/>
    <n v="0"/>
    <n v="0"/>
    <n v="0"/>
    <n v="0"/>
    <n v="0"/>
    <n v="0"/>
    <n v="0"/>
    <n v="0"/>
    <n v="0"/>
    <n v="0"/>
    <n v="0"/>
    <n v="0"/>
    <m/>
  </r>
  <r>
    <n v="1438"/>
    <d v="2025-03-19T08:43:08"/>
    <d v="2025-03-19T08:49:56"/>
    <s v="mchirwa@lighthouse.org.mw"/>
    <s v="Margaret Chirwa"/>
    <x v="0"/>
    <s v="Prototype"/>
    <x v="2"/>
    <s v="COP_23"/>
    <s v="COP_24"/>
    <x v="2"/>
    <s v="Quarter2"/>
    <s v="Qtr_2"/>
    <s v="Feb"/>
    <d v="2025-02-01T00:00:00"/>
    <d v="2025-02-28T00:00:00"/>
    <x v="1"/>
    <n v="34"/>
    <n v="0"/>
    <n v="13"/>
    <n v="1"/>
    <n v="0"/>
    <n v="0"/>
    <n v="0"/>
    <n v="0"/>
    <n v="0"/>
    <n v="0"/>
    <n v="0"/>
    <n v="0"/>
    <n v="0"/>
    <n v="0"/>
    <n v="0"/>
    <n v="0"/>
    <n v="0"/>
    <n v="0"/>
    <n v="0"/>
    <n v="0"/>
    <n v="0"/>
    <n v="0"/>
    <n v="0"/>
    <n v="0"/>
    <n v="0"/>
    <m/>
  </r>
  <r>
    <n v="1439"/>
    <d v="2025-03-19T08:50:50"/>
    <d v="2025-03-19T08:53:12"/>
    <s v="mchirwa@lighthouse.org.mw"/>
    <s v="Margaret Chirwa"/>
    <x v="0"/>
    <s v="Prototype"/>
    <x v="2"/>
    <s v="COP_23"/>
    <s v="COP_24"/>
    <x v="2"/>
    <s v="Quarter2"/>
    <s v="Qtr_2"/>
    <s v="Feb"/>
    <d v="2025-02-01T00:00:00"/>
    <d v="2025-02-28T00:00:00"/>
    <x v="3"/>
    <n v="0"/>
    <n v="0"/>
    <n v="0"/>
    <n v="0"/>
    <n v="0"/>
    <n v="0"/>
    <n v="0"/>
    <n v="0"/>
    <n v="0"/>
    <n v="0"/>
    <n v="0"/>
    <n v="0"/>
    <n v="0"/>
    <n v="0"/>
    <n v="0"/>
    <n v="0"/>
    <n v="0"/>
    <n v="0"/>
    <n v="0"/>
    <n v="0"/>
    <n v="0"/>
    <n v="0"/>
    <n v="0"/>
    <n v="0"/>
    <n v="0"/>
    <m/>
  </r>
  <r>
    <n v="1440"/>
    <d v="2025-03-19T08:53:25"/>
    <d v="2025-03-19T08:55:16"/>
    <s v="mchirwa@lighthouse.org.mw"/>
    <s v="Margaret Chirwa"/>
    <x v="0"/>
    <s v="Prototype"/>
    <x v="2"/>
    <s v="COP_23"/>
    <s v="COP_24"/>
    <x v="2"/>
    <s v="Quarter2"/>
    <s v="Qtr_2"/>
    <s v="Feb"/>
    <d v="2025-02-01T00:00:00"/>
    <d v="2025-02-28T00:00:00"/>
    <x v="4"/>
    <n v="0"/>
    <n v="0"/>
    <n v="0"/>
    <n v="0"/>
    <n v="0"/>
    <n v="0"/>
    <n v="0"/>
    <n v="0"/>
    <n v="0"/>
    <n v="0"/>
    <n v="0"/>
    <n v="0"/>
    <n v="0"/>
    <n v="0"/>
    <n v="0"/>
    <n v="0"/>
    <n v="0"/>
    <n v="0"/>
    <n v="0"/>
    <n v="0"/>
    <n v="0"/>
    <n v="0"/>
    <n v="0"/>
    <n v="0"/>
    <n v="0"/>
    <m/>
  </r>
  <r>
    <n v="1441"/>
    <d v="2025-03-19T08:55:21"/>
    <d v="2025-03-19T08:56:16"/>
    <s v="mchirwa@lighthouse.org.mw"/>
    <s v="Margaret Chirwa"/>
    <x v="0"/>
    <s v="Prototype"/>
    <x v="2"/>
    <s v="COP_23"/>
    <s v="COP_24"/>
    <x v="2"/>
    <s v="Quarter2"/>
    <s v="Qtr_2"/>
    <s v="Feb"/>
    <d v="2025-02-01T00:00:00"/>
    <d v="2025-02-28T00:00:00"/>
    <x v="5"/>
    <n v="0"/>
    <n v="0"/>
    <n v="0"/>
    <n v="0"/>
    <n v="0"/>
    <n v="0"/>
    <n v="0"/>
    <n v="0"/>
    <n v="0"/>
    <n v="0"/>
    <n v="0"/>
    <n v="0"/>
    <n v="0"/>
    <n v="0"/>
    <n v="0"/>
    <n v="0"/>
    <n v="0"/>
    <n v="0"/>
    <n v="0"/>
    <n v="0"/>
    <n v="0"/>
    <n v="0"/>
    <n v="0"/>
    <n v="0"/>
    <n v="0"/>
    <m/>
  </r>
  <r>
    <n v="1442"/>
    <d v="2025-03-19T08:56:46"/>
    <d v="2025-03-19T08:57:31"/>
    <s v="mchirwa@lighthouse.org.mw"/>
    <s v="Margaret Chirwa"/>
    <x v="0"/>
    <s v="Prototype"/>
    <x v="2"/>
    <s v="COP_23"/>
    <s v="COP_24"/>
    <x v="2"/>
    <s v="Quarter2"/>
    <s v="Qtr_2"/>
    <s v="Feb"/>
    <d v="2025-02-01T00:00:00"/>
    <d v="2025-02-28T00:00:00"/>
    <x v="2"/>
    <n v="0"/>
    <n v="0"/>
    <n v="0"/>
    <n v="0"/>
    <n v="0"/>
    <n v="0"/>
    <n v="0"/>
    <n v="0"/>
    <n v="0"/>
    <n v="0"/>
    <n v="0"/>
    <n v="0"/>
    <n v="0"/>
    <n v="0"/>
    <n v="0"/>
    <n v="0"/>
    <n v="0"/>
    <n v="0"/>
    <n v="0"/>
    <n v="0"/>
    <n v="0"/>
    <n v="0"/>
    <n v="0"/>
    <n v="0"/>
    <n v="0"/>
    <m/>
  </r>
  <r>
    <n v="1443"/>
    <d v="2025-03-19T08:57:33"/>
    <d v="2025-03-19T08:58:40"/>
    <s v="mchirwa@lighthouse.org.mw"/>
    <s v="Margaret Chirwa"/>
    <x v="0"/>
    <s v="Prototype"/>
    <x v="2"/>
    <s v="COP_23"/>
    <s v="COP_24"/>
    <x v="2"/>
    <s v="Quarter2"/>
    <s v="Qtr_2"/>
    <s v="Feb"/>
    <d v="2025-02-01T00:00:00"/>
    <d v="2025-02-28T00:00:00"/>
    <x v="6"/>
    <n v="0"/>
    <n v="0"/>
    <n v="0"/>
    <n v="0"/>
    <n v="0"/>
    <n v="0"/>
    <n v="0"/>
    <n v="0"/>
    <n v="0"/>
    <n v="0"/>
    <n v="0"/>
    <n v="0"/>
    <n v="0"/>
    <n v="0"/>
    <n v="0"/>
    <n v="0"/>
    <n v="0"/>
    <n v="0"/>
    <n v="0"/>
    <n v="0"/>
    <n v="0"/>
    <n v="0"/>
    <n v="0"/>
    <n v="0"/>
    <n v="0"/>
    <m/>
  </r>
  <r>
    <n v="1444"/>
    <d v="2025-03-19T08:59:02"/>
    <d v="2025-03-19T09:00:36"/>
    <s v="mchirwa@lighthouse.org.mw"/>
    <s v="Margaret Chirwa"/>
    <x v="0"/>
    <s v="Prototype"/>
    <x v="2"/>
    <s v="COP_23"/>
    <s v="COP_24"/>
    <x v="2"/>
    <s v="Quarter2"/>
    <s v="Qtr_2"/>
    <s v="Feb"/>
    <d v="2025-02-01T00:00:00"/>
    <d v="2025-02-28T00:00:00"/>
    <x v="0"/>
    <n v="14"/>
    <n v="0"/>
    <n v="13"/>
    <n v="1"/>
    <n v="0"/>
    <n v="0"/>
    <n v="0"/>
    <n v="0"/>
    <n v="0"/>
    <n v="0"/>
    <n v="0"/>
    <n v="0"/>
    <n v="0"/>
    <n v="0"/>
    <n v="0"/>
    <n v="0"/>
    <n v="0"/>
    <n v="0"/>
    <n v="0"/>
    <n v="0"/>
    <n v="0"/>
    <n v="0"/>
    <n v="0"/>
    <n v="0"/>
    <n v="0"/>
    <m/>
  </r>
  <r>
    <n v="1504"/>
    <d v="2025-04-04T10:38:39"/>
    <d v="2025-04-04T10:45:55"/>
    <s v="mchirwa@lighthouse.org.mw"/>
    <s v="Margaret Chirwa"/>
    <x v="0"/>
    <s v="Prototype"/>
    <x v="2"/>
    <s v="COP_23"/>
    <s v="COP_24"/>
    <x v="2"/>
    <s v="Quarter2"/>
    <s v="Qtr_2"/>
    <s v="Mar"/>
    <d v="2025-03-01T00:00:00"/>
    <d v="2025-03-31T00:00:00"/>
    <x v="1"/>
    <n v="32"/>
    <n v="0"/>
    <n v="32"/>
    <n v="0"/>
    <n v="0"/>
    <n v="0"/>
    <n v="17"/>
    <n v="3"/>
    <n v="0"/>
    <n v="0"/>
    <n v="0"/>
    <n v="0"/>
    <n v="3"/>
    <n v="0"/>
    <n v="0"/>
    <n v="0"/>
    <n v="0"/>
    <n v="0"/>
    <n v="0"/>
    <n v="0"/>
    <n v="0"/>
    <n v="0"/>
    <n v="0"/>
    <n v="0"/>
    <n v="0"/>
    <m/>
  </r>
  <r>
    <n v="1505"/>
    <d v="2025-04-04T10:46:00"/>
    <d v="2025-04-04T10:52:56"/>
    <s v="mchirwa@lighthouse.org.mw"/>
    <s v="Margaret Chirwa"/>
    <x v="0"/>
    <s v="Prototype"/>
    <x v="2"/>
    <s v="COP_23"/>
    <s v="COP_24"/>
    <x v="2"/>
    <s v="Quarter2"/>
    <s v="Qtr_2"/>
    <s v="Mar"/>
    <d v="2025-03-01T00:00:00"/>
    <d v="2025-03-31T00:00:00"/>
    <x v="3"/>
    <n v="3"/>
    <n v="0"/>
    <n v="3"/>
    <n v="0"/>
    <n v="0"/>
    <n v="0"/>
    <n v="0"/>
    <n v="0"/>
    <n v="0"/>
    <n v="0"/>
    <n v="0"/>
    <n v="0"/>
    <n v="0"/>
    <n v="0"/>
    <n v="0"/>
    <n v="0"/>
    <n v="0"/>
    <n v="0"/>
    <n v="0"/>
    <n v="0"/>
    <n v="0"/>
    <n v="0"/>
    <n v="0"/>
    <n v="0"/>
    <n v="0"/>
    <m/>
  </r>
  <r>
    <n v="1506"/>
    <d v="2025-04-04T10:53:00"/>
    <d v="2025-04-04T10:55:21"/>
    <s v="mchirwa@lighthouse.org.mw"/>
    <s v="Margaret Chirwa"/>
    <x v="0"/>
    <s v="Prototype"/>
    <x v="2"/>
    <s v="COP_23"/>
    <s v="COP_24"/>
    <x v="2"/>
    <s v="Quarter2"/>
    <s v="Qtr_2"/>
    <s v="Mar"/>
    <d v="2025-03-01T00:00:00"/>
    <d v="2025-03-31T00:00:00"/>
    <x v="4"/>
    <n v="0"/>
    <n v="0"/>
    <n v="0"/>
    <n v="0"/>
    <n v="0"/>
    <n v="0"/>
    <n v="0"/>
    <n v="0"/>
    <n v="0"/>
    <n v="0"/>
    <n v="0"/>
    <n v="0"/>
    <n v="0"/>
    <n v="0"/>
    <n v="0"/>
    <n v="0"/>
    <n v="0"/>
    <n v="0"/>
    <n v="0"/>
    <n v="0"/>
    <n v="0"/>
    <n v="0"/>
    <n v="0"/>
    <n v="0"/>
    <n v="0"/>
    <m/>
  </r>
  <r>
    <n v="1507"/>
    <d v="2025-04-04T10:55:31"/>
    <d v="2025-04-04T10:58:34"/>
    <s v="mchirwa@lighthouse.org.mw"/>
    <s v="Margaret Chirwa"/>
    <x v="0"/>
    <s v="Prototype"/>
    <x v="2"/>
    <s v="COP_23"/>
    <s v="COP_24"/>
    <x v="2"/>
    <s v="Quarter2"/>
    <s v="Qtr_2"/>
    <s v="Mar"/>
    <d v="2025-03-01T00:00:00"/>
    <d v="2025-03-31T00:00:00"/>
    <x v="5"/>
    <n v="1"/>
    <n v="0"/>
    <n v="1"/>
    <n v="0"/>
    <n v="0"/>
    <n v="0"/>
    <n v="0"/>
    <n v="1"/>
    <n v="0"/>
    <n v="0"/>
    <n v="0"/>
    <n v="0"/>
    <n v="1"/>
    <n v="0"/>
    <n v="0"/>
    <n v="0"/>
    <n v="0"/>
    <n v="0"/>
    <n v="0"/>
    <n v="0"/>
    <n v="0"/>
    <n v="0"/>
    <n v="0"/>
    <n v="0"/>
    <n v="0"/>
    <m/>
  </r>
  <r>
    <n v="1508"/>
    <d v="2025-04-04T11:11:58"/>
    <d v="2025-04-04T11:25:58"/>
    <s v="mchirwa@lighthouse.org.mw"/>
    <s v="Margaret Chirwa"/>
    <x v="0"/>
    <s v="Prototype"/>
    <x v="2"/>
    <s v="COP_23"/>
    <s v="COP_24"/>
    <x v="2"/>
    <s v="Quarter2"/>
    <s v="Qtr_2"/>
    <s v="Mar"/>
    <d v="2025-03-01T00:00:00"/>
    <d v="2025-03-31T00:00:00"/>
    <x v="2"/>
    <n v="9"/>
    <n v="0"/>
    <n v="7"/>
    <n v="1"/>
    <n v="0"/>
    <n v="1"/>
    <n v="7"/>
    <n v="1"/>
    <n v="0"/>
    <n v="0"/>
    <n v="0"/>
    <n v="0"/>
    <n v="1"/>
    <n v="1"/>
    <n v="0"/>
    <n v="0"/>
    <n v="0"/>
    <n v="0"/>
    <n v="0"/>
    <n v="0"/>
    <n v="1"/>
    <n v="0"/>
    <n v="0"/>
    <n v="0"/>
    <n v="0"/>
    <m/>
  </r>
  <r>
    <n v="1509"/>
    <d v="2025-04-04T11:27:05"/>
    <d v="2025-04-04T11:30:09"/>
    <s v="mchirwa@lighthouse.org.mw"/>
    <s v="Margaret Chirwa"/>
    <x v="0"/>
    <s v="Prototype"/>
    <x v="2"/>
    <s v="COP_23"/>
    <s v="COP_24"/>
    <x v="2"/>
    <s v="Quarter2"/>
    <s v="Qtr_2"/>
    <s v="Mar"/>
    <d v="2025-03-01T00:00:00"/>
    <d v="2025-03-31T00:00:00"/>
    <x v="6"/>
    <n v="0"/>
    <n v="0"/>
    <n v="0"/>
    <n v="0"/>
    <n v="0"/>
    <n v="0"/>
    <n v="0"/>
    <n v="0"/>
    <n v="0"/>
    <n v="0"/>
    <n v="0"/>
    <n v="0"/>
    <n v="0"/>
    <n v="0"/>
    <n v="0"/>
    <n v="0"/>
    <n v="0"/>
    <n v="0"/>
    <n v="0"/>
    <n v="0"/>
    <n v="0"/>
    <n v="0"/>
    <n v="0"/>
    <n v="0"/>
    <n v="0"/>
    <m/>
  </r>
  <r>
    <n v="1510"/>
    <d v="2025-04-04T11:30:30"/>
    <d v="2025-04-04T11:31:36"/>
    <s v="mchirwa@lighthouse.org.mw"/>
    <s v="Margaret Chirwa"/>
    <x v="0"/>
    <s v="Prototype"/>
    <x v="2"/>
    <s v="COP_23"/>
    <s v="COP_24"/>
    <x v="2"/>
    <s v="Quarter2"/>
    <s v="Qtr_2"/>
    <s v="Mar"/>
    <d v="2025-03-01T00:00:00"/>
    <d v="2025-03-31T00:00:00"/>
    <x v="0"/>
    <n v="44"/>
    <n v="1"/>
    <n v="41"/>
    <n v="1"/>
    <n v="0"/>
    <n v="1"/>
    <n v="27"/>
    <n v="5"/>
    <n v="0"/>
    <n v="0"/>
    <n v="0"/>
    <n v="0"/>
    <n v="5"/>
    <n v="1"/>
    <n v="0"/>
    <n v="0"/>
    <n v="0"/>
    <n v="0"/>
    <n v="0"/>
    <n v="0"/>
    <n v="1"/>
    <n v="0"/>
    <n v="0"/>
    <n v="0"/>
    <n v="0"/>
    <m/>
  </r>
  <r>
    <n v="1583"/>
    <d v="2025-05-07T08:22:33"/>
    <d v="2025-05-07T08:42:57"/>
    <s v="mchirwa@lighthouse.org.mw"/>
    <s v="Margaret Chirwa"/>
    <x v="0"/>
    <s v="Prototype"/>
    <x v="2"/>
    <s v="COP_23"/>
    <m/>
    <x v="1"/>
    <s v="Quarter3"/>
    <m/>
    <s v="Apr"/>
    <d v="2025-04-01T00:00:00"/>
    <d v="2025-04-30T00:00:00"/>
    <x v="1"/>
    <n v="32"/>
    <n v="32"/>
    <n v="31"/>
    <n v="1"/>
    <n v="0"/>
    <n v="0"/>
    <n v="32"/>
    <n v="6"/>
    <n v="8"/>
    <n v="0"/>
    <n v="0"/>
    <n v="0"/>
    <n v="8"/>
    <n v="0"/>
    <n v="0"/>
    <n v="0"/>
    <n v="0"/>
    <n v="0"/>
    <n v="0"/>
    <n v="0"/>
    <n v="0"/>
    <n v="0"/>
    <n v="0"/>
    <n v="0"/>
    <n v="0"/>
    <m/>
  </r>
  <r>
    <n v="1584"/>
    <d v="2025-05-07T08:43:36"/>
    <d v="2025-05-07T08:45:57"/>
    <s v="mchirwa@lighthouse.org.mw"/>
    <s v="Margaret Chirwa"/>
    <x v="0"/>
    <s v="Prototype"/>
    <x v="2"/>
    <s v="COP_23"/>
    <m/>
    <x v="1"/>
    <s v="Quarter3"/>
    <m/>
    <s v="Apr"/>
    <d v="2025-04-01T00:00:00"/>
    <d v="2025-04-30T00:00:00"/>
    <x v="3"/>
    <n v="0"/>
    <n v="0"/>
    <n v="0"/>
    <n v="0"/>
    <n v="0"/>
    <n v="0"/>
    <n v="0"/>
    <n v="0"/>
    <n v="0"/>
    <n v="0"/>
    <n v="0"/>
    <n v="0"/>
    <n v="0"/>
    <n v="0"/>
    <n v="0"/>
    <n v="0"/>
    <n v="0"/>
    <n v="0"/>
    <n v="0"/>
    <n v="0"/>
    <n v="0"/>
    <n v="0"/>
    <n v="0"/>
    <n v="0"/>
    <n v="0"/>
    <m/>
  </r>
  <r>
    <n v="1585"/>
    <d v="2025-05-07T08:46:02"/>
    <d v="2025-05-07T08:48:04"/>
    <s v="mchirwa@lighthouse.org.mw"/>
    <s v="Margaret Chirwa"/>
    <x v="0"/>
    <s v="Prototype"/>
    <x v="2"/>
    <s v="COP_23"/>
    <m/>
    <x v="3"/>
    <s v="Quarter3"/>
    <m/>
    <s v="Apr"/>
    <d v="2025-04-01T00:00:00"/>
    <d v="2025-04-30T00:00:00"/>
    <x v="4"/>
    <n v="2"/>
    <n v="0"/>
    <n v="2"/>
    <n v="0"/>
    <n v="0"/>
    <n v="0"/>
    <n v="2"/>
    <n v="0"/>
    <n v="0"/>
    <n v="0"/>
    <n v="0"/>
    <n v="0"/>
    <n v="0"/>
    <n v="0"/>
    <n v="0"/>
    <n v="0"/>
    <n v="0"/>
    <n v="0"/>
    <n v="0"/>
    <n v="0"/>
    <n v="0"/>
    <n v="0"/>
    <n v="0"/>
    <n v="0"/>
    <n v="0"/>
    <m/>
  </r>
  <r>
    <n v="1586"/>
    <d v="2025-05-07T08:48:09"/>
    <d v="2025-05-07T08:56:40"/>
    <s v="mchirwa@lighthouse.org.mw"/>
    <s v="Margaret Chirwa"/>
    <x v="0"/>
    <s v="Prototype"/>
    <x v="2"/>
    <s v="COP_23"/>
    <m/>
    <x v="3"/>
    <s v="Quarter3"/>
    <m/>
    <s v="Apr"/>
    <d v="2025-04-01T00:00:00"/>
    <d v="2025-04-30T00:00:00"/>
    <x v="5"/>
    <n v="16"/>
    <n v="0"/>
    <n v="1"/>
    <n v="0"/>
    <n v="0"/>
    <n v="0"/>
    <n v="1"/>
    <n v="0"/>
    <n v="0"/>
    <n v="0"/>
    <n v="0"/>
    <n v="0"/>
    <n v="0"/>
    <n v="0"/>
    <n v="0"/>
    <n v="0"/>
    <n v="0"/>
    <n v="0"/>
    <n v="0"/>
    <n v="0"/>
    <n v="0"/>
    <n v="0"/>
    <n v="0"/>
    <n v="0"/>
    <n v="0"/>
    <m/>
  </r>
  <r>
    <n v="1588"/>
    <d v="2025-05-07T09:02:49"/>
    <d v="2025-05-07T09:13:02"/>
    <s v="mchirwa@lighthouse.org.mw"/>
    <s v="Margaret Chirwa"/>
    <x v="0"/>
    <s v="Prototype"/>
    <x v="2"/>
    <s v="COP_23"/>
    <m/>
    <x v="3"/>
    <s v="Quarter3"/>
    <m/>
    <s v="Apr"/>
    <d v="2025-04-01T00:00:00"/>
    <d v="2025-04-30T00:00:00"/>
    <x v="0"/>
    <n v="42"/>
    <n v="0"/>
    <n v="40"/>
    <n v="2"/>
    <n v="0"/>
    <n v="0"/>
    <n v="42"/>
    <n v="9"/>
    <n v="10"/>
    <n v="0"/>
    <n v="0"/>
    <n v="0"/>
    <n v="10"/>
    <n v="0"/>
    <n v="0"/>
    <n v="0"/>
    <n v="0"/>
    <n v="0"/>
    <n v="0"/>
    <n v="0"/>
    <n v="0"/>
    <n v="0"/>
    <n v="0"/>
    <n v="0"/>
    <n v="0"/>
    <m/>
  </r>
  <r>
    <n v="1671"/>
    <d v="2025-06-11T08:23:40"/>
    <d v="2025-06-11T09:08:00"/>
    <s v="mchirwa@lighthouse.org.mw"/>
    <s v="Margaret Chirwa"/>
    <x v="0"/>
    <s v="Prototype"/>
    <x v="2"/>
    <s v="COP_23"/>
    <m/>
    <x v="3"/>
    <s v="Quarter3"/>
    <m/>
    <s v="May"/>
    <d v="2025-05-01T00:00:00"/>
    <d v="2025-05-31T00:00:00"/>
    <x v="1"/>
    <n v="55"/>
    <n v="1"/>
    <n v="48"/>
    <n v="5"/>
    <n v="1"/>
    <n v="0"/>
    <n v="53"/>
    <n v="8"/>
    <n v="8"/>
    <n v="0"/>
    <n v="0"/>
    <n v="0"/>
    <n v="8"/>
    <n v="0"/>
    <n v="0"/>
    <n v="0"/>
    <n v="0"/>
    <n v="0"/>
    <n v="0"/>
    <n v="0"/>
    <n v="1"/>
    <n v="0"/>
    <n v="0"/>
    <n v="0"/>
    <n v="0"/>
    <m/>
  </r>
  <r>
    <n v="1672"/>
    <d v="2025-06-11T09:08:07"/>
    <d v="2025-06-11T09:10:14"/>
    <s v="mchirwa@lighthouse.org.mw"/>
    <s v="Margaret Chirwa"/>
    <x v="0"/>
    <s v="Prototype"/>
    <x v="2"/>
    <s v="COP_23"/>
    <m/>
    <x v="3"/>
    <s v="Quarter3"/>
    <m/>
    <s v="May"/>
    <d v="2025-05-01T00:00:00"/>
    <d v="2025-05-31T00:00:00"/>
    <x v="3"/>
    <n v="1"/>
    <n v="0"/>
    <n v="1"/>
    <n v="0"/>
    <n v="0"/>
    <n v="0"/>
    <n v="0"/>
    <n v="0"/>
    <n v="0"/>
    <n v="0"/>
    <n v="0"/>
    <n v="0"/>
    <n v="0"/>
    <n v="0"/>
    <n v="0"/>
    <n v="0"/>
    <n v="0"/>
    <n v="0"/>
    <n v="0"/>
    <n v="0"/>
    <n v="0"/>
    <n v="0"/>
    <n v="0"/>
    <n v="0"/>
    <n v="0"/>
    <m/>
  </r>
  <r>
    <n v="1673"/>
    <d v="2025-06-11T09:10:34"/>
    <d v="2025-06-11T09:12:47"/>
    <s v="mchirwa@lighthouse.org.mw"/>
    <s v="Margaret Chirwa"/>
    <x v="0"/>
    <s v="Prototype"/>
    <x v="1"/>
    <s v="COP_23"/>
    <m/>
    <x v="3"/>
    <s v="Quarter3"/>
    <m/>
    <s v="May"/>
    <d v="2025-05-01T00:00:00"/>
    <d v="2025-05-31T00:00:00"/>
    <x v="4"/>
    <n v="2"/>
    <n v="0"/>
    <n v="0"/>
    <n v="0"/>
    <n v="0"/>
    <n v="0"/>
    <n v="0"/>
    <n v="0"/>
    <n v="0"/>
    <n v="0"/>
    <n v="0"/>
    <n v="0"/>
    <n v="0"/>
    <n v="0"/>
    <n v="0"/>
    <n v="0"/>
    <n v="0"/>
    <n v="0"/>
    <n v="0"/>
    <n v="0"/>
    <n v="0"/>
    <n v="0"/>
    <n v="0"/>
    <n v="0"/>
    <n v="0"/>
    <m/>
  </r>
  <r>
    <n v="1674"/>
    <d v="2025-06-11T09:13:33"/>
    <d v="2025-06-11T09:14:49"/>
    <s v="mchirwa@lighthouse.org.mw"/>
    <s v="Margaret Chirwa"/>
    <x v="0"/>
    <s v="Prototype"/>
    <x v="2"/>
    <s v="COP_23"/>
    <m/>
    <x v="3"/>
    <s v="Quarter3"/>
    <m/>
    <s v="May"/>
    <d v="2025-05-01T00:00:00"/>
    <d v="2025-05-31T00:00:00"/>
    <x v="5"/>
    <n v="6"/>
    <n v="0"/>
    <n v="0"/>
    <n v="0"/>
    <n v="0"/>
    <n v="0"/>
    <n v="0"/>
    <n v="0"/>
    <n v="0"/>
    <n v="0"/>
    <n v="0"/>
    <n v="0"/>
    <n v="0"/>
    <n v="0"/>
    <n v="0"/>
    <n v="0"/>
    <n v="0"/>
    <n v="0"/>
    <n v="0"/>
    <n v="0"/>
    <n v="0"/>
    <n v="0"/>
    <n v="0"/>
    <n v="0"/>
    <n v="0"/>
    <m/>
  </r>
  <r>
    <n v="1675"/>
    <d v="2025-06-11T09:15:08"/>
    <d v="2025-06-11T09:16:39"/>
    <s v="mchirwa@lighthouse.org.mw"/>
    <s v="Margaret Chirwa"/>
    <x v="0"/>
    <s v="Prototype"/>
    <x v="2"/>
    <s v="COP_23"/>
    <m/>
    <x v="3"/>
    <s v="Quarter3"/>
    <m/>
    <s v="May"/>
    <d v="2025-05-01T00:00:00"/>
    <d v="2025-05-31T00:00:00"/>
    <x v="2"/>
    <n v="88"/>
    <n v="0"/>
    <n v="8"/>
    <n v="0"/>
    <n v="0"/>
    <n v="0"/>
    <n v="8"/>
    <n v="3"/>
    <n v="3"/>
    <n v="0"/>
    <n v="0"/>
    <n v="0"/>
    <n v="3"/>
    <n v="0"/>
    <n v="0"/>
    <n v="0"/>
    <n v="0"/>
    <n v="0"/>
    <n v="0"/>
    <n v="0"/>
    <n v="0"/>
    <n v="0"/>
    <n v="0"/>
    <n v="0"/>
    <n v="0"/>
    <m/>
  </r>
  <r>
    <n v="1676"/>
    <d v="2025-06-11T09:16:53"/>
    <d v="2025-06-11T09:19:06"/>
    <s v="mchirwa@lighthouse.org.mw"/>
    <s v="Margaret Chirwa"/>
    <x v="0"/>
    <s v="Prototype"/>
    <x v="2"/>
    <s v="COP_23"/>
    <m/>
    <x v="3"/>
    <s v="Quarter3"/>
    <m/>
    <s v="May"/>
    <d v="2025-05-01T00:00:00"/>
    <d v="2025-05-31T00:00:00"/>
    <x v="0"/>
    <n v="64"/>
    <n v="1"/>
    <n v="58"/>
    <n v="5"/>
    <n v="1"/>
    <n v="0"/>
    <n v="63"/>
    <n v="10"/>
    <n v="10"/>
    <n v="0"/>
    <n v="0"/>
    <n v="0"/>
    <n v="10"/>
    <n v="0"/>
    <n v="0"/>
    <n v="0"/>
    <n v="0"/>
    <n v="0"/>
    <n v="0"/>
    <n v="0"/>
    <n v="1"/>
    <n v="0"/>
    <n v="0"/>
    <n v="0"/>
    <n v="0"/>
    <m/>
  </r>
  <r>
    <n v="1770"/>
    <d v="2025-07-09T14:15:25"/>
    <d v="2025-07-09T14:19:13"/>
    <s v="mchirwa@lighthouse.org.mw"/>
    <s v="Margaret Chirwa"/>
    <x v="0"/>
    <s v="Prototype"/>
    <x v="2"/>
    <s v="COP_23"/>
    <m/>
    <x v="1"/>
    <s v="Quarter2"/>
    <m/>
    <s v="Jun"/>
    <d v="2025-06-01T00:00:00"/>
    <d v="2025-06-30T00:00:00"/>
    <x v="1"/>
    <n v="37"/>
    <n v="0"/>
    <n v="32"/>
    <n v="3"/>
    <n v="2"/>
    <n v="0"/>
    <n v="37"/>
    <n v="8"/>
    <n v="8"/>
    <n v="1"/>
    <n v="0"/>
    <n v="0"/>
    <n v="8"/>
    <n v="2"/>
    <n v="0"/>
    <n v="0"/>
    <n v="0"/>
    <n v="0"/>
    <n v="0"/>
    <n v="0"/>
    <n v="2"/>
    <n v="0"/>
    <n v="0"/>
    <n v="0"/>
    <n v="0"/>
    <m/>
  </r>
  <r>
    <n v="1771"/>
    <d v="2025-07-09T14:19:23"/>
    <d v="2025-07-09T14:20:47"/>
    <s v="mchirwa@lighthouse.org.mw"/>
    <s v="Margaret Chirwa"/>
    <x v="0"/>
    <s v="Prototype"/>
    <x v="2"/>
    <s v="COP_23"/>
    <m/>
    <x v="3"/>
    <s v="Quarter3"/>
    <m/>
    <s v="Jun"/>
    <d v="2025-06-01T00:00:00"/>
    <d v="2025-06-30T00:00:00"/>
    <x v="3"/>
    <n v="0"/>
    <n v="0"/>
    <n v="0"/>
    <n v="0"/>
    <n v="0"/>
    <n v="0"/>
    <n v="0"/>
    <n v="0"/>
    <n v="0"/>
    <n v="0"/>
    <n v="0"/>
    <n v="0"/>
    <n v="0"/>
    <n v="0"/>
    <n v="0"/>
    <n v="0"/>
    <n v="0"/>
    <n v="0"/>
    <n v="0"/>
    <n v="0"/>
    <n v="0"/>
    <n v="0"/>
    <n v="0"/>
    <n v="0"/>
    <n v="0"/>
    <m/>
  </r>
  <r>
    <n v="1772"/>
    <d v="2025-07-09T14:20:56"/>
    <d v="2025-07-09T14:21:56"/>
    <s v="mchirwa@lighthouse.org.mw"/>
    <s v="Margaret Chirwa"/>
    <x v="0"/>
    <s v="Prototype"/>
    <x v="2"/>
    <s v="COP_23"/>
    <m/>
    <x v="3"/>
    <s v="Quarter3"/>
    <m/>
    <s v="Jun"/>
    <d v="2025-06-01T00:00:00"/>
    <d v="2025-06-30T00:00:00"/>
    <x v="4"/>
    <n v="2"/>
    <n v="0"/>
    <n v="0"/>
    <n v="0"/>
    <n v="0"/>
    <n v="0"/>
    <n v="0"/>
    <n v="0"/>
    <n v="0"/>
    <n v="0"/>
    <n v="0"/>
    <n v="0"/>
    <n v="0"/>
    <n v="0"/>
    <n v="0"/>
    <n v="0"/>
    <n v="0"/>
    <n v="0"/>
    <n v="0"/>
    <n v="0"/>
    <n v="0"/>
    <n v="0"/>
    <n v="0"/>
    <n v="0"/>
    <n v="0"/>
    <m/>
  </r>
  <r>
    <n v="1773"/>
    <d v="2025-07-09T14:22:01"/>
    <d v="2025-07-09T14:24:10"/>
    <s v="mchirwa@lighthouse.org.mw"/>
    <s v="Margaret Chirwa"/>
    <x v="0"/>
    <s v="Prototype"/>
    <x v="2"/>
    <s v="COP_23"/>
    <m/>
    <x v="3"/>
    <s v="Quarter3"/>
    <m/>
    <s v="Jun"/>
    <d v="2025-06-01T00:00:00"/>
    <d v="2025-06-30T00:00:00"/>
    <x v="4"/>
    <n v="2"/>
    <n v="0"/>
    <n v="2"/>
    <n v="0"/>
    <n v="0"/>
    <n v="0"/>
    <n v="2"/>
    <n v="0"/>
    <n v="0"/>
    <n v="0"/>
    <n v="0"/>
    <n v="0"/>
    <n v="2"/>
    <n v="0"/>
    <n v="0"/>
    <n v="0"/>
    <n v="0"/>
    <n v="0"/>
    <n v="0"/>
    <n v="0"/>
    <n v="0"/>
    <n v="0"/>
    <n v="0"/>
    <n v="0"/>
    <n v="0"/>
    <m/>
  </r>
  <r>
    <n v="1774"/>
    <d v="2025-07-09T14:24:20"/>
    <d v="2025-07-09T14:25:26"/>
    <s v="mchirwa@lighthouse.org.mw"/>
    <s v="Margaret Chirwa"/>
    <x v="0"/>
    <s v="Prototype"/>
    <x v="2"/>
    <s v="COP_23"/>
    <m/>
    <x v="3"/>
    <s v="Quarter3"/>
    <m/>
    <s v="Jun"/>
    <d v="2025-06-01T00:00:00"/>
    <d v="2025-06-30T00:00:00"/>
    <x v="5"/>
    <n v="6"/>
    <n v="0"/>
    <n v="0"/>
    <n v="0"/>
    <n v="0"/>
    <n v="0"/>
    <n v="0"/>
    <n v="0"/>
    <n v="0"/>
    <n v="0"/>
    <n v="0"/>
    <n v="0"/>
    <n v="0"/>
    <n v="0"/>
    <n v="0"/>
    <n v="0"/>
    <n v="0"/>
    <n v="0"/>
    <n v="0"/>
    <n v="0"/>
    <n v="0"/>
    <n v="0"/>
    <n v="0"/>
    <n v="0"/>
    <n v="0"/>
    <m/>
  </r>
  <r>
    <n v="1775"/>
    <d v="2025-07-09T14:25:36"/>
    <d v="2025-07-09T14:30:45"/>
    <s v="mchirwa@lighthouse.org.mw"/>
    <s v="Margaret Chirwa"/>
    <x v="0"/>
    <s v="Prototype"/>
    <x v="2"/>
    <s v="COP_23"/>
    <m/>
    <x v="3"/>
    <s v="Quarter3"/>
    <m/>
    <s v="Jun"/>
    <d v="2025-06-01T00:00:00"/>
    <d v="2025-06-30T00:00:00"/>
    <x v="2"/>
    <n v="74"/>
    <n v="0"/>
    <n v="16"/>
    <n v="0"/>
    <n v="1"/>
    <n v="16"/>
    <n v="3"/>
    <n v="4"/>
    <n v="0"/>
    <n v="0"/>
    <n v="0"/>
    <n v="0"/>
    <n v="4"/>
    <n v="0"/>
    <n v="0"/>
    <n v="0"/>
    <n v="0"/>
    <n v="0"/>
    <n v="0"/>
    <n v="0"/>
    <n v="0"/>
    <n v="0"/>
    <n v="0"/>
    <n v="0"/>
    <n v="0"/>
    <m/>
  </r>
  <r>
    <n v="1776"/>
    <d v="2025-07-09T14:30:52"/>
    <d v="2025-07-09T14:33:07"/>
    <s v="mchirwa@lighthouse.org.mw"/>
    <s v="Margaret Chirwa"/>
    <x v="0"/>
    <s v="Prototype"/>
    <x v="2"/>
    <s v="COP_23"/>
    <m/>
    <x v="3"/>
    <s v="Quarter3"/>
    <m/>
    <s v="Jun"/>
    <d v="2025-06-01T00:00:00"/>
    <d v="2025-06-30T00:00:00"/>
    <x v="0"/>
    <n v="54"/>
    <n v="1"/>
    <n v="48"/>
    <n v="3"/>
    <n v="3"/>
    <n v="0"/>
    <n v="53"/>
    <n v="10"/>
    <n v="11"/>
    <n v="1"/>
    <n v="0"/>
    <n v="0"/>
    <n v="11"/>
    <n v="2"/>
    <n v="0"/>
    <n v="0"/>
    <n v="0"/>
    <n v="0"/>
    <n v="0"/>
    <n v="0"/>
    <n v="2"/>
    <n v="0"/>
    <n v="0"/>
    <n v="0"/>
    <n v="0"/>
    <m/>
  </r>
  <r>
    <n v="43"/>
    <d v="2023-12-20T11:23:15"/>
    <d v="2023-12-20T11:36:38"/>
    <s v="bchirwa@lighthouse.org.mw"/>
    <s v="Bethsheba Chirwa"/>
    <x v="1"/>
    <s v="Prototype"/>
    <x v="0"/>
    <s v="COP_23"/>
    <s v="COP_22"/>
    <x v="1"/>
    <s v="Quarter4"/>
    <s v="Qtr_4"/>
    <s v="Sep"/>
    <d v="2023-09-01T00:00:00"/>
    <d v="2023-09-30T00:00:00"/>
    <x v="0"/>
    <n v="21"/>
    <n v="0"/>
    <n v="1"/>
    <n v="1"/>
    <n v="0"/>
    <n v="0"/>
    <n v="2"/>
    <n v="0"/>
    <n v="0"/>
    <n v="0"/>
    <n v="0"/>
    <n v="0"/>
    <n v="0"/>
    <n v="0"/>
    <n v="0"/>
    <n v="0"/>
    <n v="0"/>
    <n v="0"/>
    <n v="0"/>
    <n v="0"/>
    <n v="0"/>
    <n v="0"/>
    <n v="0"/>
    <n v="0"/>
    <n v="0"/>
    <m/>
  </r>
  <r>
    <n v="45"/>
    <d v="2023-12-20T11:36:46"/>
    <d v="2023-12-20T11:43:52"/>
    <s v="bchirwa@lighthouse.org.mw"/>
    <s v="Bethsheba Chirwa"/>
    <x v="1"/>
    <s v="Prototype"/>
    <x v="0"/>
    <s v="COP_23"/>
    <s v="COP_23"/>
    <x v="0"/>
    <s v="Quarter1"/>
    <s v="Qtr_1"/>
    <s v="Oct"/>
    <d v="2023-10-01T00:00:00"/>
    <d v="2023-10-31T00:00:00"/>
    <x v="0"/>
    <n v="10"/>
    <n v="0"/>
    <n v="10"/>
    <n v="0"/>
    <n v="0"/>
    <n v="0"/>
    <n v="0"/>
    <n v="2"/>
    <n v="2"/>
    <n v="0"/>
    <n v="0"/>
    <n v="0"/>
    <n v="2"/>
    <n v="0"/>
    <n v="0"/>
    <n v="0"/>
    <n v="0"/>
    <n v="0"/>
    <n v="0"/>
    <n v="0"/>
    <n v="0"/>
    <n v="0"/>
    <n v="0"/>
    <n v="0"/>
    <n v="0"/>
    <m/>
  </r>
  <r>
    <n v="48"/>
    <d v="2023-12-20T11:44:15"/>
    <d v="2023-12-20T11:56:48"/>
    <s v="bchirwa@lighthouse.org.mw"/>
    <s v="Bethsheba Chirwa"/>
    <x v="1"/>
    <s v="Prototype"/>
    <x v="0"/>
    <s v="COP_23"/>
    <s v="COP_23"/>
    <x v="0"/>
    <s v="Quarter1"/>
    <s v="Qtr_1"/>
    <s v="Nov"/>
    <d v="2023-11-01T00:00:00"/>
    <d v="2023-11-30T00:00:00"/>
    <x v="0"/>
    <n v="13"/>
    <n v="0"/>
    <n v="9"/>
    <n v="0"/>
    <n v="0"/>
    <n v="0"/>
    <n v="0"/>
    <n v="0"/>
    <n v="0"/>
    <n v="0"/>
    <n v="0"/>
    <n v="0"/>
    <n v="0"/>
    <n v="0"/>
    <n v="0"/>
    <n v="0"/>
    <n v="0"/>
    <n v="0"/>
    <n v="0"/>
    <n v="0"/>
    <n v="0"/>
    <n v="0"/>
    <n v="0"/>
    <n v="0"/>
    <n v="0"/>
    <m/>
  </r>
  <r>
    <n v="63"/>
    <d v="2024-01-09T10:50:23"/>
    <d v="2024-01-09T11:52:20"/>
    <s v="bchirwa@lighthouse.org.mw"/>
    <s v="Bethsheba Chirwa"/>
    <x v="1"/>
    <s v="Prototype"/>
    <x v="0"/>
    <s v="COP_23"/>
    <s v="COP_23"/>
    <x v="0"/>
    <s v="Quarter1"/>
    <s v="Qtr_1"/>
    <s v="Dec"/>
    <d v="2023-12-01T00:00:00"/>
    <d v="2023-12-31T00:00:00"/>
    <x v="0"/>
    <n v="13"/>
    <n v="0"/>
    <n v="7"/>
    <n v="4"/>
    <n v="0"/>
    <n v="0"/>
    <n v="8"/>
    <n v="0"/>
    <n v="0"/>
    <n v="0"/>
    <n v="0"/>
    <n v="0"/>
    <n v="0"/>
    <n v="0"/>
    <n v="0"/>
    <n v="0"/>
    <n v="0"/>
    <n v="0"/>
    <n v="0"/>
    <n v="0"/>
    <n v="0"/>
    <n v="0"/>
    <n v="0"/>
    <n v="0"/>
    <n v="0"/>
    <m/>
  </r>
  <r>
    <n v="109"/>
    <d v="2024-01-23T10:27:28"/>
    <d v="2024-01-23T10:31:57"/>
    <s v="bchirwa@lighthouse.org.mw"/>
    <s v="Bethsheba Chirwa"/>
    <x v="1"/>
    <s v="Prototype"/>
    <x v="0"/>
    <s v="COP_23"/>
    <s v="COP_23"/>
    <x v="0"/>
    <s v="Quarter1"/>
    <s v="Qtr_1"/>
    <s v="Dec"/>
    <d v="2023-12-01T00:00:00"/>
    <d v="2023-12-31T00:00:00"/>
    <x v="1"/>
    <n v="11"/>
    <n v="0"/>
    <n v="7"/>
    <n v="4"/>
    <n v="0"/>
    <n v="0"/>
    <n v="11"/>
    <n v="0"/>
    <n v="0"/>
    <n v="0"/>
    <n v="0"/>
    <n v="0"/>
    <n v="0"/>
    <n v="0"/>
    <n v="0"/>
    <n v="0"/>
    <n v="0"/>
    <n v="0"/>
    <n v="0"/>
    <n v="0"/>
    <n v="0"/>
    <n v="0"/>
    <n v="0"/>
    <n v="0"/>
    <n v="0"/>
    <m/>
  </r>
  <r>
    <n v="188"/>
    <d v="2024-04-04T12:26:15"/>
    <d v="2024-04-04T12:41:39"/>
    <s v="bchirwa@lighthouse.org.mw"/>
    <s v="Bethsheba Chirwa"/>
    <x v="1"/>
    <s v="Prototype"/>
    <x v="1"/>
    <s v="COP_23"/>
    <s v="COP_23"/>
    <x v="2"/>
    <s v="Quarter2"/>
    <s v="Qtr_2"/>
    <s v="Jan"/>
    <d v="2024-01-01T00:00:00"/>
    <d v="2024-01-31T00:00:00"/>
    <x v="1"/>
    <n v="46"/>
    <n v="1"/>
    <n v="9"/>
    <n v="2"/>
    <n v="1"/>
    <n v="0"/>
    <n v="12"/>
    <n v="2"/>
    <n v="2"/>
    <n v="0"/>
    <n v="0"/>
    <n v="0"/>
    <n v="2"/>
    <n v="0"/>
    <n v="0"/>
    <n v="0"/>
    <n v="0"/>
    <n v="0"/>
    <n v="0"/>
    <n v="0"/>
    <n v="0"/>
    <n v="0"/>
    <n v="0"/>
    <n v="0"/>
    <n v="0"/>
    <m/>
  </r>
  <r>
    <n v="190"/>
    <d v="2024-04-04T12:55:07"/>
    <d v="2024-04-04T13:01:30"/>
    <s v="bchirwa@lighthouse.org.mw"/>
    <s v="Bethsheba Chirwa"/>
    <x v="1"/>
    <s v="Prototype"/>
    <x v="1"/>
    <s v="COP_23"/>
    <s v="COP_23"/>
    <x v="2"/>
    <s v="Quarter2"/>
    <s v="Qtr_2"/>
    <s v="Feb"/>
    <d v="2024-02-01T00:00:00"/>
    <d v="2024-02-29T00:00:00"/>
    <x v="1"/>
    <n v="17"/>
    <n v="0"/>
    <n v="15"/>
    <n v="2"/>
    <n v="0"/>
    <n v="0"/>
    <n v="17"/>
    <n v="5"/>
    <n v="5"/>
    <n v="0"/>
    <n v="0"/>
    <n v="0"/>
    <n v="5"/>
    <n v="0"/>
    <n v="0"/>
    <n v="0"/>
    <n v="0"/>
    <n v="0"/>
    <n v="0"/>
    <n v="0"/>
    <n v="0"/>
    <n v="0"/>
    <n v="0"/>
    <n v="0"/>
    <n v="0"/>
    <m/>
  </r>
  <r>
    <n v="195"/>
    <d v="2024-04-04T13:21:37"/>
    <d v="2024-04-04T13:30:59"/>
    <s v="bchirwa@lighthouse.org.mw"/>
    <s v="Bethsheba Chirwa"/>
    <x v="1"/>
    <s v="Prototype"/>
    <x v="1"/>
    <s v="COP_23"/>
    <s v="COP_23"/>
    <x v="2"/>
    <s v="Quarter2"/>
    <s v="Qtr_2"/>
    <s v="Mar"/>
    <d v="2024-03-01T00:00:00"/>
    <d v="2024-03-31T00:00:00"/>
    <x v="1"/>
    <n v="17"/>
    <n v="0"/>
    <n v="5"/>
    <n v="0"/>
    <n v="0"/>
    <n v="0"/>
    <n v="5"/>
    <n v="2"/>
    <n v="2"/>
    <n v="0"/>
    <n v="0"/>
    <n v="0"/>
    <n v="2"/>
    <n v="0"/>
    <n v="0"/>
    <n v="0"/>
    <n v="0"/>
    <n v="0"/>
    <n v="0"/>
    <n v="0"/>
    <n v="0"/>
    <n v="0"/>
    <n v="0"/>
    <n v="0"/>
    <n v="0"/>
    <m/>
  </r>
  <r>
    <n v="352"/>
    <d v="2024-05-07T14:24:28"/>
    <d v="2024-05-07T14:42:47"/>
    <s v="bchirwa@lighthouse.org.mw"/>
    <s v="Bethsheba Chirwa"/>
    <x v="1"/>
    <s v="Prototype"/>
    <x v="1"/>
    <s v="COP_23"/>
    <s v="COP_23"/>
    <x v="3"/>
    <s v="Quarter3"/>
    <s v="Qtr_3"/>
    <s v="Apr"/>
    <d v="2024-04-01T00:00:00"/>
    <d v="2024-04-30T00:00:00"/>
    <x v="1"/>
    <n v="8"/>
    <n v="0"/>
    <n v="8"/>
    <n v="0"/>
    <n v="0"/>
    <n v="0"/>
    <n v="8"/>
    <n v="1"/>
    <n v="2"/>
    <n v="0"/>
    <n v="0"/>
    <n v="0"/>
    <n v="2"/>
    <n v="1"/>
    <n v="0"/>
    <n v="0"/>
    <n v="0"/>
    <n v="0"/>
    <n v="0"/>
    <n v="0"/>
    <n v="0"/>
    <n v="0"/>
    <n v="0"/>
    <n v="0"/>
    <n v="0"/>
    <m/>
  </r>
  <r>
    <n v="490"/>
    <d v="2024-06-05T15:02:41"/>
    <d v="2024-06-05T15:41:54"/>
    <s v="bchirwa@lighthouse.org.mw"/>
    <s v="Bethsheba Chirwa"/>
    <x v="1"/>
    <s v="Prototype"/>
    <x v="1"/>
    <s v="COP_23"/>
    <s v="COP_23"/>
    <x v="3"/>
    <s v="Quarter3"/>
    <s v="Qtr_3"/>
    <s v="May"/>
    <d v="2024-05-01T00:00:00"/>
    <d v="2024-05-31T00:00:00"/>
    <x v="1"/>
    <n v="17"/>
    <n v="0"/>
    <n v="17"/>
    <n v="0"/>
    <n v="0"/>
    <n v="0"/>
    <n v="17"/>
    <n v="2"/>
    <n v="2"/>
    <n v="0"/>
    <n v="0"/>
    <n v="0"/>
    <n v="0"/>
    <n v="0"/>
    <n v="0"/>
    <n v="0"/>
    <n v="0"/>
    <n v="0"/>
    <n v="0"/>
    <n v="0"/>
    <n v="0"/>
    <n v="0"/>
    <n v="0"/>
    <n v="0"/>
    <n v="0"/>
    <m/>
  </r>
  <r>
    <n v="554"/>
    <d v="2024-07-02T10:07:57"/>
    <d v="2024-07-02T10:36:58"/>
    <s v="bchirwa@lighthouse.org.mw"/>
    <s v="Bethsheba Chirwa"/>
    <x v="1"/>
    <s v="Prototype"/>
    <x v="1"/>
    <s v="COP_23"/>
    <s v="COP_23"/>
    <x v="3"/>
    <s v="Quarter3"/>
    <s v="Qtr_3"/>
    <s v="Jun"/>
    <d v="2024-06-01T00:00:00"/>
    <d v="2024-06-30T00:00:00"/>
    <x v="1"/>
    <n v="12"/>
    <n v="1"/>
    <n v="10"/>
    <n v="1"/>
    <n v="1"/>
    <n v="0"/>
    <n v="12"/>
    <n v="1"/>
    <n v="1"/>
    <n v="0"/>
    <n v="0"/>
    <n v="0"/>
    <n v="0"/>
    <n v="0"/>
    <n v="0"/>
    <n v="0"/>
    <n v="0"/>
    <n v="0"/>
    <n v="0"/>
    <n v="0"/>
    <n v="0"/>
    <n v="0"/>
    <n v="0"/>
    <n v="0"/>
    <n v="0"/>
    <m/>
  </r>
  <r>
    <n v="791"/>
    <d v="2024-09-10T10:19:21"/>
    <d v="2024-09-10T10:49:54"/>
    <s v="bchirwa@lighthouse.org.mw"/>
    <s v="Bethsheba Chirwa"/>
    <x v="1"/>
    <s v="Prototype"/>
    <x v="1"/>
    <s v="COP_23"/>
    <s v="COP_23"/>
    <x v="1"/>
    <s v="Quarter4"/>
    <s v="Qtr_4"/>
    <s v="Jul"/>
    <d v="2024-07-01T00:00:00"/>
    <d v="2024-07-31T00:00:00"/>
    <x v="1"/>
    <n v="17"/>
    <n v="0"/>
    <n v="14"/>
    <n v="2"/>
    <n v="1"/>
    <n v="0"/>
    <n v="15"/>
    <n v="1"/>
    <n v="1"/>
    <n v="0"/>
    <n v="0"/>
    <n v="0"/>
    <n v="0"/>
    <n v="0"/>
    <n v="0"/>
    <n v="0"/>
    <n v="0"/>
    <n v="0"/>
    <n v="0"/>
    <n v="0"/>
    <n v="0"/>
    <n v="0"/>
    <n v="0"/>
    <n v="0"/>
    <n v="0"/>
    <m/>
  </r>
  <r>
    <n v="792"/>
    <d v="2024-09-10T10:50:12"/>
    <d v="2024-09-10T11:04:46"/>
    <s v="bchirwa@lighthouse.org.mw"/>
    <s v="Bethsheba Chirwa"/>
    <x v="1"/>
    <s v="Prototype"/>
    <x v="1"/>
    <s v="COP_23"/>
    <s v="COP_23"/>
    <x v="1"/>
    <s v="Quarter4"/>
    <s v="Qtr_4"/>
    <s v="Aug"/>
    <d v="2024-08-01T00:00:00"/>
    <d v="2024-08-31T00:00:00"/>
    <x v="1"/>
    <n v="13"/>
    <n v="0"/>
    <n v="5"/>
    <n v="0"/>
    <n v="0"/>
    <n v="0"/>
    <n v="5"/>
    <n v="0"/>
    <n v="0"/>
    <n v="0"/>
    <n v="0"/>
    <n v="0"/>
    <n v="0"/>
    <n v="0"/>
    <n v="0"/>
    <n v="0"/>
    <n v="0"/>
    <n v="0"/>
    <n v="0"/>
    <n v="0"/>
    <n v="0"/>
    <n v="0"/>
    <n v="0"/>
    <n v="0"/>
    <n v="0"/>
    <m/>
  </r>
  <r>
    <n v="898"/>
    <d v="2024-10-07T09:31:25"/>
    <d v="2024-10-07T09:50:10"/>
    <s v="bchirwa@lighthouse.org.mw"/>
    <s v="Bethsheba Chirwa"/>
    <x v="1"/>
    <s v="Prototype"/>
    <x v="1"/>
    <s v="COP_23"/>
    <s v="COP_23"/>
    <x v="1"/>
    <s v="Quarter4"/>
    <s v="Qtr_4"/>
    <s v="Sep"/>
    <d v="2024-09-01T00:00:00"/>
    <d v="2024-09-30T00:00:00"/>
    <x v="1"/>
    <n v="24"/>
    <n v="0"/>
    <n v="5"/>
    <n v="0"/>
    <n v="1"/>
    <n v="0"/>
    <n v="6"/>
    <n v="0"/>
    <n v="6"/>
    <n v="0"/>
    <n v="0"/>
    <n v="0"/>
    <n v="6"/>
    <n v="1"/>
    <n v="0"/>
    <n v="0"/>
    <n v="0"/>
    <n v="0"/>
    <n v="0"/>
    <n v="0"/>
    <n v="0"/>
    <n v="0"/>
    <n v="0"/>
    <n v="0"/>
    <n v="0"/>
    <m/>
  </r>
  <r>
    <n v="191"/>
    <d v="2024-04-04T13:01:42"/>
    <d v="2024-04-04T13:04:53"/>
    <s v="bchirwa@lighthouse.org.mw"/>
    <s v="Bethsheba Chirwa"/>
    <x v="1"/>
    <s v="Prototype"/>
    <x v="1"/>
    <s v="COP_23"/>
    <s v="COP_23"/>
    <x v="2"/>
    <s v="Quarter2"/>
    <s v="Qtr_2"/>
    <s v="Feb"/>
    <d v="2024-02-01T00:00:00"/>
    <d v="2024-02-29T00:00:00"/>
    <x v="3"/>
    <n v="1"/>
    <n v="0"/>
    <n v="0"/>
    <n v="1"/>
    <n v="0"/>
    <n v="0"/>
    <n v="1"/>
    <n v="1"/>
    <n v="1"/>
    <n v="0"/>
    <n v="0"/>
    <n v="0"/>
    <n v="1"/>
    <n v="0"/>
    <n v="0"/>
    <n v="0"/>
    <n v="0"/>
    <n v="0"/>
    <n v="0"/>
    <n v="0"/>
    <n v="0"/>
    <n v="0"/>
    <n v="0"/>
    <n v="0"/>
    <n v="0"/>
    <m/>
  </r>
  <r>
    <n v="193"/>
    <d v="2024-04-04T13:13:27"/>
    <d v="2024-04-04T13:17:35"/>
    <s v="bchirwa@lighthouse.org.mw"/>
    <s v="Bethsheba Chirwa"/>
    <x v="1"/>
    <s v="Prototype"/>
    <x v="1"/>
    <s v="COP_23"/>
    <s v="COP_23"/>
    <x v="2"/>
    <s v="Quarter2"/>
    <s v="Qtr_2"/>
    <s v="Feb"/>
    <d v="2024-02-01T00:00:00"/>
    <d v="2024-02-29T00:00:00"/>
    <x v="0"/>
    <n v="21"/>
    <n v="0"/>
    <n v="18"/>
    <n v="3"/>
    <n v="0"/>
    <n v="0"/>
    <n v="21"/>
    <n v="5"/>
    <n v="5"/>
    <n v="0"/>
    <n v="0"/>
    <n v="0"/>
    <n v="5"/>
    <n v="0"/>
    <n v="0"/>
    <n v="0"/>
    <n v="0"/>
    <n v="0"/>
    <n v="0"/>
    <n v="0"/>
    <n v="0"/>
    <n v="0"/>
    <n v="0"/>
    <n v="0"/>
    <n v="0"/>
    <m/>
  </r>
  <r>
    <n v="194"/>
    <d v="2024-04-04T13:17:52"/>
    <d v="2024-04-04T13:20:24"/>
    <s v="bchirwa@lighthouse.org.mw"/>
    <s v="Bethsheba Chirwa"/>
    <x v="1"/>
    <s v="Prototype"/>
    <x v="1"/>
    <s v="COP_23"/>
    <s v="COP_23"/>
    <x v="2"/>
    <s v="Quarter2"/>
    <s v="Qtr_2"/>
    <s v="Jan"/>
    <d v="2024-01-01T00:00:00"/>
    <d v="2024-01-31T00:00:00"/>
    <x v="5"/>
    <n v="3"/>
    <n v="0"/>
    <n v="1"/>
    <n v="0"/>
    <n v="0"/>
    <n v="0"/>
    <n v="3"/>
    <n v="0"/>
    <n v="0"/>
    <n v="0"/>
    <n v="0"/>
    <n v="0"/>
    <n v="0"/>
    <n v="0"/>
    <n v="0"/>
    <n v="0"/>
    <n v="0"/>
    <n v="0"/>
    <n v="0"/>
    <n v="0"/>
    <n v="0"/>
    <n v="0"/>
    <n v="0"/>
    <n v="0"/>
    <n v="0"/>
    <m/>
  </r>
  <r>
    <n v="192"/>
    <d v="2024-04-04T13:08:19"/>
    <d v="2024-04-04T13:13:25"/>
    <s v="bchirwa@lighthouse.org.mw"/>
    <s v="Bethsheba Chirwa"/>
    <x v="1"/>
    <s v="Prototype"/>
    <x v="1"/>
    <s v="COP_23"/>
    <s v="COP_23"/>
    <x v="2"/>
    <s v="Quarter2"/>
    <s v="Qtr_2"/>
    <s v="Feb"/>
    <d v="2024-02-01T00:00:00"/>
    <d v="2024-02-29T00:00:00"/>
    <x v="2"/>
    <n v="4"/>
    <n v="0"/>
    <n v="4"/>
    <n v="0"/>
    <n v="0"/>
    <n v="0"/>
    <n v="4"/>
    <n v="0"/>
    <n v="0"/>
    <n v="0"/>
    <n v="0"/>
    <n v="0"/>
    <n v="0"/>
    <n v="0"/>
    <n v="0"/>
    <n v="0"/>
    <n v="0"/>
    <n v="0"/>
    <n v="0"/>
    <n v="0"/>
    <n v="0"/>
    <n v="0"/>
    <n v="0"/>
    <n v="0"/>
    <n v="0"/>
    <m/>
  </r>
  <r>
    <n v="197"/>
    <d v="2024-04-04T14:18:35"/>
    <d v="2024-04-04T14:24:16"/>
    <s v="bchirwa@lighthouse.org.mw"/>
    <s v="Bethsheba Chirwa"/>
    <x v="1"/>
    <s v="Prototype"/>
    <x v="1"/>
    <s v="COP_23"/>
    <s v="COP_23"/>
    <x v="2"/>
    <s v="Quarter2"/>
    <s v="Qtr_2"/>
    <s v="Mar"/>
    <d v="2024-03-01T00:00:00"/>
    <d v="2024-03-31T00:00:00"/>
    <x v="3"/>
    <n v="0"/>
    <n v="0"/>
    <n v="1"/>
    <n v="0"/>
    <n v="0"/>
    <n v="0"/>
    <n v="0"/>
    <n v="0"/>
    <n v="1"/>
    <n v="0"/>
    <n v="0"/>
    <n v="0"/>
    <n v="1"/>
    <n v="0"/>
    <n v="0"/>
    <n v="0"/>
    <n v="0"/>
    <n v="0"/>
    <n v="0"/>
    <n v="0"/>
    <n v="0"/>
    <n v="0"/>
    <n v="0"/>
    <n v="0"/>
    <n v="0"/>
    <m/>
  </r>
  <r>
    <n v="198"/>
    <d v="2024-04-04T14:24:25"/>
    <d v="2024-04-04T14:25:57"/>
    <s v="bchirwa@lighthouse.org.mw"/>
    <s v="Bethsheba Chirwa"/>
    <x v="1"/>
    <s v="Prototype"/>
    <x v="1"/>
    <s v="COP_23"/>
    <s v="COP_23"/>
    <x v="2"/>
    <s v="Quarter2"/>
    <s v="Qtr_2"/>
    <s v="Feb"/>
    <d v="2024-02-01T00:00:00"/>
    <d v="2024-02-29T00:00:00"/>
    <x v="4"/>
    <n v="1"/>
    <n v="0"/>
    <n v="0"/>
    <n v="1"/>
    <n v="0"/>
    <n v="0"/>
    <n v="1"/>
    <n v="0"/>
    <n v="0"/>
    <n v="0"/>
    <n v="0"/>
    <n v="0"/>
    <n v="1"/>
    <n v="0"/>
    <n v="0"/>
    <n v="0"/>
    <n v="0"/>
    <n v="0"/>
    <n v="0"/>
    <n v="0"/>
    <n v="0"/>
    <n v="0"/>
    <n v="0"/>
    <n v="0"/>
    <n v="0"/>
    <m/>
  </r>
  <r>
    <n v="196"/>
    <d v="2024-04-04T13:31:15"/>
    <d v="2024-04-04T13:35:05"/>
    <s v="bchirwa@lighthouse.org.mw"/>
    <s v="Bethsheba Chirwa"/>
    <x v="1"/>
    <s v="Prototype"/>
    <x v="1"/>
    <s v="COP_23"/>
    <s v="COP_23"/>
    <x v="2"/>
    <s v="Quarter2"/>
    <s v="Qtr_2"/>
    <s v="Mar"/>
    <d v="2024-03-01T00:00:00"/>
    <d v="2024-03-31T00:00:00"/>
    <x v="2"/>
    <n v="2"/>
    <n v="0"/>
    <n v="2"/>
    <n v="0"/>
    <n v="0"/>
    <n v="0"/>
    <n v="2"/>
    <n v="1"/>
    <n v="1"/>
    <n v="0"/>
    <n v="0"/>
    <n v="0"/>
    <n v="1"/>
    <n v="0"/>
    <n v="0"/>
    <n v="0"/>
    <n v="0"/>
    <n v="0"/>
    <n v="0"/>
    <n v="0"/>
    <n v="0"/>
    <n v="0"/>
    <n v="0"/>
    <n v="0"/>
    <n v="0"/>
    <m/>
  </r>
  <r>
    <n v="271"/>
    <d v="2024-04-23T11:00:57"/>
    <d v="2024-04-23T11:09:14"/>
    <s v="bchirwa@lighthouse.org.mw"/>
    <s v="Bethsheba Chirwa"/>
    <x v="1"/>
    <s v="Prototype"/>
    <x v="1"/>
    <s v="COP_23"/>
    <s v="COP_23"/>
    <x v="2"/>
    <s v="Quarter2"/>
    <s v="Qtr_2"/>
    <s v="Jan"/>
    <d v="2024-01-01T00:00:00"/>
    <d v="2024-01-31T00:00:00"/>
    <x v="2"/>
    <n v="2"/>
    <n v="0"/>
    <n v="2"/>
    <n v="0"/>
    <n v="0"/>
    <n v="0"/>
    <n v="0"/>
    <n v="0"/>
    <n v="0"/>
    <n v="0"/>
    <n v="0"/>
    <n v="0"/>
    <n v="0"/>
    <n v="0"/>
    <n v="0"/>
    <n v="0"/>
    <n v="0"/>
    <n v="0"/>
    <n v="0"/>
    <n v="0"/>
    <n v="0"/>
    <n v="0"/>
    <n v="0"/>
    <n v="0"/>
    <n v="0"/>
    <m/>
  </r>
  <r>
    <n v="356"/>
    <d v="2024-05-07T14:57:00"/>
    <d v="2024-05-07T15:13:03"/>
    <s v="bchirwa@lighthouse.org.mw"/>
    <s v="Bethsheba Chirwa"/>
    <x v="1"/>
    <s v="Prototype"/>
    <x v="1"/>
    <s v="COP_24"/>
    <s v="COP_23"/>
    <x v="3"/>
    <s v="Quarter3"/>
    <s v="Qtr_3"/>
    <s v="Apr"/>
    <d v="2024-04-01T00:00:00"/>
    <d v="2024-04-30T00:00:00"/>
    <x v="2"/>
    <n v="6"/>
    <n v="0"/>
    <n v="6"/>
    <n v="0"/>
    <n v="0"/>
    <n v="0"/>
    <n v="4"/>
    <n v="1"/>
    <n v="1"/>
    <n v="0"/>
    <n v="0"/>
    <n v="0"/>
    <n v="1"/>
    <n v="0"/>
    <n v="0"/>
    <n v="0"/>
    <n v="0"/>
    <n v="0"/>
    <n v="0"/>
    <n v="0"/>
    <n v="0"/>
    <n v="0"/>
    <n v="0"/>
    <n v="0"/>
    <n v="0"/>
    <m/>
  </r>
  <r>
    <n v="498"/>
    <d v="2024-06-06T08:48:17"/>
    <d v="2024-06-06T09:04:13"/>
    <s v="bchirwa@lighthouse.org.mw"/>
    <s v="Bethsheba Chirwa"/>
    <x v="1"/>
    <s v="Prototype"/>
    <x v="1"/>
    <s v="COP_24"/>
    <s v="COP_23"/>
    <x v="3"/>
    <s v="Quarter3"/>
    <s v="Qtr_3"/>
    <s v="May"/>
    <d v="2024-05-01T00:00:00"/>
    <d v="2024-05-31T00:00:00"/>
    <x v="2"/>
    <n v="9"/>
    <n v="0"/>
    <n v="9"/>
    <n v="0"/>
    <n v="0"/>
    <n v="0"/>
    <n v="9"/>
    <n v="0"/>
    <n v="0"/>
    <n v="0"/>
    <n v="0"/>
    <n v="0"/>
    <n v="0"/>
    <n v="0"/>
    <n v="0"/>
    <n v="0"/>
    <n v="0"/>
    <n v="0"/>
    <n v="0"/>
    <n v="0"/>
    <n v="0"/>
    <n v="0"/>
    <n v="0"/>
    <n v="0"/>
    <n v="0"/>
    <m/>
  </r>
  <r>
    <n v="558"/>
    <d v="2024-07-02T11:18:58"/>
    <d v="2024-07-02T11:28:38"/>
    <s v="bchirwa@lighthouse.org.mw"/>
    <s v="Bethsheba Chirwa"/>
    <x v="1"/>
    <s v="Prototype"/>
    <x v="1"/>
    <s v="COP_24"/>
    <s v="COP_23"/>
    <x v="3"/>
    <s v="Quarter3"/>
    <s v="Qtr_3"/>
    <s v="Jun"/>
    <d v="2024-06-01T00:00:00"/>
    <d v="2024-06-30T00:00:00"/>
    <x v="2"/>
    <n v="13"/>
    <n v="0"/>
    <n v="8"/>
    <n v="0"/>
    <n v="0"/>
    <n v="0"/>
    <n v="8"/>
    <n v="2"/>
    <n v="2"/>
    <n v="0"/>
    <n v="0"/>
    <n v="0"/>
    <n v="0"/>
    <n v="0"/>
    <n v="0"/>
    <n v="0"/>
    <n v="0"/>
    <n v="0"/>
    <n v="0"/>
    <n v="0"/>
    <n v="0"/>
    <n v="0"/>
    <n v="0"/>
    <n v="0"/>
    <n v="0"/>
    <m/>
  </r>
  <r>
    <n v="786"/>
    <d v="2024-09-10T10:00:30"/>
    <d v="2024-09-10T10:07:19"/>
    <s v="bchirwa@lighthouse.org.mw"/>
    <s v="Bethsheba Chirwa"/>
    <x v="1"/>
    <s v="Prototype"/>
    <x v="1"/>
    <s v="COP_22"/>
    <s v="COP_23"/>
    <x v="1"/>
    <s v="Quarter4"/>
    <s v="Qtr_4"/>
    <s v="Jul"/>
    <d v="2024-07-01T00:00:00"/>
    <d v="2024-07-31T00:00:00"/>
    <x v="2"/>
    <n v="7"/>
    <n v="0"/>
    <n v="7"/>
    <n v="0"/>
    <n v="0"/>
    <n v="0"/>
    <n v="0"/>
    <n v="0"/>
    <n v="0"/>
    <n v="0"/>
    <n v="0"/>
    <n v="0"/>
    <n v="0"/>
    <n v="0"/>
    <n v="0"/>
    <n v="0"/>
    <n v="0"/>
    <n v="0"/>
    <n v="0"/>
    <n v="0"/>
    <n v="0"/>
    <n v="0"/>
    <n v="0"/>
    <n v="0"/>
    <n v="0"/>
    <m/>
  </r>
  <r>
    <n v="797"/>
    <d v="2024-09-10T11:39:32"/>
    <d v="2024-09-10T11:48:32"/>
    <s v="bchirwa@lighthouse.org.mw"/>
    <s v="Bethsheba Chirwa"/>
    <x v="1"/>
    <s v="Prototype"/>
    <x v="1"/>
    <s v="COP_22"/>
    <s v="COP_23"/>
    <x v="1"/>
    <s v="Quarter4"/>
    <s v="Qtr_4"/>
    <s v="Aug"/>
    <d v="2024-08-01T00:00:00"/>
    <d v="2024-08-31T00:00:00"/>
    <x v="2"/>
    <n v="24"/>
    <n v="0"/>
    <n v="0"/>
    <n v="0"/>
    <n v="0"/>
    <n v="0"/>
    <n v="0"/>
    <n v="0"/>
    <n v="0"/>
    <n v="0"/>
    <n v="0"/>
    <n v="0"/>
    <n v="0"/>
    <n v="0"/>
    <n v="0"/>
    <n v="0"/>
    <n v="0"/>
    <n v="0"/>
    <n v="0"/>
    <n v="0"/>
    <n v="0"/>
    <n v="0"/>
    <n v="0"/>
    <n v="0"/>
    <n v="0"/>
    <m/>
  </r>
  <r>
    <n v="902"/>
    <d v="2024-10-07T10:08:01"/>
    <d v="2024-10-07T10:20:37"/>
    <s v="bchirwa@lighthouse.org.mw"/>
    <s v="Bethsheba Chirwa"/>
    <x v="1"/>
    <s v="Prototype"/>
    <x v="1"/>
    <s v="COP_22"/>
    <s v="COP_23"/>
    <x v="1"/>
    <s v="Quarter4"/>
    <s v="Qtr_4"/>
    <s v="Sep"/>
    <d v="2024-09-01T00:00:00"/>
    <d v="2024-09-30T00:00:00"/>
    <x v="2"/>
    <n v="16"/>
    <n v="0"/>
    <n v="0"/>
    <n v="0"/>
    <n v="0"/>
    <n v="0"/>
    <n v="0"/>
    <n v="0"/>
    <n v="0"/>
    <n v="0"/>
    <n v="0"/>
    <n v="0"/>
    <n v="0"/>
    <n v="0"/>
    <n v="0"/>
    <n v="0"/>
    <n v="0"/>
    <n v="0"/>
    <n v="0"/>
    <n v="0"/>
    <n v="0"/>
    <n v="0"/>
    <n v="0"/>
    <n v="0"/>
    <n v="0"/>
    <m/>
  </r>
  <r>
    <n v="270"/>
    <d v="2024-04-23T10:45:57"/>
    <d v="2024-04-23T11:00:34"/>
    <s v="bchirwa@lighthouse.org.mw"/>
    <s v="Bethsheba Chirwa"/>
    <x v="1"/>
    <s v="Prototype"/>
    <x v="1"/>
    <s v="COP_24"/>
    <s v="COP_23"/>
    <x v="2"/>
    <s v="Quarter2"/>
    <s v="Qtr_2"/>
    <s v="Jan"/>
    <d v="2024-01-01T00:00:00"/>
    <d v="2024-01-31T00:00:00"/>
    <x v="4"/>
    <n v="0"/>
    <n v="0"/>
    <n v="0"/>
    <n v="0"/>
    <n v="0"/>
    <n v="0"/>
    <n v="0"/>
    <n v="0"/>
    <n v="0"/>
    <n v="0"/>
    <n v="0"/>
    <n v="0"/>
    <n v="0"/>
    <n v="0"/>
    <n v="0"/>
    <n v="0"/>
    <n v="0"/>
    <n v="0"/>
    <n v="0"/>
    <n v="0"/>
    <n v="0"/>
    <n v="0"/>
    <n v="0"/>
    <n v="0"/>
    <n v="0"/>
    <m/>
  </r>
  <r>
    <n v="274"/>
    <d v="2024-04-23T11:18:06"/>
    <d v="2024-04-23T11:21:55"/>
    <s v="bchirwa@lighthouse.org.mw"/>
    <s v="Bethsheba Chirwa"/>
    <x v="1"/>
    <s v="Prototype"/>
    <x v="1"/>
    <s v="COP_24"/>
    <s v="COP_23"/>
    <x v="2"/>
    <s v="Quarter2"/>
    <s v="Qtr_2"/>
    <s v="Feb"/>
    <d v="2024-02-01T00:00:00"/>
    <d v="2024-02-29T00:00:00"/>
    <x v="5"/>
    <n v="2"/>
    <n v="0"/>
    <n v="2"/>
    <n v="0"/>
    <n v="0"/>
    <n v="0"/>
    <n v="2"/>
    <n v="0"/>
    <n v="0"/>
    <n v="0"/>
    <n v="0"/>
    <n v="0"/>
    <n v="0"/>
    <n v="0"/>
    <n v="0"/>
    <n v="0"/>
    <n v="0"/>
    <n v="0"/>
    <n v="0"/>
    <n v="0"/>
    <n v="0"/>
    <n v="0"/>
    <n v="0"/>
    <n v="0"/>
    <n v="0"/>
    <m/>
  </r>
  <r>
    <n v="276"/>
    <d v="2024-04-23T11:25:27"/>
    <d v="2024-04-23T11:27:30"/>
    <s v="bchirwa@lighthouse.org.mw"/>
    <s v="Bethsheba Chirwa"/>
    <x v="1"/>
    <s v="Prototype"/>
    <x v="1"/>
    <s v="COP_24"/>
    <s v="COP_23"/>
    <x v="2"/>
    <s v="Quarter2"/>
    <s v="Qtr_2"/>
    <s v="Mar"/>
    <d v="2024-03-08T00:00:00"/>
    <d v="2024-03-31T00:00:00"/>
    <x v="4"/>
    <n v="0"/>
    <n v="0"/>
    <n v="0"/>
    <n v="0"/>
    <n v="0"/>
    <n v="0"/>
    <n v="0"/>
    <n v="0"/>
    <n v="0"/>
    <n v="0"/>
    <n v="0"/>
    <n v="0"/>
    <n v="0"/>
    <n v="0"/>
    <n v="0"/>
    <n v="0"/>
    <n v="0"/>
    <n v="0"/>
    <n v="0"/>
    <n v="0"/>
    <n v="0"/>
    <n v="0"/>
    <n v="0"/>
    <n v="0"/>
    <n v="0"/>
    <m/>
  </r>
  <r>
    <n v="277"/>
    <d v="2024-04-23T11:27:51"/>
    <d v="2024-04-23T11:30:00"/>
    <s v="bchirwa@lighthouse.org.mw"/>
    <s v="Bethsheba Chirwa"/>
    <x v="1"/>
    <s v="Prototype"/>
    <x v="1"/>
    <s v="COP_24"/>
    <s v="COP_23"/>
    <x v="2"/>
    <s v="Quarter2"/>
    <s v="Qtr_2"/>
    <s v="Mar"/>
    <d v="2024-04-01T00:00:00"/>
    <d v="2024-03-31T00:00:00"/>
    <x v="5"/>
    <n v="2"/>
    <n v="0"/>
    <n v="2"/>
    <n v="0"/>
    <n v="0"/>
    <n v="0"/>
    <n v="0"/>
    <n v="0"/>
    <n v="0"/>
    <n v="0"/>
    <n v="0"/>
    <n v="0"/>
    <n v="0"/>
    <n v="0"/>
    <n v="0"/>
    <n v="0"/>
    <n v="0"/>
    <n v="0"/>
    <n v="0"/>
    <n v="0"/>
    <n v="0"/>
    <n v="0"/>
    <n v="0"/>
    <n v="0"/>
    <n v="0"/>
    <m/>
  </r>
  <r>
    <n v="279"/>
    <d v="2024-04-23T11:33:11"/>
    <d v="2024-04-23T11:36:01"/>
    <s v="bchirwa@lighthouse.org.mw"/>
    <s v="Bethsheba Chirwa"/>
    <x v="1"/>
    <s v="Prototype"/>
    <x v="1"/>
    <s v="COP_24"/>
    <s v="COP_23"/>
    <x v="2"/>
    <s v="Quarter2"/>
    <s v="Qtr_2"/>
    <s v="Mar"/>
    <d v="2024-03-01T00:00:00"/>
    <d v="2024-03-31T00:00:00"/>
    <x v="0"/>
    <n v="7"/>
    <n v="0"/>
    <n v="7"/>
    <n v="0"/>
    <n v="0"/>
    <n v="0"/>
    <n v="7"/>
    <n v="3"/>
    <n v="3"/>
    <n v="0"/>
    <n v="0"/>
    <n v="0"/>
    <n v="3"/>
    <n v="0"/>
    <n v="0"/>
    <n v="0"/>
    <n v="0"/>
    <n v="0"/>
    <n v="0"/>
    <n v="0"/>
    <n v="0"/>
    <n v="0"/>
    <n v="0"/>
    <n v="0"/>
    <n v="0"/>
    <m/>
  </r>
  <r>
    <n v="353"/>
    <d v="2024-05-07T14:42:54"/>
    <d v="2024-05-07T14:45:19"/>
    <s v="bchirwa@lighthouse.org.mw"/>
    <s v="Bethsheba Chirwa"/>
    <x v="1"/>
    <s v="Prototype"/>
    <x v="1"/>
    <s v="COP_24"/>
    <s v="COP_23"/>
    <x v="3"/>
    <s v="Quarter3"/>
    <s v="Qtr_3"/>
    <s v="Apr"/>
    <d v="2024-05-01T00:00:00"/>
    <d v="2024-04-30T00:00:00"/>
    <x v="3"/>
    <n v="1"/>
    <n v="0"/>
    <n v="1"/>
    <n v="0"/>
    <n v="0"/>
    <n v="0"/>
    <n v="0"/>
    <n v="0"/>
    <n v="1"/>
    <n v="0"/>
    <n v="0"/>
    <n v="0"/>
    <n v="1"/>
    <n v="0"/>
    <n v="0"/>
    <n v="0"/>
    <n v="0"/>
    <n v="0"/>
    <n v="0"/>
    <n v="0"/>
    <n v="0"/>
    <n v="0"/>
    <n v="0"/>
    <n v="0"/>
    <n v="0"/>
    <m/>
  </r>
  <r>
    <n v="354"/>
    <d v="2024-05-07T14:45:42"/>
    <d v="2024-05-07T14:48:32"/>
    <s v="bchirwa@lighthouse.org.mw"/>
    <s v="Bethsheba Chirwa"/>
    <x v="1"/>
    <s v="Prototype"/>
    <x v="1"/>
    <s v="COP_24"/>
    <s v="COP_23"/>
    <x v="3"/>
    <s v="Quarter3"/>
    <s v="Qtr_3"/>
    <s v="Apr"/>
    <d v="2024-04-01T00:00:00"/>
    <d v="2024-04-30T00:00:00"/>
    <x v="4"/>
    <n v="1"/>
    <n v="0"/>
    <n v="1"/>
    <n v="0"/>
    <n v="0"/>
    <n v="0"/>
    <n v="1"/>
    <n v="0"/>
    <n v="1"/>
    <n v="0"/>
    <n v="0"/>
    <n v="0"/>
    <n v="1"/>
    <n v="0"/>
    <n v="0"/>
    <n v="0"/>
    <n v="0"/>
    <n v="0"/>
    <n v="0"/>
    <n v="0"/>
    <n v="0"/>
    <n v="0"/>
    <n v="0"/>
    <n v="0"/>
    <n v="0"/>
    <m/>
  </r>
  <r>
    <n v="355"/>
    <d v="2024-05-07T14:49:09"/>
    <d v="2024-05-07T14:56:19"/>
    <s v="bchirwa@lighthouse.org.mw"/>
    <s v="Bethsheba Chirwa"/>
    <x v="1"/>
    <s v="Prototype"/>
    <x v="1"/>
    <s v="COP_24"/>
    <s v="COP_23"/>
    <x v="3"/>
    <s v="Quarter3"/>
    <s v="Qtr_3"/>
    <s v="Apr"/>
    <d v="2024-04-01T00:00:00"/>
    <d v="2024-04-30T00:00:00"/>
    <x v="5"/>
    <n v="1"/>
    <n v="0"/>
    <n v="1"/>
    <n v="0"/>
    <n v="0"/>
    <n v="0"/>
    <n v="1"/>
    <n v="0"/>
    <n v="0"/>
    <n v="0"/>
    <n v="0"/>
    <n v="0"/>
    <n v="0"/>
    <n v="0"/>
    <n v="0"/>
    <n v="0"/>
    <n v="0"/>
    <n v="0"/>
    <n v="0"/>
    <n v="0"/>
    <n v="0"/>
    <n v="0"/>
    <n v="0"/>
    <n v="0"/>
    <n v="0"/>
    <m/>
  </r>
  <r>
    <n v="357"/>
    <d v="2024-05-07T15:13:21"/>
    <d v="2024-05-07T15:16:10"/>
    <s v="bchirwa@lighthouse.org.mw"/>
    <s v="Bethsheba Chirwa"/>
    <x v="1"/>
    <s v="Prototype"/>
    <x v="1"/>
    <s v="COP_24"/>
    <s v="COP_23"/>
    <x v="3"/>
    <s v="Quarter3"/>
    <s v="Qtr_3"/>
    <s v="Apr"/>
    <d v="2024-04-01T00:00:00"/>
    <d v="2024-04-30T00:00:00"/>
    <x v="5"/>
    <n v="1"/>
    <n v="0"/>
    <n v="1"/>
    <n v="0"/>
    <n v="0"/>
    <n v="0"/>
    <n v="1"/>
    <n v="0"/>
    <n v="0"/>
    <n v="0"/>
    <n v="0"/>
    <n v="0"/>
    <n v="0"/>
    <n v="0"/>
    <n v="0"/>
    <n v="0"/>
    <n v="0"/>
    <n v="0"/>
    <n v="0"/>
    <n v="0"/>
    <n v="0"/>
    <n v="0"/>
    <n v="0"/>
    <n v="0"/>
    <n v="0"/>
    <m/>
  </r>
  <r>
    <n v="360"/>
    <d v="2024-05-07T15:18:21"/>
    <d v="2024-05-07T15:20:57"/>
    <s v="bchirwa@lighthouse.org.mw"/>
    <s v="Bethsheba Chirwa"/>
    <x v="1"/>
    <s v="Prototype"/>
    <x v="1"/>
    <s v="COP_24"/>
    <s v="COP_23"/>
    <x v="3"/>
    <s v="Quarter3"/>
    <s v="Qtr_3"/>
    <s v="Apr"/>
    <d v="2024-04-01T00:00:00"/>
    <d v="2024-04-30T00:00:00"/>
    <x v="0"/>
    <n v="20"/>
    <n v="0"/>
    <n v="20"/>
    <n v="0"/>
    <n v="0"/>
    <n v="0"/>
    <n v="4"/>
    <n v="4"/>
    <n v="4"/>
    <n v="0"/>
    <n v="0"/>
    <n v="0"/>
    <n v="4"/>
    <n v="1"/>
    <n v="0"/>
    <n v="0"/>
    <n v="0"/>
    <n v="0"/>
    <n v="0"/>
    <n v="0"/>
    <n v="0"/>
    <n v="0"/>
    <n v="0"/>
    <n v="0"/>
    <n v="0"/>
    <m/>
  </r>
  <r>
    <n v="363"/>
    <d v="2024-05-07T15:24:58"/>
    <d v="2024-05-07T15:26:15"/>
    <s v="bchirwa@lighthouse.org.mw"/>
    <s v="Bethsheba Chirwa"/>
    <x v="1"/>
    <s v="Prototype"/>
    <x v="1"/>
    <s v="COP_24"/>
    <s v="COP_23"/>
    <x v="2"/>
    <s v="Quarter2"/>
    <s v="Qtr_2"/>
    <s v="Jan"/>
    <d v="2024-01-01T00:00:00"/>
    <d v="2024-01-31T00:00:00"/>
    <x v="3"/>
    <n v="0"/>
    <n v="0"/>
    <n v="0"/>
    <n v="0"/>
    <n v="0"/>
    <n v="0"/>
    <n v="0"/>
    <n v="0"/>
    <n v="0"/>
    <n v="0"/>
    <n v="0"/>
    <n v="0"/>
    <n v="0"/>
    <n v="0"/>
    <n v="0"/>
    <n v="0"/>
    <n v="0"/>
    <n v="0"/>
    <n v="0"/>
    <n v="0"/>
    <n v="0"/>
    <n v="0"/>
    <n v="0"/>
    <n v="0"/>
    <n v="0"/>
    <m/>
  </r>
  <r>
    <n v="364"/>
    <d v="2024-05-07T15:26:17"/>
    <d v="2024-05-07T15:28:07"/>
    <s v="bchirwa@lighthouse.org.mw"/>
    <s v="Bethsheba Chirwa"/>
    <x v="1"/>
    <s v="Prototype"/>
    <x v="1"/>
    <s v="COP_24"/>
    <s v="COP_23"/>
    <x v="2"/>
    <s v="Quarter2"/>
    <s v="Qtr_2"/>
    <s v="Jan"/>
    <d v="2024-01-01T00:00:00"/>
    <d v="2024-01-31T00:00:00"/>
    <x v="0"/>
    <n v="13"/>
    <n v="0"/>
    <n v="13"/>
    <n v="0"/>
    <n v="0"/>
    <n v="0"/>
    <n v="13"/>
    <n v="2"/>
    <n v="2"/>
    <n v="0"/>
    <n v="0"/>
    <n v="0"/>
    <n v="2"/>
    <n v="0"/>
    <n v="0"/>
    <n v="0"/>
    <n v="0"/>
    <n v="0"/>
    <n v="0"/>
    <n v="0"/>
    <n v="0"/>
    <n v="0"/>
    <n v="0"/>
    <n v="0"/>
    <n v="0"/>
    <m/>
  </r>
  <r>
    <n v="493"/>
    <d v="2024-06-05T15:42:11"/>
    <d v="2024-06-05T15:48:08"/>
    <s v="bchirwa@lighthouse.org.mw"/>
    <s v="Bethsheba Chirwa"/>
    <x v="1"/>
    <s v="Prototype"/>
    <x v="1"/>
    <s v="COP_22"/>
    <s v="COP_23"/>
    <x v="3"/>
    <s v="Quarter3"/>
    <s v="Qtr_3"/>
    <s v="May"/>
    <d v="2024-05-01T00:00:00"/>
    <d v="2024-05-31T00:00:00"/>
    <x v="3"/>
    <n v="1"/>
    <n v="0"/>
    <n v="1"/>
    <n v="0"/>
    <n v="0"/>
    <n v="0"/>
    <n v="0"/>
    <n v="0"/>
    <n v="1"/>
    <n v="0"/>
    <n v="0"/>
    <n v="0"/>
    <n v="0"/>
    <n v="0"/>
    <n v="0"/>
    <n v="0"/>
    <n v="0"/>
    <n v="0"/>
    <n v="0"/>
    <n v="0"/>
    <n v="0"/>
    <n v="0"/>
    <n v="0"/>
    <n v="0"/>
    <n v="0"/>
    <m/>
  </r>
  <r>
    <n v="495"/>
    <d v="2024-06-05T15:48:36"/>
    <d v="2024-06-05T15:53:59"/>
    <s v="bchirwa@lighthouse.org.mw"/>
    <s v="Bethsheba Chirwa"/>
    <x v="1"/>
    <s v="Prototype"/>
    <x v="1"/>
    <s v="COP_23"/>
    <s v="COP_23"/>
    <x v="3"/>
    <s v="Quarter3"/>
    <s v="Qtr_3"/>
    <s v="May"/>
    <d v="2024-05-01T00:00:00"/>
    <d v="2024-05-31T00:00:00"/>
    <x v="4"/>
    <n v="3"/>
    <n v="0"/>
    <n v="1"/>
    <n v="0"/>
    <n v="0"/>
    <n v="0"/>
    <n v="3"/>
    <n v="0"/>
    <n v="0"/>
    <n v="0"/>
    <n v="0"/>
    <n v="0"/>
    <n v="0"/>
    <n v="0"/>
    <n v="0"/>
    <n v="0"/>
    <n v="0"/>
    <n v="0"/>
    <n v="0"/>
    <n v="0"/>
    <n v="0"/>
    <n v="0"/>
    <n v="0"/>
    <n v="0"/>
    <n v="0"/>
    <m/>
  </r>
  <r>
    <n v="497"/>
    <d v="2024-06-06T08:46:07"/>
    <d v="2024-06-06T08:48:06"/>
    <s v="bchirwa@lighthouse.org.mw"/>
    <s v="Bethsheba Chirwa"/>
    <x v="1"/>
    <s v="Prototype"/>
    <x v="1"/>
    <s v="COP_23"/>
    <s v="COP_23"/>
    <x v="3"/>
    <s v="Quarter3"/>
    <s v="Qtr_3"/>
    <s v="May"/>
    <d v="2024-05-01T00:00:00"/>
    <d v="2024-05-31T00:00:00"/>
    <x v="5"/>
    <n v="4"/>
    <n v="0"/>
    <n v="4"/>
    <n v="0"/>
    <n v="0"/>
    <n v="0"/>
    <n v="4"/>
    <n v="1"/>
    <n v="0"/>
    <n v="0"/>
    <n v="0"/>
    <n v="0"/>
    <n v="0"/>
    <n v="0"/>
    <n v="0"/>
    <n v="0"/>
    <n v="0"/>
    <n v="0"/>
    <n v="0"/>
    <n v="0"/>
    <n v="0"/>
    <n v="0"/>
    <n v="0"/>
    <n v="0"/>
    <n v="0"/>
    <m/>
  </r>
  <r>
    <n v="503"/>
    <d v="2024-06-06T09:14:15"/>
    <d v="2024-06-06T09:41:59"/>
    <s v="bchirwa@lighthouse.org.mw"/>
    <s v="Bethsheba Chirwa"/>
    <x v="1"/>
    <s v="Prototype"/>
    <x v="1"/>
    <s v="COP_23"/>
    <s v="COP_23"/>
    <x v="3"/>
    <s v="Quarter3"/>
    <s v="Qtr_3"/>
    <s v="May"/>
    <d v="2024-05-01T00:00:00"/>
    <d v="2024-05-31T00:00:00"/>
    <x v="0"/>
    <n v="30"/>
    <n v="0"/>
    <n v="28"/>
    <n v="2"/>
    <n v="0"/>
    <n v="0"/>
    <n v="30"/>
    <n v="6"/>
    <n v="6"/>
    <n v="0"/>
    <n v="0"/>
    <n v="0"/>
    <n v="0"/>
    <n v="0"/>
    <n v="0"/>
    <n v="0"/>
    <n v="0"/>
    <n v="0"/>
    <n v="0"/>
    <n v="0"/>
    <n v="0"/>
    <n v="0"/>
    <n v="0"/>
    <n v="0"/>
    <n v="0"/>
    <m/>
  </r>
  <r>
    <n v="555"/>
    <d v="2024-07-02T10:49:07"/>
    <d v="2024-07-02T10:58:05"/>
    <s v="bchirwa@lighthouse.org.mw"/>
    <s v="Bethsheba Chirwa"/>
    <x v="1"/>
    <s v="Prototype"/>
    <x v="1"/>
    <s v="COP_23"/>
    <s v="COP_23"/>
    <x v="3"/>
    <s v="Quarter3"/>
    <s v="Qtr_3"/>
    <s v="Jun"/>
    <d v="2024-06-01T00:00:00"/>
    <d v="2024-06-30T00:00:00"/>
    <x v="3"/>
    <n v="0"/>
    <n v="0"/>
    <n v="0"/>
    <n v="0"/>
    <n v="0"/>
    <n v="0"/>
    <n v="0"/>
    <n v="0"/>
    <n v="0"/>
    <n v="0"/>
    <n v="0"/>
    <n v="0"/>
    <n v="0"/>
    <n v="0"/>
    <n v="0"/>
    <n v="0"/>
    <n v="0"/>
    <n v="0"/>
    <n v="0"/>
    <n v="0"/>
    <n v="0"/>
    <n v="0"/>
    <n v="0"/>
    <n v="0"/>
    <n v="0"/>
    <m/>
  </r>
  <r>
    <n v="556"/>
    <d v="2024-07-02T10:58:20"/>
    <d v="2024-07-02T11:01:46"/>
    <s v="bchirwa@lighthouse.org.mw"/>
    <s v="Bethsheba Chirwa"/>
    <x v="1"/>
    <s v="Prototype"/>
    <x v="1"/>
    <s v="COP_23"/>
    <s v="COP_23"/>
    <x v="3"/>
    <s v="Quarter3"/>
    <s v="Qtr_3"/>
    <s v="Jun"/>
    <d v="2024-06-01T00:00:00"/>
    <d v="2024-06-30T00:00:00"/>
    <x v="4"/>
    <n v="0"/>
    <n v="0"/>
    <n v="0"/>
    <n v="0"/>
    <n v="0"/>
    <n v="0"/>
    <n v="0"/>
    <n v="0"/>
    <n v="0"/>
    <n v="0"/>
    <n v="0"/>
    <n v="0"/>
    <n v="0"/>
    <n v="0"/>
    <n v="0"/>
    <n v="0"/>
    <n v="0"/>
    <n v="0"/>
    <n v="0"/>
    <n v="0"/>
    <n v="0"/>
    <n v="0"/>
    <n v="0"/>
    <n v="0"/>
    <n v="0"/>
    <m/>
  </r>
  <r>
    <n v="557"/>
    <d v="2024-07-02T11:01:55"/>
    <d v="2024-07-02T11:16:26"/>
    <s v="bchirwa@lighthouse.org.mw"/>
    <s v="Bethsheba Chirwa"/>
    <x v="1"/>
    <s v="Prototype"/>
    <x v="1"/>
    <s v="COP_23"/>
    <s v="COP_23"/>
    <x v="3"/>
    <s v="Quarter3"/>
    <s v="Qtr_3"/>
    <s v="Jun"/>
    <d v="2024-06-01T00:00:00"/>
    <d v="2024-06-30T00:00:00"/>
    <x v="5"/>
    <n v="0"/>
    <n v="0"/>
    <n v="0"/>
    <n v="0"/>
    <n v="0"/>
    <n v="0"/>
    <n v="0"/>
    <n v="0"/>
    <n v="0"/>
    <n v="0"/>
    <n v="0"/>
    <n v="0"/>
    <n v="0"/>
    <n v="0"/>
    <n v="0"/>
    <n v="0"/>
    <n v="0"/>
    <n v="0"/>
    <n v="0"/>
    <n v="0"/>
    <n v="0"/>
    <n v="0"/>
    <n v="0"/>
    <n v="0"/>
    <n v="0"/>
    <m/>
  </r>
  <r>
    <n v="560"/>
    <d v="2024-07-02T11:32:29"/>
    <d v="2024-07-02T11:37:20"/>
    <s v="bchirwa@lighthouse.org.mw"/>
    <s v="Bethsheba Chirwa"/>
    <x v="1"/>
    <s v="Prototype"/>
    <x v="1"/>
    <s v="COP_23"/>
    <s v="COP_23"/>
    <x v="3"/>
    <s v="Quarter3"/>
    <s v="Qtr_3"/>
    <s v="Jun"/>
    <d v="2024-06-01T00:00:00"/>
    <d v="2024-06-30T00:00:00"/>
    <x v="0"/>
    <n v="23"/>
    <n v="1"/>
    <n v="20"/>
    <n v="2"/>
    <n v="1"/>
    <n v="0"/>
    <n v="23"/>
    <n v="3"/>
    <n v="3"/>
    <n v="0"/>
    <n v="0"/>
    <n v="0"/>
    <n v="0"/>
    <n v="0"/>
    <n v="0"/>
    <n v="0"/>
    <n v="0"/>
    <n v="0"/>
    <n v="0"/>
    <n v="0"/>
    <n v="0"/>
    <n v="0"/>
    <n v="0"/>
    <n v="0"/>
    <n v="0"/>
    <m/>
  </r>
  <r>
    <n v="785"/>
    <d v="2024-09-10T09:50:32"/>
    <d v="2024-09-10T10:00:24"/>
    <s v="bchirwa@lighthouse.org.mw"/>
    <s v="Bethsheba Chirwa"/>
    <x v="1"/>
    <s v="Prototype"/>
    <x v="1"/>
    <s v="COP_23"/>
    <s v="COP_23"/>
    <x v="1"/>
    <s v="Quarter4"/>
    <s v="Qtr_4"/>
    <s v="Jul"/>
    <d v="2024-07-01T00:00:00"/>
    <d v="2024-07-31T00:00:00"/>
    <x v="0"/>
    <n v="25"/>
    <n v="0"/>
    <n v="22"/>
    <n v="2"/>
    <n v="1"/>
    <n v="0"/>
    <n v="23"/>
    <n v="1"/>
    <n v="1"/>
    <n v="0"/>
    <n v="0"/>
    <n v="0"/>
    <n v="0"/>
    <n v="0"/>
    <n v="0"/>
    <n v="0"/>
    <n v="0"/>
    <n v="0"/>
    <n v="0"/>
    <n v="0"/>
    <n v="0"/>
    <n v="0"/>
    <n v="0"/>
    <n v="0"/>
    <n v="0"/>
    <m/>
  </r>
  <r>
    <n v="787"/>
    <d v="2024-09-10T10:07:24"/>
    <d v="2024-09-10T10:10:57"/>
    <s v="bchirwa@lighthouse.org.mw"/>
    <s v="Bethsheba Chirwa"/>
    <x v="1"/>
    <s v="Prototype"/>
    <x v="1"/>
    <s v="COP_23"/>
    <s v="COP_23"/>
    <x v="1"/>
    <s v="Quarter4"/>
    <s v="Qtr_4"/>
    <s v="Jul"/>
    <d v="2024-07-01T00:00:00"/>
    <d v="2024-07-31T00:00:00"/>
    <x v="5"/>
    <n v="1"/>
    <n v="0"/>
    <n v="1"/>
    <n v="0"/>
    <n v="0"/>
    <n v="0"/>
    <n v="1"/>
    <n v="0"/>
    <n v="0"/>
    <n v="0"/>
    <n v="0"/>
    <n v="0"/>
    <n v="0"/>
    <n v="0"/>
    <n v="0"/>
    <n v="0"/>
    <n v="0"/>
    <n v="0"/>
    <n v="0"/>
    <n v="0"/>
    <n v="0"/>
    <n v="0"/>
    <n v="0"/>
    <n v="0"/>
    <n v="0"/>
    <m/>
  </r>
  <r>
    <n v="788"/>
    <d v="2024-09-10T10:11:02"/>
    <d v="2024-09-10T10:13:12"/>
    <s v="bchirwa@lighthouse.org.mw"/>
    <s v="Bethsheba Chirwa"/>
    <x v="1"/>
    <s v="Prototype"/>
    <x v="1"/>
    <s v="COP_23"/>
    <s v="COP_23"/>
    <x v="1"/>
    <s v="Quarter4"/>
    <s v="Qtr_4"/>
    <s v="Jul"/>
    <d v="2024-07-01T00:00:00"/>
    <d v="2024-07-31T00:00:00"/>
    <x v="4"/>
    <n v="0"/>
    <n v="0"/>
    <n v="0"/>
    <n v="0"/>
    <n v="0"/>
    <n v="0"/>
    <n v="0"/>
    <n v="0"/>
    <n v="0"/>
    <n v="0"/>
    <n v="0"/>
    <n v="0"/>
    <n v="0"/>
    <n v="0"/>
    <n v="0"/>
    <n v="0"/>
    <n v="0"/>
    <n v="0"/>
    <n v="0"/>
    <n v="0"/>
    <n v="0"/>
    <n v="0"/>
    <n v="0"/>
    <n v="0"/>
    <n v="0"/>
    <m/>
  </r>
  <r>
    <n v="789"/>
    <d v="2024-09-10T10:13:34"/>
    <d v="2024-09-10T10:15:46"/>
    <s v="bchirwa@lighthouse.org.mw"/>
    <s v="Bethsheba Chirwa"/>
    <x v="1"/>
    <s v="Prototype"/>
    <x v="1"/>
    <s v="COP_23"/>
    <s v="COP_23"/>
    <x v="1"/>
    <s v="Quarter4"/>
    <s v="Qtr_4"/>
    <s v="Jul"/>
    <d v="2024-07-01T00:00:00"/>
    <d v="2024-07-31T00:00:00"/>
    <x v="3"/>
    <n v="0"/>
    <n v="0"/>
    <n v="0"/>
    <n v="0"/>
    <n v="0"/>
    <n v="0"/>
    <n v="0"/>
    <n v="0"/>
    <n v="0"/>
    <n v="0"/>
    <n v="0"/>
    <n v="0"/>
    <n v="0"/>
    <n v="0"/>
    <n v="0"/>
    <n v="0"/>
    <n v="0"/>
    <n v="0"/>
    <n v="0"/>
    <n v="0"/>
    <n v="0"/>
    <n v="0"/>
    <n v="0"/>
    <n v="0"/>
    <n v="0"/>
    <m/>
  </r>
  <r>
    <n v="793"/>
    <d v="2024-09-10T11:07:04"/>
    <d v="2024-09-10T11:11:11"/>
    <s v="bchirwa@lighthouse.org.mw"/>
    <s v="Bethsheba Chirwa"/>
    <x v="1"/>
    <s v="Prototype"/>
    <x v="1"/>
    <s v="COP_23"/>
    <s v="COP_23"/>
    <x v="1"/>
    <s v="Quarter4"/>
    <s v="Qtr_4"/>
    <s v="Aug"/>
    <d v="2024-08-01T00:00:00"/>
    <d v="2024-08-31T00:00:00"/>
    <x v="3"/>
    <n v="0"/>
    <n v="0"/>
    <n v="0"/>
    <n v="0"/>
    <n v="0"/>
    <n v="0"/>
    <n v="0"/>
    <n v="0"/>
    <n v="0"/>
    <n v="0"/>
    <n v="0"/>
    <n v="0"/>
    <n v="0"/>
    <n v="0"/>
    <n v="0"/>
    <n v="0"/>
    <n v="0"/>
    <n v="0"/>
    <n v="0"/>
    <n v="0"/>
    <n v="0"/>
    <n v="0"/>
    <n v="0"/>
    <n v="0"/>
    <n v="0"/>
    <m/>
  </r>
  <r>
    <n v="795"/>
    <d v="2024-09-10T11:15:16"/>
    <d v="2024-09-10T11:28:02"/>
    <s v="bchirwa@lighthouse.org.mw"/>
    <s v="Bethsheba Chirwa"/>
    <x v="1"/>
    <s v="Prototype"/>
    <x v="1"/>
    <s v="COP_23"/>
    <s v="COP_23"/>
    <x v="1"/>
    <s v="Quarter4"/>
    <s v="Qtr_4"/>
    <s v="Aug"/>
    <d v="2024-08-01T00:00:00"/>
    <d v="2024-08-31T00:00:00"/>
    <x v="4"/>
    <n v="1"/>
    <n v="0"/>
    <n v="1"/>
    <n v="0"/>
    <n v="0"/>
    <n v="0"/>
    <n v="0"/>
    <n v="0"/>
    <n v="0"/>
    <n v="0"/>
    <n v="0"/>
    <n v="0"/>
    <n v="0"/>
    <n v="0"/>
    <n v="0"/>
    <n v="0"/>
    <n v="0"/>
    <n v="0"/>
    <n v="0"/>
    <n v="0"/>
    <n v="0"/>
    <n v="0"/>
    <n v="0"/>
    <n v="0"/>
    <n v="0"/>
    <m/>
  </r>
  <r>
    <n v="796"/>
    <d v="2024-09-10T11:28:09"/>
    <d v="2024-09-10T11:39:27"/>
    <s v="bchirwa@lighthouse.org.mw"/>
    <s v="Bethsheba Chirwa"/>
    <x v="1"/>
    <s v="Prototype"/>
    <x v="1"/>
    <s v="COP_23"/>
    <s v="COP_23"/>
    <x v="1"/>
    <s v="Quarter4"/>
    <s v="Qtr_4"/>
    <s v="Aug"/>
    <d v="2024-08-01T00:00:00"/>
    <d v="2024-08-31T00:00:00"/>
    <x v="5"/>
    <n v="5"/>
    <n v="0"/>
    <n v="0"/>
    <n v="0"/>
    <n v="0"/>
    <n v="0"/>
    <n v="0"/>
    <n v="0"/>
    <n v="0"/>
    <n v="0"/>
    <n v="0"/>
    <n v="0"/>
    <n v="0"/>
    <n v="0"/>
    <n v="0"/>
    <n v="0"/>
    <n v="0"/>
    <n v="0"/>
    <n v="0"/>
    <n v="0"/>
    <n v="0"/>
    <n v="0"/>
    <n v="0"/>
    <n v="0"/>
    <n v="0"/>
    <m/>
  </r>
  <r>
    <n v="798"/>
    <d v="2024-09-10T11:49:23"/>
    <d v="2024-09-10T11:54:28"/>
    <s v="bchirwa@lighthouse.org.mw"/>
    <s v="Bethsheba Chirwa"/>
    <x v="1"/>
    <s v="Prototype"/>
    <x v="1"/>
    <s v="COP_23"/>
    <s v="COP_23"/>
    <x v="1"/>
    <s v="Quarter4"/>
    <s v="Qtr_4"/>
    <s v="Aug"/>
    <d v="2024-08-01T00:00:00"/>
    <d v="2024-08-31T00:00:00"/>
    <x v="0"/>
    <n v="41"/>
    <n v="0"/>
    <n v="5"/>
    <n v="0"/>
    <n v="0"/>
    <n v="0"/>
    <n v="5"/>
    <n v="0"/>
    <n v="0"/>
    <n v="0"/>
    <n v="0"/>
    <n v="0"/>
    <n v="0"/>
    <n v="0"/>
    <n v="0"/>
    <n v="0"/>
    <n v="0"/>
    <n v="0"/>
    <n v="0"/>
    <n v="0"/>
    <n v="0"/>
    <n v="0"/>
    <n v="0"/>
    <n v="0"/>
    <n v="0"/>
    <m/>
  </r>
  <r>
    <n v="899"/>
    <d v="2024-10-07T09:50:21"/>
    <d v="2024-10-07T09:56:56"/>
    <s v="bchirwa@lighthouse.org.mw"/>
    <s v="Bethsheba Chirwa"/>
    <x v="1"/>
    <s v="Prototype"/>
    <x v="1"/>
    <s v="COP_23"/>
    <s v="COP_23"/>
    <x v="1"/>
    <s v="Quarter4"/>
    <s v="Qtr_4"/>
    <s v="Sep"/>
    <d v="2024-09-01T00:00:00"/>
    <d v="2024-09-30T00:00:00"/>
    <x v="3"/>
    <n v="1"/>
    <n v="0"/>
    <n v="1"/>
    <n v="0"/>
    <n v="0"/>
    <n v="0"/>
    <n v="0"/>
    <n v="0"/>
    <n v="1"/>
    <n v="0"/>
    <n v="0"/>
    <n v="0"/>
    <n v="1"/>
    <n v="0"/>
    <n v="0"/>
    <n v="0"/>
    <n v="0"/>
    <n v="0"/>
    <n v="0"/>
    <n v="0"/>
    <n v="0"/>
    <n v="0"/>
    <n v="0"/>
    <n v="0"/>
    <n v="0"/>
    <m/>
  </r>
  <r>
    <n v="900"/>
    <d v="2024-10-07T09:57:00"/>
    <d v="2024-10-07T09:59:17"/>
    <s v="bchirwa@lighthouse.org.mw"/>
    <s v="Bethsheba Chirwa"/>
    <x v="1"/>
    <s v="Prototype"/>
    <x v="1"/>
    <s v="COP_23"/>
    <s v="COP_23"/>
    <x v="1"/>
    <s v="Quarter4"/>
    <s v="Qtr_4"/>
    <s v="Sep"/>
    <d v="2024-09-01T00:00:00"/>
    <d v="2024-09-30T00:00:00"/>
    <x v="4"/>
    <n v="0"/>
    <n v="0"/>
    <n v="0"/>
    <n v="0"/>
    <n v="0"/>
    <n v="0"/>
    <n v="0"/>
    <n v="0"/>
    <n v="0"/>
    <n v="0"/>
    <n v="0"/>
    <n v="0"/>
    <n v="0"/>
    <n v="0"/>
    <n v="0"/>
    <n v="0"/>
    <n v="0"/>
    <n v="0"/>
    <n v="0"/>
    <n v="0"/>
    <n v="0"/>
    <n v="0"/>
    <n v="0"/>
    <n v="0"/>
    <n v="0"/>
    <m/>
  </r>
  <r>
    <n v="901"/>
    <d v="2024-10-07T09:59:41"/>
    <d v="2024-10-07T10:07:52"/>
    <s v="bchirwa@lighthouse.org.mw"/>
    <s v="Bethsheba Chirwa"/>
    <x v="1"/>
    <s v="Prototype"/>
    <x v="1"/>
    <s v="COP_23"/>
    <s v="COP_23"/>
    <x v="1"/>
    <s v="Quarter4"/>
    <s v="Qtr_4"/>
    <s v="Sep"/>
    <d v="2024-09-01T00:00:00"/>
    <d v="2024-09-30T00:00:00"/>
    <x v="5"/>
    <n v="6"/>
    <n v="0"/>
    <n v="6"/>
    <n v="0"/>
    <n v="0"/>
    <n v="0"/>
    <n v="0"/>
    <n v="0"/>
    <n v="0"/>
    <n v="0"/>
    <n v="0"/>
    <n v="0"/>
    <n v="0"/>
    <n v="0"/>
    <n v="0"/>
    <n v="0"/>
    <n v="0"/>
    <n v="0"/>
    <n v="0"/>
    <n v="0"/>
    <n v="0"/>
    <n v="0"/>
    <n v="0"/>
    <n v="0"/>
    <n v="0"/>
    <m/>
  </r>
  <r>
    <n v="903"/>
    <d v="2024-10-07T10:20:49"/>
    <d v="2024-10-07T10:39:13"/>
    <s v="bchirwa@lighthouse.org.mw"/>
    <s v="Bethsheba Chirwa"/>
    <x v="1"/>
    <s v="Prototype"/>
    <x v="1"/>
    <s v="COP_23"/>
    <s v="COP_23"/>
    <x v="1"/>
    <s v="Quarter4"/>
    <s v="Qtr_4"/>
    <s v="Sep"/>
    <d v="2024-09-01T00:00:00"/>
    <d v="2024-09-30T00:00:00"/>
    <x v="0"/>
    <n v="28"/>
    <n v="0"/>
    <n v="27"/>
    <n v="0"/>
    <n v="1"/>
    <n v="0"/>
    <n v="0"/>
    <n v="0"/>
    <n v="6"/>
    <n v="0"/>
    <n v="0"/>
    <n v="0"/>
    <n v="6"/>
    <n v="0"/>
    <n v="0"/>
    <n v="0"/>
    <n v="0"/>
    <n v="0"/>
    <n v="0"/>
    <n v="0"/>
    <n v="0"/>
    <n v="0"/>
    <n v="0"/>
    <n v="0"/>
    <n v="0"/>
    <m/>
  </r>
  <r>
    <n v="1089"/>
    <d v="2024-11-26T10:38:24"/>
    <d v="2024-11-26T10:53:29"/>
    <s v="bchirwa@lighthouse.org.mw"/>
    <s v="Bethsheba Chirwa"/>
    <x v="1"/>
    <s v="Prototype"/>
    <x v="1"/>
    <s v="COP_23"/>
    <s v="COP_24"/>
    <x v="0"/>
    <s v="Quarter1"/>
    <s v="Qtr_1"/>
    <s v="Oct"/>
    <d v="2024-10-01T00:00:00"/>
    <d v="2024-10-31T00:00:00"/>
    <x v="1"/>
    <n v="13"/>
    <n v="0"/>
    <n v="12"/>
    <n v="1"/>
    <n v="0"/>
    <n v="0"/>
    <n v="0"/>
    <n v="0"/>
    <n v="0"/>
    <n v="0"/>
    <n v="0"/>
    <n v="0"/>
    <n v="1"/>
    <n v="0"/>
    <n v="0"/>
    <n v="0"/>
    <n v="0"/>
    <n v="0"/>
    <n v="0"/>
    <n v="0"/>
    <n v="0"/>
    <n v="0"/>
    <n v="0"/>
    <n v="0"/>
    <n v="0"/>
    <m/>
  </r>
  <r>
    <n v="1090"/>
    <d v="2024-11-26T10:53:47"/>
    <d v="2024-11-26T10:57:59"/>
    <s v="bchirwa@lighthouse.org.mw"/>
    <s v="Bethsheba Chirwa"/>
    <x v="1"/>
    <s v="Prototype"/>
    <x v="1"/>
    <s v="COP_23"/>
    <s v="COP_24"/>
    <x v="0"/>
    <s v="Quarter1"/>
    <s v="Qtr_1"/>
    <s v="Oct"/>
    <d v="2024-10-01T00:00:00"/>
    <d v="2024-10-31T00:00:00"/>
    <x v="3"/>
    <n v="0"/>
    <n v="0"/>
    <n v="0"/>
    <n v="0"/>
    <n v="0"/>
    <n v="0"/>
    <n v="0"/>
    <n v="0"/>
    <n v="0"/>
    <n v="0"/>
    <n v="0"/>
    <n v="0"/>
    <n v="0"/>
    <n v="0"/>
    <n v="0"/>
    <n v="0"/>
    <n v="0"/>
    <n v="0"/>
    <n v="0"/>
    <n v="0"/>
    <n v="0"/>
    <n v="0"/>
    <n v="0"/>
    <n v="0"/>
    <n v="0"/>
    <m/>
  </r>
  <r>
    <n v="1091"/>
    <d v="2024-11-26T10:59:18"/>
    <d v="2024-11-26T11:05:07"/>
    <s v="bchirwa@lighthouse.org.mw"/>
    <s v="Bethsheba Chirwa"/>
    <x v="1"/>
    <s v="Prototype"/>
    <x v="1"/>
    <s v="COP_23"/>
    <s v="COP_24"/>
    <x v="0"/>
    <s v="Quarter1"/>
    <s v="Qtr_1"/>
    <s v="Oct"/>
    <d v="2024-10-01T00:00:00"/>
    <d v="2024-10-31T00:00:00"/>
    <x v="4"/>
    <n v="0"/>
    <n v="0"/>
    <n v="0"/>
    <n v="0"/>
    <n v="0"/>
    <n v="0"/>
    <n v="0"/>
    <n v="0"/>
    <n v="0"/>
    <n v="0"/>
    <n v="0"/>
    <n v="0"/>
    <n v="0"/>
    <n v="0"/>
    <n v="0"/>
    <n v="0"/>
    <n v="0"/>
    <n v="0"/>
    <n v="0"/>
    <n v="0"/>
    <n v="0"/>
    <n v="0"/>
    <n v="0"/>
    <n v="0"/>
    <n v="0"/>
    <m/>
  </r>
  <r>
    <n v="1092"/>
    <d v="2024-11-26T11:06:16"/>
    <d v="2024-11-26T11:14:52"/>
    <s v="bchirwa@lighthouse.org.mw"/>
    <s v="Bethsheba Chirwa"/>
    <x v="1"/>
    <s v="Prototype"/>
    <x v="1"/>
    <s v="COP_23"/>
    <s v="COP_24"/>
    <x v="0"/>
    <s v="Quarter1"/>
    <s v="Qtr_1"/>
    <s v="Oct"/>
    <d v="2024-10-01T00:00:00"/>
    <d v="2024-10-31T00:00:00"/>
    <x v="5"/>
    <n v="1"/>
    <n v="0"/>
    <n v="0"/>
    <n v="0"/>
    <n v="0"/>
    <n v="0"/>
    <n v="0"/>
    <n v="0"/>
    <n v="0"/>
    <n v="0"/>
    <n v="0"/>
    <n v="0"/>
    <n v="0"/>
    <n v="0"/>
    <n v="0"/>
    <n v="0"/>
    <n v="0"/>
    <n v="0"/>
    <n v="0"/>
    <n v="0"/>
    <n v="0"/>
    <n v="0"/>
    <n v="0"/>
    <n v="0"/>
    <n v="0"/>
    <m/>
  </r>
  <r>
    <n v="1093"/>
    <d v="2024-11-26T11:15:19"/>
    <d v="2024-11-26T11:18:13"/>
    <s v="bchirwa@lighthouse.org.mw"/>
    <s v="Bethsheba Chirwa"/>
    <x v="1"/>
    <s v="Prototype"/>
    <x v="1"/>
    <s v="COP_23"/>
    <s v="COP_24"/>
    <x v="0"/>
    <s v="Quarter1"/>
    <s v="Qtr_1"/>
    <s v="Oct"/>
    <d v="2024-10-01T00:00:00"/>
    <d v="2024-10-31T00:00:00"/>
    <x v="2"/>
    <n v="1"/>
    <n v="1"/>
    <n v="1"/>
    <n v="0"/>
    <n v="0"/>
    <n v="0"/>
    <n v="0"/>
    <n v="0"/>
    <n v="0"/>
    <n v="0"/>
    <n v="0"/>
    <n v="0"/>
    <n v="1"/>
    <n v="0"/>
    <n v="0"/>
    <n v="0"/>
    <n v="0"/>
    <n v="0"/>
    <n v="0"/>
    <n v="0"/>
    <n v="0"/>
    <n v="0"/>
    <n v="0"/>
    <n v="0"/>
    <n v="0"/>
    <m/>
  </r>
  <r>
    <n v="1094"/>
    <d v="2024-11-26T11:19:24"/>
    <d v="2024-11-26T11:22:12"/>
    <s v="bchirwa@lighthouse.org.mw"/>
    <s v="Bethsheba Chirwa"/>
    <x v="1"/>
    <s v="Prototype"/>
    <x v="1"/>
    <s v="COP_24"/>
    <s v="COP_24"/>
    <x v="0"/>
    <s v="Quarter1"/>
    <s v="Qtr_1"/>
    <s v="Oct"/>
    <d v="2024-10-01T00:00:00"/>
    <d v="2024-10-31T00:00:00"/>
    <x v="0"/>
    <n v="15"/>
    <n v="0"/>
    <n v="14"/>
    <n v="1"/>
    <n v="0"/>
    <n v="0"/>
    <n v="0"/>
    <n v="0"/>
    <n v="0"/>
    <n v="0"/>
    <n v="0"/>
    <n v="0"/>
    <n v="2"/>
    <n v="0"/>
    <n v="0"/>
    <n v="0"/>
    <n v="0"/>
    <n v="0"/>
    <n v="0"/>
    <n v="0"/>
    <n v="0"/>
    <n v="0"/>
    <n v="0"/>
    <n v="0"/>
    <n v="0"/>
    <m/>
  </r>
  <r>
    <n v="1215"/>
    <d v="2025-01-08T14:05:55"/>
    <d v="2025-01-08T14:14:23"/>
    <s v="bchirwa@lighthouse.org.mw"/>
    <s v="Bethsheba Chirwa"/>
    <x v="1"/>
    <s v="Prototype"/>
    <x v="1"/>
    <s v="COP_23"/>
    <s v="COP_24"/>
    <x v="0"/>
    <s v="Quarter1"/>
    <s v="Qtr_1"/>
    <s v="Nov"/>
    <d v="2024-11-01T00:00:00"/>
    <d v="2024-11-30T00:00:00"/>
    <x v="1"/>
    <n v="4"/>
    <n v="0"/>
    <n v="4"/>
    <n v="0"/>
    <n v="0"/>
    <n v="0"/>
    <n v="0"/>
    <n v="0"/>
    <n v="0"/>
    <n v="0"/>
    <n v="0"/>
    <n v="0"/>
    <n v="0"/>
    <n v="0"/>
    <n v="0"/>
    <n v="0"/>
    <n v="0"/>
    <n v="0"/>
    <n v="0"/>
    <n v="0"/>
    <n v="0"/>
    <n v="0"/>
    <n v="0"/>
    <n v="0"/>
    <n v="0"/>
    <m/>
  </r>
  <r>
    <n v="1216"/>
    <d v="2025-01-08T14:14:31"/>
    <d v="2025-01-08T14:16:18"/>
    <s v="bchirwa@lighthouse.org.mw"/>
    <s v="Bethsheba Chirwa"/>
    <x v="1"/>
    <s v="Prototype"/>
    <x v="1"/>
    <s v="COP_23"/>
    <s v="COP_24"/>
    <x v="0"/>
    <s v="Quarter1"/>
    <s v="Qtr_1"/>
    <s v="Nov"/>
    <d v="2024-11-01T00:00:00"/>
    <d v="2024-11-30T00:00:00"/>
    <x v="3"/>
    <n v="0"/>
    <n v="0"/>
    <n v="0"/>
    <n v="0"/>
    <n v="0"/>
    <n v="0"/>
    <n v="0"/>
    <n v="0"/>
    <n v="0"/>
    <n v="0"/>
    <n v="0"/>
    <n v="0"/>
    <n v="0"/>
    <n v="0"/>
    <n v="0"/>
    <n v="0"/>
    <n v="0"/>
    <n v="0"/>
    <n v="0"/>
    <n v="0"/>
    <n v="0"/>
    <n v="0"/>
    <n v="0"/>
    <n v="0"/>
    <n v="0"/>
    <m/>
  </r>
  <r>
    <n v="1217"/>
    <d v="2025-01-08T14:16:20"/>
    <d v="2025-01-08T14:17:39"/>
    <s v="bchirwa@lighthouse.org.mw"/>
    <s v="Bethsheba Chirwa"/>
    <x v="1"/>
    <s v="Prototype"/>
    <x v="1"/>
    <s v="COP_23"/>
    <s v="COP_24"/>
    <x v="0"/>
    <s v="Quarter1"/>
    <s v="Qtr_1"/>
    <s v="Nov"/>
    <d v="2024-11-01T00:00:00"/>
    <d v="2024-11-30T00:00:00"/>
    <x v="4"/>
    <n v="0"/>
    <n v="0"/>
    <n v="0"/>
    <n v="0"/>
    <n v="0"/>
    <n v="0"/>
    <n v="0"/>
    <n v="0"/>
    <n v="0"/>
    <n v="0"/>
    <n v="0"/>
    <n v="0"/>
    <n v="0"/>
    <n v="0"/>
    <n v="0"/>
    <n v="0"/>
    <n v="0"/>
    <n v="0"/>
    <n v="0"/>
    <n v="0"/>
    <n v="0"/>
    <n v="0"/>
    <n v="0"/>
    <n v="0"/>
    <n v="0"/>
    <m/>
  </r>
  <r>
    <n v="1218"/>
    <d v="2025-01-08T14:17:46"/>
    <d v="2025-01-08T14:20:24"/>
    <s v="bchirwa@lighthouse.org.mw"/>
    <s v="Bethsheba Chirwa"/>
    <x v="1"/>
    <s v="Prototype"/>
    <x v="1"/>
    <s v="COP_23"/>
    <s v="COP_24"/>
    <x v="0"/>
    <s v="Quarter1"/>
    <s v="Qtr_1"/>
    <s v="Nov"/>
    <d v="2024-11-01T00:00:00"/>
    <d v="2024-11-30T00:00:00"/>
    <x v="5"/>
    <n v="2"/>
    <n v="0"/>
    <n v="2"/>
    <n v="0"/>
    <n v="0"/>
    <n v="0"/>
    <n v="0"/>
    <n v="0"/>
    <n v="0"/>
    <n v="0"/>
    <n v="0"/>
    <n v="0"/>
    <n v="0"/>
    <n v="0"/>
    <n v="0"/>
    <n v="0"/>
    <n v="0"/>
    <n v="0"/>
    <n v="0"/>
    <n v="0"/>
    <n v="0"/>
    <n v="0"/>
    <n v="0"/>
    <n v="0"/>
    <n v="0"/>
    <m/>
  </r>
  <r>
    <n v="1219"/>
    <d v="2025-01-08T14:20:27"/>
    <d v="2025-01-08T14:22:11"/>
    <s v="bchirwa@lighthouse.org.mw"/>
    <s v="Bethsheba Chirwa"/>
    <x v="1"/>
    <s v="Prototype"/>
    <x v="1"/>
    <s v="COP_23"/>
    <s v="COP_24"/>
    <x v="0"/>
    <s v="Quarter1"/>
    <s v="Qtr_1"/>
    <s v="Nov"/>
    <d v="2024-11-01T00:00:00"/>
    <d v="2024-11-30T00:00:00"/>
    <x v="0"/>
    <n v="6"/>
    <n v="0"/>
    <n v="6"/>
    <n v="0"/>
    <n v="0"/>
    <n v="0"/>
    <n v="0"/>
    <n v="0"/>
    <n v="0"/>
    <n v="0"/>
    <n v="0"/>
    <n v="0"/>
    <n v="0"/>
    <n v="0"/>
    <n v="0"/>
    <n v="0"/>
    <n v="0"/>
    <n v="0"/>
    <n v="0"/>
    <n v="0"/>
    <n v="0"/>
    <n v="0"/>
    <n v="0"/>
    <n v="0"/>
    <n v="0"/>
    <m/>
  </r>
  <r>
    <n v="1220"/>
    <d v="2025-01-08T14:22:17"/>
    <d v="2025-01-08T14:26:24"/>
    <s v="bchirwa@lighthouse.org.mw"/>
    <s v="Bethsheba Chirwa"/>
    <x v="1"/>
    <s v="Prototype"/>
    <x v="1"/>
    <s v="COP_23"/>
    <s v="COP_24"/>
    <x v="0"/>
    <s v="Quarter1"/>
    <s v="Qtr_1"/>
    <s v="Dec"/>
    <d v="2024-12-01T00:00:00"/>
    <d v="2024-12-31T00:00:00"/>
    <x v="1"/>
    <n v="4"/>
    <n v="0"/>
    <n v="3"/>
    <n v="1"/>
    <n v="0"/>
    <n v="0"/>
    <n v="0"/>
    <n v="0"/>
    <n v="0"/>
    <n v="0"/>
    <n v="0"/>
    <n v="0"/>
    <n v="0"/>
    <n v="0"/>
    <n v="0"/>
    <n v="0"/>
    <n v="0"/>
    <n v="0"/>
    <n v="0"/>
    <n v="0"/>
    <n v="0"/>
    <n v="0"/>
    <n v="0"/>
    <n v="0"/>
    <n v="0"/>
    <m/>
  </r>
  <r>
    <n v="1221"/>
    <d v="2025-01-08T14:26:32"/>
    <d v="2025-01-08T14:29:03"/>
    <s v="bchirwa@lighthouse.org.mw"/>
    <s v="Bethsheba Chirwa"/>
    <x v="1"/>
    <s v="Prototype"/>
    <x v="1"/>
    <s v="COP_23"/>
    <s v="COP_24"/>
    <x v="0"/>
    <s v="Quarter1"/>
    <s v="Qtr_1"/>
    <s v="Dec"/>
    <d v="2024-12-01T00:00:00"/>
    <d v="2024-12-31T00:00:00"/>
    <x v="3"/>
    <n v="0"/>
    <n v="0"/>
    <n v="0"/>
    <n v="0"/>
    <n v="0"/>
    <n v="0"/>
    <n v="0"/>
    <n v="0"/>
    <n v="0"/>
    <n v="0"/>
    <n v="0"/>
    <n v="0"/>
    <n v="0"/>
    <n v="0"/>
    <n v="0"/>
    <n v="0"/>
    <n v="0"/>
    <n v="0"/>
    <n v="0"/>
    <n v="0"/>
    <n v="0"/>
    <n v="0"/>
    <n v="0"/>
    <n v="0"/>
    <n v="0"/>
    <m/>
  </r>
  <r>
    <n v="1222"/>
    <d v="2025-01-08T14:29:13"/>
    <d v="2025-01-08T14:30:15"/>
    <s v="bchirwa@lighthouse.org.mw"/>
    <s v="Bethsheba Chirwa"/>
    <x v="1"/>
    <s v="Prototype"/>
    <x v="1"/>
    <s v="COP_23"/>
    <s v="COP_24"/>
    <x v="0"/>
    <s v="Quarter1"/>
    <s v="Qtr_1"/>
    <s v="Dec"/>
    <d v="2024-12-01T00:00:00"/>
    <d v="2024-12-31T00:00:00"/>
    <x v="4"/>
    <n v="0"/>
    <n v="0"/>
    <n v="0"/>
    <n v="0"/>
    <n v="0"/>
    <n v="0"/>
    <n v="0"/>
    <n v="0"/>
    <n v="0"/>
    <n v="0"/>
    <n v="0"/>
    <n v="0"/>
    <n v="0"/>
    <n v="0"/>
    <n v="0"/>
    <n v="0"/>
    <n v="0"/>
    <n v="0"/>
    <n v="0"/>
    <n v="0"/>
    <n v="0"/>
    <n v="0"/>
    <n v="0"/>
    <n v="0"/>
    <n v="0"/>
    <m/>
  </r>
  <r>
    <n v="1223"/>
    <d v="2025-01-08T14:30:20"/>
    <d v="2025-01-08T14:33:56"/>
    <s v="bchirwa@lighthouse.org.mw"/>
    <s v="Bethsheba Chirwa"/>
    <x v="1"/>
    <s v="Prototype"/>
    <x v="1"/>
    <s v="COP_23"/>
    <s v="COP_24"/>
    <x v="0"/>
    <s v="Quarter1"/>
    <s v="Qtr_1"/>
    <s v="Dec"/>
    <d v="2024-12-01T00:00:00"/>
    <d v="2024-12-31T00:00:00"/>
    <x v="5"/>
    <n v="1"/>
    <n v="0"/>
    <n v="0"/>
    <n v="0"/>
    <n v="0"/>
    <n v="0"/>
    <n v="0"/>
    <n v="0"/>
    <n v="0"/>
    <n v="0"/>
    <n v="0"/>
    <n v="0"/>
    <n v="0"/>
    <n v="0"/>
    <n v="0"/>
    <n v="0"/>
    <n v="0"/>
    <n v="0"/>
    <n v="0"/>
    <n v="0"/>
    <n v="0"/>
    <n v="0"/>
    <n v="0"/>
    <n v="0"/>
    <n v="0"/>
    <m/>
  </r>
  <r>
    <n v="1224"/>
    <d v="2025-01-08T14:34:12"/>
    <d v="2025-01-08T14:40:28"/>
    <s v="bchirwa@lighthouse.org.mw"/>
    <s v="Bethsheba Chirwa"/>
    <x v="1"/>
    <s v="Prototype"/>
    <x v="1"/>
    <s v="COP_23"/>
    <s v="COP_24"/>
    <x v="0"/>
    <s v="Quarter1"/>
    <s v="Qtr_1"/>
    <s v="Dec"/>
    <d v="2024-12-01T00:00:00"/>
    <d v="2024-12-31T00:00:00"/>
    <x v="0"/>
    <n v="6"/>
    <n v="0"/>
    <n v="5"/>
    <n v="1"/>
    <n v="0"/>
    <n v="0"/>
    <n v="0"/>
    <n v="0"/>
    <n v="0"/>
    <n v="0"/>
    <n v="0"/>
    <n v="0"/>
    <n v="0"/>
    <n v="0"/>
    <n v="0"/>
    <n v="0"/>
    <n v="0"/>
    <n v="0"/>
    <n v="0"/>
    <n v="0"/>
    <n v="0"/>
    <n v="0"/>
    <n v="0"/>
    <n v="0"/>
    <n v="0"/>
    <m/>
  </r>
  <r>
    <n v="1262"/>
    <d v="2025-01-14T11:37:18"/>
    <d v="2025-01-14T11:51:35"/>
    <s v="bchirwa@lighthouse.org.mw"/>
    <s v="Bethsheba Chirwa"/>
    <x v="1"/>
    <s v="Prototype"/>
    <x v="1"/>
    <s v="COP_23"/>
    <s v="COP_24"/>
    <x v="0"/>
    <s v="Quarter1"/>
    <s v="Qtr_1"/>
    <s v="Nov"/>
    <d v="2025-11-01T00:00:00"/>
    <d v="2024-11-30T00:00:00"/>
    <x v="2"/>
    <n v="43"/>
    <n v="0"/>
    <n v="0"/>
    <n v="0"/>
    <n v="0"/>
    <n v="0"/>
    <n v="0"/>
    <n v="0"/>
    <n v="0"/>
    <n v="0"/>
    <n v="0"/>
    <n v="0"/>
    <n v="0"/>
    <n v="0"/>
    <n v="0"/>
    <n v="0"/>
    <n v="0"/>
    <n v="0"/>
    <n v="0"/>
    <n v="0"/>
    <n v="0"/>
    <n v="0"/>
    <n v="0"/>
    <n v="0"/>
    <n v="0"/>
    <m/>
  </r>
  <r>
    <n v="1264"/>
    <d v="2025-01-14T11:51:40"/>
    <d v="2025-01-14T11:56:16"/>
    <s v="bchirwa@lighthouse.org.mw"/>
    <s v="Bethsheba Chirwa"/>
    <x v="1"/>
    <s v="Prototype"/>
    <x v="1"/>
    <s v="COP_23"/>
    <s v="COP_24"/>
    <x v="0"/>
    <s v="Quarter1"/>
    <s v="Qtr_1"/>
    <s v="Dec"/>
    <d v="2024-12-01T00:00:00"/>
    <d v="2024-12-31T00:00:00"/>
    <x v="2"/>
    <n v="38"/>
    <n v="0"/>
    <n v="1"/>
    <n v="0"/>
    <n v="0"/>
    <n v="0"/>
    <n v="1"/>
    <n v="0"/>
    <n v="0"/>
    <n v="0"/>
    <n v="0"/>
    <n v="0"/>
    <n v="0"/>
    <n v="0"/>
    <n v="0"/>
    <n v="0"/>
    <n v="0"/>
    <n v="0"/>
    <n v="0"/>
    <n v="0"/>
    <n v="0"/>
    <n v="0"/>
    <n v="0"/>
    <n v="0"/>
    <n v="0"/>
    <m/>
  </r>
  <r>
    <n v="1361"/>
    <d v="2025-03-06T10:04:21"/>
    <d v="2025-03-06T10:14:34"/>
    <s v="bchirwa@lighthouse.org.mw"/>
    <s v="Bethsheba Chirwa"/>
    <x v="1"/>
    <s v="Prototype"/>
    <x v="2"/>
    <s v="COP_23"/>
    <s v="COP_24"/>
    <x v="2"/>
    <s v="Quarter2"/>
    <s v="Qtr_2"/>
    <s v="Jan"/>
    <d v="2025-01-01T00:00:00"/>
    <d v="2025-01-31T00:00:00"/>
    <x v="1"/>
    <n v="12"/>
    <n v="0"/>
    <n v="11"/>
    <n v="0"/>
    <n v="0"/>
    <n v="0"/>
    <n v="11"/>
    <n v="0"/>
    <n v="0"/>
    <n v="0"/>
    <n v="0"/>
    <n v="0"/>
    <n v="0"/>
    <n v="0"/>
    <n v="0"/>
    <n v="0"/>
    <n v="0"/>
    <n v="0"/>
    <n v="0"/>
    <n v="0"/>
    <n v="0"/>
    <n v="0"/>
    <n v="0"/>
    <n v="0"/>
    <n v="0"/>
    <m/>
  </r>
  <r>
    <n v="1362"/>
    <d v="2025-03-06T10:14:38"/>
    <d v="2025-03-06T10:16:37"/>
    <s v="bchirwa@lighthouse.org.mw"/>
    <s v="Bethsheba Chirwa"/>
    <x v="1"/>
    <s v="Prototype"/>
    <x v="2"/>
    <s v="COP_23"/>
    <s v="COP_24"/>
    <x v="2"/>
    <s v="Quarter2"/>
    <s v="Qtr_2"/>
    <s v="Jan"/>
    <d v="2025-01-01T00:00:00"/>
    <d v="2025-01-31T00:00:00"/>
    <x v="3"/>
    <n v="0"/>
    <n v="0"/>
    <n v="0"/>
    <n v="0"/>
    <n v="0"/>
    <n v="0"/>
    <n v="0"/>
    <n v="0"/>
    <n v="0"/>
    <n v="0"/>
    <n v="0"/>
    <n v="0"/>
    <n v="0"/>
    <n v="0"/>
    <n v="0"/>
    <n v="0"/>
    <n v="0"/>
    <n v="0"/>
    <n v="0"/>
    <n v="0"/>
    <n v="0"/>
    <n v="0"/>
    <n v="0"/>
    <n v="0"/>
    <n v="0"/>
    <m/>
  </r>
  <r>
    <n v="1363"/>
    <d v="2025-03-06T10:16:41"/>
    <d v="2025-03-06T10:22:26"/>
    <s v="bchirwa@lighthouse.org.mw"/>
    <s v="Bethsheba Chirwa"/>
    <x v="1"/>
    <s v="Prototype"/>
    <x v="2"/>
    <s v="COP_23"/>
    <s v="COP_24"/>
    <x v="2"/>
    <s v="Quarter2"/>
    <s v="Qtr_2"/>
    <s v="Jan"/>
    <d v="2025-01-01T00:00:00"/>
    <d v="2025-01-31T00:00:00"/>
    <x v="4"/>
    <n v="0"/>
    <n v="0"/>
    <n v="0"/>
    <n v="0"/>
    <n v="0"/>
    <n v="0"/>
    <n v="0"/>
    <n v="0"/>
    <n v="0"/>
    <n v="0"/>
    <n v="0"/>
    <n v="0"/>
    <n v="0"/>
    <n v="0"/>
    <n v="0"/>
    <n v="0"/>
    <n v="0"/>
    <n v="0"/>
    <n v="0"/>
    <n v="0"/>
    <n v="0"/>
    <n v="0"/>
    <n v="0"/>
    <n v="0"/>
    <n v="0"/>
    <m/>
  </r>
  <r>
    <n v="1367"/>
    <d v="2025-03-06T10:22:30"/>
    <d v="2025-03-06T10:38:42"/>
    <s v="bchirwa@lighthouse.org.mw"/>
    <s v="Bethsheba Chirwa"/>
    <x v="1"/>
    <s v="Prototype"/>
    <x v="2"/>
    <s v="COP_23"/>
    <s v="COP_24"/>
    <x v="2"/>
    <s v="Quarter2"/>
    <s v="Qtr_2"/>
    <s v="Jan"/>
    <d v="2025-01-01T00:00:00"/>
    <d v="2025-01-31T00:00:00"/>
    <x v="5"/>
    <n v="4"/>
    <n v="0"/>
    <n v="1"/>
    <n v="0"/>
    <n v="0"/>
    <n v="0"/>
    <n v="1"/>
    <n v="0"/>
    <n v="0"/>
    <n v="0"/>
    <n v="0"/>
    <n v="0"/>
    <n v="1"/>
    <n v="0"/>
    <n v="0"/>
    <n v="0"/>
    <n v="0"/>
    <n v="0"/>
    <n v="0"/>
    <n v="0"/>
    <n v="0"/>
    <n v="0"/>
    <n v="0"/>
    <n v="0"/>
    <n v="0"/>
    <m/>
  </r>
  <r>
    <n v="1371"/>
    <d v="2025-03-06T10:40:47"/>
    <d v="2025-03-06T10:57:01"/>
    <s v="bchirwa@lighthouse.org.mw"/>
    <s v="Bethsheba Chirwa"/>
    <x v="1"/>
    <s v="Prototype"/>
    <x v="2"/>
    <s v="COP_23"/>
    <s v="COP_24"/>
    <x v="2"/>
    <s v="Quarter2"/>
    <s v="Qtr_2"/>
    <s v="Jan"/>
    <d v="2025-01-01T00:00:00"/>
    <d v="2025-01-31T00:00:00"/>
    <x v="2"/>
    <n v="30"/>
    <n v="0"/>
    <n v="1"/>
    <n v="0"/>
    <n v="0"/>
    <n v="0"/>
    <n v="0"/>
    <n v="0"/>
    <n v="0"/>
    <n v="0"/>
    <n v="0"/>
    <n v="0"/>
    <n v="0"/>
    <n v="0"/>
    <n v="0"/>
    <n v="0"/>
    <n v="0"/>
    <n v="0"/>
    <n v="0"/>
    <n v="0"/>
    <n v="0"/>
    <n v="0"/>
    <n v="0"/>
    <n v="0"/>
    <n v="0"/>
    <m/>
  </r>
  <r>
    <n v="1372"/>
    <d v="2025-03-06T10:57:05"/>
    <d v="2025-03-06T11:04:05"/>
    <s v="bchirwa@lighthouse.org.mw"/>
    <s v="Bethsheba Chirwa"/>
    <x v="1"/>
    <s v="Prototype"/>
    <x v="2"/>
    <s v="COP_23"/>
    <s v="COP_24"/>
    <x v="2"/>
    <s v="Quarter2"/>
    <s v="Qtr_2"/>
    <s v="Feb"/>
    <d v="2025-01-01T00:00:00"/>
    <d v="2025-01-31T00:00:00"/>
    <x v="0"/>
    <n v="13"/>
    <n v="0"/>
    <n v="13"/>
    <n v="0"/>
    <n v="0"/>
    <n v="0"/>
    <n v="1"/>
    <n v="0"/>
    <n v="0"/>
    <n v="0"/>
    <n v="0"/>
    <n v="0"/>
    <n v="1"/>
    <n v="0"/>
    <n v="0"/>
    <n v="0"/>
    <n v="0"/>
    <n v="0"/>
    <n v="0"/>
    <n v="0"/>
    <n v="0"/>
    <n v="0"/>
    <n v="0"/>
    <n v="0"/>
    <n v="0"/>
    <m/>
  </r>
  <r>
    <n v="1373"/>
    <d v="2025-03-06T11:04:37"/>
    <d v="2025-03-06T11:15:22"/>
    <s v="bchirwa@lighthouse.org.mw"/>
    <s v="Bethsheba Chirwa"/>
    <x v="1"/>
    <s v="Prototype"/>
    <x v="2"/>
    <s v="COP_23"/>
    <s v="COP_24"/>
    <x v="2"/>
    <s v="Quarter2"/>
    <s v="Qtr_2"/>
    <s v="Feb"/>
    <d v="2025-02-01T00:00:00"/>
    <d v="2025-02-28T00:00:00"/>
    <x v="1"/>
    <n v="4"/>
    <n v="0"/>
    <n v="4"/>
    <n v="0"/>
    <n v="0"/>
    <n v="0"/>
    <n v="0"/>
    <n v="0"/>
    <n v="0"/>
    <n v="0"/>
    <n v="0"/>
    <n v="0"/>
    <n v="0"/>
    <n v="0"/>
    <n v="0"/>
    <n v="0"/>
    <n v="0"/>
    <n v="0"/>
    <n v="0"/>
    <n v="0"/>
    <n v="0"/>
    <n v="0"/>
    <n v="0"/>
    <n v="0"/>
    <n v="0"/>
    <m/>
  </r>
  <r>
    <n v="1374"/>
    <d v="2025-03-06T11:15:35"/>
    <d v="2025-03-06T11:17:15"/>
    <s v="bchirwa@lighthouse.org.mw"/>
    <s v="Bethsheba Chirwa"/>
    <x v="1"/>
    <s v="Prototype"/>
    <x v="2"/>
    <s v="COP_23"/>
    <s v="COP_24"/>
    <x v="2"/>
    <s v="Quarter2"/>
    <s v="Qtr_2"/>
    <s v="Feb"/>
    <d v="2025-02-01T00:00:00"/>
    <d v="2025-02-28T00:00:00"/>
    <x v="3"/>
    <n v="0"/>
    <n v="0"/>
    <n v="0"/>
    <n v="0"/>
    <n v="0"/>
    <n v="0"/>
    <n v="0"/>
    <n v="0"/>
    <n v="0"/>
    <n v="0"/>
    <n v="0"/>
    <n v="0"/>
    <n v="0"/>
    <n v="0"/>
    <n v="0"/>
    <n v="0"/>
    <n v="0"/>
    <n v="0"/>
    <n v="0"/>
    <n v="0"/>
    <n v="0"/>
    <n v="0"/>
    <n v="0"/>
    <n v="0"/>
    <n v="0"/>
    <m/>
  </r>
  <r>
    <n v="1375"/>
    <d v="2025-03-06T11:17:21"/>
    <d v="2025-03-06T11:19:13"/>
    <s v="bchirwa@lighthouse.org.mw"/>
    <s v="Bethsheba Chirwa"/>
    <x v="1"/>
    <s v="Prototype"/>
    <x v="2"/>
    <s v="COP_23"/>
    <s v="COP_24"/>
    <x v="2"/>
    <s v="Quarter2"/>
    <s v="Qtr_2"/>
    <s v="Feb"/>
    <d v="2025-02-01T00:00:00"/>
    <d v="2025-02-28T00:00:00"/>
    <x v="4"/>
    <n v="0"/>
    <n v="0"/>
    <n v="0"/>
    <n v="0"/>
    <n v="0"/>
    <n v="0"/>
    <n v="0"/>
    <n v="0"/>
    <n v="0"/>
    <n v="0"/>
    <n v="0"/>
    <n v="0"/>
    <n v="0"/>
    <n v="0"/>
    <n v="0"/>
    <n v="0"/>
    <n v="0"/>
    <n v="0"/>
    <n v="0"/>
    <n v="0"/>
    <n v="0"/>
    <n v="0"/>
    <n v="0"/>
    <n v="0"/>
    <n v="0"/>
    <m/>
  </r>
  <r>
    <n v="1376"/>
    <d v="2025-03-06T11:19:29"/>
    <d v="2025-03-06T11:21:13"/>
    <s v="bchirwa@lighthouse.org.mw"/>
    <s v="Bethsheba Chirwa"/>
    <x v="1"/>
    <s v="Prototype"/>
    <x v="2"/>
    <s v="COP_23"/>
    <s v="COP_24"/>
    <x v="2"/>
    <s v="Quarter2"/>
    <s v="Qtr_2"/>
    <s v="Feb"/>
    <d v="2025-02-01T00:00:00"/>
    <d v="2025-02-28T00:00:00"/>
    <x v="5"/>
    <n v="0"/>
    <n v="0"/>
    <n v="0"/>
    <n v="0"/>
    <n v="0"/>
    <n v="0"/>
    <n v="0"/>
    <n v="0"/>
    <n v="0"/>
    <n v="0"/>
    <n v="0"/>
    <n v="0"/>
    <n v="0"/>
    <n v="0"/>
    <n v="0"/>
    <n v="0"/>
    <n v="0"/>
    <n v="0"/>
    <n v="0"/>
    <n v="0"/>
    <n v="0"/>
    <n v="0"/>
    <n v="0"/>
    <n v="0"/>
    <n v="0"/>
    <m/>
  </r>
  <r>
    <n v="1377"/>
    <d v="2025-03-06T11:21:17"/>
    <d v="2025-03-06T11:27:15"/>
    <s v="bchirwa@lighthouse.org.mw"/>
    <s v="Bethsheba Chirwa"/>
    <x v="1"/>
    <s v="Prototype"/>
    <x v="2"/>
    <s v="COP_23"/>
    <s v="COP_24"/>
    <x v="2"/>
    <s v="Quarter2"/>
    <s v="Qtr_2"/>
    <s v="Feb"/>
    <d v="2025-02-01T00:00:00"/>
    <d v="2025-02-28T00:00:00"/>
    <x v="2"/>
    <n v="26"/>
    <n v="0"/>
    <n v="1"/>
    <n v="0"/>
    <n v="0"/>
    <n v="0"/>
    <n v="1"/>
    <n v="0"/>
    <n v="0"/>
    <n v="0"/>
    <n v="0"/>
    <n v="0"/>
    <n v="0"/>
    <n v="0"/>
    <n v="0"/>
    <n v="0"/>
    <n v="0"/>
    <n v="0"/>
    <n v="0"/>
    <n v="0"/>
    <n v="0"/>
    <n v="0"/>
    <n v="0"/>
    <n v="0"/>
    <n v="0"/>
    <m/>
  </r>
  <r>
    <n v="1378"/>
    <d v="2025-03-06T11:27:26"/>
    <d v="2025-03-06T11:28:56"/>
    <s v="bchirwa@lighthouse.org.mw"/>
    <s v="Bethsheba Chirwa"/>
    <x v="1"/>
    <s v="Prototype"/>
    <x v="2"/>
    <s v="COP_23"/>
    <s v="COP_24"/>
    <x v="2"/>
    <s v="Quarter2"/>
    <s v="Qtr_2"/>
    <s v="Feb"/>
    <d v="2025-02-01T00:00:00"/>
    <d v="2025-02-28T00:00:00"/>
    <x v="0"/>
    <n v="5"/>
    <n v="0"/>
    <n v="5"/>
    <n v="0"/>
    <n v="0"/>
    <n v="0"/>
    <n v="5"/>
    <n v="0"/>
    <n v="0"/>
    <n v="0"/>
    <n v="0"/>
    <n v="0"/>
    <n v="0"/>
    <n v="0"/>
    <n v="0"/>
    <n v="0"/>
    <n v="0"/>
    <n v="0"/>
    <n v="0"/>
    <n v="0"/>
    <n v="0"/>
    <n v="0"/>
    <n v="0"/>
    <n v="0"/>
    <n v="0"/>
    <m/>
  </r>
  <r>
    <n v="1488"/>
    <d v="2025-04-03T10:17:24"/>
    <d v="2025-04-03T10:24:44"/>
    <s v="bchirwa@lighthouse.org.mw"/>
    <s v="Bethsheba Chirwa"/>
    <x v="1"/>
    <s v="Prototype"/>
    <x v="2"/>
    <s v="COP_23"/>
    <s v="COP_24"/>
    <x v="2"/>
    <s v="Quarter2"/>
    <s v="Qtr_2"/>
    <s v="Mar"/>
    <d v="2025-03-01T00:00:00"/>
    <d v="2025-03-31T00:00:00"/>
    <x v="1"/>
    <n v="6"/>
    <n v="0"/>
    <n v="5"/>
    <n v="1"/>
    <n v="0"/>
    <n v="0"/>
    <n v="6"/>
    <n v="1"/>
    <n v="1"/>
    <n v="0"/>
    <n v="0"/>
    <n v="0"/>
    <n v="1"/>
    <n v="0"/>
    <n v="0"/>
    <n v="0"/>
    <n v="0"/>
    <n v="0"/>
    <n v="0"/>
    <n v="0"/>
    <n v="0"/>
    <n v="0"/>
    <n v="0"/>
    <n v="0"/>
    <n v="0"/>
    <m/>
  </r>
  <r>
    <n v="1489"/>
    <d v="2025-04-03T10:24:54"/>
    <d v="2025-04-03T10:34:39"/>
    <s v="bchirwa@lighthouse.org.mw"/>
    <s v="Bethsheba Chirwa"/>
    <x v="1"/>
    <s v="Prototype"/>
    <x v="2"/>
    <s v="COP_23"/>
    <s v="COP_24"/>
    <x v="2"/>
    <s v="Quarter2"/>
    <s v="Qtr_2"/>
    <s v="Mar"/>
    <d v="2025-03-01T00:00:00"/>
    <d v="2025-03-31T00:00:00"/>
    <x v="3"/>
    <n v="0"/>
    <n v="0"/>
    <n v="0"/>
    <n v="0"/>
    <n v="0"/>
    <n v="0"/>
    <n v="0"/>
    <n v="0"/>
    <n v="0"/>
    <n v="0"/>
    <n v="0"/>
    <n v="0"/>
    <n v="0"/>
    <n v="0"/>
    <n v="0"/>
    <n v="0"/>
    <n v="0"/>
    <n v="0"/>
    <n v="0"/>
    <n v="0"/>
    <n v="0"/>
    <n v="0"/>
    <n v="0"/>
    <n v="0"/>
    <n v="0"/>
    <m/>
  </r>
  <r>
    <n v="1490"/>
    <d v="2025-04-03T10:34:54"/>
    <d v="2025-04-03T10:37:12"/>
    <s v="bchirwa@lighthouse.org.mw"/>
    <s v="Bethsheba Chirwa"/>
    <x v="1"/>
    <s v="Prototype"/>
    <x v="2"/>
    <s v="COP_23"/>
    <s v="COP_24"/>
    <x v="2"/>
    <s v="Quarter2"/>
    <s v="Qtr_2"/>
    <s v="Mar"/>
    <d v="2025-03-01T00:00:00"/>
    <d v="2025-03-31T00:00:00"/>
    <x v="4"/>
    <n v="0"/>
    <n v="0"/>
    <n v="0"/>
    <n v="0"/>
    <n v="0"/>
    <n v="0"/>
    <n v="0"/>
    <n v="0"/>
    <n v="0"/>
    <n v="0"/>
    <n v="0"/>
    <n v="0"/>
    <n v="0"/>
    <n v="0"/>
    <n v="0"/>
    <n v="0"/>
    <n v="0"/>
    <n v="0"/>
    <n v="0"/>
    <n v="0"/>
    <n v="0"/>
    <n v="0"/>
    <n v="0"/>
    <n v="0"/>
    <n v="0"/>
    <m/>
  </r>
  <r>
    <n v="1491"/>
    <d v="2025-04-03T10:37:56"/>
    <d v="2025-04-03T10:45:14"/>
    <s v="bchirwa@lighthouse.org.mw"/>
    <s v="Bethsheba Chirwa"/>
    <x v="1"/>
    <s v="Prototype"/>
    <x v="2"/>
    <s v="COP_23"/>
    <s v="COP_24"/>
    <x v="2"/>
    <s v="Quarter2"/>
    <s v="Qtr_2"/>
    <s v="Mar"/>
    <d v="2025-03-01T00:00:00"/>
    <d v="2025-03-31T00:00:00"/>
    <x v="5"/>
    <n v="6"/>
    <n v="0"/>
    <n v="0"/>
    <n v="0"/>
    <n v="0"/>
    <n v="0"/>
    <n v="0"/>
    <n v="0"/>
    <n v="0"/>
    <n v="0"/>
    <n v="0"/>
    <n v="0"/>
    <n v="0"/>
    <n v="0"/>
    <n v="0"/>
    <n v="0"/>
    <n v="0"/>
    <n v="0"/>
    <n v="0"/>
    <n v="0"/>
    <n v="0"/>
    <n v="0"/>
    <n v="0"/>
    <n v="0"/>
    <n v="0"/>
    <m/>
  </r>
  <r>
    <n v="1492"/>
    <d v="2025-04-03T10:47:45"/>
    <d v="2025-04-03T10:57:12"/>
    <s v="bchirwa@lighthouse.org.mw"/>
    <s v="Bethsheba Chirwa"/>
    <x v="1"/>
    <s v="Prototype"/>
    <x v="2"/>
    <s v="COP_23"/>
    <s v="COP_24"/>
    <x v="2"/>
    <s v="Quarter2"/>
    <s v="Qtr_2"/>
    <s v="Mar"/>
    <d v="2025-03-01T00:00:00"/>
    <d v="2025-03-31T00:00:00"/>
    <x v="2"/>
    <n v="17"/>
    <n v="0"/>
    <n v="0"/>
    <n v="0"/>
    <n v="0"/>
    <n v="0"/>
    <n v="0"/>
    <n v="0"/>
    <n v="0"/>
    <n v="0"/>
    <n v="0"/>
    <n v="0"/>
    <n v="0"/>
    <n v="0"/>
    <n v="0"/>
    <n v="0"/>
    <n v="0"/>
    <n v="0"/>
    <n v="0"/>
    <n v="0"/>
    <n v="0"/>
    <n v="0"/>
    <n v="0"/>
    <n v="0"/>
    <n v="0"/>
    <m/>
  </r>
  <r>
    <n v="1503"/>
    <d v="2025-04-04T10:36:27"/>
    <d v="2025-04-04T10:45:08"/>
    <s v="bchirwa@lighthouse.org.mw"/>
    <s v="Bethsheba Chirwa"/>
    <x v="1"/>
    <s v="Prototype"/>
    <x v="2"/>
    <s v="COP_23"/>
    <s v="COP_24"/>
    <x v="2"/>
    <s v="Quarter2"/>
    <s v="Qtr_2"/>
    <s v="Mar"/>
    <d v="2025-03-01T00:00:00"/>
    <d v="2025-03-31T00:00:00"/>
    <x v="0"/>
    <n v="23"/>
    <n v="0"/>
    <n v="5"/>
    <n v="1"/>
    <n v="0"/>
    <n v="0"/>
    <n v="0"/>
    <n v="1"/>
    <n v="1"/>
    <n v="0"/>
    <n v="0"/>
    <n v="0"/>
    <n v="1"/>
    <n v="0"/>
    <n v="0"/>
    <n v="0"/>
    <n v="0"/>
    <n v="0"/>
    <n v="0"/>
    <n v="0"/>
    <n v="0"/>
    <n v="0"/>
    <n v="0"/>
    <n v="0"/>
    <n v="0"/>
    <m/>
  </r>
  <r>
    <n v="1737"/>
    <d v="2025-07-08T12:22:55"/>
    <d v="2025-07-08T12:49:12"/>
    <s v="bchirwa@lighthouse.org.mw"/>
    <s v="Bethsheba Chirwa"/>
    <x v="1"/>
    <s v="Prototype"/>
    <x v="2"/>
    <s v="COP_23"/>
    <m/>
    <x v="1"/>
    <s v="Quarter3"/>
    <m/>
    <s v="Apr"/>
    <d v="2025-04-01T00:00:00"/>
    <d v="2025-04-30T00:00:00"/>
    <x v="1"/>
    <n v="18"/>
    <n v="0"/>
    <n v="4"/>
    <n v="14"/>
    <n v="0"/>
    <n v="0"/>
    <n v="18"/>
    <n v="3"/>
    <n v="0"/>
    <n v="0"/>
    <n v="0"/>
    <n v="0"/>
    <n v="0"/>
    <n v="0"/>
    <n v="0"/>
    <n v="0"/>
    <n v="0"/>
    <n v="0"/>
    <n v="0"/>
    <n v="0"/>
    <n v="0"/>
    <n v="0"/>
    <n v="0"/>
    <n v="0"/>
    <n v="0"/>
    <m/>
  </r>
  <r>
    <n v="1738"/>
    <d v="2025-07-08T12:49:45"/>
    <d v="2025-07-08T12:58:43"/>
    <s v="bchirwa@lighthouse.org.mw"/>
    <s v="Bethsheba Chirwa"/>
    <x v="1"/>
    <s v="Prototype"/>
    <x v="2"/>
    <s v="COP_23"/>
    <m/>
    <x v="1"/>
    <s v="Quarter3"/>
    <m/>
    <s v="Apr"/>
    <d v="2025-04-01T00:00:00"/>
    <d v="2025-04-30T00:00:00"/>
    <x v="3"/>
    <n v="1"/>
    <n v="0"/>
    <n v="1"/>
    <n v="0"/>
    <n v="0"/>
    <n v="0"/>
    <n v="0"/>
    <n v="0"/>
    <n v="0"/>
    <n v="0"/>
    <n v="0"/>
    <n v="0"/>
    <n v="0"/>
    <n v="0"/>
    <n v="0"/>
    <n v="0"/>
    <n v="0"/>
    <n v="0"/>
    <n v="0"/>
    <n v="0"/>
    <n v="0"/>
    <n v="0"/>
    <n v="0"/>
    <n v="0"/>
    <n v="0"/>
    <m/>
  </r>
  <r>
    <n v="1739"/>
    <d v="2025-07-08T12:58:47"/>
    <d v="2025-07-08T13:00:56"/>
    <s v="bchirwa@lighthouse.org.mw"/>
    <s v="Bethsheba Chirwa"/>
    <x v="1"/>
    <s v="Prototype"/>
    <x v="2"/>
    <s v="COP_23"/>
    <m/>
    <x v="1"/>
    <s v="Quarter3"/>
    <m/>
    <s v="Apr"/>
    <d v="2025-04-01T00:00:00"/>
    <d v="2025-04-30T00:00:00"/>
    <x v="4"/>
    <n v="0"/>
    <n v="0"/>
    <n v="0"/>
    <n v="0"/>
    <n v="0"/>
    <n v="0"/>
    <n v="0"/>
    <n v="0"/>
    <n v="0"/>
    <n v="0"/>
    <n v="0"/>
    <n v="0"/>
    <n v="0"/>
    <n v="0"/>
    <n v="0"/>
    <n v="0"/>
    <n v="0"/>
    <n v="0"/>
    <n v="0"/>
    <n v="0"/>
    <n v="0"/>
    <n v="0"/>
    <n v="0"/>
    <n v="0"/>
    <n v="0"/>
    <m/>
  </r>
  <r>
    <n v="1740"/>
    <d v="2025-07-09T09:40:36"/>
    <d v="2025-07-09T09:52:50"/>
    <s v="bchirwa@lighthouse.org.mw"/>
    <s v="Bethsheba Chirwa"/>
    <x v="1"/>
    <s v="Prototype"/>
    <x v="2"/>
    <s v="COP_23"/>
    <m/>
    <x v="1"/>
    <s v="Quarter3"/>
    <m/>
    <s v="Apr"/>
    <d v="2025-04-01T00:00:00"/>
    <d v="2025-04-30T00:00:00"/>
    <x v="5"/>
    <n v="1"/>
    <n v="0"/>
    <n v="1"/>
    <n v="0"/>
    <n v="0"/>
    <n v="0"/>
    <n v="1"/>
    <n v="0"/>
    <n v="0"/>
    <n v="0"/>
    <n v="0"/>
    <n v="0"/>
    <n v="0"/>
    <n v="0"/>
    <n v="0"/>
    <n v="0"/>
    <n v="0"/>
    <n v="0"/>
    <n v="0"/>
    <n v="0"/>
    <n v="0"/>
    <n v="0"/>
    <n v="0"/>
    <n v="0"/>
    <n v="0"/>
    <m/>
  </r>
  <r>
    <n v="1742"/>
    <d v="2025-07-09T09:54:13"/>
    <d v="2025-07-09T10:15:01"/>
    <s v="bchirwa@lighthouse.org.mw"/>
    <s v="Bethsheba Chirwa"/>
    <x v="1"/>
    <s v="Prototype"/>
    <x v="2"/>
    <s v="COP_23"/>
    <m/>
    <x v="1"/>
    <s v="Quarter3"/>
    <m/>
    <s v="Apr"/>
    <d v="2025-04-01T00:00:00"/>
    <d v="2025-04-30T00:00:00"/>
    <x v="2"/>
    <n v="18"/>
    <n v="0"/>
    <n v="1"/>
    <n v="0"/>
    <n v="0"/>
    <n v="0"/>
    <n v="1"/>
    <n v="0"/>
    <n v="0"/>
    <n v="0"/>
    <n v="0"/>
    <n v="0"/>
    <n v="0"/>
    <n v="0"/>
    <n v="0"/>
    <n v="0"/>
    <n v="0"/>
    <n v="0"/>
    <n v="0"/>
    <n v="0"/>
    <n v="0"/>
    <n v="0"/>
    <n v="0"/>
    <n v="0"/>
    <n v="0"/>
    <m/>
  </r>
  <r>
    <n v="1743"/>
    <d v="2025-07-09T10:15:14"/>
    <d v="2025-07-09T10:20:19"/>
    <s v="bchirwa@lighthouse.org.mw"/>
    <s v="Bethsheba Chirwa"/>
    <x v="1"/>
    <s v="Prototype"/>
    <x v="2"/>
    <s v="COP_23"/>
    <m/>
    <x v="1"/>
    <s v="Quarter3"/>
    <m/>
    <s v="Apr"/>
    <d v="2025-04-01T00:00:00"/>
    <d v="2025-04-30T00:00:00"/>
    <x v="0"/>
    <n v="18"/>
    <n v="3"/>
    <n v="15"/>
    <n v="3"/>
    <n v="0"/>
    <n v="0"/>
    <n v="0"/>
    <n v="0"/>
    <n v="0"/>
    <n v="0"/>
    <n v="0"/>
    <n v="0"/>
    <n v="0"/>
    <n v="0"/>
    <n v="0"/>
    <n v="0"/>
    <n v="0"/>
    <n v="0"/>
    <n v="0"/>
    <n v="0"/>
    <n v="0"/>
    <n v="0"/>
    <n v="0"/>
    <n v="0"/>
    <n v="0"/>
    <m/>
  </r>
  <r>
    <n v="1746"/>
    <d v="2025-07-09T10:20:48"/>
    <d v="2025-07-09T10:24:29"/>
    <s v="bchirwa@lighthouse.org.mw"/>
    <s v="Bethsheba Chirwa"/>
    <x v="1"/>
    <s v="Prototype"/>
    <x v="2"/>
    <s v="COP_24"/>
    <m/>
    <x v="1"/>
    <s v="Quarter3"/>
    <m/>
    <s v="Apr"/>
    <d v="2025-04-01T00:00:00"/>
    <d v="2025-04-30T00:00:00"/>
    <x v="0"/>
    <n v="18"/>
    <n v="0"/>
    <n v="15"/>
    <n v="3"/>
    <n v="0"/>
    <n v="0"/>
    <n v="17"/>
    <n v="3"/>
    <n v="0"/>
    <n v="0"/>
    <n v="0"/>
    <n v="0"/>
    <n v="0"/>
    <n v="0"/>
    <n v="0"/>
    <n v="0"/>
    <n v="0"/>
    <n v="0"/>
    <n v="0"/>
    <n v="0"/>
    <n v="0"/>
    <n v="0"/>
    <n v="0"/>
    <n v="0"/>
    <n v="0"/>
    <m/>
  </r>
  <r>
    <n v="1751"/>
    <d v="2025-07-09T10:25:37"/>
    <d v="2025-07-09T10:39:44"/>
    <s v="bchirwa@lighthouse.org.mw"/>
    <s v="Bethsheba Chirwa"/>
    <x v="1"/>
    <s v="Prototype"/>
    <x v="2"/>
    <s v="COP_24"/>
    <m/>
    <x v="1"/>
    <s v="Quarter3"/>
    <m/>
    <s v="May"/>
    <d v="2025-05-01T00:00:00"/>
    <d v="2025-05-31T00:00:00"/>
    <x v="1"/>
    <n v="12"/>
    <n v="0"/>
    <n v="7"/>
    <n v="0"/>
    <n v="1"/>
    <n v="0"/>
    <n v="7"/>
    <n v="0"/>
    <n v="1"/>
    <n v="0"/>
    <n v="0"/>
    <n v="0"/>
    <n v="1"/>
    <n v="1"/>
    <n v="0"/>
    <n v="0"/>
    <n v="0"/>
    <n v="0"/>
    <n v="0"/>
    <n v="0"/>
    <n v="1"/>
    <n v="0"/>
    <n v="0"/>
    <n v="0"/>
    <n v="0"/>
    <m/>
  </r>
  <r>
    <n v="1752"/>
    <d v="2025-07-09T10:42:53"/>
    <d v="2025-07-09T10:43:06"/>
    <s v="bchirwa@lighthouse.org.mw"/>
    <s v="Bethsheba Chirwa"/>
    <x v="1"/>
    <s v="Prototype"/>
    <x v="1"/>
    <s v="COP_24"/>
    <m/>
    <x v="1"/>
    <s v="Quarter3"/>
    <m/>
    <s v="May"/>
    <d v="2025-05-01T00:00:00"/>
    <d v="2025-05-31T00:00:00"/>
    <x v="3"/>
    <n v="0"/>
    <n v="0"/>
    <n v="0"/>
    <n v="0"/>
    <n v="0"/>
    <n v="0"/>
    <n v="0"/>
    <n v="0"/>
    <n v="0"/>
    <n v="0"/>
    <n v="0"/>
    <n v="0"/>
    <n v="0"/>
    <n v="0"/>
    <n v="0"/>
    <n v="0"/>
    <n v="0"/>
    <n v="0"/>
    <n v="0"/>
    <n v="0"/>
    <n v="0"/>
    <n v="0"/>
    <n v="0"/>
    <n v="0"/>
    <n v="0"/>
    <m/>
  </r>
  <r>
    <n v="1753"/>
    <d v="2025-07-09T10:43:09"/>
    <d v="2025-07-09T10:49:32"/>
    <s v="bchirwa@lighthouse.org.mw"/>
    <s v="Bethsheba Chirwa"/>
    <x v="1"/>
    <s v="Prototype"/>
    <x v="2"/>
    <s v="COP_24"/>
    <m/>
    <x v="1"/>
    <s v="Quarter3"/>
    <m/>
    <s v="May"/>
    <d v="2025-05-01T00:00:00"/>
    <d v="2025-05-31T00:00:00"/>
    <x v="4"/>
    <n v="0"/>
    <n v="0"/>
    <n v="0"/>
    <n v="0"/>
    <n v="0"/>
    <n v="0"/>
    <n v="0"/>
    <n v="0"/>
    <n v="0"/>
    <n v="0"/>
    <n v="0"/>
    <n v="0"/>
    <n v="0"/>
    <n v="0"/>
    <n v="0"/>
    <n v="0"/>
    <n v="0"/>
    <n v="0"/>
    <n v="0"/>
    <n v="0"/>
    <n v="0"/>
    <n v="0"/>
    <n v="0"/>
    <n v="0"/>
    <n v="0"/>
    <m/>
  </r>
  <r>
    <n v="1754"/>
    <d v="2025-07-09T10:49:38"/>
    <d v="2025-07-09T10:53:58"/>
    <s v="bchirwa@lighthouse.org.mw"/>
    <s v="Bethsheba Chirwa"/>
    <x v="1"/>
    <s v="Prototype"/>
    <x v="2"/>
    <s v="COP_24"/>
    <m/>
    <x v="1"/>
    <s v="Quarter3"/>
    <m/>
    <s v="May"/>
    <d v="2025-05-01T00:00:00"/>
    <d v="2025-05-31T00:00:00"/>
    <x v="5"/>
    <n v="5"/>
    <n v="0"/>
    <n v="0"/>
    <n v="0"/>
    <n v="0"/>
    <n v="0"/>
    <n v="0"/>
    <n v="0"/>
    <n v="0"/>
    <n v="0"/>
    <n v="0"/>
    <n v="0"/>
    <n v="0"/>
    <n v="0"/>
    <n v="0"/>
    <n v="0"/>
    <n v="0"/>
    <n v="0"/>
    <n v="0"/>
    <n v="0"/>
    <n v="0"/>
    <n v="0"/>
    <n v="0"/>
    <n v="0"/>
    <n v="0"/>
    <m/>
  </r>
  <r>
    <n v="1755"/>
    <d v="2025-07-09T10:54:01"/>
    <d v="2025-07-09T10:55:27"/>
    <s v="bchirwa@lighthouse.org.mw"/>
    <s v="Bethsheba Chirwa"/>
    <x v="1"/>
    <s v="Prototype"/>
    <x v="2"/>
    <s v="COP_24"/>
    <m/>
    <x v="1"/>
    <s v="Quarter3"/>
    <m/>
    <s v="May"/>
    <d v="2025-05-01T00:00:00"/>
    <d v="2025-05-31T00:00:00"/>
    <x v="2"/>
    <n v="15"/>
    <n v="0"/>
    <n v="0"/>
    <n v="0"/>
    <n v="0"/>
    <n v="0"/>
    <n v="0"/>
    <n v="0"/>
    <n v="0"/>
    <n v="0"/>
    <n v="0"/>
    <n v="0"/>
    <n v="0"/>
    <n v="0"/>
    <n v="0"/>
    <n v="0"/>
    <n v="0"/>
    <n v="0"/>
    <n v="0"/>
    <n v="0"/>
    <n v="0"/>
    <n v="0"/>
    <n v="0"/>
    <n v="0"/>
    <n v="0"/>
    <m/>
  </r>
  <r>
    <n v="1756"/>
    <d v="2025-07-09T10:55:30"/>
    <d v="2025-07-09T11:03:28"/>
    <s v="bchirwa@lighthouse.org.mw"/>
    <s v="Bethsheba Chirwa"/>
    <x v="1"/>
    <s v="Prototype"/>
    <x v="2"/>
    <s v="COP_24"/>
    <m/>
    <x v="1"/>
    <s v="Quarter3"/>
    <m/>
    <s v="May"/>
    <d v="2025-05-01T00:00:00"/>
    <d v="2025-05-31T00:00:00"/>
    <x v="0"/>
    <n v="8"/>
    <n v="0"/>
    <n v="7"/>
    <n v="0"/>
    <n v="1"/>
    <n v="0"/>
    <n v="0"/>
    <n v="7"/>
    <n v="1"/>
    <n v="0"/>
    <n v="0"/>
    <n v="0"/>
    <n v="1"/>
    <n v="1"/>
    <n v="0"/>
    <n v="0"/>
    <n v="0"/>
    <n v="0"/>
    <n v="0"/>
    <n v="0"/>
    <n v="1"/>
    <n v="0"/>
    <n v="0"/>
    <n v="0"/>
    <n v="0"/>
    <m/>
  </r>
  <r>
    <n v="1757"/>
    <d v="2025-07-09T11:06:57"/>
    <d v="2025-07-09T11:23:49"/>
    <s v="bchirwa@lighthouse.org.mw"/>
    <s v="Bethsheba Chirwa"/>
    <x v="1"/>
    <s v="Prototype"/>
    <x v="2"/>
    <s v="COP_24"/>
    <m/>
    <x v="1"/>
    <s v="Quarter3"/>
    <m/>
    <s v="Jun"/>
    <d v="2025-06-01T00:00:00"/>
    <d v="2025-06-30T00:00:00"/>
    <x v="1"/>
    <n v="16"/>
    <n v="0"/>
    <n v="14"/>
    <n v="1"/>
    <n v="0"/>
    <n v="0"/>
    <n v="15"/>
    <n v="0"/>
    <n v="0"/>
    <n v="0"/>
    <n v="0"/>
    <n v="0"/>
    <n v="0"/>
    <n v="0"/>
    <n v="0"/>
    <n v="0"/>
    <n v="0"/>
    <n v="0"/>
    <n v="0"/>
    <n v="0"/>
    <n v="0"/>
    <n v="0"/>
    <n v="0"/>
    <n v="0"/>
    <n v="0"/>
    <m/>
  </r>
  <r>
    <n v="1759"/>
    <d v="2025-07-09T11:23:52"/>
    <d v="2025-07-09T11:26:27"/>
    <s v="bchirwa@lighthouse.org.mw"/>
    <s v="Bethsheba Chirwa"/>
    <x v="1"/>
    <s v="Prototype"/>
    <x v="2"/>
    <s v="COP_24"/>
    <m/>
    <x v="1"/>
    <s v="Quarter3"/>
    <m/>
    <s v="Jun"/>
    <d v="2025-06-01T00:00:00"/>
    <d v="2025-06-30T00:00:00"/>
    <x v="3"/>
    <n v="0"/>
    <n v="0"/>
    <n v="0"/>
    <n v="0"/>
    <n v="0"/>
    <n v="0"/>
    <n v="0"/>
    <n v="0"/>
    <n v="0"/>
    <n v="0"/>
    <n v="0"/>
    <n v="0"/>
    <n v="0"/>
    <n v="0"/>
    <n v="0"/>
    <n v="0"/>
    <n v="0"/>
    <n v="0"/>
    <n v="0"/>
    <n v="0"/>
    <n v="0"/>
    <n v="0"/>
    <n v="0"/>
    <n v="0"/>
    <n v="0"/>
    <m/>
  </r>
  <r>
    <n v="1760"/>
    <d v="2025-07-09T11:26:33"/>
    <d v="2025-07-09T11:27:48"/>
    <s v="bchirwa@lighthouse.org.mw"/>
    <s v="Bethsheba Chirwa"/>
    <x v="1"/>
    <s v="Prototype"/>
    <x v="2"/>
    <s v="COP_24"/>
    <m/>
    <x v="1"/>
    <s v="Quarter3"/>
    <m/>
    <s v="Jun"/>
    <d v="2025-06-01T00:00:00"/>
    <d v="2025-06-30T00:00:00"/>
    <x v="4"/>
    <n v="0"/>
    <n v="0"/>
    <n v="0"/>
    <n v="0"/>
    <n v="0"/>
    <n v="0"/>
    <n v="0"/>
    <n v="0"/>
    <n v="0"/>
    <n v="0"/>
    <n v="0"/>
    <n v="0"/>
    <n v="0"/>
    <n v="0"/>
    <n v="0"/>
    <n v="0"/>
    <n v="0"/>
    <n v="0"/>
    <n v="0"/>
    <n v="0"/>
    <n v="0"/>
    <n v="0"/>
    <n v="0"/>
    <n v="0"/>
    <n v="0"/>
    <m/>
  </r>
  <r>
    <n v="1761"/>
    <d v="2025-07-09T11:27:51"/>
    <d v="2025-07-09T11:30:31"/>
    <s v="bchirwa@lighthouse.org.mw"/>
    <s v="Bethsheba Chirwa"/>
    <x v="1"/>
    <s v="Prototype"/>
    <x v="2"/>
    <s v="COP_24"/>
    <m/>
    <x v="1"/>
    <s v="Quarter3"/>
    <m/>
    <s v="Jun"/>
    <d v="2025-06-01T00:00:00"/>
    <d v="2025-06-30T00:00:00"/>
    <x v="5"/>
    <n v="0"/>
    <n v="0"/>
    <n v="0"/>
    <n v="0"/>
    <n v="0"/>
    <n v="0"/>
    <n v="0"/>
    <n v="0"/>
    <n v="0"/>
    <n v="0"/>
    <n v="0"/>
    <n v="0"/>
    <n v="0"/>
    <n v="0"/>
    <n v="0"/>
    <n v="0"/>
    <n v="0"/>
    <n v="0"/>
    <n v="0"/>
    <n v="0"/>
    <n v="0"/>
    <n v="0"/>
    <n v="0"/>
    <n v="0"/>
    <n v="0"/>
    <m/>
  </r>
  <r>
    <n v="1762"/>
    <d v="2025-07-09T11:30:36"/>
    <d v="2025-07-09T11:37:24"/>
    <s v="bchirwa@lighthouse.org.mw"/>
    <s v="Bethsheba Chirwa"/>
    <x v="1"/>
    <s v="Prototype"/>
    <x v="2"/>
    <s v="COP_24"/>
    <m/>
    <x v="1"/>
    <s v="Quarter3"/>
    <m/>
    <s v="Jun"/>
    <d v="2025-06-01T00:00:00"/>
    <d v="2025-06-30T00:00:00"/>
    <x v="2"/>
    <n v="19"/>
    <n v="0"/>
    <n v="1"/>
    <n v="0"/>
    <n v="0"/>
    <n v="0"/>
    <n v="1"/>
    <n v="1"/>
    <n v="1"/>
    <n v="0"/>
    <n v="0"/>
    <n v="0"/>
    <n v="1"/>
    <n v="0"/>
    <n v="0"/>
    <n v="0"/>
    <n v="0"/>
    <n v="0"/>
    <n v="0"/>
    <n v="0"/>
    <n v="0"/>
    <n v="0"/>
    <n v="0"/>
    <n v="0"/>
    <n v="0"/>
    <m/>
  </r>
  <r>
    <n v="1802"/>
    <d v="2025-07-11T11:20:02"/>
    <d v="2025-07-11T11:31:23"/>
    <s v="bchirwa@lighthouse.org.mw"/>
    <s v="Bethsheba Chirwa"/>
    <x v="1"/>
    <s v="Prototype"/>
    <x v="2"/>
    <s v="COP_24"/>
    <m/>
    <x v="1"/>
    <s v="Quarter3"/>
    <m/>
    <s v="Jun"/>
    <d v="2025-06-01T00:00:00"/>
    <d v="2025-06-30T00:00:00"/>
    <x v="0"/>
    <n v="17"/>
    <n v="0"/>
    <n v="17"/>
    <n v="1"/>
    <n v="0"/>
    <n v="0"/>
    <n v="17"/>
    <n v="1"/>
    <n v="1"/>
    <n v="0"/>
    <n v="0"/>
    <n v="0"/>
    <n v="1"/>
    <n v="0"/>
    <n v="0"/>
    <n v="0"/>
    <n v="0"/>
    <n v="0"/>
    <n v="0"/>
    <n v="0"/>
    <n v="0"/>
    <n v="0"/>
    <n v="0"/>
    <n v="0"/>
    <n v="0"/>
    <m/>
  </r>
  <r>
    <n v="85"/>
    <d v="2024-01-12T17:49:19"/>
    <d v="2024-01-12T18:00:04"/>
    <s v="tnyauti@lighthouse.org.mw"/>
    <s v="Tamala nyauti"/>
    <x v="2"/>
    <s v="Prototype"/>
    <x v="0"/>
    <s v="COP_22"/>
    <s v="COP_22"/>
    <x v="1"/>
    <s v="Quarter4"/>
    <s v="Qtr_4"/>
    <s v="Sep"/>
    <d v="2023-09-01T00:00:00"/>
    <d v="2023-09-29T00:00:00"/>
    <x v="1"/>
    <n v="18"/>
    <n v="0"/>
    <n v="17"/>
    <n v="0"/>
    <n v="1"/>
    <n v="0"/>
    <n v="18"/>
    <n v="1"/>
    <n v="1"/>
    <n v="0"/>
    <n v="0"/>
    <n v="0"/>
    <n v="2"/>
    <n v="0"/>
    <n v="1"/>
    <n v="0"/>
    <n v="0"/>
    <n v="0"/>
    <n v="0"/>
    <n v="0"/>
    <n v="0"/>
    <n v="0"/>
    <n v="0"/>
    <n v="0"/>
    <n v="1"/>
    <m/>
  </r>
  <r>
    <n v="86"/>
    <d v="2024-01-12T18:02:56"/>
    <d v="2024-01-12T21:11:35"/>
    <s v="tnyauti@lighthouse.org.mw"/>
    <s v="Tamala nyauti"/>
    <x v="2"/>
    <s v="Prototype"/>
    <x v="0"/>
    <s v="COP_24"/>
    <s v="COP_23"/>
    <x v="0"/>
    <s v="Quarter1"/>
    <s v="Qtr_1"/>
    <s v="Oct"/>
    <d v="2023-10-02T00:00:00"/>
    <d v="2023-10-31T00:00:00"/>
    <x v="1"/>
    <n v="17"/>
    <n v="1"/>
    <n v="16"/>
    <n v="0"/>
    <n v="1"/>
    <n v="0"/>
    <n v="15"/>
    <n v="1"/>
    <n v="1"/>
    <n v="0"/>
    <n v="0"/>
    <n v="0"/>
    <n v="2"/>
    <n v="0"/>
    <n v="0"/>
    <n v="0"/>
    <n v="0"/>
    <n v="0"/>
    <n v="0"/>
    <n v="0"/>
    <n v="0"/>
    <n v="0"/>
    <n v="0"/>
    <n v="0"/>
    <n v="0"/>
    <m/>
  </r>
  <r>
    <n v="87"/>
    <d v="2024-01-12T21:11:47"/>
    <d v="2024-01-12T21:33:45"/>
    <s v="tnyauti@lighthouse.org.mw"/>
    <s v="Tamala nyauti"/>
    <x v="2"/>
    <s v="Prototype"/>
    <x v="0"/>
    <s v="COP_24"/>
    <s v="COP_23"/>
    <x v="0"/>
    <s v="Quarter1"/>
    <s v="Qtr_1"/>
    <s v="Nov"/>
    <d v="2023-11-01T00:00:00"/>
    <d v="2023-11-30T00:00:00"/>
    <x v="1"/>
    <n v="23"/>
    <n v="0"/>
    <n v="22"/>
    <n v="1"/>
    <n v="0"/>
    <n v="0"/>
    <n v="23"/>
    <n v="0"/>
    <n v="0"/>
    <n v="0"/>
    <n v="0"/>
    <n v="0"/>
    <n v="0"/>
    <n v="0"/>
    <n v="0"/>
    <n v="0"/>
    <n v="0"/>
    <n v="0"/>
    <n v="0"/>
    <n v="0"/>
    <n v="0"/>
    <n v="0"/>
    <n v="0"/>
    <n v="0"/>
    <n v="0"/>
    <m/>
  </r>
  <r>
    <n v="88"/>
    <d v="2024-01-12T21:33:51"/>
    <d v="2024-01-12T22:03:54"/>
    <s v="tnyauti@lighthouse.org.mw"/>
    <s v="Tamala nyauti"/>
    <x v="2"/>
    <s v="Prototype"/>
    <x v="0"/>
    <s v="COP_24"/>
    <s v="COP_23"/>
    <x v="0"/>
    <s v="Quarter1"/>
    <s v="Qtr_1"/>
    <s v="Dec"/>
    <d v="2023-12-01T00:00:00"/>
    <d v="2023-12-29T00:00:00"/>
    <x v="1"/>
    <n v="15"/>
    <n v="0"/>
    <n v="15"/>
    <n v="0"/>
    <n v="0"/>
    <n v="0"/>
    <n v="15"/>
    <n v="2"/>
    <n v="0"/>
    <n v="0"/>
    <n v="2"/>
    <n v="0"/>
    <n v="2"/>
    <n v="0"/>
    <n v="0"/>
    <n v="0"/>
    <n v="0"/>
    <n v="0"/>
    <n v="0"/>
    <n v="0"/>
    <n v="0"/>
    <n v="0"/>
    <n v="0"/>
    <n v="0"/>
    <n v="0"/>
    <m/>
  </r>
  <r>
    <n v="423"/>
    <d v="2024-05-20T09:27:02"/>
    <d v="2024-05-20T09:37:18"/>
    <s v="tnyauti@lighthouse.org.mw"/>
    <s v="Tamala nyauti"/>
    <x v="2"/>
    <s v="Prototype"/>
    <x v="1"/>
    <s v="COP_22"/>
    <s v="COP_23"/>
    <x v="2"/>
    <s v="Quarter2"/>
    <s v="Qtr_2"/>
    <s v="Jan"/>
    <d v="2024-01-01T00:00:00"/>
    <d v="2024-01-31T00:00:00"/>
    <x v="1"/>
    <n v="18"/>
    <n v="2"/>
    <n v="16"/>
    <n v="0"/>
    <n v="0"/>
    <n v="2"/>
    <n v="18"/>
    <n v="2"/>
    <n v="0"/>
    <n v="0"/>
    <n v="0"/>
    <n v="0"/>
    <n v="2"/>
    <n v="2"/>
    <n v="2"/>
    <n v="2"/>
    <n v="0"/>
    <n v="0"/>
    <n v="0"/>
    <n v="0"/>
    <n v="0"/>
    <n v="0"/>
    <n v="0"/>
    <n v="0"/>
    <n v="0"/>
    <m/>
  </r>
  <r>
    <n v="429"/>
    <d v="2024-05-20T09:56:29"/>
    <d v="2024-05-20T10:01:49"/>
    <s v="tnyauti@lighthouse.org.mw"/>
    <s v="Tamala nyauti"/>
    <x v="2"/>
    <s v="Prototype"/>
    <x v="1"/>
    <s v="COP_23"/>
    <s v="COP_23"/>
    <x v="2"/>
    <s v="Quarter2"/>
    <s v="Qtr_2"/>
    <s v="Feb"/>
    <d v="2024-02-01T00:00:00"/>
    <d v="2024-02-29T00:00:00"/>
    <x v="1"/>
    <n v="24"/>
    <n v="0"/>
    <n v="24"/>
    <n v="0"/>
    <n v="0"/>
    <n v="0"/>
    <n v="24"/>
    <n v="6"/>
    <n v="5"/>
    <n v="0"/>
    <n v="0"/>
    <n v="0"/>
    <n v="2"/>
    <n v="1"/>
    <n v="0"/>
    <n v="0"/>
    <n v="0"/>
    <n v="0"/>
    <n v="0"/>
    <n v="0"/>
    <n v="0"/>
    <n v="0"/>
    <n v="0"/>
    <n v="0"/>
    <n v="0"/>
    <m/>
  </r>
  <r>
    <n v="439"/>
    <d v="2024-05-20T11:17:42"/>
    <d v="2024-05-20T11:21:57"/>
    <s v="tnyauti@lighthouse.org.mw"/>
    <s v="Tamala nyauti"/>
    <x v="2"/>
    <s v="Prototype"/>
    <x v="1"/>
    <s v="COP_22"/>
    <s v="COP_23"/>
    <x v="2"/>
    <s v="Quarter2"/>
    <s v="Qtr_2"/>
    <s v="Mar"/>
    <d v="2024-03-01T00:00:00"/>
    <d v="2024-03-31T00:00:00"/>
    <x v="1"/>
    <n v="18"/>
    <n v="0"/>
    <n v="15"/>
    <n v="3"/>
    <n v="0"/>
    <n v="0"/>
    <n v="18"/>
    <n v="6"/>
    <n v="3"/>
    <n v="0"/>
    <n v="0"/>
    <n v="0"/>
    <n v="8"/>
    <n v="1"/>
    <n v="0"/>
    <n v="0"/>
    <n v="0"/>
    <n v="0"/>
    <n v="0"/>
    <n v="0"/>
    <n v="1"/>
    <n v="0"/>
    <n v="0"/>
    <n v="0"/>
    <n v="1"/>
    <m/>
  </r>
  <r>
    <n v="442"/>
    <d v="2024-05-20T11:38:59"/>
    <d v="2024-05-20T11:43:30"/>
    <s v="tnyauti@lighthouse.org.mw"/>
    <s v="Tamala nyauti"/>
    <x v="2"/>
    <s v="Prototype"/>
    <x v="1"/>
    <s v="COP_23"/>
    <s v="COP_23"/>
    <x v="3"/>
    <s v="Quarter3"/>
    <s v="Qtr_3"/>
    <s v="Apr"/>
    <d v="2024-04-01T00:00:00"/>
    <d v="2024-04-30T00:00:00"/>
    <x v="1"/>
    <n v="23"/>
    <n v="2"/>
    <n v="19"/>
    <n v="2"/>
    <n v="2"/>
    <n v="0"/>
    <n v="23"/>
    <n v="9"/>
    <n v="8"/>
    <n v="0"/>
    <n v="0"/>
    <n v="0"/>
    <n v="11"/>
    <n v="2"/>
    <n v="0"/>
    <n v="0"/>
    <n v="0"/>
    <n v="0"/>
    <n v="0"/>
    <n v="0"/>
    <n v="1"/>
    <n v="0"/>
    <n v="0"/>
    <n v="0"/>
    <n v="0"/>
    <m/>
  </r>
  <r>
    <n v="542"/>
    <d v="2024-06-11T08:18:40"/>
    <d v="2024-06-11T08:27:57"/>
    <s v="tnyauti@lighthouse.org.mw"/>
    <s v="Tamala nyauti"/>
    <x v="2"/>
    <s v="Prototype"/>
    <x v="1"/>
    <s v="COP_23"/>
    <s v="COP_23"/>
    <x v="3"/>
    <s v="Quarter3"/>
    <s v="Qtr_3"/>
    <s v="May"/>
    <d v="2024-05-01T00:00:00"/>
    <d v="2024-05-31T00:00:00"/>
    <x v="1"/>
    <n v="20"/>
    <n v="2"/>
    <n v="17"/>
    <n v="0"/>
    <n v="3"/>
    <n v="0"/>
    <n v="20"/>
    <n v="4"/>
    <n v="0"/>
    <n v="0"/>
    <n v="0"/>
    <n v="0"/>
    <n v="4"/>
    <n v="1"/>
    <n v="0"/>
    <n v="0"/>
    <n v="0"/>
    <n v="0"/>
    <n v="0"/>
    <n v="0"/>
    <n v="1"/>
    <n v="0"/>
    <n v="0"/>
    <n v="0"/>
    <n v="1"/>
    <m/>
  </r>
  <r>
    <n v="641"/>
    <d v="2024-07-17T09:59:31"/>
    <d v="2024-07-17T10:01:24"/>
    <s v="tnyauti@lighthouse.org.mw"/>
    <s v="Tamala nyauti"/>
    <x v="2"/>
    <s v="Prototype"/>
    <x v="1"/>
    <s v="COP_23"/>
    <s v="COP_23"/>
    <x v="3"/>
    <s v="Quarter3"/>
    <s v="Qtr_3"/>
    <s v="Jun"/>
    <d v="2024-06-01T00:00:00"/>
    <d v="2024-06-30T00:00:00"/>
    <x v="1"/>
    <n v="14"/>
    <n v="0"/>
    <n v="14"/>
    <n v="0"/>
    <n v="0"/>
    <n v="0"/>
    <n v="1"/>
    <n v="0"/>
    <n v="1"/>
    <n v="0"/>
    <n v="0"/>
    <n v="0"/>
    <n v="1"/>
    <n v="0"/>
    <n v="0"/>
    <n v="0"/>
    <n v="0"/>
    <n v="0"/>
    <n v="0"/>
    <n v="0"/>
    <n v="0"/>
    <n v="0"/>
    <n v="0"/>
    <n v="0"/>
    <n v="0"/>
    <m/>
  </r>
  <r>
    <n v="1002"/>
    <d v="2024-10-31T10:56:54"/>
    <d v="2024-10-31T11:15:19"/>
    <s v="tnyauti@lighthouse.org.mw"/>
    <s v="Tamala nyauti"/>
    <x v="2"/>
    <s v="Prototype"/>
    <x v="1"/>
    <s v="COP_23"/>
    <s v="COP_23"/>
    <x v="1"/>
    <s v="Quarter4"/>
    <s v="Qtr_4"/>
    <s v="Jul"/>
    <d v="2024-07-01T00:00:00"/>
    <d v="2024-07-31T00:00:00"/>
    <x v="1"/>
    <n v="12"/>
    <n v="1"/>
    <n v="10"/>
    <n v="2"/>
    <n v="0"/>
    <n v="0"/>
    <n v="12"/>
    <n v="1"/>
    <n v="1"/>
    <n v="0"/>
    <n v="0"/>
    <n v="0"/>
    <n v="0"/>
    <n v="0"/>
    <n v="0"/>
    <n v="0"/>
    <n v="0"/>
    <n v="0"/>
    <n v="0"/>
    <n v="0"/>
    <n v="0"/>
    <n v="0"/>
    <n v="0"/>
    <n v="0"/>
    <n v="0"/>
    <m/>
  </r>
  <r>
    <n v="1008"/>
    <d v="2024-10-31T11:43:23"/>
    <d v="2024-10-31T11:45:31"/>
    <s v="tnyauti@lighthouse.org.mw"/>
    <s v="Tamala nyauti"/>
    <x v="2"/>
    <s v="Prototype"/>
    <x v="1"/>
    <s v="COP_23"/>
    <s v="COP_23"/>
    <x v="1"/>
    <s v="Quarter4"/>
    <s v="Qtr_4"/>
    <s v="Aug"/>
    <d v="2024-08-01T00:00:00"/>
    <d v="2024-08-31T00:00:00"/>
    <x v="1"/>
    <n v="14"/>
    <n v="0"/>
    <n v="12"/>
    <n v="2"/>
    <n v="0"/>
    <n v="0"/>
    <n v="14"/>
    <n v="4"/>
    <n v="4"/>
    <n v="0"/>
    <n v="0"/>
    <n v="0"/>
    <n v="2"/>
    <n v="0"/>
    <n v="0"/>
    <n v="0"/>
    <n v="0"/>
    <n v="0"/>
    <n v="0"/>
    <n v="0"/>
    <n v="0"/>
    <n v="0"/>
    <n v="0"/>
    <n v="0"/>
    <n v="0"/>
    <m/>
  </r>
  <r>
    <n v="1014"/>
    <d v="2024-10-31T12:51:34"/>
    <d v="2024-10-31T12:53:38"/>
    <s v="tnyauti@lighthouse.org.mw"/>
    <s v="Tamala nyauti"/>
    <x v="2"/>
    <s v="Prototype"/>
    <x v="1"/>
    <s v="COP_23"/>
    <s v="COP_23"/>
    <x v="1"/>
    <s v="Quarter4"/>
    <s v="Qtr_4"/>
    <s v="Sep"/>
    <d v="2024-09-01T00:00:00"/>
    <d v="2024-09-30T00:00:00"/>
    <x v="1"/>
    <n v="16"/>
    <n v="0"/>
    <n v="16"/>
    <n v="0"/>
    <n v="0"/>
    <n v="0"/>
    <n v="16"/>
    <n v="0"/>
    <n v="0"/>
    <n v="0"/>
    <n v="0"/>
    <n v="0"/>
    <n v="0"/>
    <n v="0"/>
    <n v="0"/>
    <n v="0"/>
    <n v="0"/>
    <n v="0"/>
    <n v="0"/>
    <n v="0"/>
    <n v="0"/>
    <n v="0"/>
    <n v="0"/>
    <n v="0"/>
    <n v="0"/>
    <m/>
  </r>
  <r>
    <n v="1015"/>
    <d v="2024-10-31T12:53:59"/>
    <d v="2024-10-31T13:13:55"/>
    <s v="tnyauti@lighthouse.org.mw"/>
    <s v="Tamala nyauti"/>
    <x v="2"/>
    <s v="Prototype"/>
    <x v="1"/>
    <s v="COP_23"/>
    <s v="COP_23"/>
    <x v="1"/>
    <s v="Quarter4"/>
    <s v="Qtr_4"/>
    <s v="Sep"/>
    <d v="2024-09-01T00:00:00"/>
    <d v="2024-09-30T00:00:00"/>
    <x v="1"/>
    <n v="16"/>
    <n v="0"/>
    <n v="16"/>
    <n v="0"/>
    <n v="0"/>
    <n v="0"/>
    <n v="16"/>
    <n v="0"/>
    <n v="0"/>
    <n v="0"/>
    <n v="0"/>
    <n v="0"/>
    <n v="0"/>
    <n v="0"/>
    <n v="0"/>
    <n v="0"/>
    <n v="0"/>
    <n v="0"/>
    <n v="0"/>
    <n v="0"/>
    <n v="0"/>
    <n v="0"/>
    <n v="0"/>
    <n v="0"/>
    <n v="0"/>
    <m/>
  </r>
  <r>
    <n v="158"/>
    <d v="2024-02-19T14:58:23"/>
    <d v="2024-02-19T15:38:14"/>
    <s v="tnyauti@lighthouse.org.mw"/>
    <s v="Tamala nyauti"/>
    <x v="2"/>
    <s v="Prototype"/>
    <x v="1"/>
    <s v="COP_23"/>
    <s v="COP_23"/>
    <x v="2"/>
    <s v="Quarter2"/>
    <s v="Qtr_2"/>
    <s v="Jan"/>
    <d v="2024-01-01T00:00:00"/>
    <d v="2024-01-31T00:00:00"/>
    <x v="0"/>
    <n v="18"/>
    <n v="2"/>
    <n v="16"/>
    <n v="0"/>
    <n v="0"/>
    <n v="2"/>
    <n v="18"/>
    <n v="2"/>
    <n v="2"/>
    <n v="0"/>
    <n v="0"/>
    <n v="0"/>
    <n v="2"/>
    <n v="2"/>
    <n v="2"/>
    <n v="2"/>
    <n v="0"/>
    <n v="0"/>
    <n v="0"/>
    <n v="0"/>
    <n v="0"/>
    <n v="0"/>
    <n v="0"/>
    <n v="0"/>
    <n v="0"/>
    <m/>
  </r>
  <r>
    <n v="345"/>
    <d v="2024-04-30T12:02:10"/>
    <d v="2024-04-30T12:45:25"/>
    <s v="tnyauti@lighthouse.org.mw"/>
    <s v="Tamala nyauti"/>
    <x v="2"/>
    <s v="Prototype"/>
    <x v="1"/>
    <s v="COP_23"/>
    <s v="COP_23"/>
    <x v="2"/>
    <s v="Quarter2"/>
    <s v="Qtr_2"/>
    <s v="Mar"/>
    <d v="2024-03-01T00:00:00"/>
    <d v="2024-03-27T00:00:00"/>
    <x v="2"/>
    <n v="9"/>
    <n v="1"/>
    <n v="6"/>
    <n v="1"/>
    <n v="1"/>
    <n v="1"/>
    <n v="9"/>
    <n v="3"/>
    <n v="3"/>
    <n v="0"/>
    <n v="0"/>
    <n v="0"/>
    <n v="3"/>
    <n v="1"/>
    <n v="0"/>
    <n v="0"/>
    <n v="0"/>
    <n v="0"/>
    <n v="0"/>
    <n v="0"/>
    <n v="1"/>
    <n v="0"/>
    <n v="0"/>
    <n v="0"/>
    <n v="0"/>
    <m/>
  </r>
  <r>
    <n v="426"/>
    <d v="2024-05-20T09:41:37"/>
    <d v="2024-05-20T09:44:11"/>
    <s v="tnyauti@lighthouse.org.mw"/>
    <s v="Tamala nyauti"/>
    <x v="2"/>
    <s v="Prototype"/>
    <x v="1"/>
    <s v="COP_23"/>
    <s v="COP_23"/>
    <x v="2"/>
    <s v="Quarter2"/>
    <s v="Qtr_2"/>
    <s v="Jan"/>
    <d v="2024-01-01T00:00:00"/>
    <d v="2024-01-31T00:00:00"/>
    <x v="2"/>
    <n v="0"/>
    <n v="0"/>
    <n v="0"/>
    <n v="0"/>
    <n v="0"/>
    <n v="0"/>
    <n v="0"/>
    <n v="0"/>
    <n v="0"/>
    <n v="0"/>
    <n v="0"/>
    <n v="0"/>
    <n v="0"/>
    <n v="0"/>
    <n v="0"/>
    <n v="0"/>
    <n v="0"/>
    <n v="0"/>
    <n v="0"/>
    <n v="0"/>
    <n v="0"/>
    <n v="0"/>
    <n v="0"/>
    <n v="0"/>
    <n v="0"/>
    <m/>
  </r>
  <r>
    <n v="428"/>
    <d v="2024-05-20T09:50:24"/>
    <d v="2024-05-20T09:56:26"/>
    <s v="tnyauti@lighthouse.org.mw"/>
    <s v="Tamala nyauti"/>
    <x v="2"/>
    <s v="Prototype"/>
    <x v="1"/>
    <s v="COP_23"/>
    <s v="COP_23"/>
    <x v="2"/>
    <s v="Quarter2"/>
    <s v="Qtr_2"/>
    <s v="Feb"/>
    <d v="2024-02-01T00:00:00"/>
    <d v="2024-02-29T00:00:00"/>
    <x v="2"/>
    <n v="1"/>
    <n v="0"/>
    <n v="1"/>
    <n v="0"/>
    <n v="0"/>
    <n v="0"/>
    <n v="1"/>
    <n v="1"/>
    <n v="1"/>
    <n v="0"/>
    <n v="1"/>
    <n v="0"/>
    <n v="1"/>
    <n v="0"/>
    <n v="0"/>
    <n v="0"/>
    <n v="0"/>
    <n v="0"/>
    <n v="0"/>
    <n v="0"/>
    <n v="0"/>
    <n v="0"/>
    <n v="0"/>
    <n v="0"/>
    <n v="0"/>
    <m/>
  </r>
  <r>
    <n v="436"/>
    <d v="2024-05-20T10:34:48"/>
    <d v="2024-05-20T11:10:25"/>
    <s v="tnyauti@lighthouse.org.mw"/>
    <s v="Tamala nyauti"/>
    <x v="2"/>
    <s v="Prototype"/>
    <x v="1"/>
    <s v="COP_24"/>
    <s v="COP_23"/>
    <x v="2"/>
    <s v="Quarter2"/>
    <s v="Qtr_2"/>
    <s v="Mar"/>
    <d v="2024-03-01T00:00:00"/>
    <d v="2024-03-31T00:00:00"/>
    <x v="2"/>
    <n v="10"/>
    <n v="1"/>
    <n v="7"/>
    <n v="1"/>
    <n v="1"/>
    <n v="1"/>
    <n v="9"/>
    <n v="3"/>
    <n v="0"/>
    <n v="0"/>
    <n v="0"/>
    <n v="0"/>
    <n v="3"/>
    <n v="1"/>
    <n v="0"/>
    <n v="0"/>
    <n v="0"/>
    <n v="0"/>
    <n v="0"/>
    <n v="0"/>
    <n v="1"/>
    <n v="0"/>
    <n v="0"/>
    <n v="1"/>
    <n v="0"/>
    <m/>
  </r>
  <r>
    <n v="443"/>
    <d v="2024-05-20T11:43:35"/>
    <d v="2024-05-20T11:49:06"/>
    <s v="tnyauti@lighthouse.org.mw"/>
    <s v="Tamala nyauti"/>
    <x v="2"/>
    <s v="Prototype"/>
    <x v="1"/>
    <s v="COP_23"/>
    <s v="COP_23"/>
    <x v="3"/>
    <s v="Quarter3"/>
    <s v="Qtr_3"/>
    <s v="Apr"/>
    <d v="2024-04-01T00:00:00"/>
    <d v="2024-04-30T00:00:00"/>
    <x v="2"/>
    <n v="19"/>
    <n v="1"/>
    <n v="19"/>
    <n v="0"/>
    <n v="0"/>
    <n v="0"/>
    <n v="19"/>
    <n v="1"/>
    <n v="0"/>
    <n v="0"/>
    <n v="0"/>
    <n v="0"/>
    <n v="1"/>
    <n v="0"/>
    <n v="0"/>
    <n v="0"/>
    <n v="0"/>
    <n v="0"/>
    <n v="0"/>
    <n v="0"/>
    <n v="0"/>
    <n v="0"/>
    <n v="0"/>
    <n v="0"/>
    <n v="0"/>
    <m/>
  </r>
  <r>
    <n v="543"/>
    <d v="2024-06-11T08:28:26"/>
    <d v="2024-06-11T08:52:31"/>
    <s v="tnyauti@lighthouse.org.mw"/>
    <s v="Tamala nyauti"/>
    <x v="2"/>
    <s v="Prototype"/>
    <x v="1"/>
    <s v="COP_23"/>
    <s v="COP_23"/>
    <x v="3"/>
    <s v="Quarter3"/>
    <s v="Qtr_3"/>
    <s v="May"/>
    <d v="2024-05-01T00:00:00"/>
    <d v="2024-05-31T00:00:00"/>
    <x v="2"/>
    <n v="9"/>
    <n v="0"/>
    <n v="7"/>
    <n v="1"/>
    <n v="1"/>
    <n v="0"/>
    <n v="9"/>
    <n v="1"/>
    <n v="1"/>
    <n v="0"/>
    <n v="0"/>
    <n v="0"/>
    <n v="1"/>
    <n v="0"/>
    <n v="0"/>
    <n v="0"/>
    <n v="0"/>
    <n v="0"/>
    <n v="0"/>
    <n v="0"/>
    <n v="0"/>
    <n v="0"/>
    <n v="0"/>
    <n v="0"/>
    <n v="0"/>
    <m/>
  </r>
  <r>
    <n v="642"/>
    <d v="2024-07-17T10:01:40"/>
    <d v="2024-07-17T10:03:38"/>
    <s v="tnyauti@lighthouse.org.mw"/>
    <s v="Tamala nyauti"/>
    <x v="2"/>
    <s v="Prototype"/>
    <x v="1"/>
    <s v="COP_23"/>
    <s v="COP_23"/>
    <x v="3"/>
    <s v="Quarter3"/>
    <s v="Qtr_3"/>
    <s v="Jun"/>
    <d v="2024-06-01T00:00:00"/>
    <d v="2024-06-30T00:00:00"/>
    <x v="2"/>
    <n v="2"/>
    <n v="1"/>
    <n v="1"/>
    <n v="0"/>
    <n v="0"/>
    <n v="1"/>
    <n v="2"/>
    <n v="1"/>
    <n v="1"/>
    <n v="0"/>
    <n v="0"/>
    <n v="0"/>
    <n v="1"/>
    <n v="0"/>
    <n v="0"/>
    <n v="0"/>
    <n v="0"/>
    <n v="0"/>
    <n v="0"/>
    <n v="0"/>
    <n v="0"/>
    <n v="0"/>
    <n v="0"/>
    <n v="1"/>
    <n v="0"/>
    <m/>
  </r>
  <r>
    <n v="1003"/>
    <d v="2024-10-31T11:15:26"/>
    <d v="2024-10-31T11:17:47"/>
    <s v="tnyauti@lighthouse.org.mw"/>
    <s v="Tamala nyauti"/>
    <x v="2"/>
    <s v="Prototype"/>
    <x v="1"/>
    <s v="COP_23"/>
    <s v="COP_23"/>
    <x v="1"/>
    <s v="Quarter4"/>
    <s v="Qtr_4"/>
    <s v="Jul"/>
    <d v="2024-07-01T00:00:00"/>
    <d v="2024-07-31T00:00:00"/>
    <x v="2"/>
    <n v="10"/>
    <n v="1"/>
    <n v="9"/>
    <n v="0"/>
    <n v="1"/>
    <n v="0"/>
    <n v="10"/>
    <n v="2"/>
    <n v="2"/>
    <n v="0"/>
    <n v="0"/>
    <n v="0"/>
    <n v="0"/>
    <n v="0"/>
    <n v="0"/>
    <n v="0"/>
    <n v="0"/>
    <n v="0"/>
    <n v="0"/>
    <n v="0"/>
    <n v="0"/>
    <n v="0"/>
    <n v="0"/>
    <n v="0"/>
    <n v="0"/>
    <m/>
  </r>
  <r>
    <n v="1009"/>
    <d v="2024-10-31T11:45:49"/>
    <d v="2024-10-31T11:50:47"/>
    <s v="tnyauti@lighthouse.org.mw"/>
    <s v="Tamala nyauti"/>
    <x v="2"/>
    <s v="Prototype"/>
    <x v="1"/>
    <s v="COP_23"/>
    <s v="COP_23"/>
    <x v="1"/>
    <s v="Quarter4"/>
    <s v="Qtr_4"/>
    <s v="Aug"/>
    <d v="2024-08-01T00:00:00"/>
    <d v="2024-08-31T00:00:00"/>
    <x v="2"/>
    <n v="13"/>
    <n v="0"/>
    <n v="13"/>
    <n v="0"/>
    <n v="0"/>
    <n v="0"/>
    <n v="13"/>
    <n v="0"/>
    <n v="1"/>
    <n v="0"/>
    <n v="0"/>
    <n v="0"/>
    <n v="0"/>
    <n v="0"/>
    <n v="0"/>
    <n v="0"/>
    <n v="0"/>
    <n v="0"/>
    <n v="0"/>
    <n v="0"/>
    <n v="0"/>
    <n v="0"/>
    <n v="0"/>
    <n v="0"/>
    <n v="0"/>
    <m/>
  </r>
  <r>
    <n v="1016"/>
    <d v="2024-10-31T13:14:04"/>
    <d v="2024-10-31T13:19:04"/>
    <s v="tnyauti@lighthouse.org.mw"/>
    <s v="Tamala nyauti"/>
    <x v="2"/>
    <s v="Prototype"/>
    <x v="1"/>
    <s v="COP_23"/>
    <s v="COP_23"/>
    <x v="1"/>
    <s v="Quarter4"/>
    <s v="Qtr_4"/>
    <s v="Sep"/>
    <d v="2024-09-01T00:00:00"/>
    <d v="2024-09-30T00:00:00"/>
    <x v="2"/>
    <n v="14"/>
    <n v="0"/>
    <n v="14"/>
    <n v="0"/>
    <n v="0"/>
    <n v="0"/>
    <n v="12"/>
    <n v="2"/>
    <n v="2"/>
    <n v="0"/>
    <n v="0"/>
    <n v="0"/>
    <n v="0"/>
    <n v="0"/>
    <n v="0"/>
    <n v="0"/>
    <n v="0"/>
    <n v="0"/>
    <n v="0"/>
    <n v="0"/>
    <n v="0"/>
    <n v="0"/>
    <n v="0"/>
    <n v="0"/>
    <n v="0"/>
    <m/>
  </r>
  <r>
    <n v="1083"/>
    <d v="2024-11-20T12:35:38"/>
    <d v="2024-11-20T12:46:50"/>
    <s v="tnyauti@lighthouse.org.mw"/>
    <s v="Tamala nyauti"/>
    <x v="2"/>
    <s v="Prototype"/>
    <x v="1"/>
    <s v="COP_23"/>
    <s v="COP_24"/>
    <x v="0"/>
    <s v="Quarter1"/>
    <s v="Qtr_1"/>
    <s v="Oct"/>
    <d v="2024-10-01T00:00:00"/>
    <d v="2024-10-31T00:00:00"/>
    <x v="2"/>
    <n v="9"/>
    <n v="0"/>
    <n v="8"/>
    <n v="0"/>
    <n v="1"/>
    <n v="0"/>
    <n v="8"/>
    <n v="5"/>
    <n v="5"/>
    <n v="0"/>
    <n v="0"/>
    <n v="0"/>
    <n v="5"/>
    <n v="1"/>
    <n v="0"/>
    <n v="0"/>
    <n v="0"/>
    <n v="0"/>
    <n v="0"/>
    <n v="0"/>
    <n v="1"/>
    <n v="0"/>
    <n v="0"/>
    <n v="0"/>
    <n v="0"/>
    <m/>
  </r>
  <r>
    <n v="344"/>
    <d v="2024-04-30T11:36:36"/>
    <d v="2024-04-30T12:01:22"/>
    <s v="tnyauti@lighthouse.org.mw"/>
    <s v="Tamala nyauti"/>
    <x v="2"/>
    <s v="Prototype"/>
    <x v="1"/>
    <s v="COP_23"/>
    <s v="COP_23"/>
    <x v="2"/>
    <s v="Quarter2"/>
    <s v="Qtr_2"/>
    <s v="Mar"/>
    <d v="2024-03-01T00:00:00"/>
    <d v="2024-03-27T00:00:00"/>
    <x v="3"/>
    <n v="1"/>
    <n v="0"/>
    <n v="1"/>
    <n v="0"/>
    <n v="0"/>
    <n v="0"/>
    <n v="1"/>
    <n v="1"/>
    <n v="0"/>
    <n v="0"/>
    <n v="0"/>
    <n v="0"/>
    <n v="1"/>
    <n v="0"/>
    <n v="0"/>
    <n v="0"/>
    <n v="0"/>
    <n v="0"/>
    <n v="0"/>
    <n v="0"/>
    <n v="0"/>
    <n v="0"/>
    <n v="0"/>
    <n v="0"/>
    <n v="0"/>
    <m/>
  </r>
  <r>
    <n v="346"/>
    <d v="2024-04-30T12:45:37"/>
    <d v="2024-04-30T13:00:39"/>
    <s v="tnyauti@lighthouse.org.mw"/>
    <s v="Tamala nyauti"/>
    <x v="2"/>
    <s v="Prototype"/>
    <x v="1"/>
    <s v="COP_23"/>
    <s v="COP_23"/>
    <x v="2"/>
    <s v="Quarter2"/>
    <s v="Qtr_2"/>
    <s v="Mar"/>
    <d v="2024-03-01T00:00:00"/>
    <d v="2024-03-27T00:00:00"/>
    <x v="0"/>
    <n v="29"/>
    <n v="1"/>
    <n v="24"/>
    <n v="4"/>
    <n v="1"/>
    <n v="0"/>
    <n v="28"/>
    <n v="10"/>
    <n v="6"/>
    <n v="0"/>
    <n v="0"/>
    <n v="0"/>
    <n v="10"/>
    <n v="2"/>
    <n v="0"/>
    <n v="0"/>
    <n v="0"/>
    <n v="0"/>
    <n v="0"/>
    <n v="0"/>
    <n v="2"/>
    <n v="0"/>
    <n v="0"/>
    <n v="1"/>
    <n v="1"/>
    <m/>
  </r>
  <r>
    <n v="422"/>
    <d v="2024-05-20T09:22:19"/>
    <d v="2024-05-20T09:26:49"/>
    <s v="tnyauti@lighthouse.org.mw"/>
    <s v="Tamala nyauti"/>
    <x v="2"/>
    <s v="Prototype"/>
    <x v="1"/>
    <s v="COP_23"/>
    <s v="COP_23"/>
    <x v="2"/>
    <s v="Quarter2"/>
    <s v="Qtr_2"/>
    <s v="Jan"/>
    <d v="2024-01-01T00:00:00"/>
    <d v="2024-01-31T00:00:00"/>
    <x v="5"/>
    <n v="0"/>
    <n v="0"/>
    <n v="0"/>
    <n v="0"/>
    <n v="0"/>
    <n v="0"/>
    <n v="0"/>
    <n v="0"/>
    <n v="0"/>
    <n v="0"/>
    <n v="0"/>
    <n v="0"/>
    <n v="0"/>
    <n v="0"/>
    <n v="0"/>
    <n v="0"/>
    <n v="0"/>
    <n v="0"/>
    <n v="0"/>
    <n v="0"/>
    <n v="0"/>
    <n v="0"/>
    <n v="0"/>
    <n v="0"/>
    <n v="0"/>
    <m/>
  </r>
  <r>
    <n v="424"/>
    <d v="2024-05-20T09:37:23"/>
    <d v="2024-05-20T09:39:36"/>
    <s v="tnyauti@lighthouse.org.mw"/>
    <s v="Tamala nyauti"/>
    <x v="2"/>
    <s v="Prototype"/>
    <x v="1"/>
    <s v="COP_23"/>
    <s v="COP_23"/>
    <x v="2"/>
    <s v="Quarter2"/>
    <s v="Qtr_2"/>
    <s v="Jan"/>
    <d v="2024-01-01T00:00:00"/>
    <d v="2024-01-31T00:00:00"/>
    <x v="4"/>
    <n v="0"/>
    <n v="0"/>
    <n v="0"/>
    <n v="0"/>
    <n v="0"/>
    <n v="0"/>
    <n v="0"/>
    <n v="0"/>
    <n v="0"/>
    <n v="0"/>
    <n v="0"/>
    <n v="0"/>
    <n v="0"/>
    <n v="0"/>
    <n v="0"/>
    <n v="0"/>
    <n v="0"/>
    <n v="0"/>
    <n v="0"/>
    <n v="0"/>
    <n v="0"/>
    <n v="0"/>
    <n v="0"/>
    <n v="0"/>
    <n v="0"/>
    <m/>
  </r>
  <r>
    <n v="425"/>
    <d v="2024-05-20T09:39:38"/>
    <d v="2024-05-20T09:41:28"/>
    <s v="tnyauti@lighthouse.org.mw"/>
    <s v="Tamala nyauti"/>
    <x v="2"/>
    <s v="Prototype"/>
    <x v="1"/>
    <s v="COP_23"/>
    <s v="COP_23"/>
    <x v="2"/>
    <s v="Quarter2"/>
    <s v="Qtr_2"/>
    <s v="Jan"/>
    <d v="2024-01-01T00:00:00"/>
    <d v="2024-01-31T00:00:00"/>
    <x v="3"/>
    <n v="0"/>
    <n v="0"/>
    <n v="0"/>
    <n v="0"/>
    <n v="0"/>
    <n v="0"/>
    <n v="0"/>
    <n v="0"/>
    <n v="0"/>
    <n v="0"/>
    <n v="0"/>
    <n v="0"/>
    <n v="0"/>
    <n v="0"/>
    <n v="0"/>
    <n v="0"/>
    <n v="0"/>
    <n v="0"/>
    <n v="0"/>
    <n v="0"/>
    <n v="0"/>
    <n v="0"/>
    <n v="0"/>
    <n v="0"/>
    <n v="0"/>
    <m/>
  </r>
  <r>
    <n v="427"/>
    <d v="2024-05-20T09:44:38"/>
    <d v="2024-05-20T09:50:18"/>
    <s v="tnyauti@lighthouse.org.mw"/>
    <s v="Tamala nyauti"/>
    <x v="2"/>
    <s v="Prototype"/>
    <x v="1"/>
    <s v="COP_23"/>
    <s v="COP_23"/>
    <x v="2"/>
    <s v="Quarter2"/>
    <s v="Qtr_2"/>
    <s v="Feb"/>
    <d v="2024-02-01T00:00:00"/>
    <d v="2024-02-29T00:00:00"/>
    <x v="0"/>
    <n v="25"/>
    <n v="0"/>
    <n v="25"/>
    <n v="0"/>
    <n v="0"/>
    <n v="0"/>
    <n v="25"/>
    <n v="7"/>
    <n v="6"/>
    <n v="0"/>
    <n v="1"/>
    <n v="0"/>
    <n v="8"/>
    <n v="2"/>
    <n v="0"/>
    <n v="0"/>
    <n v="0"/>
    <n v="0"/>
    <n v="0"/>
    <n v="0"/>
    <n v="0"/>
    <n v="0"/>
    <n v="0"/>
    <n v="0"/>
    <n v="0"/>
    <m/>
  </r>
  <r>
    <n v="430"/>
    <d v="2024-05-20T10:02:55"/>
    <d v="2024-05-20T10:04:45"/>
    <s v="tnyauti@lighthouse.org.mw"/>
    <s v="Tamala nyauti"/>
    <x v="2"/>
    <s v="Prototype"/>
    <x v="1"/>
    <s v="COP_23"/>
    <s v="COP_23"/>
    <x v="2"/>
    <s v="Quarter2"/>
    <s v="Qtr_2"/>
    <s v="Feb"/>
    <d v="2024-02-01T00:00:00"/>
    <d v="2024-02-29T00:00:00"/>
    <x v="3"/>
    <n v="0"/>
    <n v="0"/>
    <n v="0"/>
    <n v="0"/>
    <n v="0"/>
    <n v="0"/>
    <n v="0"/>
    <n v="0"/>
    <n v="0"/>
    <n v="0"/>
    <n v="0"/>
    <n v="0"/>
    <n v="0"/>
    <n v="0"/>
    <n v="0"/>
    <n v="0"/>
    <n v="0"/>
    <n v="0"/>
    <n v="0"/>
    <n v="0"/>
    <n v="0"/>
    <n v="0"/>
    <n v="0"/>
    <n v="0"/>
    <n v="0"/>
    <m/>
  </r>
  <r>
    <n v="431"/>
    <d v="2024-05-20T10:04:55"/>
    <d v="2024-05-20T10:06:29"/>
    <s v="tnyauti@lighthouse.org.mw"/>
    <s v="Tamala nyauti"/>
    <x v="2"/>
    <s v="Prototype"/>
    <x v="1"/>
    <s v="COP_23"/>
    <s v="COP_23"/>
    <x v="2"/>
    <s v="Quarter2"/>
    <s v="Qtr_2"/>
    <s v="Feb"/>
    <d v="2024-02-01T00:00:00"/>
    <d v="2024-02-29T00:00:00"/>
    <x v="4"/>
    <n v="0"/>
    <n v="0"/>
    <n v="0"/>
    <n v="0"/>
    <n v="0"/>
    <n v="0"/>
    <n v="0"/>
    <n v="0"/>
    <n v="0"/>
    <n v="0"/>
    <n v="0"/>
    <n v="0"/>
    <n v="0"/>
    <n v="0"/>
    <n v="0"/>
    <n v="0"/>
    <n v="0"/>
    <n v="0"/>
    <n v="0"/>
    <n v="0"/>
    <n v="0"/>
    <n v="0"/>
    <n v="0"/>
    <n v="0"/>
    <n v="0"/>
    <m/>
  </r>
  <r>
    <n v="433"/>
    <d v="2024-05-20T10:08:31"/>
    <d v="2024-05-20T10:10:57"/>
    <s v="tnyauti@lighthouse.org.mw"/>
    <s v="Tamala nyauti"/>
    <x v="2"/>
    <s v="Prototype"/>
    <x v="1"/>
    <s v="COP_23"/>
    <s v="COP_23"/>
    <x v="2"/>
    <s v="Quarter2"/>
    <s v="Qtr_2"/>
    <s v="Feb"/>
    <d v="2024-02-01T00:00:00"/>
    <d v="2024-02-29T00:00:00"/>
    <x v="5"/>
    <n v="0"/>
    <n v="0"/>
    <n v="0"/>
    <n v="0"/>
    <n v="0"/>
    <n v="0"/>
    <n v="0"/>
    <n v="0"/>
    <n v="0"/>
    <n v="0"/>
    <n v="0"/>
    <n v="0"/>
    <n v="0"/>
    <n v="0"/>
    <n v="0"/>
    <n v="0"/>
    <n v="0"/>
    <n v="0"/>
    <n v="0"/>
    <n v="0"/>
    <n v="0"/>
    <n v="0"/>
    <n v="0"/>
    <n v="0"/>
    <n v="0"/>
    <m/>
  </r>
  <r>
    <n v="435"/>
    <d v="2024-05-20T10:31:01"/>
    <d v="2024-05-20T10:34:37"/>
    <s v="tnyauti@lighthouse.org.mw"/>
    <s v="Tamala nyauti"/>
    <x v="2"/>
    <s v="Prototype"/>
    <x v="1"/>
    <s v="COP_23"/>
    <s v="COP_23"/>
    <x v="2"/>
    <s v="Quarter2"/>
    <s v="Qtr_2"/>
    <s v="Mar"/>
    <d v="2024-03-01T00:00:00"/>
    <d v="2024-03-31T00:00:00"/>
    <x v="5"/>
    <n v="0"/>
    <n v="0"/>
    <n v="0"/>
    <n v="0"/>
    <n v="0"/>
    <n v="0"/>
    <n v="0"/>
    <n v="0"/>
    <n v="0"/>
    <n v="0"/>
    <n v="0"/>
    <n v="0"/>
    <n v="0"/>
    <n v="0"/>
    <n v="0"/>
    <n v="0"/>
    <n v="0"/>
    <n v="0"/>
    <n v="0"/>
    <n v="0"/>
    <n v="0"/>
    <n v="0"/>
    <n v="0"/>
    <n v="0"/>
    <n v="0"/>
    <m/>
  </r>
  <r>
    <n v="437"/>
    <d v="2024-05-20T11:10:34"/>
    <d v="2024-05-20T11:11:59"/>
    <s v="tnyauti@lighthouse.org.mw"/>
    <s v="Tamala nyauti"/>
    <x v="2"/>
    <s v="Prototype"/>
    <x v="1"/>
    <s v="COP_23"/>
    <s v="COP_23"/>
    <x v="2"/>
    <s v="Quarter2"/>
    <s v="Qtr_2"/>
    <s v="Mar"/>
    <d v="2024-03-01T00:00:00"/>
    <d v="2024-03-31T00:00:00"/>
    <x v="4"/>
    <n v="0"/>
    <n v="0"/>
    <n v="0"/>
    <n v="0"/>
    <n v="0"/>
    <n v="0"/>
    <n v="0"/>
    <n v="0"/>
    <n v="0"/>
    <n v="0"/>
    <n v="0"/>
    <n v="0"/>
    <n v="0"/>
    <n v="0"/>
    <n v="0"/>
    <n v="0"/>
    <n v="0"/>
    <n v="0"/>
    <n v="0"/>
    <n v="0"/>
    <n v="0"/>
    <n v="0"/>
    <n v="0"/>
    <n v="0"/>
    <n v="0"/>
    <m/>
  </r>
  <r>
    <n v="438"/>
    <d v="2024-05-20T11:12:19"/>
    <d v="2024-05-20T11:17:38"/>
    <s v="tnyauti@lighthouse.org.mw"/>
    <s v="Tamala nyauti"/>
    <x v="2"/>
    <s v="Prototype"/>
    <x v="1"/>
    <s v="COP_23"/>
    <s v="COP_23"/>
    <x v="2"/>
    <s v="Quarter2"/>
    <s v="Qtr_2"/>
    <s v="Mar"/>
    <d v="2024-03-01T00:00:00"/>
    <d v="2024-03-31T00:00:00"/>
    <x v="3"/>
    <n v="1"/>
    <n v="0"/>
    <n v="1"/>
    <n v="0"/>
    <n v="0"/>
    <n v="0"/>
    <n v="1"/>
    <n v="1"/>
    <n v="0"/>
    <n v="0"/>
    <n v="0"/>
    <n v="0"/>
    <n v="1"/>
    <n v="0"/>
    <n v="0"/>
    <n v="0"/>
    <n v="0"/>
    <n v="0"/>
    <n v="0"/>
    <n v="0"/>
    <n v="0"/>
    <n v="0"/>
    <n v="0"/>
    <n v="0"/>
    <n v="0"/>
    <m/>
  </r>
  <r>
    <n v="440"/>
    <d v="2024-05-20T11:22:10"/>
    <d v="2024-05-20T11:36:21"/>
    <s v="tnyauti@lighthouse.org.mw"/>
    <s v="Tamala nyauti"/>
    <x v="2"/>
    <s v="Prototype"/>
    <x v="1"/>
    <s v="COP_23"/>
    <s v="COP_23"/>
    <x v="3"/>
    <s v="Quarter3"/>
    <s v="Qtr_3"/>
    <s v="Apr"/>
    <d v="2024-04-01T00:00:00"/>
    <d v="2024-04-30T00:00:00"/>
    <x v="0"/>
    <n v="42"/>
    <n v="3"/>
    <n v="38"/>
    <n v="2"/>
    <n v="2"/>
    <n v="0"/>
    <n v="42"/>
    <n v="10"/>
    <n v="8"/>
    <n v="0"/>
    <n v="0"/>
    <n v="0"/>
    <n v="12"/>
    <n v="2"/>
    <n v="0"/>
    <n v="0"/>
    <n v="0"/>
    <n v="0"/>
    <n v="0"/>
    <n v="0"/>
    <n v="1"/>
    <n v="0"/>
    <n v="0"/>
    <n v="0"/>
    <n v="0"/>
    <m/>
  </r>
  <r>
    <n v="441"/>
    <d v="2024-05-20T11:36:43"/>
    <d v="2024-05-20T11:38:51"/>
    <s v="tnyauti@lighthouse.org.mw"/>
    <s v="Tamala nyauti"/>
    <x v="2"/>
    <s v="Prototype"/>
    <x v="1"/>
    <s v="COP_23"/>
    <s v="COP_23"/>
    <x v="3"/>
    <s v="Quarter3"/>
    <s v="Qtr_3"/>
    <s v="Apr"/>
    <d v="2024-04-01T00:00:00"/>
    <d v="2024-04-30T00:00:00"/>
    <x v="4"/>
    <n v="1"/>
    <n v="0"/>
    <n v="1"/>
    <n v="0"/>
    <n v="0"/>
    <n v="0"/>
    <n v="1"/>
    <n v="0"/>
    <n v="0"/>
    <n v="0"/>
    <n v="0"/>
    <n v="0"/>
    <n v="0"/>
    <n v="0"/>
    <n v="0"/>
    <n v="0"/>
    <n v="0"/>
    <n v="0"/>
    <n v="0"/>
    <n v="0"/>
    <n v="0"/>
    <n v="0"/>
    <n v="0"/>
    <n v="0"/>
    <n v="0"/>
    <m/>
  </r>
  <r>
    <n v="444"/>
    <d v="2024-05-20T11:49:22"/>
    <d v="2024-05-20T11:53:03"/>
    <s v="tnyauti@lighthouse.org.mw"/>
    <s v="Tamala nyauti"/>
    <x v="2"/>
    <s v="Prototype"/>
    <x v="1"/>
    <s v="COP_23"/>
    <s v="COP_23"/>
    <x v="3"/>
    <s v="Quarter3"/>
    <s v="Qtr_3"/>
    <s v="Apr"/>
    <d v="2024-04-01T00:00:00"/>
    <d v="2024-04-30T00:00:00"/>
    <x v="3"/>
    <n v="0"/>
    <n v="0"/>
    <n v="0"/>
    <n v="0"/>
    <n v="0"/>
    <n v="0"/>
    <n v="0"/>
    <n v="0"/>
    <n v="0"/>
    <n v="0"/>
    <n v="0"/>
    <n v="0"/>
    <n v="0"/>
    <n v="0"/>
    <n v="0"/>
    <n v="0"/>
    <n v="0"/>
    <n v="0"/>
    <n v="0"/>
    <n v="0"/>
    <n v="0"/>
    <n v="0"/>
    <n v="0"/>
    <n v="0"/>
    <n v="0"/>
    <m/>
  </r>
  <r>
    <n v="445"/>
    <d v="2024-05-20T11:53:19"/>
    <d v="2024-05-20T11:55:11"/>
    <s v="tnyauti@lighthouse.org.mw"/>
    <s v="Tamala nyauti"/>
    <x v="2"/>
    <s v="Prototype"/>
    <x v="1"/>
    <s v="COP_24"/>
    <s v="COP_23"/>
    <x v="3"/>
    <s v="Quarter3"/>
    <s v="Qtr_3"/>
    <s v="Apr"/>
    <d v="2024-04-01T00:00:00"/>
    <d v="2024-04-30T00:00:00"/>
    <x v="5"/>
    <n v="0"/>
    <n v="0"/>
    <n v="0"/>
    <n v="0"/>
    <n v="0"/>
    <n v="0"/>
    <n v="0"/>
    <n v="0"/>
    <n v="0"/>
    <n v="0"/>
    <n v="0"/>
    <n v="0"/>
    <n v="0"/>
    <n v="0"/>
    <n v="0"/>
    <n v="0"/>
    <n v="0"/>
    <n v="0"/>
    <n v="0"/>
    <n v="0"/>
    <n v="0"/>
    <n v="0"/>
    <n v="0"/>
    <n v="0"/>
    <n v="0"/>
    <m/>
  </r>
  <r>
    <n v="528"/>
    <d v="2024-06-07T15:38:05"/>
    <d v="2024-06-07T15:51:20"/>
    <s v="tnyauti@lighthouse.org.mw"/>
    <s v="Tamala nyauti"/>
    <x v="2"/>
    <s v="Prototype"/>
    <x v="1"/>
    <s v="COP_23"/>
    <s v="COP_23"/>
    <x v="3"/>
    <s v="Quarter3"/>
    <s v="Qtr_3"/>
    <s v="May"/>
    <d v="2024-05-01T00:00:00"/>
    <d v="2024-05-31T00:00:00"/>
    <x v="0"/>
    <n v="29"/>
    <n v="2"/>
    <n v="24"/>
    <n v="1"/>
    <n v="4"/>
    <n v="0"/>
    <n v="29"/>
    <n v="5"/>
    <n v="5"/>
    <n v="0"/>
    <n v="0"/>
    <n v="0"/>
    <n v="5"/>
    <n v="1"/>
    <n v="0"/>
    <n v="0"/>
    <n v="0"/>
    <n v="0"/>
    <n v="0"/>
    <n v="0"/>
    <n v="1"/>
    <n v="0"/>
    <n v="0"/>
    <n v="0"/>
    <n v="1"/>
    <m/>
  </r>
  <r>
    <n v="544"/>
    <d v="2024-06-11T08:53:01"/>
    <d v="2024-06-11T09:38:02"/>
    <s v="tnyauti@lighthouse.org.mw"/>
    <s v="Tamala nyauti"/>
    <x v="2"/>
    <s v="Prototype"/>
    <x v="1"/>
    <s v="COP_23"/>
    <s v="COP_23"/>
    <x v="3"/>
    <s v="Quarter3"/>
    <s v="Qtr_3"/>
    <s v="May"/>
    <d v="2024-05-01T00:00:00"/>
    <d v="2024-05-31T00:00:00"/>
    <x v="4"/>
    <n v="1"/>
    <n v="0"/>
    <n v="1"/>
    <n v="0"/>
    <n v="0"/>
    <n v="0"/>
    <n v="1"/>
    <n v="0"/>
    <n v="0"/>
    <n v="0"/>
    <n v="0"/>
    <n v="0"/>
    <n v="0"/>
    <n v="0"/>
    <n v="0"/>
    <n v="0"/>
    <n v="0"/>
    <n v="0"/>
    <n v="0"/>
    <n v="0"/>
    <n v="0"/>
    <n v="0"/>
    <n v="0"/>
    <n v="0"/>
    <n v="0"/>
    <m/>
  </r>
  <r>
    <n v="545"/>
    <d v="2024-06-11T09:38:21"/>
    <d v="2024-06-11T09:42:57"/>
    <s v="tnyauti@lighthouse.org.mw"/>
    <s v="Tamala nyauti"/>
    <x v="2"/>
    <s v="Prototype"/>
    <x v="1"/>
    <s v="COP_23"/>
    <s v="COP_23"/>
    <x v="3"/>
    <s v="Quarter3"/>
    <s v="Qtr_3"/>
    <s v="May"/>
    <d v="2024-05-01T00:00:00"/>
    <d v="2024-05-31T00:00:00"/>
    <x v="5"/>
    <n v="0"/>
    <n v="0"/>
    <n v="0"/>
    <n v="0"/>
    <n v="0"/>
    <n v="0"/>
    <n v="0"/>
    <n v="0"/>
    <n v="0"/>
    <n v="0"/>
    <n v="0"/>
    <n v="0"/>
    <n v="0"/>
    <n v="0"/>
    <n v="0"/>
    <n v="0"/>
    <n v="0"/>
    <n v="0"/>
    <n v="0"/>
    <n v="0"/>
    <n v="0"/>
    <n v="0"/>
    <n v="0"/>
    <n v="0"/>
    <n v="0"/>
    <m/>
  </r>
  <r>
    <n v="546"/>
    <d v="2024-06-11T09:43:07"/>
    <d v="2024-06-11T09:45:00"/>
    <s v="tnyauti@lighthouse.org.mw"/>
    <s v="Tamala nyauti"/>
    <x v="2"/>
    <s v="Prototype"/>
    <x v="1"/>
    <s v="COP_23"/>
    <s v="COP_23"/>
    <x v="3"/>
    <s v="Quarter3"/>
    <s v="Qtr_3"/>
    <s v="May"/>
    <d v="2024-05-01T00:00:00"/>
    <d v="2024-05-31T00:00:00"/>
    <x v="3"/>
    <n v="0"/>
    <n v="0"/>
    <n v="0"/>
    <n v="0"/>
    <n v="0"/>
    <n v="0"/>
    <n v="0"/>
    <n v="0"/>
    <n v="0"/>
    <n v="0"/>
    <n v="0"/>
    <n v="0"/>
    <n v="0"/>
    <n v="0"/>
    <n v="0"/>
    <n v="0"/>
    <n v="0"/>
    <n v="0"/>
    <n v="0"/>
    <n v="0"/>
    <n v="0"/>
    <n v="0"/>
    <n v="0"/>
    <n v="0"/>
    <n v="0"/>
    <m/>
  </r>
  <r>
    <n v="640"/>
    <d v="2024-07-17T09:53:32"/>
    <d v="2024-07-17T09:58:49"/>
    <s v="tnyauti@lighthouse.org.mw"/>
    <s v="Tamala nyauti"/>
    <x v="2"/>
    <s v="Prototype"/>
    <x v="1"/>
    <s v="COP_23"/>
    <s v="COP_23"/>
    <x v="3"/>
    <s v="Quarter3"/>
    <s v="Qtr_3"/>
    <s v="Jun"/>
    <d v="2024-06-01T00:00:00"/>
    <d v="2024-06-30T00:00:00"/>
    <x v="0"/>
    <n v="16"/>
    <n v="2"/>
    <n v="15"/>
    <n v="0"/>
    <n v="0"/>
    <n v="1"/>
    <n v="16"/>
    <n v="3"/>
    <n v="2"/>
    <n v="0"/>
    <n v="0"/>
    <n v="0"/>
    <n v="2"/>
    <n v="0"/>
    <n v="0"/>
    <n v="0"/>
    <n v="0"/>
    <n v="0"/>
    <n v="0"/>
    <n v="0"/>
    <n v="0"/>
    <n v="0"/>
    <n v="0"/>
    <n v="1"/>
    <n v="0"/>
    <m/>
  </r>
  <r>
    <n v="643"/>
    <d v="2024-07-17T10:03:51"/>
    <d v="2024-07-17T10:06:11"/>
    <s v="tnyauti@lighthouse.org.mw"/>
    <s v="Tamala nyauti"/>
    <x v="2"/>
    <s v="Prototype"/>
    <x v="1"/>
    <s v="COP_23"/>
    <s v="COP_23"/>
    <x v="3"/>
    <s v="Quarter3"/>
    <s v="Qtr_3"/>
    <s v="Jun"/>
    <d v="2024-06-01T00:00:00"/>
    <d v="2024-06-30T00:00:00"/>
    <x v="4"/>
    <n v="0"/>
    <n v="0"/>
    <n v="0"/>
    <n v="0"/>
    <n v="0"/>
    <n v="0"/>
    <n v="0"/>
    <n v="0"/>
    <n v="0"/>
    <n v="0"/>
    <n v="0"/>
    <n v="0"/>
    <n v="0"/>
    <n v="0"/>
    <n v="0"/>
    <n v="0"/>
    <n v="0"/>
    <n v="0"/>
    <n v="0"/>
    <n v="0"/>
    <n v="0"/>
    <n v="0"/>
    <n v="0"/>
    <n v="0"/>
    <n v="0"/>
    <m/>
  </r>
  <r>
    <n v="644"/>
    <d v="2024-07-17T10:07:01"/>
    <d v="2024-07-17T10:08:51"/>
    <s v="tnyauti@lighthouse.org.mw"/>
    <s v="Tamala nyauti"/>
    <x v="2"/>
    <s v="Prototype"/>
    <x v="1"/>
    <s v="COP_23"/>
    <s v="COP_23"/>
    <x v="3"/>
    <s v="Quarter3"/>
    <s v="Qtr_3"/>
    <s v="Jun"/>
    <d v="2024-06-01T00:00:00"/>
    <d v="2024-06-30T00:00:00"/>
    <x v="5"/>
    <n v="0"/>
    <n v="0"/>
    <n v="0"/>
    <n v="0"/>
    <n v="0"/>
    <n v="0"/>
    <n v="0"/>
    <n v="0"/>
    <n v="0"/>
    <n v="0"/>
    <n v="0"/>
    <n v="0"/>
    <n v="0"/>
    <n v="0"/>
    <n v="0"/>
    <n v="0"/>
    <n v="0"/>
    <n v="0"/>
    <n v="0"/>
    <n v="0"/>
    <n v="0"/>
    <n v="0"/>
    <n v="0"/>
    <n v="0"/>
    <n v="0"/>
    <m/>
  </r>
  <r>
    <n v="645"/>
    <d v="2024-07-17T10:08:57"/>
    <d v="2024-07-17T10:09:49"/>
    <s v="tnyauti@lighthouse.org.mw"/>
    <s v="Tamala nyauti"/>
    <x v="2"/>
    <s v="Prototype"/>
    <x v="1"/>
    <s v="COP_23"/>
    <s v="COP_23"/>
    <x v="3"/>
    <s v="Quarter3"/>
    <s v="Qtr_3"/>
    <s v="Jun"/>
    <d v="2024-06-01T00:00:00"/>
    <d v="2024-06-30T00:00:00"/>
    <x v="3"/>
    <n v="0"/>
    <n v="0"/>
    <n v="0"/>
    <n v="0"/>
    <n v="0"/>
    <n v="0"/>
    <n v="0"/>
    <n v="0"/>
    <n v="0"/>
    <n v="0"/>
    <n v="0"/>
    <n v="0"/>
    <n v="0"/>
    <n v="0"/>
    <n v="0"/>
    <n v="0"/>
    <n v="0"/>
    <n v="0"/>
    <n v="0"/>
    <n v="0"/>
    <n v="0"/>
    <n v="0"/>
    <n v="0"/>
    <n v="0"/>
    <n v="0"/>
    <m/>
  </r>
  <r>
    <n v="1001"/>
    <d v="2024-10-31T10:51:55"/>
    <d v="2024-10-31T10:56:45"/>
    <s v="tnyauti@lighthouse.org.mw"/>
    <s v="Tamala nyauti"/>
    <x v="2"/>
    <s v="Prototype"/>
    <x v="1"/>
    <s v="COP_23"/>
    <s v="COP_23"/>
    <x v="1"/>
    <s v="Quarter4"/>
    <s v="Qtr_4"/>
    <s v="Jul"/>
    <d v="2024-07-01T00:00:00"/>
    <d v="2024-07-31T00:00:00"/>
    <x v="0"/>
    <n v="22"/>
    <n v="2"/>
    <n v="19"/>
    <n v="2"/>
    <n v="1"/>
    <n v="0"/>
    <n v="22"/>
    <n v="3"/>
    <n v="3"/>
    <n v="0"/>
    <n v="0"/>
    <n v="0"/>
    <n v="0"/>
    <n v="0"/>
    <n v="0"/>
    <n v="0"/>
    <n v="0"/>
    <n v="0"/>
    <n v="0"/>
    <n v="0"/>
    <n v="0"/>
    <n v="0"/>
    <n v="0"/>
    <n v="0"/>
    <n v="0"/>
    <m/>
  </r>
  <r>
    <n v="1004"/>
    <d v="2024-10-31T11:17:59"/>
    <d v="2024-10-31T11:20:08"/>
    <s v="tnyauti@lighthouse.org.mw"/>
    <s v="Tamala nyauti"/>
    <x v="2"/>
    <s v="Prototype"/>
    <x v="1"/>
    <s v="COP_23"/>
    <s v="COP_23"/>
    <x v="1"/>
    <s v="Quarter4"/>
    <s v="Qtr_4"/>
    <s v="Jul"/>
    <d v="2024-07-01T00:00:00"/>
    <d v="2024-07-31T00:00:00"/>
    <x v="5"/>
    <n v="0"/>
    <n v="0"/>
    <n v="0"/>
    <n v="0"/>
    <n v="0"/>
    <n v="0"/>
    <n v="0"/>
    <n v="0"/>
    <n v="0"/>
    <n v="0"/>
    <n v="0"/>
    <n v="0"/>
    <n v="0"/>
    <n v="0"/>
    <n v="0"/>
    <n v="0"/>
    <n v="0"/>
    <n v="0"/>
    <n v="0"/>
    <n v="0"/>
    <n v="0"/>
    <n v="0"/>
    <n v="0"/>
    <n v="0"/>
    <n v="0"/>
    <m/>
  </r>
  <r>
    <n v="1005"/>
    <d v="2024-10-31T11:20:14"/>
    <d v="2024-10-31T11:23:32"/>
    <s v="tnyauti@lighthouse.org.mw"/>
    <s v="Tamala nyauti"/>
    <x v="2"/>
    <s v="Prototype"/>
    <x v="1"/>
    <s v="COP_23"/>
    <s v="COP_23"/>
    <x v="1"/>
    <s v="Quarter4"/>
    <s v="Qtr_4"/>
    <s v="Jul"/>
    <d v="2024-07-01T00:00:00"/>
    <d v="2024-07-31T00:00:00"/>
    <x v="3"/>
    <n v="0"/>
    <n v="0"/>
    <n v="0"/>
    <n v="0"/>
    <n v="0"/>
    <n v="0"/>
    <n v="0"/>
    <n v="0"/>
    <n v="0"/>
    <n v="0"/>
    <n v="0"/>
    <n v="0"/>
    <n v="0"/>
    <n v="0"/>
    <n v="0"/>
    <n v="0"/>
    <n v="0"/>
    <n v="0"/>
    <n v="0"/>
    <n v="0"/>
    <n v="0"/>
    <n v="0"/>
    <n v="0"/>
    <n v="0"/>
    <n v="0"/>
    <m/>
  </r>
  <r>
    <n v="1006"/>
    <d v="2024-10-31T11:24:26"/>
    <d v="2024-10-31T11:27:45"/>
    <s v="tnyauti@lighthouse.org.mw"/>
    <s v="Tamala nyauti"/>
    <x v="2"/>
    <s v="Prototype"/>
    <x v="1"/>
    <s v="COP_23"/>
    <s v="COP_23"/>
    <x v="1"/>
    <s v="Quarter4"/>
    <s v="Qtr_4"/>
    <s v="Jul"/>
    <d v="2024-07-01T00:00:00"/>
    <d v="2024-07-31T00:00:00"/>
    <x v="4"/>
    <n v="0"/>
    <n v="0"/>
    <n v="0"/>
    <n v="0"/>
    <n v="0"/>
    <n v="0"/>
    <n v="0"/>
    <n v="0"/>
    <n v="0"/>
    <n v="0"/>
    <n v="0"/>
    <n v="0"/>
    <n v="0"/>
    <n v="0"/>
    <n v="0"/>
    <n v="0"/>
    <n v="0"/>
    <n v="0"/>
    <n v="0"/>
    <n v="0"/>
    <n v="0"/>
    <n v="0"/>
    <n v="0"/>
    <n v="0"/>
    <n v="0"/>
    <m/>
  </r>
  <r>
    <n v="1007"/>
    <d v="2024-10-31T11:28:49"/>
    <d v="2024-10-31T11:37:23"/>
    <s v="tnyauti@lighthouse.org.mw"/>
    <s v="Tamala nyauti"/>
    <x v="2"/>
    <s v="Prototype"/>
    <x v="1"/>
    <s v="COP_23"/>
    <s v="COP_23"/>
    <x v="1"/>
    <s v="Quarter4"/>
    <s v="Qtr_4"/>
    <s v="Aug"/>
    <d v="2024-08-01T00:00:00"/>
    <d v="2024-08-31T00:00:00"/>
    <x v="0"/>
    <n v="27"/>
    <n v="0"/>
    <n v="25"/>
    <n v="2"/>
    <n v="0"/>
    <n v="0"/>
    <n v="24"/>
    <n v="4"/>
    <n v="5"/>
    <n v="0"/>
    <n v="0"/>
    <n v="0"/>
    <n v="0"/>
    <n v="0"/>
    <n v="0"/>
    <n v="0"/>
    <n v="0"/>
    <n v="0"/>
    <n v="0"/>
    <n v="0"/>
    <n v="0"/>
    <n v="0"/>
    <n v="0"/>
    <n v="0"/>
    <n v="0"/>
    <m/>
  </r>
  <r>
    <n v="1010"/>
    <d v="2024-10-31T11:51:14"/>
    <d v="2024-10-31T12:06:02"/>
    <s v="tnyauti@lighthouse.org.mw"/>
    <s v="Tamala nyauti"/>
    <x v="2"/>
    <s v="Prototype"/>
    <x v="1"/>
    <s v="COP_23"/>
    <s v="COP_23"/>
    <x v="1"/>
    <s v="Quarter4"/>
    <s v="Qtr_4"/>
    <s v="Aug"/>
    <d v="2024-08-01T00:00:00"/>
    <d v="2024-08-31T00:00:00"/>
    <x v="3"/>
    <n v="1"/>
    <n v="0"/>
    <n v="1"/>
    <n v="0"/>
    <n v="0"/>
    <n v="0"/>
    <n v="1"/>
    <n v="0"/>
    <n v="0"/>
    <n v="0"/>
    <n v="0"/>
    <n v="0"/>
    <n v="0"/>
    <n v="0"/>
    <n v="0"/>
    <n v="0"/>
    <n v="0"/>
    <n v="0"/>
    <n v="0"/>
    <n v="0"/>
    <n v="0"/>
    <n v="0"/>
    <n v="0"/>
    <n v="0"/>
    <n v="0"/>
    <m/>
  </r>
  <r>
    <n v="1011"/>
    <d v="2024-10-31T12:06:15"/>
    <d v="2024-10-31T12:08:46"/>
    <s v="tnyauti@lighthouse.org.mw"/>
    <s v="Tamala nyauti"/>
    <x v="2"/>
    <s v="Prototype"/>
    <x v="1"/>
    <s v="COP_23"/>
    <s v="COP_23"/>
    <x v="1"/>
    <s v="Quarter4"/>
    <s v="Qtr_4"/>
    <s v="Aug"/>
    <d v="2024-08-01T00:00:00"/>
    <d v="2024-08-31T00:00:00"/>
    <x v="5"/>
    <n v="0"/>
    <n v="0"/>
    <n v="0"/>
    <n v="0"/>
    <n v="0"/>
    <n v="0"/>
    <n v="0"/>
    <n v="0"/>
    <n v="0"/>
    <n v="0"/>
    <n v="0"/>
    <n v="0"/>
    <n v="0"/>
    <n v="0"/>
    <n v="0"/>
    <n v="0"/>
    <n v="0"/>
    <n v="0"/>
    <n v="0"/>
    <n v="0"/>
    <n v="0"/>
    <n v="0"/>
    <n v="0"/>
    <n v="0"/>
    <n v="0"/>
    <m/>
  </r>
  <r>
    <n v="1012"/>
    <d v="2024-10-31T12:09:17"/>
    <d v="2024-10-31T12:15:59"/>
    <s v="tnyauti@lighthouse.org.mw"/>
    <s v="Tamala nyauti"/>
    <x v="2"/>
    <s v="Prototype"/>
    <x v="1"/>
    <s v="COP_23"/>
    <s v="COP_23"/>
    <x v="1"/>
    <s v="Quarter4"/>
    <s v="Qtr_4"/>
    <s v="Aug"/>
    <d v="2024-08-01T00:00:00"/>
    <d v="2024-08-31T00:00:00"/>
    <x v="4"/>
    <n v="0"/>
    <n v="0"/>
    <n v="0"/>
    <n v="0"/>
    <n v="0"/>
    <n v="0"/>
    <n v="0"/>
    <n v="0"/>
    <n v="0"/>
    <n v="0"/>
    <n v="0"/>
    <n v="0"/>
    <n v="0"/>
    <n v="0"/>
    <n v="0"/>
    <n v="0"/>
    <n v="0"/>
    <n v="0"/>
    <n v="0"/>
    <n v="0"/>
    <n v="0"/>
    <n v="0"/>
    <n v="0"/>
    <n v="0"/>
    <n v="0"/>
    <m/>
  </r>
  <r>
    <n v="1013"/>
    <d v="2024-10-31T12:16:40"/>
    <d v="2024-10-31T12:50:54"/>
    <s v="tnyauti@lighthouse.org.mw"/>
    <s v="Tamala nyauti"/>
    <x v="2"/>
    <s v="Prototype"/>
    <x v="1"/>
    <s v="COP_23"/>
    <s v="COP_23"/>
    <x v="1"/>
    <s v="Quarter4"/>
    <s v="Qtr_4"/>
    <s v="Sep"/>
    <d v="2024-09-01T00:00:00"/>
    <d v="2024-09-30T00:00:00"/>
    <x v="0"/>
    <n v="30"/>
    <n v="0"/>
    <n v="30"/>
    <n v="0"/>
    <n v="0"/>
    <n v="0"/>
    <n v="28"/>
    <n v="2"/>
    <n v="2"/>
    <n v="0"/>
    <n v="0"/>
    <n v="0"/>
    <n v="0"/>
    <n v="0"/>
    <n v="0"/>
    <n v="0"/>
    <n v="0"/>
    <n v="0"/>
    <n v="0"/>
    <n v="0"/>
    <n v="0"/>
    <n v="0"/>
    <n v="0"/>
    <n v="0"/>
    <n v="0"/>
    <m/>
  </r>
  <r>
    <n v="1017"/>
    <d v="2024-10-31T13:24:27"/>
    <d v="2024-10-31T13:26:25"/>
    <s v="tnyauti@lighthouse.org.mw"/>
    <s v="Tamala nyauti"/>
    <x v="2"/>
    <s v="Prototype"/>
    <x v="1"/>
    <s v="COP_23"/>
    <s v="COP_23"/>
    <x v="1"/>
    <s v="Quarter4"/>
    <s v="Qtr_4"/>
    <s v="Sep"/>
    <d v="2024-09-01T00:00:00"/>
    <d v="2024-09-30T00:00:00"/>
    <x v="3"/>
    <n v="1"/>
    <n v="0"/>
    <n v="1"/>
    <n v="0"/>
    <n v="0"/>
    <n v="0"/>
    <n v="1"/>
    <n v="0"/>
    <n v="0"/>
    <n v="0"/>
    <n v="0"/>
    <n v="0"/>
    <n v="0"/>
    <n v="0"/>
    <n v="0"/>
    <n v="0"/>
    <n v="0"/>
    <n v="0"/>
    <n v="0"/>
    <n v="0"/>
    <n v="0"/>
    <n v="0"/>
    <n v="0"/>
    <n v="0"/>
    <n v="0"/>
    <m/>
  </r>
  <r>
    <n v="1018"/>
    <d v="2024-10-31T13:27:36"/>
    <d v="2024-10-31T13:37:59"/>
    <s v="tnyauti@lighthouse.org.mw"/>
    <s v="Tamala nyauti"/>
    <x v="2"/>
    <s v="Prototype"/>
    <x v="1"/>
    <s v="COP_23"/>
    <s v="COP_23"/>
    <x v="1"/>
    <s v="Quarter4"/>
    <s v="Qtr_4"/>
    <s v="Sep"/>
    <d v="2024-09-01T00:00:00"/>
    <d v="2024-09-30T00:00:00"/>
    <x v="5"/>
    <n v="0"/>
    <n v="0"/>
    <n v="0"/>
    <n v="0"/>
    <n v="0"/>
    <n v="0"/>
    <n v="0"/>
    <n v="0"/>
    <n v="0"/>
    <n v="0"/>
    <n v="0"/>
    <n v="0"/>
    <n v="0"/>
    <n v="0"/>
    <n v="0"/>
    <n v="0"/>
    <n v="0"/>
    <n v="0"/>
    <n v="0"/>
    <n v="0"/>
    <n v="0"/>
    <n v="0"/>
    <n v="0"/>
    <n v="0"/>
    <n v="0"/>
    <m/>
  </r>
  <r>
    <n v="1019"/>
    <d v="2024-10-31T13:38:23"/>
    <d v="2024-10-31T13:42:24"/>
    <s v="tnyauti@lighthouse.org.mw"/>
    <s v="Tamala nyauti"/>
    <x v="2"/>
    <s v="Prototype"/>
    <x v="1"/>
    <s v="COP_22"/>
    <s v="COP_23"/>
    <x v="1"/>
    <s v="Quarter4"/>
    <s v="Qtr_4"/>
    <s v="Sep"/>
    <d v="2024-09-01T00:00:00"/>
    <d v="2024-09-30T00:00:00"/>
    <x v="4"/>
    <n v="0"/>
    <n v="0"/>
    <n v="0"/>
    <n v="0"/>
    <n v="0"/>
    <n v="0"/>
    <n v="0"/>
    <n v="0"/>
    <n v="0"/>
    <n v="0"/>
    <n v="0"/>
    <n v="0"/>
    <n v="0"/>
    <n v="0"/>
    <n v="0"/>
    <n v="0"/>
    <n v="0"/>
    <n v="0"/>
    <n v="0"/>
    <n v="0"/>
    <n v="0"/>
    <n v="0"/>
    <n v="0"/>
    <n v="0"/>
    <n v="0"/>
    <m/>
  </r>
  <r>
    <n v="1082"/>
    <d v="2024-11-20T12:26:14"/>
    <d v="2024-11-20T12:31:28"/>
    <s v="tnyauti@lighthouse.org.mw"/>
    <s v="Tamala nyauti"/>
    <x v="2"/>
    <s v="Prototype"/>
    <x v="1"/>
    <s v="COP_24"/>
    <s v="COP_24"/>
    <x v="0"/>
    <s v="Quarter1"/>
    <s v="Qtr_1"/>
    <s v="Oct"/>
    <d v="2024-10-01T00:00:00"/>
    <d v="2024-10-31T00:00:00"/>
    <x v="0"/>
    <n v="18"/>
    <n v="0"/>
    <n v="16"/>
    <n v="0"/>
    <n v="2"/>
    <n v="0"/>
    <n v="17"/>
    <n v="8"/>
    <n v="8"/>
    <n v="0"/>
    <n v="0"/>
    <n v="0"/>
    <n v="8"/>
    <n v="1"/>
    <n v="0"/>
    <n v="0"/>
    <n v="0"/>
    <n v="0"/>
    <n v="0"/>
    <n v="0"/>
    <n v="1"/>
    <n v="0"/>
    <n v="0"/>
    <n v="0"/>
    <n v="0"/>
    <m/>
  </r>
  <r>
    <n v="1084"/>
    <d v="2024-11-20T12:47:00"/>
    <d v="2024-11-20T12:49:30"/>
    <s v="tnyauti@lighthouse.org.mw"/>
    <s v="Tamala nyauti"/>
    <x v="2"/>
    <s v="Prototype"/>
    <x v="1"/>
    <s v="COP_24"/>
    <s v="COP_24"/>
    <x v="0"/>
    <s v="Quarter1"/>
    <s v="Qtr_1"/>
    <s v="Oct"/>
    <d v="2024-10-01T00:00:00"/>
    <d v="2024-10-31T00:00:00"/>
    <x v="1"/>
    <n v="9"/>
    <n v="0"/>
    <n v="8"/>
    <n v="0"/>
    <n v="1"/>
    <n v="0"/>
    <n v="9"/>
    <n v="3"/>
    <n v="3"/>
    <n v="0"/>
    <n v="0"/>
    <n v="0"/>
    <n v="3"/>
    <n v="0"/>
    <n v="0"/>
    <n v="0"/>
    <n v="0"/>
    <n v="0"/>
    <n v="0"/>
    <n v="0"/>
    <n v="0"/>
    <n v="0"/>
    <n v="0"/>
    <n v="0"/>
    <n v="0"/>
    <m/>
  </r>
  <r>
    <n v="1085"/>
    <d v="2024-11-20T12:50:05"/>
    <d v="2024-11-20T12:53:05"/>
    <s v="tnyauti@lighthouse.org.mw"/>
    <s v="Tamala nyauti"/>
    <x v="2"/>
    <s v="Prototype"/>
    <x v="1"/>
    <s v="COP_24"/>
    <s v="COP_24"/>
    <x v="0"/>
    <s v="Quarter1"/>
    <s v="Qtr_1"/>
    <s v="Oct"/>
    <d v="2024-10-01T00:00:00"/>
    <d v="2024-10-31T00:00:00"/>
    <x v="5"/>
    <n v="0"/>
    <n v="0"/>
    <n v="0"/>
    <n v="0"/>
    <n v="0"/>
    <n v="0"/>
    <n v="0"/>
    <n v="0"/>
    <n v="0"/>
    <n v="0"/>
    <n v="0"/>
    <n v="0"/>
    <n v="0"/>
    <n v="0"/>
    <n v="0"/>
    <n v="0"/>
    <n v="0"/>
    <n v="0"/>
    <n v="0"/>
    <n v="0"/>
    <n v="0"/>
    <n v="0"/>
    <n v="0"/>
    <n v="0"/>
    <n v="0"/>
    <m/>
  </r>
  <r>
    <n v="1086"/>
    <d v="2024-11-20T12:53:21"/>
    <d v="2024-11-20T12:54:33"/>
    <s v="tnyauti@lighthouse.org.mw"/>
    <s v="Tamala nyauti"/>
    <x v="2"/>
    <s v="Prototype"/>
    <x v="1"/>
    <s v="COP_24"/>
    <s v="COP_24"/>
    <x v="0"/>
    <s v="Quarter1"/>
    <s v="Qtr_1"/>
    <s v="Oct"/>
    <d v="2024-10-01T00:00:00"/>
    <d v="2024-10-31T00:00:00"/>
    <x v="4"/>
    <n v="0"/>
    <n v="0"/>
    <n v="0"/>
    <n v="0"/>
    <n v="0"/>
    <n v="0"/>
    <n v="0"/>
    <n v="0"/>
    <n v="0"/>
    <n v="0"/>
    <n v="0"/>
    <n v="0"/>
    <n v="0"/>
    <n v="0"/>
    <n v="0"/>
    <n v="0"/>
    <n v="0"/>
    <n v="0"/>
    <n v="0"/>
    <n v="0"/>
    <n v="0"/>
    <n v="0"/>
    <n v="0"/>
    <n v="0"/>
    <n v="0"/>
    <m/>
  </r>
  <r>
    <n v="1087"/>
    <d v="2024-11-20T12:54:42"/>
    <d v="2024-11-20T12:55:42"/>
    <s v="tnyauti@lighthouse.org.mw"/>
    <s v="Tamala nyauti"/>
    <x v="2"/>
    <s v="Prototype"/>
    <x v="1"/>
    <s v="COP_24"/>
    <s v="COP_24"/>
    <x v="0"/>
    <s v="Quarter1"/>
    <s v="Qtr_1"/>
    <s v="Oct"/>
    <d v="2024-10-01T00:00:00"/>
    <d v="2024-10-31T00:00:00"/>
    <x v="3"/>
    <n v="0"/>
    <n v="0"/>
    <n v="0"/>
    <n v="0"/>
    <n v="0"/>
    <n v="0"/>
    <n v="0"/>
    <n v="0"/>
    <n v="0"/>
    <n v="0"/>
    <n v="0"/>
    <n v="0"/>
    <n v="0"/>
    <n v="0"/>
    <n v="0"/>
    <n v="0"/>
    <n v="0"/>
    <n v="0"/>
    <n v="0"/>
    <n v="0"/>
    <n v="0"/>
    <n v="0"/>
    <n v="0"/>
    <n v="0"/>
    <n v="0"/>
    <m/>
  </r>
  <r>
    <n v="1163"/>
    <d v="2024-12-20T08:07:11"/>
    <d v="2024-12-20T08:13:59"/>
    <s v="tnyauti@lighthouse.org.mw"/>
    <s v="Tamala nyauti"/>
    <x v="2"/>
    <s v="Prototype"/>
    <x v="1"/>
    <s v="COP_24"/>
    <s v="COP_24"/>
    <x v="0"/>
    <s v="Quarter1"/>
    <s v="Qtr_1"/>
    <s v="Nov"/>
    <d v="2024-11-01T00:00:00"/>
    <d v="2024-11-30T00:00:00"/>
    <x v="0"/>
    <n v="35"/>
    <n v="1"/>
    <n v="32"/>
    <n v="2"/>
    <n v="0"/>
    <n v="1"/>
    <n v="35"/>
    <n v="4"/>
    <n v="3"/>
    <n v="0"/>
    <n v="0"/>
    <n v="0"/>
    <n v="4"/>
    <n v="1"/>
    <n v="0"/>
    <n v="0"/>
    <n v="0"/>
    <n v="0"/>
    <n v="0"/>
    <n v="0"/>
    <n v="1"/>
    <n v="0"/>
    <n v="0"/>
    <n v="0"/>
    <n v="2"/>
    <m/>
  </r>
  <r>
    <n v="1164"/>
    <d v="2024-12-20T08:14:16"/>
    <d v="2024-12-20T08:23:40"/>
    <s v="tnyauti@lighthouse.org.mw"/>
    <s v="Tamala nyauti"/>
    <x v="2"/>
    <s v="Prototype"/>
    <x v="1"/>
    <s v="COP_24"/>
    <s v="COP_24"/>
    <x v="0"/>
    <s v="Quarter1"/>
    <s v="Qtr_1"/>
    <s v="Nov"/>
    <d v="2024-11-01T00:00:00"/>
    <d v="2024-11-30T00:00:00"/>
    <x v="1"/>
    <n v="25"/>
    <n v="0"/>
    <n v="23"/>
    <n v="2"/>
    <n v="0"/>
    <n v="0"/>
    <n v="25"/>
    <n v="3"/>
    <n v="3"/>
    <n v="0"/>
    <n v="0"/>
    <n v="0"/>
    <n v="0"/>
    <n v="0"/>
    <n v="0"/>
    <n v="0"/>
    <n v="0"/>
    <n v="0"/>
    <n v="0"/>
    <n v="0"/>
    <n v="0"/>
    <n v="0"/>
    <n v="0"/>
    <n v="0"/>
    <n v="2"/>
    <m/>
  </r>
  <r>
    <n v="1165"/>
    <d v="2024-12-20T08:23:56"/>
    <d v="2024-12-20T08:28:22"/>
    <s v="tnyauti@lighthouse.org.mw"/>
    <s v="Tamala nyauti"/>
    <x v="2"/>
    <s v="Prototype"/>
    <x v="1"/>
    <s v="COP_24"/>
    <s v="COP_24"/>
    <x v="0"/>
    <s v="Quarter1"/>
    <s v="Qtr_1"/>
    <s v="Nov"/>
    <d v="2024-11-01T00:00:00"/>
    <d v="2024-11-30T00:00:00"/>
    <x v="2"/>
    <n v="10"/>
    <n v="1"/>
    <n v="9"/>
    <n v="0"/>
    <n v="0"/>
    <n v="1"/>
    <n v="10"/>
    <n v="1"/>
    <n v="0"/>
    <n v="0"/>
    <n v="0"/>
    <n v="0"/>
    <n v="1"/>
    <n v="1"/>
    <n v="0"/>
    <n v="0"/>
    <n v="0"/>
    <n v="0"/>
    <n v="0"/>
    <n v="0"/>
    <n v="1"/>
    <n v="0"/>
    <n v="0"/>
    <n v="0"/>
    <n v="0"/>
    <m/>
  </r>
  <r>
    <n v="1166"/>
    <d v="2024-12-20T08:28:47"/>
    <d v="2024-12-20T08:31:01"/>
    <s v="tnyauti@lighthouse.org.mw"/>
    <s v="Tamala nyauti"/>
    <x v="2"/>
    <s v="Prototype"/>
    <x v="1"/>
    <s v="COP_24"/>
    <s v="COP_24"/>
    <x v="0"/>
    <s v="Quarter1"/>
    <s v="Qtr_1"/>
    <s v="Nov"/>
    <d v="2024-11-01T00:00:00"/>
    <d v="2024-11-30T00:00:00"/>
    <x v="3"/>
    <n v="3"/>
    <n v="1"/>
    <n v="2"/>
    <n v="0"/>
    <n v="0"/>
    <n v="1"/>
    <n v="3"/>
    <n v="1"/>
    <n v="0"/>
    <n v="0"/>
    <n v="0"/>
    <n v="0"/>
    <n v="1"/>
    <n v="1"/>
    <n v="0"/>
    <n v="0"/>
    <n v="0"/>
    <n v="0"/>
    <n v="0"/>
    <n v="0"/>
    <n v="1"/>
    <n v="0"/>
    <n v="0"/>
    <n v="0"/>
    <n v="0"/>
    <m/>
  </r>
  <r>
    <n v="1167"/>
    <d v="2024-12-20T08:31:12"/>
    <d v="2024-12-20T08:32:13"/>
    <s v="tnyauti@lighthouse.org.mw"/>
    <s v="Tamala nyauti"/>
    <x v="2"/>
    <s v="Prototype"/>
    <x v="1"/>
    <s v="COP_24"/>
    <s v="COP_24"/>
    <x v="0"/>
    <s v="Quarter1"/>
    <s v="Qtr_1"/>
    <s v="Nov"/>
    <d v="2024-11-01T00:00:00"/>
    <d v="2024-11-30T00:00:00"/>
    <x v="5"/>
    <n v="0"/>
    <n v="0"/>
    <n v="0"/>
    <n v="0"/>
    <n v="0"/>
    <n v="0"/>
    <n v="0"/>
    <n v="0"/>
    <n v="0"/>
    <n v="0"/>
    <n v="0"/>
    <n v="0"/>
    <n v="0"/>
    <n v="0"/>
    <n v="0"/>
    <n v="0"/>
    <n v="0"/>
    <n v="0"/>
    <n v="0"/>
    <n v="0"/>
    <n v="0"/>
    <n v="0"/>
    <n v="0"/>
    <n v="0"/>
    <n v="0"/>
    <m/>
  </r>
  <r>
    <n v="1168"/>
    <d v="2024-12-20T08:32:26"/>
    <d v="2024-12-20T08:33:35"/>
    <s v="tnyauti@lighthouse.org.mw"/>
    <s v="Tamala nyauti"/>
    <x v="2"/>
    <s v="Prototype"/>
    <x v="1"/>
    <s v="COP_24"/>
    <s v="COP_24"/>
    <x v="0"/>
    <s v="Quarter1"/>
    <s v="Qtr_1"/>
    <s v="Nov"/>
    <d v="2024-11-01T00:00:00"/>
    <d v="2024-11-30T00:00:00"/>
    <x v="4"/>
    <n v="0"/>
    <n v="0"/>
    <n v="0"/>
    <n v="0"/>
    <n v="0"/>
    <n v="0"/>
    <n v="0"/>
    <n v="0"/>
    <n v="0"/>
    <n v="0"/>
    <n v="0"/>
    <n v="0"/>
    <n v="0"/>
    <n v="0"/>
    <n v="0"/>
    <n v="0"/>
    <n v="0"/>
    <n v="0"/>
    <n v="0"/>
    <n v="0"/>
    <n v="0"/>
    <n v="0"/>
    <n v="0"/>
    <n v="0"/>
    <n v="0"/>
    <m/>
  </r>
  <r>
    <n v="1270"/>
    <d v="2025-01-14T14:53:19"/>
    <d v="2025-01-14T15:08:49"/>
    <s v="tnyauti@lighthouse.org.mw"/>
    <s v="Tamala nyauti"/>
    <x v="2"/>
    <s v="Prototype"/>
    <x v="1"/>
    <s v="COP_24"/>
    <s v="COP_24"/>
    <x v="0"/>
    <s v="Quarter1"/>
    <s v="Qtr_1"/>
    <s v="Dec"/>
    <d v="2024-12-01T00:00:00"/>
    <d v="2024-12-31T00:00:00"/>
    <x v="0"/>
    <n v="31"/>
    <n v="0"/>
    <n v="29"/>
    <n v="1"/>
    <n v="0"/>
    <n v="1"/>
    <n v="30"/>
    <n v="7"/>
    <n v="4"/>
    <n v="0"/>
    <n v="0"/>
    <n v="0"/>
    <n v="7"/>
    <n v="1"/>
    <n v="0"/>
    <n v="0"/>
    <n v="0"/>
    <n v="0"/>
    <n v="0"/>
    <n v="0"/>
    <n v="1"/>
    <n v="0"/>
    <n v="0"/>
    <n v="0"/>
    <n v="0"/>
    <m/>
  </r>
  <r>
    <n v="1271"/>
    <d v="2025-01-14T15:08:54"/>
    <d v="2025-01-14T15:13:41"/>
    <s v="tnyauti@lighthouse.org.mw"/>
    <s v="Tamala nyauti"/>
    <x v="2"/>
    <s v="Prototype"/>
    <x v="1"/>
    <s v="COP_24"/>
    <s v="COP_24"/>
    <x v="0"/>
    <s v="Quarter1"/>
    <s v="Qtr_1"/>
    <s v="Dec"/>
    <d v="2024-12-01T00:00:00"/>
    <d v="2024-12-31T00:00:00"/>
    <x v="1"/>
    <n v="19"/>
    <n v="0"/>
    <n v="17"/>
    <n v="1"/>
    <n v="0"/>
    <n v="1"/>
    <n v="19"/>
    <n v="5"/>
    <n v="3"/>
    <n v="0"/>
    <n v="0"/>
    <n v="0"/>
    <n v="5"/>
    <n v="1"/>
    <n v="0"/>
    <n v="0"/>
    <n v="0"/>
    <n v="0"/>
    <n v="0"/>
    <n v="0"/>
    <n v="1"/>
    <n v="0"/>
    <n v="0"/>
    <n v="0"/>
    <n v="0"/>
    <m/>
  </r>
  <r>
    <n v="1272"/>
    <d v="2025-01-14T15:13:46"/>
    <d v="2025-01-14T15:16:54"/>
    <s v="tnyauti@lighthouse.org.mw"/>
    <s v="Tamala nyauti"/>
    <x v="2"/>
    <s v="Prototype"/>
    <x v="1"/>
    <s v="COP_24"/>
    <s v="COP_24"/>
    <x v="0"/>
    <s v="Quarter1"/>
    <s v="Qtr_1"/>
    <s v="Dec"/>
    <d v="2024-12-01T00:00:00"/>
    <d v="2024-12-31T00:00:00"/>
    <x v="2"/>
    <n v="12"/>
    <n v="0"/>
    <n v="12"/>
    <n v="0"/>
    <n v="0"/>
    <n v="0"/>
    <n v="11"/>
    <n v="2"/>
    <n v="1"/>
    <n v="0"/>
    <n v="0"/>
    <n v="0"/>
    <n v="2"/>
    <n v="0"/>
    <n v="0"/>
    <n v="0"/>
    <n v="0"/>
    <n v="0"/>
    <n v="0"/>
    <n v="0"/>
    <n v="0"/>
    <n v="0"/>
    <n v="0"/>
    <n v="0"/>
    <n v="0"/>
    <m/>
  </r>
  <r>
    <n v="1273"/>
    <d v="2025-01-14T15:17:04"/>
    <d v="2025-01-14T15:19:37"/>
    <s v="tnyauti@lighthouse.org.mw"/>
    <s v="Tamala nyauti"/>
    <x v="2"/>
    <s v="Prototype"/>
    <x v="1"/>
    <s v="COP_24"/>
    <s v="COP_24"/>
    <x v="0"/>
    <s v="Quarter1"/>
    <s v="Qtr_1"/>
    <s v="Dec"/>
    <d v="2024-12-01T00:00:00"/>
    <d v="2024-12-31T00:00:00"/>
    <x v="5"/>
    <n v="1"/>
    <n v="0"/>
    <n v="1"/>
    <n v="0"/>
    <n v="0"/>
    <n v="0"/>
    <n v="1"/>
    <n v="0"/>
    <n v="0"/>
    <n v="0"/>
    <n v="0"/>
    <n v="0"/>
    <n v="0"/>
    <n v="0"/>
    <n v="0"/>
    <n v="0"/>
    <n v="0"/>
    <n v="0"/>
    <n v="0"/>
    <n v="0"/>
    <n v="0"/>
    <n v="0"/>
    <n v="0"/>
    <n v="0"/>
    <n v="0"/>
    <m/>
  </r>
  <r>
    <n v="1274"/>
    <d v="2025-01-14T15:19:44"/>
    <d v="2025-01-14T15:23:12"/>
    <s v="tnyauti@lighthouse.org.mw"/>
    <s v="Tamala nyauti"/>
    <x v="2"/>
    <s v="Prototype"/>
    <x v="1"/>
    <s v="COP_24"/>
    <s v="COP_24"/>
    <x v="0"/>
    <s v="Quarter1"/>
    <s v="Qtr_1"/>
    <s v="Dec"/>
    <d v="2024-12-01T00:00:00"/>
    <d v="2024-12-31T00:00:00"/>
    <x v="3"/>
    <n v="0"/>
    <n v="0"/>
    <n v="0"/>
    <n v="0"/>
    <n v="0"/>
    <n v="0"/>
    <n v="0"/>
    <n v="0"/>
    <n v="0"/>
    <n v="0"/>
    <n v="0"/>
    <n v="0"/>
    <n v="0"/>
    <n v="0"/>
    <n v="0"/>
    <n v="0"/>
    <n v="0"/>
    <n v="0"/>
    <n v="0"/>
    <n v="0"/>
    <n v="0"/>
    <n v="0"/>
    <n v="0"/>
    <n v="0"/>
    <n v="0"/>
    <m/>
  </r>
  <r>
    <n v="1275"/>
    <d v="2025-01-14T15:23:31"/>
    <d v="2025-01-14T15:27:07"/>
    <s v="tnyauti@lighthouse.org.mw"/>
    <s v="Tamala nyauti"/>
    <x v="2"/>
    <s v="Prototype"/>
    <x v="1"/>
    <s v="COP_22"/>
    <s v="COP_24"/>
    <x v="0"/>
    <s v="Quarter1"/>
    <s v="Qtr_1"/>
    <s v="Dec"/>
    <d v="2024-12-01T00:00:00"/>
    <d v="2024-12-31T00:00:00"/>
    <x v="4"/>
    <n v="0"/>
    <n v="0"/>
    <n v="0"/>
    <n v="0"/>
    <n v="0"/>
    <n v="0"/>
    <n v="0"/>
    <n v="0"/>
    <n v="0"/>
    <n v="0"/>
    <n v="0"/>
    <n v="0"/>
    <n v="0"/>
    <n v="0"/>
    <n v="0"/>
    <n v="0"/>
    <n v="0"/>
    <n v="0"/>
    <n v="0"/>
    <n v="0"/>
    <n v="0"/>
    <n v="0"/>
    <n v="0"/>
    <n v="0"/>
    <n v="0"/>
    <m/>
  </r>
  <r>
    <n v="1321"/>
    <d v="2025-02-25T14:03:47"/>
    <d v="2025-02-25T14:11:13"/>
    <s v="tnyauti@lighthouse.org.mw"/>
    <s v="Tamala nyauti"/>
    <x v="2"/>
    <s v="Prototype"/>
    <x v="2"/>
    <s v="COP_23"/>
    <s v="COP_24"/>
    <x v="2"/>
    <s v="Quarter2"/>
    <s v="Qtr_2"/>
    <s v="Jan"/>
    <d v="2025-01-01T00:00:00"/>
    <d v="2025-01-31T00:00:00"/>
    <x v="0"/>
    <n v="29"/>
    <n v="0"/>
    <n v="28"/>
    <n v="1"/>
    <n v="0"/>
    <n v="0"/>
    <n v="27"/>
    <n v="4"/>
    <n v="0"/>
    <n v="0"/>
    <n v="1"/>
    <n v="0"/>
    <n v="5"/>
    <n v="1"/>
    <n v="0"/>
    <n v="0"/>
    <n v="0"/>
    <n v="0"/>
    <n v="0"/>
    <n v="0"/>
    <n v="1"/>
    <n v="0"/>
    <n v="0"/>
    <n v="0"/>
    <n v="0"/>
    <m/>
  </r>
  <r>
    <n v="1322"/>
    <d v="2025-02-25T14:11:19"/>
    <d v="2025-02-25T14:14:30"/>
    <s v="tnyauti@lighthouse.org.mw"/>
    <s v="Tamala nyauti"/>
    <x v="2"/>
    <s v="Prototype"/>
    <x v="2"/>
    <s v="COP_23"/>
    <s v="COP_24"/>
    <x v="2"/>
    <s v="Quarter2"/>
    <s v="Qtr_2"/>
    <s v="Jan"/>
    <d v="2025-01-01T00:00:00"/>
    <d v="2025-01-31T00:00:00"/>
    <x v="1"/>
    <n v="16"/>
    <n v="0"/>
    <n v="16"/>
    <n v="0"/>
    <n v="0"/>
    <n v="0"/>
    <n v="16"/>
    <n v="2"/>
    <n v="0"/>
    <n v="0"/>
    <n v="1"/>
    <n v="0"/>
    <n v="3"/>
    <n v="0"/>
    <n v="0"/>
    <n v="0"/>
    <n v="0"/>
    <n v="0"/>
    <n v="0"/>
    <n v="0"/>
    <n v="0"/>
    <n v="0"/>
    <n v="0"/>
    <n v="0"/>
    <n v="0"/>
    <m/>
  </r>
  <r>
    <n v="1323"/>
    <d v="2025-02-25T14:14:34"/>
    <d v="2025-02-25T14:16:46"/>
    <s v="tnyauti@lighthouse.org.mw"/>
    <s v="Tamala nyauti"/>
    <x v="2"/>
    <s v="Prototype"/>
    <x v="2"/>
    <s v="COP_23"/>
    <s v="COP_24"/>
    <x v="2"/>
    <s v="Quarter2"/>
    <s v="Qtr_2"/>
    <s v="Jan"/>
    <d v="2025-01-01T00:00:00"/>
    <d v="2025-01-31T00:00:00"/>
    <x v="2"/>
    <n v="13"/>
    <n v="0"/>
    <n v="12"/>
    <n v="1"/>
    <n v="0"/>
    <n v="0"/>
    <n v="11"/>
    <n v="2"/>
    <n v="0"/>
    <n v="0"/>
    <n v="0"/>
    <n v="0"/>
    <n v="2"/>
    <n v="1"/>
    <n v="0"/>
    <n v="0"/>
    <n v="0"/>
    <n v="0"/>
    <n v="0"/>
    <n v="0"/>
    <n v="1"/>
    <n v="0"/>
    <n v="0"/>
    <n v="0"/>
    <n v="0"/>
    <m/>
  </r>
  <r>
    <n v="1324"/>
    <d v="2025-02-25T14:16:49"/>
    <d v="2025-02-25T14:17:55"/>
    <s v="tnyauti@lighthouse.org.mw"/>
    <s v="Tamala nyauti"/>
    <x v="2"/>
    <s v="Prototype"/>
    <x v="2"/>
    <s v="COP_23"/>
    <s v="COP_24"/>
    <x v="2"/>
    <s v="Quarter2"/>
    <s v="Qtr_2"/>
    <s v="Jan"/>
    <d v="2025-01-01T00:00:00"/>
    <d v="2025-01-31T00:00:00"/>
    <x v="4"/>
    <n v="0"/>
    <n v="0"/>
    <n v="0"/>
    <n v="0"/>
    <n v="0"/>
    <n v="0"/>
    <n v="0"/>
    <n v="0"/>
    <n v="0"/>
    <n v="0"/>
    <n v="0"/>
    <n v="0"/>
    <n v="0"/>
    <n v="0"/>
    <n v="0"/>
    <n v="0"/>
    <n v="0"/>
    <n v="0"/>
    <n v="0"/>
    <n v="0"/>
    <n v="0"/>
    <n v="0"/>
    <n v="0"/>
    <n v="0"/>
    <n v="0"/>
    <m/>
  </r>
  <r>
    <n v="1325"/>
    <d v="2025-02-25T14:17:58"/>
    <d v="2025-02-25T14:19:32"/>
    <s v="tnyauti@lighthouse.org.mw"/>
    <s v="Tamala nyauti"/>
    <x v="2"/>
    <s v="Prototype"/>
    <x v="2"/>
    <s v="COP_23"/>
    <s v="COP_24"/>
    <x v="2"/>
    <s v="Quarter2"/>
    <s v="Qtr_2"/>
    <s v="Jan"/>
    <d v="2025-01-01T00:00:00"/>
    <d v="2025-01-31T00:00:00"/>
    <x v="3"/>
    <n v="0"/>
    <n v="0"/>
    <n v="0"/>
    <n v="0"/>
    <n v="0"/>
    <n v="0"/>
    <n v="0"/>
    <n v="0"/>
    <n v="0"/>
    <n v="0"/>
    <n v="0"/>
    <n v="0"/>
    <n v="0"/>
    <n v="0"/>
    <n v="0"/>
    <n v="0"/>
    <n v="0"/>
    <n v="0"/>
    <n v="0"/>
    <n v="0"/>
    <n v="0"/>
    <n v="0"/>
    <n v="0"/>
    <n v="0"/>
    <n v="0"/>
    <m/>
  </r>
  <r>
    <n v="1326"/>
    <d v="2025-02-25T14:19:39"/>
    <d v="2025-02-25T14:21:10"/>
    <s v="tnyauti@lighthouse.org.mw"/>
    <s v="Tamala nyauti"/>
    <x v="2"/>
    <s v="Prototype"/>
    <x v="2"/>
    <s v="COP_23"/>
    <s v="COP_24"/>
    <x v="2"/>
    <s v="Quarter2"/>
    <s v="Qtr_2"/>
    <s v="Jan"/>
    <d v="2025-01-01T00:00:00"/>
    <d v="2025-01-31T00:00:00"/>
    <x v="5"/>
    <n v="0"/>
    <n v="0"/>
    <n v="0"/>
    <n v="0"/>
    <n v="0"/>
    <n v="0"/>
    <n v="0"/>
    <n v="0"/>
    <n v="0"/>
    <n v="0"/>
    <n v="0"/>
    <n v="0"/>
    <n v="0"/>
    <n v="0"/>
    <n v="0"/>
    <n v="0"/>
    <n v="0"/>
    <n v="0"/>
    <n v="0"/>
    <n v="0"/>
    <n v="0"/>
    <n v="0"/>
    <n v="0"/>
    <n v="0"/>
    <n v="0"/>
    <m/>
  </r>
  <r>
    <n v="1406"/>
    <d v="2025-03-11T13:00:57"/>
    <d v="2025-03-11T13:03:53"/>
    <s v="tnyauti@lighthouse.org.mw"/>
    <s v="Tamala nyauti"/>
    <x v="2"/>
    <s v="Prototype"/>
    <x v="2"/>
    <s v="COP_23"/>
    <s v="COP_24"/>
    <x v="2"/>
    <s v="Quarter2"/>
    <s v="Qtr_2"/>
    <s v="Feb"/>
    <d v="2025-02-01T00:00:00"/>
    <d v="2025-02-28T00:00:00"/>
    <x v="0"/>
    <n v="12"/>
    <n v="0"/>
    <n v="12"/>
    <n v="0"/>
    <n v="0"/>
    <n v="0"/>
    <n v="12"/>
    <n v="0"/>
    <n v="0"/>
    <n v="0"/>
    <n v="0"/>
    <n v="0"/>
    <n v="0"/>
    <n v="0"/>
    <n v="0"/>
    <n v="0"/>
    <n v="0"/>
    <n v="0"/>
    <n v="0"/>
    <n v="0"/>
    <n v="0"/>
    <n v="0"/>
    <n v="0"/>
    <n v="0"/>
    <n v="0"/>
    <m/>
  </r>
  <r>
    <n v="1407"/>
    <d v="2025-03-11T13:04:12"/>
    <d v="2025-03-11T13:06:32"/>
    <s v="tnyauti@lighthouse.org.mw"/>
    <s v="Tamala nyauti"/>
    <x v="2"/>
    <s v="Prototype"/>
    <x v="2"/>
    <s v="COP_23"/>
    <s v="COP_24"/>
    <x v="2"/>
    <s v="Quarter2"/>
    <s v="Qtr_2"/>
    <s v="Feb"/>
    <d v="2025-02-01T00:00:00"/>
    <d v="2025-02-28T00:00:00"/>
    <x v="2"/>
    <n v="2"/>
    <n v="0"/>
    <n v="2"/>
    <n v="0"/>
    <n v="0"/>
    <n v="0"/>
    <n v="2"/>
    <n v="0"/>
    <n v="0"/>
    <n v="0"/>
    <n v="0"/>
    <n v="0"/>
    <n v="0"/>
    <n v="0"/>
    <n v="0"/>
    <n v="0"/>
    <n v="0"/>
    <n v="0"/>
    <n v="0"/>
    <n v="0"/>
    <n v="0"/>
    <n v="0"/>
    <n v="0"/>
    <n v="0"/>
    <n v="0"/>
    <m/>
  </r>
  <r>
    <n v="1408"/>
    <d v="2025-03-11T13:06:36"/>
    <d v="2025-03-11T13:08:16"/>
    <s v="tnyauti@lighthouse.org.mw"/>
    <s v="Tamala nyauti"/>
    <x v="2"/>
    <s v="Prototype"/>
    <x v="2"/>
    <s v="COP_23"/>
    <s v="COP_24"/>
    <x v="2"/>
    <s v="Quarter2"/>
    <s v="Qtr_2"/>
    <s v="Feb"/>
    <d v="2025-02-01T00:00:00"/>
    <d v="2025-02-28T00:00:00"/>
    <x v="1"/>
    <n v="10"/>
    <n v="0"/>
    <n v="10"/>
    <n v="0"/>
    <n v="0"/>
    <n v="0"/>
    <n v="10"/>
    <n v="0"/>
    <n v="0"/>
    <n v="0"/>
    <n v="0"/>
    <n v="0"/>
    <n v="0"/>
    <n v="0"/>
    <n v="0"/>
    <n v="0"/>
    <n v="0"/>
    <n v="0"/>
    <n v="0"/>
    <n v="0"/>
    <n v="0"/>
    <n v="0"/>
    <n v="0"/>
    <n v="0"/>
    <n v="0"/>
    <m/>
  </r>
  <r>
    <n v="1409"/>
    <d v="2025-03-11T13:08:18"/>
    <d v="2025-03-11T13:09:46"/>
    <s v="tnyauti@lighthouse.org.mw"/>
    <s v="Tamala nyauti"/>
    <x v="2"/>
    <s v="Prototype"/>
    <x v="2"/>
    <s v="COP_23"/>
    <s v="COP_24"/>
    <x v="2"/>
    <s v="Quarter2"/>
    <s v="Qtr_2"/>
    <s v="Feb"/>
    <d v="2025-02-01T00:00:00"/>
    <d v="2025-02-28T00:00:00"/>
    <x v="4"/>
    <n v="0"/>
    <n v="0"/>
    <n v="0"/>
    <n v="0"/>
    <n v="0"/>
    <n v="0"/>
    <n v="0"/>
    <n v="0"/>
    <n v="0"/>
    <n v="0"/>
    <n v="0"/>
    <n v="0"/>
    <n v="0"/>
    <n v="0"/>
    <n v="0"/>
    <n v="0"/>
    <n v="0"/>
    <n v="0"/>
    <n v="0"/>
    <n v="0"/>
    <n v="0"/>
    <n v="0"/>
    <n v="0"/>
    <n v="0"/>
    <n v="0"/>
    <m/>
  </r>
  <r>
    <n v="1410"/>
    <d v="2025-03-11T13:09:49"/>
    <d v="2025-03-11T13:11:22"/>
    <s v="tnyauti@lighthouse.org.mw"/>
    <s v="Tamala nyauti"/>
    <x v="2"/>
    <s v="Prototype"/>
    <x v="2"/>
    <s v="COP_23"/>
    <s v="COP_24"/>
    <x v="2"/>
    <s v="Quarter2"/>
    <s v="Qtr_2"/>
    <s v="Feb"/>
    <d v="2025-02-01T00:00:00"/>
    <d v="2025-02-28T00:00:00"/>
    <x v="3"/>
    <n v="0"/>
    <n v="0"/>
    <n v="0"/>
    <n v="0"/>
    <n v="0"/>
    <n v="0"/>
    <n v="0"/>
    <n v="0"/>
    <n v="0"/>
    <n v="0"/>
    <n v="0"/>
    <n v="0"/>
    <n v="0"/>
    <n v="0"/>
    <n v="0"/>
    <n v="0"/>
    <n v="0"/>
    <n v="0"/>
    <n v="0"/>
    <n v="0"/>
    <n v="0"/>
    <n v="0"/>
    <n v="0"/>
    <n v="0"/>
    <n v="0"/>
    <m/>
  </r>
  <r>
    <n v="1411"/>
    <d v="2025-03-11T13:11:25"/>
    <d v="2025-03-11T13:12:54"/>
    <s v="tnyauti@lighthouse.org.mw"/>
    <s v="Tamala nyauti"/>
    <x v="2"/>
    <s v="Prototype"/>
    <x v="2"/>
    <s v="COP_23"/>
    <s v="COP_24"/>
    <x v="2"/>
    <s v="Quarter2"/>
    <s v="Qtr_2"/>
    <s v="Feb"/>
    <d v="2025-02-01T00:00:00"/>
    <d v="2025-02-28T00:00:00"/>
    <x v="5"/>
    <n v="0"/>
    <n v="0"/>
    <n v="0"/>
    <n v="0"/>
    <n v="0"/>
    <n v="0"/>
    <n v="0"/>
    <n v="0"/>
    <n v="0"/>
    <n v="0"/>
    <n v="0"/>
    <n v="0"/>
    <n v="0"/>
    <n v="0"/>
    <n v="0"/>
    <n v="0"/>
    <n v="0"/>
    <n v="0"/>
    <n v="0"/>
    <n v="0"/>
    <n v="0"/>
    <n v="0"/>
    <n v="0"/>
    <n v="0"/>
    <n v="0"/>
    <m/>
  </r>
  <r>
    <n v="1497"/>
    <d v="2025-04-03T14:01:03"/>
    <d v="2025-04-03T14:15:55"/>
    <s v="tnyauti@lighthouse.org.mw"/>
    <s v="Tamala nyauti"/>
    <x v="2"/>
    <s v="Prototype"/>
    <x v="2"/>
    <s v="COP_23"/>
    <s v="COP_24"/>
    <x v="2"/>
    <s v="Quarter2"/>
    <s v="Qtr_2"/>
    <s v="Mar"/>
    <d v="2025-03-01T00:00:00"/>
    <d v="2025-03-31T00:00:00"/>
    <x v="0"/>
    <n v="30"/>
    <n v="4"/>
    <n v="24"/>
    <n v="2"/>
    <n v="3"/>
    <n v="1"/>
    <n v="30"/>
    <n v="10"/>
    <n v="10"/>
    <n v="0"/>
    <n v="0"/>
    <n v="0"/>
    <n v="10"/>
    <n v="5"/>
    <n v="0"/>
    <n v="0"/>
    <n v="0"/>
    <n v="0"/>
    <n v="0"/>
    <n v="0"/>
    <n v="5"/>
    <n v="0"/>
    <n v="0"/>
    <n v="0"/>
    <n v="1"/>
    <m/>
  </r>
  <r>
    <n v="1498"/>
    <d v="2025-04-03T14:16:02"/>
    <d v="2025-04-03T14:19:00"/>
    <s v="tnyauti@lighthouse.org.mw"/>
    <s v="Tamala nyauti"/>
    <x v="2"/>
    <s v="Prototype"/>
    <x v="2"/>
    <s v="COP_23"/>
    <s v="COP_24"/>
    <x v="2"/>
    <s v="Quarter2"/>
    <s v="Qtr_2"/>
    <s v="Mar"/>
    <d v="2025-03-01T00:00:00"/>
    <d v="2025-03-31T00:00:00"/>
    <x v="1"/>
    <n v="12"/>
    <n v="1"/>
    <n v="10"/>
    <n v="0"/>
    <n v="2"/>
    <n v="0"/>
    <n v="12"/>
    <n v="3"/>
    <n v="3"/>
    <n v="0"/>
    <n v="0"/>
    <n v="0"/>
    <n v="3"/>
    <n v="2"/>
    <n v="0"/>
    <n v="0"/>
    <n v="0"/>
    <n v="0"/>
    <n v="0"/>
    <n v="0"/>
    <n v="2"/>
    <n v="0"/>
    <n v="0"/>
    <n v="0"/>
    <n v="1"/>
    <m/>
  </r>
  <r>
    <n v="1499"/>
    <d v="2025-04-03T14:19:04"/>
    <d v="2025-04-03T14:24:08"/>
    <s v="tnyauti@lighthouse.org.mw"/>
    <s v="Tamala nyauti"/>
    <x v="2"/>
    <s v="Prototype"/>
    <x v="2"/>
    <s v="COP_23"/>
    <s v="COP_24"/>
    <x v="2"/>
    <s v="Quarter2"/>
    <s v="Qtr_2"/>
    <s v="Mar"/>
    <d v="2025-03-01T00:00:00"/>
    <d v="2025-03-31T00:00:00"/>
    <x v="2"/>
    <n v="18"/>
    <n v="3"/>
    <n v="14"/>
    <n v="2"/>
    <n v="1"/>
    <n v="1"/>
    <n v="18"/>
    <n v="7"/>
    <n v="7"/>
    <n v="0"/>
    <n v="0"/>
    <n v="0"/>
    <n v="7"/>
    <n v="4"/>
    <n v="0"/>
    <n v="0"/>
    <n v="0"/>
    <n v="0"/>
    <n v="0"/>
    <n v="0"/>
    <n v="3"/>
    <n v="0"/>
    <n v="0"/>
    <n v="0"/>
    <n v="0"/>
    <m/>
  </r>
  <r>
    <n v="1500"/>
    <d v="2025-04-03T14:24:12"/>
    <d v="2025-04-03T14:26:47"/>
    <s v="tnyauti@lighthouse.org.mw"/>
    <s v="Tamala nyauti"/>
    <x v="2"/>
    <s v="Prototype"/>
    <x v="2"/>
    <s v="COP_23"/>
    <s v="COP_24"/>
    <x v="2"/>
    <s v="Quarter2"/>
    <s v="Qtr_2"/>
    <s v="Mar"/>
    <d v="2025-03-01T00:00:00"/>
    <d v="2025-03-31T00:00:00"/>
    <x v="4"/>
    <n v="0"/>
    <n v="0"/>
    <n v="0"/>
    <n v="0"/>
    <n v="0"/>
    <n v="0"/>
    <n v="0"/>
    <n v="0"/>
    <n v="0"/>
    <n v="0"/>
    <n v="0"/>
    <n v="0"/>
    <n v="0"/>
    <n v="0"/>
    <n v="0"/>
    <n v="0"/>
    <n v="0"/>
    <n v="0"/>
    <n v="0"/>
    <n v="0"/>
    <n v="0"/>
    <n v="0"/>
    <n v="0"/>
    <n v="0"/>
    <n v="0"/>
    <m/>
  </r>
  <r>
    <n v="1501"/>
    <d v="2025-04-03T14:27:18"/>
    <d v="2025-04-03T14:28:45"/>
    <s v="tnyauti@lighthouse.org.mw"/>
    <s v="Tamala nyauti"/>
    <x v="2"/>
    <s v="Prototype"/>
    <x v="2"/>
    <s v="COP_23"/>
    <s v="COP_24"/>
    <x v="2"/>
    <s v="Quarter2"/>
    <s v="Qtr_2"/>
    <s v="Mar"/>
    <d v="2025-03-01T00:00:00"/>
    <d v="2025-03-31T00:00:00"/>
    <x v="5"/>
    <n v="0"/>
    <n v="0"/>
    <n v="0"/>
    <n v="0"/>
    <n v="0"/>
    <n v="0"/>
    <n v="0"/>
    <n v="0"/>
    <n v="0"/>
    <n v="0"/>
    <n v="0"/>
    <n v="0"/>
    <n v="0"/>
    <n v="0"/>
    <n v="0"/>
    <n v="0"/>
    <n v="0"/>
    <n v="0"/>
    <n v="0"/>
    <n v="0"/>
    <n v="0"/>
    <n v="0"/>
    <n v="0"/>
    <n v="0"/>
    <n v="0"/>
    <m/>
  </r>
  <r>
    <n v="1502"/>
    <d v="2025-04-03T14:28:49"/>
    <d v="2025-04-03T14:32:10"/>
    <s v="tnyauti@lighthouse.org.mw"/>
    <s v="Tamala nyauti"/>
    <x v="2"/>
    <s v="Prototype"/>
    <x v="2"/>
    <s v="COP_24"/>
    <s v="COP_24"/>
    <x v="2"/>
    <s v="Quarter2"/>
    <s v="Qtr_2"/>
    <s v="Mar"/>
    <d v="2025-03-01T00:00:00"/>
    <d v="2025-03-31T00:00:00"/>
    <x v="3"/>
    <n v="0"/>
    <n v="0"/>
    <n v="0"/>
    <n v="0"/>
    <n v="0"/>
    <n v="0"/>
    <n v="0"/>
    <n v="0"/>
    <n v="0"/>
    <n v="0"/>
    <n v="0"/>
    <n v="0"/>
    <n v="0"/>
    <n v="0"/>
    <n v="0"/>
    <n v="0"/>
    <n v="0"/>
    <n v="0"/>
    <n v="0"/>
    <n v="0"/>
    <n v="0"/>
    <n v="0"/>
    <n v="0"/>
    <n v="0"/>
    <n v="0"/>
    <m/>
  </r>
  <r>
    <n v="1705"/>
    <d v="2025-07-01T08:45:34"/>
    <d v="2025-07-01T09:05:12"/>
    <s v="tnyauti@lighthouse.org.mw"/>
    <s v="Tamala nyauti"/>
    <x v="2"/>
    <s v="Prototype"/>
    <x v="2"/>
    <s v="COP_23"/>
    <m/>
    <x v="3"/>
    <s v="Quarter3"/>
    <m/>
    <s v="Apr"/>
    <d v="2025-04-01T00:00:00"/>
    <d v="2025-04-30T00:00:00"/>
    <x v="0"/>
    <n v="37"/>
    <n v="3"/>
    <n v="34"/>
    <n v="0"/>
    <n v="1"/>
    <n v="2"/>
    <n v="34"/>
    <n v="11"/>
    <n v="11"/>
    <n v="0"/>
    <n v="0"/>
    <n v="0"/>
    <n v="11"/>
    <n v="5"/>
    <n v="0"/>
    <n v="0"/>
    <n v="0"/>
    <n v="0"/>
    <n v="0"/>
    <n v="0"/>
    <n v="5"/>
    <n v="0"/>
    <n v="0"/>
    <n v="1"/>
    <n v="0"/>
    <m/>
  </r>
  <r>
    <n v="1708"/>
    <d v="2025-07-01T10:32:56"/>
    <d v="2025-07-01T10:33:35"/>
    <s v="tnyauti@lighthouse.org.mw"/>
    <s v="Tamala nyauti"/>
    <x v="2"/>
    <s v="Prototype"/>
    <x v="2"/>
    <s v="COP_23"/>
    <m/>
    <x v="3"/>
    <s v="Quarter3"/>
    <m/>
    <s v="Apr"/>
    <d v="2025-04-01T00:00:00"/>
    <d v="2025-04-30T00:00:00"/>
    <x v="1"/>
    <n v="14"/>
    <n v="1"/>
    <n v="13"/>
    <n v="0"/>
    <n v="0"/>
    <n v="1"/>
    <n v="14"/>
    <n v="5"/>
    <n v="5"/>
    <n v="0"/>
    <n v="0"/>
    <n v="0"/>
    <n v="5"/>
    <n v="1"/>
    <n v="0"/>
    <n v="0"/>
    <n v="0"/>
    <n v="0"/>
    <n v="0"/>
    <n v="0"/>
    <n v="1"/>
    <n v="0"/>
    <n v="0"/>
    <n v="1"/>
    <n v="0"/>
    <m/>
  </r>
  <r>
    <n v="1709"/>
    <d v="2025-07-01T10:33:40"/>
    <d v="2025-07-01T10:37:00"/>
    <s v="tnyauti@lighthouse.org.mw"/>
    <s v="Tamala nyauti"/>
    <x v="2"/>
    <s v="Prototype"/>
    <x v="2"/>
    <s v="COP_23"/>
    <m/>
    <x v="3"/>
    <s v="Quarter3"/>
    <m/>
    <s v="Apr"/>
    <d v="2025-04-01T00:00:00"/>
    <d v="2025-04-30T00:00:00"/>
    <x v="3"/>
    <n v="1"/>
    <n v="0"/>
    <n v="0"/>
    <n v="0"/>
    <n v="0"/>
    <n v="1"/>
    <n v="1"/>
    <n v="1"/>
    <n v="1"/>
    <n v="0"/>
    <n v="0"/>
    <n v="0"/>
    <n v="1"/>
    <n v="1"/>
    <n v="0"/>
    <n v="0"/>
    <n v="0"/>
    <n v="0"/>
    <n v="0"/>
    <n v="0"/>
    <n v="1"/>
    <n v="0"/>
    <n v="0"/>
    <n v="0"/>
    <n v="0"/>
    <m/>
  </r>
  <r>
    <n v="1710"/>
    <d v="2025-07-01T10:37:03"/>
    <d v="2025-07-01T10:39:03"/>
    <s v="tnyauti@lighthouse.org.mw"/>
    <s v="Tamala nyauti"/>
    <x v="2"/>
    <s v="Prototype"/>
    <x v="2"/>
    <s v="COP_23"/>
    <m/>
    <x v="3"/>
    <s v="Quarter3"/>
    <m/>
    <s v="Apr"/>
    <d v="2025-04-01T00:00:00"/>
    <d v="2025-04-30T00:00:00"/>
    <x v="4"/>
    <n v="0"/>
    <n v="0"/>
    <n v="0"/>
    <n v="0"/>
    <n v="0"/>
    <n v="0"/>
    <n v="0"/>
    <n v="0"/>
    <n v="0"/>
    <n v="0"/>
    <n v="0"/>
    <n v="0"/>
    <n v="0"/>
    <n v="0"/>
    <n v="0"/>
    <n v="0"/>
    <n v="0"/>
    <n v="0"/>
    <n v="0"/>
    <n v="0"/>
    <n v="0"/>
    <n v="0"/>
    <n v="0"/>
    <n v="0"/>
    <n v="0"/>
    <m/>
  </r>
  <r>
    <n v="1711"/>
    <d v="2025-07-01T10:39:13"/>
    <d v="2025-07-01T10:42:18"/>
    <s v="tnyauti@lighthouse.org.mw"/>
    <s v="Tamala nyauti"/>
    <x v="2"/>
    <s v="Prototype"/>
    <x v="2"/>
    <s v="COP_23"/>
    <m/>
    <x v="3"/>
    <s v="Quarter3"/>
    <m/>
    <s v="Apr"/>
    <d v="2025-04-01T00:00:00"/>
    <d v="2025-04-30T00:00:00"/>
    <x v="5"/>
    <n v="2"/>
    <n v="1"/>
    <n v="2"/>
    <n v="0"/>
    <n v="0"/>
    <n v="0"/>
    <n v="2"/>
    <n v="2"/>
    <n v="2"/>
    <n v="0"/>
    <n v="0"/>
    <n v="0"/>
    <n v="2"/>
    <n v="2"/>
    <n v="0"/>
    <n v="0"/>
    <n v="0"/>
    <n v="0"/>
    <n v="0"/>
    <n v="0"/>
    <n v="2"/>
    <n v="0"/>
    <n v="0"/>
    <n v="0"/>
    <n v="0"/>
    <m/>
  </r>
  <r>
    <n v="1712"/>
    <d v="2025-07-01T10:42:24"/>
    <d v="2025-07-01T10:52:27"/>
    <s v="tnyauti@lighthouse.org.mw"/>
    <s v="Tamala nyauti"/>
    <x v="2"/>
    <s v="Prototype"/>
    <x v="2"/>
    <s v="COP_23"/>
    <m/>
    <x v="3"/>
    <s v="Quarter3"/>
    <m/>
    <s v="Apr"/>
    <d v="2025-04-01T00:00:00"/>
    <d v="2025-04-30T00:00:00"/>
    <x v="2"/>
    <n v="23"/>
    <n v="2"/>
    <n v="22"/>
    <n v="0"/>
    <n v="0"/>
    <n v="1"/>
    <n v="23"/>
    <n v="6"/>
    <n v="6"/>
    <n v="0"/>
    <n v="0"/>
    <n v="0"/>
    <n v="6"/>
    <n v="4"/>
    <n v="0"/>
    <n v="0"/>
    <n v="0"/>
    <n v="0"/>
    <n v="0"/>
    <n v="0"/>
    <n v="4"/>
    <n v="0"/>
    <n v="0"/>
    <n v="0"/>
    <n v="0"/>
    <m/>
  </r>
  <r>
    <n v="1713"/>
    <d v="2025-07-01T15:53:51"/>
    <d v="2025-07-01T15:54:42"/>
    <s v="tnyauti@lighthouse.org.mw"/>
    <s v="Tamala nyauti"/>
    <x v="2"/>
    <s v="Prototype"/>
    <x v="2"/>
    <s v="COP_23"/>
    <m/>
    <x v="3"/>
    <s v="Quarter3"/>
    <m/>
    <s v="Apr"/>
    <d v="2025-04-01T00:00:00"/>
    <d v="2025-04-30T00:00:00"/>
    <x v="2"/>
    <n v="17"/>
    <n v="2"/>
    <n v="14"/>
    <n v="1"/>
    <n v="2"/>
    <n v="0"/>
    <n v="17"/>
    <n v="4"/>
    <n v="4"/>
    <n v="0"/>
    <n v="0"/>
    <n v="0"/>
    <n v="4"/>
    <n v="3"/>
    <n v="0"/>
    <n v="0"/>
    <n v="0"/>
    <n v="0"/>
    <n v="0"/>
    <n v="0"/>
    <n v="3"/>
    <n v="0"/>
    <n v="0"/>
    <n v="0"/>
    <n v="0"/>
    <m/>
  </r>
  <r>
    <n v="1714"/>
    <d v="2025-07-01T15:54:49"/>
    <d v="2025-07-01T16:05:15"/>
    <s v="tnyauti@lighthouse.org.mw"/>
    <s v="Tamala nyauti"/>
    <x v="2"/>
    <s v="Prototype"/>
    <x v="2"/>
    <s v="COP_23"/>
    <m/>
    <x v="3"/>
    <s v="Quarter3"/>
    <m/>
    <s v="Apr"/>
    <d v="2025-04-01T00:00:00"/>
    <d v="2025-04-30T00:00:00"/>
    <x v="4"/>
    <n v="2"/>
    <n v="0"/>
    <n v="1"/>
    <n v="0"/>
    <n v="1"/>
    <n v="0"/>
    <n v="2"/>
    <n v="1"/>
    <n v="1"/>
    <n v="0"/>
    <n v="0"/>
    <n v="0"/>
    <n v="1"/>
    <n v="1"/>
    <n v="0"/>
    <n v="0"/>
    <n v="0"/>
    <n v="0"/>
    <n v="0"/>
    <n v="0"/>
    <n v="1"/>
    <n v="0"/>
    <n v="0"/>
    <n v="0"/>
    <n v="0"/>
    <m/>
  </r>
  <r>
    <n v="1715"/>
    <d v="2025-07-01T16:05:36"/>
    <d v="2025-07-01T16:08:56"/>
    <s v="tnyauti@lighthouse.org.mw"/>
    <s v="Tamala nyauti"/>
    <x v="2"/>
    <s v="Prototype"/>
    <x v="2"/>
    <s v="COP_23"/>
    <m/>
    <x v="3"/>
    <s v="Quarter3"/>
    <m/>
    <s v="Apr"/>
    <d v="2025-04-01T00:00:00"/>
    <d v="2025-04-30T00:00:00"/>
    <x v="3"/>
    <n v="2"/>
    <n v="0"/>
    <n v="2"/>
    <n v="0"/>
    <n v="0"/>
    <n v="0"/>
    <n v="2"/>
    <n v="1"/>
    <n v="1"/>
    <n v="0"/>
    <n v="0"/>
    <n v="0"/>
    <n v="1"/>
    <n v="1"/>
    <n v="0"/>
    <n v="0"/>
    <n v="0"/>
    <n v="0"/>
    <n v="0"/>
    <n v="0"/>
    <n v="1"/>
    <n v="0"/>
    <n v="0"/>
    <n v="0"/>
    <n v="0"/>
    <m/>
  </r>
  <r>
    <n v="1716"/>
    <d v="2025-07-01T16:09:08"/>
    <d v="2025-07-01T16:16:39"/>
    <s v="tnyauti@lighthouse.org.mw"/>
    <s v="Tamala nyauti"/>
    <x v="2"/>
    <s v="Prototype"/>
    <x v="2"/>
    <s v="COP_23"/>
    <m/>
    <x v="3"/>
    <s v="Quarter3"/>
    <m/>
    <s v="Apr"/>
    <d v="2025-04-01T00:00:00"/>
    <d v="2025-04-30T00:00:00"/>
    <x v="0"/>
    <n v="34"/>
    <n v="2"/>
    <n v="31"/>
    <n v="1"/>
    <n v="2"/>
    <n v="0"/>
    <n v="34"/>
    <n v="6"/>
    <n v="6"/>
    <n v="0"/>
    <n v="0"/>
    <n v="0"/>
    <n v="5"/>
    <n v="5"/>
    <n v="0"/>
    <n v="0"/>
    <n v="0"/>
    <n v="0"/>
    <n v="0"/>
    <n v="0"/>
    <n v="5"/>
    <n v="0"/>
    <n v="0"/>
    <n v="0"/>
    <n v="0"/>
    <m/>
  </r>
  <r>
    <n v="1717"/>
    <d v="2025-07-01T16:16:45"/>
    <d v="2025-07-01T16:21:58"/>
    <s v="tnyauti@lighthouse.org.mw"/>
    <s v="Tamala nyauti"/>
    <x v="2"/>
    <s v="Prototype"/>
    <x v="2"/>
    <s v="COP_23"/>
    <m/>
    <x v="3"/>
    <s v="Quarter3"/>
    <m/>
    <s v="Apr"/>
    <d v="2025-04-01T00:00:00"/>
    <d v="2025-04-30T00:00:00"/>
    <x v="1"/>
    <n v="17"/>
    <n v="0"/>
    <n v="17"/>
    <n v="0"/>
    <n v="0"/>
    <n v="0"/>
    <n v="17"/>
    <n v="2"/>
    <n v="2"/>
    <n v="0"/>
    <n v="0"/>
    <n v="0"/>
    <n v="2"/>
    <n v="2"/>
    <n v="0"/>
    <n v="0"/>
    <n v="0"/>
    <n v="0"/>
    <n v="0"/>
    <n v="0"/>
    <n v="2"/>
    <n v="0"/>
    <n v="0"/>
    <n v="0"/>
    <n v="0"/>
    <m/>
  </r>
  <r>
    <n v="1718"/>
    <d v="2025-07-01T16:22:07"/>
    <d v="2025-07-01T16:24:55"/>
    <s v="tnyauti@lighthouse.org.mw"/>
    <s v="Tamala nyauti"/>
    <x v="2"/>
    <s v="Prototype"/>
    <x v="2"/>
    <s v="COP_23"/>
    <m/>
    <x v="3"/>
    <s v="Quarter3"/>
    <m/>
    <s v="Apr"/>
    <d v="2025-04-01T00:00:00"/>
    <d v="2025-04-30T00:00:00"/>
    <x v="5"/>
    <n v="0"/>
    <n v="0"/>
    <n v="0"/>
    <n v="0"/>
    <n v="0"/>
    <n v="0"/>
    <n v="0"/>
    <n v="0"/>
    <n v="0"/>
    <n v="0"/>
    <n v="0"/>
    <n v="0"/>
    <n v="0"/>
    <n v="0"/>
    <n v="0"/>
    <n v="0"/>
    <n v="0"/>
    <n v="0"/>
    <n v="0"/>
    <n v="0"/>
    <n v="0"/>
    <n v="0"/>
    <n v="0"/>
    <n v="0"/>
    <n v="0"/>
    <m/>
  </r>
  <r>
    <n v="1778"/>
    <d v="2025-07-09T16:33:01"/>
    <d v="2025-07-09T16:37:31"/>
    <s v="tnyauti@lighthouse.org.mw"/>
    <s v="Tamala nyauti"/>
    <x v="2"/>
    <s v="Prototype"/>
    <x v="2"/>
    <s v="COP_23"/>
    <m/>
    <x v="3"/>
    <s v="Quarter3"/>
    <m/>
    <s v="Jun"/>
    <d v="2025-06-01T00:00:00"/>
    <d v="2025-06-30T00:00:00"/>
    <x v="2"/>
    <n v="13"/>
    <n v="0"/>
    <n v="11"/>
    <n v="1"/>
    <n v="1"/>
    <n v="0"/>
    <n v="13"/>
    <n v="3"/>
    <n v="3"/>
    <n v="0"/>
    <n v="0"/>
    <n v="0"/>
    <n v="3"/>
    <n v="1"/>
    <n v="0"/>
    <n v="0"/>
    <n v="0"/>
    <n v="0"/>
    <n v="0"/>
    <n v="0"/>
    <n v="1"/>
    <n v="0"/>
    <n v="0"/>
    <n v="0"/>
    <n v="0"/>
    <m/>
  </r>
  <r>
    <n v="1779"/>
    <d v="2025-07-09T16:37:36"/>
    <d v="2025-07-09T16:40:25"/>
    <s v="tnyauti@lighthouse.org.mw"/>
    <s v="Tamala nyauti"/>
    <x v="2"/>
    <s v="Prototype"/>
    <x v="2"/>
    <s v="COP_23"/>
    <m/>
    <x v="3"/>
    <s v="Quarter3"/>
    <m/>
    <s v="Jun"/>
    <d v="2025-06-01T00:00:00"/>
    <d v="2025-06-30T00:00:00"/>
    <x v="5"/>
    <n v="1"/>
    <n v="0"/>
    <n v="1"/>
    <n v="0"/>
    <n v="0"/>
    <n v="0"/>
    <n v="1"/>
    <n v="0"/>
    <n v="0"/>
    <n v="0"/>
    <n v="0"/>
    <n v="0"/>
    <n v="0"/>
    <n v="0"/>
    <n v="0"/>
    <n v="0"/>
    <n v="0"/>
    <n v="0"/>
    <n v="0"/>
    <n v="0"/>
    <n v="0"/>
    <n v="0"/>
    <n v="0"/>
    <n v="0"/>
    <n v="0"/>
    <m/>
  </r>
  <r>
    <n v="1780"/>
    <d v="2025-07-09T16:40:31"/>
    <d v="2025-07-09T16:48:07"/>
    <s v="tnyauti@lighthouse.org.mw"/>
    <s v="Tamala nyauti"/>
    <x v="2"/>
    <s v="Prototype"/>
    <x v="2"/>
    <s v="COP_23"/>
    <m/>
    <x v="3"/>
    <s v="Quarter3"/>
    <m/>
    <s v="Jun"/>
    <d v="2025-06-01T00:00:00"/>
    <d v="2025-06-30T00:00:00"/>
    <x v="3"/>
    <n v="0"/>
    <n v="0"/>
    <n v="0"/>
    <n v="0"/>
    <n v="0"/>
    <n v="0"/>
    <n v="0"/>
    <n v="0"/>
    <n v="0"/>
    <n v="0"/>
    <n v="0"/>
    <n v="0"/>
    <n v="0"/>
    <n v="0"/>
    <n v="0"/>
    <n v="0"/>
    <n v="0"/>
    <n v="0"/>
    <n v="0"/>
    <n v="0"/>
    <n v="0"/>
    <n v="0"/>
    <n v="0"/>
    <n v="0"/>
    <n v="0"/>
    <m/>
  </r>
  <r>
    <n v="1781"/>
    <d v="2025-07-09T16:48:17"/>
    <d v="2025-07-09T16:50:49"/>
    <s v="tnyauti@lighthouse.org.mw"/>
    <s v="Tamala nyauti"/>
    <x v="2"/>
    <s v="Prototype"/>
    <x v="2"/>
    <s v="COP_23"/>
    <m/>
    <x v="3"/>
    <s v="Quarter3"/>
    <m/>
    <s v="Jun"/>
    <d v="2025-06-01T00:00:00"/>
    <d v="2025-06-30T00:00:00"/>
    <x v="4"/>
    <n v="2"/>
    <n v="0"/>
    <n v="2"/>
    <n v="0"/>
    <n v="0"/>
    <n v="0"/>
    <n v="0"/>
    <n v="2"/>
    <n v="1"/>
    <n v="1"/>
    <n v="0"/>
    <n v="0"/>
    <n v="1"/>
    <n v="1"/>
    <n v="0"/>
    <n v="0"/>
    <n v="0"/>
    <n v="0"/>
    <n v="0"/>
    <n v="0"/>
    <n v="1"/>
    <n v="0"/>
    <n v="0"/>
    <n v="0"/>
    <n v="0"/>
    <m/>
  </r>
  <r>
    <n v="1797"/>
    <d v="2025-07-10T15:41:18"/>
    <d v="2025-07-10T15:47:10"/>
    <s v="tnyauti@lighthouse.org.mw"/>
    <s v="Tamala nyauti"/>
    <x v="2"/>
    <s v="Prototype"/>
    <x v="2"/>
    <s v="COP_23"/>
    <m/>
    <x v="3"/>
    <s v="Quarter3"/>
    <m/>
    <s v="Jun"/>
    <d v="2025-06-01T00:00:00"/>
    <d v="2025-07-31T00:00:00"/>
    <x v="0"/>
    <n v="27"/>
    <n v="0"/>
    <n v="22"/>
    <n v="1"/>
    <n v="4"/>
    <n v="0"/>
    <n v="27"/>
    <n v="9"/>
    <n v="7"/>
    <n v="0"/>
    <n v="0"/>
    <n v="0"/>
    <n v="9"/>
    <n v="5"/>
    <n v="0"/>
    <n v="0"/>
    <n v="0"/>
    <n v="0"/>
    <n v="0"/>
    <n v="0"/>
    <n v="5"/>
    <n v="0"/>
    <n v="0"/>
    <n v="0"/>
    <n v="0"/>
    <m/>
  </r>
  <r>
    <n v="1798"/>
    <d v="2025-07-10T15:47:15"/>
    <d v="2025-07-10T15:49:41"/>
    <s v="tnyauti@lighthouse.org.mw"/>
    <s v="Tamala nyauti"/>
    <x v="2"/>
    <s v="Prototype"/>
    <x v="2"/>
    <s v="COP_23"/>
    <m/>
    <x v="3"/>
    <s v="Quarter3"/>
    <m/>
    <s v="Jun"/>
    <d v="2025-06-01T00:00:00"/>
    <d v="2025-07-31T00:00:00"/>
    <x v="1"/>
    <n v="14"/>
    <n v="0"/>
    <n v="11"/>
    <n v="0"/>
    <n v="3"/>
    <n v="0"/>
    <n v="14"/>
    <n v="6"/>
    <n v="4"/>
    <n v="0"/>
    <n v="0"/>
    <n v="0"/>
    <n v="6"/>
    <n v="2"/>
    <n v="0"/>
    <n v="0"/>
    <n v="0"/>
    <n v="0"/>
    <n v="0"/>
    <n v="0"/>
    <n v="4"/>
    <n v="0"/>
    <n v="0"/>
    <n v="0"/>
    <n v="0"/>
    <m/>
  </r>
  <r>
    <n v="39"/>
    <d v="2023-12-20T10:08:20"/>
    <d v="2023-12-20T10:29:06"/>
    <s v="lkaonga@lighthouse.org.mw"/>
    <s v="Lameck Kaonga"/>
    <x v="3"/>
    <s v="Prototype"/>
    <x v="0"/>
    <s v="COP_23"/>
    <s v="COP_22"/>
    <x v="1"/>
    <s v="Quarter3"/>
    <s v="Qtr_3"/>
    <s v="Aug"/>
    <d v="2023-08-01T00:00:00"/>
    <d v="2023-08-31T00:00:00"/>
    <x v="0"/>
    <n v="44"/>
    <n v="0"/>
    <n v="28"/>
    <n v="1"/>
    <n v="15"/>
    <n v="0"/>
    <n v="43"/>
    <n v="9"/>
    <n v="11"/>
    <n v="0"/>
    <n v="0"/>
    <n v="0"/>
    <n v="13"/>
    <n v="0"/>
    <n v="8"/>
    <n v="1"/>
    <n v="5"/>
    <n v="1"/>
    <n v="5"/>
    <n v="0"/>
    <n v="1"/>
    <n v="0"/>
    <n v="0"/>
    <n v="0"/>
    <n v="0"/>
    <m/>
  </r>
  <r>
    <n v="82"/>
    <d v="2024-01-12T08:13:54"/>
    <d v="2024-01-12T08:21:15"/>
    <s v="lkaonga@lighthouse.org.mw"/>
    <s v="Lameck Kaonga"/>
    <x v="3"/>
    <s v="Prototype"/>
    <x v="0"/>
    <s v="COP_23"/>
    <s v="COP_23"/>
    <x v="0"/>
    <s v="Quarter1"/>
    <s v="Qtr_1"/>
    <s v="Dec"/>
    <d v="2023-12-01T00:00:00"/>
    <d v="2023-12-30T00:00:00"/>
    <x v="0"/>
    <n v="36"/>
    <n v="11"/>
    <n v="29"/>
    <n v="0"/>
    <n v="4"/>
    <n v="3"/>
    <n v="35"/>
    <n v="11"/>
    <n v="11"/>
    <n v="0"/>
    <n v="13"/>
    <n v="2"/>
    <n v="13"/>
    <n v="2"/>
    <n v="3"/>
    <n v="3"/>
    <n v="1"/>
    <n v="0"/>
    <n v="0"/>
    <n v="0"/>
    <n v="2"/>
    <n v="0"/>
    <n v="0"/>
    <n v="0"/>
    <n v="0"/>
    <m/>
  </r>
  <r>
    <n v="40"/>
    <d v="2023-12-20T11:16:51"/>
    <d v="2023-12-20T11:17:37"/>
    <s v="lkaonga@lighthouse.org.mw"/>
    <s v="Lameck Kaonga"/>
    <x v="3"/>
    <s v="Prototype"/>
    <x v="0"/>
    <s v="COP_23"/>
    <s v="COP_22"/>
    <x v="1"/>
    <s v="Quarter4"/>
    <s v="Qtr_4"/>
    <s v="Sep"/>
    <d v="2023-09-01T00:00:00"/>
    <d v="2023-09-30T00:00:00"/>
    <x v="1"/>
    <n v="28"/>
    <n v="1"/>
    <n v="24"/>
    <n v="0"/>
    <n v="2"/>
    <n v="2"/>
    <n v="25"/>
    <n v="7"/>
    <n v="9"/>
    <n v="0"/>
    <n v="0"/>
    <n v="0"/>
    <n v="10"/>
    <n v="2"/>
    <n v="1"/>
    <n v="1"/>
    <n v="1"/>
    <n v="1"/>
    <n v="0"/>
    <n v="0"/>
    <n v="0"/>
    <n v="0"/>
    <n v="0"/>
    <n v="0"/>
    <n v="0"/>
    <m/>
  </r>
  <r>
    <n v="42"/>
    <d v="2023-12-20T11:18:28"/>
    <d v="2023-12-20T11:25:37"/>
    <s v="lkaonga@lighthouse.org.mw"/>
    <s v="Lameck Kaonga"/>
    <x v="3"/>
    <s v="Prototype"/>
    <x v="0"/>
    <s v="COP_23"/>
    <s v="COP_23"/>
    <x v="0"/>
    <s v="Quarter1"/>
    <s v="Qtr_1"/>
    <s v="Oct"/>
    <d v="2023-10-01T00:00:00"/>
    <d v="2023-10-31T00:00:00"/>
    <x v="1"/>
    <n v="35"/>
    <n v="0"/>
    <n v="28"/>
    <n v="1"/>
    <n v="6"/>
    <n v="0"/>
    <n v="33"/>
    <n v="8"/>
    <n v="12"/>
    <n v="0"/>
    <n v="1"/>
    <n v="1"/>
    <n v="8"/>
    <n v="0"/>
    <n v="2"/>
    <n v="1"/>
    <n v="1"/>
    <n v="0"/>
    <n v="1"/>
    <n v="0"/>
    <n v="0"/>
    <n v="0"/>
    <n v="0"/>
    <n v="0"/>
    <n v="0"/>
    <m/>
  </r>
  <r>
    <n v="51"/>
    <d v="2023-12-20T11:42:30"/>
    <d v="2023-12-20T11:58:11"/>
    <s v="lkaonga@lighthouse.org.mw"/>
    <s v="Lameck Kaonga"/>
    <x v="3"/>
    <s v="Prototype"/>
    <x v="0"/>
    <s v="COP_24"/>
    <s v="COP_23"/>
    <x v="0"/>
    <s v="Quarter1"/>
    <s v="Qtr_1"/>
    <s v="Nov"/>
    <d v="2023-11-01T00:00:00"/>
    <d v="2023-11-30T00:00:00"/>
    <x v="1"/>
    <n v="47"/>
    <n v="1"/>
    <n v="39"/>
    <n v="1"/>
    <n v="4"/>
    <n v="3"/>
    <n v="47"/>
    <n v="14"/>
    <n v="14"/>
    <n v="0"/>
    <n v="0"/>
    <n v="0"/>
    <n v="17"/>
    <n v="2"/>
    <n v="6"/>
    <n v="2"/>
    <n v="3"/>
    <n v="0"/>
    <n v="3"/>
    <n v="0"/>
    <n v="1"/>
    <n v="0"/>
    <n v="0"/>
    <n v="0"/>
    <n v="0"/>
    <m/>
  </r>
  <r>
    <n v="152"/>
    <d v="2024-02-09T09:04:19"/>
    <d v="2024-02-09T09:08:20"/>
    <s v="eadisoni@lighthouse.org.mw"/>
    <s v="Eliza adisoni"/>
    <x v="3"/>
    <s v="Prototype"/>
    <x v="1"/>
    <s v="COP_23"/>
    <s v="COP_23"/>
    <x v="2"/>
    <s v="Quarter2"/>
    <s v="Qtr_2"/>
    <s v="Jan"/>
    <d v="2024-02-08T00:00:00"/>
    <d v="2024-02-08T00:00:00"/>
    <x v="1"/>
    <n v="39"/>
    <n v="1"/>
    <n v="37"/>
    <n v="0"/>
    <n v="0"/>
    <n v="0"/>
    <n v="28"/>
    <n v="11"/>
    <n v="0"/>
    <n v="7"/>
    <n v="0"/>
    <n v="0"/>
    <n v="8"/>
    <n v="1"/>
    <n v="1"/>
    <n v="0"/>
    <n v="0"/>
    <n v="0"/>
    <n v="0"/>
    <n v="0"/>
    <n v="3"/>
    <n v="3"/>
    <n v="0"/>
    <n v="0"/>
    <n v="0"/>
    <m/>
  </r>
  <r>
    <n v="186"/>
    <d v="2024-04-03T13:20:07"/>
    <d v="2024-04-03T13:39:28"/>
    <s v="lkaonga@lighthouse.org.mw"/>
    <s v="Lameck Kaonga"/>
    <x v="3"/>
    <s v="Prototype"/>
    <x v="1"/>
    <s v="COP_23"/>
    <s v="COP_23"/>
    <x v="2"/>
    <s v="Quarter2"/>
    <s v="Qtr_2"/>
    <s v="Mar"/>
    <d v="2024-03-01T00:00:00"/>
    <d v="2024-03-31T00:00:00"/>
    <x v="1"/>
    <n v="31"/>
    <n v="1"/>
    <n v="33"/>
    <n v="4"/>
    <n v="0"/>
    <n v="3"/>
    <n v="38"/>
    <n v="10"/>
    <n v="10"/>
    <n v="0"/>
    <n v="0"/>
    <n v="0"/>
    <n v="14"/>
    <n v="3"/>
    <n v="6"/>
    <n v="0"/>
    <n v="1"/>
    <n v="1"/>
    <n v="1"/>
    <n v="0"/>
    <n v="3"/>
    <n v="0"/>
    <n v="0"/>
    <n v="0"/>
    <n v="1"/>
    <m/>
  </r>
  <r>
    <n v="373"/>
    <d v="2024-05-09T11:18:16"/>
    <d v="2024-05-09T11:26:18"/>
    <s v="lkaonga@lighthouse.org.mw"/>
    <s v="Lameck Kaonga"/>
    <x v="3"/>
    <s v="Prototype"/>
    <x v="1"/>
    <s v="COP_23"/>
    <s v="COP_23"/>
    <x v="3"/>
    <s v="Quarter3"/>
    <s v="Qtr_3"/>
    <s v="Apr"/>
    <d v="2024-04-01T00:00:00"/>
    <d v="2024-05-31T00:00:00"/>
    <x v="1"/>
    <n v="30"/>
    <n v="1"/>
    <n v="1"/>
    <n v="0"/>
    <n v="2"/>
    <n v="1"/>
    <n v="29"/>
    <n v="6"/>
    <n v="6"/>
    <n v="0"/>
    <n v="7"/>
    <n v="0"/>
    <n v="2"/>
    <n v="0"/>
    <n v="0"/>
    <n v="0"/>
    <n v="0"/>
    <n v="0"/>
    <n v="0"/>
    <n v="0"/>
    <n v="0"/>
    <n v="0"/>
    <n v="0"/>
    <n v="0"/>
    <n v="0"/>
    <m/>
  </r>
  <r>
    <n v="590"/>
    <d v="2024-07-10T10:43:26"/>
    <d v="2024-07-10T10:53:18"/>
    <s v="lkaonga@lighthouse.org.mw"/>
    <s v="Lameck Kaonga"/>
    <x v="3"/>
    <s v="Prototype"/>
    <x v="1"/>
    <s v="COP_23"/>
    <s v="COP_23"/>
    <x v="3"/>
    <s v="Quarter3"/>
    <s v="Qtr_3"/>
    <s v="Jun"/>
    <d v="2024-06-01T00:00:00"/>
    <d v="2024-06-30T00:00:00"/>
    <x v="1"/>
    <n v="12"/>
    <n v="0"/>
    <n v="7"/>
    <n v="4"/>
    <n v="1"/>
    <n v="0"/>
    <n v="11"/>
    <n v="4"/>
    <n v="0"/>
    <n v="0"/>
    <n v="0"/>
    <n v="0"/>
    <n v="0"/>
    <n v="0"/>
    <n v="0"/>
    <n v="0"/>
    <n v="0"/>
    <n v="0"/>
    <n v="0"/>
    <n v="0"/>
    <n v="0"/>
    <n v="0"/>
    <n v="0"/>
    <n v="0"/>
    <n v="0"/>
    <m/>
  </r>
  <r>
    <n v="738"/>
    <d v="2024-08-09T09:32:56"/>
    <d v="2024-08-09T09:35:49"/>
    <s v="eadisoni@lighthouse.org.mw"/>
    <s v="Eliza adisoni"/>
    <x v="3"/>
    <s v="Prototype"/>
    <x v="1"/>
    <s v="COP_23"/>
    <s v="COP_23"/>
    <x v="1"/>
    <s v="Quarter4"/>
    <s v="Qtr_4"/>
    <s v="Jul"/>
    <d v="2024-08-08T00:00:00"/>
    <d v="2024-08-08T00:00:00"/>
    <x v="1"/>
    <n v="34"/>
    <n v="9"/>
    <n v="31"/>
    <n v="1"/>
    <n v="1"/>
    <n v="1"/>
    <n v="0"/>
    <n v="0"/>
    <n v="6"/>
    <n v="0"/>
    <n v="0"/>
    <n v="0"/>
    <n v="1"/>
    <n v="1"/>
    <n v="0"/>
    <n v="0"/>
    <n v="0"/>
    <n v="0"/>
    <n v="0"/>
    <n v="0"/>
    <n v="1"/>
    <n v="0"/>
    <n v="0"/>
    <n v="0"/>
    <n v="0"/>
    <m/>
  </r>
  <r>
    <n v="762"/>
    <d v="2024-08-16T17:42:25"/>
    <d v="2024-08-16T17:48:59"/>
    <s v="lkaonga@lighthouse.org.mw"/>
    <s v="Lameck Kaonga"/>
    <x v="3"/>
    <s v="Prototype"/>
    <x v="1"/>
    <s v="COP_23"/>
    <s v="COP_23"/>
    <x v="2"/>
    <s v="Quarter2"/>
    <s v="Qtr_2"/>
    <s v="Feb"/>
    <d v="2024-02-01T00:00:00"/>
    <d v="2024-02-29T00:00:00"/>
    <x v="1"/>
    <n v="42"/>
    <n v="1"/>
    <n v="39"/>
    <n v="0"/>
    <n v="1"/>
    <n v="2"/>
    <n v="42"/>
    <n v="11"/>
    <n v="8"/>
    <n v="0"/>
    <n v="1"/>
    <n v="0"/>
    <n v="16"/>
    <n v="10"/>
    <n v="5"/>
    <n v="2"/>
    <n v="0"/>
    <n v="0"/>
    <n v="0"/>
    <n v="0"/>
    <n v="10"/>
    <n v="0"/>
    <n v="0"/>
    <n v="0"/>
    <n v="0"/>
    <m/>
  </r>
  <r>
    <n v="763"/>
    <d v="2024-08-16T17:52:57"/>
    <d v="2024-08-16T17:59:00"/>
    <s v="lkaonga@lighthouse.org.mw"/>
    <s v="Lameck Kaonga"/>
    <x v="3"/>
    <s v="Prototype"/>
    <x v="1"/>
    <s v="COP_23"/>
    <s v="COP_23"/>
    <x v="3"/>
    <s v="Quarter3"/>
    <s v="Qtr_3"/>
    <s v="May"/>
    <d v="2024-05-01T00:00:00"/>
    <d v="2024-05-31T00:00:00"/>
    <x v="1"/>
    <n v="41"/>
    <n v="0"/>
    <n v="37"/>
    <n v="4"/>
    <n v="1"/>
    <n v="0"/>
    <n v="40"/>
    <n v="10"/>
    <n v="0"/>
    <n v="0"/>
    <n v="0"/>
    <n v="0"/>
    <n v="0"/>
    <n v="0"/>
    <n v="0"/>
    <n v="0"/>
    <n v="0"/>
    <n v="0"/>
    <n v="0"/>
    <n v="0"/>
    <n v="0"/>
    <n v="0"/>
    <n v="0"/>
    <n v="0"/>
    <n v="0"/>
    <m/>
  </r>
  <r>
    <n v="829"/>
    <d v="2024-09-24T13:55:00"/>
    <d v="2024-09-24T13:57:53"/>
    <s v="eadisoni@lighthouse.org.mw"/>
    <s v="Eliza adisoni"/>
    <x v="3"/>
    <s v="Prototype"/>
    <x v="1"/>
    <s v="COP_23"/>
    <s v="COP_23"/>
    <x v="1"/>
    <s v="Quarter4"/>
    <s v="Qtr_4"/>
    <s v="Aug"/>
    <d v="2024-08-01T00:00:00"/>
    <d v="2024-08-30T00:00:00"/>
    <x v="1"/>
    <n v="32"/>
    <n v="0"/>
    <n v="32"/>
    <n v="0"/>
    <n v="0"/>
    <n v="0"/>
    <n v="0"/>
    <n v="12"/>
    <n v="5"/>
    <n v="0"/>
    <n v="0"/>
    <n v="0"/>
    <n v="1"/>
    <n v="0"/>
    <n v="0"/>
    <n v="0"/>
    <n v="0"/>
    <n v="0"/>
    <n v="0"/>
    <n v="0"/>
    <n v="0"/>
    <n v="0"/>
    <n v="0"/>
    <n v="0"/>
    <n v="0"/>
    <m/>
  </r>
  <r>
    <n v="976"/>
    <d v="2024-10-22T07:47:39"/>
    <d v="2024-10-22T07:58:03"/>
    <s v="lkaonga@lighthouse.org.mw"/>
    <s v="Lameck Kaonga"/>
    <x v="3"/>
    <s v="Prototype"/>
    <x v="1"/>
    <s v="COP_23"/>
    <s v="COP_23"/>
    <x v="1"/>
    <s v="Quarter4"/>
    <s v="Qtr_4"/>
    <s v="Sep"/>
    <d v="2024-09-01T00:00:00"/>
    <d v="2024-09-30T00:00:00"/>
    <x v="1"/>
    <n v="38"/>
    <n v="0"/>
    <n v="30"/>
    <n v="4"/>
    <n v="3"/>
    <n v="1"/>
    <n v="21"/>
    <n v="10"/>
    <n v="10"/>
    <n v="0"/>
    <n v="0"/>
    <n v="0"/>
    <n v="11"/>
    <n v="1"/>
    <n v="0"/>
    <n v="1"/>
    <n v="0"/>
    <n v="0"/>
    <n v="0"/>
    <n v="0"/>
    <n v="0"/>
    <n v="0"/>
    <n v="0"/>
    <n v="0"/>
    <n v="0"/>
    <m/>
  </r>
  <r>
    <n v="1028"/>
    <d v="2024-11-06T08:12:45"/>
    <d v="2024-11-06T08:15:25"/>
    <s v="eadisoni@lighthouse.org.mw"/>
    <s v="Eliza adisoni"/>
    <x v="3"/>
    <s v="Prototype"/>
    <x v="1"/>
    <s v="COP_23"/>
    <s v="COP_24"/>
    <x v="0"/>
    <s v="Quarter1"/>
    <s v="Qtr_1"/>
    <s v="Oct"/>
    <d v="2024-10-01T00:00:00"/>
    <d v="2024-10-31T00:00:00"/>
    <x v="1"/>
    <n v="36"/>
    <n v="0"/>
    <n v="30"/>
    <n v="2"/>
    <n v="3"/>
    <n v="1"/>
    <n v="31"/>
    <n v="14"/>
    <n v="0"/>
    <n v="0"/>
    <n v="0"/>
    <n v="0"/>
    <n v="3"/>
    <n v="0"/>
    <n v="0"/>
    <n v="0"/>
    <n v="0"/>
    <n v="0"/>
    <n v="0"/>
    <n v="0"/>
    <n v="0"/>
    <n v="0"/>
    <n v="0"/>
    <n v="0"/>
    <n v="0"/>
    <m/>
  </r>
  <r>
    <n v="311"/>
    <d v="2024-04-26T14:13:06"/>
    <d v="2024-04-26T14:29:07"/>
    <s v="lkaonga@lighthouse.org.mw"/>
    <s v="Lameck Kaonga"/>
    <x v="3"/>
    <s v="Prototype"/>
    <x v="1"/>
    <s v="COP_23"/>
    <s v="COP_23"/>
    <x v="2"/>
    <s v="Quarter2"/>
    <s v="Qtr_2"/>
    <s v="Mar"/>
    <d v="2024-03-01T00:00:00"/>
    <d v="2024-03-31T00:00:00"/>
    <x v="3"/>
    <n v="0"/>
    <n v="0"/>
    <n v="0"/>
    <n v="0"/>
    <n v="0"/>
    <n v="0"/>
    <n v="0"/>
    <n v="0"/>
    <n v="0"/>
    <n v="0"/>
    <n v="0"/>
    <n v="0"/>
    <n v="0"/>
    <n v="0"/>
    <n v="0"/>
    <n v="0"/>
    <n v="0"/>
    <n v="0"/>
    <n v="0"/>
    <n v="0"/>
    <n v="0"/>
    <n v="0"/>
    <n v="0"/>
    <n v="0"/>
    <n v="0"/>
    <m/>
  </r>
  <r>
    <n v="312"/>
    <d v="2024-04-26T14:41:46"/>
    <d v="2024-04-26T14:47:57"/>
    <s v="lkaonga@lighthouse.org.mw"/>
    <s v="Lameck Kaonga"/>
    <x v="3"/>
    <s v="Prototype"/>
    <x v="1"/>
    <s v="COP_23"/>
    <s v="COP_23"/>
    <x v="2"/>
    <s v="Quarter2"/>
    <s v="Qtr_2"/>
    <s v="Mar"/>
    <d v="2024-03-01T00:00:00"/>
    <d v="2024-03-31T00:00:00"/>
    <x v="4"/>
    <n v="0"/>
    <n v="0"/>
    <n v="0"/>
    <n v="0"/>
    <n v="0"/>
    <n v="0"/>
    <n v="0"/>
    <n v="0"/>
    <n v="0"/>
    <n v="0"/>
    <n v="0"/>
    <n v="0"/>
    <n v="0"/>
    <n v="0"/>
    <n v="0"/>
    <n v="0"/>
    <n v="0"/>
    <n v="0"/>
    <n v="0"/>
    <n v="0"/>
    <n v="0"/>
    <n v="0"/>
    <n v="0"/>
    <n v="0"/>
    <n v="0"/>
    <m/>
  </r>
  <r>
    <n v="313"/>
    <d v="2024-04-26T14:48:41"/>
    <d v="2024-04-26T14:49:42"/>
    <s v="lkaonga@lighthouse.org.mw"/>
    <s v="Lameck Kaonga"/>
    <x v="3"/>
    <s v="Prototype"/>
    <x v="1"/>
    <s v="COP_23"/>
    <s v="COP_23"/>
    <x v="2"/>
    <s v="Quarter2"/>
    <s v="Qtr_2"/>
    <s v="Mar"/>
    <d v="2024-03-01T00:00:00"/>
    <d v="2024-03-31T00:00:00"/>
    <x v="5"/>
    <n v="0"/>
    <n v="0"/>
    <n v="0"/>
    <n v="0"/>
    <n v="0"/>
    <n v="0"/>
    <n v="0"/>
    <n v="0"/>
    <n v="0"/>
    <n v="0"/>
    <n v="0"/>
    <n v="0"/>
    <n v="0"/>
    <n v="0"/>
    <n v="0"/>
    <n v="0"/>
    <n v="0"/>
    <n v="0"/>
    <n v="0"/>
    <n v="0"/>
    <n v="0"/>
    <n v="0"/>
    <n v="0"/>
    <n v="0"/>
    <n v="0"/>
    <m/>
  </r>
  <r>
    <n v="315"/>
    <d v="2024-04-26T14:52:51"/>
    <d v="2024-04-26T14:53:58"/>
    <s v="lkaonga@lighthouse.org.mw"/>
    <s v="Lameck Kaonga"/>
    <x v="3"/>
    <s v="Prototype"/>
    <x v="1"/>
    <s v="COP_23"/>
    <s v="COP_23"/>
    <x v="2"/>
    <s v="Quarter2"/>
    <s v="Qtr_2"/>
    <s v="Mar"/>
    <d v="2024-03-01T00:00:00"/>
    <d v="2024-03-31T00:00:00"/>
    <x v="6"/>
    <n v="0"/>
    <n v="0"/>
    <n v="0"/>
    <n v="0"/>
    <n v="0"/>
    <n v="0"/>
    <n v="0"/>
    <n v="0"/>
    <n v="0"/>
    <n v="0"/>
    <n v="0"/>
    <n v="0"/>
    <n v="0"/>
    <n v="0"/>
    <n v="0"/>
    <n v="0"/>
    <n v="0"/>
    <n v="0"/>
    <n v="0"/>
    <n v="0"/>
    <n v="0"/>
    <n v="0"/>
    <n v="0"/>
    <n v="0"/>
    <n v="0"/>
    <m/>
  </r>
  <r>
    <n v="314"/>
    <d v="2024-04-26T14:51:13"/>
    <d v="2024-04-26T14:52:43"/>
    <s v="lkaonga@lighthouse.org.mw"/>
    <s v="Lameck Kaonga"/>
    <x v="3"/>
    <s v="Prototype"/>
    <x v="1"/>
    <s v="COP_23"/>
    <s v="COP_23"/>
    <x v="2"/>
    <s v="Quarter2"/>
    <s v="Qtr_2"/>
    <s v="Mar"/>
    <d v="2024-03-01T00:00:00"/>
    <d v="2024-05-31T00:00:00"/>
    <x v="2"/>
    <n v="0"/>
    <n v="0"/>
    <n v="0"/>
    <n v="0"/>
    <n v="0"/>
    <n v="0"/>
    <n v="0"/>
    <n v="0"/>
    <n v="0"/>
    <n v="0"/>
    <n v="0"/>
    <n v="0"/>
    <n v="0"/>
    <n v="0"/>
    <n v="0"/>
    <n v="0"/>
    <n v="0"/>
    <n v="0"/>
    <n v="0"/>
    <n v="0"/>
    <n v="0"/>
    <n v="0"/>
    <n v="0"/>
    <n v="0"/>
    <n v="0"/>
    <m/>
  </r>
  <r>
    <n v="384"/>
    <d v="2024-05-09T14:01:19"/>
    <d v="2024-05-09T14:02:36"/>
    <s v="eadisoni@lighthouse.org.mw"/>
    <s v="Eliza adisoni"/>
    <x v="3"/>
    <s v="Prototype"/>
    <x v="1"/>
    <s v="COP_23"/>
    <s v="COP_23"/>
    <x v="3"/>
    <s v="Quarter3"/>
    <s v="Qtr_3"/>
    <s v="Apr"/>
    <d v="2024-05-08T00:00:00"/>
    <d v="2024-05-08T00:00:00"/>
    <x v="2"/>
    <n v="0"/>
    <n v="0"/>
    <n v="0"/>
    <n v="0"/>
    <n v="0"/>
    <n v="0"/>
    <n v="0"/>
    <n v="0"/>
    <n v="0"/>
    <n v="0"/>
    <n v="0"/>
    <n v="0"/>
    <n v="0"/>
    <n v="0"/>
    <n v="0"/>
    <n v="0"/>
    <n v="0"/>
    <n v="0"/>
    <n v="0"/>
    <n v="0"/>
    <n v="0"/>
    <n v="0"/>
    <n v="0"/>
    <n v="0"/>
    <n v="0"/>
    <m/>
  </r>
  <r>
    <n v="388"/>
    <d v="2024-05-09T14:09:04"/>
    <d v="2024-05-09T14:10:54"/>
    <s v="eadisoni@lighthouse.org.mw"/>
    <s v="Eliza adisoni"/>
    <x v="3"/>
    <s v="Prototype"/>
    <x v="1"/>
    <s v="COP_23"/>
    <s v="COP_23"/>
    <x v="2"/>
    <s v="Quarter2"/>
    <s v="Qtr_2"/>
    <s v="Jan"/>
    <d v="2024-02-05T00:00:00"/>
    <d v="2024-02-05T00:00:00"/>
    <x v="2"/>
    <n v="0"/>
    <n v="0"/>
    <n v="0"/>
    <n v="0"/>
    <n v="0"/>
    <n v="0"/>
    <n v="0"/>
    <n v="0"/>
    <n v="0"/>
    <n v="0"/>
    <n v="0"/>
    <n v="0"/>
    <n v="0"/>
    <n v="0"/>
    <n v="0"/>
    <n v="0"/>
    <n v="0"/>
    <n v="0"/>
    <n v="0"/>
    <n v="0"/>
    <n v="0"/>
    <n v="0"/>
    <n v="0"/>
    <n v="0"/>
    <n v="0"/>
    <m/>
  </r>
  <r>
    <n v="391"/>
    <d v="2024-05-09T14:15:00"/>
    <d v="2024-05-09T14:16:25"/>
    <s v="eadisoni@lighthouse.org.mw"/>
    <s v="Eliza adisoni"/>
    <x v="3"/>
    <s v="Prototype"/>
    <x v="1"/>
    <s v="COP_23"/>
    <s v="COP_23"/>
    <x v="2"/>
    <s v="Quarter2"/>
    <s v="Qtr_2"/>
    <s v="Feb"/>
    <d v="2024-03-05T00:00:00"/>
    <d v="2024-03-05T00:00:00"/>
    <x v="2"/>
    <n v="0"/>
    <n v="0"/>
    <n v="0"/>
    <n v="0"/>
    <n v="0"/>
    <n v="0"/>
    <n v="0"/>
    <n v="0"/>
    <n v="0"/>
    <n v="0"/>
    <n v="0"/>
    <n v="0"/>
    <n v="0"/>
    <n v="0"/>
    <n v="0"/>
    <n v="0"/>
    <n v="0"/>
    <n v="0"/>
    <n v="0"/>
    <n v="0"/>
    <n v="0"/>
    <n v="0"/>
    <n v="0"/>
    <n v="0"/>
    <n v="0"/>
    <m/>
  </r>
  <r>
    <n v="372"/>
    <d v="2024-05-09T11:13:46"/>
    <d v="2024-05-09T11:16:10"/>
    <s v="lkaonga@lighthouse.org.mw"/>
    <s v="Lameck Kaonga"/>
    <x v="3"/>
    <s v="Prototype"/>
    <x v="1"/>
    <s v="COP_23"/>
    <s v="COP_23"/>
    <x v="3"/>
    <s v="Quarter3"/>
    <s v="Qtr_3"/>
    <s v="Apr"/>
    <d v="2024-04-01T00:00:00"/>
    <d v="2024-04-30T00:00:00"/>
    <x v="0"/>
    <n v="40"/>
    <n v="1"/>
    <n v="35"/>
    <n v="0"/>
    <n v="4"/>
    <n v="1"/>
    <n v="39"/>
    <n v="8"/>
    <n v="10"/>
    <n v="0"/>
    <n v="0"/>
    <n v="0"/>
    <n v="12"/>
    <n v="0"/>
    <n v="1"/>
    <n v="0"/>
    <n v="0"/>
    <n v="0"/>
    <n v="1"/>
    <n v="0"/>
    <n v="0"/>
    <n v="0"/>
    <n v="0"/>
    <n v="0"/>
    <n v="0"/>
    <m/>
  </r>
  <r>
    <n v="396"/>
    <d v="2024-05-09T14:21:57"/>
    <d v="2024-05-09T14:23:29"/>
    <s v="eadisoni@lighthouse.org.mw"/>
    <s v="Eliza adisoni"/>
    <x v="3"/>
    <s v="Prototype"/>
    <x v="1"/>
    <s v="COP_23"/>
    <s v="COP_23"/>
    <x v="2"/>
    <s v="Quarter2"/>
    <s v="Qtr_2"/>
    <s v="Mar"/>
    <d v="2024-04-03T00:00:00"/>
    <d v="2024-04-03T00:00:00"/>
    <x v="2"/>
    <n v="0"/>
    <n v="0"/>
    <n v="0"/>
    <n v="0"/>
    <n v="0"/>
    <n v="0"/>
    <n v="0"/>
    <n v="0"/>
    <n v="0"/>
    <n v="0"/>
    <n v="0"/>
    <n v="0"/>
    <n v="0"/>
    <n v="0"/>
    <n v="0"/>
    <n v="0"/>
    <n v="0"/>
    <n v="0"/>
    <n v="0"/>
    <n v="0"/>
    <n v="0"/>
    <n v="0"/>
    <n v="0"/>
    <n v="0"/>
    <n v="0"/>
    <m/>
  </r>
  <r>
    <n v="734"/>
    <d v="2024-08-09T08:04:25"/>
    <d v="2024-08-09T08:18:29"/>
    <s v="eadisoni@lighthouse.org.mw"/>
    <s v="Eliza adisoni"/>
    <x v="3"/>
    <s v="Prototype"/>
    <x v="1"/>
    <s v="COP_23"/>
    <s v="COP_23"/>
    <x v="3"/>
    <s v="Quarter3"/>
    <s v="Qtr_3"/>
    <s v="Jun"/>
    <d v="2024-06-07T00:00:00"/>
    <d v="2024-06-07T00:00:00"/>
    <x v="2"/>
    <n v="17"/>
    <n v="0"/>
    <n v="17"/>
    <n v="0"/>
    <n v="0"/>
    <n v="0"/>
    <n v="0"/>
    <n v="4"/>
    <n v="0"/>
    <n v="0"/>
    <n v="0"/>
    <n v="0"/>
    <n v="0"/>
    <n v="0"/>
    <n v="0"/>
    <n v="0"/>
    <n v="0"/>
    <n v="0"/>
    <n v="0"/>
    <n v="0"/>
    <n v="0"/>
    <n v="0"/>
    <n v="0"/>
    <n v="0"/>
    <n v="0"/>
    <m/>
  </r>
  <r>
    <n v="740"/>
    <d v="2024-08-09T09:40:15"/>
    <d v="2024-08-09T09:43:37"/>
    <s v="eadisoni@lighthouse.org.mw"/>
    <s v="Eliza adisoni"/>
    <x v="3"/>
    <s v="Prototype"/>
    <x v="1"/>
    <s v="COP_23"/>
    <s v="COP_23"/>
    <x v="1"/>
    <s v="Quarter4"/>
    <s v="Qtr_4"/>
    <s v="Jul"/>
    <d v="2024-08-08T00:00:00"/>
    <d v="2024-08-08T00:00:00"/>
    <x v="2"/>
    <n v="28"/>
    <n v="0"/>
    <n v="26"/>
    <n v="1"/>
    <n v="1"/>
    <n v="0"/>
    <n v="27"/>
    <n v="6"/>
    <n v="4"/>
    <n v="0"/>
    <n v="0"/>
    <n v="0"/>
    <n v="0"/>
    <n v="0"/>
    <n v="0"/>
    <n v="0"/>
    <n v="0"/>
    <n v="0"/>
    <n v="0"/>
    <n v="0"/>
    <n v="0"/>
    <n v="0"/>
    <n v="0"/>
    <n v="0"/>
    <n v="0"/>
    <m/>
  </r>
  <r>
    <n v="381"/>
    <d v="2024-05-09T13:52:07"/>
    <d v="2024-05-09T13:56:09"/>
    <s v="eadisoni@lighthouse.org.mw"/>
    <s v="Eliza adisoni"/>
    <x v="3"/>
    <s v="Prototype"/>
    <x v="1"/>
    <s v="COP_23"/>
    <s v="COP_23"/>
    <x v="3"/>
    <s v="Quarter3"/>
    <s v="Qtr_3"/>
    <s v="Apr"/>
    <d v="2024-05-08T00:00:00"/>
    <d v="2024-05-08T00:00:00"/>
    <x v="4"/>
    <n v="2"/>
    <n v="0"/>
    <n v="1"/>
    <n v="0"/>
    <n v="1"/>
    <n v="0"/>
    <n v="0"/>
    <n v="2"/>
    <n v="1"/>
    <n v="0"/>
    <n v="0"/>
    <n v="0"/>
    <n v="1"/>
    <n v="0"/>
    <n v="0"/>
    <n v="0"/>
    <n v="0"/>
    <n v="0"/>
    <n v="0"/>
    <n v="0"/>
    <n v="0"/>
    <n v="0"/>
    <n v="0"/>
    <n v="0"/>
    <n v="0"/>
    <m/>
  </r>
  <r>
    <n v="382"/>
    <d v="2024-05-09T13:56:19"/>
    <d v="2024-05-09T13:58:09"/>
    <s v="eadisoni@lighthouse.org.mw"/>
    <s v="Eliza adisoni"/>
    <x v="3"/>
    <s v="Prototype"/>
    <x v="1"/>
    <s v="COP_23"/>
    <s v="COP_23"/>
    <x v="3"/>
    <s v="Quarter3"/>
    <s v="Qtr_3"/>
    <s v="Apr"/>
    <d v="2024-05-08T00:00:00"/>
    <d v="2024-05-08T00:00:00"/>
    <x v="3"/>
    <n v="1"/>
    <n v="0"/>
    <n v="1"/>
    <n v="0"/>
    <n v="0"/>
    <n v="0"/>
    <n v="1"/>
    <n v="0"/>
    <n v="0"/>
    <n v="0"/>
    <n v="0"/>
    <n v="0"/>
    <n v="0"/>
    <n v="0"/>
    <n v="0"/>
    <n v="0"/>
    <n v="0"/>
    <n v="0"/>
    <n v="0"/>
    <n v="0"/>
    <n v="0"/>
    <n v="0"/>
    <n v="0"/>
    <n v="0"/>
    <n v="0"/>
    <m/>
  </r>
  <r>
    <n v="383"/>
    <d v="2024-05-09T13:58:21"/>
    <d v="2024-05-09T14:01:09"/>
    <s v="eadisoni@lighthouse.org.mw"/>
    <s v="Eliza adisoni"/>
    <x v="3"/>
    <s v="Prototype"/>
    <x v="1"/>
    <s v="COP_23"/>
    <s v="COP_23"/>
    <x v="3"/>
    <s v="Quarter3"/>
    <s v="Qtr_3"/>
    <s v="Apr"/>
    <d v="2024-05-08T00:00:00"/>
    <d v="2024-05-08T00:00:00"/>
    <x v="5"/>
    <n v="5"/>
    <n v="0"/>
    <n v="5"/>
    <n v="0"/>
    <n v="0"/>
    <n v="0"/>
    <n v="5"/>
    <n v="0"/>
    <n v="1"/>
    <n v="0"/>
    <n v="0"/>
    <n v="0"/>
    <n v="1"/>
    <n v="0"/>
    <n v="0"/>
    <n v="0"/>
    <n v="0"/>
    <n v="0"/>
    <n v="0"/>
    <n v="0"/>
    <n v="0"/>
    <n v="0"/>
    <n v="0"/>
    <n v="0"/>
    <n v="0"/>
    <m/>
  </r>
  <r>
    <n v="833"/>
    <d v="2024-09-24T14:04:26"/>
    <d v="2024-09-24T14:06:49"/>
    <s v="eadisoni@lighthouse.org.mw"/>
    <s v="Eliza adisoni"/>
    <x v="3"/>
    <s v="Prototype"/>
    <x v="1"/>
    <s v="COP_23"/>
    <s v="COP_23"/>
    <x v="1"/>
    <s v="Quarter4"/>
    <s v="Qtr_4"/>
    <s v="Aug"/>
    <d v="2024-08-01T00:00:00"/>
    <d v="2024-08-30T00:00:00"/>
    <x v="2"/>
    <n v="7"/>
    <n v="0"/>
    <n v="7"/>
    <n v="0"/>
    <n v="0"/>
    <n v="0"/>
    <n v="4"/>
    <n v="3"/>
    <n v="0"/>
    <n v="0"/>
    <n v="0"/>
    <n v="0"/>
    <n v="0"/>
    <n v="0"/>
    <n v="0"/>
    <n v="0"/>
    <n v="0"/>
    <n v="0"/>
    <n v="0"/>
    <n v="0"/>
    <n v="0"/>
    <n v="0"/>
    <n v="0"/>
    <n v="0"/>
    <n v="0"/>
    <m/>
  </r>
  <r>
    <n v="385"/>
    <d v="2024-05-09T14:04:05"/>
    <d v="2024-05-09T14:06:04"/>
    <s v="eadisoni@lighthouse.org.mw"/>
    <s v="Eliza adisoni"/>
    <x v="3"/>
    <s v="Prototype"/>
    <x v="1"/>
    <s v="COP_23"/>
    <s v="COP_23"/>
    <x v="2"/>
    <s v="Quarter2"/>
    <s v="Qtr_2"/>
    <s v="Jan"/>
    <d v="2024-02-05T00:00:00"/>
    <d v="2024-02-05T00:00:00"/>
    <x v="3"/>
    <n v="0"/>
    <n v="0"/>
    <n v="0"/>
    <n v="0"/>
    <n v="0"/>
    <n v="0"/>
    <n v="0"/>
    <n v="0"/>
    <n v="0"/>
    <n v="0"/>
    <n v="0"/>
    <n v="0"/>
    <n v="0"/>
    <n v="0"/>
    <n v="0"/>
    <n v="0"/>
    <n v="0"/>
    <n v="0"/>
    <n v="0"/>
    <n v="0"/>
    <n v="0"/>
    <n v="0"/>
    <n v="0"/>
    <n v="0"/>
    <n v="0"/>
    <m/>
  </r>
  <r>
    <n v="386"/>
    <d v="2024-05-09T14:06:10"/>
    <d v="2024-05-09T14:07:43"/>
    <s v="eadisoni@lighthouse.org.mw"/>
    <s v="Eliza adisoni"/>
    <x v="3"/>
    <s v="Prototype"/>
    <x v="1"/>
    <s v="COP_24"/>
    <s v="COP_23"/>
    <x v="2"/>
    <s v="Quarter2"/>
    <s v="Qtr_2"/>
    <s v="Jan"/>
    <d v="2024-02-05T00:00:00"/>
    <d v="2024-02-05T00:00:00"/>
    <x v="4"/>
    <n v="0"/>
    <n v="0"/>
    <n v="0"/>
    <n v="0"/>
    <n v="0"/>
    <n v="0"/>
    <n v="0"/>
    <n v="0"/>
    <n v="0"/>
    <n v="0"/>
    <n v="0"/>
    <n v="0"/>
    <n v="0"/>
    <n v="0"/>
    <n v="0"/>
    <n v="0"/>
    <n v="0"/>
    <n v="0"/>
    <n v="0"/>
    <n v="0"/>
    <n v="0"/>
    <n v="0"/>
    <n v="0"/>
    <n v="0"/>
    <n v="0"/>
    <m/>
  </r>
  <r>
    <n v="387"/>
    <d v="2024-05-09T14:07:46"/>
    <d v="2024-05-09T14:08:53"/>
    <s v="eadisoni@lighthouse.org.mw"/>
    <s v="Eliza adisoni"/>
    <x v="3"/>
    <s v="Prototype"/>
    <x v="1"/>
    <s v="COP_24"/>
    <s v="COP_23"/>
    <x v="2"/>
    <s v="Quarter2"/>
    <s v="Qtr_2"/>
    <s v="Jan"/>
    <d v="2024-02-05T00:00:00"/>
    <d v="2024-02-05T00:00:00"/>
    <x v="5"/>
    <n v="0"/>
    <n v="0"/>
    <n v="0"/>
    <n v="0"/>
    <n v="0"/>
    <n v="0"/>
    <n v="0"/>
    <n v="0"/>
    <n v="0"/>
    <n v="0"/>
    <n v="0"/>
    <n v="0"/>
    <n v="0"/>
    <n v="0"/>
    <n v="0"/>
    <n v="0"/>
    <n v="0"/>
    <n v="0"/>
    <n v="0"/>
    <n v="0"/>
    <n v="0"/>
    <n v="0"/>
    <n v="0"/>
    <n v="0"/>
    <n v="0"/>
    <m/>
  </r>
  <r>
    <n v="978"/>
    <d v="2024-10-22T08:04:42"/>
    <d v="2024-10-22T08:31:26"/>
    <s v="lkaonga@lighthouse.org.mw"/>
    <s v="Lameck Kaonga"/>
    <x v="3"/>
    <s v="Prototype"/>
    <x v="1"/>
    <s v="COP_22"/>
    <s v="COP_23"/>
    <x v="1"/>
    <s v="Quarter4"/>
    <s v="Qtr_4"/>
    <s v="Sep"/>
    <d v="2024-09-01T00:00:00"/>
    <d v="2024-09-30T00:00:00"/>
    <x v="2"/>
    <n v="11"/>
    <n v="11"/>
    <n v="9"/>
    <n v="1"/>
    <n v="1"/>
    <n v="0"/>
    <n v="11"/>
    <n v="4"/>
    <n v="3"/>
    <n v="0"/>
    <n v="1"/>
    <n v="0"/>
    <n v="0"/>
    <n v="0"/>
    <n v="0"/>
    <n v="0"/>
    <n v="0"/>
    <n v="0"/>
    <n v="0"/>
    <n v="0"/>
    <n v="0"/>
    <n v="0"/>
    <n v="0"/>
    <n v="0"/>
    <n v="0"/>
    <m/>
  </r>
  <r>
    <n v="389"/>
    <d v="2024-05-09T14:11:38"/>
    <d v="2024-05-09T14:13:24"/>
    <s v="eadisoni@lighthouse.org.mw"/>
    <s v="Eliza adisoni"/>
    <x v="3"/>
    <s v="Prototype"/>
    <x v="1"/>
    <s v="COP_24"/>
    <s v="COP_23"/>
    <x v="2"/>
    <s v="Quarter2"/>
    <s v="Qtr_2"/>
    <s v="Feb"/>
    <d v="2024-03-05T00:00:00"/>
    <d v="2024-03-05T00:00:00"/>
    <x v="3"/>
    <n v="0"/>
    <n v="0"/>
    <n v="0"/>
    <n v="0"/>
    <n v="0"/>
    <n v="0"/>
    <n v="0"/>
    <n v="0"/>
    <n v="0"/>
    <n v="0"/>
    <n v="0"/>
    <n v="0"/>
    <n v="0"/>
    <n v="0"/>
    <n v="0"/>
    <n v="0"/>
    <n v="0"/>
    <n v="0"/>
    <n v="0"/>
    <n v="0"/>
    <n v="0"/>
    <n v="0"/>
    <n v="0"/>
    <n v="0"/>
    <n v="0"/>
    <m/>
  </r>
  <r>
    <n v="390"/>
    <d v="2024-05-09T14:13:28"/>
    <d v="2024-05-09T14:14:57"/>
    <s v="eadisoni@lighthouse.org.mw"/>
    <s v="Eliza adisoni"/>
    <x v="3"/>
    <s v="Prototype"/>
    <x v="1"/>
    <s v="COP_24"/>
    <s v="COP_23"/>
    <x v="2"/>
    <s v="Quarter2"/>
    <s v="Qtr_2"/>
    <s v="Feb"/>
    <d v="2024-03-05T00:00:00"/>
    <d v="2024-03-05T00:00:00"/>
    <x v="5"/>
    <n v="0"/>
    <n v="0"/>
    <n v="0"/>
    <n v="0"/>
    <n v="0"/>
    <n v="0"/>
    <n v="0"/>
    <n v="0"/>
    <n v="0"/>
    <n v="0"/>
    <n v="0"/>
    <n v="0"/>
    <n v="0"/>
    <n v="0"/>
    <n v="0"/>
    <n v="0"/>
    <n v="0"/>
    <n v="0"/>
    <n v="0"/>
    <n v="0"/>
    <n v="0"/>
    <n v="0"/>
    <n v="0"/>
    <n v="0"/>
    <n v="0"/>
    <m/>
  </r>
  <r>
    <n v="1029"/>
    <d v="2024-11-06T08:15:28"/>
    <d v="2024-11-06T08:17:35"/>
    <s v="eadisoni@lighthouse.org.mw"/>
    <s v="Eliza adisoni"/>
    <x v="3"/>
    <s v="Prototype"/>
    <x v="1"/>
    <s v="COP_24"/>
    <s v="COP_24"/>
    <x v="0"/>
    <s v="Quarter1"/>
    <s v="Qtr_1"/>
    <s v="Oct"/>
    <d v="2024-10-01T00:00:00"/>
    <d v="2024-10-31T00:00:00"/>
    <x v="2"/>
    <n v="28"/>
    <n v="0"/>
    <n v="28"/>
    <n v="0"/>
    <n v="0"/>
    <n v="0"/>
    <n v="28"/>
    <n v="1"/>
    <n v="0"/>
    <n v="0"/>
    <n v="0"/>
    <n v="0"/>
    <n v="0"/>
    <n v="0"/>
    <n v="0"/>
    <n v="0"/>
    <n v="0"/>
    <n v="0"/>
    <n v="0"/>
    <n v="0"/>
    <n v="0"/>
    <n v="0"/>
    <n v="0"/>
    <n v="0"/>
    <n v="0"/>
    <m/>
  </r>
  <r>
    <n v="392"/>
    <d v="2024-05-09T14:16:37"/>
    <d v="2024-05-09T14:17:42"/>
    <s v="eadisoni@lighthouse.org.mw"/>
    <s v="Eliza adisoni"/>
    <x v="3"/>
    <s v="Prototype"/>
    <x v="1"/>
    <s v="COP_24"/>
    <s v="COP_23"/>
    <x v="2"/>
    <s v="Quarter2"/>
    <s v="Qtr_2"/>
    <s v="Mar"/>
    <d v="2024-04-03T00:00:00"/>
    <d v="2024-04-03T00:00:00"/>
    <x v="3"/>
    <n v="0"/>
    <n v="0"/>
    <n v="0"/>
    <n v="0"/>
    <n v="0"/>
    <n v="0"/>
    <n v="0"/>
    <n v="0"/>
    <n v="0"/>
    <n v="0"/>
    <n v="0"/>
    <n v="0"/>
    <n v="0"/>
    <n v="0"/>
    <n v="0"/>
    <n v="0"/>
    <n v="0"/>
    <n v="0"/>
    <n v="0"/>
    <n v="0"/>
    <n v="0"/>
    <n v="0"/>
    <n v="0"/>
    <n v="0"/>
    <n v="0"/>
    <m/>
  </r>
  <r>
    <n v="393"/>
    <d v="2024-05-09T14:17:49"/>
    <d v="2024-05-09T14:19:11"/>
    <s v="eadisoni@lighthouse.org.mw"/>
    <s v="Eliza adisoni"/>
    <x v="3"/>
    <s v="Prototype"/>
    <x v="1"/>
    <s v="COP_24"/>
    <s v="COP_23"/>
    <x v="2"/>
    <s v="Quarter2"/>
    <s v="Qtr_2"/>
    <s v="Mar"/>
    <d v="2024-04-03T00:00:00"/>
    <d v="2024-04-03T00:00:00"/>
    <x v="4"/>
    <n v="0"/>
    <n v="0"/>
    <n v="0"/>
    <n v="0"/>
    <n v="0"/>
    <n v="0"/>
    <n v="0"/>
    <n v="0"/>
    <n v="0"/>
    <n v="0"/>
    <n v="0"/>
    <n v="0"/>
    <n v="0"/>
    <n v="0"/>
    <n v="0"/>
    <n v="0"/>
    <n v="0"/>
    <n v="0"/>
    <n v="0"/>
    <n v="0"/>
    <n v="0"/>
    <n v="0"/>
    <n v="0"/>
    <n v="0"/>
    <n v="0"/>
    <m/>
  </r>
  <r>
    <n v="395"/>
    <d v="2024-05-09T14:20:40"/>
    <d v="2024-05-09T14:21:53"/>
    <s v="eadisoni@lighthouse.org.mw"/>
    <s v="Eliza adisoni"/>
    <x v="3"/>
    <s v="Prototype"/>
    <x v="1"/>
    <s v="COP_24"/>
    <s v="COP_23"/>
    <x v="2"/>
    <s v="Quarter2"/>
    <s v="Qtr_2"/>
    <s v="Mar"/>
    <d v="2024-04-03T00:00:00"/>
    <d v="2024-04-03T00:00:00"/>
    <x v="5"/>
    <n v="0"/>
    <n v="0"/>
    <n v="0"/>
    <n v="0"/>
    <n v="0"/>
    <n v="0"/>
    <n v="0"/>
    <n v="0"/>
    <n v="0"/>
    <n v="0"/>
    <n v="0"/>
    <n v="0"/>
    <n v="0"/>
    <n v="0"/>
    <n v="0"/>
    <n v="0"/>
    <n v="0"/>
    <n v="0"/>
    <n v="0"/>
    <n v="0"/>
    <n v="0"/>
    <n v="0"/>
    <n v="0"/>
    <n v="0"/>
    <n v="0"/>
    <m/>
  </r>
  <r>
    <n v="589"/>
    <d v="2024-07-10T10:30:32"/>
    <d v="2024-07-10T10:41:26"/>
    <s v="lkaonga@lighthouse.org.mw"/>
    <s v="Lameck Kaonga"/>
    <x v="3"/>
    <s v="Prototype"/>
    <x v="1"/>
    <s v="COP_24"/>
    <s v="COP_23"/>
    <x v="3"/>
    <s v="Quarter3"/>
    <s v="Qtr_3"/>
    <s v="Jun"/>
    <d v="2024-06-01T00:00:00"/>
    <d v="2024-06-30T00:00:00"/>
    <x v="3"/>
    <n v="2"/>
    <n v="0"/>
    <n v="1"/>
    <n v="0"/>
    <n v="1"/>
    <n v="0"/>
    <n v="1"/>
    <n v="0"/>
    <n v="0"/>
    <n v="0"/>
    <n v="0"/>
    <n v="0"/>
    <n v="0"/>
    <n v="0"/>
    <n v="0"/>
    <n v="0"/>
    <n v="0"/>
    <n v="0"/>
    <n v="0"/>
    <n v="0"/>
    <n v="0"/>
    <n v="0"/>
    <n v="0"/>
    <n v="0"/>
    <n v="0"/>
    <m/>
  </r>
  <r>
    <n v="588"/>
    <d v="2024-07-10T10:07:41"/>
    <d v="2024-07-10T10:22:47"/>
    <s v="lkaonga@lighthouse.org.mw"/>
    <s v="Lameck Kaonga"/>
    <x v="3"/>
    <s v="Prototype"/>
    <x v="1"/>
    <s v="COP_24"/>
    <s v="COP_23"/>
    <x v="3"/>
    <s v="Quarter3"/>
    <s v="Qtr_3"/>
    <s v="Jun"/>
    <d v="2024-06-01T00:00:00"/>
    <d v="2024-06-30T00:00:00"/>
    <x v="0"/>
    <n v="43"/>
    <n v="0"/>
    <n v="38"/>
    <n v="4"/>
    <n v="1"/>
    <n v="0"/>
    <n v="42"/>
    <n v="10"/>
    <n v="0"/>
    <n v="0"/>
    <n v="0"/>
    <n v="0"/>
    <n v="0"/>
    <n v="0"/>
    <n v="0"/>
    <n v="0"/>
    <n v="0"/>
    <n v="0"/>
    <n v="0"/>
    <n v="0"/>
    <n v="0"/>
    <n v="0"/>
    <n v="0"/>
    <n v="0"/>
    <n v="0"/>
    <m/>
  </r>
  <r>
    <n v="591"/>
    <d v="2024-07-10T10:26:16"/>
    <d v="2024-07-10T11:05:15"/>
    <s v="lkaonga@lighthouse.org.mw"/>
    <s v="Lameck Kaonga"/>
    <x v="3"/>
    <s v="Prototype"/>
    <x v="1"/>
    <s v="COP_24"/>
    <s v="COP_23"/>
    <x v="3"/>
    <s v="Quarter3"/>
    <s v="Qtr_3"/>
    <s v="Jun"/>
    <d v="2024-06-01T00:00:00"/>
    <d v="2024-06-30T00:00:00"/>
    <x v="5"/>
    <n v="9"/>
    <n v="0"/>
    <n v="9"/>
    <n v="0"/>
    <n v="0"/>
    <n v="0"/>
    <n v="9"/>
    <n v="4"/>
    <n v="0"/>
    <n v="0"/>
    <n v="0"/>
    <n v="0"/>
    <n v="0"/>
    <n v="0"/>
    <n v="0"/>
    <n v="0"/>
    <n v="0"/>
    <n v="0"/>
    <n v="0"/>
    <n v="0"/>
    <n v="0"/>
    <n v="0"/>
    <n v="0"/>
    <n v="0"/>
    <n v="0"/>
    <m/>
  </r>
  <r>
    <n v="592"/>
    <d v="2024-07-10T11:16:21"/>
    <d v="2024-07-10T11:16:31"/>
    <s v="lkaonga@lighthouse.org.mw"/>
    <s v="Lameck Kaonga"/>
    <x v="3"/>
    <s v="Prototype"/>
    <x v="1"/>
    <s v="COP_24"/>
    <s v="COP_23"/>
    <x v="3"/>
    <s v="Quarter3"/>
    <s v="Qtr_3"/>
    <s v="Jun"/>
    <d v="2024-06-01T00:00:00"/>
    <d v="2024-06-30T00:00:00"/>
    <x v="4"/>
    <n v="3"/>
    <n v="0"/>
    <n v="3"/>
    <n v="0"/>
    <n v="0"/>
    <n v="0"/>
    <n v="1"/>
    <n v="0"/>
    <n v="0"/>
    <n v="0"/>
    <n v="0"/>
    <n v="0"/>
    <n v="0"/>
    <n v="0"/>
    <n v="0"/>
    <n v="0"/>
    <n v="0"/>
    <n v="0"/>
    <n v="0"/>
    <n v="0"/>
    <n v="0"/>
    <n v="0"/>
    <n v="0"/>
    <n v="0"/>
    <n v="0"/>
    <m/>
  </r>
  <r>
    <n v="735"/>
    <d v="2024-08-09T08:19:15"/>
    <d v="2024-08-09T08:38:08"/>
    <s v="eadisoni@lighthouse.org.mw"/>
    <s v="Eliza adisoni"/>
    <x v="3"/>
    <s v="Prototype"/>
    <x v="1"/>
    <s v="COP_22"/>
    <s v="COP_23"/>
    <x v="1"/>
    <s v="Quarter4"/>
    <s v="Qtr_4"/>
    <s v="Jul"/>
    <d v="2024-08-09T00:00:00"/>
    <d v="2024-08-09T00:00:00"/>
    <x v="0"/>
    <n v="88"/>
    <n v="0"/>
    <n v="83"/>
    <n v="1"/>
    <n v="3"/>
    <n v="1"/>
    <n v="81"/>
    <n v="21"/>
    <n v="14"/>
    <n v="0"/>
    <n v="0"/>
    <n v="0"/>
    <n v="1"/>
    <n v="1"/>
    <n v="4"/>
    <n v="0"/>
    <n v="0"/>
    <n v="0"/>
    <n v="1"/>
    <n v="0"/>
    <n v="1"/>
    <n v="0"/>
    <n v="0"/>
    <n v="0"/>
    <n v="0"/>
    <m/>
  </r>
  <r>
    <n v="736"/>
    <d v="2024-08-09T08:38:17"/>
    <d v="2024-08-09T08:41:12"/>
    <s v="eadisoni@lighthouse.org.mw"/>
    <s v="Eliza adisoni"/>
    <x v="3"/>
    <s v="Prototype"/>
    <x v="1"/>
    <s v="COP_22"/>
    <s v="COP_23"/>
    <x v="1"/>
    <s v="Quarter4"/>
    <s v="Qtr_4"/>
    <s v="Jul"/>
    <d v="2024-08-08T00:00:00"/>
    <d v="2024-08-08T00:00:00"/>
    <x v="3"/>
    <n v="2"/>
    <n v="0"/>
    <n v="1"/>
    <n v="0"/>
    <n v="1"/>
    <n v="0"/>
    <n v="0"/>
    <n v="0"/>
    <n v="2"/>
    <n v="0"/>
    <n v="0"/>
    <n v="0"/>
    <n v="0"/>
    <n v="0"/>
    <n v="0"/>
    <n v="0"/>
    <n v="0"/>
    <n v="0"/>
    <n v="0"/>
    <n v="0"/>
    <n v="0"/>
    <n v="0"/>
    <n v="0"/>
    <n v="0"/>
    <n v="0"/>
    <m/>
  </r>
  <r>
    <n v="737"/>
    <d v="2024-08-09T08:41:22"/>
    <d v="2024-08-09T09:32:52"/>
    <s v="eadisoni@lighthouse.org.mw"/>
    <s v="Eliza adisoni"/>
    <x v="3"/>
    <s v="Prototype"/>
    <x v="1"/>
    <s v="COP_22"/>
    <s v="COP_23"/>
    <x v="1"/>
    <s v="Quarter4"/>
    <s v="Qtr_4"/>
    <s v="Jul"/>
    <d v="2024-08-08T00:00:00"/>
    <d v="2024-08-08T00:00:00"/>
    <x v="4"/>
    <n v="7"/>
    <n v="0"/>
    <n v="7"/>
    <n v="0"/>
    <n v="0"/>
    <n v="0"/>
    <n v="0"/>
    <n v="0"/>
    <n v="1"/>
    <n v="0"/>
    <n v="0"/>
    <n v="0"/>
    <n v="0"/>
    <n v="0"/>
    <n v="0"/>
    <n v="0"/>
    <n v="0"/>
    <n v="0"/>
    <n v="0"/>
    <n v="0"/>
    <n v="0"/>
    <n v="0"/>
    <n v="0"/>
    <n v="0"/>
    <n v="0"/>
    <m/>
  </r>
  <r>
    <n v="739"/>
    <d v="2024-08-09T09:35:58"/>
    <d v="2024-08-09T09:40:12"/>
    <s v="eadisoni@lighthouse.org.mw"/>
    <s v="Eliza adisoni"/>
    <x v="3"/>
    <s v="Prototype"/>
    <x v="1"/>
    <s v="COP_22"/>
    <s v="COP_23"/>
    <x v="1"/>
    <s v="Quarter4"/>
    <s v="Qtr_4"/>
    <s v="Jul"/>
    <d v="2024-08-08T00:00:00"/>
    <d v="2024-08-08T00:00:00"/>
    <x v="5"/>
    <n v="16"/>
    <n v="4"/>
    <n v="16"/>
    <n v="0"/>
    <n v="0"/>
    <n v="0"/>
    <n v="5"/>
    <n v="0"/>
    <n v="4"/>
    <n v="0"/>
    <n v="0"/>
    <n v="0"/>
    <n v="0"/>
    <n v="0"/>
    <n v="0"/>
    <n v="0"/>
    <n v="0"/>
    <n v="0"/>
    <n v="0"/>
    <n v="0"/>
    <n v="0"/>
    <n v="0"/>
    <n v="0"/>
    <n v="0"/>
    <n v="0"/>
    <m/>
  </r>
  <r>
    <n v="828"/>
    <d v="2024-09-24T13:48:38"/>
    <d v="2024-09-24T13:54:54"/>
    <s v="eadisoni@lighthouse.org.mw"/>
    <s v="Eliza adisoni"/>
    <x v="3"/>
    <s v="Prototype"/>
    <x v="1"/>
    <s v="COP_22"/>
    <s v="COP_23"/>
    <x v="1"/>
    <s v="Quarter4"/>
    <s v="Qtr_4"/>
    <s v="Aug"/>
    <d v="2024-08-01T00:00:00"/>
    <d v="2024-08-30T00:00:00"/>
    <x v="0"/>
    <n v="48"/>
    <n v="0"/>
    <n v="43"/>
    <n v="3"/>
    <n v="2"/>
    <n v="0"/>
    <n v="23"/>
    <n v="9"/>
    <n v="0"/>
    <n v="0"/>
    <n v="0"/>
    <n v="0"/>
    <n v="2"/>
    <n v="0"/>
    <n v="1"/>
    <n v="1"/>
    <n v="0"/>
    <n v="0"/>
    <n v="0"/>
    <n v="0"/>
    <n v="0"/>
    <n v="0"/>
    <n v="0"/>
    <n v="0"/>
    <n v="0"/>
    <m/>
  </r>
  <r>
    <n v="830"/>
    <d v="2024-09-24T13:57:58"/>
    <d v="2024-09-24T14:00:06"/>
    <s v="eadisoni@lighthouse.org.mw"/>
    <s v="Eliza adisoni"/>
    <x v="3"/>
    <s v="Prototype"/>
    <x v="1"/>
    <s v="COP_22"/>
    <s v="COP_22"/>
    <x v="1"/>
    <s v="Quarter4"/>
    <s v="Qtr_4"/>
    <s v="Aug"/>
    <d v="2024-08-01T00:00:00"/>
    <d v="2024-08-30T00:00:00"/>
    <x v="4"/>
    <n v="2"/>
    <n v="0"/>
    <n v="2"/>
    <n v="0"/>
    <n v="0"/>
    <n v="0"/>
    <n v="1"/>
    <n v="0"/>
    <n v="0"/>
    <n v="0"/>
    <n v="0"/>
    <n v="0"/>
    <n v="0"/>
    <n v="0"/>
    <n v="0"/>
    <n v="0"/>
    <n v="0"/>
    <n v="0"/>
    <n v="0"/>
    <n v="0"/>
    <n v="0"/>
    <n v="0"/>
    <n v="0"/>
    <n v="0"/>
    <n v="0"/>
    <m/>
  </r>
  <r>
    <n v="831"/>
    <d v="2024-09-24T14:00:12"/>
    <d v="2024-09-24T14:02:05"/>
    <s v="eadisoni@lighthouse.org.mw"/>
    <s v="Eliza adisoni"/>
    <x v="3"/>
    <s v="Prototype"/>
    <x v="1"/>
    <s v="COP_23"/>
    <s v="COP_23"/>
    <x v="1"/>
    <s v="Quarter4"/>
    <s v="Qtr_4"/>
    <s v="Aug"/>
    <d v="2024-08-01T00:00:00"/>
    <d v="2024-08-30T00:00:00"/>
    <x v="5"/>
    <n v="3"/>
    <n v="0"/>
    <n v="3"/>
    <n v="0"/>
    <n v="0"/>
    <n v="0"/>
    <n v="0"/>
    <n v="0"/>
    <n v="0"/>
    <n v="0"/>
    <n v="0"/>
    <n v="0"/>
    <n v="0"/>
    <n v="0"/>
    <n v="0"/>
    <n v="0"/>
    <n v="0"/>
    <n v="0"/>
    <n v="0"/>
    <n v="0"/>
    <n v="0"/>
    <n v="0"/>
    <n v="0"/>
    <n v="0"/>
    <n v="0"/>
    <m/>
  </r>
  <r>
    <n v="832"/>
    <d v="2024-09-24T14:02:14"/>
    <d v="2024-09-24T14:04:18"/>
    <s v="eadisoni@lighthouse.org.mw"/>
    <s v="Eliza adisoni"/>
    <x v="3"/>
    <s v="Prototype"/>
    <x v="1"/>
    <s v="COP_23"/>
    <s v="COP_23"/>
    <x v="1"/>
    <s v="Quarter4"/>
    <s v="Qtr_4"/>
    <s v="Aug"/>
    <d v="2024-08-01T00:00:00"/>
    <d v="2024-08-30T00:00:00"/>
    <x v="3"/>
    <n v="1"/>
    <n v="0"/>
    <n v="0"/>
    <n v="1"/>
    <n v="0"/>
    <n v="0"/>
    <n v="0"/>
    <n v="0"/>
    <n v="0"/>
    <n v="0"/>
    <n v="0"/>
    <n v="0"/>
    <n v="0"/>
    <n v="0"/>
    <n v="1"/>
    <n v="0"/>
    <n v="0"/>
    <n v="0"/>
    <n v="0"/>
    <n v="0"/>
    <n v="0"/>
    <n v="0"/>
    <n v="0"/>
    <n v="0"/>
    <n v="0"/>
    <m/>
  </r>
  <r>
    <n v="975"/>
    <d v="2024-10-22T07:41:45"/>
    <d v="2024-10-22T07:47:29"/>
    <s v="lkaonga@lighthouse.org.mw"/>
    <s v="Lameck Kaonga"/>
    <x v="3"/>
    <s v="Prototype"/>
    <x v="1"/>
    <s v="COP_23"/>
    <s v="COP_23"/>
    <x v="1"/>
    <s v="Quarter4"/>
    <s v="Qtr_4"/>
    <s v="Sep"/>
    <d v="2024-09-01T00:00:00"/>
    <d v="2024-09-30T00:00:00"/>
    <x v="0"/>
    <n v="56"/>
    <n v="0"/>
    <n v="48"/>
    <n v="3"/>
    <n v="4"/>
    <n v="1"/>
    <n v="52"/>
    <n v="16"/>
    <n v="16"/>
    <n v="0"/>
    <n v="0"/>
    <n v="0"/>
    <n v="17"/>
    <n v="1"/>
    <n v="1"/>
    <n v="0"/>
    <n v="0"/>
    <n v="0"/>
    <n v="0"/>
    <n v="0"/>
    <n v="0"/>
    <n v="0"/>
    <n v="0"/>
    <n v="0"/>
    <n v="0"/>
    <m/>
  </r>
  <r>
    <n v="977"/>
    <d v="2024-10-22T07:58:57"/>
    <d v="2024-10-22T08:02:56"/>
    <s v="lkaonga@lighthouse.org.mw"/>
    <s v="Lameck Kaonga"/>
    <x v="3"/>
    <s v="Prototype"/>
    <x v="1"/>
    <s v="COP_23"/>
    <s v="COP_23"/>
    <x v="1"/>
    <s v="Quarter4"/>
    <s v="Qtr_4"/>
    <s v="Sep"/>
    <d v="2024-09-01T00:00:00"/>
    <d v="2024-09-30T00:00:00"/>
    <x v="5"/>
    <n v="6"/>
    <n v="0"/>
    <n v="6"/>
    <n v="0"/>
    <n v="0"/>
    <n v="0"/>
    <n v="4"/>
    <n v="2"/>
    <n v="5"/>
    <n v="0"/>
    <n v="6"/>
    <n v="0"/>
    <n v="6"/>
    <n v="0"/>
    <n v="6"/>
    <n v="0"/>
    <n v="0"/>
    <n v="0"/>
    <n v="0"/>
    <n v="0"/>
    <n v="0"/>
    <n v="0"/>
    <n v="0"/>
    <n v="0"/>
    <n v="0"/>
    <m/>
  </r>
  <r>
    <n v="979"/>
    <d v="2024-10-22T08:31:41"/>
    <d v="2024-10-22T08:36:36"/>
    <s v="lkaonga@lighthouse.org.mw"/>
    <s v="Lameck Kaonga"/>
    <x v="3"/>
    <s v="Prototype"/>
    <x v="1"/>
    <s v="COP_23"/>
    <s v="COP_23"/>
    <x v="1"/>
    <s v="Quarter4"/>
    <s v="Qtr_4"/>
    <s v="Sep"/>
    <d v="2024-09-01T00:00:00"/>
    <d v="2024-09-30T00:00:00"/>
    <x v="3"/>
    <n v="0"/>
    <n v="0"/>
    <n v="0"/>
    <n v="0"/>
    <n v="0"/>
    <n v="0"/>
    <n v="0"/>
    <n v="0"/>
    <n v="0"/>
    <n v="0"/>
    <n v="0"/>
    <n v="0"/>
    <n v="0"/>
    <n v="0"/>
    <n v="0"/>
    <n v="0"/>
    <n v="0"/>
    <n v="0"/>
    <n v="0"/>
    <n v="0"/>
    <n v="0"/>
    <n v="0"/>
    <n v="0"/>
    <n v="0"/>
    <n v="0"/>
    <m/>
  </r>
  <r>
    <n v="980"/>
    <d v="2024-10-22T08:42:08"/>
    <d v="2024-10-22T08:50:00"/>
    <s v="lkaonga@lighthouse.org.mw"/>
    <s v="Lameck Kaonga"/>
    <x v="3"/>
    <s v="Prototype"/>
    <x v="1"/>
    <s v="COP_23"/>
    <s v="COP_23"/>
    <x v="1"/>
    <s v="Quarter4"/>
    <s v="Qtr_4"/>
    <s v="Sep"/>
    <d v="2024-09-01T00:00:00"/>
    <d v="2024-09-30T00:00:00"/>
    <x v="6"/>
    <n v="0"/>
    <n v="0"/>
    <n v="0"/>
    <n v="0"/>
    <n v="0"/>
    <n v="0"/>
    <n v="0"/>
    <n v="0"/>
    <n v="0"/>
    <n v="0"/>
    <n v="0"/>
    <n v="0"/>
    <n v="0"/>
    <n v="0"/>
    <n v="0"/>
    <n v="0"/>
    <n v="0"/>
    <n v="0"/>
    <n v="0"/>
    <n v="0"/>
    <n v="0"/>
    <n v="0"/>
    <n v="0"/>
    <n v="0"/>
    <n v="0"/>
    <m/>
  </r>
  <r>
    <n v="1030"/>
    <d v="2024-11-06T08:17:43"/>
    <d v="2024-11-06T08:19:48"/>
    <s v="eadisoni@lighthouse.org.mw"/>
    <s v="Eliza adisoni"/>
    <x v="3"/>
    <s v="Prototype"/>
    <x v="1"/>
    <s v="COP_23"/>
    <s v="COP_24"/>
    <x v="0"/>
    <s v="Quarter1"/>
    <s v="Qtr_1"/>
    <s v="Oct"/>
    <d v="2024-10-01T00:00:00"/>
    <d v="2024-10-31T00:00:00"/>
    <x v="5"/>
    <n v="9"/>
    <n v="0"/>
    <n v="9"/>
    <n v="0"/>
    <n v="0"/>
    <n v="0"/>
    <n v="0"/>
    <n v="1"/>
    <n v="1"/>
    <n v="0"/>
    <n v="0"/>
    <n v="0"/>
    <n v="0"/>
    <n v="0"/>
    <n v="0"/>
    <n v="0"/>
    <n v="0"/>
    <n v="0"/>
    <n v="0"/>
    <n v="0"/>
    <n v="0"/>
    <n v="0"/>
    <n v="0"/>
    <n v="0"/>
    <n v="0"/>
    <m/>
  </r>
  <r>
    <n v="1031"/>
    <d v="2024-11-06T08:20:44"/>
    <d v="2024-11-06T08:22:46"/>
    <s v="eadisoni@lighthouse.org.mw"/>
    <s v="Eliza adisoni"/>
    <x v="3"/>
    <s v="Prototype"/>
    <x v="1"/>
    <s v="COP_23"/>
    <s v="COP_24"/>
    <x v="0"/>
    <s v="Quarter1"/>
    <s v="Qtr_1"/>
    <s v="Oct"/>
    <d v="2024-10-01T00:00:00"/>
    <d v="2024-10-30T00:00:00"/>
    <x v="3"/>
    <n v="4"/>
    <n v="0"/>
    <n v="3"/>
    <n v="0"/>
    <n v="0"/>
    <n v="1"/>
    <n v="0"/>
    <n v="0"/>
    <n v="0"/>
    <n v="0"/>
    <n v="0"/>
    <n v="0"/>
    <n v="2"/>
    <n v="0"/>
    <n v="0"/>
    <n v="0"/>
    <n v="0"/>
    <n v="0"/>
    <n v="0"/>
    <n v="0"/>
    <n v="0"/>
    <n v="0"/>
    <n v="0"/>
    <n v="0"/>
    <n v="0"/>
    <m/>
  </r>
  <r>
    <n v="1032"/>
    <d v="2024-11-06T08:24:25"/>
    <d v="2024-11-06T08:28:47"/>
    <s v="eadisoni@lighthouse.org.mw"/>
    <s v="Eliza adisoni"/>
    <x v="3"/>
    <s v="Prototype"/>
    <x v="1"/>
    <s v="COP_23"/>
    <s v="COP_24"/>
    <x v="0"/>
    <s v="Quarter1"/>
    <s v="Qtr_1"/>
    <s v="Oct"/>
    <d v="2024-10-01T00:00:00"/>
    <d v="2024-10-31T00:00:00"/>
    <x v="4"/>
    <n v="2"/>
    <n v="0"/>
    <n v="2"/>
    <n v="0"/>
    <n v="0"/>
    <n v="0"/>
    <n v="1"/>
    <n v="0"/>
    <n v="0"/>
    <n v="0"/>
    <n v="0"/>
    <n v="0"/>
    <n v="0"/>
    <n v="0"/>
    <n v="0"/>
    <n v="0"/>
    <n v="0"/>
    <n v="0"/>
    <n v="0"/>
    <n v="0"/>
    <n v="0"/>
    <n v="0"/>
    <n v="0"/>
    <n v="0"/>
    <n v="0"/>
    <m/>
  </r>
  <r>
    <n v="1095"/>
    <d v="2024-11-26T15:29:31"/>
    <d v="2024-11-26T15:33:28"/>
    <s v="eadisoni@lighthouse.org.mw"/>
    <s v="Eliza adisoni"/>
    <x v="3"/>
    <s v="Prototype"/>
    <x v="1"/>
    <s v="COP_23"/>
    <s v="COP_24"/>
    <x v="0"/>
    <s v="Quarter1"/>
    <s v="Qtr_1"/>
    <s v="Oct"/>
    <d v="2024-10-01T00:00:00"/>
    <d v="2024-10-31T00:00:00"/>
    <x v="0"/>
    <n v="82"/>
    <n v="0"/>
    <n v="75"/>
    <n v="3"/>
    <n v="3"/>
    <n v="1"/>
    <n v="77"/>
    <n v="14"/>
    <n v="17"/>
    <n v="0"/>
    <n v="0"/>
    <n v="0"/>
    <n v="8"/>
    <n v="0"/>
    <n v="0"/>
    <n v="0"/>
    <n v="0"/>
    <n v="0"/>
    <n v="0"/>
    <n v="0"/>
    <n v="0"/>
    <n v="0"/>
    <n v="0"/>
    <n v="0"/>
    <n v="0"/>
    <m/>
  </r>
  <r>
    <n v="1118"/>
    <d v="2024-12-10T07:17:35"/>
    <d v="2024-12-10T07:23:52"/>
    <s v="lkaonga@lighthouse.org.mw"/>
    <s v="Lameck Kaonga"/>
    <x v="3"/>
    <s v="Prototype"/>
    <x v="1"/>
    <s v="COP_23"/>
    <s v="COP_24"/>
    <x v="0"/>
    <s v="Quarter1"/>
    <s v="Qtr_1"/>
    <s v="Nov"/>
    <d v="2024-11-01T00:00:00"/>
    <d v="2024-11-30T00:00:00"/>
    <x v="0"/>
    <n v="60"/>
    <n v="0"/>
    <n v="56"/>
    <n v="1"/>
    <n v="3"/>
    <n v="0"/>
    <n v="28"/>
    <n v="7"/>
    <n v="5"/>
    <n v="0"/>
    <n v="0"/>
    <n v="0"/>
    <n v="5"/>
    <n v="0"/>
    <n v="0"/>
    <n v="0"/>
    <n v="0"/>
    <n v="0"/>
    <n v="0"/>
    <n v="0"/>
    <n v="0"/>
    <n v="0"/>
    <n v="0"/>
    <n v="0"/>
    <n v="0"/>
    <m/>
  </r>
  <r>
    <n v="1119"/>
    <d v="2024-12-10T07:24:04"/>
    <d v="2024-12-10T07:27:09"/>
    <s v="lkaonga@lighthouse.org.mw"/>
    <s v="Lameck Kaonga"/>
    <x v="3"/>
    <s v="Prototype"/>
    <x v="1"/>
    <s v="COP_23"/>
    <s v="COP_24"/>
    <x v="0"/>
    <s v="Quarter1"/>
    <s v="Qtr_1"/>
    <s v="Nov"/>
    <d v="2024-11-01T00:00:00"/>
    <d v="2024-11-30T00:00:00"/>
    <x v="2"/>
    <n v="9"/>
    <n v="0"/>
    <n v="18"/>
    <n v="1"/>
    <n v="0"/>
    <n v="0"/>
    <n v="6"/>
    <n v="1"/>
    <n v="1"/>
    <n v="0"/>
    <n v="0"/>
    <n v="0"/>
    <n v="0"/>
    <n v="0"/>
    <n v="0"/>
    <n v="0"/>
    <n v="0"/>
    <n v="0"/>
    <n v="0"/>
    <n v="0"/>
    <n v="0"/>
    <n v="0"/>
    <n v="0"/>
    <n v="0"/>
    <n v="0"/>
    <m/>
  </r>
  <r>
    <n v="1120"/>
    <d v="2024-12-10T07:27:51"/>
    <d v="2024-12-10T07:30:13"/>
    <s v="lkaonga@lighthouse.org.mw"/>
    <s v="Lameck Kaonga"/>
    <x v="3"/>
    <s v="Prototype"/>
    <x v="1"/>
    <s v="COP_23"/>
    <s v="COP_24"/>
    <x v="0"/>
    <s v="Quarter1"/>
    <s v="Qtr_1"/>
    <s v="Nov"/>
    <d v="2024-11-01T00:00:00"/>
    <d v="2024-11-30T00:00:00"/>
    <x v="1"/>
    <n v="34"/>
    <n v="0"/>
    <n v="31"/>
    <n v="0"/>
    <n v="3"/>
    <n v="0"/>
    <n v="15"/>
    <n v="6"/>
    <n v="3"/>
    <n v="0"/>
    <n v="0"/>
    <n v="0"/>
    <n v="0"/>
    <n v="0"/>
    <n v="0"/>
    <n v="0"/>
    <n v="0"/>
    <n v="0"/>
    <n v="0"/>
    <n v="0"/>
    <n v="0"/>
    <n v="0"/>
    <n v="0"/>
    <n v="0"/>
    <n v="0"/>
    <m/>
  </r>
  <r>
    <n v="1121"/>
    <d v="2024-12-10T07:44:10"/>
    <d v="2024-12-10T07:45:52"/>
    <s v="lkaonga@lighthouse.org.mw"/>
    <s v="Lameck Kaonga"/>
    <x v="3"/>
    <s v="Prototype"/>
    <x v="1"/>
    <s v="COP_23"/>
    <s v="COP_24"/>
    <x v="0"/>
    <s v="Quarter1"/>
    <s v="Qtr_1"/>
    <s v="Nov"/>
    <d v="2024-11-01T00:00:00"/>
    <d v="2024-11-30T00:00:00"/>
    <x v="4"/>
    <n v="0"/>
    <n v="0"/>
    <n v="0"/>
    <n v="0"/>
    <n v="0"/>
    <n v="0"/>
    <n v="0"/>
    <n v="0"/>
    <n v="0"/>
    <n v="0"/>
    <n v="0"/>
    <n v="0"/>
    <n v="0"/>
    <n v="0"/>
    <n v="0"/>
    <n v="0"/>
    <n v="0"/>
    <n v="0"/>
    <n v="0"/>
    <n v="0"/>
    <n v="0"/>
    <n v="0"/>
    <n v="0"/>
    <n v="0"/>
    <n v="0"/>
    <m/>
  </r>
  <r>
    <n v="1122"/>
    <d v="2024-12-10T07:46:10"/>
    <d v="2024-12-10T07:47:11"/>
    <s v="lkaonga@lighthouse.org.mw"/>
    <s v="Lameck Kaonga"/>
    <x v="3"/>
    <s v="Prototype"/>
    <x v="1"/>
    <s v="COP_23"/>
    <s v="COP_24"/>
    <x v="0"/>
    <s v="Quarter1"/>
    <s v="Qtr_1"/>
    <s v="Nov"/>
    <d v="2024-11-01T00:00:00"/>
    <d v="2024-11-30T00:00:00"/>
    <x v="3"/>
    <n v="0"/>
    <n v="0"/>
    <n v="0"/>
    <n v="0"/>
    <n v="0"/>
    <n v="0"/>
    <n v="0"/>
    <n v="0"/>
    <n v="0"/>
    <n v="0"/>
    <n v="0"/>
    <n v="0"/>
    <n v="0"/>
    <n v="0"/>
    <n v="0"/>
    <n v="0"/>
    <n v="0"/>
    <n v="0"/>
    <n v="0"/>
    <n v="0"/>
    <n v="0"/>
    <n v="0"/>
    <n v="0"/>
    <n v="0"/>
    <n v="0"/>
    <m/>
  </r>
  <r>
    <n v="1123"/>
    <d v="2024-12-10T07:47:21"/>
    <d v="2024-12-10T07:49:03"/>
    <s v="lkaonga@lighthouse.org.mw"/>
    <s v="Lameck Kaonga"/>
    <x v="3"/>
    <s v="Prototype"/>
    <x v="1"/>
    <s v="COP_23"/>
    <s v="COP_24"/>
    <x v="0"/>
    <s v="Quarter1"/>
    <s v="Qtr_1"/>
    <s v="Nov"/>
    <d v="2024-11-01T00:00:00"/>
    <d v="2024-11-30T00:00:00"/>
    <x v="6"/>
    <n v="0"/>
    <n v="0"/>
    <n v="0"/>
    <n v="0"/>
    <n v="0"/>
    <n v="0"/>
    <n v="0"/>
    <n v="0"/>
    <n v="0"/>
    <n v="0"/>
    <n v="0"/>
    <n v="0"/>
    <n v="0"/>
    <n v="0"/>
    <n v="0"/>
    <n v="0"/>
    <n v="0"/>
    <n v="0"/>
    <n v="0"/>
    <n v="0"/>
    <n v="0"/>
    <n v="0"/>
    <n v="0"/>
    <n v="0"/>
    <n v="0"/>
    <m/>
  </r>
  <r>
    <n v="1277"/>
    <d v="2025-01-14T16:24:06"/>
    <d v="2025-01-14T16:28:14"/>
    <s v="lkaonga@lighthouse.org.mw"/>
    <s v="Lameck Kaonga"/>
    <x v="3"/>
    <s v="Prototype"/>
    <x v="1"/>
    <s v="COP_23"/>
    <s v="COP_24"/>
    <x v="0"/>
    <s v="Quarter1"/>
    <s v="Qtr_1"/>
    <s v="Dec"/>
    <d v="2024-12-01T00:00:00"/>
    <d v="2024-12-31T00:00:00"/>
    <x v="1"/>
    <n v="32"/>
    <n v="0"/>
    <n v="29"/>
    <n v="0"/>
    <n v="3"/>
    <n v="0"/>
    <n v="7"/>
    <n v="3"/>
    <n v="3"/>
    <n v="0"/>
    <n v="0"/>
    <n v="0"/>
    <n v="7"/>
    <n v="0"/>
    <n v="0"/>
    <n v="0"/>
    <n v="0"/>
    <n v="0"/>
    <n v="0"/>
    <n v="0"/>
    <n v="0"/>
    <n v="0"/>
    <n v="0"/>
    <n v="0"/>
    <n v="0"/>
    <m/>
  </r>
  <r>
    <n v="1278"/>
    <d v="2025-01-14T16:28:23"/>
    <d v="2025-01-14T16:34:53"/>
    <s v="lkaonga@lighthouse.org.mw"/>
    <s v="Lameck Kaonga"/>
    <x v="3"/>
    <s v="Prototype"/>
    <x v="1"/>
    <s v="COP_23"/>
    <s v="COP_24"/>
    <x v="0"/>
    <s v="Quarter1"/>
    <s v="Qtr_1"/>
    <s v="Dec"/>
    <d v="2024-12-01T00:00:00"/>
    <d v="2024-12-31T00:00:00"/>
    <x v="5"/>
    <n v="21"/>
    <n v="0"/>
    <n v="20"/>
    <n v="1"/>
    <n v="0"/>
    <n v="0"/>
    <n v="1"/>
    <n v="0"/>
    <n v="1"/>
    <n v="0"/>
    <n v="0"/>
    <n v="0"/>
    <n v="6"/>
    <n v="0"/>
    <n v="0"/>
    <n v="0"/>
    <n v="0"/>
    <n v="0"/>
    <n v="0"/>
    <n v="0"/>
    <n v="0"/>
    <n v="0"/>
    <n v="0"/>
    <n v="0"/>
    <n v="0"/>
    <m/>
  </r>
  <r>
    <n v="1279"/>
    <d v="2025-01-14T16:35:24"/>
    <d v="2025-01-14T16:49:10"/>
    <s v="lkaonga@lighthouse.org.mw"/>
    <s v="Lameck Kaonga"/>
    <x v="3"/>
    <s v="Prototype"/>
    <x v="1"/>
    <s v="COP_23"/>
    <s v="COP_24"/>
    <x v="0"/>
    <s v="Quarter1"/>
    <s v="Qtr_1"/>
    <s v="Dec"/>
    <d v="2024-12-01T00:00:00"/>
    <d v="2024-12-31T00:00:00"/>
    <x v="5"/>
    <n v="5"/>
    <n v="0"/>
    <n v="5"/>
    <n v="0"/>
    <n v="0"/>
    <n v="0"/>
    <n v="0"/>
    <n v="0"/>
    <n v="0"/>
    <n v="0"/>
    <n v="0"/>
    <n v="0"/>
    <n v="2"/>
    <n v="0"/>
    <n v="0"/>
    <n v="0"/>
    <n v="0"/>
    <n v="0"/>
    <n v="0"/>
    <n v="0"/>
    <n v="0"/>
    <n v="0"/>
    <n v="0"/>
    <n v="0"/>
    <n v="0"/>
    <m/>
  </r>
  <r>
    <n v="1280"/>
    <d v="2025-01-14T16:50:10"/>
    <d v="2025-01-14T16:52:33"/>
    <s v="lkaonga@lighthouse.org.mw"/>
    <s v="Lameck Kaonga"/>
    <x v="3"/>
    <s v="Prototype"/>
    <x v="1"/>
    <s v="COP_23"/>
    <s v="COP_24"/>
    <x v="0"/>
    <s v="Quarter1"/>
    <s v="Qtr_1"/>
    <s v="Dec"/>
    <d v="2024-12-01T00:00:00"/>
    <d v="2024-12-31T00:00:00"/>
    <x v="3"/>
    <n v="2"/>
    <n v="0"/>
    <n v="2"/>
    <n v="0"/>
    <n v="0"/>
    <n v="0"/>
    <n v="0"/>
    <n v="0"/>
    <n v="0"/>
    <n v="0"/>
    <n v="0"/>
    <n v="0"/>
    <n v="0"/>
    <n v="0"/>
    <n v="0"/>
    <n v="0"/>
    <n v="0"/>
    <n v="0"/>
    <n v="0"/>
    <n v="0"/>
    <n v="0"/>
    <n v="0"/>
    <n v="0"/>
    <n v="0"/>
    <n v="0"/>
    <m/>
  </r>
  <r>
    <n v="1281"/>
    <d v="2025-01-14T16:53:37"/>
    <d v="2025-01-14T16:58:03"/>
    <s v="lkaonga@lighthouse.org.mw"/>
    <s v="Lameck Kaonga"/>
    <x v="3"/>
    <s v="Prototype"/>
    <x v="1"/>
    <s v="COP_23"/>
    <s v="COP_24"/>
    <x v="0"/>
    <s v="Quarter1"/>
    <s v="Qtr_1"/>
    <s v="Dec"/>
    <d v="2024-12-01T00:00:00"/>
    <d v="2024-12-31T00:00:00"/>
    <x v="4"/>
    <n v="1"/>
    <n v="0"/>
    <n v="1"/>
    <n v="0"/>
    <n v="0"/>
    <n v="0"/>
    <n v="0"/>
    <n v="0"/>
    <n v="0"/>
    <n v="0"/>
    <n v="0"/>
    <n v="0"/>
    <n v="1"/>
    <n v="0"/>
    <n v="0"/>
    <n v="0"/>
    <n v="0"/>
    <n v="0"/>
    <n v="0"/>
    <n v="0"/>
    <n v="0"/>
    <n v="0"/>
    <n v="0"/>
    <n v="0"/>
    <n v="0"/>
    <m/>
  </r>
  <r>
    <n v="1282"/>
    <d v="2025-01-14T16:58:25"/>
    <d v="2025-01-14T17:00:26"/>
    <s v="lkaonga@lighthouse.org.mw"/>
    <s v="Lameck Kaonga"/>
    <x v="3"/>
    <s v="Prototype"/>
    <x v="1"/>
    <s v="COP_23"/>
    <s v="COP_24"/>
    <x v="0"/>
    <s v="Quarter1"/>
    <s v="Qtr_1"/>
    <s v="Dec"/>
    <d v="2024-12-01T00:00:00"/>
    <d v="2024-12-31T00:00:00"/>
    <x v="6"/>
    <n v="0"/>
    <n v="0"/>
    <n v="0"/>
    <n v="0"/>
    <n v="0"/>
    <n v="0"/>
    <n v="0"/>
    <n v="0"/>
    <n v="0"/>
    <n v="0"/>
    <n v="0"/>
    <n v="0"/>
    <n v="0"/>
    <n v="0"/>
    <n v="0"/>
    <n v="0"/>
    <n v="0"/>
    <n v="0"/>
    <n v="0"/>
    <n v="0"/>
    <n v="0"/>
    <n v="0"/>
    <n v="0"/>
    <n v="0"/>
    <n v="0"/>
    <m/>
  </r>
  <r>
    <n v="1283"/>
    <d v="2025-01-14T17:00:42"/>
    <d v="2025-01-14T17:03:39"/>
    <s v="lkaonga@lighthouse.org.mw"/>
    <s v="Lameck Kaonga"/>
    <x v="3"/>
    <s v="Prototype"/>
    <x v="1"/>
    <s v="COP_22"/>
    <s v="COP_24"/>
    <x v="0"/>
    <s v="Quarter1"/>
    <s v="Qtr_1"/>
    <s v="Dec"/>
    <d v="2024-12-01T00:00:00"/>
    <d v="2024-12-31T00:00:00"/>
    <x v="0"/>
    <n v="61"/>
    <n v="0"/>
    <n v="55"/>
    <n v="2"/>
    <n v="3"/>
    <n v="1"/>
    <n v="13"/>
    <n v="3"/>
    <n v="8"/>
    <n v="0"/>
    <n v="0"/>
    <n v="0"/>
    <n v="16"/>
    <n v="0"/>
    <n v="0"/>
    <n v="0"/>
    <n v="0"/>
    <n v="0"/>
    <n v="0"/>
    <n v="0"/>
    <n v="0"/>
    <n v="0"/>
    <n v="0"/>
    <n v="0"/>
    <n v="0"/>
    <m/>
  </r>
  <r>
    <n v="1315"/>
    <d v="2025-02-24T14:05:02"/>
    <d v="2025-02-24T14:08:07"/>
    <s v="eadisoni@lighthouse.org.mw"/>
    <s v="Eliza adisoni"/>
    <x v="3"/>
    <s v="Prototype"/>
    <x v="2"/>
    <s v="COP_23"/>
    <s v="COP_24"/>
    <x v="2"/>
    <s v="Quarter2"/>
    <s v="Qtr_2"/>
    <s v="Jan"/>
    <d v="2025-01-01T00:00:00"/>
    <d v="2025-01-31T00:00:00"/>
    <x v="0"/>
    <n v="43"/>
    <n v="0"/>
    <n v="38"/>
    <n v="3"/>
    <n v="1"/>
    <n v="1"/>
    <n v="2"/>
    <n v="1"/>
    <n v="0"/>
    <n v="0"/>
    <n v="0"/>
    <n v="0"/>
    <n v="18"/>
    <n v="0"/>
    <n v="0"/>
    <n v="0"/>
    <n v="0"/>
    <n v="0"/>
    <n v="0"/>
    <n v="0"/>
    <n v="0"/>
    <n v="0"/>
    <n v="0"/>
    <n v="0"/>
    <n v="0"/>
    <m/>
  </r>
  <r>
    <n v="1316"/>
    <d v="2025-02-24T14:08:21"/>
    <d v="2025-02-24T14:11:23"/>
    <s v="eadisoni@lighthouse.org.mw"/>
    <s v="Eliza adisoni"/>
    <x v="3"/>
    <s v="Prototype"/>
    <x v="2"/>
    <s v="COP_23"/>
    <s v="COP_24"/>
    <x v="2"/>
    <s v="Quarter2"/>
    <s v="Qtr_2"/>
    <s v="Jan"/>
    <d v="2025-01-01T00:00:00"/>
    <d v="2025-01-31T00:00:00"/>
    <x v="3"/>
    <n v="1"/>
    <n v="0"/>
    <n v="0"/>
    <n v="0"/>
    <n v="0"/>
    <n v="1"/>
    <n v="0"/>
    <n v="0"/>
    <n v="1"/>
    <n v="0"/>
    <n v="0"/>
    <n v="0"/>
    <n v="1"/>
    <n v="0"/>
    <n v="0"/>
    <n v="0"/>
    <n v="0"/>
    <n v="0"/>
    <n v="0"/>
    <n v="0"/>
    <n v="0"/>
    <n v="0"/>
    <n v="0"/>
    <n v="0"/>
    <n v="0"/>
    <m/>
  </r>
  <r>
    <n v="1317"/>
    <d v="2025-02-24T14:11:34"/>
    <d v="2025-02-24T14:13:32"/>
    <s v="eadisoni@lighthouse.org.mw"/>
    <s v="Eliza adisoni"/>
    <x v="3"/>
    <s v="Prototype"/>
    <x v="2"/>
    <s v="COP_23"/>
    <s v="COP_24"/>
    <x v="2"/>
    <s v="Quarter2"/>
    <s v="Qtr_2"/>
    <s v="Jan"/>
    <d v="2025-01-01T00:00:00"/>
    <d v="2025-01-31T00:00:00"/>
    <x v="4"/>
    <n v="1"/>
    <n v="0"/>
    <n v="1"/>
    <n v="0"/>
    <n v="0"/>
    <n v="0"/>
    <n v="0"/>
    <n v="0"/>
    <n v="0"/>
    <n v="0"/>
    <n v="0"/>
    <n v="0"/>
    <n v="1"/>
    <n v="0"/>
    <n v="0"/>
    <n v="0"/>
    <n v="0"/>
    <n v="0"/>
    <n v="0"/>
    <n v="0"/>
    <n v="0"/>
    <n v="0"/>
    <n v="0"/>
    <n v="0"/>
    <n v="0"/>
    <m/>
  </r>
  <r>
    <n v="1318"/>
    <d v="2025-02-24T14:13:42"/>
    <d v="2025-02-24T14:16:36"/>
    <s v="eadisoni@lighthouse.org.mw"/>
    <s v="Eliza adisoni"/>
    <x v="3"/>
    <s v="Prototype"/>
    <x v="2"/>
    <s v="COP_23"/>
    <s v="COP_24"/>
    <x v="2"/>
    <s v="Quarter2"/>
    <s v="Qtr_2"/>
    <s v="Jan"/>
    <d v="2025-01-01T00:00:00"/>
    <d v="2025-01-31T00:00:00"/>
    <x v="1"/>
    <n v="23"/>
    <n v="0"/>
    <n v="19"/>
    <n v="2"/>
    <n v="1"/>
    <n v="1"/>
    <n v="0"/>
    <n v="0"/>
    <n v="2"/>
    <n v="0"/>
    <n v="0"/>
    <n v="0"/>
    <n v="4"/>
    <n v="0"/>
    <n v="0"/>
    <n v="0"/>
    <n v="0"/>
    <n v="0"/>
    <n v="0"/>
    <n v="0"/>
    <n v="0"/>
    <n v="0"/>
    <n v="0"/>
    <n v="0"/>
    <n v="0"/>
    <m/>
  </r>
  <r>
    <n v="1319"/>
    <d v="2025-02-24T14:16:48"/>
    <d v="2025-02-24T14:19:17"/>
    <s v="eadisoni@lighthouse.org.mw"/>
    <s v="Eliza adisoni"/>
    <x v="3"/>
    <s v="Prototype"/>
    <x v="2"/>
    <s v="COP_23"/>
    <s v="COP_24"/>
    <x v="2"/>
    <s v="Quarter2"/>
    <s v="Qtr_2"/>
    <s v="Jan"/>
    <d v="2025-01-01T00:00:00"/>
    <d v="2025-01-31T00:00:00"/>
    <x v="2"/>
    <n v="12"/>
    <n v="0"/>
    <n v="12"/>
    <n v="0"/>
    <n v="0"/>
    <n v="0"/>
    <n v="0"/>
    <n v="0"/>
    <n v="7"/>
    <n v="0"/>
    <n v="0"/>
    <n v="0"/>
    <n v="10"/>
    <n v="0"/>
    <n v="1"/>
    <n v="0"/>
    <n v="0"/>
    <n v="0"/>
    <n v="0"/>
    <n v="0"/>
    <n v="0"/>
    <n v="0"/>
    <n v="0"/>
    <n v="0"/>
    <n v="0"/>
    <m/>
  </r>
  <r>
    <n v="1320"/>
    <d v="2025-02-24T14:19:30"/>
    <d v="2025-02-24T14:22:09"/>
    <s v="eadisoni@lighthouse.org.mw"/>
    <s v="Eliza adisoni"/>
    <x v="3"/>
    <s v="Prototype"/>
    <x v="2"/>
    <s v="COP_23"/>
    <s v="COP_24"/>
    <x v="2"/>
    <s v="Quarter2"/>
    <s v="Qtr_2"/>
    <s v="Jan"/>
    <d v="2025-01-01T00:00:00"/>
    <d v="2025-01-31T00:00:00"/>
    <x v="5"/>
    <n v="6"/>
    <n v="0"/>
    <n v="6"/>
    <n v="0"/>
    <n v="0"/>
    <n v="0"/>
    <n v="1"/>
    <n v="0"/>
    <n v="5"/>
    <n v="0"/>
    <n v="0"/>
    <n v="0"/>
    <n v="5"/>
    <n v="0"/>
    <n v="0"/>
    <n v="0"/>
    <n v="0"/>
    <n v="0"/>
    <n v="0"/>
    <n v="0"/>
    <n v="0"/>
    <n v="0"/>
    <n v="0"/>
    <n v="0"/>
    <n v="0"/>
    <m/>
  </r>
  <r>
    <n v="1364"/>
    <d v="2025-03-06T10:30:01"/>
    <d v="2025-03-06T10:33:12"/>
    <s v="eadisoni@lighthouse.org.mw"/>
    <s v="Eliza adisoni"/>
    <x v="3"/>
    <s v="Prototype"/>
    <x v="2"/>
    <s v="COP_23"/>
    <s v="COP_24"/>
    <x v="2"/>
    <s v="Quarter2"/>
    <s v="Qtr_2"/>
    <s v="Feb"/>
    <d v="2025-02-03T00:00:00"/>
    <d v="2025-02-28T00:00:00"/>
    <x v="0"/>
    <n v="16"/>
    <n v="0"/>
    <n v="14"/>
    <n v="1"/>
    <n v="1"/>
    <n v="0"/>
    <n v="2"/>
    <n v="0"/>
    <n v="0"/>
    <n v="0"/>
    <n v="0"/>
    <n v="0"/>
    <n v="0"/>
    <n v="0"/>
    <n v="0"/>
    <n v="0"/>
    <n v="0"/>
    <n v="0"/>
    <n v="0"/>
    <n v="0"/>
    <n v="0"/>
    <n v="0"/>
    <n v="0"/>
    <n v="0"/>
    <n v="0"/>
    <m/>
  </r>
  <r>
    <n v="1365"/>
    <d v="2025-03-06T10:33:33"/>
    <d v="2025-03-06T10:35:27"/>
    <s v="eadisoni@lighthouse.org.mw"/>
    <s v="Eliza adisoni"/>
    <x v="3"/>
    <s v="Prototype"/>
    <x v="2"/>
    <s v="COP_23"/>
    <s v="COP_24"/>
    <x v="2"/>
    <s v="Quarter2"/>
    <s v="Qtr_2"/>
    <s v="Feb"/>
    <d v="2025-02-03T00:00:00"/>
    <d v="2025-02-28T00:00:00"/>
    <x v="1"/>
    <n v="13"/>
    <n v="0"/>
    <n v="11"/>
    <n v="1"/>
    <n v="1"/>
    <n v="0"/>
    <n v="2"/>
    <n v="0"/>
    <n v="0"/>
    <n v="0"/>
    <n v="0"/>
    <n v="0"/>
    <n v="1"/>
    <n v="0"/>
    <n v="0"/>
    <n v="0"/>
    <n v="0"/>
    <n v="0"/>
    <n v="0"/>
    <n v="0"/>
    <n v="0"/>
    <n v="0"/>
    <n v="0"/>
    <n v="0"/>
    <n v="0"/>
    <m/>
  </r>
  <r>
    <n v="1366"/>
    <d v="2025-03-06T10:35:33"/>
    <d v="2025-03-06T10:37:23"/>
    <s v="eadisoni@lighthouse.org.mw"/>
    <s v="Eliza adisoni"/>
    <x v="3"/>
    <s v="Prototype"/>
    <x v="2"/>
    <s v="COP_23"/>
    <s v="COP_24"/>
    <x v="2"/>
    <s v="Quarter2"/>
    <s v="Qtr_2"/>
    <s v="Feb"/>
    <d v="2025-02-03T00:00:00"/>
    <d v="2025-02-28T00:00:00"/>
    <x v="3"/>
    <n v="1"/>
    <n v="1"/>
    <n v="0"/>
    <n v="0"/>
    <n v="1"/>
    <n v="0"/>
    <n v="0"/>
    <n v="0"/>
    <n v="1"/>
    <n v="0"/>
    <n v="0"/>
    <n v="0"/>
    <n v="1"/>
    <n v="0"/>
    <n v="0"/>
    <n v="0"/>
    <n v="0"/>
    <n v="0"/>
    <n v="0"/>
    <n v="0"/>
    <n v="0"/>
    <n v="0"/>
    <n v="0"/>
    <n v="0"/>
    <n v="0"/>
    <m/>
  </r>
  <r>
    <n v="1368"/>
    <d v="2025-03-06T10:37:32"/>
    <d v="2025-03-06T10:39:58"/>
    <s v="eadisoni@lighthouse.org.mw"/>
    <s v="Eliza adisoni"/>
    <x v="3"/>
    <s v="Prototype"/>
    <x v="2"/>
    <s v="COP_23"/>
    <s v="COP_24"/>
    <x v="2"/>
    <s v="Quarter2"/>
    <s v="Qtr_2"/>
    <s v="Feb"/>
    <d v="2025-02-03T00:00:00"/>
    <d v="2025-02-28T00:00:00"/>
    <x v="2"/>
    <n v="3"/>
    <n v="0"/>
    <n v="3"/>
    <n v="0"/>
    <n v="0"/>
    <n v="0"/>
    <n v="0"/>
    <n v="0"/>
    <n v="3"/>
    <n v="0"/>
    <n v="0"/>
    <n v="0"/>
    <n v="3"/>
    <n v="0"/>
    <n v="0"/>
    <n v="0"/>
    <n v="0"/>
    <n v="0"/>
    <n v="0"/>
    <n v="0"/>
    <n v="0"/>
    <n v="0"/>
    <n v="0"/>
    <n v="0"/>
    <n v="0"/>
    <m/>
  </r>
  <r>
    <n v="1369"/>
    <d v="2025-03-06T10:40:08"/>
    <d v="2025-03-06T10:42:41"/>
    <s v="eadisoni@lighthouse.org.mw"/>
    <s v="Eliza adisoni"/>
    <x v="3"/>
    <s v="Prototype"/>
    <x v="2"/>
    <s v="COP_23"/>
    <s v="COP_24"/>
    <x v="2"/>
    <s v="Quarter2"/>
    <s v="Qtr_2"/>
    <s v="Feb"/>
    <d v="2025-02-03T00:00:00"/>
    <d v="2025-02-28T00:00:00"/>
    <x v="4"/>
    <n v="0"/>
    <n v="0"/>
    <n v="0"/>
    <n v="0"/>
    <n v="0"/>
    <n v="0"/>
    <n v="0"/>
    <n v="0"/>
    <n v="0"/>
    <n v="0"/>
    <n v="0"/>
    <n v="0"/>
    <n v="0"/>
    <n v="0"/>
    <n v="0"/>
    <n v="0"/>
    <n v="0"/>
    <n v="0"/>
    <n v="0"/>
    <n v="0"/>
    <n v="0"/>
    <n v="0"/>
    <n v="0"/>
    <n v="0"/>
    <n v="0"/>
    <m/>
  </r>
  <r>
    <n v="1370"/>
    <d v="2025-03-06T10:43:04"/>
    <d v="2025-03-06T10:46:48"/>
    <s v="eadisoni@lighthouse.org.mw"/>
    <s v="Eliza adisoni"/>
    <x v="3"/>
    <s v="Prototype"/>
    <x v="2"/>
    <s v="COP_23"/>
    <s v="COP_24"/>
    <x v="2"/>
    <s v="Quarter2"/>
    <s v="Qtr_2"/>
    <s v="Feb"/>
    <d v="2025-02-03T00:00:00"/>
    <d v="2025-02-28T00:00:00"/>
    <x v="5"/>
    <n v="0"/>
    <n v="0"/>
    <n v="0"/>
    <n v="0"/>
    <n v="0"/>
    <n v="0"/>
    <n v="0"/>
    <n v="0"/>
    <n v="0"/>
    <n v="0"/>
    <n v="0"/>
    <n v="0"/>
    <n v="0"/>
    <n v="0"/>
    <n v="0"/>
    <n v="0"/>
    <n v="0"/>
    <n v="0"/>
    <n v="0"/>
    <n v="0"/>
    <n v="0"/>
    <n v="0"/>
    <n v="0"/>
    <n v="0"/>
    <n v="0"/>
    <m/>
  </r>
  <r>
    <n v="1482"/>
    <d v="2025-04-03T07:59:12"/>
    <d v="2025-04-03T08:06:34"/>
    <s v="eadisoni@lighthouse.org.mw"/>
    <s v="Eliza adisoni"/>
    <x v="3"/>
    <s v="Prototype"/>
    <x v="2"/>
    <s v="COP_23"/>
    <s v="COP_24"/>
    <x v="2"/>
    <s v="Quarter2"/>
    <s v="Qtr_2"/>
    <s v="Mar"/>
    <d v="2025-03-01T00:00:00"/>
    <d v="2025-03-31T00:00:00"/>
    <x v="0"/>
    <n v="77"/>
    <n v="0"/>
    <n v="66"/>
    <n v="7"/>
    <n v="2"/>
    <n v="2"/>
    <n v="28"/>
    <n v="9"/>
    <n v="48"/>
    <n v="0"/>
    <n v="0"/>
    <n v="0"/>
    <n v="50"/>
    <n v="5"/>
    <n v="3"/>
    <n v="0"/>
    <n v="0"/>
    <n v="0"/>
    <n v="0"/>
    <n v="0"/>
    <n v="5"/>
    <n v="5"/>
    <n v="0"/>
    <n v="0"/>
    <n v="0"/>
    <m/>
  </r>
  <r>
    <n v="1483"/>
    <d v="2025-04-03T08:06:39"/>
    <d v="2025-04-03T08:08:29"/>
    <s v="eadisoni@lighthouse.org.mw"/>
    <s v="Eliza adisoni"/>
    <x v="3"/>
    <s v="Prototype"/>
    <x v="2"/>
    <s v="COP_23"/>
    <s v="COP_24"/>
    <x v="2"/>
    <s v="Quarter2"/>
    <s v="Qtr_2"/>
    <s v="Mar"/>
    <d v="2025-03-01T00:00:00"/>
    <d v="2025-03-31T00:00:00"/>
    <x v="1"/>
    <n v="40"/>
    <n v="0"/>
    <n v="34"/>
    <n v="3"/>
    <n v="2"/>
    <n v="1"/>
    <n v="27"/>
    <n v="10"/>
    <n v="11"/>
    <n v="0"/>
    <n v="0"/>
    <n v="0"/>
    <n v="14"/>
    <n v="0"/>
    <n v="2"/>
    <n v="0"/>
    <n v="0"/>
    <n v="0"/>
    <n v="0"/>
    <n v="0"/>
    <n v="0"/>
    <n v="0"/>
    <n v="0"/>
    <n v="0"/>
    <n v="0"/>
    <m/>
  </r>
  <r>
    <n v="1484"/>
    <d v="2025-04-03T08:08:38"/>
    <d v="2025-04-03T08:09:41"/>
    <s v="eadisoni@lighthouse.org.mw"/>
    <s v="Eliza adisoni"/>
    <x v="3"/>
    <s v="Prototype"/>
    <x v="2"/>
    <s v="COP_23"/>
    <s v="COP_24"/>
    <x v="2"/>
    <s v="Quarter2"/>
    <s v="Qtr_2"/>
    <s v="Mar"/>
    <d v="2025-03-01T00:00:00"/>
    <d v="2025-03-31T00:00:00"/>
    <x v="3"/>
    <n v="0"/>
    <n v="0"/>
    <n v="0"/>
    <n v="0"/>
    <n v="0"/>
    <n v="0"/>
    <n v="0"/>
    <n v="0"/>
    <n v="0"/>
    <n v="0"/>
    <n v="0"/>
    <n v="0"/>
    <n v="0"/>
    <n v="0"/>
    <n v="0"/>
    <n v="0"/>
    <n v="0"/>
    <n v="0"/>
    <n v="0"/>
    <n v="0"/>
    <n v="0"/>
    <n v="0"/>
    <n v="0"/>
    <n v="0"/>
    <n v="0"/>
    <m/>
  </r>
  <r>
    <n v="1485"/>
    <d v="2025-04-03T08:10:27"/>
    <d v="2025-04-03T08:12:34"/>
    <s v="eadisoni@lighthouse.org.mw"/>
    <s v="Eliza adisoni"/>
    <x v="3"/>
    <s v="Prototype"/>
    <x v="2"/>
    <s v="COP_23"/>
    <s v="COP_24"/>
    <x v="2"/>
    <s v="Quarter2"/>
    <s v="Qtr_2"/>
    <s v="Mar"/>
    <d v="2025-03-01T00:00:00"/>
    <d v="2025-03-31T00:00:00"/>
    <x v="5"/>
    <n v="8"/>
    <n v="0"/>
    <n v="8"/>
    <n v="0"/>
    <n v="0"/>
    <n v="0"/>
    <n v="0"/>
    <n v="0"/>
    <n v="8"/>
    <n v="0"/>
    <n v="0"/>
    <n v="0"/>
    <n v="8"/>
    <n v="1"/>
    <n v="0"/>
    <n v="0"/>
    <n v="0"/>
    <n v="0"/>
    <n v="0"/>
    <n v="0"/>
    <n v="0"/>
    <n v="0"/>
    <n v="0"/>
    <n v="0"/>
    <n v="0"/>
    <m/>
  </r>
  <r>
    <n v="1486"/>
    <d v="2025-04-03T08:12:38"/>
    <d v="2025-04-03T08:14:19"/>
    <s v="eadisoni@lighthouse.org.mw"/>
    <s v="Eliza adisoni"/>
    <x v="3"/>
    <s v="Prototype"/>
    <x v="2"/>
    <s v="COP_23"/>
    <s v="COP_24"/>
    <x v="2"/>
    <s v="Quarter2"/>
    <s v="Qtr_2"/>
    <s v="Mar"/>
    <d v="2025-03-01T00:00:00"/>
    <d v="2025-03-31T00:00:00"/>
    <x v="4"/>
    <n v="4"/>
    <n v="0"/>
    <n v="4"/>
    <n v="0"/>
    <n v="0"/>
    <n v="0"/>
    <n v="2"/>
    <n v="0"/>
    <n v="0"/>
    <n v="0"/>
    <n v="0"/>
    <n v="0"/>
    <n v="1"/>
    <n v="1"/>
    <n v="0"/>
    <n v="0"/>
    <n v="0"/>
    <n v="0"/>
    <n v="0"/>
    <n v="0"/>
    <n v="1"/>
    <n v="0"/>
    <n v="0"/>
    <n v="0"/>
    <n v="0"/>
    <m/>
  </r>
  <r>
    <n v="1487"/>
    <d v="2025-04-03T08:14:36"/>
    <d v="2025-04-03T08:16:59"/>
    <s v="eadisoni@lighthouse.org.mw"/>
    <s v="Eliza adisoni"/>
    <x v="3"/>
    <s v="Prototype"/>
    <x v="2"/>
    <s v="COP_23"/>
    <s v="COP_24"/>
    <x v="2"/>
    <s v="Quarter2"/>
    <s v="Qtr_2"/>
    <s v="Mar"/>
    <d v="2025-03-01T00:00:00"/>
    <d v="2025-03-31T00:00:00"/>
    <x v="2"/>
    <n v="35"/>
    <n v="0"/>
    <n v="32"/>
    <n v="2"/>
    <n v="0"/>
    <n v="1"/>
    <n v="1"/>
    <n v="1"/>
    <n v="34"/>
    <n v="0"/>
    <n v="0"/>
    <n v="0"/>
    <n v="34"/>
    <n v="4"/>
    <n v="1"/>
    <n v="0"/>
    <n v="0"/>
    <n v="0"/>
    <n v="0"/>
    <n v="0"/>
    <n v="5"/>
    <n v="0"/>
    <n v="0"/>
    <n v="0"/>
    <n v="0"/>
    <m/>
  </r>
  <r>
    <n v="1614"/>
    <d v="2025-06-03T10:07:00"/>
    <d v="2025-06-03T10:09:21"/>
    <s v="eadisoni@lighthouse.org.mw"/>
    <s v="Eliza adisoni"/>
    <x v="3"/>
    <s v="Prototype"/>
    <x v="2"/>
    <s v="COP_24"/>
    <m/>
    <x v="1"/>
    <s v="Quarter3"/>
    <m/>
    <s v="Apr"/>
    <d v="2025-04-01T00:00:00"/>
    <d v="2025-04-30T00:00:00"/>
    <x v="0"/>
    <n v="52"/>
    <n v="0"/>
    <n v="44"/>
    <n v="4"/>
    <n v="2"/>
    <n v="2"/>
    <n v="28"/>
    <n v="11"/>
    <n v="0"/>
    <n v="0"/>
    <n v="0"/>
    <n v="0"/>
    <n v="28"/>
    <n v="2"/>
    <n v="0"/>
    <n v="0"/>
    <n v="0"/>
    <n v="0"/>
    <n v="0"/>
    <n v="0"/>
    <n v="2"/>
    <n v="0"/>
    <n v="0"/>
    <n v="0"/>
    <n v="0"/>
    <m/>
  </r>
  <r>
    <n v="1615"/>
    <d v="2025-06-03T10:09:37"/>
    <d v="2025-06-03T10:11:55"/>
    <s v="eadisoni@lighthouse.org.mw"/>
    <s v="Eliza adisoni"/>
    <x v="3"/>
    <s v="Prototype"/>
    <x v="2"/>
    <s v="COP_23"/>
    <m/>
    <x v="1"/>
    <s v="Quarter3"/>
    <m/>
    <s v="Apr"/>
    <d v="2025-04-01T00:00:00"/>
    <d v="2025-04-30T00:00:00"/>
    <x v="1"/>
    <n v="31"/>
    <n v="0"/>
    <n v="25"/>
    <n v="4"/>
    <n v="2"/>
    <n v="0"/>
    <n v="24"/>
    <n v="9"/>
    <n v="8"/>
    <n v="0"/>
    <n v="8"/>
    <n v="0"/>
    <n v="0"/>
    <n v="0"/>
    <n v="0"/>
    <n v="0"/>
    <n v="0"/>
    <n v="0"/>
    <n v="0"/>
    <n v="0"/>
    <n v="0"/>
    <n v="0"/>
    <n v="0"/>
    <n v="0"/>
    <n v="0"/>
    <m/>
  </r>
  <r>
    <n v="1616"/>
    <d v="2025-06-03T10:12:02"/>
    <d v="2025-06-03T10:13:50"/>
    <s v="eadisoni@lighthouse.org.mw"/>
    <s v="Eliza adisoni"/>
    <x v="3"/>
    <s v="Prototype"/>
    <x v="2"/>
    <s v="COP_23"/>
    <m/>
    <x v="1"/>
    <s v="Quarter3"/>
    <m/>
    <s v="Apr"/>
    <d v="2025-04-01T00:00:00"/>
    <d v="2025-04-30T00:00:00"/>
    <x v="3"/>
    <n v="1"/>
    <n v="0"/>
    <n v="1"/>
    <n v="0"/>
    <n v="0"/>
    <n v="0"/>
    <n v="0"/>
    <n v="0"/>
    <n v="0"/>
    <n v="0"/>
    <n v="0"/>
    <n v="0"/>
    <n v="0"/>
    <n v="0"/>
    <n v="0"/>
    <n v="0"/>
    <n v="0"/>
    <n v="0"/>
    <n v="0"/>
    <n v="0"/>
    <n v="0"/>
    <n v="0"/>
    <n v="0"/>
    <n v="0"/>
    <n v="0"/>
    <m/>
  </r>
  <r>
    <n v="1617"/>
    <d v="2025-06-03T10:13:58"/>
    <d v="2025-06-03T10:15:13"/>
    <s v="eadisoni@lighthouse.org.mw"/>
    <s v="Eliza adisoni"/>
    <x v="3"/>
    <s v="Prototype"/>
    <x v="2"/>
    <s v="COP_23"/>
    <m/>
    <x v="1"/>
    <s v="Quarter3"/>
    <m/>
    <s v="Apr"/>
    <d v="2025-04-01T00:00:00"/>
    <d v="2025-04-30T00:00:00"/>
    <x v="4"/>
    <n v="0"/>
    <n v="0"/>
    <n v="0"/>
    <n v="0"/>
    <n v="0"/>
    <n v="0"/>
    <n v="0"/>
    <n v="0"/>
    <n v="0"/>
    <n v="0"/>
    <n v="0"/>
    <n v="0"/>
    <n v="0"/>
    <n v="0"/>
    <n v="0"/>
    <n v="0"/>
    <n v="0"/>
    <n v="0"/>
    <n v="0"/>
    <n v="0"/>
    <n v="0"/>
    <n v="0"/>
    <n v="0"/>
    <n v="0"/>
    <n v="0"/>
    <m/>
  </r>
  <r>
    <n v="1647"/>
    <d v="2025-06-05T11:42:45"/>
    <d v="2025-06-05T11:44:58"/>
    <s v="eadisoni@lighthouse.org.mw"/>
    <s v="Eliza adisoni"/>
    <x v="3"/>
    <s v="Prototype"/>
    <x v="2"/>
    <s v="COP_23"/>
    <m/>
    <x v="1"/>
    <s v="Quarter3"/>
    <m/>
    <s v="May"/>
    <d v="2025-05-01T00:00:00"/>
    <d v="2025-05-31T00:00:00"/>
    <x v="0"/>
    <n v="54"/>
    <n v="0"/>
    <n v="45"/>
    <n v="2"/>
    <n v="7"/>
    <n v="0"/>
    <n v="13"/>
    <n v="3"/>
    <n v="12"/>
    <n v="0"/>
    <n v="0"/>
    <n v="0"/>
    <n v="35"/>
    <n v="0"/>
    <n v="5"/>
    <n v="0"/>
    <n v="0"/>
    <n v="0"/>
    <n v="0"/>
    <n v="0"/>
    <n v="0"/>
    <n v="0"/>
    <n v="0"/>
    <n v="0"/>
    <n v="0"/>
    <m/>
  </r>
  <r>
    <n v="1648"/>
    <d v="2025-06-05T11:45:09"/>
    <d v="2025-06-05T11:47:42"/>
    <s v="eadisoni@lighthouse.org.mw"/>
    <s v="Eliza adisoni"/>
    <x v="3"/>
    <s v="Prototype"/>
    <x v="2"/>
    <s v="COP_23"/>
    <m/>
    <x v="1"/>
    <s v="Quarter3"/>
    <m/>
    <s v="May"/>
    <d v="2025-05-01T00:00:00"/>
    <d v="2025-05-31T00:00:00"/>
    <x v="1"/>
    <n v="28"/>
    <n v="0"/>
    <n v="20"/>
    <n v="1"/>
    <n v="7"/>
    <n v="0"/>
    <n v="13"/>
    <n v="3"/>
    <n v="1"/>
    <n v="0"/>
    <n v="0"/>
    <n v="0"/>
    <n v="12"/>
    <n v="0"/>
    <n v="0"/>
    <n v="0"/>
    <n v="0"/>
    <n v="0"/>
    <n v="0"/>
    <n v="0"/>
    <n v="0"/>
    <n v="0"/>
    <n v="0"/>
    <n v="0"/>
    <n v="0"/>
    <m/>
  </r>
  <r>
    <n v="1649"/>
    <d v="2025-06-05T11:47:47"/>
    <d v="2025-06-05T11:49:01"/>
    <s v="eadisoni@lighthouse.org.mw"/>
    <s v="Eliza adisoni"/>
    <x v="3"/>
    <s v="Prototype"/>
    <x v="2"/>
    <s v="COP_23"/>
    <m/>
    <x v="1"/>
    <s v="Quarter3"/>
    <m/>
    <s v="May"/>
    <d v="2025-05-01T00:00:00"/>
    <d v="2025-05-31T00:00:00"/>
    <x v="3"/>
    <n v="0"/>
    <n v="0"/>
    <n v="0"/>
    <n v="0"/>
    <n v="0"/>
    <n v="0"/>
    <n v="0"/>
    <n v="0"/>
    <n v="0"/>
    <n v="0"/>
    <n v="0"/>
    <n v="0"/>
    <n v="0"/>
    <n v="0"/>
    <n v="0"/>
    <n v="0"/>
    <n v="0"/>
    <n v="0"/>
    <n v="0"/>
    <n v="0"/>
    <n v="0"/>
    <n v="0"/>
    <n v="0"/>
    <n v="0"/>
    <n v="0"/>
    <m/>
  </r>
  <r>
    <n v="1650"/>
    <d v="2025-06-05T11:49:11"/>
    <d v="2025-06-05T11:50:45"/>
    <s v="eadisoni@lighthouse.org.mw"/>
    <s v="Eliza adisoni"/>
    <x v="3"/>
    <s v="Prototype"/>
    <x v="2"/>
    <s v="COP_23"/>
    <m/>
    <x v="1"/>
    <s v="Quarter3"/>
    <m/>
    <s v="May"/>
    <d v="2025-05-01T00:00:00"/>
    <d v="2025-05-31T00:00:00"/>
    <x v="4"/>
    <n v="1"/>
    <n v="0"/>
    <n v="0"/>
    <n v="0"/>
    <n v="1"/>
    <n v="0"/>
    <n v="0"/>
    <n v="0"/>
    <n v="0"/>
    <n v="0"/>
    <n v="0"/>
    <n v="0"/>
    <n v="0"/>
    <n v="0"/>
    <n v="0"/>
    <n v="0"/>
    <n v="0"/>
    <n v="0"/>
    <n v="0"/>
    <n v="0"/>
    <n v="0"/>
    <n v="0"/>
    <n v="0"/>
    <n v="0"/>
    <n v="0"/>
    <m/>
  </r>
  <r>
    <n v="1651"/>
    <d v="2025-06-05T11:51:25"/>
    <d v="2025-06-05T11:53:22"/>
    <s v="eadisoni@lighthouse.org.mw"/>
    <s v="Eliza adisoni"/>
    <x v="3"/>
    <s v="Prototype"/>
    <x v="2"/>
    <s v="COP_23"/>
    <m/>
    <x v="1"/>
    <s v="Quarter3"/>
    <m/>
    <s v="May"/>
    <d v="2025-05-01T00:00:00"/>
    <d v="2025-05-31T00:00:00"/>
    <x v="5"/>
    <n v="8"/>
    <n v="0"/>
    <n v="8"/>
    <n v="0"/>
    <n v="0"/>
    <n v="0"/>
    <n v="0"/>
    <n v="0"/>
    <n v="0"/>
    <n v="0"/>
    <n v="0"/>
    <n v="0"/>
    <n v="7"/>
    <n v="0"/>
    <n v="0"/>
    <n v="0"/>
    <n v="0"/>
    <n v="0"/>
    <n v="0"/>
    <n v="0"/>
    <n v="0"/>
    <n v="0"/>
    <n v="0"/>
    <n v="0"/>
    <n v="0"/>
    <m/>
  </r>
  <r>
    <n v="1652"/>
    <d v="2025-06-05T11:53:32"/>
    <d v="2025-06-05T11:55:34"/>
    <s v="eadisoni@lighthouse.org.mw"/>
    <s v="Eliza adisoni"/>
    <x v="3"/>
    <s v="Prototype"/>
    <x v="2"/>
    <s v="COP_23"/>
    <m/>
    <x v="1"/>
    <s v="Quarter3"/>
    <m/>
    <s v="May"/>
    <d v="2025-05-01T00:00:00"/>
    <d v="2025-05-31T00:00:00"/>
    <x v="2"/>
    <n v="19"/>
    <n v="0"/>
    <n v="19"/>
    <n v="0"/>
    <n v="0"/>
    <n v="0"/>
    <n v="0"/>
    <n v="0"/>
    <n v="6"/>
    <n v="0"/>
    <n v="0"/>
    <n v="0"/>
    <n v="19"/>
    <n v="0"/>
    <n v="1"/>
    <n v="0"/>
    <n v="0"/>
    <n v="0"/>
    <n v="0"/>
    <n v="0"/>
    <n v="0"/>
    <n v="0"/>
    <n v="0"/>
    <n v="0"/>
    <n v="0"/>
    <m/>
  </r>
  <r>
    <n v="1707"/>
    <d v="2025-07-01T10:18:40"/>
    <d v="2025-07-01T10:25:08"/>
    <s v="eadisoni@lighthouse.org.mw"/>
    <s v="Eliza adisoni"/>
    <x v="3"/>
    <s v="Prototype"/>
    <x v="2"/>
    <s v="COP_23"/>
    <m/>
    <x v="1"/>
    <s v="Quarter3"/>
    <m/>
    <s v="Apr"/>
    <d v="2025-04-01T00:00:00"/>
    <d v="2025-04-30T00:00:00"/>
    <x v="2"/>
    <n v="21"/>
    <n v="2"/>
    <n v="17"/>
    <n v="0"/>
    <n v="0"/>
    <n v="4"/>
    <n v="4"/>
    <n v="2"/>
    <n v="19"/>
    <n v="0"/>
    <n v="0"/>
    <n v="0"/>
    <n v="19"/>
    <n v="2"/>
    <n v="0"/>
    <n v="0"/>
    <n v="0"/>
    <n v="0"/>
    <n v="0"/>
    <n v="0"/>
    <n v="2"/>
    <n v="0"/>
    <n v="0"/>
    <n v="0"/>
    <n v="0"/>
    <m/>
  </r>
  <r>
    <n v="1725"/>
    <d v="2025-07-08T07:32:43"/>
    <d v="2025-07-08T07:36:14"/>
    <s v="eadisoni@lighthouse.org.mw"/>
    <s v="Eliza adisoni"/>
    <x v="3"/>
    <s v="Prototype"/>
    <x v="2"/>
    <s v="COP_23"/>
    <m/>
    <x v="3"/>
    <s v="Quarter3"/>
    <m/>
    <s v="Jun"/>
    <d v="2025-06-01T00:00:00"/>
    <d v="2025-06-30T00:00:00"/>
    <x v="0"/>
    <n v="81"/>
    <n v="0"/>
    <n v="75"/>
    <n v="2"/>
    <n v="4"/>
    <n v="0"/>
    <n v="22"/>
    <n v="6"/>
    <n v="59"/>
    <n v="0"/>
    <n v="1"/>
    <n v="0"/>
    <n v="59"/>
    <n v="1"/>
    <n v="1"/>
    <n v="0"/>
    <n v="0"/>
    <n v="0"/>
    <n v="0"/>
    <n v="0"/>
    <n v="0"/>
    <n v="0"/>
    <n v="0"/>
    <n v="0"/>
    <n v="0"/>
    <m/>
  </r>
  <r>
    <n v="1726"/>
    <d v="2025-07-08T07:36:19"/>
    <d v="2025-07-08T07:38:30"/>
    <s v="eadisoni@lighthouse.org.mw"/>
    <s v="Eliza adisoni"/>
    <x v="3"/>
    <s v="Prototype"/>
    <x v="2"/>
    <s v="COP_23"/>
    <m/>
    <x v="3"/>
    <s v="Quarter3"/>
    <m/>
    <s v="Jun"/>
    <d v="2025-06-01T00:00:00"/>
    <d v="2025-06-30T00:00:00"/>
    <x v="1"/>
    <n v="28"/>
    <n v="0"/>
    <n v="23"/>
    <n v="1"/>
    <n v="4"/>
    <n v="0"/>
    <n v="21"/>
    <n v="5"/>
    <n v="3"/>
    <n v="0"/>
    <n v="0"/>
    <n v="0"/>
    <n v="3"/>
    <n v="0"/>
    <n v="0"/>
    <n v="0"/>
    <n v="0"/>
    <n v="0"/>
    <n v="0"/>
    <n v="0"/>
    <n v="0"/>
    <n v="0"/>
    <n v="0"/>
    <n v="0"/>
    <n v="0"/>
    <m/>
  </r>
  <r>
    <n v="1727"/>
    <d v="2025-07-08T07:38:35"/>
    <d v="2025-07-08T07:40:15"/>
    <s v="eadisoni@lighthouse.org.mw"/>
    <s v="Eliza adisoni"/>
    <x v="3"/>
    <s v="Prototype"/>
    <x v="2"/>
    <s v="COP_23"/>
    <m/>
    <x v="3"/>
    <s v="Quarter3"/>
    <m/>
    <s v="Jun"/>
    <d v="2025-06-01T00:00:00"/>
    <d v="2025-06-30T00:00:00"/>
    <x v="3"/>
    <n v="2"/>
    <n v="0"/>
    <n v="1"/>
    <n v="0"/>
    <n v="0"/>
    <n v="1"/>
    <n v="0"/>
    <n v="0"/>
    <n v="0"/>
    <n v="0"/>
    <n v="0"/>
    <n v="0"/>
    <n v="0"/>
    <n v="0"/>
    <n v="0"/>
    <n v="0"/>
    <n v="0"/>
    <n v="0"/>
    <n v="0"/>
    <n v="0"/>
    <n v="0"/>
    <n v="0"/>
    <n v="0"/>
    <n v="0"/>
    <n v="0"/>
    <m/>
  </r>
  <r>
    <n v="1728"/>
    <d v="2025-07-08T07:40:20"/>
    <d v="2025-07-08T07:42:00"/>
    <s v="eadisoni@lighthouse.org.mw"/>
    <s v="Eliza adisoni"/>
    <x v="3"/>
    <s v="Prototype"/>
    <x v="2"/>
    <s v="COP_23"/>
    <m/>
    <x v="3"/>
    <s v="Quarter3"/>
    <m/>
    <s v="Jun"/>
    <d v="2025-06-01T00:00:00"/>
    <d v="2025-06-30T00:00:00"/>
    <x v="4"/>
    <n v="5"/>
    <n v="0"/>
    <n v="5"/>
    <n v="0"/>
    <n v="0"/>
    <n v="0"/>
    <n v="0"/>
    <n v="0"/>
    <n v="4"/>
    <n v="0"/>
    <n v="1"/>
    <n v="0"/>
    <n v="4"/>
    <n v="0"/>
    <n v="0"/>
    <n v="0"/>
    <n v="0"/>
    <n v="0"/>
    <n v="0"/>
    <n v="0"/>
    <n v="0"/>
    <n v="0"/>
    <n v="0"/>
    <n v="0"/>
    <n v="0"/>
    <m/>
  </r>
  <r>
    <n v="1729"/>
    <d v="2025-07-08T07:42:07"/>
    <d v="2025-07-08T07:43:47"/>
    <s v="eadisoni@lighthouse.org.mw"/>
    <s v="Eliza adisoni"/>
    <x v="3"/>
    <s v="Prototype"/>
    <x v="2"/>
    <s v="COP_24"/>
    <m/>
    <x v="3"/>
    <s v="Quarter3"/>
    <m/>
    <s v="Jun"/>
    <d v="2025-06-01T00:00:00"/>
    <d v="2025-06-30T00:00:00"/>
    <x v="5"/>
    <n v="13"/>
    <n v="0"/>
    <n v="13"/>
    <n v="0"/>
    <n v="0"/>
    <n v="0"/>
    <n v="0"/>
    <n v="0"/>
    <n v="8"/>
    <n v="0"/>
    <n v="3"/>
    <n v="0"/>
    <n v="9"/>
    <n v="0"/>
    <n v="0"/>
    <n v="0"/>
    <n v="0"/>
    <n v="0"/>
    <n v="0"/>
    <n v="0"/>
    <n v="0"/>
    <n v="0"/>
    <n v="0"/>
    <n v="0"/>
    <n v="0"/>
    <m/>
  </r>
  <r>
    <n v="1803"/>
    <d v="2025-07-12T12:54:00"/>
    <d v="2025-07-12T12:56:40"/>
    <s v="eadisoni@lighthouse.org.mw"/>
    <s v="Eliza adisoni"/>
    <x v="3"/>
    <s v="Prototype"/>
    <x v="2"/>
    <s v="COP_23"/>
    <m/>
    <x v="3"/>
    <s v="Quarter3"/>
    <m/>
    <s v="Jun"/>
    <d v="2025-06-01T00:00:00"/>
    <d v="2025-06-30T00:00:00"/>
    <x v="2"/>
    <n v="51"/>
    <n v="0"/>
    <n v="51"/>
    <n v="0"/>
    <n v="0"/>
    <n v="0"/>
    <n v="0"/>
    <n v="0"/>
    <n v="3"/>
    <n v="0"/>
    <n v="1"/>
    <n v="0"/>
    <n v="49"/>
    <n v="1"/>
    <n v="0"/>
    <n v="0"/>
    <n v="0"/>
    <n v="0"/>
    <n v="0"/>
    <n v="0"/>
    <n v="0"/>
    <n v="0"/>
    <n v="0"/>
    <n v="0"/>
    <n v="0"/>
    <m/>
  </r>
  <r>
    <n v="1804"/>
    <d v="2025-07-12T12:57:17"/>
    <d v="2025-07-12T12:59:42"/>
    <s v="eadisoni@lighthouse.org.mw"/>
    <s v="Eliza adisoni"/>
    <x v="3"/>
    <s v="Prototype"/>
    <x v="2"/>
    <s v="COP_23"/>
    <m/>
    <x v="1"/>
    <s v="Quarter2"/>
    <m/>
    <s v="Apr"/>
    <d v="2025-04-01T00:00:00"/>
    <d v="2025-04-30T00:00:00"/>
    <x v="5"/>
    <n v="3"/>
    <n v="0"/>
    <n v="3"/>
    <n v="0"/>
    <n v="0"/>
    <n v="0"/>
    <n v="3"/>
    <n v="0"/>
    <n v="3"/>
    <n v="0"/>
    <n v="0"/>
    <n v="0"/>
    <n v="3"/>
    <n v="0"/>
    <n v="0"/>
    <n v="0"/>
    <n v="0"/>
    <n v="0"/>
    <n v="0"/>
    <n v="0"/>
    <n v="0"/>
    <n v="0"/>
    <n v="0"/>
    <n v="0"/>
    <n v="0"/>
    <m/>
  </r>
  <r>
    <n v="3"/>
    <d v="2023-12-15T12:11:52"/>
    <d v="2023-12-15T12:16:35"/>
    <s v="jkathyoka@lighthouse.org.mw"/>
    <s v="Judith Kathyoka"/>
    <x v="4"/>
    <s v="Prototype"/>
    <x v="0"/>
    <s v="COP_23"/>
    <s v="COP_22"/>
    <x v="1"/>
    <s v="Quarter4"/>
    <s v="Qtr_4"/>
    <s v="Sep"/>
    <d v="2023-09-01T00:00:00"/>
    <d v="2023-11-30T00:00:00"/>
    <x v="0"/>
    <n v="3"/>
    <n v="0"/>
    <n v="2"/>
    <n v="0"/>
    <n v="1"/>
    <n v="0"/>
    <n v="3"/>
    <n v="1"/>
    <n v="2"/>
    <n v="0"/>
    <n v="3"/>
    <n v="0"/>
    <n v="3"/>
    <n v="0"/>
    <n v="1"/>
    <n v="0"/>
    <n v="1"/>
    <n v="1"/>
    <n v="0"/>
    <n v="0"/>
    <n v="1"/>
    <n v="0"/>
    <n v="0"/>
    <n v="0"/>
    <n v="2"/>
    <m/>
  </r>
  <r>
    <n v="4"/>
    <d v="2023-12-15T12:16:47"/>
    <d v="2023-12-15T12:21:31"/>
    <s v="jkathyoka@lighthouse.org.mw"/>
    <s v="Judith Kathyoka"/>
    <x v="4"/>
    <s v="Prototype"/>
    <x v="0"/>
    <s v="COP_23"/>
    <s v="COP_23"/>
    <x v="0"/>
    <s v="Quarter1"/>
    <s v="Qtr_1"/>
    <s v="Oct"/>
    <d v="2023-10-01T00:00:00"/>
    <d v="2023-10-31T00:00:00"/>
    <x v="0"/>
    <n v="4"/>
    <n v="0"/>
    <n v="0"/>
    <n v="0"/>
    <n v="1"/>
    <n v="3"/>
    <n v="4"/>
    <n v="4"/>
    <n v="4"/>
    <n v="0"/>
    <n v="1"/>
    <n v="0"/>
    <n v="4"/>
    <n v="2"/>
    <n v="0"/>
    <n v="0"/>
    <n v="0"/>
    <n v="0"/>
    <n v="0"/>
    <n v="0"/>
    <n v="2"/>
    <n v="0"/>
    <n v="0"/>
    <n v="0"/>
    <n v="2"/>
    <m/>
  </r>
  <r>
    <n v="6"/>
    <d v="2023-12-15T12:25:40"/>
    <d v="2023-12-15T12:31:57"/>
    <s v="jkathyoka@lighthouse.org.mw"/>
    <s v="Judith Kathyoka"/>
    <x v="4"/>
    <s v="Prototype"/>
    <x v="0"/>
    <s v="COP_23"/>
    <s v="COP_23"/>
    <x v="0"/>
    <s v="Quarter1"/>
    <s v="Qtr_1"/>
    <s v="Nov"/>
    <d v="2023-11-01T00:00:00"/>
    <d v="2023-11-30T00:00:00"/>
    <x v="0"/>
    <n v="5"/>
    <n v="0"/>
    <n v="2"/>
    <n v="0"/>
    <n v="3"/>
    <n v="0"/>
    <n v="5"/>
    <n v="3"/>
    <n v="1"/>
    <n v="0"/>
    <n v="1"/>
    <n v="0"/>
    <n v="3"/>
    <n v="1"/>
    <n v="0"/>
    <n v="0"/>
    <n v="1"/>
    <n v="1"/>
    <n v="2"/>
    <n v="0"/>
    <n v="0"/>
    <n v="0"/>
    <n v="0"/>
    <n v="0"/>
    <n v="5"/>
    <m/>
  </r>
  <r>
    <n v="62"/>
    <d v="2024-01-08T14:56:59"/>
    <d v="2024-01-08T15:05:59"/>
    <s v="jkathyoka@lighthouse.org.mw"/>
    <s v="Judith Kathyoka"/>
    <x v="4"/>
    <s v="Prototype"/>
    <x v="0"/>
    <s v="COP_23"/>
    <s v="COP_23"/>
    <x v="0"/>
    <s v="Quarter1"/>
    <s v="Qtr_1"/>
    <s v="Dec"/>
    <d v="2023-12-01T00:00:00"/>
    <d v="2023-12-31T00:00:00"/>
    <x v="0"/>
    <n v="7"/>
    <n v="0"/>
    <n v="4"/>
    <n v="0"/>
    <n v="2"/>
    <n v="1"/>
    <n v="7"/>
    <n v="1"/>
    <n v="3"/>
    <n v="0"/>
    <n v="7"/>
    <n v="0"/>
    <n v="3"/>
    <n v="1"/>
    <n v="1"/>
    <n v="1"/>
    <n v="0"/>
    <n v="0"/>
    <n v="1"/>
    <n v="1"/>
    <n v="0"/>
    <n v="0"/>
    <n v="0"/>
    <n v="1"/>
    <n v="6"/>
    <m/>
  </r>
  <r>
    <n v="145"/>
    <d v="2024-02-06T15:20:19"/>
    <d v="2024-02-06T15:25:34"/>
    <s v="jkathyoka@lighthouse.org.mw"/>
    <s v="Judith Kathyoka"/>
    <x v="4"/>
    <s v="Prototype"/>
    <x v="1"/>
    <s v="COP_23"/>
    <s v="COP_23"/>
    <x v="2"/>
    <s v="Quarter2"/>
    <s v="Qtr_2"/>
    <s v="Jan"/>
    <d v="2024-01-01T00:00:00"/>
    <d v="2024-01-31T00:00:00"/>
    <x v="0"/>
    <n v="4"/>
    <n v="1"/>
    <n v="0"/>
    <n v="0"/>
    <n v="4"/>
    <n v="0"/>
    <n v="4"/>
    <n v="1"/>
    <n v="4"/>
    <n v="0"/>
    <n v="4"/>
    <n v="0"/>
    <n v="4"/>
    <n v="0"/>
    <n v="0"/>
    <n v="0"/>
    <n v="0"/>
    <n v="0"/>
    <n v="4"/>
    <n v="1"/>
    <n v="1"/>
    <n v="0"/>
    <n v="0"/>
    <n v="0"/>
    <n v="0"/>
    <m/>
  </r>
  <r>
    <n v="161"/>
    <d v="2024-03-01T15:54:01"/>
    <d v="2024-03-01T15:58:51"/>
    <s v="jkathyoka@lighthouse.org.mw"/>
    <s v="Judith Kathyoka"/>
    <x v="4"/>
    <s v="Prototype"/>
    <x v="1"/>
    <s v="COP_23"/>
    <s v="COP_23"/>
    <x v="2"/>
    <s v="Quarter2"/>
    <s v="Qtr_2"/>
    <s v="Feb"/>
    <d v="2024-02-01T00:00:00"/>
    <d v="2024-02-29T00:00:00"/>
    <x v="0"/>
    <n v="7"/>
    <n v="0"/>
    <n v="5"/>
    <n v="0"/>
    <n v="2"/>
    <n v="0"/>
    <n v="7"/>
    <n v="3"/>
    <n v="5"/>
    <n v="0"/>
    <n v="0"/>
    <n v="0"/>
    <n v="5"/>
    <n v="0"/>
    <n v="0"/>
    <n v="0"/>
    <n v="0"/>
    <n v="0"/>
    <n v="0"/>
    <n v="0"/>
    <n v="0"/>
    <n v="0"/>
    <n v="0"/>
    <n v="0"/>
    <n v="7"/>
    <m/>
  </r>
  <r>
    <n v="187"/>
    <d v="2024-04-03T15:29:14"/>
    <d v="2024-04-03T15:36:35"/>
    <s v="jkathyoka@lighthouse.org.mw"/>
    <s v="Judith Kathyoka"/>
    <x v="4"/>
    <s v="Prototype"/>
    <x v="1"/>
    <s v="COP_23"/>
    <s v="COP_23"/>
    <x v="2"/>
    <s v="Quarter2"/>
    <s v="Qtr_2"/>
    <s v="Mar"/>
    <d v="2024-03-01T00:00:00"/>
    <d v="2024-03-31T00:00:00"/>
    <x v="0"/>
    <n v="5"/>
    <n v="1"/>
    <n v="2"/>
    <n v="0"/>
    <n v="3"/>
    <n v="1"/>
    <n v="4"/>
    <n v="3"/>
    <n v="0"/>
    <n v="0"/>
    <n v="0"/>
    <n v="0"/>
    <n v="3"/>
    <n v="1"/>
    <n v="0"/>
    <n v="0"/>
    <n v="0"/>
    <n v="0"/>
    <n v="3"/>
    <n v="0"/>
    <n v="1"/>
    <n v="0"/>
    <n v="0"/>
    <n v="0"/>
    <n v="0"/>
    <m/>
  </r>
  <r>
    <n v="110"/>
    <d v="2024-01-23T15:26:36"/>
    <d v="2024-01-23T15:37:39"/>
    <s v="jkathyoka@lighthouse.org.mw"/>
    <s v="Judith Kathyoka"/>
    <x v="4"/>
    <s v="Prototype"/>
    <x v="0"/>
    <s v="COP_23"/>
    <s v="COP_23"/>
    <x v="0"/>
    <s v="Quarter1"/>
    <s v="Qtr_1"/>
    <s v="Oct"/>
    <d v="2023-10-01T00:00:00"/>
    <d v="2023-10-31T00:00:00"/>
    <x v="1"/>
    <n v="4"/>
    <n v="0"/>
    <n v="0"/>
    <n v="0"/>
    <n v="1"/>
    <n v="3"/>
    <n v="4"/>
    <n v="4"/>
    <n v="4"/>
    <n v="0"/>
    <n v="4"/>
    <n v="0"/>
    <n v="4"/>
    <n v="2"/>
    <n v="0"/>
    <n v="0"/>
    <n v="0"/>
    <n v="0"/>
    <n v="0"/>
    <n v="0"/>
    <n v="2"/>
    <n v="0"/>
    <n v="0"/>
    <n v="0"/>
    <n v="2"/>
    <m/>
  </r>
  <r>
    <n v="111"/>
    <d v="2024-01-23T15:38:03"/>
    <d v="2024-01-23T15:42:33"/>
    <s v="jkathyoka@lighthouse.org.mw"/>
    <s v="Judith Kathyoka"/>
    <x v="4"/>
    <s v="Prototype"/>
    <x v="0"/>
    <s v="COP_23"/>
    <s v="COP_23"/>
    <x v="0"/>
    <s v="Quarter1"/>
    <s v="Qtr_1"/>
    <s v="Nov"/>
    <d v="2023-11-01T00:00:00"/>
    <d v="2023-11-30T00:00:00"/>
    <x v="1"/>
    <n v="3"/>
    <n v="0"/>
    <n v="1"/>
    <n v="0"/>
    <n v="2"/>
    <n v="0"/>
    <n v="3"/>
    <n v="2"/>
    <n v="3"/>
    <n v="0"/>
    <n v="1"/>
    <n v="0"/>
    <n v="3"/>
    <n v="1"/>
    <n v="0"/>
    <n v="0"/>
    <n v="1"/>
    <n v="1"/>
    <n v="3"/>
    <n v="1"/>
    <n v="0"/>
    <n v="0"/>
    <n v="0"/>
    <n v="0"/>
    <n v="3"/>
    <m/>
  </r>
  <r>
    <n v="112"/>
    <d v="2024-01-23T15:42:55"/>
    <d v="2024-01-23T15:48:57"/>
    <s v="jkathyoka@lighthouse.org.mw"/>
    <s v="Judith Kathyoka"/>
    <x v="4"/>
    <s v="Prototype"/>
    <x v="0"/>
    <s v="COP_23"/>
    <s v="COP_23"/>
    <x v="0"/>
    <s v="Quarter1"/>
    <s v="Qtr_1"/>
    <s v="Dec"/>
    <d v="2023-12-01T00:00:00"/>
    <d v="2023-12-31T00:00:00"/>
    <x v="1"/>
    <n v="6"/>
    <n v="0"/>
    <n v="3"/>
    <n v="1"/>
    <n v="1"/>
    <n v="1"/>
    <n v="6"/>
    <n v="2"/>
    <n v="6"/>
    <n v="0"/>
    <n v="0"/>
    <n v="0"/>
    <n v="6"/>
    <n v="1"/>
    <n v="0"/>
    <n v="0"/>
    <n v="0"/>
    <n v="0"/>
    <n v="0"/>
    <n v="0"/>
    <n v="0"/>
    <n v="0"/>
    <n v="0"/>
    <n v="1"/>
    <n v="5"/>
    <m/>
  </r>
  <r>
    <n v="146"/>
    <d v="2024-02-06T15:36:09"/>
    <d v="2024-02-06T15:41:17"/>
    <s v="jkathyoka@lighthouse.org.mw"/>
    <s v="Judith Kathyoka"/>
    <x v="4"/>
    <s v="Prototype"/>
    <x v="1"/>
    <s v="COP_23"/>
    <s v="COP_23"/>
    <x v="2"/>
    <s v="Quarter2"/>
    <s v="Qtr_2"/>
    <s v="Jan"/>
    <d v="2024-01-01T00:00:00"/>
    <d v="2024-01-31T00:00:00"/>
    <x v="1"/>
    <n v="2"/>
    <n v="0"/>
    <n v="0"/>
    <n v="0"/>
    <n v="2"/>
    <n v="0"/>
    <n v="2"/>
    <n v="0"/>
    <n v="2"/>
    <n v="0"/>
    <n v="2"/>
    <n v="0"/>
    <n v="2"/>
    <n v="0"/>
    <n v="2"/>
    <n v="0"/>
    <n v="0"/>
    <n v="0"/>
    <n v="2"/>
    <n v="0"/>
    <n v="0"/>
    <n v="0"/>
    <n v="0"/>
    <n v="0"/>
    <n v="0"/>
    <m/>
  </r>
  <r>
    <n v="420"/>
    <d v="2024-05-15T16:03:40"/>
    <d v="2024-05-15T16:15:00"/>
    <s v="jkathyoka@lighthouse.org.mw"/>
    <s v="Judith Kathyoka"/>
    <x v="4"/>
    <s v="Prototype"/>
    <x v="1"/>
    <s v="COP_23"/>
    <s v="COP_23"/>
    <x v="2"/>
    <s v="Quarter2"/>
    <s v="Qtr_2"/>
    <s v="Feb"/>
    <d v="2024-02-01T00:00:00"/>
    <d v="2024-02-29T00:00:00"/>
    <x v="1"/>
    <n v="6"/>
    <n v="0"/>
    <n v="5"/>
    <n v="0"/>
    <n v="1"/>
    <n v="0"/>
    <n v="6"/>
    <n v="3"/>
    <n v="6"/>
    <n v="0"/>
    <n v="6"/>
    <n v="0"/>
    <n v="5"/>
    <n v="0"/>
    <n v="7"/>
    <n v="0"/>
    <n v="0"/>
    <n v="0"/>
    <n v="0"/>
    <n v="0"/>
    <n v="0"/>
    <n v="0"/>
    <n v="0"/>
    <n v="0"/>
    <n v="0"/>
    <m/>
  </r>
  <r>
    <n v="477"/>
    <d v="2024-06-05T11:06:54"/>
    <d v="2024-06-05T11:11:23"/>
    <s v="jkathyoka@lighthouse.org.mw"/>
    <s v="Judith Kathyoka"/>
    <x v="4"/>
    <s v="Prototype"/>
    <x v="1"/>
    <s v="COP_23"/>
    <s v="COP_23"/>
    <x v="3"/>
    <s v="Quarter3"/>
    <s v="Qtr_3"/>
    <s v="May"/>
    <d v="2024-05-01T00:00:00"/>
    <d v="2024-05-31T00:00:00"/>
    <x v="1"/>
    <n v="6"/>
    <n v="5"/>
    <n v="3"/>
    <n v="1"/>
    <n v="1"/>
    <n v="1"/>
    <n v="6"/>
    <n v="5"/>
    <n v="6"/>
    <n v="1"/>
    <n v="6"/>
    <n v="1"/>
    <n v="2"/>
    <n v="0"/>
    <n v="0"/>
    <n v="0"/>
    <n v="0"/>
    <n v="0"/>
    <n v="4"/>
    <n v="1"/>
    <n v="0"/>
    <n v="1"/>
    <n v="0"/>
    <n v="0"/>
    <n v="0"/>
    <m/>
  </r>
  <r>
    <n v="561"/>
    <d v="2024-07-03T09:50:50"/>
    <d v="2024-07-03T09:55:14"/>
    <s v="jkathyoka@lighthouse.org.mw"/>
    <s v="Judith Kathyoka"/>
    <x v="4"/>
    <s v="Prototype"/>
    <x v="1"/>
    <s v="COP_23"/>
    <s v="COP_23"/>
    <x v="3"/>
    <s v="Quarter3"/>
    <s v="Qtr_3"/>
    <s v="Jun"/>
    <d v="2024-06-01T00:00:00"/>
    <d v="2024-06-30T00:00:00"/>
    <x v="1"/>
    <n v="4"/>
    <n v="0"/>
    <n v="3"/>
    <n v="1"/>
    <n v="0"/>
    <n v="0"/>
    <n v="4"/>
    <n v="0"/>
    <n v="0"/>
    <n v="0"/>
    <n v="0"/>
    <n v="0"/>
    <n v="0"/>
    <n v="0"/>
    <n v="0"/>
    <n v="0"/>
    <n v="0"/>
    <n v="0"/>
    <n v="0"/>
    <n v="0"/>
    <n v="0"/>
    <n v="0"/>
    <n v="0"/>
    <n v="0"/>
    <n v="0"/>
    <m/>
  </r>
  <r>
    <n v="714"/>
    <d v="2024-08-05T15:40:52"/>
    <d v="2024-08-05T15:45:04"/>
    <s v="jkathyoka@lighthouse.org.mw"/>
    <s v="Judith Kathyoka"/>
    <x v="4"/>
    <s v="Prototype"/>
    <x v="1"/>
    <s v="COP_23"/>
    <s v="COP_23"/>
    <x v="1"/>
    <s v="Quarter4"/>
    <s v="Qtr_4"/>
    <s v="Jul"/>
    <d v="2024-07-01T00:00:00"/>
    <d v="2024-07-31T00:00:00"/>
    <x v="1"/>
    <n v="11"/>
    <n v="2"/>
    <n v="14"/>
    <n v="0"/>
    <n v="2"/>
    <n v="0"/>
    <n v="13"/>
    <n v="3"/>
    <n v="6"/>
    <n v="0"/>
    <n v="1"/>
    <n v="0"/>
    <n v="0"/>
    <n v="0"/>
    <n v="0"/>
    <n v="0"/>
    <n v="0"/>
    <n v="0"/>
    <n v="0"/>
    <n v="0"/>
    <n v="0"/>
    <n v="0"/>
    <n v="0"/>
    <n v="0"/>
    <n v="0"/>
    <m/>
  </r>
  <r>
    <n v="775"/>
    <d v="2024-08-19T11:40:53"/>
    <d v="2024-08-19T11:44:26"/>
    <s v="jkathyoka@lighthouse.org.mw"/>
    <s v="Judith Kathyoka"/>
    <x v="4"/>
    <s v="Prototype"/>
    <x v="1"/>
    <s v="COP_23"/>
    <s v="COP_23"/>
    <x v="3"/>
    <s v="Quarter3"/>
    <s v="Qtr_3"/>
    <s v="Apr"/>
    <d v="2024-04-01T00:00:00"/>
    <d v="2024-04-30T00:00:00"/>
    <x v="1"/>
    <n v="8"/>
    <n v="2"/>
    <n v="4"/>
    <n v="1"/>
    <n v="2"/>
    <n v="1"/>
    <n v="7"/>
    <n v="6"/>
    <n v="6"/>
    <n v="0"/>
    <n v="1"/>
    <n v="1"/>
    <n v="6"/>
    <n v="1"/>
    <n v="0"/>
    <n v="0"/>
    <n v="1"/>
    <n v="1"/>
    <n v="2"/>
    <n v="0"/>
    <n v="2"/>
    <n v="0"/>
    <n v="0"/>
    <n v="0"/>
    <n v="0"/>
    <m/>
  </r>
  <r>
    <n v="821"/>
    <d v="2024-09-19T08:23:59"/>
    <d v="2024-09-19T08:32:22"/>
    <s v="jkathyoka@lighthouse.org.mw"/>
    <s v="Judith Kathyoka"/>
    <x v="4"/>
    <s v="Prototype"/>
    <x v="1"/>
    <s v="COP_23"/>
    <s v="COP_23"/>
    <x v="1"/>
    <s v="Quarter4"/>
    <s v="Qtr_4"/>
    <s v="Aug"/>
    <d v="2024-08-01T00:00:00"/>
    <d v="2024-08-31T00:00:00"/>
    <x v="1"/>
    <n v="4"/>
    <n v="0"/>
    <n v="4"/>
    <n v="0"/>
    <n v="0"/>
    <n v="0"/>
    <n v="4"/>
    <n v="0"/>
    <n v="0"/>
    <n v="0"/>
    <n v="0"/>
    <n v="0"/>
    <n v="0"/>
    <n v="0"/>
    <n v="0"/>
    <n v="0"/>
    <n v="0"/>
    <n v="0"/>
    <n v="0"/>
    <n v="0"/>
    <n v="0"/>
    <n v="0"/>
    <n v="0"/>
    <n v="0"/>
    <n v="0"/>
    <m/>
  </r>
  <r>
    <n v="877"/>
    <d v="2024-10-03T15:32:37"/>
    <d v="2024-10-03T15:44:38"/>
    <s v="jkathyoka@lighthouse.org.mw"/>
    <s v="Judith Kathyoka"/>
    <x v="4"/>
    <s v="Prototype"/>
    <x v="1"/>
    <s v="COP_23"/>
    <s v="COP_23"/>
    <x v="1"/>
    <s v="Quarter4"/>
    <s v="Qtr_4"/>
    <s v="Sep"/>
    <d v="2024-09-01T00:00:00"/>
    <d v="2024-10-31T00:00:00"/>
    <x v="1"/>
    <n v="9"/>
    <n v="1"/>
    <n v="8"/>
    <n v="0"/>
    <n v="1"/>
    <n v="0"/>
    <n v="9"/>
    <n v="4"/>
    <n v="4"/>
    <n v="0"/>
    <n v="4"/>
    <n v="0"/>
    <n v="4"/>
    <n v="0"/>
    <n v="0"/>
    <n v="0"/>
    <n v="0"/>
    <n v="0"/>
    <n v="2"/>
    <n v="0"/>
    <n v="0"/>
    <n v="0"/>
    <n v="0"/>
    <n v="0"/>
    <n v="1"/>
    <m/>
  </r>
  <r>
    <n v="1053"/>
    <d v="2024-11-11T14:02:50"/>
    <d v="2024-11-11T14:10:53"/>
    <s v="jkathyoka@lighthouse.org.mw"/>
    <s v="Judith Kathyoka"/>
    <x v="4"/>
    <s v="Prototype"/>
    <x v="1"/>
    <s v="COP_24"/>
    <s v="COP_24"/>
    <x v="0"/>
    <s v="Quarter1"/>
    <s v="Qtr_1"/>
    <s v="Oct"/>
    <d v="2024-10-01T00:00:00"/>
    <d v="2024-10-31T00:00:00"/>
    <x v="1"/>
    <n v="6"/>
    <n v="0"/>
    <n v="5"/>
    <n v="0"/>
    <n v="0"/>
    <n v="1"/>
    <n v="6"/>
    <n v="0"/>
    <n v="0"/>
    <n v="0"/>
    <n v="0"/>
    <n v="0"/>
    <n v="0"/>
    <n v="0"/>
    <n v="0"/>
    <n v="0"/>
    <n v="0"/>
    <n v="0"/>
    <n v="0"/>
    <n v="0"/>
    <n v="0"/>
    <n v="0"/>
    <n v="0"/>
    <n v="1"/>
    <n v="0"/>
    <m/>
  </r>
  <r>
    <n v="368"/>
    <d v="2024-05-07T15:51:37"/>
    <d v="2024-05-07T15:56:47"/>
    <s v="jkathyoka@lighthouse.org.mw"/>
    <s v="Judith Kathyoka"/>
    <x v="4"/>
    <s v="Prototype"/>
    <x v="1"/>
    <s v="COP_24"/>
    <s v="COP_23"/>
    <x v="3"/>
    <s v="Quarter3"/>
    <s v="Qtr_3"/>
    <s v="Apr"/>
    <d v="2024-04-01T00:00:00"/>
    <d v="2024-04-30T00:00:00"/>
    <x v="0"/>
    <n v="13"/>
    <n v="3"/>
    <n v="6"/>
    <n v="2"/>
    <n v="4"/>
    <n v="1"/>
    <n v="13"/>
    <n v="5"/>
    <n v="18"/>
    <n v="1"/>
    <n v="2"/>
    <n v="2"/>
    <n v="8"/>
    <n v="1"/>
    <n v="0"/>
    <n v="0"/>
    <n v="1"/>
    <n v="1"/>
    <n v="4"/>
    <n v="0"/>
    <n v="2"/>
    <n v="0"/>
    <n v="0"/>
    <n v="0"/>
    <n v="0"/>
    <m/>
  </r>
  <r>
    <n v="414"/>
    <d v="2024-05-15T15:55:50"/>
    <d v="2024-05-15T15:57:01"/>
    <s v="jkathyoka@lighthouse.org.mw"/>
    <s v="Judith Kathyoka"/>
    <x v="4"/>
    <s v="Prototype"/>
    <x v="1"/>
    <s v="COP_24"/>
    <s v="COP_23"/>
    <x v="2"/>
    <s v="Quarter2"/>
    <s v="Qtr_2"/>
    <s v="Feb"/>
    <d v="2024-02-01T00:00:00"/>
    <d v="2024-02-29T00:00:00"/>
    <x v="2"/>
    <n v="0"/>
    <n v="0"/>
    <n v="0"/>
    <n v="0"/>
    <n v="0"/>
    <n v="0"/>
    <n v="0"/>
    <n v="0"/>
    <n v="0"/>
    <n v="0"/>
    <n v="0"/>
    <n v="0"/>
    <n v="0"/>
    <n v="0"/>
    <n v="0"/>
    <n v="0"/>
    <n v="0"/>
    <n v="0"/>
    <n v="0"/>
    <n v="0"/>
    <n v="0"/>
    <n v="0"/>
    <n v="0"/>
    <n v="0"/>
    <n v="0"/>
    <m/>
  </r>
  <r>
    <n v="419"/>
    <d v="2024-05-15T16:02:12"/>
    <d v="2024-05-15T16:03:20"/>
    <s v="jkathyoka@lighthouse.org.mw"/>
    <s v="Judith Kathyoka"/>
    <x v="4"/>
    <s v="Prototype"/>
    <x v="1"/>
    <s v="COP_24"/>
    <s v="COP_23"/>
    <x v="2"/>
    <s v="Quarter2"/>
    <s v="Qtr_2"/>
    <s v="Mar"/>
    <d v="2024-03-01T00:00:00"/>
    <d v="2024-03-31T00:00:00"/>
    <x v="2"/>
    <n v="0"/>
    <n v="0"/>
    <n v="0"/>
    <n v="0"/>
    <n v="0"/>
    <n v="0"/>
    <n v="0"/>
    <n v="0"/>
    <n v="0"/>
    <n v="0"/>
    <n v="0"/>
    <n v="0"/>
    <n v="0"/>
    <n v="0"/>
    <n v="0"/>
    <n v="0"/>
    <n v="0"/>
    <n v="0"/>
    <n v="0"/>
    <n v="0"/>
    <n v="0"/>
    <n v="0"/>
    <n v="0"/>
    <n v="0"/>
    <n v="0"/>
    <m/>
  </r>
  <r>
    <n v="406"/>
    <d v="2024-05-15T15:37:58"/>
    <d v="2024-05-15T15:41:14"/>
    <s v="jkathyoka@lighthouse.org.mw"/>
    <s v="Judith Kathyoka"/>
    <x v="4"/>
    <s v="Prototype"/>
    <x v="1"/>
    <s v="COP_23"/>
    <s v="COP_23"/>
    <x v="2"/>
    <s v="Quarter2"/>
    <s v="Qtr_2"/>
    <s v="Jan"/>
    <d v="2024-01-02T00:00:00"/>
    <d v="2024-01-31T00:00:00"/>
    <x v="3"/>
    <n v="0"/>
    <n v="0"/>
    <n v="0"/>
    <n v="0"/>
    <n v="0"/>
    <n v="0"/>
    <n v="0"/>
    <n v="0"/>
    <n v="0"/>
    <n v="0"/>
    <n v="0"/>
    <n v="0"/>
    <n v="0"/>
    <n v="0"/>
    <n v="0"/>
    <n v="0"/>
    <n v="0"/>
    <n v="0"/>
    <n v="0"/>
    <n v="0"/>
    <n v="0"/>
    <n v="0"/>
    <n v="0"/>
    <n v="0"/>
    <n v="0"/>
    <m/>
  </r>
  <r>
    <n v="407"/>
    <d v="2024-05-15T15:43:05"/>
    <d v="2024-05-15T15:45:17"/>
    <s v="jkathyoka@lighthouse.org.mw"/>
    <s v="Judith Kathyoka"/>
    <x v="4"/>
    <s v="Prototype"/>
    <x v="1"/>
    <s v="COP_23"/>
    <s v="COP_23"/>
    <x v="2"/>
    <s v="Quarter2"/>
    <s v="Qtr_2"/>
    <s v="Feb"/>
    <d v="2024-02-01T00:00:00"/>
    <d v="2024-02-29T00:00:00"/>
    <x v="4"/>
    <n v="0"/>
    <n v="0"/>
    <n v="0"/>
    <n v="0"/>
    <n v="0"/>
    <n v="0"/>
    <n v="0"/>
    <n v="0"/>
    <n v="0"/>
    <n v="0"/>
    <n v="0"/>
    <n v="0"/>
    <n v="0"/>
    <n v="0"/>
    <n v="0"/>
    <n v="0"/>
    <n v="0"/>
    <n v="0"/>
    <n v="0"/>
    <n v="0"/>
    <n v="0"/>
    <n v="0"/>
    <n v="0"/>
    <n v="0"/>
    <n v="0"/>
    <m/>
  </r>
  <r>
    <n v="408"/>
    <d v="2024-05-15T15:45:43"/>
    <d v="2024-05-15T15:47:23"/>
    <s v="jkathyoka@lighthouse.org.mw"/>
    <s v="Judith Kathyoka"/>
    <x v="4"/>
    <s v="Prototype"/>
    <x v="1"/>
    <s v="COP_23"/>
    <s v="COP_23"/>
    <x v="2"/>
    <s v="Quarter2"/>
    <s v="Qtr_2"/>
    <s v="Jan"/>
    <d v="2024-01-02T00:00:00"/>
    <d v="2024-01-31T00:00:00"/>
    <x v="4"/>
    <n v="0"/>
    <n v="0"/>
    <n v="0"/>
    <n v="0"/>
    <n v="0"/>
    <n v="0"/>
    <n v="0"/>
    <n v="0"/>
    <n v="0"/>
    <n v="0"/>
    <n v="0"/>
    <n v="0"/>
    <n v="0"/>
    <n v="0"/>
    <n v="0"/>
    <n v="0"/>
    <n v="0"/>
    <n v="0"/>
    <n v="0"/>
    <n v="0"/>
    <n v="0"/>
    <n v="0"/>
    <n v="0"/>
    <n v="0"/>
    <n v="0"/>
    <m/>
  </r>
  <r>
    <n v="409"/>
    <d v="2024-05-15T15:47:34"/>
    <d v="2024-05-15T15:48:49"/>
    <s v="jkathyoka@lighthouse.org.mw"/>
    <s v="Judith Kathyoka"/>
    <x v="4"/>
    <s v="Prototype"/>
    <x v="1"/>
    <s v="COP_24"/>
    <s v="COP_23"/>
    <x v="2"/>
    <s v="Quarter2"/>
    <s v="Qtr_2"/>
    <s v="Jan"/>
    <d v="2024-01-02T00:00:00"/>
    <d v="2024-01-31T00:00:00"/>
    <x v="5"/>
    <n v="0"/>
    <n v="0"/>
    <n v="0"/>
    <n v="0"/>
    <n v="0"/>
    <n v="0"/>
    <n v="0"/>
    <n v="0"/>
    <n v="0"/>
    <n v="0"/>
    <n v="0"/>
    <n v="0"/>
    <n v="0"/>
    <n v="0"/>
    <n v="0"/>
    <n v="0"/>
    <n v="0"/>
    <n v="0"/>
    <n v="0"/>
    <n v="0"/>
    <n v="0"/>
    <n v="0"/>
    <n v="0"/>
    <n v="0"/>
    <n v="0"/>
    <m/>
  </r>
  <r>
    <n v="410"/>
    <d v="2024-05-15T15:48:55"/>
    <d v="2024-05-15T15:50:10"/>
    <s v="jkathyoka@lighthouse.org.mw"/>
    <s v="Judith Kathyoka"/>
    <x v="4"/>
    <s v="Prototype"/>
    <x v="1"/>
    <s v="COP_24"/>
    <s v="COP_23"/>
    <x v="2"/>
    <s v="Quarter2"/>
    <s v="Qtr_2"/>
    <s v="Jan"/>
    <d v="2024-01-02T00:00:00"/>
    <d v="2024-01-31T00:00:00"/>
    <x v="6"/>
    <n v="0"/>
    <n v="0"/>
    <n v="0"/>
    <n v="0"/>
    <n v="0"/>
    <n v="0"/>
    <n v="0"/>
    <n v="0"/>
    <n v="0"/>
    <n v="0"/>
    <n v="0"/>
    <n v="0"/>
    <n v="0"/>
    <n v="0"/>
    <n v="0"/>
    <n v="0"/>
    <n v="0"/>
    <n v="0"/>
    <n v="0"/>
    <n v="0"/>
    <n v="0"/>
    <n v="0"/>
    <n v="0"/>
    <n v="0"/>
    <n v="0"/>
    <m/>
  </r>
  <r>
    <n v="411"/>
    <d v="2024-05-15T15:50:23"/>
    <d v="2024-05-15T15:52:07"/>
    <s v="jkathyoka@lighthouse.org.mw"/>
    <s v="Judith Kathyoka"/>
    <x v="4"/>
    <s v="Prototype"/>
    <x v="1"/>
    <s v="COP_24"/>
    <s v="COP_23"/>
    <x v="2"/>
    <s v="Quarter2"/>
    <s v="Qtr_2"/>
    <s v="Feb"/>
    <d v="2024-02-01T00:00:00"/>
    <d v="2024-02-29T00:00:00"/>
    <x v="3"/>
    <n v="0"/>
    <n v="0"/>
    <n v="0"/>
    <n v="0"/>
    <n v="0"/>
    <n v="0"/>
    <n v="0"/>
    <n v="0"/>
    <n v="0"/>
    <n v="0"/>
    <n v="0"/>
    <n v="0"/>
    <n v="0"/>
    <n v="0"/>
    <n v="0"/>
    <n v="0"/>
    <n v="0"/>
    <n v="0"/>
    <n v="0"/>
    <n v="0"/>
    <n v="0"/>
    <n v="0"/>
    <n v="0"/>
    <n v="0"/>
    <n v="0"/>
    <m/>
  </r>
  <r>
    <n v="412"/>
    <d v="2024-05-15T15:52:12"/>
    <d v="2024-05-15T15:53:20"/>
    <s v="jkathyoka@lighthouse.org.mw"/>
    <s v="Judith Kathyoka"/>
    <x v="4"/>
    <s v="Prototype"/>
    <x v="1"/>
    <s v="COP_24"/>
    <s v="COP_23"/>
    <x v="2"/>
    <s v="Quarter2"/>
    <s v="Qtr_2"/>
    <s v="Feb"/>
    <d v="2024-02-01T00:00:00"/>
    <d v="2024-02-29T00:00:00"/>
    <x v="4"/>
    <n v="0"/>
    <n v="0"/>
    <n v="0"/>
    <n v="0"/>
    <n v="0"/>
    <n v="0"/>
    <n v="0"/>
    <n v="0"/>
    <n v="0"/>
    <n v="0"/>
    <n v="0"/>
    <n v="0"/>
    <n v="0"/>
    <n v="0"/>
    <n v="0"/>
    <n v="0"/>
    <n v="0"/>
    <n v="0"/>
    <n v="0"/>
    <n v="0"/>
    <n v="0"/>
    <n v="0"/>
    <n v="0"/>
    <n v="0"/>
    <n v="0"/>
    <m/>
  </r>
  <r>
    <n v="413"/>
    <d v="2024-05-15T15:54:38"/>
    <d v="2024-05-15T15:55:41"/>
    <s v="jkathyoka@lighthouse.org.mw"/>
    <s v="Judith Kathyoka"/>
    <x v="4"/>
    <s v="Prototype"/>
    <x v="1"/>
    <s v="COP_24"/>
    <s v="COP_23"/>
    <x v="2"/>
    <s v="Quarter2"/>
    <s v="Qtr_2"/>
    <s v="Feb"/>
    <d v="2024-05-01T00:00:00"/>
    <d v="2024-02-29T00:00:00"/>
    <x v="5"/>
    <n v="0"/>
    <n v="0"/>
    <n v="0"/>
    <n v="0"/>
    <n v="0"/>
    <n v="0"/>
    <n v="0"/>
    <n v="0"/>
    <n v="0"/>
    <n v="0"/>
    <n v="0"/>
    <n v="0"/>
    <n v="0"/>
    <n v="0"/>
    <n v="0"/>
    <n v="0"/>
    <n v="0"/>
    <n v="0"/>
    <n v="0"/>
    <n v="0"/>
    <n v="0"/>
    <n v="0"/>
    <n v="0"/>
    <n v="0"/>
    <n v="0"/>
    <m/>
  </r>
  <r>
    <n v="749"/>
    <d v="2024-08-12T15:09:31"/>
    <d v="2024-08-12T15:12:43"/>
    <s v="jkathyoka@lighthouse.org.mw"/>
    <s v="Judith Kathyoka"/>
    <x v="4"/>
    <s v="Prototype"/>
    <x v="1"/>
    <s v="COP_22"/>
    <s v="COP_23"/>
    <x v="1"/>
    <s v="Quarter4"/>
    <s v="Qtr_4"/>
    <s v="Jul"/>
    <d v="2024-07-01T00:00:00"/>
    <d v="2024-07-31T00:00:00"/>
    <x v="2"/>
    <n v="6"/>
    <n v="1"/>
    <n v="3"/>
    <n v="0"/>
    <n v="1"/>
    <n v="0"/>
    <n v="4"/>
    <n v="0"/>
    <n v="1"/>
    <n v="0"/>
    <n v="1"/>
    <n v="0"/>
    <n v="0"/>
    <n v="0"/>
    <n v="0"/>
    <n v="0"/>
    <n v="0"/>
    <n v="0"/>
    <n v="0"/>
    <n v="0"/>
    <n v="0"/>
    <n v="0"/>
    <n v="0"/>
    <n v="0"/>
    <n v="0"/>
    <m/>
  </r>
  <r>
    <n v="415"/>
    <d v="2024-05-15T15:57:20"/>
    <d v="2024-05-15T15:58:18"/>
    <s v="jkathyoka@lighthouse.org.mw"/>
    <s v="Judith Kathyoka"/>
    <x v="4"/>
    <s v="Prototype"/>
    <x v="1"/>
    <s v="COP_24"/>
    <s v="COP_23"/>
    <x v="2"/>
    <s v="Quarter2"/>
    <s v="Qtr_2"/>
    <s v="Feb"/>
    <d v="2024-02-01T00:00:00"/>
    <d v="2024-02-29T00:00:00"/>
    <x v="6"/>
    <n v="0"/>
    <n v="0"/>
    <n v="0"/>
    <n v="0"/>
    <n v="0"/>
    <n v="0"/>
    <n v="0"/>
    <n v="0"/>
    <n v="0"/>
    <n v="0"/>
    <n v="0"/>
    <n v="0"/>
    <n v="0"/>
    <n v="0"/>
    <n v="0"/>
    <n v="0"/>
    <n v="0"/>
    <n v="0"/>
    <n v="0"/>
    <n v="0"/>
    <n v="0"/>
    <n v="0"/>
    <n v="0"/>
    <n v="0"/>
    <n v="0"/>
    <m/>
  </r>
  <r>
    <n v="416"/>
    <d v="2024-05-15T15:58:21"/>
    <d v="2024-05-15T15:59:40"/>
    <s v="jkathyoka@lighthouse.org.mw"/>
    <s v="Judith Kathyoka"/>
    <x v="4"/>
    <s v="Prototype"/>
    <x v="1"/>
    <s v="COP_24"/>
    <s v="COP_23"/>
    <x v="2"/>
    <s v="Quarter2"/>
    <s v="Qtr_2"/>
    <s v="Mar"/>
    <d v="2024-03-01T00:00:00"/>
    <d v="2024-03-30T00:00:00"/>
    <x v="3"/>
    <n v="0"/>
    <n v="0"/>
    <n v="0"/>
    <n v="0"/>
    <n v="0"/>
    <n v="0"/>
    <n v="0"/>
    <n v="0"/>
    <n v="0"/>
    <n v="0"/>
    <n v="0"/>
    <n v="0"/>
    <n v="0"/>
    <n v="0"/>
    <n v="0"/>
    <n v="0"/>
    <n v="0"/>
    <n v="0"/>
    <n v="0"/>
    <n v="0"/>
    <n v="0"/>
    <n v="0"/>
    <n v="0"/>
    <n v="0"/>
    <n v="0"/>
    <m/>
  </r>
  <r>
    <n v="417"/>
    <d v="2024-05-15T15:59:44"/>
    <d v="2024-05-15T16:00:40"/>
    <s v="jkathyoka@lighthouse.org.mw"/>
    <s v="Judith Kathyoka"/>
    <x v="4"/>
    <s v="Prototype"/>
    <x v="1"/>
    <s v="COP_24"/>
    <s v="COP_23"/>
    <x v="2"/>
    <s v="Quarter2"/>
    <s v="Qtr_2"/>
    <s v="Mar"/>
    <d v="2024-03-01T00:00:00"/>
    <d v="2024-03-31T00:00:00"/>
    <x v="4"/>
    <n v="0"/>
    <n v="0"/>
    <n v="0"/>
    <n v="0"/>
    <n v="0"/>
    <n v="0"/>
    <n v="0"/>
    <n v="0"/>
    <n v="0"/>
    <n v="0"/>
    <n v="0"/>
    <n v="0"/>
    <n v="0"/>
    <n v="0"/>
    <n v="0"/>
    <n v="0"/>
    <n v="0"/>
    <n v="0"/>
    <n v="0"/>
    <n v="0"/>
    <n v="0"/>
    <n v="0"/>
    <n v="0"/>
    <n v="0"/>
    <n v="0"/>
    <m/>
  </r>
  <r>
    <n v="418"/>
    <d v="2024-05-15T16:01:03"/>
    <d v="2024-05-15T16:02:07"/>
    <s v="jkathyoka@lighthouse.org.mw"/>
    <s v="Judith Kathyoka"/>
    <x v="4"/>
    <s v="Prototype"/>
    <x v="1"/>
    <s v="COP_24"/>
    <s v="COP_23"/>
    <x v="2"/>
    <s v="Quarter2"/>
    <s v="Qtr_2"/>
    <s v="Mar"/>
    <d v="2024-03-01T00:00:00"/>
    <d v="2024-03-31T00:00:00"/>
    <x v="5"/>
    <n v="0"/>
    <n v="0"/>
    <n v="0"/>
    <n v="0"/>
    <n v="0"/>
    <n v="0"/>
    <n v="0"/>
    <n v="0"/>
    <n v="0"/>
    <n v="0"/>
    <n v="0"/>
    <n v="0"/>
    <n v="0"/>
    <n v="0"/>
    <n v="0"/>
    <n v="0"/>
    <n v="0"/>
    <n v="0"/>
    <n v="0"/>
    <n v="0"/>
    <n v="0"/>
    <n v="0"/>
    <n v="0"/>
    <n v="0"/>
    <n v="0"/>
    <m/>
  </r>
  <r>
    <n v="750"/>
    <d v="2024-08-12T15:12:55"/>
    <d v="2024-08-12T15:16:37"/>
    <s v="jkathyoka@lighthouse.org.mw"/>
    <s v="Judith Kathyoka"/>
    <x v="4"/>
    <s v="Prototype"/>
    <x v="1"/>
    <s v="COP_24"/>
    <s v="COP_23"/>
    <x v="3"/>
    <s v="Quarter3"/>
    <s v="Qtr_3"/>
    <s v="May"/>
    <d v="2024-05-01T00:00:00"/>
    <d v="2024-05-31T00:00:00"/>
    <x v="2"/>
    <n v="1"/>
    <n v="1"/>
    <n v="0"/>
    <n v="0"/>
    <n v="1"/>
    <n v="0"/>
    <n v="1"/>
    <n v="1"/>
    <n v="0"/>
    <n v="0"/>
    <n v="0"/>
    <n v="0"/>
    <n v="0"/>
    <n v="0"/>
    <n v="0"/>
    <n v="0"/>
    <n v="0"/>
    <n v="0"/>
    <n v="0"/>
    <n v="0"/>
    <n v="0"/>
    <n v="0"/>
    <n v="0"/>
    <n v="0"/>
    <n v="1"/>
    <m/>
  </r>
  <r>
    <n v="774"/>
    <d v="2024-08-19T11:37:08"/>
    <d v="2024-08-19T11:40:39"/>
    <s v="jkathyoka@lighthouse.org.mw"/>
    <s v="Judith Kathyoka"/>
    <x v="4"/>
    <s v="Prototype"/>
    <x v="1"/>
    <s v="COP_24"/>
    <s v="COP_23"/>
    <x v="3"/>
    <s v="Quarter3"/>
    <s v="Qtr_3"/>
    <s v="Apr"/>
    <d v="2024-04-01T00:00:00"/>
    <d v="2024-04-30T00:00:00"/>
    <x v="2"/>
    <n v="7"/>
    <n v="1"/>
    <n v="2"/>
    <n v="1"/>
    <n v="2"/>
    <n v="0"/>
    <n v="5"/>
    <n v="1"/>
    <n v="2"/>
    <n v="1"/>
    <n v="1"/>
    <n v="1"/>
    <n v="2"/>
    <n v="0"/>
    <n v="0"/>
    <n v="0"/>
    <n v="0"/>
    <n v="0"/>
    <n v="0"/>
    <n v="2"/>
    <n v="0"/>
    <n v="1"/>
    <n v="1"/>
    <n v="0"/>
    <n v="0"/>
    <m/>
  </r>
  <r>
    <n v="776"/>
    <d v="2024-08-19T11:44:35"/>
    <d v="2024-08-19T11:48:26"/>
    <s v="jkathyoka@lighthouse.org.mw"/>
    <s v="Judith Kathyoka"/>
    <x v="4"/>
    <s v="Prototype"/>
    <x v="1"/>
    <s v="COP_24"/>
    <s v="COP_23"/>
    <x v="3"/>
    <s v="Quarter3"/>
    <s v="Qtr_3"/>
    <s v="Jun"/>
    <d v="2024-06-01T00:00:00"/>
    <d v="2024-06-30T00:00:00"/>
    <x v="2"/>
    <n v="7"/>
    <n v="1"/>
    <n v="0"/>
    <n v="0"/>
    <n v="1"/>
    <n v="0"/>
    <n v="1"/>
    <n v="1"/>
    <n v="1"/>
    <n v="0"/>
    <n v="0"/>
    <n v="0"/>
    <n v="1"/>
    <n v="0"/>
    <n v="0"/>
    <n v="0"/>
    <n v="0"/>
    <n v="0"/>
    <n v="1"/>
    <n v="0"/>
    <n v="0"/>
    <n v="0"/>
    <n v="0"/>
    <n v="0"/>
    <n v="0"/>
    <m/>
  </r>
  <r>
    <n v="822"/>
    <d v="2024-09-19T08:33:27"/>
    <d v="2024-09-19T08:35:10"/>
    <s v="jkathyoka@lighthouse.org.mw"/>
    <s v="Judith Kathyoka"/>
    <x v="4"/>
    <s v="Prototype"/>
    <x v="1"/>
    <s v="COP_22"/>
    <s v="COP_23"/>
    <x v="1"/>
    <s v="Quarter4"/>
    <s v="Qtr_4"/>
    <s v="Aug"/>
    <d v="2024-08-01T00:00:00"/>
    <d v="2024-08-31T00:00:00"/>
    <x v="2"/>
    <n v="3"/>
    <n v="0"/>
    <n v="3"/>
    <n v="0"/>
    <n v="0"/>
    <n v="0"/>
    <n v="3"/>
    <n v="0"/>
    <n v="0"/>
    <n v="0"/>
    <n v="0"/>
    <n v="0"/>
    <n v="0"/>
    <n v="0"/>
    <n v="0"/>
    <n v="0"/>
    <n v="0"/>
    <n v="0"/>
    <n v="0"/>
    <n v="0"/>
    <n v="0"/>
    <n v="0"/>
    <n v="0"/>
    <n v="0"/>
    <n v="0"/>
    <m/>
  </r>
  <r>
    <n v="878"/>
    <d v="2024-10-03T15:44:43"/>
    <d v="2024-10-03T15:47:41"/>
    <s v="jkathyoka@lighthouse.org.mw"/>
    <s v="Judith Kathyoka"/>
    <x v="4"/>
    <s v="Prototype"/>
    <x v="1"/>
    <s v="COP_22"/>
    <s v="COP_23"/>
    <x v="1"/>
    <s v="Quarter4"/>
    <s v="Qtr_4"/>
    <s v="Sep"/>
    <d v="2024-09-01T00:00:00"/>
    <d v="2024-09-30T00:00:00"/>
    <x v="2"/>
    <n v="4"/>
    <n v="0"/>
    <n v="3"/>
    <n v="0"/>
    <n v="1"/>
    <n v="0"/>
    <n v="4"/>
    <n v="2"/>
    <n v="2"/>
    <n v="0"/>
    <n v="0"/>
    <n v="0"/>
    <n v="2"/>
    <n v="0"/>
    <n v="0"/>
    <n v="0"/>
    <n v="0"/>
    <n v="0"/>
    <n v="2"/>
    <n v="0"/>
    <n v="0"/>
    <n v="0"/>
    <n v="0"/>
    <n v="0"/>
    <n v="0"/>
    <m/>
  </r>
  <r>
    <n v="912"/>
    <d v="2024-10-08T15:39:02"/>
    <d v="2024-10-08T15:40:31"/>
    <s v="jkathyoka@lighthouse.org.mw"/>
    <s v="Judith Kathyoka"/>
    <x v="4"/>
    <s v="Prototype"/>
    <x v="1"/>
    <s v="COP_23"/>
    <s v="COP_23"/>
    <x v="1"/>
    <s v="Quarter4"/>
    <s v="Qtr_4"/>
    <s v="Sep"/>
    <d v="2024-09-01T00:00:00"/>
    <d v="2024-09-30T00:00:00"/>
    <x v="2"/>
    <n v="0"/>
    <n v="0"/>
    <n v="0"/>
    <n v="0"/>
    <n v="0"/>
    <n v="0"/>
    <n v="0"/>
    <n v="0"/>
    <n v="0"/>
    <n v="0"/>
    <n v="0"/>
    <n v="0"/>
    <n v="0"/>
    <n v="0"/>
    <n v="0"/>
    <n v="0"/>
    <n v="0"/>
    <n v="0"/>
    <n v="0"/>
    <n v="0"/>
    <n v="0"/>
    <n v="0"/>
    <n v="0"/>
    <n v="0"/>
    <n v="0"/>
    <m/>
  </r>
  <r>
    <n v="1057"/>
    <d v="2024-11-11T14:16:57"/>
    <d v="2024-11-11T14:20:05"/>
    <s v="jkathyoka@lighthouse.org.mw"/>
    <s v="Judith Kathyoka"/>
    <x v="4"/>
    <s v="Prototype"/>
    <x v="1"/>
    <s v="COP_23"/>
    <s v="COP_24"/>
    <x v="0"/>
    <s v="Quarter1"/>
    <s v="Qtr_1"/>
    <s v="Oct"/>
    <d v="2024-10-01T00:00:00"/>
    <d v="2024-10-31T00:00:00"/>
    <x v="2"/>
    <n v="2"/>
    <n v="0"/>
    <n v="2"/>
    <n v="0"/>
    <n v="0"/>
    <n v="0"/>
    <n v="2"/>
    <n v="1"/>
    <n v="1"/>
    <n v="0"/>
    <n v="0"/>
    <n v="0"/>
    <n v="1"/>
    <n v="0"/>
    <n v="0"/>
    <n v="0"/>
    <n v="0"/>
    <n v="0"/>
    <n v="1"/>
    <n v="0"/>
    <n v="0"/>
    <n v="0"/>
    <n v="0"/>
    <n v="0"/>
    <n v="0"/>
    <m/>
  </r>
  <r>
    <n v="475"/>
    <d v="2024-06-05T10:56:23"/>
    <d v="2024-06-05T11:01:37"/>
    <s v="jkathyoka@lighthouse.org.mw"/>
    <s v="Judith Kathyoka"/>
    <x v="4"/>
    <s v="Prototype"/>
    <x v="1"/>
    <s v="COP_23"/>
    <s v="COP_23"/>
    <x v="3"/>
    <s v="Quarter3"/>
    <s v="Qtr_3"/>
    <s v="May"/>
    <d v="2024-05-01T00:00:00"/>
    <d v="2024-05-31T00:00:00"/>
    <x v="0"/>
    <n v="7"/>
    <n v="5"/>
    <n v="3"/>
    <n v="1"/>
    <n v="2"/>
    <n v="1"/>
    <n v="7"/>
    <n v="6"/>
    <n v="6"/>
    <n v="1"/>
    <n v="2"/>
    <n v="1"/>
    <n v="3"/>
    <n v="0"/>
    <n v="0"/>
    <n v="0"/>
    <n v="0"/>
    <n v="0"/>
    <n v="5"/>
    <n v="1"/>
    <n v="0"/>
    <n v="1"/>
    <n v="0"/>
    <n v="0"/>
    <n v="6"/>
    <m/>
  </r>
  <r>
    <n v="478"/>
    <d v="2024-06-05T11:11:52"/>
    <d v="2024-06-05T11:14:11"/>
    <s v="jkathyoka@lighthouse.org.mw"/>
    <s v="Judith Kathyoka"/>
    <x v="4"/>
    <s v="Prototype"/>
    <x v="1"/>
    <s v="COP_23"/>
    <s v="COP_23"/>
    <x v="3"/>
    <s v="Quarter3"/>
    <s v="Qtr_3"/>
    <s v="May"/>
    <d v="2024-05-01T00:00:00"/>
    <d v="2024-05-31T00:00:00"/>
    <x v="3"/>
    <n v="0"/>
    <n v="0"/>
    <n v="0"/>
    <n v="0"/>
    <n v="0"/>
    <n v="0"/>
    <n v="0"/>
    <n v="0"/>
    <n v="0"/>
    <n v="0"/>
    <n v="0"/>
    <n v="0"/>
    <n v="0"/>
    <n v="0"/>
    <n v="0"/>
    <n v="0"/>
    <n v="0"/>
    <n v="0"/>
    <n v="0"/>
    <n v="0"/>
    <n v="0"/>
    <n v="0"/>
    <n v="0"/>
    <n v="0"/>
    <n v="0"/>
    <m/>
  </r>
  <r>
    <n v="479"/>
    <d v="2024-06-05T11:14:22"/>
    <d v="2024-06-05T11:16:41"/>
    <s v="jkathyoka@lighthouse.org.mw"/>
    <s v="Judith Kathyoka"/>
    <x v="4"/>
    <s v="Prototype"/>
    <x v="1"/>
    <s v="COP_23"/>
    <s v="COP_23"/>
    <x v="3"/>
    <s v="Quarter3"/>
    <s v="Qtr_3"/>
    <s v="May"/>
    <d v="2024-05-01T00:00:00"/>
    <d v="2024-05-31T00:00:00"/>
    <x v="4"/>
    <n v="0"/>
    <n v="0"/>
    <n v="0"/>
    <n v="0"/>
    <n v="0"/>
    <n v="0"/>
    <n v="0"/>
    <n v="0"/>
    <n v="0"/>
    <n v="0"/>
    <n v="0"/>
    <n v="0"/>
    <n v="0"/>
    <n v="0"/>
    <n v="0"/>
    <n v="0"/>
    <n v="0"/>
    <n v="0"/>
    <n v="0"/>
    <n v="0"/>
    <n v="0"/>
    <n v="0"/>
    <n v="0"/>
    <n v="0"/>
    <n v="0"/>
    <m/>
  </r>
  <r>
    <n v="481"/>
    <d v="2024-06-05T11:18:58"/>
    <d v="2024-06-05T11:21:07"/>
    <s v="jkathyoka@lighthouse.org.mw"/>
    <s v="Judith Kathyoka"/>
    <x v="4"/>
    <s v="Prototype"/>
    <x v="1"/>
    <s v="COP_23"/>
    <s v="COP_23"/>
    <x v="3"/>
    <s v="Quarter3"/>
    <s v="Qtr_3"/>
    <s v="May"/>
    <d v="2024-05-01T00:00:00"/>
    <d v="2024-05-31T00:00:00"/>
    <x v="6"/>
    <n v="0"/>
    <n v="0"/>
    <n v="0"/>
    <n v="0"/>
    <n v="0"/>
    <n v="0"/>
    <n v="0"/>
    <n v="0"/>
    <n v="0"/>
    <n v="0"/>
    <n v="0"/>
    <n v="0"/>
    <n v="0"/>
    <n v="0"/>
    <n v="0"/>
    <n v="0"/>
    <n v="0"/>
    <n v="0"/>
    <n v="0"/>
    <n v="0"/>
    <n v="0"/>
    <n v="0"/>
    <n v="0"/>
    <n v="0"/>
    <n v="0"/>
    <m/>
  </r>
  <r>
    <n v="562"/>
    <d v="2024-07-03T09:55:20"/>
    <d v="2024-07-03T09:57:07"/>
    <s v="jkathyoka@lighthouse.org.mw"/>
    <s v="Judith Kathyoka"/>
    <x v="4"/>
    <s v="Prototype"/>
    <x v="1"/>
    <s v="COP_23"/>
    <s v="COP_23"/>
    <x v="3"/>
    <s v="Quarter3"/>
    <s v="Qtr_3"/>
    <s v="Jun"/>
    <d v="2024-06-01T00:00:00"/>
    <d v="2024-06-30T00:00:00"/>
    <x v="3"/>
    <n v="0"/>
    <n v="0"/>
    <n v="0"/>
    <n v="0"/>
    <n v="0"/>
    <n v="0"/>
    <n v="0"/>
    <n v="0"/>
    <n v="0"/>
    <n v="0"/>
    <n v="0"/>
    <n v="0"/>
    <n v="0"/>
    <n v="0"/>
    <n v="0"/>
    <n v="0"/>
    <n v="0"/>
    <n v="0"/>
    <n v="0"/>
    <n v="0"/>
    <n v="0"/>
    <n v="0"/>
    <n v="0"/>
    <n v="0"/>
    <n v="0"/>
    <m/>
  </r>
  <r>
    <n v="563"/>
    <d v="2024-07-03T09:57:12"/>
    <d v="2024-07-03T09:58:58"/>
    <s v="jkathyoka@lighthouse.org.mw"/>
    <s v="Judith Kathyoka"/>
    <x v="4"/>
    <s v="Prototype"/>
    <x v="1"/>
    <s v="COP_23"/>
    <s v="COP_23"/>
    <x v="3"/>
    <s v="Quarter3"/>
    <s v="Qtr_3"/>
    <s v="Jun"/>
    <d v="2024-06-01T00:00:00"/>
    <d v="2024-06-30T00:00:00"/>
    <x v="4"/>
    <n v="0"/>
    <n v="0"/>
    <n v="0"/>
    <n v="0"/>
    <n v="0"/>
    <n v="0"/>
    <n v="0"/>
    <n v="0"/>
    <n v="0"/>
    <n v="0"/>
    <n v="0"/>
    <n v="0"/>
    <n v="0"/>
    <n v="0"/>
    <n v="0"/>
    <n v="0"/>
    <n v="0"/>
    <n v="0"/>
    <n v="0"/>
    <n v="0"/>
    <n v="0"/>
    <n v="0"/>
    <n v="0"/>
    <n v="0"/>
    <n v="0"/>
    <m/>
  </r>
  <r>
    <n v="564"/>
    <d v="2024-07-03T09:59:02"/>
    <d v="2024-07-03T10:00:53"/>
    <s v="jkathyoka@lighthouse.org.mw"/>
    <s v="Judith Kathyoka"/>
    <x v="4"/>
    <s v="Prototype"/>
    <x v="1"/>
    <s v="COP_23"/>
    <s v="COP_23"/>
    <x v="3"/>
    <s v="Quarter3"/>
    <s v="Qtr_3"/>
    <s v="Jun"/>
    <d v="2024-06-01T00:00:00"/>
    <d v="2024-06-30T00:00:00"/>
    <x v="5"/>
    <n v="0"/>
    <n v="0"/>
    <n v="0"/>
    <n v="0"/>
    <n v="0"/>
    <n v="0"/>
    <n v="0"/>
    <n v="0"/>
    <n v="0"/>
    <n v="0"/>
    <n v="0"/>
    <n v="0"/>
    <n v="0"/>
    <n v="0"/>
    <n v="0"/>
    <n v="0"/>
    <n v="0"/>
    <n v="0"/>
    <n v="0"/>
    <n v="0"/>
    <n v="0"/>
    <n v="0"/>
    <n v="0"/>
    <n v="0"/>
    <n v="0"/>
    <m/>
  </r>
  <r>
    <n v="567"/>
    <d v="2024-07-03T10:06:23"/>
    <d v="2024-07-03T10:08:44"/>
    <s v="jkathyoka@lighthouse.org.mw"/>
    <s v="Judith Kathyoka"/>
    <x v="4"/>
    <s v="Prototype"/>
    <x v="1"/>
    <s v="COP_23"/>
    <s v="COP_23"/>
    <x v="3"/>
    <s v="Quarter3"/>
    <s v="Qtr_3"/>
    <s v="Jun"/>
    <d v="2024-06-01T00:00:00"/>
    <d v="2024-06-30T00:00:00"/>
    <x v="0"/>
    <n v="5"/>
    <n v="0"/>
    <n v="4"/>
    <n v="1"/>
    <n v="0"/>
    <n v="0"/>
    <n v="5"/>
    <n v="0"/>
    <n v="0"/>
    <n v="0"/>
    <n v="0"/>
    <n v="0"/>
    <n v="0"/>
    <n v="0"/>
    <n v="0"/>
    <n v="0"/>
    <n v="0"/>
    <n v="0"/>
    <n v="0"/>
    <n v="0"/>
    <n v="0"/>
    <n v="0"/>
    <n v="0"/>
    <n v="0"/>
    <n v="0"/>
    <m/>
  </r>
  <r>
    <n v="715"/>
    <d v="2024-08-05T15:45:12"/>
    <d v="2024-08-05T15:47:02"/>
    <s v="jkathyoka@lighthouse.org.mw"/>
    <s v="Judith Kathyoka"/>
    <x v="4"/>
    <s v="Prototype"/>
    <x v="1"/>
    <s v="COP_23"/>
    <s v="COP_23"/>
    <x v="1"/>
    <s v="Quarter4"/>
    <s v="Qtr_4"/>
    <s v="Jul"/>
    <d v="2024-07-01T00:00:00"/>
    <d v="2024-07-31T00:00:00"/>
    <x v="3"/>
    <n v="0"/>
    <n v="0"/>
    <n v="0"/>
    <n v="0"/>
    <n v="0"/>
    <n v="0"/>
    <n v="0"/>
    <n v="0"/>
    <n v="0"/>
    <n v="0"/>
    <n v="0"/>
    <n v="0"/>
    <n v="0"/>
    <n v="0"/>
    <n v="0"/>
    <n v="0"/>
    <n v="0"/>
    <n v="0"/>
    <n v="0"/>
    <n v="0"/>
    <n v="0"/>
    <n v="0"/>
    <n v="0"/>
    <n v="0"/>
    <n v="0"/>
    <m/>
  </r>
  <r>
    <n v="716"/>
    <d v="2024-08-05T15:47:08"/>
    <d v="2024-08-05T15:54:13"/>
    <s v="jkathyoka@lighthouse.org.mw"/>
    <s v="Judith Kathyoka"/>
    <x v="4"/>
    <s v="Prototype"/>
    <x v="1"/>
    <s v="COP_23"/>
    <s v="COP_23"/>
    <x v="1"/>
    <s v="Quarter4"/>
    <s v="Qtr_4"/>
    <s v="Jul"/>
    <d v="2024-07-01T00:00:00"/>
    <d v="2024-07-31T00:00:00"/>
    <x v="4"/>
    <n v="0"/>
    <n v="0"/>
    <n v="0"/>
    <n v="0"/>
    <n v="0"/>
    <n v="0"/>
    <n v="0"/>
    <n v="0"/>
    <n v="0"/>
    <n v="0"/>
    <n v="0"/>
    <n v="0"/>
    <n v="0"/>
    <n v="0"/>
    <n v="0"/>
    <n v="0"/>
    <n v="0"/>
    <n v="0"/>
    <n v="0"/>
    <n v="0"/>
    <n v="0"/>
    <n v="0"/>
    <n v="0"/>
    <n v="0"/>
    <n v="0"/>
    <m/>
  </r>
  <r>
    <n v="717"/>
    <d v="2024-08-05T15:54:39"/>
    <d v="2024-08-05T15:57:27"/>
    <s v="jkathyoka@lighthouse.org.mw"/>
    <s v="Judith Kathyoka"/>
    <x v="4"/>
    <s v="Prototype"/>
    <x v="1"/>
    <s v="COP_22"/>
    <s v="COP_22"/>
    <x v="1"/>
    <s v="Quarter4"/>
    <s v="Qtr_4"/>
    <s v="Jul"/>
    <d v="2024-07-01T00:00:00"/>
    <d v="2024-07-31T00:00:00"/>
    <x v="5"/>
    <n v="0"/>
    <n v="0"/>
    <n v="0"/>
    <n v="0"/>
    <n v="0"/>
    <n v="0"/>
    <n v="0"/>
    <n v="0"/>
    <n v="0"/>
    <n v="0"/>
    <n v="0"/>
    <n v="0"/>
    <n v="0"/>
    <n v="0"/>
    <n v="0"/>
    <n v="0"/>
    <n v="0"/>
    <n v="0"/>
    <n v="0"/>
    <n v="0"/>
    <n v="0"/>
    <n v="0"/>
    <n v="0"/>
    <n v="0"/>
    <n v="0"/>
    <m/>
  </r>
  <r>
    <n v="725"/>
    <d v="2024-08-06T17:52:57"/>
    <d v="2024-08-06T17:57:32"/>
    <s v="jkathyoka@lighthouse.org.mw"/>
    <s v="Judith Kathyoka"/>
    <x v="4"/>
    <s v="Prototype"/>
    <x v="1"/>
    <s v="COP_23"/>
    <s v="COP_23"/>
    <x v="3"/>
    <s v="Quarter3"/>
    <s v="Qtr_3"/>
    <s v="May"/>
    <d v="2024-05-01T00:00:00"/>
    <d v="2024-05-31T00:00:00"/>
    <x v="5"/>
    <n v="0"/>
    <n v="0"/>
    <n v="0"/>
    <n v="0"/>
    <n v="0"/>
    <n v="0"/>
    <n v="0"/>
    <n v="0"/>
    <n v="0"/>
    <n v="0"/>
    <n v="0"/>
    <n v="0"/>
    <n v="0"/>
    <n v="0"/>
    <n v="0"/>
    <n v="0"/>
    <n v="0"/>
    <n v="0"/>
    <n v="0"/>
    <n v="0"/>
    <n v="0"/>
    <n v="0"/>
    <n v="0"/>
    <n v="0"/>
    <n v="0"/>
    <m/>
  </r>
  <r>
    <n v="726"/>
    <d v="2024-08-06T17:57:49"/>
    <d v="2024-08-06T17:59:43"/>
    <s v="jkathyoka@lighthouse.org.mw"/>
    <s v="Judith Kathyoka"/>
    <x v="4"/>
    <s v="Prototype"/>
    <x v="1"/>
    <s v="COP_23"/>
    <s v="COP_23"/>
    <x v="1"/>
    <s v="Quarter4"/>
    <s v="Qtr_4"/>
    <s v="Jul"/>
    <d v="2024-07-01T00:00:00"/>
    <d v="2024-07-31T00:00:00"/>
    <x v="6"/>
    <n v="0"/>
    <n v="0"/>
    <n v="0"/>
    <n v="0"/>
    <n v="0"/>
    <n v="0"/>
    <n v="0"/>
    <n v="0"/>
    <n v="0"/>
    <n v="0"/>
    <n v="0"/>
    <n v="0"/>
    <n v="0"/>
    <n v="0"/>
    <n v="0"/>
    <n v="0"/>
    <n v="0"/>
    <n v="0"/>
    <n v="0"/>
    <n v="0"/>
    <n v="0"/>
    <n v="0"/>
    <n v="0"/>
    <n v="0"/>
    <n v="0"/>
    <m/>
  </r>
  <r>
    <n v="727"/>
    <d v="2024-08-06T17:59:59"/>
    <d v="2024-08-06T18:03:29"/>
    <s v="jkathyoka@lighthouse.org.mw"/>
    <s v="Judith Kathyoka"/>
    <x v="4"/>
    <s v="Prototype"/>
    <x v="1"/>
    <s v="COP_23"/>
    <s v="COP_23"/>
    <x v="1"/>
    <s v="Quarter4"/>
    <s v="Qtr_4"/>
    <s v="Jul"/>
    <d v="2024-07-01T00:00:00"/>
    <d v="2024-07-31T00:00:00"/>
    <x v="0"/>
    <n v="16"/>
    <n v="2"/>
    <n v="14"/>
    <n v="0"/>
    <n v="2"/>
    <n v="0"/>
    <n v="16"/>
    <n v="3"/>
    <n v="6"/>
    <n v="0"/>
    <n v="1"/>
    <n v="0"/>
    <n v="0"/>
    <n v="0"/>
    <n v="0"/>
    <n v="0"/>
    <n v="0"/>
    <n v="0"/>
    <n v="0"/>
    <n v="0"/>
    <n v="0"/>
    <n v="0"/>
    <n v="0"/>
    <n v="0"/>
    <n v="0"/>
    <m/>
  </r>
  <r>
    <n v="771"/>
    <d v="2024-08-19T11:32:31"/>
    <d v="2024-08-19T11:34:05"/>
    <s v="jkathyoka@lighthouse.org.mw"/>
    <s v="Judith Kathyoka"/>
    <x v="4"/>
    <s v="Prototype"/>
    <x v="1"/>
    <s v="COP_23"/>
    <s v="COP_23"/>
    <x v="3"/>
    <s v="Quarter3"/>
    <s v="Qtr_3"/>
    <s v="Apr"/>
    <d v="2024-04-01T00:00:00"/>
    <d v="2024-04-30T00:00:00"/>
    <x v="5"/>
    <n v="0"/>
    <n v="0"/>
    <n v="0"/>
    <n v="0"/>
    <n v="0"/>
    <n v="0"/>
    <n v="0"/>
    <n v="0"/>
    <n v="0"/>
    <n v="0"/>
    <n v="0"/>
    <n v="0"/>
    <n v="0"/>
    <n v="0"/>
    <n v="0"/>
    <n v="0"/>
    <n v="0"/>
    <n v="0"/>
    <n v="0"/>
    <n v="0"/>
    <n v="0"/>
    <n v="0"/>
    <n v="0"/>
    <n v="0"/>
    <n v="0"/>
    <m/>
  </r>
  <r>
    <n v="772"/>
    <d v="2024-08-19T11:34:29"/>
    <d v="2024-08-19T11:35:37"/>
    <s v="jkathyoka@lighthouse.org.mw"/>
    <s v="Judith Kathyoka"/>
    <x v="4"/>
    <s v="Prototype"/>
    <x v="1"/>
    <s v="COP_23"/>
    <s v="COP_23"/>
    <x v="3"/>
    <s v="Quarter3"/>
    <s v="Qtr_3"/>
    <s v="Apr"/>
    <d v="2024-04-01T00:00:00"/>
    <d v="2024-04-30T00:00:00"/>
    <x v="3"/>
    <n v="0"/>
    <n v="0"/>
    <n v="0"/>
    <n v="0"/>
    <n v="0"/>
    <n v="0"/>
    <n v="0"/>
    <n v="0"/>
    <n v="0"/>
    <n v="0"/>
    <n v="0"/>
    <n v="0"/>
    <n v="0"/>
    <n v="0"/>
    <n v="0"/>
    <n v="0"/>
    <n v="0"/>
    <n v="0"/>
    <n v="0"/>
    <n v="0"/>
    <n v="0"/>
    <n v="0"/>
    <n v="0"/>
    <n v="0"/>
    <n v="0"/>
    <m/>
  </r>
  <r>
    <n v="773"/>
    <d v="2024-08-19T11:35:47"/>
    <d v="2024-08-19T11:36:53"/>
    <s v="jkathyoka@lighthouse.org.mw"/>
    <s v="Judith Kathyoka"/>
    <x v="4"/>
    <s v="Prototype"/>
    <x v="1"/>
    <s v="COP_23"/>
    <s v="COP_23"/>
    <x v="3"/>
    <s v="Quarter3"/>
    <s v="Qtr_3"/>
    <s v="Apr"/>
    <d v="2024-04-01T00:00:00"/>
    <d v="2024-04-30T00:00:00"/>
    <x v="4"/>
    <n v="0"/>
    <n v="0"/>
    <n v="0"/>
    <n v="0"/>
    <n v="0"/>
    <n v="0"/>
    <n v="0"/>
    <n v="0"/>
    <n v="0"/>
    <n v="0"/>
    <n v="0"/>
    <n v="0"/>
    <n v="0"/>
    <n v="0"/>
    <n v="0"/>
    <n v="0"/>
    <n v="0"/>
    <n v="0"/>
    <n v="0"/>
    <n v="0"/>
    <n v="0"/>
    <n v="0"/>
    <n v="0"/>
    <n v="0"/>
    <n v="0"/>
    <m/>
  </r>
  <r>
    <n v="820"/>
    <d v="2024-09-19T08:19:02"/>
    <d v="2024-09-19T08:23:27"/>
    <s v="jkathyoka@lighthouse.org.mw"/>
    <s v="Judith Kathyoka"/>
    <x v="4"/>
    <s v="Prototype"/>
    <x v="1"/>
    <s v="COP_23"/>
    <s v="COP_23"/>
    <x v="1"/>
    <s v="Quarter4"/>
    <s v="Qtr_4"/>
    <s v="Aug"/>
    <d v="2024-08-01T00:00:00"/>
    <d v="2024-08-31T00:00:00"/>
    <x v="0"/>
    <n v="7"/>
    <n v="0"/>
    <n v="7"/>
    <n v="0"/>
    <n v="0"/>
    <n v="0"/>
    <n v="7"/>
    <n v="0"/>
    <n v="0"/>
    <n v="0"/>
    <n v="0"/>
    <n v="0"/>
    <n v="0"/>
    <n v="0"/>
    <n v="0"/>
    <n v="0"/>
    <n v="0"/>
    <n v="0"/>
    <n v="0"/>
    <n v="0"/>
    <n v="0"/>
    <n v="0"/>
    <n v="0"/>
    <n v="0"/>
    <n v="0"/>
    <m/>
  </r>
  <r>
    <n v="823"/>
    <d v="2024-09-19T08:35:18"/>
    <d v="2024-09-19T08:36:28"/>
    <s v="jkathyoka@lighthouse.org.mw"/>
    <s v="Judith Kathyoka"/>
    <x v="4"/>
    <s v="Prototype"/>
    <x v="1"/>
    <s v="COP_23"/>
    <s v="COP_23"/>
    <x v="1"/>
    <s v="Quarter4"/>
    <s v="Qtr_4"/>
    <s v="Aug"/>
    <d v="2024-08-01T00:00:00"/>
    <d v="2024-08-31T00:00:00"/>
    <x v="3"/>
    <n v="0"/>
    <n v="0"/>
    <n v="0"/>
    <n v="0"/>
    <n v="0"/>
    <n v="0"/>
    <n v="0"/>
    <n v="0"/>
    <n v="0"/>
    <n v="0"/>
    <n v="0"/>
    <n v="0"/>
    <n v="0"/>
    <n v="0"/>
    <n v="0"/>
    <n v="0"/>
    <n v="0"/>
    <n v="0"/>
    <n v="0"/>
    <n v="0"/>
    <n v="0"/>
    <n v="0"/>
    <n v="0"/>
    <n v="0"/>
    <n v="0"/>
    <m/>
  </r>
  <r>
    <n v="824"/>
    <d v="2024-09-19T08:36:31"/>
    <d v="2024-09-19T08:37:24"/>
    <s v="jkathyoka@lighthouse.org.mw"/>
    <s v="Judith Kathyoka"/>
    <x v="4"/>
    <s v="Prototype"/>
    <x v="1"/>
    <s v="COP_23"/>
    <s v="COP_23"/>
    <x v="1"/>
    <s v="Quarter4"/>
    <s v="Qtr_4"/>
    <s v="Aug"/>
    <d v="2024-08-01T00:00:00"/>
    <d v="2024-08-31T00:00:00"/>
    <x v="4"/>
    <n v="0"/>
    <n v="0"/>
    <n v="0"/>
    <n v="0"/>
    <n v="0"/>
    <n v="0"/>
    <n v="0"/>
    <n v="0"/>
    <n v="0"/>
    <n v="0"/>
    <n v="0"/>
    <n v="0"/>
    <n v="0"/>
    <n v="0"/>
    <n v="0"/>
    <n v="0"/>
    <n v="0"/>
    <n v="0"/>
    <n v="0"/>
    <n v="0"/>
    <n v="0"/>
    <n v="0"/>
    <n v="0"/>
    <n v="0"/>
    <n v="0"/>
    <m/>
  </r>
  <r>
    <n v="825"/>
    <d v="2024-09-19T08:37:26"/>
    <d v="2024-09-19T08:38:30"/>
    <s v="jkathyoka@lighthouse.org.mw"/>
    <s v="Judith Kathyoka"/>
    <x v="4"/>
    <s v="Prototype"/>
    <x v="1"/>
    <s v="COP_23"/>
    <s v="COP_23"/>
    <x v="1"/>
    <s v="Quarter4"/>
    <s v="Qtr_4"/>
    <s v="Aug"/>
    <d v="2024-08-01T00:00:00"/>
    <d v="2024-08-31T00:00:00"/>
    <x v="5"/>
    <n v="0"/>
    <n v="0"/>
    <n v="0"/>
    <n v="0"/>
    <n v="0"/>
    <n v="0"/>
    <n v="0"/>
    <n v="0"/>
    <n v="0"/>
    <n v="0"/>
    <n v="0"/>
    <n v="0"/>
    <n v="0"/>
    <n v="0"/>
    <n v="0"/>
    <n v="0"/>
    <n v="0"/>
    <n v="0"/>
    <n v="0"/>
    <n v="0"/>
    <n v="0"/>
    <n v="0"/>
    <n v="0"/>
    <n v="0"/>
    <n v="0"/>
    <m/>
  </r>
  <r>
    <n v="826"/>
    <d v="2024-09-19T08:38:32"/>
    <d v="2024-09-19T08:39:43"/>
    <s v="jkathyoka@lighthouse.org.mw"/>
    <s v="Judith Kathyoka"/>
    <x v="4"/>
    <s v="Prototype"/>
    <x v="1"/>
    <s v="COP_23"/>
    <s v="COP_23"/>
    <x v="1"/>
    <s v="Quarter4"/>
    <s v="Qtr_4"/>
    <s v="Aug"/>
    <d v="2024-08-01T00:00:00"/>
    <d v="2024-08-31T00:00:00"/>
    <x v="6"/>
    <n v="0"/>
    <n v="0"/>
    <n v="0"/>
    <n v="0"/>
    <n v="0"/>
    <n v="0"/>
    <n v="0"/>
    <n v="0"/>
    <n v="0"/>
    <n v="0"/>
    <n v="0"/>
    <n v="0"/>
    <n v="0"/>
    <n v="0"/>
    <n v="0"/>
    <n v="0"/>
    <n v="0"/>
    <n v="0"/>
    <n v="0"/>
    <n v="0"/>
    <n v="0"/>
    <n v="0"/>
    <n v="0"/>
    <n v="0"/>
    <n v="0"/>
    <m/>
  </r>
  <r>
    <n v="879"/>
    <d v="2024-10-03T15:47:46"/>
    <d v="2024-10-03T15:50:56"/>
    <s v="jkathyoka@lighthouse.org.mw"/>
    <s v="Judith Kathyoka"/>
    <x v="4"/>
    <s v="Prototype"/>
    <x v="1"/>
    <s v="COP_23"/>
    <s v="COP_23"/>
    <x v="1"/>
    <s v="Quarter4"/>
    <s v="Qtr_4"/>
    <s v="Sep"/>
    <d v="2024-09-01T00:00:00"/>
    <d v="2024-09-30T00:00:00"/>
    <x v="0"/>
    <n v="13"/>
    <n v="2"/>
    <n v="11"/>
    <n v="0"/>
    <n v="2"/>
    <n v="0"/>
    <n v="13"/>
    <n v="6"/>
    <n v="6"/>
    <n v="0"/>
    <n v="0"/>
    <n v="0"/>
    <n v="6"/>
    <n v="0"/>
    <n v="0"/>
    <n v="0"/>
    <n v="0"/>
    <n v="0"/>
    <n v="4"/>
    <n v="0"/>
    <n v="0"/>
    <n v="0"/>
    <n v="0"/>
    <n v="0"/>
    <n v="2"/>
    <m/>
  </r>
  <r>
    <n v="880"/>
    <d v="2024-10-03T15:51:17"/>
    <d v="2024-10-03T15:52:18"/>
    <s v="jkathyoka@lighthouse.org.mw"/>
    <s v="Judith Kathyoka"/>
    <x v="4"/>
    <s v="Prototype"/>
    <x v="1"/>
    <s v="COP_23"/>
    <s v="COP_23"/>
    <x v="1"/>
    <s v="Quarter4"/>
    <s v="Qtr_4"/>
    <s v="Sep"/>
    <d v="2024-09-01T00:00:00"/>
    <d v="2024-09-30T00:00:00"/>
    <x v="3"/>
    <n v="0"/>
    <n v="0"/>
    <n v="0"/>
    <n v="0"/>
    <n v="0"/>
    <n v="0"/>
    <n v="0"/>
    <n v="0"/>
    <n v="0"/>
    <n v="0"/>
    <n v="0"/>
    <n v="0"/>
    <n v="0"/>
    <n v="0"/>
    <n v="0"/>
    <n v="0"/>
    <n v="0"/>
    <n v="0"/>
    <n v="0"/>
    <n v="0"/>
    <n v="0"/>
    <n v="0"/>
    <n v="0"/>
    <n v="0"/>
    <n v="0"/>
    <m/>
  </r>
  <r>
    <n v="881"/>
    <d v="2024-10-03T15:54:24"/>
    <d v="2024-10-03T15:55:26"/>
    <s v="jkathyoka@lighthouse.org.mw"/>
    <s v="Judith Kathyoka"/>
    <x v="4"/>
    <s v="Prototype"/>
    <x v="1"/>
    <s v="COP_23"/>
    <s v="COP_23"/>
    <x v="1"/>
    <s v="Quarter4"/>
    <s v="Qtr_4"/>
    <s v="Sep"/>
    <d v="2024-09-01T00:00:00"/>
    <d v="2024-09-30T00:00:00"/>
    <x v="4"/>
    <n v="0"/>
    <n v="0"/>
    <n v="0"/>
    <n v="0"/>
    <n v="0"/>
    <n v="0"/>
    <n v="0"/>
    <n v="0"/>
    <n v="0"/>
    <n v="0"/>
    <n v="0"/>
    <n v="0"/>
    <n v="0"/>
    <n v="0"/>
    <n v="0"/>
    <n v="0"/>
    <n v="0"/>
    <n v="0"/>
    <n v="0"/>
    <n v="0"/>
    <n v="0"/>
    <n v="0"/>
    <n v="0"/>
    <n v="0"/>
    <n v="0"/>
    <m/>
  </r>
  <r>
    <n v="910"/>
    <d v="2024-10-08T15:35:24"/>
    <d v="2024-10-08T15:38:35"/>
    <s v="jkathyoka@lighthouse.org.mw"/>
    <s v="Judith Kathyoka"/>
    <x v="4"/>
    <s v="Prototype"/>
    <x v="1"/>
    <s v="COP_23"/>
    <s v="COP_23"/>
    <x v="1"/>
    <s v="Quarter4"/>
    <s v="Qtr_4"/>
    <s v="Sep"/>
    <d v="2024-09-01T00:00:00"/>
    <d v="2024-09-30T00:00:00"/>
    <x v="5"/>
    <n v="0"/>
    <n v="0"/>
    <n v="0"/>
    <n v="0"/>
    <n v="0"/>
    <n v="0"/>
    <n v="0"/>
    <n v="0"/>
    <n v="0"/>
    <n v="0"/>
    <n v="0"/>
    <n v="0"/>
    <n v="0"/>
    <n v="0"/>
    <n v="0"/>
    <n v="0"/>
    <n v="0"/>
    <n v="0"/>
    <n v="0"/>
    <n v="0"/>
    <n v="0"/>
    <n v="0"/>
    <n v="0"/>
    <n v="0"/>
    <n v="0"/>
    <m/>
  </r>
  <r>
    <n v="913"/>
    <d v="2024-10-08T15:40:36"/>
    <d v="2024-10-08T15:41:40"/>
    <s v="jkathyoka@lighthouse.org.mw"/>
    <s v="Judith Kathyoka"/>
    <x v="4"/>
    <s v="Prototype"/>
    <x v="1"/>
    <s v="COP_23"/>
    <s v="COP_23"/>
    <x v="1"/>
    <s v="Quarter4"/>
    <s v="Qtr_4"/>
    <s v="Sep"/>
    <d v="2024-09-01T00:00:00"/>
    <d v="2024-09-30T00:00:00"/>
    <x v="6"/>
    <n v="0"/>
    <n v="0"/>
    <n v="0"/>
    <n v="0"/>
    <n v="0"/>
    <n v="0"/>
    <n v="0"/>
    <n v="0"/>
    <n v="0"/>
    <n v="0"/>
    <n v="0"/>
    <n v="0"/>
    <n v="0"/>
    <n v="0"/>
    <n v="0"/>
    <n v="0"/>
    <n v="0"/>
    <n v="0"/>
    <n v="0"/>
    <n v="0"/>
    <n v="0"/>
    <n v="0"/>
    <n v="0"/>
    <n v="0"/>
    <n v="0"/>
    <m/>
  </r>
  <r>
    <n v="1054"/>
    <d v="2024-11-11T14:10:59"/>
    <d v="2024-11-11T14:12:44"/>
    <s v="jkathyoka@lighthouse.org.mw"/>
    <s v="Judith Kathyoka"/>
    <x v="4"/>
    <s v="Prototype"/>
    <x v="1"/>
    <s v="COP_23"/>
    <s v="COP_24"/>
    <x v="0"/>
    <s v="Quarter1"/>
    <s v="Qtr_1"/>
    <s v="Oct"/>
    <d v="2024-10-01T00:00:00"/>
    <d v="2024-10-31T00:00:00"/>
    <x v="3"/>
    <n v="0"/>
    <n v="0"/>
    <n v="0"/>
    <n v="0"/>
    <n v="0"/>
    <n v="0"/>
    <n v="0"/>
    <n v="0"/>
    <n v="0"/>
    <n v="0"/>
    <n v="0"/>
    <n v="0"/>
    <n v="0"/>
    <n v="0"/>
    <n v="0"/>
    <n v="0"/>
    <n v="0"/>
    <n v="0"/>
    <n v="0"/>
    <n v="0"/>
    <n v="0"/>
    <n v="0"/>
    <n v="0"/>
    <n v="0"/>
    <n v="0"/>
    <m/>
  </r>
  <r>
    <n v="1055"/>
    <d v="2024-11-11T14:12:50"/>
    <d v="2024-11-11T14:14:46"/>
    <s v="jkathyoka@lighthouse.org.mw"/>
    <s v="Judith Kathyoka"/>
    <x v="4"/>
    <s v="Prototype"/>
    <x v="1"/>
    <s v="COP_23"/>
    <s v="COP_24"/>
    <x v="0"/>
    <s v="Quarter1"/>
    <s v="Qtr_1"/>
    <s v="Oct"/>
    <d v="2024-10-01T00:00:00"/>
    <d v="2024-10-31T00:00:00"/>
    <x v="4"/>
    <n v="0"/>
    <n v="0"/>
    <n v="0"/>
    <n v="0"/>
    <n v="0"/>
    <n v="0"/>
    <n v="0"/>
    <n v="0"/>
    <n v="0"/>
    <n v="0"/>
    <n v="0"/>
    <n v="0"/>
    <n v="0"/>
    <n v="0"/>
    <n v="0"/>
    <n v="0"/>
    <n v="0"/>
    <n v="0"/>
    <n v="0"/>
    <n v="0"/>
    <n v="0"/>
    <n v="0"/>
    <n v="0"/>
    <n v="0"/>
    <n v="0"/>
    <m/>
  </r>
  <r>
    <n v="1056"/>
    <d v="2024-11-11T14:14:50"/>
    <d v="2024-11-11T14:16:32"/>
    <s v="jkathyoka@lighthouse.org.mw"/>
    <s v="Judith Kathyoka"/>
    <x v="4"/>
    <s v="Prototype"/>
    <x v="1"/>
    <s v="COP_23"/>
    <s v="COP_24"/>
    <x v="0"/>
    <s v="Quarter1"/>
    <s v="Qtr_1"/>
    <s v="Oct"/>
    <d v="2024-10-01T00:00:00"/>
    <d v="2024-10-31T00:00:00"/>
    <x v="5"/>
    <n v="0"/>
    <n v="0"/>
    <n v="0"/>
    <n v="0"/>
    <n v="0"/>
    <n v="0"/>
    <n v="0"/>
    <n v="0"/>
    <n v="0"/>
    <n v="0"/>
    <n v="0"/>
    <n v="0"/>
    <n v="0"/>
    <n v="0"/>
    <n v="0"/>
    <n v="0"/>
    <n v="0"/>
    <n v="0"/>
    <n v="0"/>
    <n v="0"/>
    <n v="0"/>
    <n v="0"/>
    <n v="0"/>
    <n v="0"/>
    <n v="0"/>
    <m/>
  </r>
  <r>
    <n v="1058"/>
    <d v="2024-11-11T14:20:10"/>
    <d v="2024-11-11T14:21:47"/>
    <s v="jkathyoka@lighthouse.org.mw"/>
    <s v="Judith Kathyoka"/>
    <x v="4"/>
    <s v="Prototype"/>
    <x v="1"/>
    <s v="COP_23"/>
    <s v="COP_24"/>
    <x v="0"/>
    <s v="Quarter1"/>
    <s v="Qtr_1"/>
    <s v="Oct"/>
    <d v="2024-10-01T00:00:00"/>
    <d v="2024-10-31T00:00:00"/>
    <x v="6"/>
    <n v="0"/>
    <n v="0"/>
    <n v="0"/>
    <n v="0"/>
    <n v="0"/>
    <n v="0"/>
    <n v="0"/>
    <n v="0"/>
    <n v="0"/>
    <n v="0"/>
    <n v="0"/>
    <n v="0"/>
    <n v="0"/>
    <n v="0"/>
    <n v="0"/>
    <n v="0"/>
    <n v="0"/>
    <n v="0"/>
    <n v="0"/>
    <n v="0"/>
    <n v="0"/>
    <n v="0"/>
    <n v="0"/>
    <n v="0"/>
    <n v="0"/>
    <m/>
  </r>
  <r>
    <n v="1059"/>
    <d v="2024-11-11T14:21:55"/>
    <d v="2024-11-11T14:25:01"/>
    <s v="jkathyoka@lighthouse.org.mw"/>
    <s v="Judith Kathyoka"/>
    <x v="4"/>
    <s v="Prototype"/>
    <x v="1"/>
    <s v="COP_23"/>
    <s v="COP_24"/>
    <x v="0"/>
    <s v="Quarter1"/>
    <s v="Qtr_1"/>
    <s v="Oct"/>
    <d v="2024-10-01T00:00:00"/>
    <d v="2024-10-31T00:00:00"/>
    <x v="0"/>
    <n v="8"/>
    <n v="0"/>
    <n v="7"/>
    <n v="0"/>
    <n v="0"/>
    <n v="1"/>
    <n v="8"/>
    <n v="1"/>
    <n v="1"/>
    <n v="0"/>
    <n v="0"/>
    <n v="0"/>
    <n v="0"/>
    <n v="0"/>
    <n v="0"/>
    <n v="0"/>
    <n v="0"/>
    <n v="0"/>
    <n v="1"/>
    <n v="0"/>
    <n v="0"/>
    <n v="0"/>
    <n v="0"/>
    <n v="1"/>
    <n v="0"/>
    <m/>
  </r>
  <r>
    <n v="1103"/>
    <d v="2024-12-05T14:15:02"/>
    <d v="2024-12-05T14:18:57"/>
    <s v="jkathyoka@lighthouse.org.mw"/>
    <s v="Judith Kathyoka"/>
    <x v="4"/>
    <s v="Prototype"/>
    <x v="1"/>
    <s v="COP_23"/>
    <s v="COP_24"/>
    <x v="0"/>
    <s v="Quarter1"/>
    <s v="Qtr_1"/>
    <s v="Nov"/>
    <d v="2024-11-01T00:00:00"/>
    <d v="2024-11-30T00:00:00"/>
    <x v="1"/>
    <n v="11"/>
    <n v="2"/>
    <n v="7"/>
    <n v="1"/>
    <n v="1"/>
    <n v="2"/>
    <n v="11"/>
    <n v="6"/>
    <n v="6"/>
    <n v="1"/>
    <n v="2"/>
    <n v="1"/>
    <n v="6"/>
    <n v="1"/>
    <n v="0"/>
    <n v="0"/>
    <n v="0"/>
    <n v="0"/>
    <n v="4"/>
    <n v="0"/>
    <n v="1"/>
    <n v="1"/>
    <n v="0"/>
    <n v="0"/>
    <n v="0"/>
    <m/>
  </r>
  <r>
    <n v="1104"/>
    <d v="2024-12-05T14:19:18"/>
    <d v="2024-12-05T14:21:04"/>
    <s v="jkathyoka@lighthouse.org.mw"/>
    <s v="Judith Kathyoka"/>
    <x v="4"/>
    <s v="Prototype"/>
    <x v="1"/>
    <s v="COP_24"/>
    <s v="COP_24"/>
    <x v="0"/>
    <s v="Quarter1"/>
    <s v="Qtr_1"/>
    <s v="Nov"/>
    <d v="2024-11-01T00:00:00"/>
    <d v="2024-11-30T00:00:00"/>
    <x v="3"/>
    <n v="0"/>
    <n v="0"/>
    <n v="0"/>
    <n v="0"/>
    <n v="0"/>
    <n v="0"/>
    <n v="0"/>
    <n v="0"/>
    <n v="0"/>
    <n v="0"/>
    <n v="0"/>
    <n v="0"/>
    <n v="0"/>
    <n v="0"/>
    <n v="0"/>
    <n v="0"/>
    <n v="0"/>
    <n v="0"/>
    <n v="0"/>
    <n v="0"/>
    <n v="0"/>
    <n v="0"/>
    <n v="0"/>
    <n v="0"/>
    <n v="0"/>
    <m/>
  </r>
  <r>
    <n v="1105"/>
    <d v="2024-12-05T14:21:07"/>
    <d v="2024-12-05T14:22:35"/>
    <s v="jkathyoka@lighthouse.org.mw"/>
    <s v="Judith Kathyoka"/>
    <x v="4"/>
    <s v="Prototype"/>
    <x v="1"/>
    <s v="COP_23"/>
    <s v="COP_24"/>
    <x v="0"/>
    <s v="Quarter1"/>
    <s v="Qtr_1"/>
    <s v="Nov"/>
    <d v="2024-11-01T00:00:00"/>
    <d v="2024-11-30T00:00:00"/>
    <x v="4"/>
    <n v="0"/>
    <n v="0"/>
    <n v="0"/>
    <n v="0"/>
    <n v="0"/>
    <n v="0"/>
    <n v="0"/>
    <n v="0"/>
    <n v="0"/>
    <n v="0"/>
    <n v="0"/>
    <n v="0"/>
    <n v="0"/>
    <n v="0"/>
    <n v="0"/>
    <n v="0"/>
    <n v="0"/>
    <n v="0"/>
    <n v="0"/>
    <n v="0"/>
    <n v="0"/>
    <n v="0"/>
    <n v="0"/>
    <n v="0"/>
    <n v="0"/>
    <m/>
  </r>
  <r>
    <n v="1106"/>
    <d v="2024-12-05T14:22:37"/>
    <d v="2024-12-05T14:24:09"/>
    <s v="jkathyoka@lighthouse.org.mw"/>
    <s v="Judith Kathyoka"/>
    <x v="4"/>
    <s v="Prototype"/>
    <x v="1"/>
    <s v="COP_23"/>
    <s v="COP_24"/>
    <x v="0"/>
    <s v="Quarter1"/>
    <s v="Qtr_1"/>
    <s v="Nov"/>
    <d v="2024-11-01T00:00:00"/>
    <d v="2024-11-30T00:00:00"/>
    <x v="5"/>
    <n v="0"/>
    <n v="0"/>
    <n v="0"/>
    <n v="0"/>
    <n v="0"/>
    <n v="0"/>
    <n v="0"/>
    <n v="0"/>
    <n v="0"/>
    <n v="0"/>
    <n v="0"/>
    <n v="0"/>
    <n v="0"/>
    <n v="0"/>
    <n v="0"/>
    <n v="0"/>
    <n v="0"/>
    <n v="0"/>
    <n v="0"/>
    <n v="0"/>
    <n v="0"/>
    <n v="0"/>
    <n v="0"/>
    <n v="0"/>
    <n v="0"/>
    <m/>
  </r>
  <r>
    <n v="1107"/>
    <d v="2024-12-05T14:24:12"/>
    <d v="2024-12-05T14:26:23"/>
    <s v="jkathyoka@lighthouse.org.mw"/>
    <s v="Judith Kathyoka"/>
    <x v="4"/>
    <s v="Prototype"/>
    <x v="1"/>
    <s v="COP_23"/>
    <s v="COP_24"/>
    <x v="0"/>
    <s v="Quarter1"/>
    <s v="Qtr_1"/>
    <s v="Nov"/>
    <d v="2024-11-01T00:00:00"/>
    <d v="2024-11-30T00:00:00"/>
    <x v="2"/>
    <n v="4"/>
    <n v="1"/>
    <n v="2"/>
    <n v="0"/>
    <n v="1"/>
    <n v="1"/>
    <n v="4"/>
    <n v="0"/>
    <n v="0"/>
    <n v="0"/>
    <n v="0"/>
    <n v="0"/>
    <n v="0"/>
    <n v="0"/>
    <n v="0"/>
    <n v="0"/>
    <n v="1"/>
    <n v="1"/>
    <n v="0"/>
    <n v="0"/>
    <n v="0"/>
    <n v="0"/>
    <n v="0"/>
    <n v="1"/>
    <n v="0"/>
    <m/>
  </r>
  <r>
    <n v="1109"/>
    <d v="2024-12-05T14:27:58"/>
    <d v="2024-12-05T14:30:27"/>
    <s v="jkathyoka@lighthouse.org.mw"/>
    <s v="Judith Kathyoka"/>
    <x v="4"/>
    <s v="Prototype"/>
    <x v="1"/>
    <s v="COP_23"/>
    <s v="COP_24"/>
    <x v="0"/>
    <s v="Quarter1"/>
    <s v="Qtr_1"/>
    <s v="Nov"/>
    <d v="2024-11-01T00:00:00"/>
    <d v="2024-11-30T00:00:00"/>
    <x v="0"/>
    <n v="15"/>
    <n v="3"/>
    <n v="9"/>
    <n v="1"/>
    <n v="2"/>
    <n v="3"/>
    <n v="15"/>
    <n v="6"/>
    <n v="1"/>
    <n v="1"/>
    <n v="1"/>
    <n v="1"/>
    <n v="6"/>
    <n v="1"/>
    <n v="0"/>
    <n v="0"/>
    <n v="1"/>
    <n v="1"/>
    <n v="4"/>
    <n v="0"/>
    <n v="1"/>
    <n v="1"/>
    <n v="0"/>
    <n v="1"/>
    <n v="0"/>
    <m/>
  </r>
  <r>
    <n v="1200"/>
    <d v="2025-01-06T14:43:30"/>
    <d v="2025-01-06T14:51:01"/>
    <s v="jkathyoka@lighthouse.org.mw"/>
    <s v="Judith Kathyoka"/>
    <x v="4"/>
    <s v="Prototype"/>
    <x v="1"/>
    <s v="COP_23"/>
    <s v="COP_24"/>
    <x v="0"/>
    <s v="Quarter1"/>
    <s v="Qtr_1"/>
    <s v="Dec"/>
    <d v="2024-12-01T00:00:00"/>
    <d v="2024-12-31T00:00:00"/>
    <x v="1"/>
    <n v="8"/>
    <n v="0"/>
    <n v="7"/>
    <n v="0"/>
    <n v="0"/>
    <n v="1"/>
    <n v="8"/>
    <n v="3"/>
    <n v="2"/>
    <n v="0"/>
    <n v="0"/>
    <n v="0"/>
    <n v="3"/>
    <n v="0"/>
    <n v="0"/>
    <n v="0"/>
    <n v="0"/>
    <n v="0"/>
    <n v="1"/>
    <n v="0"/>
    <n v="0"/>
    <n v="0"/>
    <n v="0"/>
    <n v="0"/>
    <n v="0"/>
    <m/>
  </r>
  <r>
    <n v="1202"/>
    <d v="2025-01-06T14:51:07"/>
    <d v="2025-01-06T14:53:49"/>
    <s v="jkathyoka@lighthouse.org.mw"/>
    <s v="Judith Kathyoka"/>
    <x v="4"/>
    <s v="Prototype"/>
    <x v="1"/>
    <s v="COP_23"/>
    <s v="COP_24"/>
    <x v="0"/>
    <s v="Quarter1"/>
    <s v="Qtr_1"/>
    <s v="Dec"/>
    <d v="2024-12-01T00:00:00"/>
    <d v="2024-12-31T00:00:00"/>
    <x v="3"/>
    <n v="0"/>
    <n v="0"/>
    <n v="0"/>
    <n v="0"/>
    <n v="0"/>
    <n v="0"/>
    <n v="0"/>
    <n v="0"/>
    <n v="0"/>
    <n v="0"/>
    <n v="0"/>
    <n v="0"/>
    <n v="0"/>
    <n v="0"/>
    <n v="0"/>
    <n v="0"/>
    <n v="0"/>
    <n v="0"/>
    <n v="0"/>
    <n v="0"/>
    <n v="0"/>
    <n v="0"/>
    <n v="0"/>
    <n v="0"/>
    <n v="0"/>
    <m/>
  </r>
  <r>
    <n v="1203"/>
    <d v="2025-01-06T14:53:53"/>
    <d v="2025-01-06T14:55:07"/>
    <s v="jkathyoka@lighthouse.org.mw"/>
    <s v="Judith Kathyoka"/>
    <x v="4"/>
    <s v="Prototype"/>
    <x v="1"/>
    <s v="COP_23"/>
    <s v="COP_24"/>
    <x v="0"/>
    <s v="Quarter1"/>
    <s v="Qtr_1"/>
    <s v="Dec"/>
    <d v="2024-12-01T00:00:00"/>
    <d v="2024-12-31T00:00:00"/>
    <x v="4"/>
    <n v="0"/>
    <n v="0"/>
    <n v="0"/>
    <n v="0"/>
    <n v="0"/>
    <n v="0"/>
    <n v="0"/>
    <n v="0"/>
    <n v="0"/>
    <n v="0"/>
    <n v="0"/>
    <n v="0"/>
    <n v="0"/>
    <n v="0"/>
    <n v="0"/>
    <n v="0"/>
    <n v="0"/>
    <n v="0"/>
    <n v="0"/>
    <n v="0"/>
    <n v="0"/>
    <n v="0"/>
    <n v="0"/>
    <n v="0"/>
    <n v="0"/>
    <m/>
  </r>
  <r>
    <n v="1204"/>
    <d v="2025-01-06T14:55:12"/>
    <d v="2025-01-06T14:57:21"/>
    <s v="jkathyoka@lighthouse.org.mw"/>
    <s v="Judith Kathyoka"/>
    <x v="4"/>
    <s v="Prototype"/>
    <x v="1"/>
    <s v="COP_23"/>
    <s v="COP_24"/>
    <x v="0"/>
    <s v="Quarter1"/>
    <s v="Qtr_1"/>
    <s v="Dec"/>
    <d v="2024-12-01T00:00:00"/>
    <d v="2024-12-31T00:00:00"/>
    <x v="5"/>
    <n v="4"/>
    <n v="0"/>
    <n v="4"/>
    <n v="0"/>
    <n v="0"/>
    <n v="0"/>
    <n v="0"/>
    <n v="0"/>
    <n v="4"/>
    <n v="0"/>
    <n v="0"/>
    <n v="0"/>
    <n v="0"/>
    <n v="0"/>
    <n v="0"/>
    <n v="0"/>
    <n v="0"/>
    <n v="0"/>
    <n v="0"/>
    <n v="0"/>
    <n v="0"/>
    <n v="0"/>
    <n v="0"/>
    <n v="0"/>
    <n v="0"/>
    <m/>
  </r>
  <r>
    <n v="1206"/>
    <d v="2025-01-06T14:57:27"/>
    <d v="2025-01-06T14:59:27"/>
    <s v="jkathyoka@lighthouse.org.mw"/>
    <s v="Judith Kathyoka"/>
    <x v="4"/>
    <s v="Prototype"/>
    <x v="1"/>
    <s v="COP_23"/>
    <s v="COP_24"/>
    <x v="0"/>
    <s v="Quarter1"/>
    <s v="Qtr_1"/>
    <s v="Dec"/>
    <d v="2024-12-01T00:00:00"/>
    <d v="2024-12-31T00:00:00"/>
    <x v="2"/>
    <n v="4"/>
    <n v="0"/>
    <n v="4"/>
    <n v="0"/>
    <n v="0"/>
    <n v="0"/>
    <n v="0"/>
    <n v="0"/>
    <n v="0"/>
    <n v="0"/>
    <n v="0"/>
    <n v="0"/>
    <n v="0"/>
    <n v="0"/>
    <n v="0"/>
    <n v="0"/>
    <n v="0"/>
    <n v="0"/>
    <n v="0"/>
    <n v="0"/>
    <n v="0"/>
    <n v="0"/>
    <n v="0"/>
    <n v="0"/>
    <n v="0"/>
    <m/>
  </r>
  <r>
    <n v="1207"/>
    <d v="2025-01-06T14:59:36"/>
    <d v="2025-01-06T15:01:06"/>
    <s v="jkathyoka@lighthouse.org.mw"/>
    <s v="Judith Kathyoka"/>
    <x v="4"/>
    <s v="Prototype"/>
    <x v="1"/>
    <s v="COP_23"/>
    <s v="COP_24"/>
    <x v="0"/>
    <s v="Quarter1"/>
    <s v="Qtr_1"/>
    <s v="Dec"/>
    <d v="2024-12-01T00:00:00"/>
    <d v="2024-12-31T00:00:00"/>
    <x v="6"/>
    <n v="0"/>
    <n v="0"/>
    <n v="0"/>
    <n v="0"/>
    <n v="0"/>
    <n v="0"/>
    <n v="0"/>
    <n v="0"/>
    <n v="0"/>
    <n v="0"/>
    <n v="0"/>
    <n v="0"/>
    <n v="0"/>
    <n v="0"/>
    <n v="0"/>
    <n v="0"/>
    <n v="0"/>
    <n v="0"/>
    <n v="0"/>
    <n v="0"/>
    <n v="0"/>
    <n v="0"/>
    <n v="0"/>
    <n v="0"/>
    <n v="0"/>
    <m/>
  </r>
  <r>
    <n v="1208"/>
    <d v="2025-01-06T15:01:13"/>
    <d v="2025-01-06T15:06:04"/>
    <s v="jkathyoka@lighthouse.org.mw"/>
    <s v="Judith Kathyoka"/>
    <x v="4"/>
    <s v="Prototype"/>
    <x v="1"/>
    <s v="COP_23"/>
    <s v="COP_24"/>
    <x v="0"/>
    <s v="Quarter1"/>
    <s v="Qtr_1"/>
    <s v="Dec"/>
    <d v="2024-12-01T00:00:00"/>
    <d v="2024-12-31T00:00:00"/>
    <x v="0"/>
    <n v="12"/>
    <n v="0"/>
    <n v="11"/>
    <n v="0"/>
    <n v="0"/>
    <n v="1"/>
    <n v="12"/>
    <n v="3"/>
    <n v="0"/>
    <n v="0"/>
    <n v="0"/>
    <n v="0"/>
    <n v="3"/>
    <n v="0"/>
    <n v="0"/>
    <n v="0"/>
    <n v="1"/>
    <n v="0"/>
    <n v="1"/>
    <n v="0"/>
    <n v="0"/>
    <n v="0"/>
    <n v="0"/>
    <n v="0"/>
    <n v="0"/>
    <m/>
  </r>
  <r>
    <n v="1333"/>
    <d v="2025-02-26T14:16:09"/>
    <d v="2025-02-26T14:33:53"/>
    <s v="jkathyoka@lighthouse.org.mw"/>
    <s v="Judith Kathyoka"/>
    <x v="4"/>
    <s v="Prototype"/>
    <x v="2"/>
    <s v="COP_23"/>
    <s v="COP_24"/>
    <x v="2"/>
    <s v="Quarter2"/>
    <s v="Qtr_2"/>
    <s v="Jan"/>
    <d v="2025-01-01T00:00:00"/>
    <d v="2025-01-31T00:00:00"/>
    <x v="1"/>
    <n v="8"/>
    <n v="0"/>
    <n v="8"/>
    <n v="0"/>
    <n v="0"/>
    <n v="0"/>
    <n v="8"/>
    <n v="1"/>
    <n v="1"/>
    <n v="0"/>
    <n v="0"/>
    <n v="0"/>
    <n v="1"/>
    <n v="0"/>
    <n v="0"/>
    <n v="0"/>
    <n v="0"/>
    <n v="0"/>
    <n v="0"/>
    <n v="0"/>
    <n v="0"/>
    <n v="0"/>
    <n v="0"/>
    <n v="0"/>
    <n v="0"/>
    <m/>
  </r>
  <r>
    <n v="1334"/>
    <d v="2025-02-26T14:36:41"/>
    <d v="2025-02-26T14:49:07"/>
    <s v="jkathyoka@lighthouse.org.mw"/>
    <s v="Judith Kathyoka"/>
    <x v="4"/>
    <s v="Prototype"/>
    <x v="2"/>
    <s v="COP_23"/>
    <s v="COP_24"/>
    <x v="2"/>
    <s v="Quarter2"/>
    <s v="Qtr_2"/>
    <s v="Jan"/>
    <d v="2025-01-01T00:00:00"/>
    <d v="2025-01-31T00:00:00"/>
    <x v="3"/>
    <n v="0"/>
    <n v="0"/>
    <n v="0"/>
    <n v="0"/>
    <n v="0"/>
    <n v="0"/>
    <n v="0"/>
    <n v="0"/>
    <n v="0"/>
    <n v="0"/>
    <n v="0"/>
    <n v="0"/>
    <n v="0"/>
    <n v="0"/>
    <n v="0"/>
    <n v="0"/>
    <n v="0"/>
    <n v="0"/>
    <n v="0"/>
    <n v="0"/>
    <n v="0"/>
    <n v="0"/>
    <n v="0"/>
    <n v="0"/>
    <n v="0"/>
    <m/>
  </r>
  <r>
    <n v="1335"/>
    <d v="2025-02-26T14:49:10"/>
    <d v="2025-02-26T14:51:02"/>
    <s v="jkathyoka@lighthouse.org.mw"/>
    <s v="Judith Kathyoka"/>
    <x v="4"/>
    <s v="Prototype"/>
    <x v="2"/>
    <s v="COP_23"/>
    <s v="COP_24"/>
    <x v="2"/>
    <s v="Quarter2"/>
    <s v="Qtr_2"/>
    <s v="Jan"/>
    <d v="2025-01-01T00:00:00"/>
    <d v="2025-01-31T00:00:00"/>
    <x v="4"/>
    <n v="0"/>
    <n v="0"/>
    <n v="0"/>
    <n v="0"/>
    <n v="0"/>
    <n v="0"/>
    <n v="0"/>
    <n v="0"/>
    <n v="0"/>
    <n v="0"/>
    <n v="0"/>
    <n v="0"/>
    <n v="0"/>
    <n v="0"/>
    <n v="0"/>
    <n v="0"/>
    <n v="0"/>
    <n v="0"/>
    <n v="0"/>
    <n v="0"/>
    <n v="0"/>
    <n v="0"/>
    <n v="0"/>
    <n v="0"/>
    <n v="0"/>
    <m/>
  </r>
  <r>
    <n v="1336"/>
    <d v="2025-02-26T15:37:58"/>
    <d v="2025-02-26T15:39:52"/>
    <s v="jkathyoka@lighthouse.org.mw"/>
    <s v="Judith Kathyoka"/>
    <x v="4"/>
    <s v="Prototype"/>
    <x v="2"/>
    <s v="COP_24"/>
    <s v="COP_24"/>
    <x v="2"/>
    <s v="Quarter2"/>
    <s v="Qtr_2"/>
    <s v="Jan"/>
    <d v="2025-01-01T00:00:00"/>
    <d v="2025-01-31T00:00:00"/>
    <x v="5"/>
    <n v="0"/>
    <n v="0"/>
    <n v="0"/>
    <n v="0"/>
    <n v="0"/>
    <n v="0"/>
    <n v="0"/>
    <n v="0"/>
    <n v="0"/>
    <n v="0"/>
    <n v="0"/>
    <n v="0"/>
    <n v="0"/>
    <n v="0"/>
    <n v="0"/>
    <n v="0"/>
    <n v="0"/>
    <n v="0"/>
    <n v="0"/>
    <n v="0"/>
    <n v="0"/>
    <n v="0"/>
    <n v="0"/>
    <n v="0"/>
    <n v="0"/>
    <m/>
  </r>
  <r>
    <n v="1337"/>
    <d v="2025-02-26T15:39:55"/>
    <d v="2025-02-26T15:52:09"/>
    <s v="jkathyoka@lighthouse.org.mw"/>
    <s v="Judith Kathyoka"/>
    <x v="4"/>
    <s v="Prototype"/>
    <x v="2"/>
    <s v="COP_23"/>
    <s v="COP_24"/>
    <x v="2"/>
    <s v="Quarter2"/>
    <s v="Qtr_2"/>
    <s v="Jan"/>
    <d v="2025-01-01T00:00:00"/>
    <d v="2025-01-31T00:00:00"/>
    <x v="2"/>
    <n v="4"/>
    <n v="0"/>
    <n v="4"/>
    <n v="0"/>
    <n v="0"/>
    <n v="0"/>
    <n v="4"/>
    <n v="0"/>
    <n v="1"/>
    <n v="0"/>
    <n v="0"/>
    <n v="0"/>
    <n v="1"/>
    <n v="0"/>
    <n v="0"/>
    <n v="0"/>
    <n v="0"/>
    <n v="0"/>
    <n v="0"/>
    <n v="0"/>
    <n v="0"/>
    <n v="0"/>
    <n v="0"/>
    <n v="0"/>
    <n v="0"/>
    <m/>
  </r>
  <r>
    <n v="1338"/>
    <d v="2025-02-26T15:53:46"/>
    <d v="2025-02-26T15:55:10"/>
    <s v="jkathyoka@lighthouse.org.mw"/>
    <s v="Judith Kathyoka"/>
    <x v="4"/>
    <s v="Prototype"/>
    <x v="2"/>
    <s v="COP_23"/>
    <s v="COP_24"/>
    <x v="2"/>
    <s v="Quarter2"/>
    <s v="Qtr_2"/>
    <s v="Jan"/>
    <d v="2025-01-01T00:00:00"/>
    <d v="2025-01-31T00:00:00"/>
    <x v="6"/>
    <n v="0"/>
    <n v="0"/>
    <n v="0"/>
    <n v="0"/>
    <n v="0"/>
    <n v="0"/>
    <n v="0"/>
    <n v="0"/>
    <n v="0"/>
    <n v="0"/>
    <n v="0"/>
    <n v="0"/>
    <n v="0"/>
    <n v="0"/>
    <n v="0"/>
    <n v="0"/>
    <n v="0"/>
    <n v="0"/>
    <n v="0"/>
    <n v="0"/>
    <n v="0"/>
    <n v="0"/>
    <n v="0"/>
    <n v="0"/>
    <n v="0"/>
    <m/>
  </r>
  <r>
    <n v="1339"/>
    <d v="2025-02-26T15:55:14"/>
    <d v="2025-02-26T16:00:37"/>
    <s v="jkathyoka@lighthouse.org.mw"/>
    <s v="Judith Kathyoka"/>
    <x v="4"/>
    <s v="Prototype"/>
    <x v="2"/>
    <s v="COP_23"/>
    <s v="COP_24"/>
    <x v="2"/>
    <s v="Quarter2"/>
    <s v="Qtr_2"/>
    <s v="Jan"/>
    <d v="2025-01-01T00:00:00"/>
    <d v="2025-01-31T00:00:00"/>
    <x v="0"/>
    <n v="12"/>
    <n v="0"/>
    <n v="12"/>
    <n v="0"/>
    <n v="0"/>
    <n v="0"/>
    <n v="12"/>
    <n v="1"/>
    <n v="2"/>
    <n v="0"/>
    <n v="0"/>
    <n v="0"/>
    <n v="2"/>
    <n v="0"/>
    <n v="0"/>
    <n v="0"/>
    <n v="0"/>
    <n v="0"/>
    <n v="0"/>
    <n v="0"/>
    <n v="0"/>
    <n v="0"/>
    <n v="0"/>
    <n v="0"/>
    <n v="0"/>
    <m/>
  </r>
  <r>
    <n v="1340"/>
    <m/>
    <d v="2025-03-06T08:16:03"/>
    <s v="jkathyoka@lighthouse.org.mw"/>
    <s v="Judith Kathyoka"/>
    <x v="4"/>
    <s v="Prototype"/>
    <x v="2"/>
    <s v="COP_23"/>
    <s v="COP_24"/>
    <x v="2"/>
    <s v="Quarter2"/>
    <s v="Qtr_2"/>
    <s v="Feb"/>
    <d v="2025-01-01T00:00:00"/>
    <d v="2025-01-31T00:00:00"/>
    <x v="1"/>
    <n v="4"/>
    <n v="0"/>
    <n v="4"/>
    <n v="0"/>
    <n v="0"/>
    <n v="0"/>
    <n v="4"/>
    <n v="1"/>
    <n v="1"/>
    <n v="0"/>
    <n v="0"/>
    <n v="0"/>
    <n v="1"/>
    <n v="0"/>
    <n v="0"/>
    <n v="0"/>
    <n v="0"/>
    <n v="0"/>
    <n v="1"/>
    <n v="0"/>
    <n v="0"/>
    <n v="0"/>
    <n v="0"/>
    <n v="0"/>
    <n v="0"/>
    <m/>
  </r>
  <r>
    <n v="1341"/>
    <d v="2025-03-06T08:16:14"/>
    <d v="2025-03-06T08:17:57"/>
    <s v="jkathyoka@lighthouse.org.mw"/>
    <s v="Judith Kathyoka"/>
    <x v="4"/>
    <s v="Prototype"/>
    <x v="2"/>
    <s v="COP_23"/>
    <s v="COP_24"/>
    <x v="2"/>
    <s v="Quarter2"/>
    <s v="Qtr_2"/>
    <s v="Feb"/>
    <d v="2025-02-01T00:00:00"/>
    <d v="2025-02-28T00:00:00"/>
    <x v="3"/>
    <n v="0"/>
    <n v="0"/>
    <n v="0"/>
    <n v="0"/>
    <n v="0"/>
    <n v="0"/>
    <n v="0"/>
    <n v="0"/>
    <n v="0"/>
    <n v="0"/>
    <n v="0"/>
    <n v="0"/>
    <n v="0"/>
    <n v="0"/>
    <n v="0"/>
    <n v="0"/>
    <n v="0"/>
    <n v="0"/>
    <n v="0"/>
    <n v="0"/>
    <n v="0"/>
    <n v="0"/>
    <n v="0"/>
    <n v="0"/>
    <n v="0"/>
    <m/>
  </r>
  <r>
    <n v="1342"/>
    <d v="2025-03-06T08:18:00"/>
    <d v="2025-03-06T08:19:45"/>
    <s v="jkathyoka@lighthouse.org.mw"/>
    <s v="Judith Kathyoka"/>
    <x v="4"/>
    <s v="Prototype"/>
    <x v="2"/>
    <s v="COP_23"/>
    <s v="COP_24"/>
    <x v="2"/>
    <s v="Quarter2"/>
    <s v="Qtr_2"/>
    <s v="Feb"/>
    <d v="2025-02-01T00:00:00"/>
    <d v="2025-02-28T00:00:00"/>
    <x v="4"/>
    <n v="0"/>
    <n v="0"/>
    <n v="0"/>
    <n v="0"/>
    <n v="0"/>
    <n v="0"/>
    <n v="0"/>
    <n v="0"/>
    <n v="0"/>
    <n v="0"/>
    <n v="0"/>
    <n v="0"/>
    <n v="0"/>
    <n v="0"/>
    <n v="0"/>
    <n v="0"/>
    <n v="0"/>
    <n v="0"/>
    <n v="0"/>
    <n v="0"/>
    <n v="0"/>
    <n v="0"/>
    <n v="0"/>
    <n v="0"/>
    <n v="0"/>
    <m/>
  </r>
  <r>
    <n v="1343"/>
    <d v="2025-03-06T08:19:52"/>
    <d v="2025-03-06T08:21:25"/>
    <s v="jkathyoka@lighthouse.org.mw"/>
    <s v="Judith Kathyoka"/>
    <x v="4"/>
    <s v="Prototype"/>
    <x v="2"/>
    <s v="COP_23"/>
    <s v="COP_24"/>
    <x v="2"/>
    <s v="Quarter2"/>
    <s v="Qtr_2"/>
    <s v="Feb"/>
    <d v="2025-02-01T00:00:00"/>
    <d v="2025-02-28T00:00:00"/>
    <x v="5"/>
    <n v="0"/>
    <n v="0"/>
    <n v="0"/>
    <n v="0"/>
    <n v="0"/>
    <n v="0"/>
    <n v="0"/>
    <n v="0"/>
    <n v="0"/>
    <n v="0"/>
    <n v="0"/>
    <n v="0"/>
    <n v="0"/>
    <n v="0"/>
    <n v="0"/>
    <n v="0"/>
    <n v="0"/>
    <n v="0"/>
    <n v="0"/>
    <n v="0"/>
    <n v="0"/>
    <n v="0"/>
    <n v="0"/>
    <n v="0"/>
    <n v="0"/>
    <m/>
  </r>
  <r>
    <n v="1344"/>
    <d v="2025-03-06T08:21:44"/>
    <d v="2025-03-06T08:23:27"/>
    <s v="jkathyoka@lighthouse.org.mw"/>
    <s v="Judith Kathyoka"/>
    <x v="4"/>
    <s v="Prototype"/>
    <x v="2"/>
    <s v="COP_23"/>
    <s v="COP_24"/>
    <x v="2"/>
    <s v="Quarter2"/>
    <s v="Qtr_2"/>
    <s v="Feb"/>
    <d v="2025-02-01T00:00:00"/>
    <d v="2025-02-28T00:00:00"/>
    <x v="2"/>
    <n v="0"/>
    <n v="0"/>
    <n v="0"/>
    <n v="0"/>
    <n v="0"/>
    <n v="0"/>
    <n v="0"/>
    <n v="0"/>
    <n v="0"/>
    <n v="0"/>
    <n v="0"/>
    <n v="0"/>
    <n v="0"/>
    <n v="0"/>
    <n v="0"/>
    <n v="0"/>
    <n v="0"/>
    <n v="0"/>
    <n v="0"/>
    <n v="0"/>
    <n v="0"/>
    <n v="0"/>
    <n v="0"/>
    <n v="0"/>
    <n v="0"/>
    <m/>
  </r>
  <r>
    <n v="1345"/>
    <d v="2025-03-06T08:23:33"/>
    <d v="2025-03-06T08:25:04"/>
    <s v="jkathyoka@lighthouse.org.mw"/>
    <s v="Judith Kathyoka"/>
    <x v="4"/>
    <s v="Prototype"/>
    <x v="2"/>
    <s v="COP_23"/>
    <s v="COP_24"/>
    <x v="2"/>
    <s v="Quarter2"/>
    <s v="Qtr_2"/>
    <s v="Feb"/>
    <d v="2025-02-01T00:00:00"/>
    <d v="2025-02-28T00:00:00"/>
    <x v="6"/>
    <n v="0"/>
    <n v="0"/>
    <n v="0"/>
    <n v="0"/>
    <n v="0"/>
    <n v="0"/>
    <n v="0"/>
    <n v="0"/>
    <n v="0"/>
    <n v="0"/>
    <n v="0"/>
    <n v="0"/>
    <n v="0"/>
    <n v="0"/>
    <n v="0"/>
    <n v="0"/>
    <n v="0"/>
    <n v="0"/>
    <n v="0"/>
    <n v="0"/>
    <n v="0"/>
    <n v="0"/>
    <n v="0"/>
    <n v="0"/>
    <n v="0"/>
    <m/>
  </r>
  <r>
    <n v="1346"/>
    <d v="2025-03-06T08:25:14"/>
    <d v="2025-03-06T08:27:22"/>
    <s v="jkathyoka@lighthouse.org.mw"/>
    <s v="Judith Kathyoka"/>
    <x v="4"/>
    <s v="Prototype"/>
    <x v="2"/>
    <s v="COP_23"/>
    <s v="COP_24"/>
    <x v="2"/>
    <s v="Quarter2"/>
    <s v="Qtr_2"/>
    <s v="Feb"/>
    <d v="2025-02-01T00:00:00"/>
    <d v="2025-02-28T00:00:00"/>
    <x v="0"/>
    <n v="4"/>
    <n v="0"/>
    <n v="4"/>
    <n v="0"/>
    <n v="0"/>
    <n v="0"/>
    <n v="4"/>
    <n v="1"/>
    <n v="1"/>
    <n v="0"/>
    <n v="0"/>
    <n v="0"/>
    <n v="1"/>
    <n v="0"/>
    <n v="0"/>
    <n v="0"/>
    <n v="0"/>
    <n v="0"/>
    <n v="0"/>
    <n v="0"/>
    <n v="0"/>
    <n v="0"/>
    <n v="0"/>
    <n v="0"/>
    <n v="0"/>
    <m/>
  </r>
  <r>
    <n v="1480"/>
    <d v="2025-04-02T15:57:09"/>
    <d v="2025-04-02T16:01:13"/>
    <s v="jkathyoka@lighthouse.org.mw"/>
    <s v="Judith Kathyoka"/>
    <x v="4"/>
    <s v="Prototype"/>
    <x v="2"/>
    <s v="COP_23"/>
    <s v="COP_24"/>
    <x v="2"/>
    <s v="Quarter2"/>
    <s v="Qtr_2"/>
    <s v="Mar"/>
    <d v="2025-03-01T00:00:00"/>
    <d v="2025-03-31T00:00:00"/>
    <x v="1"/>
    <n v="9"/>
    <n v="0"/>
    <n v="6"/>
    <n v="1"/>
    <n v="2"/>
    <n v="0"/>
    <n v="9"/>
    <n v="4"/>
    <n v="4"/>
    <n v="0"/>
    <n v="0"/>
    <n v="0"/>
    <n v="3"/>
    <n v="0"/>
    <n v="0"/>
    <n v="0"/>
    <n v="0"/>
    <n v="0"/>
    <n v="1"/>
    <n v="0"/>
    <n v="0"/>
    <n v="0"/>
    <n v="0"/>
    <n v="0"/>
    <n v="0"/>
    <m/>
  </r>
  <r>
    <n v="1481"/>
    <d v="2025-04-02T16:02:14"/>
    <d v="2025-04-02T16:05:28"/>
    <s v="jkathyoka@lighthouse.org.mw"/>
    <s v="Judith Kathyoka"/>
    <x v="4"/>
    <s v="Prototype"/>
    <x v="2"/>
    <s v="COP_23"/>
    <s v="COP_24"/>
    <x v="2"/>
    <s v="Quarter2"/>
    <s v="Qtr_2"/>
    <s v="Mar"/>
    <d v="2025-03-01T00:00:00"/>
    <d v="2025-03-31T00:00:00"/>
    <x v="3"/>
    <n v="0"/>
    <n v="0"/>
    <n v="0"/>
    <n v="0"/>
    <n v="0"/>
    <n v="0"/>
    <n v="0"/>
    <n v="0"/>
    <n v="0"/>
    <n v="0"/>
    <n v="0"/>
    <n v="0"/>
    <n v="0"/>
    <n v="0"/>
    <n v="0"/>
    <n v="0"/>
    <n v="0"/>
    <n v="0"/>
    <n v="0"/>
    <n v="0"/>
    <n v="0"/>
    <n v="0"/>
    <n v="0"/>
    <n v="0"/>
    <n v="0"/>
    <m/>
  </r>
  <r>
    <n v="1493"/>
    <d v="2025-04-03T10:43:46"/>
    <d v="2025-04-03T11:38:47"/>
    <s v="jkathyoka@lighthouse.org.mw"/>
    <s v="Judith Kathyoka"/>
    <x v="4"/>
    <s v="Prototype"/>
    <x v="2"/>
    <s v="COP_23"/>
    <s v="COP_24"/>
    <x v="2"/>
    <s v="Quarter2"/>
    <s v="Qtr_2"/>
    <s v="Mar"/>
    <d v="2025-03-01T00:00:00"/>
    <d v="2025-03-31T00:00:00"/>
    <x v="4"/>
    <n v="0"/>
    <n v="0"/>
    <n v="0"/>
    <n v="0"/>
    <n v="0"/>
    <n v="0"/>
    <n v="0"/>
    <n v="0"/>
    <n v="0"/>
    <n v="0"/>
    <n v="0"/>
    <n v="0"/>
    <n v="0"/>
    <n v="0"/>
    <n v="0"/>
    <n v="0"/>
    <n v="0"/>
    <n v="0"/>
    <n v="0"/>
    <n v="0"/>
    <n v="0"/>
    <n v="0"/>
    <n v="0"/>
    <n v="0"/>
    <n v="0"/>
    <m/>
  </r>
  <r>
    <n v="1494"/>
    <d v="2025-04-03T11:38:51"/>
    <d v="2025-04-03T11:42:17"/>
    <s v="jkathyoka@lighthouse.org.mw"/>
    <s v="Judith Kathyoka"/>
    <x v="4"/>
    <s v="Prototype"/>
    <x v="2"/>
    <s v="COP_23"/>
    <s v="COP_24"/>
    <x v="2"/>
    <s v="Quarter2"/>
    <s v="Qtr_2"/>
    <s v="Mar"/>
    <d v="2025-03-01T00:00:00"/>
    <d v="2025-03-31T00:00:00"/>
    <x v="5"/>
    <n v="7"/>
    <n v="0"/>
    <n v="7"/>
    <n v="0"/>
    <n v="0"/>
    <n v="0"/>
    <n v="7"/>
    <n v="0"/>
    <n v="3"/>
    <n v="0"/>
    <n v="7"/>
    <n v="0"/>
    <n v="1"/>
    <n v="1"/>
    <n v="0"/>
    <n v="0"/>
    <n v="0"/>
    <n v="0"/>
    <n v="0"/>
    <n v="0"/>
    <n v="0"/>
    <n v="0"/>
    <n v="0"/>
    <n v="0"/>
    <n v="0"/>
    <m/>
  </r>
  <r>
    <n v="1495"/>
    <d v="2025-04-03T11:42:32"/>
    <d v="2025-04-03T11:44:09"/>
    <s v="jkathyoka@lighthouse.org.mw"/>
    <s v="Judith Kathyoka"/>
    <x v="4"/>
    <s v="Prototype"/>
    <x v="2"/>
    <s v="COP_23"/>
    <s v="COP_24"/>
    <x v="2"/>
    <s v="Quarter2"/>
    <s v="Qtr_2"/>
    <s v="Mar"/>
    <d v="2025-03-01T00:00:00"/>
    <d v="2025-03-31T00:00:00"/>
    <x v="6"/>
    <n v="0"/>
    <n v="0"/>
    <n v="0"/>
    <n v="0"/>
    <n v="0"/>
    <n v="0"/>
    <n v="0"/>
    <n v="0"/>
    <n v="0"/>
    <n v="0"/>
    <n v="0"/>
    <n v="0"/>
    <n v="0"/>
    <n v="0"/>
    <n v="0"/>
    <n v="0"/>
    <n v="0"/>
    <n v="0"/>
    <n v="0"/>
    <n v="0"/>
    <n v="0"/>
    <n v="0"/>
    <n v="0"/>
    <n v="0"/>
    <n v="0"/>
    <m/>
  </r>
  <r>
    <n v="1496"/>
    <d v="2025-04-03T11:48:45"/>
    <d v="2025-04-03T11:52:48"/>
    <s v="jkathyoka@lighthouse.org.mw"/>
    <s v="Judith Kathyoka"/>
    <x v="4"/>
    <s v="Prototype"/>
    <x v="2"/>
    <s v="COP_24"/>
    <s v="COP_24"/>
    <x v="2"/>
    <s v="Quarter2"/>
    <s v="Qtr_2"/>
    <s v="Mar"/>
    <d v="2025-03-01T00:00:00"/>
    <d v="2025-03-31T00:00:00"/>
    <x v="0"/>
    <n v="16"/>
    <n v="0"/>
    <n v="13"/>
    <n v="1"/>
    <n v="2"/>
    <n v="0"/>
    <n v="16"/>
    <n v="5"/>
    <n v="5"/>
    <n v="0"/>
    <n v="0"/>
    <n v="0"/>
    <n v="4"/>
    <n v="1"/>
    <n v="0"/>
    <n v="0"/>
    <n v="0"/>
    <n v="0"/>
    <n v="3"/>
    <n v="0"/>
    <n v="0"/>
    <n v="0"/>
    <n v="0"/>
    <n v="0"/>
    <n v="0"/>
    <m/>
  </r>
  <r>
    <n v="34"/>
    <d v="2023-12-19T15:48:43"/>
    <d v="2023-12-19T15:58:41"/>
    <s v="bsamala@lighthouse.org.mw"/>
    <s v="Benadetta Samala"/>
    <x v="5"/>
    <s v="COE"/>
    <x v="0"/>
    <s v="COP_22"/>
    <s v="COP_22"/>
    <x v="1"/>
    <s v="Quarter4"/>
    <s v="Qtr_4"/>
    <s v="Sep"/>
    <d v="2023-09-01T00:00:00"/>
    <d v="2023-09-30T00:00:00"/>
    <x v="0"/>
    <n v="171"/>
    <n v="171"/>
    <n v="47"/>
    <n v="7"/>
    <n v="26"/>
    <n v="22"/>
    <n v="163"/>
    <n v="73"/>
    <n v="144"/>
    <n v="7"/>
    <n v="144"/>
    <n v="2"/>
    <n v="174"/>
    <n v="10"/>
    <n v="153"/>
    <n v="0"/>
    <n v="127"/>
    <n v="10"/>
    <n v="84"/>
    <n v="6"/>
    <n v="8"/>
    <n v="0"/>
    <n v="1"/>
    <n v="3"/>
    <n v="76"/>
    <m/>
  </r>
  <r>
    <n v="35"/>
    <d v="2023-12-20T08:59:32"/>
    <d v="2023-12-20T09:05:56"/>
    <s v="bsamala@lighthouse.org.mw"/>
    <s v="Benadetta Samala"/>
    <x v="5"/>
    <s v="COE"/>
    <x v="0"/>
    <s v="COP_24"/>
    <s v="COP_23"/>
    <x v="0"/>
    <s v="Quarter1"/>
    <s v="Qtr_1"/>
    <s v="Oct"/>
    <d v="2023-10-01T00:00:00"/>
    <d v="2023-12-30T00:00:00"/>
    <x v="0"/>
    <n v="288"/>
    <n v="102"/>
    <n v="38"/>
    <n v="35"/>
    <n v="154"/>
    <n v="30"/>
    <n v="275"/>
    <n v="127"/>
    <n v="284"/>
    <n v="2"/>
    <n v="164"/>
    <n v="7"/>
    <n v="67"/>
    <n v="14"/>
    <n v="15"/>
    <n v="4"/>
    <n v="60"/>
    <n v="36"/>
    <n v="62"/>
    <n v="10"/>
    <n v="20"/>
    <n v="4"/>
    <n v="0"/>
    <n v="7"/>
    <n v="92"/>
    <m/>
  </r>
  <r>
    <n v="92"/>
    <d v="2024-01-17T12:10:53"/>
    <d v="2024-01-17T12:20:45"/>
    <s v="bsamala@lighthouse.org.mw"/>
    <s v="Benadetta Samala"/>
    <x v="5"/>
    <s v="COE"/>
    <x v="0"/>
    <s v="COP_24"/>
    <s v="COP_23"/>
    <x v="0"/>
    <s v="Quarter1"/>
    <s v="Qtr_1"/>
    <s v="Dec"/>
    <d v="2023-12-01T00:00:00"/>
    <d v="2024-01-30T00:00:00"/>
    <x v="0"/>
    <n v="157"/>
    <n v="10"/>
    <n v="16"/>
    <n v="3"/>
    <n v="3"/>
    <n v="6"/>
    <n v="29"/>
    <n v="3"/>
    <n v="99"/>
    <n v="2"/>
    <n v="1"/>
    <n v="0"/>
    <n v="58"/>
    <n v="9"/>
    <n v="1"/>
    <n v="0"/>
    <n v="1"/>
    <n v="0"/>
    <n v="9"/>
    <n v="4"/>
    <n v="4"/>
    <n v="0"/>
    <n v="0"/>
    <n v="3"/>
    <n v="0"/>
    <m/>
  </r>
  <r>
    <n v="93"/>
    <d v="2024-01-17T13:41:45"/>
    <d v="2024-01-17T13:42:06"/>
    <s v="bsamala@lighthouse.org.mw"/>
    <s v="Benadetta Samala"/>
    <x v="5"/>
    <s v="COE"/>
    <x v="0"/>
    <s v="COP_24"/>
    <s v="COP_23"/>
    <x v="0"/>
    <s v="Quarter1"/>
    <s v="Qtr_1"/>
    <s v="Dec"/>
    <d v="2023-12-01T00:00:00"/>
    <d v="2024-01-31T00:00:00"/>
    <x v="6"/>
    <n v="107"/>
    <n v="90"/>
    <n v="32"/>
    <n v="9"/>
    <n v="32"/>
    <n v="34"/>
    <n v="107"/>
    <n v="42"/>
    <n v="51"/>
    <n v="4"/>
    <n v="17"/>
    <n v="1"/>
    <n v="43"/>
    <n v="6"/>
    <n v="5"/>
    <n v="0"/>
    <n v="25"/>
    <n v="11"/>
    <n v="41"/>
    <n v="11"/>
    <n v="11"/>
    <n v="5"/>
    <n v="0"/>
    <n v="3"/>
    <n v="25"/>
    <m/>
  </r>
  <r>
    <n v="118"/>
    <d v="2024-01-24T13:37:06"/>
    <d v="2024-01-24T13:41:24"/>
    <s v="eadisoni@lighthouse.org.mw"/>
    <s v="Eliza adisoni"/>
    <x v="5"/>
    <s v="COE"/>
    <x v="0"/>
    <s v="COP_24"/>
    <s v="COP_23"/>
    <x v="0"/>
    <s v="Quarter1"/>
    <s v="Qtr_1"/>
    <s v="Oct"/>
    <d v="2024-01-23T00:00:00"/>
    <d v="2024-01-23T00:00:00"/>
    <x v="3"/>
    <n v="2"/>
    <n v="2"/>
    <n v="0"/>
    <n v="0"/>
    <n v="0"/>
    <n v="0"/>
    <n v="0"/>
    <n v="0"/>
    <n v="2"/>
    <n v="0"/>
    <n v="2"/>
    <n v="0"/>
    <n v="2"/>
    <n v="0"/>
    <n v="2"/>
    <n v="0"/>
    <n v="2"/>
    <n v="0"/>
    <n v="1"/>
    <n v="0"/>
    <n v="0"/>
    <n v="0"/>
    <n v="0"/>
    <n v="0"/>
    <n v="0"/>
    <m/>
  </r>
  <r>
    <n v="119"/>
    <d v="2024-01-24T13:43:13"/>
    <d v="2024-01-24T13:51:36"/>
    <s v="eadisoni@lighthouse.org.mw"/>
    <s v="Eliza adisoni"/>
    <x v="5"/>
    <s v="COE"/>
    <x v="0"/>
    <s v="COP_24"/>
    <s v="COP_23"/>
    <x v="0"/>
    <s v="Quarter1"/>
    <s v="Qtr_1"/>
    <s v="Oct"/>
    <d v="2024-01-23T00:00:00"/>
    <d v="2024-01-23T00:00:00"/>
    <x v="5"/>
    <n v="27"/>
    <n v="6"/>
    <n v="0"/>
    <n v="2"/>
    <n v="6"/>
    <n v="1"/>
    <n v="27"/>
    <n v="7"/>
    <n v="23"/>
    <n v="0"/>
    <n v="24"/>
    <n v="0"/>
    <n v="23"/>
    <n v="0"/>
    <n v="0"/>
    <n v="0"/>
    <n v="0"/>
    <n v="0"/>
    <n v="0"/>
    <n v="0"/>
    <n v="0"/>
    <n v="0"/>
    <n v="0"/>
    <n v="0"/>
    <n v="0"/>
    <m/>
  </r>
  <r>
    <n v="121"/>
    <d v="2024-01-24T13:52:43"/>
    <d v="2024-01-24T14:06:24"/>
    <s v="eadisoni@lighthouse.org.mw"/>
    <s v="Eliza adisoni"/>
    <x v="5"/>
    <s v="COE"/>
    <x v="0"/>
    <s v="COP_24"/>
    <s v="COP_23"/>
    <x v="0"/>
    <s v="Quarter1"/>
    <s v="Qtr_1"/>
    <s v="Nov"/>
    <d v="2024-01-23T00:00:00"/>
    <d v="2024-01-23T00:00:00"/>
    <x v="5"/>
    <n v="34"/>
    <n v="6"/>
    <n v="8"/>
    <n v="0"/>
    <n v="4"/>
    <n v="0"/>
    <n v="33"/>
    <n v="11"/>
    <n v="22"/>
    <n v="1"/>
    <n v="0"/>
    <n v="0"/>
    <n v="22"/>
    <n v="0"/>
    <n v="0"/>
    <n v="0"/>
    <n v="0"/>
    <n v="0"/>
    <n v="0"/>
    <n v="0"/>
    <n v="0"/>
    <n v="0"/>
    <n v="1"/>
    <n v="1"/>
    <n v="1"/>
    <m/>
  </r>
  <r>
    <n v="122"/>
    <d v="2024-01-24T13:52:37"/>
    <d v="2024-01-24T14:09:02"/>
    <s v="eadisoni@lighthouse.org.mw"/>
    <s v="Eliza adisoni"/>
    <x v="5"/>
    <s v="COE"/>
    <x v="0"/>
    <s v="COP_24"/>
    <s v="COP_23"/>
    <x v="0"/>
    <s v="Quarter1"/>
    <s v="Qtr_1"/>
    <s v="Nov"/>
    <d v="2024-01-23T00:00:00"/>
    <d v="2024-01-23T00:00:00"/>
    <x v="3"/>
    <n v="2"/>
    <n v="1"/>
    <n v="0"/>
    <n v="0"/>
    <n v="0"/>
    <n v="0"/>
    <n v="2"/>
    <n v="1"/>
    <n v="2"/>
    <n v="0"/>
    <n v="0"/>
    <n v="0"/>
    <n v="2"/>
    <n v="0"/>
    <n v="0"/>
    <n v="0"/>
    <n v="0"/>
    <n v="0"/>
    <n v="0"/>
    <n v="0"/>
    <n v="0"/>
    <n v="0"/>
    <n v="0"/>
    <n v="0"/>
    <n v="0"/>
    <m/>
  </r>
  <r>
    <n v="125"/>
    <d v="2024-01-24T14:16:56"/>
    <d v="2024-01-24T14:26:08"/>
    <s v="eadisoni@lighthouse.org.mw"/>
    <s v="Eliza adisoni"/>
    <x v="5"/>
    <s v="COE"/>
    <x v="0"/>
    <s v="COP_24"/>
    <s v="COP_23"/>
    <x v="0"/>
    <s v="Quarter1"/>
    <s v="Qtr_1"/>
    <s v="Dec"/>
    <d v="2024-01-24T00:00:00"/>
    <d v="2024-01-24T00:00:00"/>
    <x v="3"/>
    <n v="0"/>
    <n v="0"/>
    <n v="0"/>
    <n v="0"/>
    <n v="0"/>
    <n v="0"/>
    <n v="0"/>
    <n v="0"/>
    <n v="0"/>
    <n v="0"/>
    <n v="0"/>
    <n v="0"/>
    <n v="0"/>
    <n v="0"/>
    <n v="0"/>
    <n v="0"/>
    <n v="0"/>
    <n v="0"/>
    <n v="0"/>
    <n v="0"/>
    <n v="0"/>
    <n v="0"/>
    <n v="0"/>
    <n v="0"/>
    <n v="0"/>
    <m/>
  </r>
  <r>
    <n v="126"/>
    <d v="2024-01-24T14:16:59"/>
    <d v="2024-01-24T14:29:47"/>
    <s v="eadisoni@lighthouse.org.mw"/>
    <s v="Eliza adisoni"/>
    <x v="5"/>
    <s v="COE"/>
    <x v="0"/>
    <s v="COP_24"/>
    <s v="COP_23"/>
    <x v="0"/>
    <s v="Quarter1"/>
    <s v="Qtr_1"/>
    <s v="Dec"/>
    <d v="2024-01-24T00:00:00"/>
    <d v="2024-01-24T00:00:00"/>
    <x v="5"/>
    <n v="26"/>
    <n v="0"/>
    <n v="5"/>
    <n v="0"/>
    <n v="0"/>
    <n v="1"/>
    <n v="25"/>
    <n v="7"/>
    <n v="15"/>
    <n v="0"/>
    <n v="1"/>
    <n v="0"/>
    <n v="7"/>
    <n v="1"/>
    <n v="5"/>
    <n v="0"/>
    <n v="0"/>
    <n v="0"/>
    <n v="1"/>
    <n v="0"/>
    <n v="0"/>
    <n v="0"/>
    <n v="0"/>
    <n v="1"/>
    <n v="0"/>
    <m/>
  </r>
  <r>
    <n v="147"/>
    <d v="2024-02-07T14:56:02"/>
    <d v="2024-02-07T15:06:14"/>
    <s v="eadisoni@lighthouse.org.mw"/>
    <s v="Eliza adisoni"/>
    <x v="5"/>
    <s v="COE"/>
    <x v="1"/>
    <s v="COP_24"/>
    <s v="COP_23"/>
    <x v="2"/>
    <s v="Quarter2"/>
    <s v="Qtr_2"/>
    <s v="Jan"/>
    <d v="2024-02-07T00:00:00"/>
    <d v="2024-02-07T00:00:00"/>
    <x v="6"/>
    <n v="113"/>
    <n v="93"/>
    <n v="29"/>
    <n v="9"/>
    <n v="31"/>
    <n v="44"/>
    <n v="113"/>
    <n v="55"/>
    <n v="61"/>
    <n v="6"/>
    <n v="14"/>
    <n v="4"/>
    <n v="58"/>
    <n v="16"/>
    <n v="4"/>
    <n v="0"/>
    <n v="23"/>
    <n v="6"/>
    <n v="39"/>
    <n v="20"/>
    <n v="23"/>
    <n v="6"/>
    <n v="0"/>
    <n v="3"/>
    <n v="21"/>
    <m/>
  </r>
  <r>
    <n v="148"/>
    <d v="2024-02-07T15:07:52"/>
    <d v="2024-02-07T15:11:09"/>
    <s v="eadisoni@lighthouse.org.mw"/>
    <s v="Eliza adisoni"/>
    <x v="5"/>
    <s v="COE"/>
    <x v="1"/>
    <s v="COP_24"/>
    <s v="COP_23"/>
    <x v="2"/>
    <s v="Quarter2"/>
    <s v="Qtr_2"/>
    <s v="Jan"/>
    <d v="2024-02-07T00:00:00"/>
    <d v="2024-02-07T00:00:00"/>
    <x v="0"/>
    <n v="183"/>
    <n v="19"/>
    <n v="40"/>
    <n v="32"/>
    <n v="30"/>
    <n v="19"/>
    <n v="183"/>
    <n v="66"/>
    <n v="88"/>
    <n v="1"/>
    <n v="1"/>
    <n v="0"/>
    <n v="54"/>
    <n v="6"/>
    <n v="1"/>
    <n v="0"/>
    <n v="0"/>
    <n v="0"/>
    <n v="7"/>
    <n v="5"/>
    <n v="13"/>
    <n v="0"/>
    <n v="0"/>
    <n v="5"/>
    <n v="0"/>
    <m/>
  </r>
  <r>
    <n v="150"/>
    <d v="2024-02-07T15:19:13"/>
    <d v="2024-02-07T15:21:55"/>
    <s v="eadisoni@lighthouse.org.mw"/>
    <s v="Eliza adisoni"/>
    <x v="5"/>
    <s v="COE"/>
    <x v="1"/>
    <s v="COP_24"/>
    <s v="COP_23"/>
    <x v="2"/>
    <s v="Quarter2"/>
    <s v="Qtr_2"/>
    <s v="Jan"/>
    <d v="2024-02-07T00:00:00"/>
    <d v="2024-02-07T00:00:00"/>
    <x v="3"/>
    <n v="1"/>
    <n v="0"/>
    <n v="1"/>
    <n v="0"/>
    <n v="0"/>
    <n v="0"/>
    <n v="0"/>
    <n v="0"/>
    <n v="0"/>
    <n v="0"/>
    <n v="0"/>
    <n v="0"/>
    <n v="0"/>
    <n v="0"/>
    <n v="0"/>
    <n v="0"/>
    <n v="0"/>
    <n v="0"/>
    <n v="0"/>
    <n v="0"/>
    <n v="0"/>
    <n v="0"/>
    <n v="0"/>
    <n v="0"/>
    <n v="0"/>
    <m/>
  </r>
  <r>
    <n v="151"/>
    <d v="2024-02-07T15:22:18"/>
    <d v="2024-02-07T15:24:40"/>
    <s v="eadisoni@lighthouse.org.mw"/>
    <s v="Eliza adisoni"/>
    <x v="5"/>
    <s v="COE"/>
    <x v="1"/>
    <s v="COP_24"/>
    <s v="COP_23"/>
    <x v="2"/>
    <s v="Quarter2"/>
    <s v="Qtr_2"/>
    <s v="Jan"/>
    <d v="2024-02-07T00:00:00"/>
    <d v="2024-02-07T00:00:00"/>
    <x v="5"/>
    <n v="34"/>
    <n v="1"/>
    <n v="19"/>
    <n v="6"/>
    <n v="6"/>
    <n v="0"/>
    <n v="34"/>
    <n v="10"/>
    <n v="13"/>
    <n v="0"/>
    <n v="0"/>
    <n v="0"/>
    <n v="14"/>
    <n v="0"/>
    <n v="0"/>
    <n v="0"/>
    <n v="0"/>
    <n v="0"/>
    <n v="0"/>
    <n v="0"/>
    <n v="0"/>
    <n v="0"/>
    <n v="0"/>
    <n v="0"/>
    <n v="0"/>
    <m/>
  </r>
  <r>
    <n v="170"/>
    <d v="2024-03-12T15:30:09"/>
    <d v="2024-03-12T15:35:52"/>
    <s v="eadisoni@lighthouse.org.mw"/>
    <s v="Eliza adisoni"/>
    <x v="5"/>
    <s v="COE"/>
    <x v="1"/>
    <s v="COP_24"/>
    <s v="COP_23"/>
    <x v="2"/>
    <s v="Quarter2"/>
    <s v="Qtr_2"/>
    <s v="Feb"/>
    <d v="2024-03-12T00:00:00"/>
    <d v="2024-03-12T00:00:00"/>
    <x v="0"/>
    <n v="152"/>
    <n v="32"/>
    <n v="66"/>
    <n v="33"/>
    <n v="19"/>
    <n v="11"/>
    <n v="148"/>
    <n v="47"/>
    <n v="56"/>
    <n v="1"/>
    <n v="2"/>
    <n v="1"/>
    <n v="74"/>
    <n v="4"/>
    <n v="0"/>
    <n v="0"/>
    <n v="1"/>
    <n v="0"/>
    <n v="13"/>
    <n v="6"/>
    <n v="7"/>
    <n v="0"/>
    <n v="0"/>
    <n v="5"/>
    <n v="4"/>
    <m/>
  </r>
  <r>
    <n v="171"/>
    <d v="2024-03-12T15:36:14"/>
    <d v="2024-03-12T15:37:35"/>
    <s v="eadisoni@lighthouse.org.mw"/>
    <s v="Eliza adisoni"/>
    <x v="5"/>
    <s v="COE"/>
    <x v="1"/>
    <s v="COP_24"/>
    <s v="COP_23"/>
    <x v="2"/>
    <s v="Quarter2"/>
    <s v="Qtr_2"/>
    <s v="Feb"/>
    <d v="2024-03-12T00:00:00"/>
    <d v="2024-03-12T00:00:00"/>
    <x v="3"/>
    <n v="0"/>
    <n v="0"/>
    <n v="0"/>
    <n v="0"/>
    <n v="0"/>
    <n v="0"/>
    <n v="0"/>
    <n v="0"/>
    <n v="0"/>
    <n v="0"/>
    <n v="0"/>
    <n v="0"/>
    <n v="0"/>
    <n v="0"/>
    <n v="0"/>
    <n v="0"/>
    <n v="0"/>
    <n v="0"/>
    <n v="0"/>
    <n v="0"/>
    <n v="0"/>
    <n v="0"/>
    <n v="0"/>
    <n v="0"/>
    <n v="0"/>
    <m/>
  </r>
  <r>
    <n v="173"/>
    <d v="2024-03-12T15:41:51"/>
    <d v="2024-03-12T15:44:40"/>
    <s v="eadisoni@lighthouse.org.mw"/>
    <s v="Eliza adisoni"/>
    <x v="5"/>
    <s v="COE"/>
    <x v="1"/>
    <s v="COP_24"/>
    <s v="COP_23"/>
    <x v="2"/>
    <s v="Quarter2"/>
    <s v="Qtr_2"/>
    <s v="Feb"/>
    <d v="2024-03-12T00:00:00"/>
    <d v="2024-03-12T00:00:00"/>
    <x v="5"/>
    <n v="17"/>
    <n v="4"/>
    <n v="11"/>
    <n v="4"/>
    <n v="0"/>
    <n v="0"/>
    <n v="17"/>
    <n v="0"/>
    <n v="8"/>
    <n v="0"/>
    <n v="5"/>
    <n v="0"/>
    <n v="8"/>
    <n v="0"/>
    <n v="0"/>
    <n v="0"/>
    <n v="0"/>
    <n v="0"/>
    <n v="0"/>
    <n v="0"/>
    <n v="0"/>
    <n v="0"/>
    <n v="0"/>
    <n v="0"/>
    <n v="0"/>
    <m/>
  </r>
  <r>
    <n v="174"/>
    <d v="2024-03-12T15:45:09"/>
    <d v="2024-03-12T15:49:20"/>
    <s v="eadisoni@lighthouse.org.mw"/>
    <s v="Eliza adisoni"/>
    <x v="5"/>
    <s v="COE"/>
    <x v="1"/>
    <s v="COP_24"/>
    <s v="COP_23"/>
    <x v="2"/>
    <s v="Quarter2"/>
    <s v="Qtr_2"/>
    <s v="Feb"/>
    <d v="2024-03-12T00:00:00"/>
    <d v="2024-03-12T00:00:00"/>
    <x v="6"/>
    <n v="121"/>
    <n v="86"/>
    <n v="40"/>
    <n v="2"/>
    <n v="31"/>
    <n v="35"/>
    <n v="122"/>
    <n v="55"/>
    <n v="59"/>
    <n v="3"/>
    <n v="13"/>
    <n v="1"/>
    <n v="57"/>
    <n v="8"/>
    <n v="3"/>
    <n v="1"/>
    <n v="16"/>
    <n v="11"/>
    <n v="41"/>
    <n v="8"/>
    <n v="11"/>
    <n v="3"/>
    <n v="0"/>
    <n v="1"/>
    <n v="1"/>
    <m/>
  </r>
  <r>
    <n v="199"/>
    <d v="2024-04-05T08:28:48"/>
    <d v="2024-04-05T08:38:33"/>
    <s v="eadisoni@lighthouse.org.mw"/>
    <s v="Eliza adisoni"/>
    <x v="5"/>
    <s v="COE"/>
    <x v="1"/>
    <s v="COP_23"/>
    <s v="COP_23"/>
    <x v="2"/>
    <s v="Quarter2"/>
    <s v="Qtr_2"/>
    <s v="Mar"/>
    <d v="2024-04-02T00:00:00"/>
    <d v="2024-04-02T00:00:00"/>
    <x v="0"/>
    <n v="157"/>
    <n v="16"/>
    <n v="35"/>
    <n v="11"/>
    <n v="9"/>
    <n v="7"/>
    <n v="137"/>
    <n v="43"/>
    <n v="49"/>
    <n v="4"/>
    <n v="9"/>
    <n v="1"/>
    <n v="49"/>
    <n v="13"/>
    <n v="0"/>
    <n v="0"/>
    <n v="0"/>
    <n v="0"/>
    <n v="6"/>
    <n v="2"/>
    <n v="7"/>
    <n v="0"/>
    <n v="0"/>
    <n v="3"/>
    <n v="0"/>
    <m/>
  </r>
  <r>
    <n v="200"/>
    <d v="2024-04-05T08:38:58"/>
    <d v="2024-04-05T08:53:08"/>
    <s v="eadisoni@lighthouse.org.mw"/>
    <s v="Eliza adisoni"/>
    <x v="5"/>
    <s v="COE"/>
    <x v="1"/>
    <s v="COP_23"/>
    <s v="COP_23"/>
    <x v="2"/>
    <s v="Quarter2"/>
    <s v="Qtr_2"/>
    <s v="Mar"/>
    <d v="2024-04-03T00:00:00"/>
    <d v="2024-04-03T00:00:00"/>
    <x v="5"/>
    <n v="25"/>
    <n v="4"/>
    <n v="8"/>
    <n v="2"/>
    <n v="2"/>
    <n v="1"/>
    <n v="25"/>
    <n v="8"/>
    <n v="8"/>
    <n v="2"/>
    <n v="1"/>
    <n v="0"/>
    <n v="11"/>
    <n v="2"/>
    <n v="0"/>
    <n v="0"/>
    <n v="0"/>
    <n v="0"/>
    <n v="2"/>
    <n v="0"/>
    <n v="2"/>
    <n v="0"/>
    <n v="0"/>
    <n v="0"/>
    <n v="0"/>
    <m/>
  </r>
  <r>
    <n v="201"/>
    <d v="2024-04-05T08:53:32"/>
    <d v="2024-04-05T08:58:59"/>
    <s v="eadisoni@lighthouse.org.mw"/>
    <s v="Eliza adisoni"/>
    <x v="5"/>
    <s v="COE"/>
    <x v="1"/>
    <s v="COP_23"/>
    <s v="COP_23"/>
    <x v="2"/>
    <s v="Quarter2"/>
    <s v="Qtr_2"/>
    <s v="Mar"/>
    <d v="2024-04-02T00:00:00"/>
    <d v="2024-04-02T00:00:00"/>
    <x v="3"/>
    <n v="1"/>
    <n v="0"/>
    <n v="0"/>
    <n v="0"/>
    <n v="0"/>
    <n v="0"/>
    <n v="0"/>
    <n v="0"/>
    <n v="1"/>
    <n v="0"/>
    <n v="0"/>
    <n v="0"/>
    <n v="1"/>
    <n v="1"/>
    <n v="0"/>
    <n v="0"/>
    <n v="0"/>
    <n v="0"/>
    <n v="0"/>
    <n v="0"/>
    <n v="0"/>
    <n v="0"/>
    <n v="0"/>
    <n v="0"/>
    <n v="0"/>
    <m/>
  </r>
  <r>
    <n v="203"/>
    <d v="2024-04-05T09:02:38"/>
    <d v="2024-04-05T09:08:27"/>
    <s v="eadisoni@lighthouse.org.mw"/>
    <s v="Eliza adisoni"/>
    <x v="5"/>
    <s v="COE"/>
    <x v="1"/>
    <s v="COP_23"/>
    <s v="COP_23"/>
    <x v="2"/>
    <s v="Quarter2"/>
    <s v="Qtr_2"/>
    <s v="Mar"/>
    <d v="2024-04-04T00:00:00"/>
    <d v="2024-04-04T00:00:00"/>
    <x v="6"/>
    <n v="121"/>
    <n v="77"/>
    <n v="24"/>
    <n v="10"/>
    <n v="30"/>
    <n v="41"/>
    <n v="118"/>
    <n v="53"/>
    <n v="51"/>
    <n v="5"/>
    <n v="17"/>
    <n v="5"/>
    <n v="46"/>
    <n v="11"/>
    <n v="4"/>
    <n v="1"/>
    <n v="18"/>
    <n v="16"/>
    <n v="30"/>
    <n v="11"/>
    <n v="12"/>
    <n v="7"/>
    <n v="0"/>
    <n v="4"/>
    <n v="31"/>
    <m/>
  </r>
  <r>
    <n v="259"/>
    <d v="2024-04-20T10:45:48"/>
    <d v="2024-04-20T10:53:23"/>
    <s v="eadisoni@lighthouse.org.mw"/>
    <s v="Eliza adisoni"/>
    <x v="5"/>
    <s v="COE"/>
    <x v="0"/>
    <s v="COP_23"/>
    <s v="COP_23"/>
    <x v="2"/>
    <s v="Quarter1"/>
    <s v="Qtr_1"/>
    <s v="Oct"/>
    <d v="2023-10-05T00:00:00"/>
    <d v="2023-10-05T00:00:00"/>
    <x v="6"/>
    <n v="123"/>
    <n v="89"/>
    <n v="32"/>
    <n v="24"/>
    <n v="44"/>
    <n v="23"/>
    <n v="123"/>
    <n v="62"/>
    <n v="66"/>
    <n v="1"/>
    <n v="15"/>
    <n v="1"/>
    <n v="63"/>
    <n v="14"/>
    <n v="9"/>
    <n v="2"/>
    <n v="39"/>
    <n v="21"/>
    <n v="43"/>
    <n v="9"/>
    <n v="20"/>
    <n v="4"/>
    <n v="0"/>
    <n v="7"/>
    <n v="92"/>
    <m/>
  </r>
  <r>
    <n v="260"/>
    <d v="2024-04-20T10:55:30"/>
    <d v="2024-04-20T11:00:46"/>
    <s v="eadisoni@lighthouse.org.mw"/>
    <s v="Eliza adisoni"/>
    <x v="5"/>
    <s v="COE"/>
    <x v="0"/>
    <s v="COP_23"/>
    <s v="COP_22"/>
    <x v="2"/>
    <s v="Quarter4"/>
    <s v="Qtr_4"/>
    <s v="Sep"/>
    <d v="2023-09-05T00:00:00"/>
    <d v="2023-09-05T00:00:00"/>
    <x v="6"/>
    <n v="89"/>
    <n v="61"/>
    <n v="47"/>
    <n v="3"/>
    <n v="17"/>
    <n v="22"/>
    <n v="89"/>
    <n v="35"/>
    <n v="37"/>
    <n v="4"/>
    <n v="10"/>
    <n v="2"/>
    <n v="47"/>
    <n v="9"/>
    <n v="0"/>
    <n v="0"/>
    <n v="25"/>
    <n v="10"/>
    <n v="36"/>
    <n v="6"/>
    <n v="8"/>
    <n v="1"/>
    <n v="1"/>
    <n v="3"/>
    <n v="76"/>
    <m/>
  </r>
  <r>
    <n v="261"/>
    <d v="2024-04-20T11:01:12"/>
    <d v="2024-04-20T11:07:06"/>
    <s v="eadisoni@lighthouse.org.mw"/>
    <s v="Eliza adisoni"/>
    <x v="5"/>
    <s v="COE"/>
    <x v="0"/>
    <s v="COP_23"/>
    <s v="COP_23"/>
    <x v="2"/>
    <s v="Quarter1"/>
    <s v="Qtr_1"/>
    <s v="Nov"/>
    <d v="2023-11-05T00:00:00"/>
    <d v="2023-11-05T00:00:00"/>
    <x v="6"/>
    <n v="111"/>
    <n v="85"/>
    <n v="33"/>
    <n v="10"/>
    <n v="28"/>
    <n v="40"/>
    <n v="111"/>
    <n v="46"/>
    <n v="47"/>
    <n v="1"/>
    <n v="52"/>
    <n v="1"/>
    <n v="55"/>
    <n v="17"/>
    <n v="3"/>
    <n v="1"/>
    <n v="28"/>
    <n v="5"/>
    <n v="30"/>
    <n v="9"/>
    <n v="24"/>
    <n v="1"/>
    <n v="0"/>
    <n v="7"/>
    <n v="79"/>
    <m/>
  </r>
  <r>
    <n v="120"/>
    <d v="2024-01-24T13:52:43"/>
    <d v="2024-01-24T13:56:45"/>
    <s v="eadisoni@lighthouse.org.mw"/>
    <s v="Eliza adisoni"/>
    <x v="5"/>
    <s v="COE"/>
    <x v="0"/>
    <s v="COP_23"/>
    <s v="COP_23"/>
    <x v="0"/>
    <s v="Quarter1"/>
    <s v="Qtr_1"/>
    <s v="Oct"/>
    <d v="2024-01-23T00:00:00"/>
    <d v="2024-01-23T00:00:00"/>
    <x v="1"/>
    <n v="42"/>
    <n v="5"/>
    <n v="5"/>
    <n v="8"/>
    <n v="6"/>
    <n v="2"/>
    <n v="42"/>
    <n v="18"/>
    <n v="37"/>
    <n v="0"/>
    <n v="0"/>
    <n v="0"/>
    <n v="41"/>
    <n v="0"/>
    <n v="0"/>
    <n v="0"/>
    <n v="1"/>
    <n v="1"/>
    <n v="4"/>
    <n v="2"/>
    <n v="2"/>
    <n v="0"/>
    <n v="0"/>
    <n v="1"/>
    <n v="0"/>
    <m/>
  </r>
  <r>
    <n v="123"/>
    <d v="2024-01-24T14:17:23"/>
    <d v="2024-01-24T14:20:39"/>
    <s v="eadisoni@lighthouse.org.mw"/>
    <s v="Eliza adisoni"/>
    <x v="5"/>
    <s v="COE"/>
    <x v="0"/>
    <s v="COP_23"/>
    <s v="COP_23"/>
    <x v="0"/>
    <s v="Quarter1"/>
    <s v="Qtr_1"/>
    <s v="Nov"/>
    <d v="2024-01-23T00:00:00"/>
    <d v="2024-01-23T00:00:00"/>
    <x v="1"/>
    <n v="27"/>
    <n v="5"/>
    <n v="2"/>
    <n v="3"/>
    <n v="1"/>
    <n v="0"/>
    <n v="27"/>
    <n v="17"/>
    <n v="20"/>
    <n v="0"/>
    <n v="0"/>
    <n v="0"/>
    <n v="17"/>
    <n v="0"/>
    <n v="0"/>
    <n v="0"/>
    <n v="0"/>
    <n v="0"/>
    <n v="0"/>
    <n v="0"/>
    <n v="0"/>
    <n v="0"/>
    <n v="0"/>
    <n v="1"/>
    <n v="0"/>
    <m/>
  </r>
  <r>
    <n v="124"/>
    <d v="2024-01-24T14:17:22"/>
    <d v="2024-01-24T14:24:44"/>
    <s v="eadisoni@lighthouse.org.mw"/>
    <s v="Eliza adisoni"/>
    <x v="5"/>
    <s v="COE"/>
    <x v="0"/>
    <s v="COP_23"/>
    <s v="COP_23"/>
    <x v="0"/>
    <s v="Quarter1"/>
    <s v="Qtr_1"/>
    <s v="Dec"/>
    <d v="2024-01-24T00:00:00"/>
    <d v="2024-01-24T00:00:00"/>
    <x v="1"/>
    <n v="28"/>
    <n v="1"/>
    <n v="7"/>
    <n v="0"/>
    <n v="1"/>
    <n v="0"/>
    <n v="28"/>
    <n v="12"/>
    <n v="16"/>
    <n v="1"/>
    <n v="0"/>
    <n v="0"/>
    <n v="11"/>
    <n v="2"/>
    <n v="0"/>
    <n v="0"/>
    <n v="0"/>
    <n v="0"/>
    <n v="3"/>
    <n v="1"/>
    <n v="0"/>
    <n v="0"/>
    <n v="0"/>
    <n v="0"/>
    <n v="0"/>
    <m/>
  </r>
  <r>
    <n v="149"/>
    <d v="2024-02-07T15:11:33"/>
    <d v="2024-02-07T15:18:49"/>
    <s v="eadisoni@lighthouse.org.mw"/>
    <s v="Eliza adisoni"/>
    <x v="5"/>
    <s v="COE"/>
    <x v="1"/>
    <s v="COP_23"/>
    <s v="COP_23"/>
    <x v="2"/>
    <s v="Quarter2"/>
    <s v="Qtr_2"/>
    <s v="Jan"/>
    <d v="2024-02-07T00:00:00"/>
    <d v="2024-02-07T00:00:00"/>
    <x v="1"/>
    <n v="42"/>
    <n v="6"/>
    <n v="9"/>
    <n v="5"/>
    <n v="6"/>
    <n v="5"/>
    <n v="41"/>
    <n v="27"/>
    <n v="28"/>
    <n v="1"/>
    <n v="3"/>
    <n v="1"/>
    <n v="29"/>
    <n v="6"/>
    <n v="0"/>
    <n v="0"/>
    <n v="0"/>
    <n v="0"/>
    <n v="1"/>
    <n v="0"/>
    <n v="6"/>
    <n v="0"/>
    <n v="0"/>
    <n v="0"/>
    <n v="0"/>
    <m/>
  </r>
  <r>
    <n v="359"/>
    <d v="2024-05-07T14:34:17"/>
    <d v="2024-05-07T15:18:46"/>
    <s v="eadisoni@lighthouse.org.mw"/>
    <s v="Eliza adisoni"/>
    <x v="5"/>
    <s v="COE"/>
    <x v="1"/>
    <s v="COP_23"/>
    <s v="COP_23"/>
    <x v="3"/>
    <s v="Quarter3"/>
    <s v="Qtr_3"/>
    <s v="Apr"/>
    <d v="2024-04-06T00:00:00"/>
    <d v="2024-04-06T00:00:00"/>
    <x v="5"/>
    <n v="11"/>
    <n v="1"/>
    <n v="8"/>
    <n v="2"/>
    <n v="1"/>
    <n v="0"/>
    <n v="11"/>
    <n v="3"/>
    <n v="3"/>
    <n v="0"/>
    <n v="0"/>
    <n v="0"/>
    <n v="4"/>
    <n v="0"/>
    <n v="0"/>
    <n v="0"/>
    <n v="0"/>
    <n v="0"/>
    <n v="0"/>
    <n v="0"/>
    <n v="0"/>
    <n v="0"/>
    <n v="0"/>
    <n v="0"/>
    <n v="0"/>
    <m/>
  </r>
  <r>
    <n v="361"/>
    <d v="2024-05-07T15:19:36"/>
    <d v="2024-05-07T15:21:16"/>
    <s v="eadisoni@lighthouse.org.mw"/>
    <s v="Eliza adisoni"/>
    <x v="5"/>
    <s v="COE"/>
    <x v="1"/>
    <s v="COP_23"/>
    <s v="COP_23"/>
    <x v="3"/>
    <s v="Quarter3"/>
    <s v="Qtr_3"/>
    <s v="Apr"/>
    <d v="2024-05-06T00:00:00"/>
    <d v="2024-05-06T00:00:00"/>
    <x v="3"/>
    <n v="0"/>
    <n v="0"/>
    <n v="0"/>
    <n v="0"/>
    <n v="0"/>
    <n v="0"/>
    <n v="0"/>
    <n v="0"/>
    <n v="0"/>
    <n v="0"/>
    <n v="0"/>
    <n v="0"/>
    <n v="0"/>
    <n v="0"/>
    <n v="0"/>
    <n v="0"/>
    <n v="0"/>
    <n v="0"/>
    <n v="0"/>
    <n v="0"/>
    <n v="0"/>
    <n v="0"/>
    <n v="0"/>
    <n v="0"/>
    <n v="0"/>
    <m/>
  </r>
  <r>
    <n v="362"/>
    <d v="2024-05-07T15:22:41"/>
    <d v="2024-05-07T15:25:09"/>
    <s v="eadisoni@lighthouse.org.mw"/>
    <s v="Eliza adisoni"/>
    <x v="5"/>
    <s v="COE"/>
    <x v="1"/>
    <s v="COP_23"/>
    <s v="COP_23"/>
    <x v="3"/>
    <s v="Quarter3"/>
    <s v="Qtr_3"/>
    <s v="Apr"/>
    <d v="2024-05-06T00:00:00"/>
    <d v="2024-05-06T00:00:00"/>
    <x v="4"/>
    <n v="5"/>
    <n v="0"/>
    <n v="5"/>
    <n v="0"/>
    <n v="0"/>
    <n v="0"/>
    <n v="0"/>
    <n v="1"/>
    <n v="0"/>
    <n v="0"/>
    <n v="0"/>
    <n v="0"/>
    <n v="0"/>
    <n v="0"/>
    <n v="0"/>
    <n v="0"/>
    <n v="0"/>
    <n v="0"/>
    <n v="0"/>
    <n v="0"/>
    <n v="0"/>
    <n v="0"/>
    <n v="0"/>
    <n v="0"/>
    <n v="0"/>
    <m/>
  </r>
  <r>
    <n v="366"/>
    <d v="2024-05-07T15:31:00"/>
    <d v="2024-05-07T15:35:35"/>
    <s v="eadisoni@lighthouse.org.mw"/>
    <s v="Eliza adisoni"/>
    <x v="5"/>
    <s v="COE"/>
    <x v="1"/>
    <s v="COP_23"/>
    <s v="COP_23"/>
    <x v="3"/>
    <s v="Quarter3"/>
    <s v="Qtr_3"/>
    <s v="Apr"/>
    <d v="2024-05-03T00:00:00"/>
    <d v="2024-05-03T00:00:00"/>
    <x v="6"/>
    <n v="123"/>
    <n v="93"/>
    <n v="32"/>
    <n v="8"/>
    <n v="26"/>
    <n v="57"/>
    <n v="123"/>
    <n v="61"/>
    <n v="63"/>
    <n v="5"/>
    <n v="22"/>
    <n v="5"/>
    <n v="39"/>
    <n v="5"/>
    <n v="3"/>
    <n v="1"/>
    <n v="27"/>
    <n v="19"/>
    <n v="48"/>
    <n v="16"/>
    <n v="12"/>
    <n v="3"/>
    <n v="3"/>
    <n v="2"/>
    <n v="24"/>
    <m/>
  </r>
  <r>
    <n v="367"/>
    <d v="2024-05-07T15:44:42"/>
    <d v="2024-05-07T15:49:53"/>
    <s v="eadisoni@lighthouse.org.mw"/>
    <s v="Eliza adisoni"/>
    <x v="5"/>
    <s v="COE"/>
    <x v="1"/>
    <s v="COP_23"/>
    <s v="COP_23"/>
    <x v="3"/>
    <s v="Quarter3"/>
    <s v="Qtr_3"/>
    <s v="Apr"/>
    <d v="2024-05-06T00:00:00"/>
    <d v="2024-05-06T00:00:00"/>
    <x v="0"/>
    <n v="153"/>
    <n v="18"/>
    <n v="101"/>
    <n v="31"/>
    <n v="11"/>
    <n v="10"/>
    <n v="146"/>
    <n v="47"/>
    <n v="45"/>
    <n v="1"/>
    <n v="8"/>
    <n v="2"/>
    <n v="45"/>
    <n v="6"/>
    <n v="0"/>
    <n v="0"/>
    <n v="1"/>
    <n v="0"/>
    <n v="9"/>
    <n v="3"/>
    <n v="3"/>
    <n v="0"/>
    <n v="0"/>
    <n v="1"/>
    <n v="0"/>
    <m/>
  </r>
  <r>
    <n v="172"/>
    <d v="2024-03-12T15:37:53"/>
    <d v="2024-03-12T15:41:31"/>
    <s v="eadisoni@lighthouse.org.mw"/>
    <s v="Eliza adisoni"/>
    <x v="5"/>
    <s v="COE"/>
    <x v="1"/>
    <s v="COP_23"/>
    <s v="COP_23"/>
    <x v="2"/>
    <s v="Quarter2"/>
    <s v="Qtr_2"/>
    <s v="Feb"/>
    <d v="2024-03-12T00:00:00"/>
    <d v="2024-03-12T00:00:00"/>
    <x v="1"/>
    <n v="33"/>
    <n v="11"/>
    <n v="17"/>
    <n v="3"/>
    <n v="4"/>
    <n v="5"/>
    <n v="33"/>
    <n v="19"/>
    <n v="18"/>
    <n v="0"/>
    <n v="0"/>
    <n v="0"/>
    <n v="25"/>
    <n v="3"/>
    <n v="0"/>
    <n v="0"/>
    <n v="0"/>
    <n v="0"/>
    <n v="6"/>
    <n v="2"/>
    <n v="3"/>
    <n v="0"/>
    <n v="0"/>
    <n v="0"/>
    <n v="1"/>
    <m/>
  </r>
  <r>
    <n v="202"/>
    <d v="2024-04-05T08:59:17"/>
    <d v="2024-04-05T09:02:06"/>
    <s v="eadisoni@lighthouse.org.mw"/>
    <s v="Eliza adisoni"/>
    <x v="5"/>
    <s v="COE"/>
    <x v="1"/>
    <s v="COP_23"/>
    <s v="COP_23"/>
    <x v="2"/>
    <s v="Quarter2"/>
    <s v="Qtr_2"/>
    <s v="Mar"/>
    <d v="2024-04-03T00:00:00"/>
    <d v="2024-04-03T00:00:00"/>
    <x v="1"/>
    <n v="24"/>
    <n v="1"/>
    <n v="3"/>
    <n v="4"/>
    <n v="0"/>
    <n v="2"/>
    <n v="22"/>
    <n v="11"/>
    <n v="10"/>
    <n v="0"/>
    <n v="0"/>
    <n v="0"/>
    <n v="11"/>
    <n v="5"/>
    <n v="0"/>
    <n v="0"/>
    <n v="0"/>
    <n v="0"/>
    <n v="0"/>
    <n v="0"/>
    <n v="2"/>
    <n v="0"/>
    <n v="0"/>
    <n v="0"/>
    <n v="0"/>
    <m/>
  </r>
  <r>
    <n v="375"/>
    <d v="2024-05-09T11:59:41"/>
    <d v="2024-05-09T12:03:43"/>
    <s v="eadisoni@lighthouse.org.mw"/>
    <s v="Eliza adisoni"/>
    <x v="5"/>
    <s v="COE"/>
    <x v="1"/>
    <s v="COP_23"/>
    <s v="COP_23"/>
    <x v="2"/>
    <s v="Quarter2"/>
    <s v="Qtr_2"/>
    <s v="Jan"/>
    <d v="2024-01-08T00:00:00"/>
    <d v="2024-01-08T00:00:00"/>
    <x v="4"/>
    <n v="1"/>
    <n v="0"/>
    <n v="0"/>
    <n v="0"/>
    <n v="1"/>
    <n v="0"/>
    <n v="1"/>
    <n v="1"/>
    <n v="1"/>
    <n v="0"/>
    <n v="0"/>
    <n v="0"/>
    <n v="1"/>
    <n v="0"/>
    <n v="0"/>
    <n v="0"/>
    <n v="0"/>
    <n v="0"/>
    <n v="0"/>
    <n v="0"/>
    <n v="0"/>
    <n v="0"/>
    <n v="0"/>
    <n v="0"/>
    <n v="0"/>
    <m/>
  </r>
  <r>
    <n v="377"/>
    <d v="2024-05-09T13:24:22"/>
    <d v="2024-05-09T13:29:44"/>
    <s v="eadisoni@lighthouse.org.mw"/>
    <s v="Eliza adisoni"/>
    <x v="5"/>
    <s v="COE"/>
    <x v="1"/>
    <s v="COP_23"/>
    <s v="COP_23"/>
    <x v="2"/>
    <s v="Quarter2"/>
    <s v="Qtr_2"/>
    <s v="Feb"/>
    <d v="2024-02-07T00:00:00"/>
    <d v="2024-02-07T00:00:00"/>
    <x v="4"/>
    <n v="3"/>
    <n v="0"/>
    <n v="1"/>
    <n v="0"/>
    <n v="0"/>
    <n v="1"/>
    <n v="3"/>
    <n v="0"/>
    <n v="1"/>
    <n v="0"/>
    <n v="0"/>
    <n v="0"/>
    <n v="1"/>
    <n v="0"/>
    <n v="0"/>
    <n v="0"/>
    <n v="0"/>
    <n v="0"/>
    <n v="0"/>
    <n v="0"/>
    <n v="0"/>
    <n v="0"/>
    <n v="0"/>
    <n v="0"/>
    <n v="0"/>
    <m/>
  </r>
  <r>
    <n v="380"/>
    <d v="2024-05-09T13:38:54"/>
    <d v="2024-05-09T13:42:28"/>
    <s v="eadisoni@lighthouse.org.mw"/>
    <s v="Eliza adisoni"/>
    <x v="5"/>
    <s v="COE"/>
    <x v="1"/>
    <s v="COP_23"/>
    <s v="COP_23"/>
    <x v="2"/>
    <s v="Quarter2"/>
    <s v="Qtr_2"/>
    <s v="Mar"/>
    <d v="2024-04-03T00:00:00"/>
    <d v="2024-04-03T00:00:00"/>
    <x v="4"/>
    <n v="1"/>
    <n v="0"/>
    <n v="0"/>
    <n v="0"/>
    <n v="0"/>
    <n v="0"/>
    <n v="0"/>
    <n v="0"/>
    <n v="0"/>
    <n v="0"/>
    <n v="0"/>
    <n v="0"/>
    <n v="0"/>
    <n v="0"/>
    <n v="0"/>
    <n v="0"/>
    <n v="0"/>
    <n v="0"/>
    <n v="0"/>
    <n v="0"/>
    <n v="0"/>
    <n v="0"/>
    <n v="0"/>
    <n v="0"/>
    <n v="0"/>
    <m/>
  </r>
  <r>
    <n v="374"/>
    <d v="2024-05-09T11:44:36"/>
    <d v="2024-05-09T11:53:00"/>
    <s v="eadisoni@lighthouse.org.mw"/>
    <s v="Eliza adisoni"/>
    <x v="5"/>
    <s v="COE"/>
    <x v="1"/>
    <s v="COP_23"/>
    <s v="COP_23"/>
    <x v="3"/>
    <s v="Quarter3"/>
    <s v="Qtr_3"/>
    <s v="Apr"/>
    <d v="2024-05-06T00:00:00"/>
    <d v="2024-05-06T00:00:00"/>
    <x v="1"/>
    <n v="36"/>
    <n v="6"/>
    <n v="18"/>
    <n v="12"/>
    <n v="3"/>
    <n v="3"/>
    <n v="35"/>
    <n v="20"/>
    <n v="18"/>
    <n v="1"/>
    <n v="1"/>
    <n v="0"/>
    <n v="16"/>
    <n v="2"/>
    <n v="0"/>
    <n v="0"/>
    <n v="0"/>
    <n v="0"/>
    <n v="0"/>
    <n v="0"/>
    <n v="2"/>
    <n v="0"/>
    <n v="0"/>
    <n v="1"/>
    <n v="0"/>
    <m/>
  </r>
  <r>
    <n v="491"/>
    <d v="2024-06-05T15:38:13"/>
    <d v="2024-06-05T15:43:26"/>
    <s v="eadisoni@lighthouse.org.mw"/>
    <s v="Eliza adisoni"/>
    <x v="5"/>
    <s v="COE"/>
    <x v="1"/>
    <s v="COP_23"/>
    <s v="COP_23"/>
    <x v="3"/>
    <s v="Quarter3"/>
    <s v="Qtr_3"/>
    <s v="May"/>
    <d v="2024-06-05T00:00:00"/>
    <d v="2024-06-05T00:00:00"/>
    <x v="1"/>
    <n v="27"/>
    <n v="2"/>
    <n v="19"/>
    <n v="5"/>
    <n v="3"/>
    <n v="0"/>
    <n v="27"/>
    <n v="16"/>
    <n v="12"/>
    <n v="0"/>
    <n v="0"/>
    <n v="0"/>
    <n v="0"/>
    <n v="0"/>
    <n v="0"/>
    <n v="0"/>
    <n v="0"/>
    <n v="0"/>
    <n v="1"/>
    <n v="0"/>
    <n v="0"/>
    <n v="0"/>
    <n v="0"/>
    <n v="0"/>
    <n v="0"/>
    <m/>
  </r>
  <r>
    <n v="572"/>
    <d v="2024-07-03T10:46:13"/>
    <d v="2024-07-03T10:49:24"/>
    <s v="eadisoni@lighthouse.org.mw"/>
    <s v="Eliza adisoni"/>
    <x v="5"/>
    <s v="COE"/>
    <x v="1"/>
    <s v="COP_23"/>
    <s v="COP_23"/>
    <x v="3"/>
    <s v="Quarter3"/>
    <s v="Qtr_3"/>
    <s v="Jun"/>
    <d v="2024-07-03T00:00:00"/>
    <d v="2024-07-03T00:00:00"/>
    <x v="1"/>
    <n v="29"/>
    <n v="3"/>
    <n v="13"/>
    <n v="5"/>
    <n v="5"/>
    <n v="1"/>
    <n v="28"/>
    <n v="14"/>
    <n v="14"/>
    <n v="1"/>
    <n v="0"/>
    <n v="0"/>
    <n v="0"/>
    <n v="0"/>
    <n v="0"/>
    <n v="0"/>
    <n v="0"/>
    <n v="0"/>
    <n v="0"/>
    <n v="0"/>
    <n v="0"/>
    <n v="0"/>
    <n v="0"/>
    <n v="0"/>
    <n v="0"/>
    <m/>
  </r>
  <r>
    <n v="1048"/>
    <d v="2024-11-08T13:43:22"/>
    <d v="2024-11-08T13:45:53"/>
    <s v="eadisoni@lighthouse.org.mw"/>
    <s v="Eliza adisoni"/>
    <x v="5"/>
    <s v="COE"/>
    <x v="1"/>
    <s v="COP_23"/>
    <s v="COP_24"/>
    <x v="0"/>
    <s v="Quarter1"/>
    <s v="Qtr_1"/>
    <s v="Oct"/>
    <d v="2024-10-01T00:00:00"/>
    <d v="2024-10-31T00:00:00"/>
    <x v="1"/>
    <n v="36"/>
    <n v="10"/>
    <n v="16"/>
    <n v="6"/>
    <n v="6"/>
    <n v="10"/>
    <n v="36"/>
    <n v="19"/>
    <n v="17"/>
    <n v="1"/>
    <n v="2"/>
    <n v="0"/>
    <n v="17"/>
    <n v="9"/>
    <n v="0"/>
    <n v="0"/>
    <n v="0"/>
    <n v="0"/>
    <n v="1"/>
    <n v="1"/>
    <n v="4"/>
    <n v="0"/>
    <n v="0"/>
    <n v="1"/>
    <n v="1"/>
    <m/>
  </r>
  <r>
    <n v="365"/>
    <d v="2024-05-07T15:25:27"/>
    <d v="2024-05-07T15:30:16"/>
    <s v="eadisoni@lighthouse.org.mw"/>
    <s v="Eliza adisoni"/>
    <x v="5"/>
    <s v="COE"/>
    <x v="1"/>
    <s v="COP_23"/>
    <s v="COP_23"/>
    <x v="3"/>
    <s v="Quarter3"/>
    <s v="Qtr_3"/>
    <s v="Apr"/>
    <d v="2024-05-06T00:00:00"/>
    <d v="2024-05-06T00:00:00"/>
    <x v="2"/>
    <n v="9"/>
    <n v="1"/>
    <n v="6"/>
    <n v="1"/>
    <n v="2"/>
    <n v="0"/>
    <n v="9"/>
    <n v="6"/>
    <n v="4"/>
    <n v="0"/>
    <n v="0"/>
    <n v="0"/>
    <n v="3"/>
    <n v="0"/>
    <n v="0"/>
    <n v="0"/>
    <n v="0"/>
    <n v="0"/>
    <n v="0"/>
    <n v="0"/>
    <n v="0"/>
    <n v="0"/>
    <n v="0"/>
    <n v="0"/>
    <n v="0"/>
    <m/>
  </r>
  <r>
    <n v="376"/>
    <d v="2024-05-09T12:03:57"/>
    <d v="2024-05-09T12:06:35"/>
    <s v="eadisoni@lighthouse.org.mw"/>
    <s v="Eliza adisoni"/>
    <x v="5"/>
    <s v="COE"/>
    <x v="1"/>
    <s v="COP_24"/>
    <s v="COP_23"/>
    <x v="2"/>
    <s v="Quarter2"/>
    <s v="Qtr_2"/>
    <s v="Jan"/>
    <d v="2024-01-08T00:00:00"/>
    <d v="2024-01-08T00:00:00"/>
    <x v="2"/>
    <n v="8"/>
    <n v="1"/>
    <n v="1"/>
    <n v="1"/>
    <n v="2"/>
    <n v="3"/>
    <n v="6"/>
    <n v="4"/>
    <n v="5"/>
    <n v="0"/>
    <n v="0"/>
    <n v="0"/>
    <n v="2"/>
    <n v="2"/>
    <n v="0"/>
    <n v="0"/>
    <n v="0"/>
    <n v="0"/>
    <n v="0"/>
    <n v="0"/>
    <n v="2"/>
    <n v="0"/>
    <n v="0"/>
    <n v="1"/>
    <n v="0"/>
    <m/>
  </r>
  <r>
    <n v="487"/>
    <d v="2024-06-05T15:11:15"/>
    <d v="2024-06-05T15:34:01"/>
    <s v="eadisoni@lighthouse.org.mw"/>
    <s v="Eliza adisoni"/>
    <x v="5"/>
    <s v="COE"/>
    <x v="1"/>
    <s v="COP_24"/>
    <s v="COP_23"/>
    <x v="3"/>
    <s v="Quarter3"/>
    <s v="Qtr_3"/>
    <s v="May"/>
    <d v="2024-06-05T00:00:00"/>
    <d v="2024-06-05T00:00:00"/>
    <x v="0"/>
    <n v="165"/>
    <n v="18"/>
    <n v="124"/>
    <n v="23"/>
    <n v="9"/>
    <n v="9"/>
    <n v="159"/>
    <n v="106"/>
    <n v="0"/>
    <n v="0"/>
    <n v="3"/>
    <n v="0"/>
    <n v="3"/>
    <n v="0"/>
    <n v="0"/>
    <n v="0"/>
    <n v="1"/>
    <n v="0"/>
    <n v="1"/>
    <n v="1"/>
    <n v="1"/>
    <n v="0"/>
    <n v="1"/>
    <n v="1"/>
    <n v="0"/>
    <m/>
  </r>
  <r>
    <n v="488"/>
    <d v="2024-06-05T15:34:11"/>
    <d v="2024-06-05T15:36:14"/>
    <s v="eadisoni@lighthouse.org.mw"/>
    <s v="Eliza adisoni"/>
    <x v="5"/>
    <s v="COE"/>
    <x v="1"/>
    <s v="COP_24"/>
    <s v="COP_23"/>
    <x v="3"/>
    <s v="Quarter3"/>
    <s v="Qtr_3"/>
    <s v="May"/>
    <d v="2024-06-05T00:00:00"/>
    <d v="2024-06-05T00:00:00"/>
    <x v="4"/>
    <n v="1"/>
    <n v="0"/>
    <n v="1"/>
    <n v="0"/>
    <n v="0"/>
    <n v="0"/>
    <n v="1"/>
    <n v="0"/>
    <n v="0"/>
    <n v="0"/>
    <n v="0"/>
    <n v="0"/>
    <n v="0"/>
    <n v="0"/>
    <n v="0"/>
    <n v="0"/>
    <n v="0"/>
    <n v="0"/>
    <n v="0"/>
    <n v="0"/>
    <n v="0"/>
    <n v="0"/>
    <n v="0"/>
    <n v="0"/>
    <n v="0"/>
    <m/>
  </r>
  <r>
    <n v="489"/>
    <d v="2024-06-05T15:36:34"/>
    <d v="2024-06-05T15:38:03"/>
    <s v="eadisoni@lighthouse.org.mw"/>
    <s v="Eliza adisoni"/>
    <x v="5"/>
    <s v="COE"/>
    <x v="1"/>
    <s v="COP_24"/>
    <s v="COP_23"/>
    <x v="3"/>
    <s v="Quarter3"/>
    <s v="Qtr_3"/>
    <s v="May"/>
    <d v="2024-06-05T00:00:00"/>
    <d v="2024-06-05T00:00:00"/>
    <x v="3"/>
    <n v="1"/>
    <n v="0"/>
    <n v="1"/>
    <n v="0"/>
    <n v="0"/>
    <n v="0"/>
    <n v="0"/>
    <n v="0"/>
    <n v="0"/>
    <n v="0"/>
    <n v="0"/>
    <n v="0"/>
    <n v="0"/>
    <n v="0"/>
    <n v="0"/>
    <n v="0"/>
    <n v="0"/>
    <n v="0"/>
    <n v="0"/>
    <n v="0"/>
    <n v="0"/>
    <n v="0"/>
    <n v="0"/>
    <n v="0"/>
    <n v="0"/>
    <m/>
  </r>
  <r>
    <n v="492"/>
    <d v="2024-06-05T15:43:43"/>
    <d v="2024-06-05T15:47:30"/>
    <s v="eadisoni@lighthouse.org.mw"/>
    <s v="Eliza adisoni"/>
    <x v="5"/>
    <s v="COE"/>
    <x v="1"/>
    <s v="COP_24"/>
    <s v="COP_23"/>
    <x v="3"/>
    <s v="Quarter3"/>
    <s v="Qtr_3"/>
    <s v="May"/>
    <d v="2024-06-05T00:00:00"/>
    <d v="2024-06-05T00:00:00"/>
    <x v="5"/>
    <n v="25"/>
    <n v="1"/>
    <n v="22"/>
    <n v="1"/>
    <n v="0"/>
    <n v="2"/>
    <n v="24"/>
    <n v="4"/>
    <n v="5"/>
    <n v="1"/>
    <n v="0"/>
    <n v="0"/>
    <n v="0"/>
    <n v="0"/>
    <n v="0"/>
    <n v="0"/>
    <n v="0"/>
    <n v="0"/>
    <n v="0"/>
    <n v="0"/>
    <n v="0"/>
    <n v="0"/>
    <n v="0"/>
    <n v="0"/>
    <n v="0"/>
    <m/>
  </r>
  <r>
    <n v="494"/>
    <d v="2024-06-05T15:47:38"/>
    <d v="2024-06-05T15:52:34"/>
    <s v="eadisoni@lighthouse.org.mw"/>
    <s v="Eliza adisoni"/>
    <x v="5"/>
    <s v="COE"/>
    <x v="1"/>
    <s v="COP_24"/>
    <s v="COP_23"/>
    <x v="3"/>
    <s v="Quarter3"/>
    <s v="Qtr_3"/>
    <s v="May"/>
    <d v="2024-06-05T00:00:00"/>
    <d v="2024-06-05T00:00:00"/>
    <x v="6"/>
    <n v="127"/>
    <n v="100"/>
    <n v="40"/>
    <n v="4"/>
    <n v="32"/>
    <n v="51"/>
    <n v="127"/>
    <n v="56"/>
    <n v="49"/>
    <n v="8"/>
    <n v="15"/>
    <n v="5"/>
    <n v="1"/>
    <n v="0"/>
    <n v="2"/>
    <n v="1"/>
    <n v="11"/>
    <n v="7"/>
    <n v="42"/>
    <n v="12"/>
    <n v="18"/>
    <n v="8"/>
    <n v="0"/>
    <n v="3"/>
    <n v="43"/>
    <m/>
  </r>
  <r>
    <n v="378"/>
    <d v="2024-05-09T13:29:52"/>
    <d v="2024-05-09T13:32:56"/>
    <s v="eadisoni@lighthouse.org.mw"/>
    <s v="Eliza adisoni"/>
    <x v="5"/>
    <s v="COE"/>
    <x v="1"/>
    <s v="COP_24"/>
    <s v="COP_23"/>
    <x v="2"/>
    <s v="Quarter2"/>
    <s v="Qtr_2"/>
    <s v="Feb"/>
    <d v="2024-02-07T00:00:00"/>
    <d v="2024-02-07T00:00:00"/>
    <x v="2"/>
    <n v="6"/>
    <n v="1"/>
    <n v="3"/>
    <n v="0"/>
    <n v="1"/>
    <n v="1"/>
    <n v="6"/>
    <n v="4"/>
    <n v="2"/>
    <n v="0"/>
    <n v="0"/>
    <n v="0"/>
    <n v="3"/>
    <n v="0"/>
    <n v="0"/>
    <n v="0"/>
    <n v="0"/>
    <n v="0"/>
    <n v="5"/>
    <n v="1"/>
    <n v="1"/>
    <n v="0"/>
    <n v="0"/>
    <n v="0"/>
    <n v="0"/>
    <m/>
  </r>
  <r>
    <n v="379"/>
    <d v="2024-05-09T13:33:39"/>
    <d v="2024-05-09T13:38:34"/>
    <s v="eadisoni@lighthouse.org.mw"/>
    <s v="Eliza adisoni"/>
    <x v="5"/>
    <s v="COE"/>
    <x v="1"/>
    <s v="COP_24"/>
    <s v="COP_23"/>
    <x v="2"/>
    <s v="Quarter2"/>
    <s v="Qtr_2"/>
    <s v="Mar"/>
    <d v="2024-04-02T00:00:00"/>
    <d v="2024-04-04T00:00:00"/>
    <x v="2"/>
    <n v="5"/>
    <n v="0"/>
    <n v="1"/>
    <n v="2"/>
    <n v="2"/>
    <n v="0"/>
    <n v="5"/>
    <n v="4"/>
    <n v="4"/>
    <n v="1"/>
    <n v="1"/>
    <n v="0"/>
    <n v="5"/>
    <n v="1"/>
    <n v="0"/>
    <n v="0"/>
    <n v="0"/>
    <n v="0"/>
    <n v="2"/>
    <n v="1"/>
    <n v="0"/>
    <n v="0"/>
    <n v="0"/>
    <n v="0"/>
    <n v="0"/>
    <m/>
  </r>
  <r>
    <n v="748"/>
    <d v="2024-08-12T09:40:31"/>
    <d v="2024-08-12T09:40:47"/>
    <s v="bsamala@lighthouse.org.mw"/>
    <s v="Benadetta Samala"/>
    <x v="5"/>
    <s v="COE"/>
    <x v="1"/>
    <s v="COP_23"/>
    <s v="COP_23"/>
    <x v="1"/>
    <s v="Quarter4"/>
    <s v="Qtr_4"/>
    <s v="Jul"/>
    <d v="2024-07-01T00:00:00"/>
    <d v="2024-07-31T00:00:00"/>
    <x v="2"/>
    <n v="90"/>
    <n v="3"/>
    <n v="4"/>
    <n v="2"/>
    <n v="2"/>
    <n v="2"/>
    <n v="10"/>
    <n v="7"/>
    <n v="3"/>
    <n v="0"/>
    <n v="0"/>
    <n v="0"/>
    <n v="0"/>
    <n v="0"/>
    <n v="0"/>
    <n v="0"/>
    <n v="1"/>
    <n v="0"/>
    <n v="2"/>
    <n v="1"/>
    <n v="1"/>
    <n v="0"/>
    <n v="0"/>
    <n v="2"/>
    <n v="0"/>
    <m/>
  </r>
  <r>
    <n v="767"/>
    <d v="2024-08-17T14:40:30"/>
    <d v="2024-08-17T14:53:01"/>
    <s v="bsamala@lighthouse.org.mw"/>
    <s v="Benadetta Samala"/>
    <x v="5"/>
    <s v="COE"/>
    <x v="1"/>
    <s v="COP_22"/>
    <s v="COP_23"/>
    <x v="3"/>
    <s v="Quarter3"/>
    <s v="Qtr_3"/>
    <s v="May"/>
    <d v="2024-05-01T00:00:00"/>
    <d v="2024-05-31T00:00:00"/>
    <x v="2"/>
    <n v="8"/>
    <n v="3"/>
    <n v="4"/>
    <n v="0"/>
    <n v="1"/>
    <n v="3"/>
    <n v="8"/>
    <n v="4"/>
    <n v="3"/>
    <n v="0"/>
    <n v="0"/>
    <n v="0"/>
    <n v="0"/>
    <n v="0"/>
    <n v="0"/>
    <n v="0"/>
    <n v="0"/>
    <n v="0"/>
    <n v="0"/>
    <n v="0"/>
    <n v="0"/>
    <n v="0"/>
    <n v="0"/>
    <n v="0"/>
    <n v="0"/>
    <m/>
  </r>
  <r>
    <n v="768"/>
    <d v="2024-08-17T14:53:22"/>
    <d v="2024-08-17T14:59:21"/>
    <s v="bsamala@lighthouse.org.mw"/>
    <s v="Benadetta Samala"/>
    <x v="5"/>
    <s v="COE"/>
    <x v="1"/>
    <s v="COP_23"/>
    <s v="COP_23"/>
    <x v="3"/>
    <s v="Quarter3"/>
    <s v="Qtr_3"/>
    <s v="Jun"/>
    <d v="2024-06-01T00:00:00"/>
    <d v="2024-06-30T00:00:00"/>
    <x v="2"/>
    <n v="5"/>
    <n v="0"/>
    <n v="5"/>
    <n v="0"/>
    <n v="0"/>
    <n v="0"/>
    <n v="5"/>
    <n v="2"/>
    <n v="2"/>
    <n v="0"/>
    <n v="0"/>
    <n v="0"/>
    <n v="0"/>
    <n v="0"/>
    <n v="0"/>
    <n v="0"/>
    <n v="0"/>
    <n v="0"/>
    <n v="0"/>
    <n v="0"/>
    <n v="0"/>
    <n v="0"/>
    <n v="0"/>
    <n v="0"/>
    <n v="0"/>
    <m/>
  </r>
  <r>
    <n v="838"/>
    <d v="2024-09-26T09:08:26"/>
    <d v="2024-09-26T09:10:41"/>
    <s v="eadisoni@lighthouse.org.mw"/>
    <s v="Eliza adisoni"/>
    <x v="5"/>
    <s v="COE"/>
    <x v="1"/>
    <s v="COP_23"/>
    <s v="COP_23"/>
    <x v="1"/>
    <s v="Quarter4"/>
    <s v="Qtr_4"/>
    <s v="Aug"/>
    <d v="2024-08-01T00:00:00"/>
    <d v="2024-08-30T00:00:00"/>
    <x v="2"/>
    <n v="11"/>
    <n v="2"/>
    <n v="7"/>
    <n v="2"/>
    <n v="2"/>
    <n v="0"/>
    <n v="11"/>
    <n v="3"/>
    <n v="4"/>
    <n v="0"/>
    <n v="1"/>
    <n v="0"/>
    <n v="1"/>
    <n v="0"/>
    <n v="1"/>
    <n v="0"/>
    <n v="1"/>
    <n v="0"/>
    <n v="1"/>
    <n v="0"/>
    <n v="1"/>
    <n v="0"/>
    <n v="0"/>
    <n v="0"/>
    <n v="0"/>
    <m/>
  </r>
  <r>
    <n v="873"/>
    <d v="2024-10-03T07:48:16"/>
    <d v="2024-10-03T07:50:40"/>
    <s v="eadisoni@lighthouse.org.mw"/>
    <s v="Eliza adisoni"/>
    <x v="5"/>
    <s v="COE"/>
    <x v="1"/>
    <s v="COP_23"/>
    <s v="COP_23"/>
    <x v="1"/>
    <s v="Quarter4"/>
    <s v="Qtr_4"/>
    <s v="Sep"/>
    <d v="2024-09-02T00:00:00"/>
    <d v="2024-09-30T00:00:00"/>
    <x v="2"/>
    <n v="12"/>
    <n v="3"/>
    <n v="6"/>
    <n v="3"/>
    <n v="2"/>
    <n v="1"/>
    <n v="12"/>
    <n v="5"/>
    <n v="5"/>
    <n v="1"/>
    <n v="1"/>
    <n v="1"/>
    <n v="3"/>
    <n v="0"/>
    <n v="9"/>
    <n v="9"/>
    <n v="0"/>
    <n v="0"/>
    <n v="0"/>
    <n v="0"/>
    <n v="1"/>
    <n v="1"/>
    <n v="0"/>
    <n v="0"/>
    <n v="0"/>
    <m/>
  </r>
  <r>
    <n v="1051"/>
    <d v="2024-11-08T13:49:09"/>
    <d v="2024-11-08T13:52:09"/>
    <s v="eadisoni@lighthouse.org.mw"/>
    <s v="Eliza adisoni"/>
    <x v="5"/>
    <s v="COE"/>
    <x v="1"/>
    <s v="COP_23"/>
    <s v="COP_24"/>
    <x v="0"/>
    <s v="Quarter1"/>
    <s v="Qtr_1"/>
    <s v="Oct"/>
    <d v="2024-10-01T00:00:00"/>
    <d v="2024-10-31T00:00:00"/>
    <x v="2"/>
    <n v="8"/>
    <n v="2"/>
    <n v="3"/>
    <n v="0"/>
    <n v="4"/>
    <n v="1"/>
    <n v="8"/>
    <n v="4"/>
    <n v="4"/>
    <n v="0"/>
    <n v="1"/>
    <n v="0"/>
    <n v="4"/>
    <n v="0"/>
    <n v="0"/>
    <n v="0"/>
    <n v="0"/>
    <n v="0"/>
    <n v="1"/>
    <n v="0"/>
    <n v="1"/>
    <n v="0"/>
    <n v="0"/>
    <n v="0"/>
    <n v="1"/>
    <m/>
  </r>
  <r>
    <n v="568"/>
    <d v="2024-07-03T10:28:27"/>
    <d v="2024-07-03T10:37:06"/>
    <s v="eadisoni@lighthouse.org.mw"/>
    <s v="Eliza adisoni"/>
    <x v="5"/>
    <s v="COE"/>
    <x v="1"/>
    <s v="COP_23"/>
    <s v="COP_23"/>
    <x v="3"/>
    <s v="Quarter3"/>
    <s v="Qtr_3"/>
    <s v="Jun"/>
    <d v="2024-07-03T00:00:00"/>
    <d v="2024-07-03T00:00:00"/>
    <x v="0"/>
    <n v="119"/>
    <n v="8"/>
    <n v="71"/>
    <n v="19"/>
    <n v="10"/>
    <n v="7"/>
    <n v="117"/>
    <n v="40"/>
    <n v="36"/>
    <n v="3"/>
    <n v="4"/>
    <n v="2"/>
    <n v="0"/>
    <n v="0"/>
    <n v="0"/>
    <n v="0"/>
    <n v="1"/>
    <n v="0"/>
    <n v="0"/>
    <n v="0"/>
    <n v="4"/>
    <n v="0"/>
    <n v="0"/>
    <n v="0"/>
    <n v="1"/>
    <m/>
  </r>
  <r>
    <n v="569"/>
    <d v="2024-07-03T10:37:17"/>
    <d v="2024-07-03T10:39:36"/>
    <s v="eadisoni@lighthouse.org.mw"/>
    <s v="Eliza adisoni"/>
    <x v="5"/>
    <s v="COE"/>
    <x v="1"/>
    <s v="COP_23"/>
    <s v="COP_23"/>
    <x v="3"/>
    <s v="Quarter3"/>
    <s v="Qtr_3"/>
    <s v="Jun"/>
    <d v="2024-07-03T00:00:00"/>
    <d v="2024-07-03T00:00:00"/>
    <x v="5"/>
    <n v="12"/>
    <n v="0"/>
    <n v="8"/>
    <n v="2"/>
    <n v="1"/>
    <n v="1"/>
    <n v="12"/>
    <n v="4"/>
    <n v="0"/>
    <n v="0"/>
    <n v="0"/>
    <n v="0"/>
    <n v="0"/>
    <n v="0"/>
    <n v="0"/>
    <n v="0"/>
    <n v="1"/>
    <n v="0"/>
    <n v="1"/>
    <n v="0"/>
    <n v="0"/>
    <n v="0"/>
    <n v="0"/>
    <n v="0"/>
    <n v="0"/>
    <m/>
  </r>
  <r>
    <n v="570"/>
    <d v="2024-07-03T10:39:45"/>
    <d v="2024-07-03T10:42:35"/>
    <s v="eadisoni@lighthouse.org.mw"/>
    <s v="Eliza adisoni"/>
    <x v="5"/>
    <s v="COE"/>
    <x v="1"/>
    <s v="COP_23"/>
    <s v="COP_23"/>
    <x v="3"/>
    <s v="Quarter3"/>
    <s v="Qtr_3"/>
    <s v="Jun"/>
    <d v="2024-07-03T00:00:00"/>
    <d v="2024-07-03T00:00:00"/>
    <x v="4"/>
    <n v="1"/>
    <n v="0"/>
    <n v="1"/>
    <n v="0"/>
    <n v="0"/>
    <n v="0"/>
    <n v="1"/>
    <n v="0"/>
    <n v="0"/>
    <n v="0"/>
    <n v="0"/>
    <n v="0"/>
    <n v="0"/>
    <n v="0"/>
    <n v="0"/>
    <n v="0"/>
    <n v="0"/>
    <n v="0"/>
    <n v="0"/>
    <n v="0"/>
    <n v="0"/>
    <n v="0"/>
    <n v="0"/>
    <n v="0"/>
    <n v="0"/>
    <m/>
  </r>
  <r>
    <n v="571"/>
    <d v="2024-07-03T10:42:45"/>
    <d v="2024-07-03T10:45:02"/>
    <s v="eadisoni@lighthouse.org.mw"/>
    <s v="Eliza adisoni"/>
    <x v="5"/>
    <s v="COE"/>
    <x v="1"/>
    <s v="COP_23"/>
    <s v="COP_23"/>
    <x v="3"/>
    <s v="Quarter3"/>
    <s v="Qtr_3"/>
    <s v="Jun"/>
    <d v="2024-07-03T00:00:00"/>
    <d v="2024-07-03T00:00:00"/>
    <x v="3"/>
    <n v="0"/>
    <n v="0"/>
    <n v="0"/>
    <n v="0"/>
    <n v="0"/>
    <n v="0"/>
    <n v="0"/>
    <n v="0"/>
    <n v="0"/>
    <n v="0"/>
    <n v="0"/>
    <n v="0"/>
    <n v="0"/>
    <n v="0"/>
    <n v="0"/>
    <n v="0"/>
    <n v="0"/>
    <n v="0"/>
    <n v="0"/>
    <n v="0"/>
    <n v="0"/>
    <n v="0"/>
    <n v="0"/>
    <n v="0"/>
    <n v="0"/>
    <m/>
  </r>
  <r>
    <n v="573"/>
    <d v="2024-07-03T10:49:32"/>
    <d v="2024-07-03T11:05:00"/>
    <s v="eadisoni@lighthouse.org.mw"/>
    <s v="Eliza adisoni"/>
    <x v="5"/>
    <s v="COE"/>
    <x v="1"/>
    <s v="COP_23"/>
    <s v="COP_23"/>
    <x v="3"/>
    <s v="Quarter3"/>
    <s v="Qtr_3"/>
    <s v="Jun"/>
    <d v="2024-07-03T00:00:00"/>
    <d v="2024-07-03T00:00:00"/>
    <x v="6"/>
    <n v="99"/>
    <n v="76"/>
    <n v="18"/>
    <n v="12"/>
    <n v="39"/>
    <n v="30"/>
    <n v="99"/>
    <n v="46"/>
    <n v="45"/>
    <n v="3"/>
    <n v="10"/>
    <n v="1"/>
    <n v="0"/>
    <n v="0"/>
    <n v="6"/>
    <n v="1"/>
    <n v="17"/>
    <n v="12"/>
    <n v="35"/>
    <n v="13"/>
    <n v="15"/>
    <n v="1"/>
    <n v="0"/>
    <n v="2"/>
    <n v="23"/>
    <m/>
  </r>
  <r>
    <n v="742"/>
    <d v="2024-08-12T08:39:32"/>
    <d v="2024-08-12T09:11:55"/>
    <s v="bsamala@lighthouse.org.mw"/>
    <s v="Benadetta Samala"/>
    <x v="5"/>
    <s v="COE"/>
    <x v="1"/>
    <s v="COP_23"/>
    <s v="COP_23"/>
    <x v="1"/>
    <s v="Quarter4"/>
    <s v="Qtr_4"/>
    <s v="Jul"/>
    <d v="2024-07-01T00:00:00"/>
    <d v="2024-07-31T00:00:00"/>
    <x v="0"/>
    <n v="167"/>
    <n v="15"/>
    <n v="90"/>
    <n v="36"/>
    <n v="37"/>
    <n v="15"/>
    <n v="162"/>
    <n v="67"/>
    <n v="63"/>
    <n v="4"/>
    <n v="4"/>
    <n v="2"/>
    <n v="0"/>
    <n v="0"/>
    <n v="0"/>
    <n v="0"/>
    <n v="0"/>
    <n v="0"/>
    <n v="13"/>
    <n v="3"/>
    <n v="4"/>
    <n v="2"/>
    <n v="1"/>
    <n v="5"/>
    <n v="3"/>
    <m/>
  </r>
  <r>
    <n v="743"/>
    <d v="2024-08-12T09:12:02"/>
    <d v="2024-08-12T09:22:37"/>
    <s v="bsamala@lighthouse.org.mw"/>
    <s v="Benadetta Samala"/>
    <x v="5"/>
    <s v="COE"/>
    <x v="1"/>
    <s v="COP_23"/>
    <s v="COP_23"/>
    <x v="1"/>
    <s v="Quarter4"/>
    <s v="Qtr_4"/>
    <s v="Jul"/>
    <d v="2024-07-01T00:00:00"/>
    <d v="2024-07-31T00:00:00"/>
    <x v="6"/>
    <n v="136"/>
    <n v="98"/>
    <n v="41"/>
    <n v="7"/>
    <n v="50"/>
    <n v="38"/>
    <n v="136"/>
    <n v="62"/>
    <n v="65"/>
    <n v="4"/>
    <n v="6"/>
    <n v="3"/>
    <n v="0"/>
    <n v="0"/>
    <n v="8"/>
    <n v="1"/>
    <n v="36"/>
    <n v="3"/>
    <n v="58"/>
    <n v="19"/>
    <n v="14"/>
    <n v="6"/>
    <n v="0"/>
    <n v="4"/>
    <n v="36"/>
    <m/>
  </r>
  <r>
    <n v="745"/>
    <d v="2024-08-12T09:26:58"/>
    <d v="2024-08-12T09:30:19"/>
    <s v="bsamala@lighthouse.org.mw"/>
    <s v="Benadetta Samala"/>
    <x v="5"/>
    <s v="COE"/>
    <x v="1"/>
    <s v="COP_23"/>
    <s v="COP_23"/>
    <x v="1"/>
    <s v="Quarter4"/>
    <s v="Qtr_4"/>
    <s v="Jul"/>
    <d v="2024-07-01T00:00:00"/>
    <d v="2024-07-31T00:00:00"/>
    <x v="3"/>
    <n v="1"/>
    <n v="0"/>
    <n v="0"/>
    <n v="1"/>
    <n v="0"/>
    <n v="0"/>
    <n v="0"/>
    <n v="0"/>
    <n v="1"/>
    <n v="0"/>
    <n v="0"/>
    <n v="0"/>
    <n v="0"/>
    <n v="0"/>
    <n v="0"/>
    <n v="0"/>
    <n v="0"/>
    <n v="0"/>
    <n v="0"/>
    <n v="0"/>
    <n v="0"/>
    <n v="0"/>
    <n v="0"/>
    <n v="0"/>
    <n v="0"/>
    <m/>
  </r>
  <r>
    <n v="746"/>
    <d v="2024-08-12T09:30:28"/>
    <d v="2024-08-12T09:34:14"/>
    <s v="bsamala@lighthouse.org.mw"/>
    <s v="Benadetta Samala"/>
    <x v="5"/>
    <s v="COE"/>
    <x v="1"/>
    <s v="COP_23"/>
    <s v="COP_23"/>
    <x v="1"/>
    <s v="Quarter4"/>
    <s v="Qtr_4"/>
    <s v="Jul"/>
    <d v="2024-07-01T00:00:00"/>
    <d v="2024-07-31T00:00:00"/>
    <x v="5"/>
    <n v="26"/>
    <n v="3"/>
    <n v="14"/>
    <n v="5"/>
    <n v="4"/>
    <n v="3"/>
    <n v="25"/>
    <n v="13"/>
    <n v="11"/>
    <n v="2"/>
    <n v="1"/>
    <n v="1"/>
    <n v="0"/>
    <n v="0"/>
    <n v="0"/>
    <n v="0"/>
    <n v="0"/>
    <n v="0"/>
    <n v="0"/>
    <n v="0"/>
    <n v="0"/>
    <n v="1"/>
    <n v="0"/>
    <n v="1"/>
    <n v="2"/>
    <m/>
  </r>
  <r>
    <n v="747"/>
    <d v="2024-08-12T09:34:18"/>
    <d v="2024-08-12T09:36:38"/>
    <s v="bsamala@lighthouse.org.mw"/>
    <s v="Benadetta Samala"/>
    <x v="5"/>
    <s v="COE"/>
    <x v="1"/>
    <s v="COP_23"/>
    <s v="COP_23"/>
    <x v="1"/>
    <s v="Quarter4"/>
    <s v="Qtr_4"/>
    <s v="Jul"/>
    <d v="2024-07-01T00:00:00"/>
    <d v="2024-07-31T00:00:00"/>
    <x v="4"/>
    <n v="2"/>
    <n v="0"/>
    <n v="2"/>
    <n v="0"/>
    <n v="0"/>
    <n v="0"/>
    <n v="2"/>
    <n v="0"/>
    <n v="0"/>
    <n v="0"/>
    <n v="0"/>
    <n v="0"/>
    <n v="0"/>
    <n v="0"/>
    <n v="0"/>
    <n v="0"/>
    <n v="0"/>
    <n v="0"/>
    <n v="0"/>
    <n v="0"/>
    <n v="0"/>
    <n v="0"/>
    <n v="0"/>
    <n v="0"/>
    <n v="0"/>
    <m/>
  </r>
  <r>
    <n v="834"/>
    <d v="2024-09-26T08:02:10"/>
    <d v="2024-09-26T08:04:50"/>
    <s v="eadisoni@lighthouse.org.mw"/>
    <s v="Eliza adisoni"/>
    <x v="5"/>
    <s v="COE"/>
    <x v="1"/>
    <s v="COP_23"/>
    <s v="COP_23"/>
    <x v="1"/>
    <s v="Quarter4"/>
    <s v="Qtr_4"/>
    <s v="Aug"/>
    <d v="2024-08-01T00:00:00"/>
    <d v="2024-08-30T00:00:00"/>
    <x v="4"/>
    <n v="5"/>
    <n v="1"/>
    <n v="3"/>
    <n v="0"/>
    <n v="2"/>
    <n v="0"/>
    <n v="5"/>
    <n v="1"/>
    <n v="0"/>
    <n v="0"/>
    <n v="0"/>
    <n v="0"/>
    <n v="0"/>
    <n v="0"/>
    <n v="0"/>
    <n v="0"/>
    <n v="0"/>
    <n v="0"/>
    <n v="0"/>
    <n v="0"/>
    <n v="1"/>
    <n v="0"/>
    <n v="0"/>
    <n v="0"/>
    <n v="0"/>
    <m/>
  </r>
  <r>
    <n v="835"/>
    <d v="2024-09-26T08:04:57"/>
    <d v="2024-09-26T08:06:11"/>
    <s v="eadisoni@lighthouse.org.mw"/>
    <s v="Eliza adisoni"/>
    <x v="5"/>
    <s v="COE"/>
    <x v="1"/>
    <s v="COP_23"/>
    <s v="COP_23"/>
    <x v="1"/>
    <s v="Quarter4"/>
    <s v="Qtr_4"/>
    <s v="Aug"/>
    <d v="2024-08-01T00:00:00"/>
    <d v="2024-08-30T00:00:00"/>
    <x v="3"/>
    <n v="0"/>
    <n v="0"/>
    <n v="0"/>
    <n v="0"/>
    <n v="0"/>
    <n v="0"/>
    <n v="0"/>
    <n v="0"/>
    <n v="0"/>
    <n v="0"/>
    <n v="0"/>
    <n v="0"/>
    <n v="0"/>
    <n v="0"/>
    <n v="0"/>
    <n v="0"/>
    <n v="0"/>
    <n v="0"/>
    <n v="0"/>
    <n v="0"/>
    <n v="0"/>
    <n v="0"/>
    <n v="0"/>
    <n v="0"/>
    <n v="0"/>
    <m/>
  </r>
  <r>
    <n v="837"/>
    <d v="2024-09-26T09:07:58"/>
    <d v="2024-09-26T09:08:17"/>
    <s v="eadisoni@lighthouse.org.mw"/>
    <s v="Eliza adisoni"/>
    <x v="5"/>
    <s v="COE"/>
    <x v="1"/>
    <s v="COP_23"/>
    <s v="COP_23"/>
    <x v="1"/>
    <s v="Quarter4"/>
    <s v="Qtr_4"/>
    <s v="Aug"/>
    <d v="2024-08-01T00:00:00"/>
    <d v="2024-08-30T00:00:00"/>
    <x v="5"/>
    <n v="19"/>
    <n v="0"/>
    <n v="16"/>
    <n v="2"/>
    <n v="1"/>
    <n v="0"/>
    <n v="19"/>
    <n v="4"/>
    <n v="3"/>
    <n v="0"/>
    <n v="1"/>
    <n v="0"/>
    <n v="2"/>
    <n v="0"/>
    <n v="0"/>
    <n v="0"/>
    <n v="0"/>
    <n v="0"/>
    <n v="1"/>
    <n v="0"/>
    <n v="0"/>
    <n v="0"/>
    <n v="0"/>
    <n v="0"/>
    <n v="0"/>
    <m/>
  </r>
  <r>
    <n v="839"/>
    <d v="2024-09-26T09:10:46"/>
    <d v="2024-09-26T09:13:33"/>
    <s v="eadisoni@lighthouse.org.mw"/>
    <s v="Eliza adisoni"/>
    <x v="5"/>
    <s v="COE"/>
    <x v="1"/>
    <s v="COP_23"/>
    <s v="COP_23"/>
    <x v="1"/>
    <s v="Quarter4"/>
    <s v="Qtr_4"/>
    <s v="Aug"/>
    <d v="2024-08-01T00:00:00"/>
    <d v="2024-08-30T00:00:00"/>
    <x v="0"/>
    <n v="203"/>
    <n v="17"/>
    <n v="94"/>
    <n v="20"/>
    <n v="15"/>
    <n v="13"/>
    <n v="201"/>
    <n v="58"/>
    <n v="64"/>
    <n v="1"/>
    <n v="10"/>
    <n v="2"/>
    <n v="36"/>
    <n v="8"/>
    <n v="0"/>
    <n v="0"/>
    <n v="8"/>
    <n v="4"/>
    <n v="13"/>
    <n v="2"/>
    <n v="3"/>
    <n v="2"/>
    <n v="0"/>
    <n v="4"/>
    <n v="3"/>
    <m/>
  </r>
  <r>
    <n v="840"/>
    <d v="2024-09-26T09:13:41"/>
    <d v="2024-09-26T09:18:55"/>
    <s v="eadisoni@lighthouse.org.mw"/>
    <s v="Eliza adisoni"/>
    <x v="5"/>
    <s v="COE"/>
    <x v="1"/>
    <s v="COP_23"/>
    <s v="COP_23"/>
    <x v="1"/>
    <s v="Quarter4"/>
    <s v="Qtr_4"/>
    <s v="Aug"/>
    <d v="2024-08-01T00:00:00"/>
    <d v="2024-08-30T00:00:00"/>
    <x v="6"/>
    <n v="100"/>
    <n v="52"/>
    <n v="30"/>
    <n v="8"/>
    <n v="31"/>
    <n v="31"/>
    <n v="100"/>
    <n v="39"/>
    <n v="40"/>
    <n v="0"/>
    <n v="4"/>
    <n v="1"/>
    <n v="12"/>
    <n v="3"/>
    <n v="4"/>
    <n v="0"/>
    <n v="25"/>
    <n v="19"/>
    <n v="32"/>
    <n v="20"/>
    <n v="8"/>
    <n v="1"/>
    <n v="0"/>
    <n v="3"/>
    <n v="19"/>
    <m/>
  </r>
  <r>
    <n v="869"/>
    <d v="2024-10-03T07:33:19"/>
    <d v="2024-10-03T07:38:40"/>
    <s v="eadisoni@lighthouse.org.mw"/>
    <s v="Eliza adisoni"/>
    <x v="5"/>
    <s v="COE"/>
    <x v="1"/>
    <s v="COP_23"/>
    <s v="COP_23"/>
    <x v="1"/>
    <s v="Quarter4"/>
    <s v="Qtr_4"/>
    <s v="Sep"/>
    <d v="2024-09-02T00:00:00"/>
    <d v="2024-09-30T00:00:00"/>
    <x v="0"/>
    <n v="168"/>
    <n v="23"/>
    <n v="92"/>
    <n v="38"/>
    <n v="29"/>
    <n v="9"/>
    <n v="157"/>
    <n v="53"/>
    <n v="55"/>
    <n v="5"/>
    <n v="9"/>
    <n v="4"/>
    <n v="56"/>
    <n v="2"/>
    <n v="0"/>
    <n v="0"/>
    <n v="0"/>
    <n v="0"/>
    <n v="5"/>
    <n v="2"/>
    <n v="3"/>
    <n v="2"/>
    <n v="0"/>
    <n v="3"/>
    <n v="3"/>
    <m/>
  </r>
  <r>
    <n v="871"/>
    <d v="2024-10-03T07:42:57"/>
    <d v="2024-10-03T07:45:55"/>
    <s v="eadisoni@lighthouse.org.mw"/>
    <s v="Eliza adisoni"/>
    <x v="5"/>
    <s v="COE"/>
    <x v="1"/>
    <s v="COP_23"/>
    <s v="COP_23"/>
    <x v="1"/>
    <s v="Quarter4"/>
    <s v="Qtr_4"/>
    <s v="Sep"/>
    <d v="2024-09-02T00:00:00"/>
    <d v="2024-09-30T00:00:00"/>
    <x v="3"/>
    <n v="1"/>
    <n v="0"/>
    <n v="0"/>
    <n v="0"/>
    <n v="1"/>
    <n v="0"/>
    <n v="0"/>
    <n v="0"/>
    <n v="1"/>
    <n v="0"/>
    <n v="0"/>
    <n v="0"/>
    <n v="1"/>
    <n v="0"/>
    <n v="0"/>
    <n v="0"/>
    <n v="0"/>
    <n v="0"/>
    <n v="0"/>
    <n v="0"/>
    <n v="0"/>
    <n v="0"/>
    <n v="0"/>
    <n v="0"/>
    <n v="0"/>
    <m/>
  </r>
  <r>
    <n v="872"/>
    <d v="2024-10-03T07:46:05"/>
    <d v="2024-10-03T07:48:09"/>
    <s v="eadisoni@lighthouse.org.mw"/>
    <s v="Eliza adisoni"/>
    <x v="5"/>
    <s v="COE"/>
    <x v="1"/>
    <s v="COP_23"/>
    <s v="COP_23"/>
    <x v="1"/>
    <s v="Quarter4"/>
    <s v="Qtr_4"/>
    <s v="Sep"/>
    <d v="2024-09-02T00:00:00"/>
    <d v="2024-09-30T00:00:00"/>
    <x v="4"/>
    <n v="1"/>
    <n v="0"/>
    <n v="0"/>
    <n v="1"/>
    <n v="0"/>
    <n v="0"/>
    <n v="1"/>
    <n v="1"/>
    <n v="1"/>
    <n v="0"/>
    <n v="0"/>
    <n v="0"/>
    <n v="1"/>
    <n v="0"/>
    <n v="0"/>
    <n v="0"/>
    <n v="0"/>
    <n v="0"/>
    <n v="1"/>
    <n v="0"/>
    <n v="0"/>
    <n v="0"/>
    <n v="0"/>
    <n v="0"/>
    <n v="0"/>
    <m/>
  </r>
  <r>
    <n v="874"/>
    <d v="2024-10-03T07:51:34"/>
    <d v="2024-10-03T08:00:59"/>
    <s v="eadisoni@lighthouse.org.mw"/>
    <s v="Eliza adisoni"/>
    <x v="5"/>
    <s v="COE"/>
    <x v="1"/>
    <s v="COP_23"/>
    <s v="COP_23"/>
    <x v="1"/>
    <s v="Quarter4"/>
    <s v="Qtr_4"/>
    <s v="Sep"/>
    <d v="2024-09-02T00:00:00"/>
    <d v="2024-09-30T00:00:00"/>
    <x v="6"/>
    <n v="103"/>
    <n v="46"/>
    <n v="42"/>
    <n v="8"/>
    <n v="21"/>
    <n v="32"/>
    <n v="103"/>
    <n v="53"/>
    <n v="57"/>
    <n v="5"/>
    <n v="15"/>
    <n v="6"/>
    <n v="47"/>
    <n v="6"/>
    <n v="5"/>
    <n v="2"/>
    <n v="24"/>
    <n v="4"/>
    <n v="30"/>
    <n v="11"/>
    <n v="9"/>
    <n v="7"/>
    <n v="0"/>
    <n v="4"/>
    <n v="19"/>
    <m/>
  </r>
  <r>
    <n v="875"/>
    <d v="2024-10-03T08:50:17"/>
    <d v="2024-10-03T08:50:58"/>
    <s v="eadisoni@lighthouse.org.mw"/>
    <s v="Eliza adisoni"/>
    <x v="5"/>
    <s v="COE"/>
    <x v="1"/>
    <s v="COP_23"/>
    <s v="COP_23"/>
    <x v="1"/>
    <s v="Quarter4"/>
    <s v="Qtr_4"/>
    <s v="Sep"/>
    <d v="2024-09-02T00:00:00"/>
    <d v="2024-09-30T00:00:00"/>
    <x v="5"/>
    <n v="28"/>
    <n v="3"/>
    <n v="20"/>
    <n v="2"/>
    <n v="5"/>
    <n v="1"/>
    <n v="27"/>
    <n v="6"/>
    <n v="10"/>
    <n v="2"/>
    <n v="1"/>
    <n v="0"/>
    <n v="7"/>
    <n v="0"/>
    <n v="0"/>
    <n v="0"/>
    <n v="1"/>
    <n v="0"/>
    <n v="0"/>
    <n v="0"/>
    <n v="0"/>
    <n v="0"/>
    <n v="0"/>
    <n v="0"/>
    <n v="0"/>
    <m/>
  </r>
  <r>
    <n v="1047"/>
    <d v="2024-11-08T13:40:23"/>
    <d v="2024-11-08T13:43:15"/>
    <s v="eadisoni@lighthouse.org.mw"/>
    <s v="Eliza adisoni"/>
    <x v="5"/>
    <s v="COE"/>
    <x v="1"/>
    <s v="COP_23"/>
    <s v="COP_24"/>
    <x v="0"/>
    <s v="Quarter1"/>
    <s v="Qtr_1"/>
    <s v="Oct"/>
    <d v="2024-10-01T00:00:00"/>
    <d v="2024-10-31T00:00:00"/>
    <x v="4"/>
    <n v="4"/>
    <n v="0"/>
    <n v="4"/>
    <n v="0"/>
    <n v="0"/>
    <n v="0"/>
    <n v="0"/>
    <n v="0"/>
    <n v="0"/>
    <n v="0"/>
    <n v="0"/>
    <n v="0"/>
    <n v="0"/>
    <n v="0"/>
    <n v="0"/>
    <n v="0"/>
    <n v="0"/>
    <n v="0"/>
    <n v="0"/>
    <n v="0"/>
    <n v="0"/>
    <n v="0"/>
    <n v="0"/>
    <n v="0"/>
    <n v="0"/>
    <m/>
  </r>
  <r>
    <n v="1049"/>
    <d v="2024-11-08T13:46:00"/>
    <d v="2024-11-08T13:46:59"/>
    <s v="eadisoni@lighthouse.org.mw"/>
    <s v="Eliza adisoni"/>
    <x v="5"/>
    <s v="COE"/>
    <x v="1"/>
    <s v="COP_23"/>
    <s v="COP_24"/>
    <x v="0"/>
    <s v="Quarter1"/>
    <s v="Qtr_1"/>
    <s v="Oct"/>
    <d v="2024-10-01T00:00:00"/>
    <d v="2024-10-31T00:00:00"/>
    <x v="3"/>
    <n v="0"/>
    <n v="0"/>
    <n v="0"/>
    <n v="0"/>
    <n v="0"/>
    <n v="0"/>
    <n v="0"/>
    <n v="0"/>
    <n v="0"/>
    <n v="0"/>
    <n v="0"/>
    <n v="0"/>
    <n v="0"/>
    <n v="0"/>
    <n v="0"/>
    <n v="0"/>
    <n v="0"/>
    <n v="0"/>
    <n v="0"/>
    <n v="0"/>
    <n v="0"/>
    <n v="0"/>
    <n v="0"/>
    <n v="0"/>
    <n v="0"/>
    <m/>
  </r>
  <r>
    <n v="1050"/>
    <d v="2024-11-08T13:47:07"/>
    <d v="2024-11-08T13:49:02"/>
    <s v="eadisoni@lighthouse.org.mw"/>
    <s v="Eliza adisoni"/>
    <x v="5"/>
    <s v="COE"/>
    <x v="1"/>
    <s v="COP_23"/>
    <s v="COP_24"/>
    <x v="0"/>
    <s v="Quarter1"/>
    <s v="Qtr_1"/>
    <s v="Oct"/>
    <d v="2024-10-01T00:00:00"/>
    <d v="2024-10-31T00:00:00"/>
    <x v="5"/>
    <n v="36"/>
    <n v="5"/>
    <n v="23"/>
    <n v="1"/>
    <n v="11"/>
    <n v="1"/>
    <n v="36"/>
    <n v="12"/>
    <n v="11"/>
    <n v="1"/>
    <n v="0"/>
    <n v="0"/>
    <n v="9"/>
    <n v="0"/>
    <n v="0"/>
    <n v="0"/>
    <n v="0"/>
    <n v="0"/>
    <n v="0"/>
    <n v="0"/>
    <n v="0"/>
    <n v="0"/>
    <n v="0"/>
    <n v="0"/>
    <n v="0"/>
    <m/>
  </r>
  <r>
    <n v="1052"/>
    <d v="2024-11-08T13:52:30"/>
    <d v="2024-11-08T13:58:02"/>
    <s v="eadisoni@lighthouse.org.mw"/>
    <s v="Eliza adisoni"/>
    <x v="5"/>
    <s v="COE"/>
    <x v="1"/>
    <s v="COP_23"/>
    <s v="COP_24"/>
    <x v="0"/>
    <s v="Quarter1"/>
    <s v="Qtr_1"/>
    <s v="Oct"/>
    <d v="2024-10-01T00:00:00"/>
    <d v="2024-10-31T00:00:00"/>
    <x v="6"/>
    <n v="120"/>
    <n v="89"/>
    <n v="32"/>
    <n v="15"/>
    <n v="36"/>
    <n v="37"/>
    <n v="120"/>
    <n v="45"/>
    <n v="50"/>
    <n v="5"/>
    <n v="6"/>
    <n v="3"/>
    <n v="28"/>
    <n v="8"/>
    <n v="2"/>
    <n v="0"/>
    <n v="17"/>
    <n v="11"/>
    <n v="26"/>
    <n v="15"/>
    <n v="12"/>
    <n v="2"/>
    <n v="1"/>
    <n v="1"/>
    <n v="4"/>
    <m/>
  </r>
  <r>
    <n v="1073"/>
    <d v="2024-11-15T11:30:40"/>
    <d v="2024-11-15T12:04:55"/>
    <s v="bsamala@lighthouse.org.mw"/>
    <s v="Benadetta Samala"/>
    <x v="5"/>
    <s v="COE"/>
    <x v="1"/>
    <s v="COP_23"/>
    <s v="COP_23"/>
    <x v="1"/>
    <s v="Quarter4"/>
    <s v="Qtr_4"/>
    <s v="Jul"/>
    <d v="2024-07-01T00:00:00"/>
    <d v="2024-07-30T00:00:00"/>
    <x v="1"/>
    <n v="52"/>
    <n v="1"/>
    <n v="23"/>
    <n v="12"/>
    <n v="17"/>
    <n v="0"/>
    <n v="52"/>
    <n v="21"/>
    <n v="16"/>
    <n v="0"/>
    <n v="0"/>
    <n v="0"/>
    <n v="0"/>
    <n v="0"/>
    <n v="0"/>
    <n v="0"/>
    <n v="0"/>
    <n v="0"/>
    <n v="0"/>
    <n v="0"/>
    <n v="0"/>
    <n v="0"/>
    <n v="0"/>
    <n v="0"/>
    <n v="0"/>
    <m/>
  </r>
  <r>
    <n v="1074"/>
    <d v="2024-11-15T12:05:18"/>
    <d v="2024-11-15T12:15:30"/>
    <s v="bsamala@lighthouse.org.mw"/>
    <s v="Benadetta Samala"/>
    <x v="5"/>
    <s v="COE"/>
    <x v="1"/>
    <s v="COP_23"/>
    <s v="COP_23"/>
    <x v="1"/>
    <s v="Quarter4"/>
    <s v="Qtr_4"/>
    <s v="Aug"/>
    <d v="2024-08-01T00:00:00"/>
    <d v="2024-08-31T00:00:00"/>
    <x v="1"/>
    <n v="42"/>
    <n v="7"/>
    <n v="26"/>
    <n v="7"/>
    <n v="6"/>
    <n v="3"/>
    <n v="42"/>
    <n v="13"/>
    <n v="15"/>
    <n v="1"/>
    <n v="1"/>
    <n v="1"/>
    <n v="3"/>
    <n v="2"/>
    <n v="1"/>
    <n v="1"/>
    <n v="1"/>
    <n v="1"/>
    <n v="0"/>
    <n v="0"/>
    <n v="0"/>
    <n v="1"/>
    <n v="0"/>
    <n v="1"/>
    <n v="0"/>
    <m/>
  </r>
  <r>
    <n v="1075"/>
    <d v="2024-11-15T12:15:48"/>
    <d v="2024-11-15T12:20:54"/>
    <s v="bsamala@lighthouse.org.mw"/>
    <s v="Benadetta Samala"/>
    <x v="5"/>
    <s v="COE"/>
    <x v="1"/>
    <s v="COP_23"/>
    <s v="COP_23"/>
    <x v="1"/>
    <s v="Quarter4"/>
    <s v="Qtr_4"/>
    <s v="Sep"/>
    <d v="2024-09-01T00:00:00"/>
    <d v="2024-09-30T00:00:00"/>
    <x v="1"/>
    <n v="29"/>
    <n v="7"/>
    <n v="15"/>
    <n v="4"/>
    <n v="6"/>
    <n v="4"/>
    <n v="29"/>
    <n v="10"/>
    <n v="7"/>
    <n v="0"/>
    <n v="1"/>
    <n v="1"/>
    <n v="7"/>
    <n v="2"/>
    <n v="0"/>
    <n v="0"/>
    <n v="0"/>
    <n v="0"/>
    <n v="1"/>
    <n v="0"/>
    <n v="0"/>
    <n v="0"/>
    <n v="0"/>
    <n v="1"/>
    <n v="0"/>
    <m/>
  </r>
  <r>
    <n v="1112"/>
    <d v="2024-12-09T11:26:05"/>
    <d v="2024-12-09T11:31:10"/>
    <s v="eadisoni@lighthouse.org.mw"/>
    <s v="Eliza adisoni"/>
    <x v="5"/>
    <s v="COE"/>
    <x v="1"/>
    <s v="COP_23"/>
    <s v="COP_24"/>
    <x v="0"/>
    <s v="Quarter1"/>
    <s v="Qtr_1"/>
    <s v="Nov"/>
    <d v="2024-11-01T00:00:00"/>
    <d v="2024-11-30T00:00:00"/>
    <x v="0"/>
    <n v="162"/>
    <n v="41"/>
    <n v="103"/>
    <n v="6"/>
    <n v="31"/>
    <n v="22"/>
    <n v="158"/>
    <n v="53"/>
    <n v="54"/>
    <n v="4"/>
    <n v="4"/>
    <n v="0"/>
    <n v="59"/>
    <n v="11"/>
    <n v="0"/>
    <n v="0"/>
    <n v="2"/>
    <n v="0"/>
    <n v="5"/>
    <n v="0"/>
    <n v="7"/>
    <n v="1"/>
    <n v="0"/>
    <n v="3"/>
    <n v="0"/>
    <m/>
  </r>
  <r>
    <n v="1113"/>
    <d v="2024-12-09T11:31:43"/>
    <d v="2024-12-09T11:35:04"/>
    <s v="eadisoni@lighthouse.org.mw"/>
    <s v="Eliza adisoni"/>
    <x v="5"/>
    <s v="COE"/>
    <x v="1"/>
    <s v="COP_23"/>
    <s v="COP_24"/>
    <x v="0"/>
    <s v="Quarter1"/>
    <s v="Qtr_1"/>
    <s v="Nov"/>
    <d v="2024-11-01T00:00:00"/>
    <d v="2024-11-30T00:00:00"/>
    <x v="3"/>
    <n v="0"/>
    <n v="0"/>
    <n v="0"/>
    <n v="0"/>
    <n v="0"/>
    <n v="0"/>
    <n v="0"/>
    <n v="0"/>
    <n v="0"/>
    <n v="0"/>
    <n v="0"/>
    <n v="0"/>
    <n v="0"/>
    <n v="0"/>
    <n v="0"/>
    <n v="0"/>
    <n v="0"/>
    <n v="0"/>
    <n v="0"/>
    <n v="0"/>
    <n v="0"/>
    <n v="0"/>
    <n v="0"/>
    <n v="0"/>
    <n v="0"/>
    <m/>
  </r>
  <r>
    <n v="1114"/>
    <d v="2024-12-09T11:35:19"/>
    <d v="2024-12-09T11:41:06"/>
    <s v="eadisoni@lighthouse.org.mw"/>
    <s v="Eliza adisoni"/>
    <x v="5"/>
    <s v="COE"/>
    <x v="1"/>
    <s v="COP_23"/>
    <s v="COP_24"/>
    <x v="0"/>
    <s v="Quarter1"/>
    <s v="Qtr_1"/>
    <s v="Nov"/>
    <d v="2024-11-01T00:00:00"/>
    <d v="2024-11-30T00:00:00"/>
    <x v="4"/>
    <n v="6"/>
    <n v="1"/>
    <n v="4"/>
    <n v="0"/>
    <n v="2"/>
    <n v="0"/>
    <n v="6"/>
    <n v="2"/>
    <n v="2"/>
    <n v="0"/>
    <n v="0"/>
    <n v="0"/>
    <n v="2"/>
    <n v="0"/>
    <n v="0"/>
    <n v="0"/>
    <n v="0"/>
    <n v="0"/>
    <n v="0"/>
    <n v="0"/>
    <n v="0"/>
    <n v="0"/>
    <n v="0"/>
    <n v="0"/>
    <n v="0"/>
    <m/>
  </r>
  <r>
    <n v="1115"/>
    <d v="2024-12-09T11:41:16"/>
    <d v="2024-12-09T11:45:04"/>
    <s v="eadisoni@lighthouse.org.mw"/>
    <s v="Eliza adisoni"/>
    <x v="5"/>
    <s v="COE"/>
    <x v="1"/>
    <s v="COP_23"/>
    <s v="COP_24"/>
    <x v="0"/>
    <s v="Quarter1"/>
    <s v="Qtr_1"/>
    <s v="Nov"/>
    <d v="2024-11-01T00:00:00"/>
    <d v="2024-11-30T00:00:00"/>
    <x v="5"/>
    <n v="26"/>
    <n v="3"/>
    <n v="15"/>
    <n v="1"/>
    <n v="8"/>
    <n v="2"/>
    <n v="26"/>
    <n v="11"/>
    <n v="12"/>
    <n v="0"/>
    <n v="2"/>
    <n v="0"/>
    <n v="9"/>
    <n v="1"/>
    <n v="0"/>
    <n v="0"/>
    <n v="0"/>
    <n v="0"/>
    <n v="0"/>
    <n v="0"/>
    <n v="0"/>
    <n v="0"/>
    <n v="0"/>
    <n v="0"/>
    <n v="0"/>
    <m/>
  </r>
  <r>
    <n v="1116"/>
    <d v="2024-12-09T11:45:18"/>
    <d v="2024-12-09T11:48:00"/>
    <s v="eadisoni@lighthouse.org.mw"/>
    <s v="Eliza adisoni"/>
    <x v="5"/>
    <s v="COE"/>
    <x v="1"/>
    <s v="COP_23"/>
    <s v="COP_24"/>
    <x v="0"/>
    <s v="Quarter1"/>
    <s v="Qtr_1"/>
    <s v="Nov"/>
    <d v="2024-11-01T00:00:00"/>
    <d v="2024-11-30T00:00:00"/>
    <x v="2"/>
    <n v="4"/>
    <n v="1"/>
    <n v="3"/>
    <n v="0"/>
    <n v="1"/>
    <n v="0"/>
    <n v="3"/>
    <n v="0"/>
    <n v="1"/>
    <n v="1"/>
    <n v="0"/>
    <n v="0"/>
    <n v="1"/>
    <n v="0"/>
    <n v="0"/>
    <n v="0"/>
    <n v="0"/>
    <n v="0"/>
    <n v="0"/>
    <n v="0"/>
    <n v="0"/>
    <n v="0"/>
    <n v="0"/>
    <n v="0"/>
    <n v="0"/>
    <m/>
  </r>
  <r>
    <n v="1117"/>
    <d v="2024-12-09T11:48:14"/>
    <d v="2024-12-09T11:52:57"/>
    <s v="eadisoni@lighthouse.org.mw"/>
    <s v="Eliza adisoni"/>
    <x v="5"/>
    <s v="COE"/>
    <x v="1"/>
    <s v="COP_23"/>
    <s v="COP_24"/>
    <x v="0"/>
    <s v="Quarter1"/>
    <s v="Qtr_1"/>
    <s v="Nov"/>
    <d v="2024-11-01T00:00:00"/>
    <d v="2024-11-30T00:00:00"/>
    <x v="6"/>
    <n v="105"/>
    <n v="59"/>
    <n v="54"/>
    <n v="10"/>
    <n v="11"/>
    <n v="30"/>
    <n v="105"/>
    <n v="48"/>
    <n v="51"/>
    <n v="7"/>
    <n v="14"/>
    <n v="8"/>
    <n v="48"/>
    <n v="12"/>
    <n v="1"/>
    <n v="0"/>
    <n v="11"/>
    <n v="2"/>
    <n v="29"/>
    <n v="8"/>
    <n v="6"/>
    <n v="0"/>
    <n v="0"/>
    <n v="0"/>
    <n v="8"/>
    <m/>
  </r>
  <r>
    <n v="1131"/>
    <d v="2024-12-13T13:54:46"/>
    <d v="2024-12-13T14:03:38"/>
    <s v="bsamala@lighthouse.org.mw"/>
    <s v="Benadetta Samala"/>
    <x v="5"/>
    <s v="COE"/>
    <x v="1"/>
    <s v="COP_23"/>
    <s v="COP_24"/>
    <x v="0"/>
    <s v="Quarter1"/>
    <s v="Qtr_1"/>
    <s v="Nov"/>
    <d v="2024-11-01T00:00:00"/>
    <d v="2024-11-30T00:00:00"/>
    <x v="1"/>
    <n v="44"/>
    <n v="20"/>
    <n v="25"/>
    <n v="1"/>
    <n v="13"/>
    <n v="5"/>
    <n v="41"/>
    <n v="20"/>
    <n v="20"/>
    <n v="2"/>
    <n v="1"/>
    <n v="0"/>
    <n v="19"/>
    <n v="2"/>
    <n v="0"/>
    <n v="0"/>
    <n v="3"/>
    <n v="1"/>
    <n v="6"/>
    <n v="1"/>
    <n v="0"/>
    <n v="0"/>
    <n v="0"/>
    <n v="0"/>
    <n v="0"/>
    <m/>
  </r>
  <r>
    <n v="1225"/>
    <d v="2025-01-09T13:55:34"/>
    <d v="2025-01-09T13:58:34"/>
    <s v="eadisoni@lighthouse.org.mw"/>
    <s v="Eliza adisoni"/>
    <x v="5"/>
    <s v="COE"/>
    <x v="1"/>
    <s v="COP_23"/>
    <s v="COP_24"/>
    <x v="0"/>
    <s v="Quarter1"/>
    <s v="Qtr_1"/>
    <s v="Dec"/>
    <d v="2024-12-01T00:00:00"/>
    <d v="2024-12-31T00:00:00"/>
    <x v="1"/>
    <n v="36"/>
    <n v="14"/>
    <n v="19"/>
    <n v="1"/>
    <n v="9"/>
    <n v="7"/>
    <n v="36"/>
    <n v="18"/>
    <n v="18"/>
    <n v="1"/>
    <n v="1"/>
    <n v="1"/>
    <n v="14"/>
    <n v="5"/>
    <n v="0"/>
    <n v="0"/>
    <n v="4"/>
    <n v="0"/>
    <n v="8"/>
    <n v="3"/>
    <n v="1"/>
    <n v="0"/>
    <n v="0"/>
    <n v="0"/>
    <n v="0"/>
    <m/>
  </r>
  <r>
    <n v="1226"/>
    <d v="2025-01-09T13:58:53"/>
    <d v="2025-01-09T14:01:50"/>
    <s v="eadisoni@lighthouse.org.mw"/>
    <s v="Eliza adisoni"/>
    <x v="5"/>
    <s v="COE"/>
    <x v="1"/>
    <s v="COP_23"/>
    <s v="COP_24"/>
    <x v="0"/>
    <s v="Quarter1"/>
    <s v="Qtr_1"/>
    <s v="Dec"/>
    <d v="2024-12-01T00:00:00"/>
    <d v="2024-12-31T00:00:00"/>
    <x v="5"/>
    <n v="24"/>
    <n v="6"/>
    <n v="14"/>
    <n v="2"/>
    <n v="5"/>
    <n v="3"/>
    <n v="24"/>
    <n v="8"/>
    <n v="9"/>
    <n v="2"/>
    <n v="0"/>
    <n v="0"/>
    <n v="7"/>
    <n v="0"/>
    <n v="0"/>
    <n v="0"/>
    <n v="0"/>
    <n v="0"/>
    <n v="0"/>
    <n v="0"/>
    <n v="0"/>
    <n v="0"/>
    <n v="1"/>
    <n v="0"/>
    <n v="0"/>
    <m/>
  </r>
  <r>
    <n v="1227"/>
    <d v="2025-01-09T14:02:22"/>
    <d v="2025-01-09T14:05:53"/>
    <s v="eadisoni@lighthouse.org.mw"/>
    <s v="Eliza adisoni"/>
    <x v="5"/>
    <s v="COE"/>
    <x v="1"/>
    <s v="COP_24"/>
    <s v="COP_24"/>
    <x v="0"/>
    <s v="Quarter1"/>
    <s v="Qtr_1"/>
    <s v="Dec"/>
    <d v="2024-12-01T00:00:00"/>
    <d v="2024-12-31T00:00:00"/>
    <x v="0"/>
    <n v="140"/>
    <n v="27"/>
    <n v="95"/>
    <n v="7"/>
    <n v="29"/>
    <n v="9"/>
    <n v="140"/>
    <n v="42"/>
    <n v="41"/>
    <n v="5"/>
    <n v="0"/>
    <n v="0"/>
    <n v="40"/>
    <n v="3"/>
    <n v="1"/>
    <n v="0"/>
    <n v="1"/>
    <n v="0"/>
    <n v="0"/>
    <n v="0"/>
    <n v="1"/>
    <n v="1"/>
    <n v="1"/>
    <n v="0"/>
    <n v="1"/>
    <m/>
  </r>
  <r>
    <n v="1228"/>
    <d v="2025-01-09T14:06:07"/>
    <d v="2025-01-09T14:08:24"/>
    <s v="eadisoni@lighthouse.org.mw"/>
    <s v="Eliza adisoni"/>
    <x v="5"/>
    <s v="COE"/>
    <x v="1"/>
    <s v="COP_23"/>
    <s v="COP_24"/>
    <x v="0"/>
    <s v="Quarter1"/>
    <s v="Qtr_1"/>
    <s v="Dec"/>
    <d v="2024-12-01T00:00:00"/>
    <d v="2024-12-31T00:00:00"/>
    <x v="4"/>
    <n v="2"/>
    <n v="0"/>
    <n v="2"/>
    <n v="0"/>
    <n v="0"/>
    <n v="0"/>
    <n v="2"/>
    <n v="0"/>
    <n v="1"/>
    <n v="0"/>
    <n v="0"/>
    <n v="0"/>
    <n v="1"/>
    <n v="0"/>
    <n v="0"/>
    <n v="0"/>
    <n v="0"/>
    <n v="0"/>
    <n v="0"/>
    <n v="0"/>
    <n v="0"/>
    <n v="0"/>
    <n v="0"/>
    <n v="0"/>
    <n v="0"/>
    <m/>
  </r>
  <r>
    <n v="1229"/>
    <d v="2025-01-09T14:08:35"/>
    <d v="2025-01-09T14:09:56"/>
    <s v="eadisoni@lighthouse.org.mw"/>
    <s v="Eliza adisoni"/>
    <x v="5"/>
    <s v="COE"/>
    <x v="1"/>
    <s v="COP_23"/>
    <s v="COP_24"/>
    <x v="0"/>
    <s v="Quarter1"/>
    <s v="Qtr_1"/>
    <s v="Dec"/>
    <d v="2024-12-01T00:00:00"/>
    <d v="2024-12-31T00:00:00"/>
    <x v="3"/>
    <n v="0"/>
    <n v="0"/>
    <n v="0"/>
    <n v="0"/>
    <n v="0"/>
    <n v="0"/>
    <n v="0"/>
    <n v="0"/>
    <n v="0"/>
    <n v="0"/>
    <n v="0"/>
    <n v="0"/>
    <n v="0"/>
    <n v="0"/>
    <n v="0"/>
    <n v="0"/>
    <n v="0"/>
    <n v="0"/>
    <n v="0"/>
    <n v="0"/>
    <n v="0"/>
    <n v="0"/>
    <n v="0"/>
    <n v="0"/>
    <n v="0"/>
    <m/>
  </r>
  <r>
    <n v="1230"/>
    <d v="2025-01-09T14:10:12"/>
    <d v="2025-01-09T14:15:42"/>
    <s v="eadisoni@lighthouse.org.mw"/>
    <s v="Eliza adisoni"/>
    <x v="5"/>
    <s v="COE"/>
    <x v="1"/>
    <s v="COP_23"/>
    <s v="COP_24"/>
    <x v="0"/>
    <s v="Quarter1"/>
    <s v="Qtr_1"/>
    <s v="Dec"/>
    <d v="2024-12-01T00:00:00"/>
    <d v="2024-12-31T00:00:00"/>
    <x v="2"/>
    <n v="6"/>
    <n v="0"/>
    <n v="5"/>
    <n v="1"/>
    <n v="0"/>
    <n v="0"/>
    <n v="6"/>
    <n v="1"/>
    <n v="1"/>
    <n v="1"/>
    <n v="0"/>
    <n v="0"/>
    <n v="0"/>
    <n v="1"/>
    <n v="0"/>
    <n v="0"/>
    <n v="0"/>
    <n v="0"/>
    <n v="0"/>
    <n v="0"/>
    <n v="0"/>
    <n v="0"/>
    <n v="0"/>
    <n v="0"/>
    <n v="1"/>
    <m/>
  </r>
  <r>
    <n v="1231"/>
    <d v="2025-01-09T14:16:05"/>
    <d v="2025-01-09T14:19:26"/>
    <s v="eadisoni@lighthouse.org.mw"/>
    <s v="Eliza adisoni"/>
    <x v="5"/>
    <s v="COE"/>
    <x v="1"/>
    <s v="COP_23"/>
    <s v="COP_24"/>
    <x v="0"/>
    <s v="Quarter1"/>
    <s v="Qtr_1"/>
    <s v="Dec"/>
    <d v="2024-12-01T00:00:00"/>
    <d v="2024-12-31T00:00:00"/>
    <x v="6"/>
    <n v="96"/>
    <n v="71"/>
    <n v="65"/>
    <n v="3"/>
    <n v="12"/>
    <n v="16"/>
    <n v="96"/>
    <n v="38"/>
    <n v="39"/>
    <n v="3"/>
    <n v="5"/>
    <n v="3"/>
    <n v="37"/>
    <n v="4"/>
    <n v="0"/>
    <n v="0"/>
    <n v="12"/>
    <n v="2"/>
    <n v="31"/>
    <n v="6"/>
    <n v="6"/>
    <n v="0"/>
    <n v="0"/>
    <n v="0"/>
    <n v="1"/>
    <m/>
  </r>
  <r>
    <n v="1445"/>
    <d v="2025-03-19T08:57:02"/>
    <d v="2025-03-19T09:10:27"/>
    <s v="jmakoza@lighthouse.org.mw"/>
    <s v="Jonathan Makoza"/>
    <x v="5"/>
    <s v="COE"/>
    <x v="2"/>
    <s v="COP_23"/>
    <s v="COP_24"/>
    <x v="2"/>
    <s v="Quarter2"/>
    <s v="Qtr_2"/>
    <s v="Jan"/>
    <d v="2025-01-01T00:00:00"/>
    <d v="2025-01-31T00:00:00"/>
    <x v="0"/>
    <n v="156"/>
    <n v="29"/>
    <n v="101"/>
    <n v="14"/>
    <n v="25"/>
    <n v="16"/>
    <n v="153"/>
    <n v="59"/>
    <n v="55"/>
    <n v="7"/>
    <n v="7"/>
    <n v="1"/>
    <n v="60"/>
    <n v="14"/>
    <n v="1"/>
    <n v="0"/>
    <n v="5"/>
    <n v="3"/>
    <n v="5"/>
    <n v="3"/>
    <n v="11"/>
    <n v="3"/>
    <n v="1"/>
    <n v="0"/>
    <n v="1"/>
    <m/>
  </r>
  <r>
    <n v="1446"/>
    <d v="2025-03-19T09:10:55"/>
    <d v="2025-03-19T09:16:53"/>
    <s v="jmakoza@lighthouse.org.mw"/>
    <s v="Jonathan Makoza"/>
    <x v="5"/>
    <s v="COE"/>
    <x v="2"/>
    <s v="COP_23"/>
    <s v="COP_24"/>
    <x v="2"/>
    <s v="Quarter2"/>
    <s v="Qtr_2"/>
    <s v="Jan"/>
    <d v="2025-01-01T00:00:00"/>
    <d v="2025-01-31T00:00:00"/>
    <x v="1"/>
    <n v="72"/>
    <n v="18"/>
    <n v="40"/>
    <n v="8"/>
    <n v="13"/>
    <n v="11"/>
    <n v="72"/>
    <n v="35"/>
    <n v="32"/>
    <n v="3"/>
    <n v="2"/>
    <n v="0"/>
    <n v="35"/>
    <n v="10"/>
    <n v="1"/>
    <n v="0"/>
    <n v="5"/>
    <n v="3"/>
    <n v="5"/>
    <n v="3"/>
    <n v="9"/>
    <n v="2"/>
    <n v="1"/>
    <n v="0"/>
    <n v="1"/>
    <m/>
  </r>
  <r>
    <n v="1447"/>
    <d v="2025-03-19T09:16:58"/>
    <d v="2025-03-19T09:19:34"/>
    <s v="jmakoza@lighthouse.org.mw"/>
    <s v="Jonathan Makoza"/>
    <x v="5"/>
    <s v="COE"/>
    <x v="2"/>
    <s v="COP_24"/>
    <s v="COP_24"/>
    <x v="2"/>
    <s v="Quarter2"/>
    <s v="Qtr_2"/>
    <s v="Jan"/>
    <d v="2025-01-01T00:00:00"/>
    <d v="2025-01-31T00:00:00"/>
    <x v="3"/>
    <n v="0"/>
    <n v="0"/>
    <n v="0"/>
    <n v="0"/>
    <n v="0"/>
    <n v="0"/>
    <n v="0"/>
    <n v="0"/>
    <n v="0"/>
    <n v="0"/>
    <n v="0"/>
    <n v="0"/>
    <n v="0"/>
    <n v="0"/>
    <n v="0"/>
    <n v="0"/>
    <n v="0"/>
    <n v="0"/>
    <n v="0"/>
    <n v="0"/>
    <n v="0"/>
    <n v="0"/>
    <n v="0"/>
    <n v="0"/>
    <n v="0"/>
    <m/>
  </r>
  <r>
    <n v="1448"/>
    <d v="2025-03-19T09:19:41"/>
    <d v="2025-03-19T09:22:04"/>
    <s v="jmakoza@lighthouse.org.mw"/>
    <s v="Jonathan Makoza"/>
    <x v="5"/>
    <s v="COE"/>
    <x v="2"/>
    <s v="COP_23"/>
    <s v="COP_24"/>
    <x v="2"/>
    <s v="Quarter2"/>
    <s v="Qtr_2"/>
    <s v="Jan"/>
    <d v="2025-01-01T00:00:00"/>
    <d v="2025-01-31T00:00:00"/>
    <x v="4"/>
    <n v="3"/>
    <n v="0"/>
    <n v="2"/>
    <n v="0"/>
    <n v="1"/>
    <n v="0"/>
    <n v="3"/>
    <n v="1"/>
    <n v="0"/>
    <n v="0"/>
    <n v="0"/>
    <n v="0"/>
    <n v="0"/>
    <n v="0"/>
    <n v="0"/>
    <n v="0"/>
    <n v="0"/>
    <n v="0"/>
    <n v="0"/>
    <n v="0"/>
    <n v="0"/>
    <n v="0"/>
    <n v="0"/>
    <n v="0"/>
    <n v="0"/>
    <m/>
  </r>
  <r>
    <n v="1449"/>
    <d v="2025-03-19T09:22:41"/>
    <d v="2025-03-19T09:25:30"/>
    <s v="jmakoza@lighthouse.org.mw"/>
    <s v="Jonathan Makoza"/>
    <x v="5"/>
    <s v="COE"/>
    <x v="2"/>
    <s v="COP_23"/>
    <s v="COP_24"/>
    <x v="2"/>
    <s v="Quarter2"/>
    <s v="Qtr_2"/>
    <s v="Jan"/>
    <d v="2025-01-01T00:00:00"/>
    <d v="2025-01-31T00:00:00"/>
    <x v="5"/>
    <n v="15"/>
    <n v="2"/>
    <n v="11"/>
    <n v="1"/>
    <n v="3"/>
    <n v="0"/>
    <n v="15"/>
    <n v="7"/>
    <n v="15"/>
    <n v="7"/>
    <n v="0"/>
    <n v="0"/>
    <n v="6"/>
    <n v="0"/>
    <n v="0"/>
    <n v="0"/>
    <n v="0"/>
    <n v="0"/>
    <n v="0"/>
    <n v="0"/>
    <n v="0"/>
    <n v="0"/>
    <n v="0"/>
    <n v="0"/>
    <n v="0"/>
    <m/>
  </r>
  <r>
    <n v="1450"/>
    <d v="2025-03-19T09:25:37"/>
    <d v="2025-03-19T09:28:18"/>
    <s v="jmakoza@lighthouse.org.mw"/>
    <s v="Jonathan Makoza"/>
    <x v="5"/>
    <s v="COE"/>
    <x v="2"/>
    <s v="COP_23"/>
    <s v="COP_24"/>
    <x v="2"/>
    <s v="Quarter2"/>
    <s v="Qtr_2"/>
    <s v="Jan"/>
    <d v="2025-01-01T00:00:00"/>
    <d v="2025-01-31T00:00:00"/>
    <x v="2"/>
    <n v="2"/>
    <n v="2"/>
    <n v="0"/>
    <n v="0"/>
    <n v="2"/>
    <n v="0"/>
    <n v="2"/>
    <n v="2"/>
    <n v="2"/>
    <n v="0"/>
    <n v="1"/>
    <n v="0"/>
    <n v="1"/>
    <n v="0"/>
    <n v="0"/>
    <n v="0"/>
    <n v="0"/>
    <n v="0"/>
    <n v="0"/>
    <n v="0"/>
    <n v="0"/>
    <n v="1"/>
    <n v="0"/>
    <n v="0"/>
    <n v="0"/>
    <m/>
  </r>
  <r>
    <n v="1451"/>
    <d v="2025-03-19T09:29:12"/>
    <d v="2025-03-19T09:34:34"/>
    <s v="jmakoza@lighthouse.org.mw"/>
    <s v="Jonathan Makoza"/>
    <x v="5"/>
    <s v="COE"/>
    <x v="2"/>
    <s v="COP_23"/>
    <s v="COP_24"/>
    <x v="2"/>
    <s v="Quarter2"/>
    <s v="Qtr_2"/>
    <s v="Feb"/>
    <d v="2025-02-01T00:00:00"/>
    <d v="2025-02-28T00:00:00"/>
    <x v="0"/>
    <n v="129"/>
    <n v="10"/>
    <n v="93"/>
    <n v="10"/>
    <n v="16"/>
    <n v="10"/>
    <n v="118"/>
    <n v="42"/>
    <n v="46"/>
    <n v="1"/>
    <n v="0"/>
    <n v="0"/>
    <n v="55"/>
    <n v="7"/>
    <n v="0"/>
    <n v="0"/>
    <n v="3"/>
    <n v="2"/>
    <n v="0"/>
    <n v="0"/>
    <n v="5"/>
    <n v="0"/>
    <n v="0"/>
    <n v="1"/>
    <n v="0"/>
    <m/>
  </r>
  <r>
    <n v="1452"/>
    <d v="2025-03-19T09:34:41"/>
    <d v="2025-03-19T09:38:59"/>
    <s v="jmakoza@lighthouse.org.mw"/>
    <s v="Jonathan Makoza"/>
    <x v="5"/>
    <s v="COE"/>
    <x v="2"/>
    <s v="COP_23"/>
    <s v="COP_24"/>
    <x v="2"/>
    <s v="Quarter2"/>
    <s v="Qtr_2"/>
    <s v="Feb"/>
    <d v="2025-02-01T00:00:00"/>
    <d v="2025-02-28T00:00:00"/>
    <x v="1"/>
    <n v="36"/>
    <n v="4"/>
    <n v="24"/>
    <n v="2"/>
    <n v="5"/>
    <n v="5"/>
    <n v="35"/>
    <n v="17"/>
    <n v="15"/>
    <n v="0"/>
    <n v="0"/>
    <n v="0"/>
    <n v="17"/>
    <n v="4"/>
    <n v="0"/>
    <n v="0"/>
    <n v="3"/>
    <n v="2"/>
    <n v="0"/>
    <n v="0"/>
    <n v="2"/>
    <n v="0"/>
    <n v="0"/>
    <n v="0"/>
    <n v="0"/>
    <m/>
  </r>
  <r>
    <n v="1453"/>
    <d v="2025-03-19T09:39:49"/>
    <d v="2025-03-19T09:45:09"/>
    <s v="jmakoza@lighthouse.org.mw"/>
    <s v="Jonathan Makoza"/>
    <x v="5"/>
    <s v="COE"/>
    <x v="1"/>
    <s v="COP_23"/>
    <s v="COP_24"/>
    <x v="2"/>
    <s v="Quarter2"/>
    <s v="Qtr_2"/>
    <s v="Feb"/>
    <d v="2025-02-01T00:00:00"/>
    <d v="2025-02-28T00:00:00"/>
    <x v="3"/>
    <n v="0"/>
    <n v="0"/>
    <n v="0"/>
    <n v="0"/>
    <n v="0"/>
    <n v="0"/>
    <n v="0"/>
    <n v="0"/>
    <n v="0"/>
    <n v="0"/>
    <n v="0"/>
    <n v="0"/>
    <n v="0"/>
    <n v="0"/>
    <n v="0"/>
    <n v="0"/>
    <n v="0"/>
    <n v="0"/>
    <n v="0"/>
    <n v="0"/>
    <n v="0"/>
    <n v="0"/>
    <n v="0"/>
    <n v="0"/>
    <n v="0"/>
    <m/>
  </r>
  <r>
    <n v="1454"/>
    <d v="2025-03-19T09:45:17"/>
    <d v="2025-03-19T09:47:08"/>
    <s v="jmakoza@lighthouse.org.mw"/>
    <s v="Jonathan Makoza"/>
    <x v="5"/>
    <s v="COE"/>
    <x v="2"/>
    <s v="COP_23"/>
    <s v="COP_24"/>
    <x v="2"/>
    <s v="Quarter2"/>
    <s v="Qtr_2"/>
    <s v="Feb"/>
    <d v="2025-02-01T00:00:00"/>
    <d v="2025-02-28T00:00:00"/>
    <x v="4"/>
    <n v="2"/>
    <n v="0"/>
    <n v="2"/>
    <n v="0"/>
    <n v="0"/>
    <n v="0"/>
    <n v="1"/>
    <n v="0"/>
    <n v="0"/>
    <n v="0"/>
    <n v="0"/>
    <n v="0"/>
    <n v="1"/>
    <n v="0"/>
    <n v="0"/>
    <n v="0"/>
    <n v="0"/>
    <n v="0"/>
    <n v="0"/>
    <n v="0"/>
    <n v="0"/>
    <n v="0"/>
    <n v="0"/>
    <n v="0"/>
    <n v="0"/>
    <m/>
  </r>
  <r>
    <n v="1455"/>
    <d v="2025-03-19T09:48:25"/>
    <d v="2025-03-19T09:51:00"/>
    <s v="jmakoza@lighthouse.org.mw"/>
    <s v="Jonathan Makoza"/>
    <x v="5"/>
    <s v="COE"/>
    <x v="2"/>
    <s v="COP_23"/>
    <s v="COP_24"/>
    <x v="2"/>
    <s v="Quarter2"/>
    <s v="Qtr_2"/>
    <s v="Feb"/>
    <d v="2025-02-01T00:00:00"/>
    <d v="2025-02-28T00:00:00"/>
    <x v="5"/>
    <n v="6"/>
    <n v="0"/>
    <n v="5"/>
    <n v="0"/>
    <n v="0"/>
    <n v="1"/>
    <n v="6"/>
    <n v="0"/>
    <n v="0"/>
    <n v="0"/>
    <n v="0"/>
    <n v="0"/>
    <n v="2"/>
    <n v="0"/>
    <n v="0"/>
    <n v="0"/>
    <n v="0"/>
    <n v="0"/>
    <n v="0"/>
    <n v="0"/>
    <n v="0"/>
    <n v="0"/>
    <n v="0"/>
    <n v="0"/>
    <n v="0"/>
    <m/>
  </r>
  <r>
    <n v="1456"/>
    <d v="2025-03-19T09:51:05"/>
    <d v="2025-03-19T09:56:49"/>
    <s v="jmakoza@lighthouse.org.mw"/>
    <s v="Jonathan Makoza"/>
    <x v="5"/>
    <s v="COE"/>
    <x v="2"/>
    <s v="COP_23"/>
    <s v="COP_24"/>
    <x v="2"/>
    <s v="Quarter2"/>
    <s v="Qtr_2"/>
    <s v="Feb"/>
    <d v="2025-02-01T00:00:00"/>
    <d v="2025-02-28T00:00:00"/>
    <x v="2"/>
    <n v="4"/>
    <n v="0"/>
    <n v="3"/>
    <n v="0"/>
    <n v="0"/>
    <n v="4"/>
    <n v="4"/>
    <n v="1"/>
    <n v="1"/>
    <n v="0"/>
    <n v="0"/>
    <n v="0"/>
    <n v="1"/>
    <n v="0"/>
    <n v="0"/>
    <n v="0"/>
    <n v="0"/>
    <n v="0"/>
    <n v="0"/>
    <n v="0"/>
    <n v="0"/>
    <n v="0"/>
    <n v="0"/>
    <n v="0"/>
    <n v="0"/>
    <m/>
  </r>
  <r>
    <n v="1464"/>
    <d v="2025-03-20T15:31:38"/>
    <d v="2025-03-20T15:37:16"/>
    <s v="jmakoza@lighthouse.org.mw"/>
    <s v="Jonathan Makoza"/>
    <x v="5"/>
    <s v="COE"/>
    <x v="2"/>
    <s v="COP_23"/>
    <s v="COP_24"/>
    <x v="2"/>
    <s v="Quarter2"/>
    <s v="Qtr_2"/>
    <s v="Jan"/>
    <d v="2025-01-01T00:00:00"/>
    <d v="2025-01-31T00:00:00"/>
    <x v="6"/>
    <n v="73"/>
    <n v="51"/>
    <n v="29"/>
    <n v="6"/>
    <n v="15"/>
    <n v="24"/>
    <n v="69"/>
    <n v="25"/>
    <n v="31"/>
    <n v="2"/>
    <n v="5"/>
    <n v="2"/>
    <n v="27"/>
    <n v="7"/>
    <n v="1"/>
    <n v="1"/>
    <n v="8"/>
    <n v="5"/>
    <n v="19"/>
    <n v="4"/>
    <n v="8"/>
    <n v="1"/>
    <n v="0"/>
    <n v="1"/>
    <n v="12"/>
    <m/>
  </r>
  <r>
    <n v="1465"/>
    <d v="2025-03-20T15:37:21"/>
    <d v="2025-03-20T15:39:31"/>
    <s v="jmakoza@lighthouse.org.mw"/>
    <s v="Jonathan Makoza"/>
    <x v="5"/>
    <s v="COE"/>
    <x v="2"/>
    <s v="COP_23"/>
    <s v="COP_24"/>
    <x v="2"/>
    <s v="Quarter2"/>
    <s v="Qtr_2"/>
    <s v="Feb"/>
    <d v="2025-02-01T00:00:00"/>
    <d v="2025-02-28T00:00:00"/>
    <x v="6"/>
    <n v="80"/>
    <n v="43"/>
    <n v="41"/>
    <n v="8"/>
    <n v="5"/>
    <n v="25"/>
    <n v="80"/>
    <n v="29"/>
    <n v="35"/>
    <n v="5"/>
    <n v="8"/>
    <n v="4"/>
    <n v="32"/>
    <n v="5"/>
    <n v="3"/>
    <n v="1"/>
    <n v="6"/>
    <n v="5"/>
    <n v="17"/>
    <n v="7"/>
    <n v="11"/>
    <n v="5"/>
    <n v="0"/>
    <n v="4"/>
    <n v="14"/>
    <m/>
  </r>
  <r>
    <n v="1520"/>
    <d v="2025-04-10T14:34:08"/>
    <d v="2025-04-10T14:37:38"/>
    <s v="jmakoza@lighthouse.org.mw"/>
    <s v="Jonathan Makoza"/>
    <x v="5"/>
    <s v="COE"/>
    <x v="2"/>
    <s v="COP_23"/>
    <s v="COP_24"/>
    <x v="2"/>
    <s v="Quarter2"/>
    <s v="Qtr_2"/>
    <s v="Mar"/>
    <d v="2025-03-01T00:00:00"/>
    <d v="2025-03-31T00:00:00"/>
    <x v="0"/>
    <n v="148"/>
    <n v="17"/>
    <n v="92"/>
    <n v="29"/>
    <n v="17"/>
    <n v="10"/>
    <n v="139"/>
    <n v="55"/>
    <n v="41"/>
    <n v="2"/>
    <n v="3"/>
    <n v="2"/>
    <n v="53"/>
    <n v="4"/>
    <n v="1"/>
    <n v="0"/>
    <n v="2"/>
    <n v="0"/>
    <n v="28"/>
    <n v="3"/>
    <n v="4"/>
    <n v="2"/>
    <n v="0"/>
    <n v="2"/>
    <n v="2"/>
    <m/>
  </r>
  <r>
    <n v="1521"/>
    <d v="2025-04-10T14:37:55"/>
    <d v="2025-04-10T14:41:50"/>
    <s v="jmakoza@lighthouse.org.mw"/>
    <s v="Jonathan Makoza"/>
    <x v="5"/>
    <s v="COE"/>
    <x v="2"/>
    <s v="COP_23"/>
    <s v="COP_24"/>
    <x v="2"/>
    <s v="Quarter2"/>
    <s v="Qtr_2"/>
    <s v="Mar"/>
    <d v="2025-03-01T00:00:00"/>
    <d v="2025-03-31T00:00:00"/>
    <x v="1"/>
    <n v="38"/>
    <n v="7"/>
    <n v="17"/>
    <n v="10"/>
    <n v="7"/>
    <n v="4"/>
    <n v="37"/>
    <n v="22"/>
    <n v="18"/>
    <n v="0"/>
    <n v="1"/>
    <n v="0"/>
    <n v="21"/>
    <n v="2"/>
    <n v="1"/>
    <n v="0"/>
    <n v="0"/>
    <n v="0"/>
    <n v="14"/>
    <n v="3"/>
    <n v="0"/>
    <n v="0"/>
    <n v="0"/>
    <n v="2"/>
    <n v="1"/>
    <m/>
  </r>
  <r>
    <n v="1522"/>
    <d v="2025-04-10T14:41:54"/>
    <d v="2025-04-10T14:44:58"/>
    <s v="jmakoza@lighthouse.org.mw"/>
    <s v="Jonathan Makoza"/>
    <x v="5"/>
    <s v="COE"/>
    <x v="2"/>
    <s v="COP_24"/>
    <s v="COP_24"/>
    <x v="2"/>
    <s v="Quarter2"/>
    <s v="Qtr_2"/>
    <s v="Mar"/>
    <d v="2025-03-01T00:00:00"/>
    <d v="2025-03-31T00:00:00"/>
    <x v="2"/>
    <n v="10"/>
    <n v="0"/>
    <n v="6"/>
    <n v="3"/>
    <n v="1"/>
    <n v="0"/>
    <n v="9"/>
    <n v="4"/>
    <n v="2"/>
    <n v="0"/>
    <n v="0"/>
    <n v="0"/>
    <n v="2"/>
    <n v="0"/>
    <n v="0"/>
    <n v="0"/>
    <n v="0"/>
    <n v="0"/>
    <n v="1"/>
    <n v="0"/>
    <n v="0"/>
    <n v="0"/>
    <n v="0"/>
    <n v="0"/>
    <n v="1"/>
    <m/>
  </r>
  <r>
    <n v="1523"/>
    <d v="2025-04-10T14:45:22"/>
    <d v="2025-04-10T14:47:40"/>
    <s v="jmakoza@lighthouse.org.mw"/>
    <s v="Jonathan Makoza"/>
    <x v="5"/>
    <s v="COE"/>
    <x v="2"/>
    <s v="COP_24"/>
    <s v="COP_24"/>
    <x v="2"/>
    <s v="Quarter2"/>
    <s v="Qtr_2"/>
    <s v="Mar"/>
    <d v="2025-03-01T00:00:00"/>
    <d v="2025-03-31T00:00:00"/>
    <x v="5"/>
    <n v="10"/>
    <n v="1"/>
    <n v="8"/>
    <n v="1"/>
    <n v="1"/>
    <n v="0"/>
    <n v="10"/>
    <n v="3"/>
    <n v="3"/>
    <n v="0"/>
    <n v="0"/>
    <n v="0"/>
    <n v="3"/>
    <n v="0"/>
    <n v="0"/>
    <n v="0"/>
    <n v="0"/>
    <n v="0"/>
    <n v="2"/>
    <n v="0"/>
    <n v="0"/>
    <n v="0"/>
    <n v="0"/>
    <n v="0"/>
    <n v="0"/>
    <m/>
  </r>
  <r>
    <n v="1524"/>
    <d v="2025-04-10T14:47:45"/>
    <d v="2025-04-10T14:50:24"/>
    <s v="jmakoza@lighthouse.org.mw"/>
    <s v="Jonathan Makoza"/>
    <x v="5"/>
    <s v="COE"/>
    <x v="2"/>
    <s v="COP_24"/>
    <s v="COP_24"/>
    <x v="2"/>
    <s v="Quarter2"/>
    <s v="Qtr_2"/>
    <s v="Mar"/>
    <d v="2025-03-01T00:00:00"/>
    <d v="2025-03-31T00:00:00"/>
    <x v="3"/>
    <n v="1"/>
    <n v="0"/>
    <n v="0"/>
    <n v="0"/>
    <n v="0"/>
    <n v="1"/>
    <n v="0"/>
    <n v="0"/>
    <n v="0"/>
    <n v="0"/>
    <n v="0"/>
    <n v="0"/>
    <n v="0"/>
    <n v="0"/>
    <n v="0"/>
    <n v="0"/>
    <n v="0"/>
    <n v="0"/>
    <n v="1"/>
    <n v="0"/>
    <n v="0"/>
    <n v="0"/>
    <n v="0"/>
    <n v="0"/>
    <n v="0"/>
    <m/>
  </r>
  <r>
    <n v="1525"/>
    <d v="2025-04-10T14:50:35"/>
    <d v="2025-04-10T14:53:28"/>
    <s v="jmakoza@lighthouse.org.mw"/>
    <s v="Jonathan Makoza"/>
    <x v="5"/>
    <s v="COE"/>
    <x v="2"/>
    <s v="COP_24"/>
    <s v="COP_24"/>
    <x v="2"/>
    <s v="Quarter2"/>
    <s v="Qtr_2"/>
    <s v="Mar"/>
    <d v="2025-03-01T00:00:00"/>
    <d v="2025-03-31T00:00:00"/>
    <x v="4"/>
    <n v="1"/>
    <n v="0"/>
    <n v="1"/>
    <n v="0"/>
    <n v="0"/>
    <n v="0"/>
    <n v="1"/>
    <n v="0"/>
    <n v="0"/>
    <n v="0"/>
    <n v="0"/>
    <n v="0"/>
    <n v="0"/>
    <n v="0"/>
    <n v="0"/>
    <n v="0"/>
    <n v="0"/>
    <n v="0"/>
    <n v="0"/>
    <n v="0"/>
    <n v="0"/>
    <n v="0"/>
    <n v="0"/>
    <n v="0"/>
    <n v="0"/>
    <m/>
  </r>
  <r>
    <n v="1526"/>
    <d v="2025-04-10T15:44:07"/>
    <d v="2025-04-10T15:46:47"/>
    <s v="jmakoza@lighthouse.org.mw"/>
    <s v="Jonathan Makoza"/>
    <x v="5"/>
    <s v="COE"/>
    <x v="2"/>
    <s v="COP_24"/>
    <s v="COP_24"/>
    <x v="2"/>
    <s v="Quarter2"/>
    <s v="Qtr_2"/>
    <s v="Mar"/>
    <d v="2025-03-01T00:00:00"/>
    <d v="2025-03-31T00:00:00"/>
    <x v="6"/>
    <n v="142"/>
    <n v="88"/>
    <n v="53"/>
    <n v="10"/>
    <n v="29"/>
    <n v="51"/>
    <n v="143"/>
    <n v="65"/>
    <n v="62"/>
    <n v="8"/>
    <n v="18"/>
    <n v="5"/>
    <n v="54"/>
    <n v="7"/>
    <n v="2"/>
    <n v="0"/>
    <n v="5"/>
    <n v="4"/>
    <n v="50"/>
    <n v="14"/>
    <n v="17"/>
    <n v="4"/>
    <n v="1"/>
    <n v="5"/>
    <n v="28"/>
    <m/>
  </r>
  <r>
    <n v="1692"/>
    <d v="2025-06-23T15:36:02"/>
    <d v="2025-06-23T15:36:32"/>
    <s v="tsatumba@lighthouse.org.mw"/>
    <s v="Thomas Satumba"/>
    <x v="5"/>
    <s v="COE"/>
    <x v="2"/>
    <s v="COP_24"/>
    <m/>
    <x v="1"/>
    <s v="Quarter3"/>
    <m/>
    <s v="Apr"/>
    <d v="2025-04-01T00:00:00"/>
    <d v="2025-04-30T00:00:00"/>
    <x v="1"/>
    <n v="29"/>
    <n v="3"/>
    <n v="18"/>
    <n v="3"/>
    <n v="3"/>
    <n v="5"/>
    <n v="29"/>
    <n v="11"/>
    <n v="12"/>
    <n v="0"/>
    <n v="1"/>
    <n v="0"/>
    <n v="12"/>
    <n v="2"/>
    <n v="2"/>
    <n v="0"/>
    <n v="2"/>
    <n v="1"/>
    <n v="7"/>
    <n v="1"/>
    <n v="3"/>
    <n v="0"/>
    <n v="0"/>
    <n v="0"/>
    <n v="0"/>
    <m/>
  </r>
  <r>
    <n v="1693"/>
    <d v="2025-06-23T15:36:35"/>
    <d v="2025-06-23T15:38:33"/>
    <s v="tsatumba@lighthouse.org.mw"/>
    <s v="Thomas Satumba"/>
    <x v="5"/>
    <s v="COE"/>
    <x v="2"/>
    <s v="COP_24"/>
    <m/>
    <x v="1"/>
    <s v="Quarter3"/>
    <m/>
    <s v="Apr"/>
    <d v="2025-04-01T00:00:00"/>
    <d v="2025-04-30T00:00:00"/>
    <x v="3"/>
    <n v="0"/>
    <n v="0"/>
    <n v="0"/>
    <n v="0"/>
    <n v="0"/>
    <n v="0"/>
    <n v="0"/>
    <n v="0"/>
    <n v="0"/>
    <n v="0"/>
    <n v="0"/>
    <n v="0"/>
    <n v="0"/>
    <n v="0"/>
    <n v="0"/>
    <n v="0"/>
    <n v="0"/>
    <n v="0"/>
    <n v="0"/>
    <n v="0"/>
    <n v="0"/>
    <n v="0"/>
    <n v="0"/>
    <n v="0"/>
    <n v="0"/>
    <m/>
  </r>
  <r>
    <n v="1694"/>
    <d v="2025-06-23T15:38:36"/>
    <d v="2025-06-23T15:40:16"/>
    <s v="tsatumba@lighthouse.org.mw"/>
    <s v="Thomas Satumba"/>
    <x v="5"/>
    <s v="COE"/>
    <x v="2"/>
    <s v="COP_24"/>
    <m/>
    <x v="1"/>
    <s v="Quarter3"/>
    <m/>
    <s v="Apr"/>
    <d v="2025-04-01T00:00:00"/>
    <d v="2025-04-30T00:00:00"/>
    <x v="4"/>
    <n v="0"/>
    <n v="0"/>
    <n v="0"/>
    <n v="0"/>
    <n v="0"/>
    <n v="0"/>
    <n v="0"/>
    <n v="0"/>
    <n v="0"/>
    <n v="0"/>
    <n v="0"/>
    <n v="0"/>
    <n v="0"/>
    <n v="0"/>
    <n v="0"/>
    <n v="0"/>
    <n v="0"/>
    <n v="0"/>
    <n v="0"/>
    <n v="0"/>
    <n v="0"/>
    <n v="0"/>
    <n v="0"/>
    <n v="0"/>
    <n v="0"/>
    <m/>
  </r>
  <r>
    <n v="1696"/>
    <d v="2025-06-23T15:44:31"/>
    <d v="2025-06-23T15:57:18"/>
    <s v="tsatumba@lighthouse.org.mw"/>
    <s v="Thomas Satumba"/>
    <x v="5"/>
    <s v="COE"/>
    <x v="2"/>
    <s v="COP_24"/>
    <m/>
    <x v="1"/>
    <s v="Quarter3"/>
    <m/>
    <s v="Apr"/>
    <d v="2025-04-01T00:00:00"/>
    <d v="2025-04-01T00:00:00"/>
    <x v="2"/>
    <n v="6"/>
    <n v="0"/>
    <n v="3"/>
    <n v="1"/>
    <n v="1"/>
    <n v="1"/>
    <n v="6"/>
    <n v="4"/>
    <n v="4"/>
    <n v="1"/>
    <n v="1"/>
    <n v="1"/>
    <n v="4"/>
    <n v="2"/>
    <n v="0"/>
    <n v="0"/>
    <n v="1"/>
    <n v="1"/>
    <n v="4"/>
    <n v="1"/>
    <n v="0"/>
    <n v="0"/>
    <n v="0"/>
    <n v="0"/>
    <n v="0"/>
    <m/>
  </r>
  <r>
    <n v="1697"/>
    <d v="2025-06-24T11:08:29"/>
    <d v="2025-06-24T11:16:31"/>
    <s v="jmakoza@lighthouse.org.mw"/>
    <s v="Jonathan Makoza"/>
    <x v="5"/>
    <s v="COE"/>
    <x v="2"/>
    <s v="COP_24"/>
    <m/>
    <x v="1"/>
    <s v="Quarter3"/>
    <m/>
    <s v="May"/>
    <d v="2025-05-01T00:00:00"/>
    <d v="2025-05-31T00:00:00"/>
    <x v="0"/>
    <n v="162"/>
    <n v="31"/>
    <n v="145"/>
    <n v="14"/>
    <n v="25"/>
    <n v="18"/>
    <n v="159"/>
    <n v="60"/>
    <n v="56"/>
    <n v="7"/>
    <n v="7"/>
    <n v="1"/>
    <n v="61"/>
    <n v="10"/>
    <n v="1"/>
    <n v="0"/>
    <n v="5"/>
    <n v="3"/>
    <n v="5"/>
    <n v="3"/>
    <n v="11"/>
    <n v="3"/>
    <n v="1"/>
    <n v="0"/>
    <n v="1"/>
    <m/>
  </r>
  <r>
    <n v="1698"/>
    <d v="2025-06-24T11:16:44"/>
    <d v="2025-06-24T11:22:43"/>
    <s v="jmakoza@lighthouse.org.mw"/>
    <s v="Jonathan Makoza"/>
    <x v="5"/>
    <s v="COE"/>
    <x v="2"/>
    <s v="COP_24"/>
    <m/>
    <x v="1"/>
    <s v="Quarter3"/>
    <m/>
    <s v="May"/>
    <d v="2025-05-01T00:00:00"/>
    <d v="2025-05-31T00:00:00"/>
    <x v="2"/>
    <n v="2"/>
    <n v="2"/>
    <n v="0"/>
    <n v="0"/>
    <n v="2"/>
    <n v="0"/>
    <n v="2"/>
    <n v="2"/>
    <n v="2"/>
    <n v="0"/>
    <n v="1"/>
    <n v="0"/>
    <n v="1"/>
    <n v="0"/>
    <n v="0"/>
    <n v="0"/>
    <n v="0"/>
    <n v="0"/>
    <n v="0"/>
    <n v="0"/>
    <n v="0"/>
    <n v="1"/>
    <n v="0"/>
    <n v="0"/>
    <n v="0"/>
    <m/>
  </r>
  <r>
    <n v="1699"/>
    <d v="2025-06-24T11:22:49"/>
    <d v="2025-06-24T11:25:23"/>
    <s v="jmakoza@lighthouse.org.mw"/>
    <s v="Jonathan Makoza"/>
    <x v="5"/>
    <s v="COE"/>
    <x v="2"/>
    <s v="COP_24"/>
    <m/>
    <x v="1"/>
    <s v="Quarter3"/>
    <m/>
    <s v="May"/>
    <d v="2025-05-01T00:00:00"/>
    <d v="2025-05-31T00:00:00"/>
    <x v="5"/>
    <n v="15"/>
    <n v="2"/>
    <n v="11"/>
    <n v="1"/>
    <n v="3"/>
    <n v="0"/>
    <n v="15"/>
    <n v="7"/>
    <n v="15"/>
    <n v="7"/>
    <n v="0"/>
    <n v="0"/>
    <n v="6"/>
    <n v="0"/>
    <n v="0"/>
    <n v="0"/>
    <n v="0"/>
    <n v="0"/>
    <n v="0"/>
    <n v="0"/>
    <n v="0"/>
    <n v="0"/>
    <n v="0"/>
    <n v="0"/>
    <n v="0"/>
    <m/>
  </r>
  <r>
    <n v="1700"/>
    <d v="2025-06-24T13:43:00"/>
    <d v="2025-06-24T13:55:37"/>
    <s v="jmakoza@lighthouse.org.mw"/>
    <s v="Jonathan Makoza"/>
    <x v="5"/>
    <s v="COE"/>
    <x v="2"/>
    <s v="COP_24"/>
    <m/>
    <x v="1"/>
    <s v="Quarter3"/>
    <m/>
    <s v="May"/>
    <d v="2025-05-01T00:00:00"/>
    <d v="2025-05-31T00:00:00"/>
    <x v="4"/>
    <n v="3"/>
    <n v="0"/>
    <n v="2"/>
    <n v="0"/>
    <n v="1"/>
    <n v="0"/>
    <n v="3"/>
    <n v="1"/>
    <n v="0"/>
    <n v="0"/>
    <n v="0"/>
    <n v="0"/>
    <n v="0"/>
    <n v="0"/>
    <n v="0"/>
    <n v="0"/>
    <n v="0"/>
    <n v="0"/>
    <n v="0"/>
    <n v="0"/>
    <n v="0"/>
    <n v="0"/>
    <n v="0"/>
    <n v="0"/>
    <n v="0"/>
    <m/>
  </r>
  <r>
    <n v="1701"/>
    <d v="2025-06-24T13:55:42"/>
    <d v="2025-06-24T13:58:47"/>
    <s v="jmakoza@lighthouse.org.mw"/>
    <s v="Jonathan Makoza"/>
    <x v="5"/>
    <s v="COE"/>
    <x v="2"/>
    <s v="COP_24"/>
    <m/>
    <x v="1"/>
    <s v="Quarter3"/>
    <m/>
    <s v="May"/>
    <d v="2025-05-01T00:00:00"/>
    <d v="2025-05-31T00:00:00"/>
    <x v="3"/>
    <n v="0"/>
    <n v="0"/>
    <n v="0"/>
    <n v="0"/>
    <n v="0"/>
    <n v="0"/>
    <n v="0"/>
    <n v="0"/>
    <n v="0"/>
    <n v="0"/>
    <n v="0"/>
    <n v="0"/>
    <n v="0"/>
    <n v="0"/>
    <n v="0"/>
    <n v="0"/>
    <n v="0"/>
    <n v="0"/>
    <n v="0"/>
    <n v="0"/>
    <n v="0"/>
    <n v="0"/>
    <n v="0"/>
    <n v="0"/>
    <n v="0"/>
    <m/>
  </r>
  <r>
    <n v="1702"/>
    <d v="2025-06-24T13:58:52"/>
    <d v="2025-06-24T14:01:53"/>
    <s v="jmakoza@lighthouse.org.mw"/>
    <s v="Jonathan Makoza"/>
    <x v="5"/>
    <s v="COE"/>
    <x v="2"/>
    <s v="COP_24"/>
    <m/>
    <x v="1"/>
    <s v="Quarter3"/>
    <m/>
    <s v="May"/>
    <d v="2025-05-01T00:00:00"/>
    <d v="2025-05-31T00:00:00"/>
    <x v="1"/>
    <n v="78"/>
    <n v="20"/>
    <n v="44"/>
    <n v="8"/>
    <n v="13"/>
    <n v="11"/>
    <n v="78"/>
    <n v="36"/>
    <n v="33"/>
    <n v="3"/>
    <n v="2"/>
    <n v="0"/>
    <n v="36"/>
    <n v="10"/>
    <n v="1"/>
    <n v="0"/>
    <n v="5"/>
    <n v="3"/>
    <n v="5"/>
    <n v="3"/>
    <n v="9"/>
    <n v="2"/>
    <n v="1"/>
    <n v="0"/>
    <n v="1"/>
    <m/>
  </r>
  <r>
    <n v="1703"/>
    <d v="2025-07-01T08:50:53"/>
    <d v="2025-07-01T08:55:09"/>
    <s v="jmakoza@lighthouse.org.mw"/>
    <s v="Jonathan Makoza"/>
    <x v="5"/>
    <s v="COE"/>
    <x v="2"/>
    <s v="COP_24"/>
    <m/>
    <x v="3"/>
    <s v="Quarter3"/>
    <m/>
    <s v="Apr"/>
    <d v="2025-04-01T00:00:00"/>
    <d v="2025-04-30T00:00:00"/>
    <x v="0"/>
    <n v="161"/>
    <n v="20"/>
    <n v="111"/>
    <n v="23"/>
    <n v="9"/>
    <n v="18"/>
    <n v="156"/>
    <n v="46"/>
    <n v="54"/>
    <n v="4"/>
    <n v="3"/>
    <n v="1"/>
    <n v="56"/>
    <n v="9"/>
    <n v="1"/>
    <n v="0"/>
    <n v="4"/>
    <n v="2"/>
    <n v="35"/>
    <n v="4"/>
    <n v="8"/>
    <n v="1"/>
    <n v="1"/>
    <n v="0"/>
    <n v="0"/>
    <m/>
  </r>
  <r>
    <n v="1704"/>
    <d v="2025-07-01T08:55:16"/>
    <d v="2025-07-01T08:57:59"/>
    <s v="jmakoza@lighthouse.org.mw"/>
    <s v="Jonathan Makoza"/>
    <x v="5"/>
    <s v="COE"/>
    <x v="2"/>
    <s v="COP_24"/>
    <m/>
    <x v="3"/>
    <s v="Quarter3"/>
    <m/>
    <s v="Apr"/>
    <d v="2025-04-01T00:00:00"/>
    <d v="2025-04-30T00:00:00"/>
    <x v="5"/>
    <n v="1"/>
    <n v="1"/>
    <n v="0"/>
    <n v="1"/>
    <n v="0"/>
    <n v="0"/>
    <n v="1"/>
    <n v="1"/>
    <n v="0"/>
    <n v="0"/>
    <n v="1"/>
    <n v="0"/>
    <n v="1"/>
    <n v="0"/>
    <n v="0"/>
    <n v="0"/>
    <n v="0"/>
    <n v="0"/>
    <n v="0"/>
    <n v="0"/>
    <n v="0"/>
    <n v="0"/>
    <n v="0"/>
    <n v="0"/>
    <n v="0"/>
    <m/>
  </r>
  <r>
    <n v="1789"/>
    <d v="2025-07-10T13:27:00"/>
    <d v="2025-07-10T13:38:20"/>
    <s v="jmakoza@lighthouse.org.mw"/>
    <s v="Jonathan Makoza"/>
    <x v="5"/>
    <s v="COE"/>
    <x v="2"/>
    <s v="COP_22"/>
    <m/>
    <x v="3"/>
    <s v="Quarter3"/>
    <m/>
    <s v="Jun"/>
    <d v="2025-06-01T00:00:00"/>
    <d v="2025-06-30T00:00:00"/>
    <x v="0"/>
    <n v="197"/>
    <n v="39"/>
    <n v="124"/>
    <n v="37"/>
    <n v="21"/>
    <n v="15"/>
    <n v="195"/>
    <n v="69"/>
    <n v="74"/>
    <n v="6"/>
    <n v="5"/>
    <n v="8"/>
    <n v="74"/>
    <n v="7"/>
    <n v="2"/>
    <n v="0"/>
    <n v="8"/>
    <n v="4"/>
    <n v="55"/>
    <n v="9"/>
    <n v="11"/>
    <n v="1"/>
    <n v="4"/>
    <n v="0"/>
    <n v="1"/>
    <m/>
  </r>
  <r>
    <n v="1790"/>
    <d v="2025-07-10T13:38:24"/>
    <d v="2025-07-10T13:43:54"/>
    <s v="jmakoza@lighthouse.org.mw"/>
    <s v="Jonathan Makoza"/>
    <x v="5"/>
    <s v="COE"/>
    <x v="2"/>
    <s v="COP_23"/>
    <m/>
    <x v="3"/>
    <s v="Quarter3"/>
    <m/>
    <s v="Jun"/>
    <d v="2025-06-01T00:00:00"/>
    <d v="2025-06-30T00:00:00"/>
    <x v="1"/>
    <n v="38"/>
    <n v="11"/>
    <n v="20"/>
    <n v="8"/>
    <n v="7"/>
    <n v="3"/>
    <n v="36"/>
    <n v="18"/>
    <n v="17"/>
    <n v="3"/>
    <n v="1"/>
    <n v="0"/>
    <n v="17"/>
    <n v="3"/>
    <n v="0"/>
    <n v="0"/>
    <n v="0"/>
    <n v="1"/>
    <n v="12"/>
    <n v="2"/>
    <n v="4"/>
    <n v="0"/>
    <n v="0"/>
    <n v="0"/>
    <n v="0"/>
    <m/>
  </r>
  <r>
    <n v="1791"/>
    <d v="2025-07-10T13:44:31"/>
    <d v="2025-07-10T13:47:52"/>
    <s v="jmakoza@lighthouse.org.mw"/>
    <s v="Jonathan Makoza"/>
    <x v="5"/>
    <s v="COE"/>
    <x v="2"/>
    <s v="COP_23"/>
    <m/>
    <x v="3"/>
    <s v="Quarter3"/>
    <m/>
    <s v="Jun"/>
    <d v="2025-06-01T00:00:00"/>
    <d v="2025-06-30T00:00:00"/>
    <x v="4"/>
    <n v="6"/>
    <n v="0"/>
    <n v="6"/>
    <n v="0"/>
    <n v="0"/>
    <n v="0"/>
    <n v="3"/>
    <n v="0"/>
    <n v="0"/>
    <n v="0"/>
    <n v="0"/>
    <n v="0"/>
    <n v="0"/>
    <n v="0"/>
    <n v="0"/>
    <n v="0"/>
    <n v="0"/>
    <n v="0"/>
    <n v="0"/>
    <n v="0"/>
    <n v="0"/>
    <n v="0"/>
    <n v="0"/>
    <n v="0"/>
    <n v="0"/>
    <m/>
  </r>
  <r>
    <n v="1792"/>
    <d v="2025-07-10T13:48:04"/>
    <d v="2025-07-10T13:50:53"/>
    <s v="jmakoza@lighthouse.org.mw"/>
    <s v="Jonathan Makoza"/>
    <x v="5"/>
    <s v="COE"/>
    <x v="2"/>
    <s v="COP_23"/>
    <m/>
    <x v="3"/>
    <s v="Quarter3"/>
    <m/>
    <s v="Jun"/>
    <d v="2025-06-01T00:00:00"/>
    <d v="2025-06-30T00:00:00"/>
    <x v="5"/>
    <n v="27"/>
    <n v="6"/>
    <n v="14"/>
    <n v="8"/>
    <n v="4"/>
    <n v="1"/>
    <n v="26"/>
    <n v="10"/>
    <n v="11"/>
    <n v="2"/>
    <n v="0"/>
    <n v="0"/>
    <n v="11"/>
    <n v="0"/>
    <n v="0"/>
    <n v="0"/>
    <n v="2"/>
    <n v="0"/>
    <n v="6"/>
    <n v="0"/>
    <n v="0"/>
    <n v="0"/>
    <n v="1"/>
    <n v="0"/>
    <n v="0"/>
    <m/>
  </r>
  <r>
    <n v="1794"/>
    <d v="2025-07-10T13:51:45"/>
    <d v="2025-07-10T13:57:47"/>
    <s v="jmakoza@lighthouse.org.mw"/>
    <s v="Jonathan Makoza"/>
    <x v="5"/>
    <s v="COE"/>
    <x v="2"/>
    <s v="COP_23"/>
    <m/>
    <x v="3"/>
    <s v="Quarter3"/>
    <m/>
    <s v="Jun"/>
    <d v="2025-06-01T00:00:00"/>
    <d v="2025-06-30T00:00:00"/>
    <x v="2"/>
    <n v="15"/>
    <n v="7"/>
    <n v="7"/>
    <n v="4"/>
    <n v="4"/>
    <n v="0"/>
    <n v="12"/>
    <n v="9"/>
    <n v="9"/>
    <n v="1"/>
    <n v="0"/>
    <n v="0"/>
    <n v="9"/>
    <n v="0"/>
    <n v="0"/>
    <n v="0"/>
    <n v="0"/>
    <n v="0"/>
    <n v="6"/>
    <n v="0"/>
    <n v="0"/>
    <n v="0"/>
    <n v="0"/>
    <n v="0"/>
    <n v="0"/>
    <m/>
  </r>
  <r>
    <n v="1795"/>
    <d v="2025-07-10T13:57:57"/>
    <d v="2025-07-10T14:09:57"/>
    <s v="jmakoza@lighthouse.org.mw"/>
    <s v="Jonathan Makoza"/>
    <x v="5"/>
    <s v="COE"/>
    <x v="2"/>
    <s v="COP_23"/>
    <m/>
    <x v="3"/>
    <s v="Quarter3"/>
    <m/>
    <s v="Jun"/>
    <d v="2025-06-01T00:00:00"/>
    <d v="2025-06-30T00:00:00"/>
    <x v="3"/>
    <n v="0"/>
    <n v="0"/>
    <n v="0"/>
    <n v="0"/>
    <n v="0"/>
    <n v="0"/>
    <n v="0"/>
    <n v="0"/>
    <n v="0"/>
    <n v="0"/>
    <n v="0"/>
    <n v="0"/>
    <n v="0"/>
    <n v="0"/>
    <n v="0"/>
    <n v="0"/>
    <n v="0"/>
    <n v="0"/>
    <n v="0"/>
    <n v="0"/>
    <n v="0"/>
    <n v="0"/>
    <n v="0"/>
    <n v="0"/>
    <n v="0"/>
    <m/>
  </r>
  <r>
    <n v="1796"/>
    <d v="2025-07-10T14:16:40"/>
    <d v="2025-07-10T14:54:09"/>
    <s v="jmakoza@lighthouse.org.mw"/>
    <s v="Jonathan Makoza"/>
    <x v="5"/>
    <s v="COE"/>
    <x v="2"/>
    <s v="COP_23"/>
    <m/>
    <x v="3"/>
    <s v="Quarter3"/>
    <m/>
    <s v="Jun"/>
    <d v="2025-06-01T00:00:00"/>
    <d v="2025-06-30T00:00:00"/>
    <x v="6"/>
    <n v="114"/>
    <n v="61"/>
    <n v="43"/>
    <n v="10"/>
    <n v="29"/>
    <n v="32"/>
    <n v="111"/>
    <n v="62"/>
    <n v="67"/>
    <n v="4"/>
    <n v="8"/>
    <n v="3"/>
    <n v="60"/>
    <n v="7"/>
    <n v="2"/>
    <n v="0"/>
    <n v="13"/>
    <n v="9"/>
    <n v="46"/>
    <n v="17"/>
    <n v="18"/>
    <n v="3"/>
    <n v="0"/>
    <n v="3"/>
    <n v="25"/>
    <m/>
  </r>
  <r>
    <n v="137"/>
    <d v="2024-02-02T12:41:52"/>
    <d v="2024-02-02T12:44:18"/>
    <s v="ymanda@lighthouse.org.mw"/>
    <s v="Yollam Manda"/>
    <x v="6"/>
    <s v="Prototype"/>
    <x v="1"/>
    <s v="COP_23"/>
    <s v="COP_23"/>
    <x v="2"/>
    <s v="Quarter2"/>
    <s v="Qtr_2"/>
    <s v="Jan"/>
    <d v="2024-01-01T00:00:00"/>
    <d v="2024-01-31T00:00:00"/>
    <x v="0"/>
    <n v="18"/>
    <n v="0"/>
    <n v="14"/>
    <n v="0"/>
    <n v="3"/>
    <n v="1"/>
    <n v="11"/>
    <n v="3"/>
    <n v="3"/>
    <n v="0"/>
    <n v="0"/>
    <n v="0"/>
    <n v="2"/>
    <n v="0"/>
    <n v="0"/>
    <n v="0"/>
    <n v="0"/>
    <n v="0"/>
    <n v="0"/>
    <n v="0"/>
    <n v="1"/>
    <n v="0"/>
    <n v="0"/>
    <n v="0"/>
    <n v="17"/>
    <m/>
  </r>
  <r>
    <n v="159"/>
    <d v="2024-03-01T10:57:52"/>
    <d v="2024-03-01T11:02:18"/>
    <s v="ymanda@lighthouse.org.mw"/>
    <s v="Yollam Manda"/>
    <x v="6"/>
    <s v="Prototype"/>
    <x v="1"/>
    <s v="COP_23"/>
    <s v="COP_23"/>
    <x v="2"/>
    <s v="Quarter2"/>
    <s v="Qtr_2"/>
    <s v="Feb"/>
    <d v="2024-02-01T00:00:00"/>
    <d v="2024-02-29T00:00:00"/>
    <x v="5"/>
    <n v="1"/>
    <n v="0"/>
    <n v="0"/>
    <n v="0"/>
    <n v="0"/>
    <n v="1"/>
    <n v="1"/>
    <n v="1"/>
    <n v="0"/>
    <n v="0"/>
    <n v="0"/>
    <n v="0"/>
    <n v="1"/>
    <n v="1"/>
    <n v="0"/>
    <n v="0"/>
    <n v="0"/>
    <n v="0"/>
    <n v="0"/>
    <n v="0"/>
    <n v="1"/>
    <n v="0"/>
    <n v="0"/>
    <n v="0"/>
    <n v="0"/>
    <m/>
  </r>
  <r>
    <n v="247"/>
    <d v="2024-04-19T11:38:56"/>
    <d v="2024-04-19T11:40:31"/>
    <s v="ymanda@lighthouse.org.mw"/>
    <s v="Yollam Manda"/>
    <x v="6"/>
    <s v="Prototype"/>
    <x v="1"/>
    <s v="COP_23"/>
    <s v="COP_23"/>
    <x v="2"/>
    <s v="Quarter2"/>
    <s v="Qtr_2"/>
    <s v="Jan"/>
    <d v="2024-01-01T00:00:00"/>
    <d v="2024-01-31T00:00:00"/>
    <x v="3"/>
    <n v="0"/>
    <n v="0"/>
    <n v="0"/>
    <n v="0"/>
    <n v="0"/>
    <n v="0"/>
    <n v="0"/>
    <n v="0"/>
    <n v="0"/>
    <n v="0"/>
    <n v="0"/>
    <n v="0"/>
    <n v="0"/>
    <n v="0"/>
    <n v="0"/>
    <n v="0"/>
    <n v="0"/>
    <n v="0"/>
    <n v="0"/>
    <n v="0"/>
    <n v="0"/>
    <n v="0"/>
    <n v="0"/>
    <n v="0"/>
    <n v="0"/>
    <m/>
  </r>
  <r>
    <n v="248"/>
    <d v="2024-04-19T11:40:34"/>
    <d v="2024-04-19T11:41:45"/>
    <s v="ymanda@lighthouse.org.mw"/>
    <s v="Yollam Manda"/>
    <x v="6"/>
    <s v="Prototype"/>
    <x v="1"/>
    <s v="COP_23"/>
    <s v="COP_23"/>
    <x v="2"/>
    <s v="Quarter2"/>
    <s v="Qtr_2"/>
    <s v="Jan"/>
    <d v="2024-01-01T00:00:00"/>
    <d v="2024-01-31T00:00:00"/>
    <x v="4"/>
    <n v="0"/>
    <n v="0"/>
    <n v="0"/>
    <n v="0"/>
    <n v="0"/>
    <n v="0"/>
    <n v="0"/>
    <n v="0"/>
    <n v="0"/>
    <n v="0"/>
    <n v="0"/>
    <n v="0"/>
    <n v="0"/>
    <n v="0"/>
    <n v="0"/>
    <n v="0"/>
    <n v="0"/>
    <n v="0"/>
    <n v="0"/>
    <n v="0"/>
    <n v="0"/>
    <n v="0"/>
    <n v="0"/>
    <n v="0"/>
    <n v="0"/>
    <m/>
  </r>
  <r>
    <n v="249"/>
    <d v="2024-04-19T11:41:47"/>
    <d v="2024-04-19T11:42:41"/>
    <s v="ymanda@lighthouse.org.mw"/>
    <s v="Yollam Manda"/>
    <x v="6"/>
    <s v="Prototype"/>
    <x v="1"/>
    <s v="COP_23"/>
    <s v="COP_23"/>
    <x v="2"/>
    <s v="Quarter2"/>
    <s v="Qtr_2"/>
    <s v="Jan"/>
    <d v="2024-01-01T00:00:00"/>
    <d v="2024-01-31T00:00:00"/>
    <x v="5"/>
    <n v="0"/>
    <n v="0"/>
    <n v="0"/>
    <n v="0"/>
    <n v="0"/>
    <n v="0"/>
    <n v="0"/>
    <n v="0"/>
    <n v="0"/>
    <n v="0"/>
    <n v="0"/>
    <n v="0"/>
    <n v="0"/>
    <n v="0"/>
    <n v="0"/>
    <n v="0"/>
    <n v="0"/>
    <n v="0"/>
    <n v="0"/>
    <n v="0"/>
    <n v="0"/>
    <n v="0"/>
    <n v="0"/>
    <n v="0"/>
    <n v="0"/>
    <m/>
  </r>
  <r>
    <n v="251"/>
    <d v="2024-04-19T11:43:53"/>
    <d v="2024-04-19T11:48:25"/>
    <s v="ymanda@lighthouse.org.mw"/>
    <s v="Yollam Manda"/>
    <x v="6"/>
    <s v="Prototype"/>
    <x v="1"/>
    <s v="COP_23"/>
    <s v="COP_23"/>
    <x v="2"/>
    <s v="Quarter2"/>
    <s v="Qtr_2"/>
    <s v="Feb"/>
    <d v="2024-02-01T00:00:00"/>
    <d v="2024-02-29T00:00:00"/>
    <x v="3"/>
    <n v="0"/>
    <n v="0"/>
    <n v="0"/>
    <n v="0"/>
    <n v="0"/>
    <n v="0"/>
    <n v="0"/>
    <n v="0"/>
    <n v="0"/>
    <n v="0"/>
    <n v="0"/>
    <n v="0"/>
    <n v="0"/>
    <n v="0"/>
    <n v="0"/>
    <n v="0"/>
    <n v="0"/>
    <n v="0"/>
    <n v="0"/>
    <n v="0"/>
    <n v="0"/>
    <n v="0"/>
    <n v="0"/>
    <n v="0"/>
    <n v="0"/>
    <m/>
  </r>
  <r>
    <n v="252"/>
    <d v="2024-04-19T11:48:41"/>
    <d v="2024-04-19T11:49:42"/>
    <s v="ymanda@lighthouse.org.mw"/>
    <s v="Yollam Manda"/>
    <x v="6"/>
    <s v="Prototype"/>
    <x v="1"/>
    <s v="COP_23"/>
    <s v="COP_23"/>
    <x v="2"/>
    <s v="Quarter2"/>
    <s v="Qtr_2"/>
    <s v="Feb"/>
    <d v="2024-02-01T00:00:00"/>
    <d v="2024-02-29T00:00:00"/>
    <x v="4"/>
    <n v="0"/>
    <n v="0"/>
    <n v="0"/>
    <n v="0"/>
    <n v="0"/>
    <n v="0"/>
    <n v="0"/>
    <n v="0"/>
    <n v="0"/>
    <n v="0"/>
    <n v="0"/>
    <n v="0"/>
    <n v="0"/>
    <n v="0"/>
    <n v="0"/>
    <n v="0"/>
    <n v="0"/>
    <n v="0"/>
    <n v="0"/>
    <n v="0"/>
    <n v="0"/>
    <n v="0"/>
    <n v="0"/>
    <n v="0"/>
    <n v="0"/>
    <m/>
  </r>
  <r>
    <n v="254"/>
    <d v="2024-04-19T11:51:44"/>
    <d v="2024-04-19T11:55:57"/>
    <s v="ymanda@lighthouse.org.mw"/>
    <s v="Yollam Manda"/>
    <x v="6"/>
    <s v="Prototype"/>
    <x v="1"/>
    <s v="COP_23"/>
    <s v="COP_23"/>
    <x v="2"/>
    <s v="Quarter2"/>
    <s v="Qtr_2"/>
    <s v="Feb"/>
    <d v="2024-02-01T00:00:00"/>
    <d v="2024-02-29T00:00:00"/>
    <x v="0"/>
    <n v="13"/>
    <n v="1"/>
    <n v="6"/>
    <n v="1"/>
    <n v="5"/>
    <n v="1"/>
    <n v="13"/>
    <n v="8"/>
    <n v="7"/>
    <n v="0"/>
    <n v="0"/>
    <n v="0"/>
    <n v="7"/>
    <n v="1"/>
    <n v="0"/>
    <n v="0"/>
    <n v="0"/>
    <n v="0"/>
    <n v="0"/>
    <n v="0"/>
    <n v="1"/>
    <n v="0"/>
    <n v="0"/>
    <n v="0"/>
    <n v="12"/>
    <m/>
  </r>
  <r>
    <n v="255"/>
    <d v="2024-04-19T11:56:00"/>
    <d v="2024-04-19T11:59:43"/>
    <s v="ymanda@lighthouse.org.mw"/>
    <s v="Yollam Manda"/>
    <x v="6"/>
    <s v="Prototype"/>
    <x v="1"/>
    <s v="COP_23"/>
    <s v="COP_23"/>
    <x v="2"/>
    <s v="Quarter2"/>
    <s v="Qtr_2"/>
    <s v="Mar"/>
    <d v="2024-03-01T00:00:00"/>
    <d v="2024-03-31T00:00:00"/>
    <x v="3"/>
    <n v="0"/>
    <n v="0"/>
    <n v="0"/>
    <n v="0"/>
    <n v="0"/>
    <n v="0"/>
    <n v="0"/>
    <n v="0"/>
    <n v="0"/>
    <n v="0"/>
    <n v="0"/>
    <n v="0"/>
    <n v="0"/>
    <n v="0"/>
    <n v="0"/>
    <n v="0"/>
    <n v="0"/>
    <n v="0"/>
    <n v="0"/>
    <n v="0"/>
    <n v="0"/>
    <n v="0"/>
    <n v="0"/>
    <n v="0"/>
    <n v="0"/>
    <m/>
  </r>
  <r>
    <n v="256"/>
    <d v="2024-04-19T11:59:46"/>
    <d v="2024-04-19T12:00:51"/>
    <s v="ymanda@lighthouse.org.mw"/>
    <s v="Yollam Manda"/>
    <x v="6"/>
    <s v="Prototype"/>
    <x v="1"/>
    <s v="COP_23"/>
    <s v="COP_23"/>
    <x v="2"/>
    <s v="Quarter2"/>
    <s v="Qtr_2"/>
    <s v="Mar"/>
    <d v="2024-03-01T00:00:00"/>
    <d v="2024-03-31T00:00:00"/>
    <x v="4"/>
    <n v="0"/>
    <n v="0"/>
    <n v="0"/>
    <n v="0"/>
    <n v="0"/>
    <n v="0"/>
    <n v="0"/>
    <n v="0"/>
    <n v="0"/>
    <n v="0"/>
    <n v="0"/>
    <n v="0"/>
    <n v="0"/>
    <n v="0"/>
    <n v="0"/>
    <n v="0"/>
    <n v="0"/>
    <n v="0"/>
    <n v="0"/>
    <n v="0"/>
    <n v="0"/>
    <n v="0"/>
    <n v="0"/>
    <n v="0"/>
    <n v="0"/>
    <m/>
  </r>
  <r>
    <n v="257"/>
    <d v="2024-04-19T12:01:11"/>
    <d v="2024-04-19T12:02:18"/>
    <s v="ymanda@lighthouse.org.mw"/>
    <s v="Yollam Manda"/>
    <x v="6"/>
    <s v="Prototype"/>
    <x v="1"/>
    <s v="COP_23"/>
    <s v="COP_23"/>
    <x v="2"/>
    <s v="Quarter2"/>
    <s v="Qtr_2"/>
    <s v="Mar"/>
    <d v="2024-03-01T00:00:00"/>
    <d v="2024-03-31T00:00:00"/>
    <x v="5"/>
    <n v="0"/>
    <n v="0"/>
    <n v="0"/>
    <n v="0"/>
    <n v="0"/>
    <n v="0"/>
    <n v="0"/>
    <n v="0"/>
    <n v="0"/>
    <n v="0"/>
    <n v="0"/>
    <n v="0"/>
    <n v="0"/>
    <n v="0"/>
    <n v="0"/>
    <n v="0"/>
    <n v="0"/>
    <n v="0"/>
    <n v="0"/>
    <n v="0"/>
    <n v="0"/>
    <n v="0"/>
    <n v="0"/>
    <n v="0"/>
    <n v="0"/>
    <m/>
  </r>
  <r>
    <n v="258"/>
    <d v="2024-04-19T12:02:21"/>
    <d v="2024-04-19T12:04:51"/>
    <s v="ymanda@lighthouse.org.mw"/>
    <s v="Yollam Manda"/>
    <x v="6"/>
    <s v="Prototype"/>
    <x v="1"/>
    <s v="COP_23"/>
    <s v="COP_23"/>
    <x v="2"/>
    <s v="Quarter2"/>
    <s v="Qtr_2"/>
    <s v="Mar"/>
    <d v="2024-03-01T00:00:00"/>
    <d v="2024-03-31T00:00:00"/>
    <x v="0"/>
    <n v="23"/>
    <n v="0"/>
    <n v="19"/>
    <n v="1"/>
    <n v="3"/>
    <n v="0"/>
    <n v="23"/>
    <n v="5"/>
    <n v="5"/>
    <n v="0"/>
    <n v="0"/>
    <n v="0"/>
    <n v="5"/>
    <n v="0"/>
    <n v="0"/>
    <n v="0"/>
    <n v="0"/>
    <n v="0"/>
    <n v="0"/>
    <n v="0"/>
    <n v="0"/>
    <n v="0"/>
    <n v="0"/>
    <n v="0"/>
    <n v="23"/>
    <m/>
  </r>
  <r>
    <n v="36"/>
    <d v="2023-12-20T09:27:26"/>
    <d v="2023-12-20T09:32:34"/>
    <s v="ymanda@lighthouse.org.mw"/>
    <s v="Yollam Manda"/>
    <x v="6"/>
    <s v="Prototype"/>
    <x v="0"/>
    <s v="COP_23"/>
    <s v="COP_22"/>
    <x v="1"/>
    <s v="Quarter4"/>
    <s v="Qtr_4"/>
    <s v="Sep"/>
    <d v="2023-09-01T00:00:00"/>
    <d v="2023-09-30T00:00:00"/>
    <x v="1"/>
    <n v="10"/>
    <n v="1"/>
    <n v="7"/>
    <n v="2"/>
    <n v="1"/>
    <n v="0"/>
    <n v="6"/>
    <n v="0"/>
    <n v="1"/>
    <n v="0"/>
    <n v="0"/>
    <n v="0"/>
    <n v="1"/>
    <n v="0"/>
    <n v="0"/>
    <n v="0"/>
    <n v="0"/>
    <n v="0"/>
    <n v="0"/>
    <n v="0"/>
    <n v="0"/>
    <n v="0"/>
    <n v="0"/>
    <n v="0"/>
    <n v="10"/>
    <m/>
  </r>
  <r>
    <n v="37"/>
    <d v="2023-12-20T09:32:45"/>
    <d v="2023-12-20T09:41:05"/>
    <s v="ymanda@lighthouse.org.mw"/>
    <s v="Yollam Manda"/>
    <x v="6"/>
    <s v="Prototype"/>
    <x v="0"/>
    <s v="COP_23"/>
    <s v="COP_23"/>
    <x v="0"/>
    <s v="Quarter1"/>
    <s v="Qtr_1"/>
    <s v="Oct"/>
    <d v="2023-10-01T00:00:00"/>
    <d v="2023-10-31T00:00:00"/>
    <x v="1"/>
    <n v="11"/>
    <n v="0"/>
    <n v="6"/>
    <n v="3"/>
    <n v="1"/>
    <n v="1"/>
    <n v="9"/>
    <n v="3"/>
    <n v="3"/>
    <n v="0"/>
    <n v="0"/>
    <n v="0"/>
    <n v="3"/>
    <n v="0"/>
    <n v="1"/>
    <n v="1"/>
    <n v="0"/>
    <n v="0"/>
    <n v="0"/>
    <n v="0"/>
    <n v="0"/>
    <n v="0"/>
    <n v="0"/>
    <n v="0"/>
    <n v="11"/>
    <m/>
  </r>
  <r>
    <n v="38"/>
    <d v="2023-12-20T09:41:38"/>
    <d v="2023-12-20T09:49:29"/>
    <s v="ymanda@lighthouse.org.mw"/>
    <s v="Yollam Manda"/>
    <x v="6"/>
    <s v="Prototype"/>
    <x v="0"/>
    <s v="COP_23"/>
    <s v="COP_23"/>
    <x v="0"/>
    <s v="Quarter1"/>
    <s v="Qtr_1"/>
    <s v="Nov"/>
    <d v="2023-11-01T00:00:00"/>
    <d v="2023-11-30T00:00:00"/>
    <x v="1"/>
    <n v="13"/>
    <n v="0"/>
    <n v="7"/>
    <n v="0"/>
    <n v="6"/>
    <n v="0"/>
    <n v="0"/>
    <n v="0"/>
    <n v="0"/>
    <n v="0"/>
    <n v="0"/>
    <n v="0"/>
    <n v="0"/>
    <n v="0"/>
    <n v="0"/>
    <n v="0"/>
    <n v="0"/>
    <n v="0"/>
    <n v="0"/>
    <n v="0"/>
    <n v="0"/>
    <n v="0"/>
    <n v="0"/>
    <n v="0"/>
    <n v="13"/>
    <m/>
  </r>
  <r>
    <n v="456"/>
    <d v="2024-05-22T10:53:34"/>
    <d v="2024-05-22T11:12:54"/>
    <s v="ymanda@lighthouse.org.mw"/>
    <s v="Yollam Manda"/>
    <x v="6"/>
    <s v="Prototype"/>
    <x v="1"/>
    <s v="COP_23"/>
    <s v="COP_23"/>
    <x v="3"/>
    <s v="Quarter3"/>
    <s v="Qtr_3"/>
    <s v="Apr"/>
    <d v="2024-04-01T00:00:00"/>
    <d v="2024-04-30T00:00:00"/>
    <x v="0"/>
    <n v="19"/>
    <n v="0"/>
    <n v="11"/>
    <n v="2"/>
    <n v="5"/>
    <n v="1"/>
    <n v="19"/>
    <n v="3"/>
    <n v="0"/>
    <n v="0"/>
    <n v="0"/>
    <n v="0"/>
    <n v="1"/>
    <n v="1"/>
    <n v="0"/>
    <n v="0"/>
    <n v="0"/>
    <n v="0"/>
    <n v="0"/>
    <n v="0"/>
    <n v="1"/>
    <n v="0"/>
    <n v="0"/>
    <n v="0"/>
    <n v="13"/>
    <m/>
  </r>
  <r>
    <n v="117"/>
    <d v="2024-01-24T09:53:37"/>
    <d v="2024-01-24T09:58:00"/>
    <s v="ymanda@lighthouse.org.mw"/>
    <s v="Yollam Manda"/>
    <x v="6"/>
    <s v="Prototype"/>
    <x v="0"/>
    <s v="COP_23"/>
    <s v="COP_23"/>
    <x v="0"/>
    <s v="Quarter1"/>
    <s v="Qtr_1"/>
    <s v="Dec"/>
    <d v="2023-12-01T00:00:00"/>
    <d v="2023-12-31T00:00:00"/>
    <x v="1"/>
    <n v="11"/>
    <n v="0"/>
    <n v="6"/>
    <n v="2"/>
    <n v="2"/>
    <n v="1"/>
    <n v="11"/>
    <n v="1"/>
    <n v="0"/>
    <n v="0"/>
    <n v="0"/>
    <n v="0"/>
    <n v="1"/>
    <n v="0"/>
    <n v="0"/>
    <n v="0"/>
    <n v="0"/>
    <n v="0"/>
    <n v="0"/>
    <n v="0"/>
    <n v="0"/>
    <n v="0"/>
    <n v="0"/>
    <n v="0"/>
    <n v="11"/>
    <m/>
  </r>
  <r>
    <n v="458"/>
    <d v="2024-05-22T11:17:35"/>
    <d v="2024-05-22T11:18:41"/>
    <s v="ymanda@lighthouse.org.mw"/>
    <s v="Yollam Manda"/>
    <x v="6"/>
    <s v="Prototype"/>
    <x v="1"/>
    <s v="COP_23"/>
    <s v="COP_23"/>
    <x v="3"/>
    <s v="Quarter3"/>
    <s v="Qtr_3"/>
    <s v="Apr"/>
    <d v="2024-04-01T00:00:00"/>
    <d v="2024-04-30T00:00:00"/>
    <x v="3"/>
    <n v="0"/>
    <n v="0"/>
    <n v="0"/>
    <n v="0"/>
    <n v="0"/>
    <n v="0"/>
    <n v="0"/>
    <n v="0"/>
    <n v="0"/>
    <n v="0"/>
    <n v="0"/>
    <n v="0"/>
    <n v="0"/>
    <n v="0"/>
    <n v="0"/>
    <n v="0"/>
    <n v="0"/>
    <n v="0"/>
    <n v="0"/>
    <n v="0"/>
    <n v="0"/>
    <n v="0"/>
    <n v="0"/>
    <n v="0"/>
    <n v="0"/>
    <m/>
  </r>
  <r>
    <n v="459"/>
    <d v="2024-05-22T11:18:48"/>
    <d v="2024-05-22T11:21:30"/>
    <s v="ymanda@lighthouse.org.mw"/>
    <s v="Yollam Manda"/>
    <x v="6"/>
    <s v="Prototype"/>
    <x v="1"/>
    <s v="COP_23"/>
    <s v="COP_23"/>
    <x v="3"/>
    <s v="Quarter3"/>
    <s v="Qtr_3"/>
    <s v="Apr"/>
    <d v="2024-04-01T00:00:00"/>
    <d v="2024-04-30T00:00:00"/>
    <x v="4"/>
    <n v="2"/>
    <n v="0"/>
    <n v="0"/>
    <n v="2"/>
    <n v="0"/>
    <n v="0"/>
    <n v="2"/>
    <n v="1"/>
    <n v="0"/>
    <n v="0"/>
    <n v="0"/>
    <n v="0"/>
    <n v="0"/>
    <n v="0"/>
    <n v="0"/>
    <n v="0"/>
    <n v="0"/>
    <n v="0"/>
    <n v="0"/>
    <n v="0"/>
    <n v="0"/>
    <n v="0"/>
    <n v="0"/>
    <n v="0"/>
    <n v="2"/>
    <m/>
  </r>
  <r>
    <n v="460"/>
    <d v="2024-05-22T11:21:43"/>
    <d v="2024-05-22T11:22:54"/>
    <s v="ymanda@lighthouse.org.mw"/>
    <s v="Yollam Manda"/>
    <x v="6"/>
    <s v="Prototype"/>
    <x v="1"/>
    <s v="COP_23"/>
    <s v="COP_23"/>
    <x v="3"/>
    <s v="Quarter3"/>
    <s v="Qtr_3"/>
    <s v="Apr"/>
    <d v="2024-04-01T00:00:00"/>
    <d v="2024-04-30T00:00:00"/>
    <x v="5"/>
    <n v="0"/>
    <n v="0"/>
    <n v="0"/>
    <n v="0"/>
    <n v="0"/>
    <n v="0"/>
    <n v="0"/>
    <n v="0"/>
    <n v="0"/>
    <n v="0"/>
    <n v="0"/>
    <n v="0"/>
    <n v="0"/>
    <n v="0"/>
    <n v="0"/>
    <n v="0"/>
    <n v="0"/>
    <n v="0"/>
    <n v="0"/>
    <n v="0"/>
    <n v="0"/>
    <n v="0"/>
    <n v="0"/>
    <n v="0"/>
    <n v="0"/>
    <m/>
  </r>
  <r>
    <n v="462"/>
    <d v="2024-05-22T11:25:13"/>
    <d v="2024-05-22T11:26:09"/>
    <s v="ymanda@lighthouse.org.mw"/>
    <s v="Yollam Manda"/>
    <x v="6"/>
    <s v="Prototype"/>
    <x v="1"/>
    <s v="COP_23"/>
    <s v="COP_23"/>
    <x v="3"/>
    <s v="Quarter3"/>
    <s v="Qtr_3"/>
    <s v="Apr"/>
    <d v="2024-04-01T00:00:00"/>
    <d v="2024-04-30T00:00:00"/>
    <x v="6"/>
    <n v="0"/>
    <n v="0"/>
    <n v="0"/>
    <n v="0"/>
    <n v="0"/>
    <n v="0"/>
    <n v="0"/>
    <n v="0"/>
    <n v="0"/>
    <n v="0"/>
    <n v="0"/>
    <n v="0"/>
    <n v="0"/>
    <n v="0"/>
    <n v="0"/>
    <n v="0"/>
    <n v="0"/>
    <n v="0"/>
    <n v="0"/>
    <n v="0"/>
    <n v="0"/>
    <n v="0"/>
    <n v="0"/>
    <n v="0"/>
    <n v="0"/>
    <m/>
  </r>
  <r>
    <n v="473"/>
    <d v="2024-06-05T10:32:52"/>
    <d v="2024-06-05T10:36:30"/>
    <s v="ymanda@lighthouse.org.mw"/>
    <s v="Yollam Manda"/>
    <x v="6"/>
    <s v="Prototype"/>
    <x v="1"/>
    <s v="COP_23"/>
    <s v="COP_23"/>
    <x v="3"/>
    <s v="Quarter3"/>
    <s v="Qtr_3"/>
    <s v="May"/>
    <d v="2024-05-01T00:00:00"/>
    <d v="2024-05-31T00:00:00"/>
    <x v="3"/>
    <n v="0"/>
    <n v="0"/>
    <n v="0"/>
    <n v="0"/>
    <n v="0"/>
    <n v="0"/>
    <n v="0"/>
    <n v="0"/>
    <n v="0"/>
    <n v="0"/>
    <n v="0"/>
    <n v="0"/>
    <n v="0"/>
    <n v="0"/>
    <n v="0"/>
    <n v="0"/>
    <n v="0"/>
    <n v="0"/>
    <n v="0"/>
    <n v="0"/>
    <n v="0"/>
    <n v="0"/>
    <n v="0"/>
    <n v="0"/>
    <n v="0"/>
    <m/>
  </r>
  <r>
    <n v="474"/>
    <d v="2024-06-05T10:36:47"/>
    <d v="2024-06-05T10:40:38"/>
    <s v="ymanda@lighthouse.org.mw"/>
    <s v="Yollam Manda"/>
    <x v="6"/>
    <s v="Prototype"/>
    <x v="1"/>
    <s v="COP_23"/>
    <s v="COP_23"/>
    <x v="3"/>
    <s v="Quarter3"/>
    <s v="Qtr_3"/>
    <s v="May"/>
    <d v="2024-05-01T00:00:00"/>
    <d v="2024-05-31T00:00:00"/>
    <x v="4"/>
    <n v="0"/>
    <n v="0"/>
    <n v="0"/>
    <n v="0"/>
    <n v="0"/>
    <n v="0"/>
    <n v="0"/>
    <n v="0"/>
    <n v="0"/>
    <n v="0"/>
    <n v="0"/>
    <n v="0"/>
    <n v="0"/>
    <n v="0"/>
    <n v="0"/>
    <n v="0"/>
    <n v="0"/>
    <n v="0"/>
    <n v="0"/>
    <n v="0"/>
    <n v="0"/>
    <n v="0"/>
    <n v="0"/>
    <n v="0"/>
    <n v="0"/>
    <m/>
  </r>
  <r>
    <n v="136"/>
    <d v="2024-02-02T12:34:49"/>
    <d v="2024-02-02T12:41:34"/>
    <s v="ymanda@lighthouse.org.mw"/>
    <s v="Yollam Manda"/>
    <x v="6"/>
    <s v="Prototype"/>
    <x v="1"/>
    <s v="COP_23"/>
    <s v="COP_23"/>
    <x v="2"/>
    <s v="Quarter2"/>
    <s v="Qtr_2"/>
    <s v="Jan"/>
    <d v="2024-01-01T00:00:00"/>
    <d v="2024-01-31T00:00:00"/>
    <x v="1"/>
    <n v="18"/>
    <n v="0"/>
    <n v="14"/>
    <n v="0"/>
    <n v="3"/>
    <n v="1"/>
    <n v="12"/>
    <n v="3"/>
    <n v="3"/>
    <n v="0"/>
    <n v="0"/>
    <n v="0"/>
    <n v="2"/>
    <n v="0"/>
    <n v="0"/>
    <n v="0"/>
    <n v="0"/>
    <n v="0"/>
    <n v="0"/>
    <n v="0"/>
    <n v="1"/>
    <n v="0"/>
    <n v="0"/>
    <n v="0"/>
    <n v="17"/>
    <m/>
  </r>
  <r>
    <n v="482"/>
    <d v="2024-06-05T10:40:50"/>
    <d v="2024-06-05T11:22:57"/>
    <s v="ymanda@lighthouse.org.mw"/>
    <s v="Yollam Manda"/>
    <x v="6"/>
    <s v="Prototype"/>
    <x v="1"/>
    <s v="COP_23"/>
    <s v="COP_23"/>
    <x v="3"/>
    <s v="Quarter3"/>
    <s v="Qtr_3"/>
    <s v="May"/>
    <d v="2024-05-01T00:00:00"/>
    <d v="2024-05-31T00:00:00"/>
    <x v="5"/>
    <n v="0"/>
    <n v="0"/>
    <n v="0"/>
    <n v="0"/>
    <n v="0"/>
    <n v="0"/>
    <n v="0"/>
    <n v="0"/>
    <n v="0"/>
    <n v="0"/>
    <n v="0"/>
    <n v="0"/>
    <n v="0"/>
    <n v="0"/>
    <n v="0"/>
    <n v="0"/>
    <n v="0"/>
    <n v="0"/>
    <n v="0"/>
    <n v="0"/>
    <n v="0"/>
    <n v="0"/>
    <n v="0"/>
    <n v="0"/>
    <n v="0"/>
    <m/>
  </r>
  <r>
    <n v="483"/>
    <d v="2024-06-05T11:23:12"/>
    <d v="2024-06-05T11:26:42"/>
    <s v="ymanda@lighthouse.org.mw"/>
    <s v="Yollam Manda"/>
    <x v="6"/>
    <s v="Prototype"/>
    <x v="1"/>
    <s v="COP_23"/>
    <s v="COP_23"/>
    <x v="3"/>
    <s v="Quarter3"/>
    <s v="Qtr_3"/>
    <s v="May"/>
    <d v="2024-05-01T00:00:00"/>
    <d v="2024-05-31T00:00:00"/>
    <x v="6"/>
    <n v="0"/>
    <n v="0"/>
    <n v="0"/>
    <n v="0"/>
    <n v="0"/>
    <n v="0"/>
    <n v="0"/>
    <n v="0"/>
    <n v="0"/>
    <n v="0"/>
    <n v="0"/>
    <n v="0"/>
    <n v="0"/>
    <n v="0"/>
    <n v="0"/>
    <n v="0"/>
    <n v="0"/>
    <n v="0"/>
    <n v="0"/>
    <n v="0"/>
    <n v="0"/>
    <n v="0"/>
    <n v="0"/>
    <n v="0"/>
    <n v="0"/>
    <m/>
  </r>
  <r>
    <n v="484"/>
    <d v="2024-06-05T11:26:55"/>
    <d v="2024-06-05T11:36:53"/>
    <s v="ymanda@lighthouse.org.mw"/>
    <s v="Yollam Manda"/>
    <x v="6"/>
    <s v="Prototype"/>
    <x v="1"/>
    <s v="COP_23"/>
    <s v="COP_23"/>
    <x v="3"/>
    <s v="Quarter3"/>
    <s v="Qtr_3"/>
    <s v="May"/>
    <d v="2024-05-01T00:00:00"/>
    <d v="2024-05-31T00:00:00"/>
    <x v="0"/>
    <n v="16"/>
    <n v="3"/>
    <n v="11"/>
    <n v="0"/>
    <n v="4"/>
    <n v="1"/>
    <n v="16"/>
    <n v="8"/>
    <n v="7"/>
    <n v="0"/>
    <n v="0"/>
    <n v="0"/>
    <n v="1"/>
    <n v="0"/>
    <n v="0"/>
    <n v="0"/>
    <n v="0"/>
    <n v="0"/>
    <n v="0"/>
    <n v="0"/>
    <n v="0"/>
    <n v="0"/>
    <n v="0"/>
    <n v="1"/>
    <n v="8"/>
    <m/>
  </r>
  <r>
    <n v="160"/>
    <d v="2024-03-01T11:02:23"/>
    <d v="2024-03-01T11:08:31"/>
    <s v="ymanda@lighthouse.org.mw"/>
    <s v="Yollam Manda"/>
    <x v="6"/>
    <s v="Prototype"/>
    <x v="1"/>
    <s v="COP_23"/>
    <s v="COP_23"/>
    <x v="2"/>
    <s v="Quarter2"/>
    <s v="Qtr_2"/>
    <s v="Feb"/>
    <d v="2024-02-01T00:00:00"/>
    <d v="2024-02-29T00:00:00"/>
    <x v="1"/>
    <n v="12"/>
    <n v="1"/>
    <n v="6"/>
    <n v="1"/>
    <n v="5"/>
    <n v="0"/>
    <n v="12"/>
    <n v="7"/>
    <n v="7"/>
    <n v="0"/>
    <n v="0"/>
    <n v="0"/>
    <n v="6"/>
    <n v="0"/>
    <n v="0"/>
    <n v="0"/>
    <n v="0"/>
    <n v="0"/>
    <n v="0"/>
    <n v="0"/>
    <n v="0"/>
    <n v="0"/>
    <n v="0"/>
    <n v="0"/>
    <n v="12"/>
    <m/>
  </r>
  <r>
    <n v="185"/>
    <d v="2024-04-03T12:13:37"/>
    <d v="2024-04-03T12:16:57"/>
    <s v="ymanda@lighthouse.org.mw"/>
    <s v="Yollam Manda"/>
    <x v="6"/>
    <s v="Prototype"/>
    <x v="1"/>
    <s v="COP_23"/>
    <s v="COP_23"/>
    <x v="2"/>
    <s v="Quarter2"/>
    <s v="Qtr_2"/>
    <s v="Mar"/>
    <d v="2024-03-01T00:00:00"/>
    <d v="2024-03-31T00:00:00"/>
    <x v="1"/>
    <n v="23"/>
    <n v="0"/>
    <n v="19"/>
    <n v="1"/>
    <n v="3"/>
    <n v="0"/>
    <n v="23"/>
    <n v="4"/>
    <n v="4"/>
    <n v="0"/>
    <n v="0"/>
    <n v="0"/>
    <n v="4"/>
    <n v="0"/>
    <n v="0"/>
    <n v="0"/>
    <n v="0"/>
    <n v="0"/>
    <n v="0"/>
    <n v="0"/>
    <n v="0"/>
    <n v="0"/>
    <n v="0"/>
    <n v="0"/>
    <n v="23"/>
    <m/>
  </r>
  <r>
    <n v="457"/>
    <d v="2024-05-22T11:13:17"/>
    <d v="2024-05-22T11:17:11"/>
    <s v="ymanda@lighthouse.org.mw"/>
    <s v="Yollam Manda"/>
    <x v="6"/>
    <s v="Prototype"/>
    <x v="1"/>
    <s v="COP_23"/>
    <s v="COP_23"/>
    <x v="3"/>
    <s v="Quarter3"/>
    <s v="Qtr_3"/>
    <s v="Apr"/>
    <d v="2024-04-01T00:00:00"/>
    <d v="2024-04-30T00:00:00"/>
    <x v="1"/>
    <n v="15"/>
    <n v="0"/>
    <n v="8"/>
    <n v="1"/>
    <n v="5"/>
    <n v="1"/>
    <n v="15"/>
    <n v="2"/>
    <n v="0"/>
    <n v="0"/>
    <n v="0"/>
    <n v="0"/>
    <n v="1"/>
    <n v="1"/>
    <n v="0"/>
    <n v="0"/>
    <n v="0"/>
    <n v="0"/>
    <n v="0"/>
    <n v="0"/>
    <n v="1"/>
    <n v="0"/>
    <n v="0"/>
    <n v="0"/>
    <n v="10"/>
    <m/>
  </r>
  <r>
    <n v="485"/>
    <d v="2024-06-05T11:37:06"/>
    <d v="2024-06-05T11:39:48"/>
    <s v="ymanda@lighthouse.org.mw"/>
    <s v="Yollam Manda"/>
    <x v="6"/>
    <s v="Prototype"/>
    <x v="1"/>
    <s v="COP_23"/>
    <s v="COP_23"/>
    <x v="3"/>
    <s v="Quarter3"/>
    <s v="Qtr_3"/>
    <s v="May"/>
    <d v="2024-05-01T00:00:00"/>
    <d v="2024-05-31T00:00:00"/>
    <x v="1"/>
    <n v="15"/>
    <n v="3"/>
    <n v="10"/>
    <n v="0"/>
    <n v="4"/>
    <n v="1"/>
    <n v="15"/>
    <n v="8"/>
    <n v="7"/>
    <n v="0"/>
    <n v="0"/>
    <n v="0"/>
    <n v="1"/>
    <n v="0"/>
    <n v="0"/>
    <n v="0"/>
    <n v="0"/>
    <n v="0"/>
    <n v="0"/>
    <n v="0"/>
    <n v="0"/>
    <n v="0"/>
    <n v="0"/>
    <n v="1"/>
    <n v="7"/>
    <m/>
  </r>
  <r>
    <n v="580"/>
    <d v="2024-07-03T12:54:44"/>
    <d v="2024-07-03T12:57:19"/>
    <s v="ymanda@lighthouse.org.mw"/>
    <s v="Yollam Manda"/>
    <x v="6"/>
    <s v="Prototype"/>
    <x v="1"/>
    <s v="COP_23"/>
    <s v="COP_23"/>
    <x v="3"/>
    <s v="Quarter3"/>
    <s v="Qtr_3"/>
    <s v="Jun"/>
    <d v="2024-06-01T00:00:00"/>
    <d v="2024-06-30T00:00:00"/>
    <x v="1"/>
    <n v="9"/>
    <n v="0"/>
    <n v="5"/>
    <n v="0"/>
    <n v="4"/>
    <n v="0"/>
    <n v="9"/>
    <n v="5"/>
    <n v="1"/>
    <n v="0"/>
    <n v="0"/>
    <n v="0"/>
    <n v="0"/>
    <n v="0"/>
    <n v="0"/>
    <n v="0"/>
    <n v="0"/>
    <n v="0"/>
    <n v="0"/>
    <n v="0"/>
    <n v="0"/>
    <n v="0"/>
    <n v="0"/>
    <n v="0"/>
    <n v="7"/>
    <m/>
  </r>
  <r>
    <n v="701"/>
    <d v="2024-08-05T12:36:28"/>
    <d v="2024-08-05T12:40:50"/>
    <s v="ymanda@lighthouse.org.mw"/>
    <s v="Yollam Manda"/>
    <x v="6"/>
    <s v="Prototype"/>
    <x v="1"/>
    <s v="COP_23"/>
    <s v="COP_23"/>
    <x v="1"/>
    <s v="Quarter4"/>
    <s v="Qtr_4"/>
    <s v="Jul"/>
    <d v="2024-07-01T00:00:00"/>
    <d v="2024-07-31T00:00:00"/>
    <x v="1"/>
    <n v="10"/>
    <n v="2"/>
    <n v="7"/>
    <n v="0"/>
    <n v="3"/>
    <n v="0"/>
    <n v="9"/>
    <n v="3"/>
    <n v="2"/>
    <n v="0"/>
    <n v="0"/>
    <n v="0"/>
    <n v="0"/>
    <n v="0"/>
    <n v="0"/>
    <n v="0"/>
    <n v="0"/>
    <n v="0"/>
    <n v="0"/>
    <n v="0"/>
    <n v="0"/>
    <n v="0"/>
    <n v="0"/>
    <n v="0"/>
    <n v="10"/>
    <m/>
  </r>
  <r>
    <n v="841"/>
    <d v="2024-10-02T13:50:35"/>
    <d v="2024-10-02T13:55:42"/>
    <s v="ymanda@lighthouse.org.mw"/>
    <s v="Yollam Manda"/>
    <x v="6"/>
    <s v="Prototype"/>
    <x v="1"/>
    <s v="COP_23"/>
    <s v="COP_23"/>
    <x v="1"/>
    <s v="Quarter4"/>
    <s v="Qtr_4"/>
    <s v="Aug"/>
    <d v="2024-08-01T00:00:00"/>
    <d v="2024-08-30T00:00:00"/>
    <x v="1"/>
    <n v="15"/>
    <n v="0"/>
    <n v="10"/>
    <n v="1"/>
    <n v="4"/>
    <n v="0"/>
    <n v="10"/>
    <n v="1"/>
    <n v="0"/>
    <n v="0"/>
    <n v="0"/>
    <n v="0"/>
    <n v="0"/>
    <n v="0"/>
    <n v="0"/>
    <n v="0"/>
    <n v="0"/>
    <n v="0"/>
    <n v="0"/>
    <n v="0"/>
    <n v="0"/>
    <n v="0"/>
    <n v="0"/>
    <n v="0"/>
    <n v="15"/>
    <m/>
  </r>
  <r>
    <n v="848"/>
    <d v="2024-10-02T14:16:05"/>
    <d v="2024-10-02T14:18:23"/>
    <s v="ymanda@lighthouse.org.mw"/>
    <s v="Yollam Manda"/>
    <x v="6"/>
    <s v="Prototype"/>
    <x v="1"/>
    <s v="COP_23"/>
    <s v="COP_23"/>
    <x v="1"/>
    <s v="Quarter4"/>
    <s v="Qtr_4"/>
    <s v="Sep"/>
    <d v="2024-09-01T00:00:00"/>
    <d v="2024-09-30T00:00:00"/>
    <x v="1"/>
    <n v="14"/>
    <n v="0"/>
    <n v="6"/>
    <n v="1"/>
    <n v="7"/>
    <n v="0"/>
    <n v="0"/>
    <n v="0"/>
    <n v="0"/>
    <n v="0"/>
    <n v="0"/>
    <n v="0"/>
    <n v="0"/>
    <n v="0"/>
    <n v="0"/>
    <n v="0"/>
    <n v="0"/>
    <n v="0"/>
    <n v="0"/>
    <n v="0"/>
    <n v="0"/>
    <n v="0"/>
    <n v="0"/>
    <n v="0"/>
    <n v="14"/>
    <m/>
  </r>
  <r>
    <n v="1020"/>
    <d v="2024-11-04T11:57:05"/>
    <d v="2024-11-04T12:14:37"/>
    <s v="ymanda@lighthouse.org.mw"/>
    <s v="Yollam Manda"/>
    <x v="6"/>
    <s v="Prototype"/>
    <x v="1"/>
    <s v="COP_23"/>
    <s v="COP_24"/>
    <x v="0"/>
    <s v="Quarter1"/>
    <s v="Qtr_1"/>
    <s v="Oct"/>
    <d v="2024-10-01T00:00:00"/>
    <d v="2024-10-31T00:00:00"/>
    <x v="1"/>
    <n v="19"/>
    <n v="0"/>
    <n v="16"/>
    <n v="2"/>
    <n v="1"/>
    <n v="0"/>
    <n v="0"/>
    <n v="0"/>
    <n v="0"/>
    <n v="0"/>
    <n v="1"/>
    <n v="0"/>
    <n v="3"/>
    <n v="0"/>
    <n v="0"/>
    <n v="0"/>
    <n v="0"/>
    <n v="0"/>
    <n v="0"/>
    <n v="0"/>
    <n v="0"/>
    <n v="0"/>
    <n v="0"/>
    <n v="0"/>
    <n v="0"/>
    <m/>
  </r>
  <r>
    <n v="574"/>
    <d v="2024-07-03T12:44:10"/>
    <d v="2024-07-03T12:47:58"/>
    <s v="ymanda@lighthouse.org.mw"/>
    <s v="Yollam Manda"/>
    <x v="6"/>
    <s v="Prototype"/>
    <x v="1"/>
    <s v="COP_23"/>
    <s v="COP_23"/>
    <x v="3"/>
    <s v="Quarter3"/>
    <s v="Qtr_3"/>
    <s v="Jun"/>
    <d v="2024-06-01T00:00:00"/>
    <d v="2024-06-30T00:00:00"/>
    <x v="0"/>
    <n v="11"/>
    <n v="1"/>
    <n v="7"/>
    <n v="0"/>
    <n v="4"/>
    <n v="0"/>
    <n v="11"/>
    <n v="6"/>
    <n v="2"/>
    <n v="0"/>
    <n v="0"/>
    <n v="0"/>
    <n v="0"/>
    <n v="0"/>
    <n v="0"/>
    <n v="0"/>
    <n v="0"/>
    <n v="0"/>
    <n v="0"/>
    <n v="0"/>
    <n v="0"/>
    <n v="0"/>
    <n v="0"/>
    <n v="0"/>
    <n v="9"/>
    <m/>
  </r>
  <r>
    <n v="575"/>
    <d v="2024-07-03T12:48:08"/>
    <d v="2024-07-03T12:49:08"/>
    <s v="ymanda@lighthouse.org.mw"/>
    <s v="Yollam Manda"/>
    <x v="6"/>
    <s v="Prototype"/>
    <x v="1"/>
    <s v="COP_23"/>
    <s v="COP_23"/>
    <x v="3"/>
    <s v="Quarter3"/>
    <s v="Qtr_3"/>
    <s v="Jun"/>
    <d v="2024-06-01T00:00:00"/>
    <d v="2024-06-30T00:00:00"/>
    <x v="6"/>
    <n v="0"/>
    <n v="0"/>
    <n v="0"/>
    <n v="0"/>
    <n v="0"/>
    <n v="0"/>
    <n v="0"/>
    <n v="0"/>
    <n v="0"/>
    <n v="0"/>
    <n v="0"/>
    <n v="0"/>
    <n v="0"/>
    <n v="0"/>
    <n v="0"/>
    <n v="0"/>
    <n v="0"/>
    <n v="0"/>
    <n v="0"/>
    <n v="0"/>
    <n v="0"/>
    <n v="0"/>
    <n v="0"/>
    <n v="0"/>
    <n v="0"/>
    <m/>
  </r>
  <r>
    <n v="184"/>
    <d v="2024-04-03T12:09:58"/>
    <d v="2024-04-03T12:13:09"/>
    <s v="ymanda@lighthouse.org.mw"/>
    <s v="Yollam Manda"/>
    <x v="6"/>
    <s v="Prototype"/>
    <x v="1"/>
    <s v="COP_23"/>
    <s v="COP_23"/>
    <x v="2"/>
    <s v="Quarter2"/>
    <s v="Qtr_2"/>
    <s v="Mar"/>
    <d v="2024-03-01T00:00:00"/>
    <d v="2024-03-31T00:00:00"/>
    <x v="2"/>
    <n v="1"/>
    <n v="0"/>
    <n v="1"/>
    <n v="0"/>
    <n v="0"/>
    <n v="0"/>
    <n v="1"/>
    <n v="1"/>
    <n v="1"/>
    <n v="0"/>
    <n v="0"/>
    <n v="0"/>
    <n v="1"/>
    <n v="0"/>
    <n v="0"/>
    <n v="0"/>
    <n v="0"/>
    <n v="0"/>
    <n v="0"/>
    <n v="0"/>
    <n v="0"/>
    <n v="0"/>
    <n v="0"/>
    <n v="0"/>
    <n v="1"/>
    <m/>
  </r>
  <r>
    <n v="577"/>
    <d v="2024-07-03T12:51:37"/>
    <d v="2024-07-03T12:52:28"/>
    <s v="ymanda@lighthouse.org.mw"/>
    <s v="Yollam Manda"/>
    <x v="6"/>
    <s v="Prototype"/>
    <x v="1"/>
    <s v="COP_23"/>
    <s v="COP_23"/>
    <x v="3"/>
    <s v="Quarter3"/>
    <s v="Qtr_3"/>
    <s v="Jun"/>
    <d v="2024-06-01T00:00:00"/>
    <d v="2024-06-30T00:00:00"/>
    <x v="5"/>
    <n v="0"/>
    <n v="0"/>
    <n v="0"/>
    <n v="0"/>
    <n v="0"/>
    <n v="0"/>
    <n v="0"/>
    <n v="0"/>
    <n v="0"/>
    <n v="0"/>
    <n v="0"/>
    <n v="0"/>
    <n v="0"/>
    <n v="0"/>
    <n v="0"/>
    <n v="0"/>
    <n v="0"/>
    <n v="0"/>
    <n v="0"/>
    <n v="0"/>
    <n v="0"/>
    <n v="0"/>
    <n v="0"/>
    <n v="0"/>
    <n v="0"/>
    <m/>
  </r>
  <r>
    <n v="578"/>
    <d v="2024-07-03T12:52:44"/>
    <d v="2024-07-03T12:53:35"/>
    <s v="ymanda@lighthouse.org.mw"/>
    <s v="Yollam Manda"/>
    <x v="6"/>
    <s v="Prototype"/>
    <x v="1"/>
    <s v="COP_23"/>
    <s v="COP_23"/>
    <x v="3"/>
    <s v="Quarter3"/>
    <s v="Qtr_3"/>
    <s v="Jun"/>
    <d v="2024-06-01T00:00:00"/>
    <d v="2024-06-30T00:00:00"/>
    <x v="4"/>
    <n v="0"/>
    <n v="0"/>
    <n v="0"/>
    <n v="0"/>
    <n v="0"/>
    <n v="0"/>
    <n v="0"/>
    <n v="0"/>
    <n v="0"/>
    <n v="0"/>
    <n v="0"/>
    <n v="0"/>
    <n v="0"/>
    <n v="0"/>
    <n v="0"/>
    <n v="0"/>
    <n v="0"/>
    <n v="0"/>
    <n v="0"/>
    <n v="0"/>
    <n v="0"/>
    <n v="0"/>
    <n v="0"/>
    <n v="0"/>
    <n v="0"/>
    <m/>
  </r>
  <r>
    <n v="579"/>
    <d v="2024-07-03T12:53:37"/>
    <d v="2024-07-03T12:54:32"/>
    <s v="ymanda@lighthouse.org.mw"/>
    <s v="Yollam Manda"/>
    <x v="6"/>
    <s v="Prototype"/>
    <x v="1"/>
    <s v="COP_23"/>
    <s v="COP_23"/>
    <x v="3"/>
    <s v="Quarter3"/>
    <s v="Qtr_3"/>
    <s v="Jun"/>
    <d v="2024-06-01T00:00:00"/>
    <d v="2024-06-30T00:00:00"/>
    <x v="3"/>
    <n v="0"/>
    <n v="0"/>
    <n v="0"/>
    <n v="0"/>
    <n v="0"/>
    <n v="0"/>
    <n v="0"/>
    <n v="0"/>
    <n v="0"/>
    <n v="0"/>
    <n v="0"/>
    <n v="0"/>
    <n v="0"/>
    <n v="0"/>
    <n v="0"/>
    <n v="0"/>
    <n v="0"/>
    <n v="0"/>
    <n v="0"/>
    <n v="0"/>
    <n v="0"/>
    <n v="0"/>
    <n v="0"/>
    <n v="0"/>
    <n v="0"/>
    <m/>
  </r>
  <r>
    <n v="250"/>
    <d v="2024-04-19T11:42:44"/>
    <d v="2024-04-19T11:43:49"/>
    <s v="ymanda@lighthouse.org.mw"/>
    <s v="Yollam Manda"/>
    <x v="6"/>
    <s v="Prototype"/>
    <x v="1"/>
    <s v="COP_23"/>
    <s v="COP_23"/>
    <x v="2"/>
    <s v="Quarter2"/>
    <s v="Qtr_2"/>
    <s v="Jan"/>
    <d v="2024-01-01T00:00:00"/>
    <d v="2024-01-31T00:00:00"/>
    <x v="2"/>
    <n v="0"/>
    <n v="0"/>
    <n v="0"/>
    <n v="0"/>
    <n v="0"/>
    <n v="0"/>
    <n v="0"/>
    <n v="0"/>
    <n v="0"/>
    <n v="0"/>
    <n v="0"/>
    <n v="0"/>
    <n v="0"/>
    <n v="0"/>
    <n v="0"/>
    <n v="0"/>
    <n v="0"/>
    <n v="0"/>
    <n v="0"/>
    <n v="0"/>
    <n v="0"/>
    <n v="0"/>
    <n v="0"/>
    <n v="0"/>
    <n v="0"/>
    <m/>
  </r>
  <r>
    <n v="253"/>
    <d v="2024-04-19T11:49:53"/>
    <d v="2024-04-19T11:50:56"/>
    <s v="ymanda@lighthouse.org.mw"/>
    <s v="Yollam Manda"/>
    <x v="6"/>
    <s v="Prototype"/>
    <x v="1"/>
    <s v="COP_23"/>
    <s v="COP_23"/>
    <x v="2"/>
    <s v="Quarter2"/>
    <s v="Qtr_2"/>
    <s v="Feb"/>
    <d v="2024-02-01T00:00:00"/>
    <d v="2024-02-29T00:00:00"/>
    <x v="2"/>
    <n v="0"/>
    <n v="0"/>
    <n v="0"/>
    <n v="0"/>
    <n v="0"/>
    <n v="0"/>
    <n v="0"/>
    <n v="0"/>
    <n v="0"/>
    <n v="0"/>
    <n v="0"/>
    <n v="0"/>
    <n v="0"/>
    <n v="0"/>
    <n v="0"/>
    <n v="0"/>
    <n v="0"/>
    <n v="0"/>
    <n v="0"/>
    <n v="0"/>
    <n v="0"/>
    <n v="0"/>
    <n v="0"/>
    <n v="0"/>
    <n v="0"/>
    <m/>
  </r>
  <r>
    <n v="461"/>
    <d v="2024-05-22T11:22:58"/>
    <d v="2024-05-22T11:25:04"/>
    <s v="ymanda@lighthouse.org.mw"/>
    <s v="Yollam Manda"/>
    <x v="6"/>
    <s v="Prototype"/>
    <x v="1"/>
    <s v="COP_23"/>
    <s v="COP_23"/>
    <x v="3"/>
    <s v="Quarter3"/>
    <s v="Qtr_3"/>
    <s v="Apr"/>
    <d v="2024-04-01T00:00:00"/>
    <d v="2024-04-30T00:00:00"/>
    <x v="2"/>
    <n v="4"/>
    <n v="0"/>
    <n v="3"/>
    <n v="1"/>
    <n v="0"/>
    <n v="0"/>
    <n v="4"/>
    <n v="1"/>
    <n v="0"/>
    <n v="0"/>
    <n v="0"/>
    <n v="0"/>
    <n v="0"/>
    <n v="0"/>
    <n v="0"/>
    <n v="0"/>
    <n v="0"/>
    <n v="0"/>
    <n v="0"/>
    <n v="0"/>
    <n v="0"/>
    <n v="0"/>
    <n v="0"/>
    <n v="0"/>
    <n v="3"/>
    <m/>
  </r>
  <r>
    <n v="486"/>
    <d v="2024-06-05T11:39:56"/>
    <d v="2024-06-05T11:41:16"/>
    <s v="ymanda@lighthouse.org.mw"/>
    <s v="Yollam Manda"/>
    <x v="6"/>
    <s v="Prototype"/>
    <x v="1"/>
    <s v="COP_23"/>
    <s v="COP_23"/>
    <x v="3"/>
    <s v="Quarter3"/>
    <s v="Qtr_3"/>
    <s v="May"/>
    <d v="2024-05-01T00:00:00"/>
    <d v="2024-05-31T00:00:00"/>
    <x v="2"/>
    <n v="1"/>
    <n v="0"/>
    <n v="1"/>
    <n v="0"/>
    <n v="0"/>
    <n v="0"/>
    <n v="1"/>
    <n v="0"/>
    <n v="0"/>
    <n v="0"/>
    <n v="0"/>
    <n v="0"/>
    <n v="0"/>
    <n v="0"/>
    <n v="0"/>
    <n v="0"/>
    <n v="0"/>
    <n v="0"/>
    <n v="0"/>
    <n v="0"/>
    <n v="0"/>
    <n v="0"/>
    <n v="0"/>
    <n v="0"/>
    <n v="1"/>
    <m/>
  </r>
  <r>
    <n v="576"/>
    <d v="2024-07-03T12:49:12"/>
    <d v="2024-07-03T12:51:27"/>
    <s v="ymanda@lighthouse.org.mw"/>
    <s v="Yollam Manda"/>
    <x v="6"/>
    <s v="Prototype"/>
    <x v="1"/>
    <s v="COP_23"/>
    <s v="COP_23"/>
    <x v="3"/>
    <s v="Quarter3"/>
    <s v="Qtr_3"/>
    <s v="Jun"/>
    <d v="2024-06-01T00:00:00"/>
    <d v="2024-06-30T00:00:00"/>
    <x v="2"/>
    <n v="2"/>
    <n v="1"/>
    <n v="2"/>
    <n v="0"/>
    <n v="0"/>
    <n v="0"/>
    <n v="2"/>
    <n v="1"/>
    <n v="1"/>
    <n v="0"/>
    <n v="0"/>
    <n v="0"/>
    <n v="0"/>
    <n v="0"/>
    <n v="0"/>
    <n v="0"/>
    <n v="0"/>
    <n v="0"/>
    <n v="0"/>
    <n v="0"/>
    <n v="0"/>
    <n v="0"/>
    <n v="0"/>
    <n v="0"/>
    <n v="2"/>
    <m/>
  </r>
  <r>
    <n v="705"/>
    <d v="2024-08-05T12:45:58"/>
    <d v="2024-08-05T12:47:25"/>
    <s v="ymanda@lighthouse.org.mw"/>
    <s v="Yollam Manda"/>
    <x v="6"/>
    <s v="Prototype"/>
    <x v="1"/>
    <s v="COP_23"/>
    <s v="COP_23"/>
    <x v="1"/>
    <s v="Quarter4"/>
    <s v="Qtr_4"/>
    <s v="Jul"/>
    <d v="2024-07-01T00:00:00"/>
    <d v="2024-07-31T00:00:00"/>
    <x v="2"/>
    <n v="1"/>
    <n v="0"/>
    <n v="1"/>
    <n v="0"/>
    <n v="0"/>
    <n v="0"/>
    <n v="1"/>
    <n v="1"/>
    <n v="1"/>
    <n v="0"/>
    <n v="0"/>
    <n v="0"/>
    <n v="0"/>
    <n v="0"/>
    <n v="0"/>
    <n v="0"/>
    <n v="0"/>
    <n v="0"/>
    <n v="0"/>
    <n v="0"/>
    <n v="0"/>
    <n v="0"/>
    <n v="0"/>
    <n v="0"/>
    <n v="0"/>
    <m/>
  </r>
  <r>
    <n v="845"/>
    <d v="2024-10-02T13:59:26"/>
    <d v="2024-10-02T14:01:34"/>
    <s v="ymanda@lighthouse.org.mw"/>
    <s v="Yollam Manda"/>
    <x v="6"/>
    <s v="Prototype"/>
    <x v="1"/>
    <s v="COP_23"/>
    <s v="COP_23"/>
    <x v="1"/>
    <s v="Quarter4"/>
    <s v="Qtr_4"/>
    <s v="Aug"/>
    <d v="2024-08-01T00:00:00"/>
    <d v="2024-08-30T00:00:00"/>
    <x v="2"/>
    <n v="2"/>
    <n v="2"/>
    <n v="0"/>
    <n v="0"/>
    <n v="1"/>
    <n v="1"/>
    <n v="2"/>
    <n v="1"/>
    <n v="0"/>
    <n v="0"/>
    <n v="0"/>
    <n v="0"/>
    <n v="0"/>
    <n v="0"/>
    <n v="0"/>
    <n v="0"/>
    <n v="0"/>
    <n v="0"/>
    <n v="0"/>
    <n v="0"/>
    <n v="0"/>
    <n v="0"/>
    <n v="0"/>
    <n v="0"/>
    <n v="2"/>
    <m/>
  </r>
  <r>
    <n v="852"/>
    <d v="2024-10-02T14:21:24"/>
    <d v="2024-10-02T14:23:34"/>
    <s v="ymanda@lighthouse.org.mw"/>
    <s v="Yollam Manda"/>
    <x v="6"/>
    <s v="Prototype"/>
    <x v="1"/>
    <s v="COP_23"/>
    <s v="COP_23"/>
    <x v="1"/>
    <s v="Quarter4"/>
    <s v="Qtr_4"/>
    <s v="Sep"/>
    <d v="2024-09-01T00:00:00"/>
    <d v="2024-09-30T00:00:00"/>
    <x v="2"/>
    <n v="0"/>
    <n v="0"/>
    <n v="0"/>
    <n v="0"/>
    <n v="0"/>
    <n v="0"/>
    <n v="0"/>
    <n v="0"/>
    <n v="0"/>
    <n v="0"/>
    <n v="0"/>
    <n v="0"/>
    <n v="0"/>
    <n v="0"/>
    <n v="0"/>
    <n v="0"/>
    <n v="0"/>
    <n v="0"/>
    <n v="0"/>
    <n v="0"/>
    <n v="0"/>
    <n v="0"/>
    <n v="0"/>
    <n v="0"/>
    <n v="0"/>
    <m/>
  </r>
  <r>
    <n v="1024"/>
    <d v="2024-11-04T12:33:46"/>
    <d v="2024-11-04T12:37:22"/>
    <s v="ymanda@lighthouse.org.mw"/>
    <s v="Yollam Manda"/>
    <x v="6"/>
    <s v="Prototype"/>
    <x v="1"/>
    <s v="COP_23"/>
    <s v="COP_24"/>
    <x v="0"/>
    <s v="Quarter1"/>
    <s v="Qtr_1"/>
    <s v="Oct"/>
    <d v="2024-10-01T00:00:00"/>
    <d v="2024-10-31T00:00:00"/>
    <x v="2"/>
    <n v="2"/>
    <n v="1"/>
    <n v="1"/>
    <n v="0"/>
    <n v="0"/>
    <n v="1"/>
    <n v="1"/>
    <n v="0"/>
    <n v="1"/>
    <n v="0"/>
    <n v="0"/>
    <n v="0"/>
    <n v="1"/>
    <n v="0"/>
    <n v="1"/>
    <n v="1"/>
    <n v="1"/>
    <n v="0"/>
    <n v="0"/>
    <n v="0"/>
    <n v="1"/>
    <n v="0"/>
    <n v="0"/>
    <n v="0"/>
    <n v="0"/>
    <m/>
  </r>
  <r>
    <n v="700"/>
    <d v="2024-08-05T11:56:32"/>
    <d v="2024-08-05T12:36:16"/>
    <s v="ymanda@lighthouse.org.mw"/>
    <s v="Yollam Manda"/>
    <x v="6"/>
    <s v="Prototype"/>
    <x v="1"/>
    <s v="COP_23"/>
    <s v="COP_23"/>
    <x v="1"/>
    <s v="Quarter4"/>
    <s v="Qtr_4"/>
    <s v="Jul"/>
    <d v="2024-07-01T00:00:00"/>
    <d v="2024-07-31T00:00:00"/>
    <x v="0"/>
    <n v="11"/>
    <n v="2"/>
    <n v="8"/>
    <n v="0"/>
    <n v="3"/>
    <n v="0"/>
    <n v="10"/>
    <n v="4"/>
    <n v="3"/>
    <n v="0"/>
    <n v="0"/>
    <n v="0"/>
    <n v="0"/>
    <n v="0"/>
    <n v="0"/>
    <n v="0"/>
    <n v="0"/>
    <n v="0"/>
    <n v="0"/>
    <n v="0"/>
    <n v="0"/>
    <n v="0"/>
    <n v="0"/>
    <n v="0"/>
    <n v="10"/>
    <m/>
  </r>
  <r>
    <n v="702"/>
    <d v="2024-08-05T12:40:58"/>
    <d v="2024-08-05T12:42:14"/>
    <s v="ymanda@lighthouse.org.mw"/>
    <s v="Yollam Manda"/>
    <x v="6"/>
    <s v="Prototype"/>
    <x v="1"/>
    <s v="COP_23"/>
    <s v="COP_23"/>
    <x v="1"/>
    <s v="Quarter4"/>
    <s v="Qtr_4"/>
    <s v="Jul"/>
    <d v="2024-07-01T00:00:00"/>
    <d v="2024-07-31T00:00:00"/>
    <x v="3"/>
    <n v="0"/>
    <n v="0"/>
    <n v="0"/>
    <n v="0"/>
    <n v="0"/>
    <n v="0"/>
    <n v="0"/>
    <n v="0"/>
    <n v="0"/>
    <n v="0"/>
    <n v="0"/>
    <n v="0"/>
    <n v="0"/>
    <n v="0"/>
    <n v="0"/>
    <n v="0"/>
    <n v="0"/>
    <n v="0"/>
    <n v="0"/>
    <n v="0"/>
    <n v="0"/>
    <n v="0"/>
    <n v="0"/>
    <n v="0"/>
    <n v="0"/>
    <m/>
  </r>
  <r>
    <n v="703"/>
    <d v="2024-08-05T12:42:18"/>
    <d v="2024-08-05T12:44:31"/>
    <s v="ymanda@lighthouse.org.mw"/>
    <s v="Yollam Manda"/>
    <x v="6"/>
    <s v="Prototype"/>
    <x v="1"/>
    <s v="COP_23"/>
    <s v="COP_23"/>
    <x v="1"/>
    <s v="Quarter4"/>
    <s v="Qtr_4"/>
    <s v="Jul"/>
    <d v="2024-07-01T00:00:00"/>
    <d v="2024-07-31T00:00:00"/>
    <x v="4"/>
    <n v="0"/>
    <n v="0"/>
    <n v="0"/>
    <n v="0"/>
    <n v="0"/>
    <n v="0"/>
    <n v="0"/>
    <n v="0"/>
    <n v="0"/>
    <n v="0"/>
    <n v="0"/>
    <n v="0"/>
    <n v="0"/>
    <n v="0"/>
    <n v="0"/>
    <n v="0"/>
    <n v="0"/>
    <n v="0"/>
    <n v="0"/>
    <n v="0"/>
    <n v="0"/>
    <n v="0"/>
    <n v="0"/>
    <n v="0"/>
    <n v="0"/>
    <m/>
  </r>
  <r>
    <n v="704"/>
    <d v="2024-08-05T12:44:35"/>
    <d v="2024-08-05T12:45:44"/>
    <s v="ymanda@lighthouse.org.mw"/>
    <s v="Yollam Manda"/>
    <x v="6"/>
    <s v="Prototype"/>
    <x v="1"/>
    <s v="COP_23"/>
    <s v="COP_23"/>
    <x v="1"/>
    <s v="Quarter4"/>
    <s v="Qtr_4"/>
    <s v="Jul"/>
    <d v="2024-07-01T00:00:00"/>
    <d v="2024-07-31T00:00:00"/>
    <x v="5"/>
    <n v="0"/>
    <n v="0"/>
    <n v="0"/>
    <n v="0"/>
    <n v="0"/>
    <n v="0"/>
    <n v="0"/>
    <n v="0"/>
    <n v="0"/>
    <n v="0"/>
    <n v="0"/>
    <n v="0"/>
    <n v="0"/>
    <n v="0"/>
    <n v="0"/>
    <n v="0"/>
    <n v="0"/>
    <n v="0"/>
    <n v="0"/>
    <n v="0"/>
    <n v="0"/>
    <n v="0"/>
    <n v="0"/>
    <n v="0"/>
    <n v="0"/>
    <m/>
  </r>
  <r>
    <n v="706"/>
    <d v="2024-08-05T12:47:28"/>
    <d v="2024-08-05T12:48:36"/>
    <s v="ymanda@lighthouse.org.mw"/>
    <s v="Yollam Manda"/>
    <x v="6"/>
    <s v="Prototype"/>
    <x v="1"/>
    <s v="COP_23"/>
    <s v="COP_23"/>
    <x v="1"/>
    <s v="Quarter4"/>
    <s v="Qtr_4"/>
    <s v="Jul"/>
    <d v="2024-07-01T00:00:00"/>
    <d v="2024-07-31T00:00:00"/>
    <x v="6"/>
    <n v="0"/>
    <n v="0"/>
    <n v="0"/>
    <n v="0"/>
    <n v="0"/>
    <n v="0"/>
    <n v="0"/>
    <n v="0"/>
    <n v="0"/>
    <n v="0"/>
    <n v="0"/>
    <n v="0"/>
    <n v="0"/>
    <n v="0"/>
    <n v="0"/>
    <n v="0"/>
    <n v="0"/>
    <n v="0"/>
    <n v="0"/>
    <n v="0"/>
    <n v="0"/>
    <n v="0"/>
    <n v="0"/>
    <n v="0"/>
    <n v="0"/>
    <m/>
  </r>
  <r>
    <n v="842"/>
    <d v="2024-10-02T13:55:54"/>
    <d v="2024-10-02T13:57:05"/>
    <s v="ymanda@lighthouse.org.mw"/>
    <s v="Yollam Manda"/>
    <x v="6"/>
    <s v="Prototype"/>
    <x v="1"/>
    <s v="COP_23"/>
    <s v="COP_23"/>
    <x v="1"/>
    <s v="Quarter4"/>
    <s v="Qtr_4"/>
    <s v="Aug"/>
    <d v="2024-08-01T00:00:00"/>
    <d v="2024-08-30T00:00:00"/>
    <x v="3"/>
    <n v="0"/>
    <n v="0"/>
    <n v="0"/>
    <n v="0"/>
    <n v="0"/>
    <n v="0"/>
    <n v="0"/>
    <n v="0"/>
    <n v="0"/>
    <n v="0"/>
    <n v="0"/>
    <n v="0"/>
    <n v="0"/>
    <n v="0"/>
    <n v="0"/>
    <n v="0"/>
    <n v="0"/>
    <n v="0"/>
    <n v="0"/>
    <n v="0"/>
    <n v="0"/>
    <n v="0"/>
    <n v="0"/>
    <n v="0"/>
    <n v="0"/>
    <m/>
  </r>
  <r>
    <n v="843"/>
    <d v="2024-10-02T13:57:12"/>
    <d v="2024-10-02T13:58:11"/>
    <s v="ymanda@lighthouse.org.mw"/>
    <s v="Yollam Manda"/>
    <x v="6"/>
    <s v="Prototype"/>
    <x v="1"/>
    <s v="COP_23"/>
    <s v="COP_23"/>
    <x v="1"/>
    <s v="Quarter4"/>
    <s v="Qtr_4"/>
    <s v="Aug"/>
    <d v="2024-08-01T00:00:00"/>
    <d v="2024-08-30T00:00:00"/>
    <x v="4"/>
    <n v="0"/>
    <n v="0"/>
    <n v="0"/>
    <n v="0"/>
    <n v="0"/>
    <n v="0"/>
    <n v="0"/>
    <n v="0"/>
    <n v="0"/>
    <n v="0"/>
    <n v="0"/>
    <n v="0"/>
    <n v="0"/>
    <n v="0"/>
    <n v="0"/>
    <n v="0"/>
    <n v="0"/>
    <n v="0"/>
    <n v="0"/>
    <n v="0"/>
    <n v="0"/>
    <n v="0"/>
    <n v="0"/>
    <n v="0"/>
    <n v="0"/>
    <m/>
  </r>
  <r>
    <n v="844"/>
    <d v="2024-10-02T13:58:18"/>
    <d v="2024-10-02T13:59:17"/>
    <s v="ymanda@lighthouse.org.mw"/>
    <s v="Yollam Manda"/>
    <x v="6"/>
    <s v="Prototype"/>
    <x v="1"/>
    <s v="COP_23"/>
    <s v="COP_23"/>
    <x v="1"/>
    <s v="Quarter4"/>
    <s v="Qtr_4"/>
    <s v="Aug"/>
    <d v="2024-08-01T00:00:00"/>
    <d v="2024-08-30T00:00:00"/>
    <x v="5"/>
    <n v="0"/>
    <n v="0"/>
    <n v="0"/>
    <n v="0"/>
    <n v="0"/>
    <n v="0"/>
    <n v="0"/>
    <n v="0"/>
    <n v="0"/>
    <n v="0"/>
    <n v="0"/>
    <n v="0"/>
    <n v="0"/>
    <n v="0"/>
    <n v="0"/>
    <n v="0"/>
    <n v="0"/>
    <n v="0"/>
    <n v="0"/>
    <n v="0"/>
    <n v="0"/>
    <n v="0"/>
    <n v="0"/>
    <n v="0"/>
    <n v="0"/>
    <m/>
  </r>
  <r>
    <n v="846"/>
    <d v="2024-10-02T14:02:15"/>
    <d v="2024-10-02T14:03:04"/>
    <s v="ymanda@lighthouse.org.mw"/>
    <s v="Yollam Manda"/>
    <x v="6"/>
    <s v="Prototype"/>
    <x v="1"/>
    <s v="COP_23"/>
    <s v="COP_23"/>
    <x v="1"/>
    <s v="Quarter4"/>
    <s v="Qtr_4"/>
    <s v="Aug"/>
    <d v="2024-08-01T00:00:00"/>
    <d v="2024-08-30T00:00:00"/>
    <x v="6"/>
    <n v="0"/>
    <n v="0"/>
    <n v="0"/>
    <n v="0"/>
    <n v="0"/>
    <n v="0"/>
    <n v="0"/>
    <n v="0"/>
    <n v="0"/>
    <n v="0"/>
    <n v="0"/>
    <n v="0"/>
    <n v="0"/>
    <n v="0"/>
    <n v="0"/>
    <n v="0"/>
    <n v="0"/>
    <n v="0"/>
    <n v="0"/>
    <n v="0"/>
    <n v="0"/>
    <n v="0"/>
    <n v="0"/>
    <n v="0"/>
    <n v="0"/>
    <m/>
  </r>
  <r>
    <n v="847"/>
    <d v="2024-10-02T14:09:40"/>
    <d v="2024-10-02T14:12:41"/>
    <s v="ymanda@lighthouse.org.mw"/>
    <s v="Yollam Manda"/>
    <x v="6"/>
    <s v="Prototype"/>
    <x v="1"/>
    <s v="COP_22"/>
    <s v="COP_23"/>
    <x v="1"/>
    <s v="Quarter4"/>
    <s v="Qtr_4"/>
    <s v="Aug"/>
    <d v="2024-08-01T00:00:00"/>
    <d v="2024-08-30T00:00:00"/>
    <x v="0"/>
    <n v="17"/>
    <n v="2"/>
    <n v="10"/>
    <n v="1"/>
    <n v="5"/>
    <n v="1"/>
    <n v="12"/>
    <n v="2"/>
    <n v="0"/>
    <n v="0"/>
    <n v="0"/>
    <n v="0"/>
    <n v="0"/>
    <n v="0"/>
    <n v="0"/>
    <n v="0"/>
    <n v="0"/>
    <n v="0"/>
    <n v="0"/>
    <n v="0"/>
    <n v="0"/>
    <n v="0"/>
    <n v="0"/>
    <n v="0"/>
    <n v="17"/>
    <m/>
  </r>
  <r>
    <n v="849"/>
    <d v="2024-10-02T14:18:32"/>
    <d v="2024-10-02T14:19:34"/>
    <s v="ymanda@lighthouse.org.mw"/>
    <s v="Yollam Manda"/>
    <x v="6"/>
    <s v="Prototype"/>
    <x v="1"/>
    <s v="COP_22"/>
    <s v="COP_23"/>
    <x v="1"/>
    <s v="Quarter4"/>
    <s v="Qtr_4"/>
    <s v="Sep"/>
    <d v="2024-09-01T00:00:00"/>
    <d v="2024-09-30T00:00:00"/>
    <x v="3"/>
    <n v="1"/>
    <n v="0"/>
    <n v="0"/>
    <n v="0"/>
    <n v="1"/>
    <n v="0"/>
    <n v="0"/>
    <n v="0"/>
    <n v="0"/>
    <n v="0"/>
    <n v="0"/>
    <n v="0"/>
    <n v="0"/>
    <n v="0"/>
    <n v="0"/>
    <n v="0"/>
    <n v="0"/>
    <n v="0"/>
    <n v="0"/>
    <n v="0"/>
    <n v="0"/>
    <n v="0"/>
    <n v="0"/>
    <n v="0"/>
    <n v="1"/>
    <m/>
  </r>
  <r>
    <n v="850"/>
    <d v="2024-10-02T14:19:42"/>
    <d v="2024-10-02T14:20:33"/>
    <s v="ymanda@lighthouse.org.mw"/>
    <s v="Yollam Manda"/>
    <x v="6"/>
    <s v="Prototype"/>
    <x v="1"/>
    <s v="COP_22"/>
    <s v="COP_23"/>
    <x v="1"/>
    <s v="Quarter4"/>
    <s v="Qtr_4"/>
    <s v="Sep"/>
    <d v="2024-09-01T00:00:00"/>
    <d v="2024-09-30T00:00:00"/>
    <x v="4"/>
    <n v="0"/>
    <n v="0"/>
    <n v="0"/>
    <n v="0"/>
    <n v="0"/>
    <n v="0"/>
    <n v="0"/>
    <n v="0"/>
    <n v="0"/>
    <n v="0"/>
    <n v="0"/>
    <n v="0"/>
    <n v="0"/>
    <n v="0"/>
    <n v="0"/>
    <n v="0"/>
    <n v="0"/>
    <n v="0"/>
    <n v="0"/>
    <n v="0"/>
    <n v="0"/>
    <n v="0"/>
    <n v="0"/>
    <n v="0"/>
    <n v="0"/>
    <m/>
  </r>
  <r>
    <n v="851"/>
    <d v="2024-10-02T14:20:39"/>
    <d v="2024-10-02T14:21:21"/>
    <s v="ymanda@lighthouse.org.mw"/>
    <s v="Yollam Manda"/>
    <x v="6"/>
    <s v="Prototype"/>
    <x v="1"/>
    <s v="COP_22"/>
    <s v="COP_23"/>
    <x v="1"/>
    <s v="Quarter4"/>
    <s v="Qtr_4"/>
    <s v="Sep"/>
    <d v="2024-09-01T00:00:00"/>
    <d v="2024-09-30T00:00:00"/>
    <x v="5"/>
    <n v="0"/>
    <n v="0"/>
    <n v="0"/>
    <n v="0"/>
    <n v="0"/>
    <n v="0"/>
    <n v="0"/>
    <n v="0"/>
    <n v="0"/>
    <n v="0"/>
    <n v="0"/>
    <n v="0"/>
    <n v="0"/>
    <n v="0"/>
    <n v="0"/>
    <n v="0"/>
    <n v="0"/>
    <n v="0"/>
    <n v="0"/>
    <n v="0"/>
    <n v="0"/>
    <n v="0"/>
    <n v="0"/>
    <n v="0"/>
    <n v="0"/>
    <m/>
  </r>
  <r>
    <n v="853"/>
    <d v="2024-10-02T14:23:37"/>
    <d v="2024-10-02T14:24:24"/>
    <s v="ymanda@lighthouse.org.mw"/>
    <s v="Yollam Manda"/>
    <x v="6"/>
    <s v="Prototype"/>
    <x v="1"/>
    <s v="COP_22"/>
    <s v="COP_23"/>
    <x v="1"/>
    <s v="Quarter4"/>
    <s v="Qtr_4"/>
    <s v="Sep"/>
    <d v="2024-09-01T00:00:00"/>
    <d v="2024-09-30T00:00:00"/>
    <x v="6"/>
    <n v="0"/>
    <n v="0"/>
    <n v="0"/>
    <n v="0"/>
    <n v="0"/>
    <n v="0"/>
    <n v="0"/>
    <n v="0"/>
    <n v="0"/>
    <n v="0"/>
    <n v="0"/>
    <n v="0"/>
    <n v="0"/>
    <n v="0"/>
    <n v="0"/>
    <n v="0"/>
    <n v="0"/>
    <n v="0"/>
    <n v="0"/>
    <n v="0"/>
    <n v="0"/>
    <n v="0"/>
    <n v="0"/>
    <n v="0"/>
    <n v="0"/>
    <m/>
  </r>
  <r>
    <n v="854"/>
    <d v="2024-10-02T14:24:26"/>
    <d v="2024-10-02T14:25:31"/>
    <s v="ymanda@lighthouse.org.mw"/>
    <s v="Yollam Manda"/>
    <x v="6"/>
    <s v="Prototype"/>
    <x v="1"/>
    <s v="COP_22"/>
    <s v="COP_23"/>
    <x v="1"/>
    <s v="Quarter4"/>
    <s v="Qtr_4"/>
    <s v="Sep"/>
    <d v="2024-09-01T00:00:00"/>
    <d v="2024-09-30T00:00:00"/>
    <x v="0"/>
    <n v="14"/>
    <n v="0"/>
    <n v="6"/>
    <n v="1"/>
    <n v="7"/>
    <n v="0"/>
    <n v="0"/>
    <n v="0"/>
    <n v="0"/>
    <n v="0"/>
    <n v="0"/>
    <n v="0"/>
    <n v="0"/>
    <n v="0"/>
    <n v="0"/>
    <n v="0"/>
    <n v="0"/>
    <n v="0"/>
    <n v="0"/>
    <n v="0"/>
    <n v="0"/>
    <n v="0"/>
    <n v="0"/>
    <n v="0"/>
    <n v="14"/>
    <m/>
  </r>
  <r>
    <n v="1021"/>
    <d v="2024-11-04T12:14:46"/>
    <d v="2024-11-04T12:30:56"/>
    <s v="ymanda@lighthouse.org.mw"/>
    <s v="Yollam Manda"/>
    <x v="6"/>
    <s v="Prototype"/>
    <x v="1"/>
    <s v="COP_24"/>
    <s v="COP_24"/>
    <x v="0"/>
    <s v="Quarter1"/>
    <s v="Qtr_1"/>
    <s v="Oct"/>
    <d v="2024-10-01T00:00:00"/>
    <d v="2024-10-31T00:00:00"/>
    <x v="3"/>
    <n v="1"/>
    <n v="0"/>
    <n v="1"/>
    <n v="0"/>
    <n v="0"/>
    <n v="0"/>
    <n v="0"/>
    <n v="0"/>
    <n v="0"/>
    <n v="0"/>
    <n v="0"/>
    <n v="0"/>
    <n v="0"/>
    <n v="0"/>
    <n v="0"/>
    <n v="0"/>
    <n v="0"/>
    <n v="0"/>
    <n v="0"/>
    <n v="0"/>
    <n v="0"/>
    <n v="0"/>
    <n v="0"/>
    <n v="0"/>
    <n v="0"/>
    <m/>
  </r>
  <r>
    <n v="1022"/>
    <d v="2024-11-04T12:31:03"/>
    <d v="2024-11-04T12:32:01"/>
    <s v="ymanda@lighthouse.org.mw"/>
    <s v="Yollam Manda"/>
    <x v="6"/>
    <s v="Prototype"/>
    <x v="1"/>
    <s v="COP_24"/>
    <s v="COP_24"/>
    <x v="0"/>
    <s v="Quarter1"/>
    <s v="Qtr_1"/>
    <s v="Oct"/>
    <d v="2024-10-01T00:00:00"/>
    <d v="2024-10-31T00:00:00"/>
    <x v="4"/>
    <n v="0"/>
    <n v="0"/>
    <n v="0"/>
    <n v="0"/>
    <n v="0"/>
    <n v="0"/>
    <n v="0"/>
    <n v="0"/>
    <n v="0"/>
    <n v="0"/>
    <n v="0"/>
    <n v="0"/>
    <n v="0"/>
    <n v="0"/>
    <n v="0"/>
    <n v="0"/>
    <n v="0"/>
    <n v="0"/>
    <n v="0"/>
    <n v="0"/>
    <n v="0"/>
    <n v="0"/>
    <n v="0"/>
    <n v="0"/>
    <n v="0"/>
    <m/>
  </r>
  <r>
    <n v="1023"/>
    <d v="2024-11-04T12:32:06"/>
    <d v="2024-11-04T12:33:39"/>
    <s v="ymanda@lighthouse.org.mw"/>
    <s v="Yollam Manda"/>
    <x v="6"/>
    <s v="Prototype"/>
    <x v="1"/>
    <s v="COP_24"/>
    <s v="COP_24"/>
    <x v="0"/>
    <s v="Quarter1"/>
    <s v="Qtr_1"/>
    <s v="Oct"/>
    <d v="2024-10-01T00:00:00"/>
    <d v="2024-10-31T00:00:00"/>
    <x v="5"/>
    <n v="3"/>
    <n v="0"/>
    <n v="3"/>
    <n v="0"/>
    <n v="0"/>
    <n v="0"/>
    <n v="0"/>
    <n v="0"/>
    <n v="0"/>
    <n v="0"/>
    <n v="0"/>
    <n v="0"/>
    <n v="0"/>
    <n v="0"/>
    <n v="0"/>
    <n v="0"/>
    <n v="0"/>
    <n v="0"/>
    <n v="0"/>
    <n v="0"/>
    <n v="0"/>
    <n v="0"/>
    <n v="0"/>
    <n v="0"/>
    <n v="0"/>
    <m/>
  </r>
  <r>
    <n v="1025"/>
    <d v="2024-11-04T12:37:28"/>
    <d v="2024-11-04T12:38:16"/>
    <s v="ymanda@lighthouse.org.mw"/>
    <s v="Yollam Manda"/>
    <x v="6"/>
    <s v="Prototype"/>
    <x v="1"/>
    <s v="COP_24"/>
    <s v="COP_24"/>
    <x v="0"/>
    <s v="Quarter1"/>
    <s v="Qtr_1"/>
    <s v="Oct"/>
    <d v="2024-10-01T00:00:00"/>
    <d v="2024-10-31T00:00:00"/>
    <x v="6"/>
    <n v="0"/>
    <n v="0"/>
    <n v="0"/>
    <n v="0"/>
    <n v="0"/>
    <n v="0"/>
    <n v="0"/>
    <n v="0"/>
    <n v="0"/>
    <n v="0"/>
    <n v="0"/>
    <n v="0"/>
    <n v="0"/>
    <n v="0"/>
    <n v="0"/>
    <n v="0"/>
    <n v="0"/>
    <n v="0"/>
    <n v="0"/>
    <n v="0"/>
    <n v="0"/>
    <n v="0"/>
    <n v="0"/>
    <n v="0"/>
    <n v="0"/>
    <m/>
  </r>
  <r>
    <n v="1026"/>
    <d v="2024-11-04T12:38:22"/>
    <d v="2024-11-04T12:40:33"/>
    <s v="ymanda@lighthouse.org.mw"/>
    <s v="Yollam Manda"/>
    <x v="6"/>
    <s v="Prototype"/>
    <x v="1"/>
    <s v="COP_24"/>
    <s v="COP_24"/>
    <x v="0"/>
    <s v="Quarter1"/>
    <s v="Qtr_1"/>
    <s v="Oct"/>
    <d v="2024-10-01T00:00:00"/>
    <d v="2024-10-31T00:00:00"/>
    <x v="0"/>
    <n v="24"/>
    <n v="1"/>
    <n v="20"/>
    <n v="2"/>
    <n v="1"/>
    <n v="1"/>
    <n v="1"/>
    <n v="0"/>
    <n v="1"/>
    <n v="0"/>
    <n v="1"/>
    <n v="0"/>
    <n v="4"/>
    <n v="0"/>
    <n v="1"/>
    <n v="1"/>
    <n v="1"/>
    <n v="0"/>
    <n v="0"/>
    <n v="0"/>
    <n v="1"/>
    <n v="0"/>
    <n v="0"/>
    <n v="0"/>
    <n v="0"/>
    <m/>
  </r>
  <r>
    <n v="1096"/>
    <d v="2024-12-04T11:09:20"/>
    <d v="2024-12-04T11:14:11"/>
    <s v="ymanda@lighthouse.org.mw"/>
    <s v="Yollam Manda"/>
    <x v="6"/>
    <s v="Prototype"/>
    <x v="1"/>
    <s v="COP_24"/>
    <s v="COP_24"/>
    <x v="0"/>
    <s v="Quarter1"/>
    <s v="Qtr_1"/>
    <s v="Nov"/>
    <d v="2024-11-01T00:00:00"/>
    <d v="2024-11-30T00:00:00"/>
    <x v="1"/>
    <n v="14"/>
    <n v="0"/>
    <n v="10"/>
    <n v="2"/>
    <n v="2"/>
    <n v="0"/>
    <n v="0"/>
    <n v="0"/>
    <n v="1"/>
    <n v="0"/>
    <n v="0"/>
    <n v="0"/>
    <n v="1"/>
    <n v="0"/>
    <n v="0"/>
    <n v="0"/>
    <n v="0"/>
    <n v="0"/>
    <n v="0"/>
    <n v="0"/>
    <n v="0"/>
    <n v="0"/>
    <n v="0"/>
    <n v="0"/>
    <n v="0"/>
    <m/>
  </r>
  <r>
    <n v="1097"/>
    <d v="2024-12-04T11:14:20"/>
    <d v="2024-12-04T11:17:00"/>
    <s v="ymanda@lighthouse.org.mw"/>
    <s v="Yollam Manda"/>
    <x v="6"/>
    <s v="Prototype"/>
    <x v="1"/>
    <s v="COP_24"/>
    <s v="COP_24"/>
    <x v="0"/>
    <s v="Quarter1"/>
    <s v="Qtr_1"/>
    <s v="Nov"/>
    <d v="2024-11-01T00:00:00"/>
    <d v="2024-11-30T00:00:00"/>
    <x v="3"/>
    <n v="0"/>
    <n v="0"/>
    <n v="0"/>
    <n v="0"/>
    <n v="0"/>
    <n v="0"/>
    <n v="0"/>
    <n v="0"/>
    <n v="0"/>
    <n v="0"/>
    <n v="0"/>
    <n v="0"/>
    <n v="0"/>
    <n v="0"/>
    <n v="0"/>
    <n v="0"/>
    <n v="0"/>
    <n v="0"/>
    <n v="0"/>
    <n v="0"/>
    <n v="0"/>
    <n v="0"/>
    <n v="0"/>
    <n v="0"/>
    <n v="0"/>
    <m/>
  </r>
  <r>
    <n v="1098"/>
    <d v="2024-12-04T11:17:04"/>
    <d v="2024-12-04T11:19:07"/>
    <s v="ymanda@lighthouse.org.mw"/>
    <s v="Yollam Manda"/>
    <x v="6"/>
    <s v="Prototype"/>
    <x v="1"/>
    <s v="COP_24"/>
    <s v="COP_24"/>
    <x v="0"/>
    <s v="Quarter1"/>
    <s v="Qtr_1"/>
    <s v="Nov"/>
    <d v="2024-11-01T00:00:00"/>
    <d v="2024-11-30T00:00:00"/>
    <x v="4"/>
    <n v="2"/>
    <n v="0"/>
    <n v="2"/>
    <n v="0"/>
    <n v="0"/>
    <n v="0"/>
    <n v="0"/>
    <n v="0"/>
    <n v="0"/>
    <n v="0"/>
    <n v="0"/>
    <n v="0"/>
    <n v="0"/>
    <n v="0"/>
    <n v="0"/>
    <n v="0"/>
    <n v="0"/>
    <n v="0"/>
    <n v="0"/>
    <n v="0"/>
    <n v="0"/>
    <n v="0"/>
    <n v="0"/>
    <n v="0"/>
    <n v="0"/>
    <m/>
  </r>
  <r>
    <n v="1099"/>
    <d v="2024-12-04T11:19:14"/>
    <d v="2024-12-04T11:21:11"/>
    <s v="ymanda@lighthouse.org.mw"/>
    <s v="Yollam Manda"/>
    <x v="6"/>
    <s v="Prototype"/>
    <x v="1"/>
    <s v="COP_24"/>
    <s v="COP_24"/>
    <x v="0"/>
    <s v="Quarter1"/>
    <s v="Qtr_1"/>
    <s v="Nov"/>
    <d v="2024-11-01T00:00:00"/>
    <d v="2024-11-30T00:00:00"/>
    <x v="5"/>
    <n v="1"/>
    <n v="1"/>
    <n v="1"/>
    <n v="0"/>
    <n v="0"/>
    <n v="0"/>
    <n v="0"/>
    <n v="0"/>
    <n v="0"/>
    <n v="0"/>
    <n v="0"/>
    <n v="0"/>
    <n v="0"/>
    <n v="0"/>
    <n v="0"/>
    <n v="0"/>
    <n v="0"/>
    <n v="0"/>
    <n v="0"/>
    <n v="0"/>
    <n v="0"/>
    <n v="0"/>
    <n v="0"/>
    <n v="0"/>
    <n v="0"/>
    <m/>
  </r>
  <r>
    <n v="1100"/>
    <d v="2024-12-04T11:21:19"/>
    <d v="2024-12-04T11:25:48"/>
    <s v="ymanda@lighthouse.org.mw"/>
    <s v="Yollam Manda"/>
    <x v="6"/>
    <s v="Prototype"/>
    <x v="1"/>
    <s v="COP_24"/>
    <s v="COP_24"/>
    <x v="0"/>
    <s v="Quarter1"/>
    <s v="Qtr_1"/>
    <s v="Nov"/>
    <d v="2024-11-01T00:00:00"/>
    <d v="2024-11-30T00:00:00"/>
    <x v="2"/>
    <n v="5"/>
    <n v="0"/>
    <n v="4"/>
    <n v="1"/>
    <n v="0"/>
    <n v="0"/>
    <n v="0"/>
    <n v="0"/>
    <n v="1"/>
    <n v="0"/>
    <n v="0"/>
    <n v="0"/>
    <n v="1"/>
    <n v="0"/>
    <n v="0"/>
    <n v="0"/>
    <n v="0"/>
    <n v="0"/>
    <n v="0"/>
    <n v="0"/>
    <n v="0"/>
    <n v="0"/>
    <n v="0"/>
    <n v="0"/>
    <n v="0"/>
    <m/>
  </r>
  <r>
    <n v="1101"/>
    <d v="2024-12-04T11:25:54"/>
    <d v="2024-12-04T11:26:47"/>
    <s v="ymanda@lighthouse.org.mw"/>
    <s v="Yollam Manda"/>
    <x v="6"/>
    <s v="Prototype"/>
    <x v="1"/>
    <s v="COP_24"/>
    <s v="COP_24"/>
    <x v="0"/>
    <s v="Quarter1"/>
    <s v="Qtr_1"/>
    <s v="Nov"/>
    <d v="2024-11-01T00:00:00"/>
    <d v="2024-11-30T00:00:00"/>
    <x v="6"/>
    <n v="0"/>
    <n v="0"/>
    <n v="0"/>
    <n v="0"/>
    <n v="0"/>
    <n v="0"/>
    <n v="0"/>
    <n v="0"/>
    <n v="0"/>
    <n v="0"/>
    <n v="0"/>
    <n v="0"/>
    <n v="0"/>
    <n v="0"/>
    <n v="0"/>
    <n v="0"/>
    <n v="0"/>
    <n v="0"/>
    <n v="0"/>
    <n v="0"/>
    <n v="0"/>
    <n v="0"/>
    <n v="0"/>
    <n v="0"/>
    <n v="0"/>
    <m/>
  </r>
  <r>
    <n v="1102"/>
    <d v="2024-12-04T11:26:50"/>
    <d v="2024-12-04T11:30:40"/>
    <s v="ymanda@lighthouse.org.mw"/>
    <s v="Yollam Manda"/>
    <x v="6"/>
    <s v="Prototype"/>
    <x v="1"/>
    <s v="COP_24"/>
    <s v="COP_24"/>
    <x v="0"/>
    <s v="Quarter1"/>
    <s v="Qtr_1"/>
    <s v="Nov"/>
    <d v="2024-11-01T00:00:00"/>
    <d v="2024-11-30T00:00:00"/>
    <x v="0"/>
    <n v="20"/>
    <n v="1"/>
    <n v="15"/>
    <n v="3"/>
    <n v="2"/>
    <n v="0"/>
    <n v="0"/>
    <n v="0"/>
    <n v="2"/>
    <n v="0"/>
    <n v="0"/>
    <n v="0"/>
    <n v="2"/>
    <n v="0"/>
    <n v="0"/>
    <n v="0"/>
    <n v="0"/>
    <n v="0"/>
    <n v="0"/>
    <n v="0"/>
    <n v="0"/>
    <n v="0"/>
    <n v="0"/>
    <n v="0"/>
    <n v="0"/>
    <m/>
  </r>
  <r>
    <n v="1187"/>
    <d v="2025-01-06T09:56:01"/>
    <d v="2025-01-06T13:23:47"/>
    <s v="ymanda@lighthouse.org.mw"/>
    <s v="Yollam Manda"/>
    <x v="6"/>
    <s v="Prototype"/>
    <x v="1"/>
    <s v="COP_23"/>
    <s v="COP_24"/>
    <x v="0"/>
    <s v="Quarter1"/>
    <s v="Qtr_1"/>
    <s v="Dec"/>
    <d v="2024-12-01T00:00:00"/>
    <d v="2024-12-31T00:00:00"/>
    <x v="3"/>
    <n v="0"/>
    <n v="0"/>
    <n v="0"/>
    <n v="0"/>
    <n v="0"/>
    <n v="0"/>
    <n v="0"/>
    <n v="0"/>
    <n v="0"/>
    <n v="0"/>
    <n v="0"/>
    <n v="0"/>
    <n v="0"/>
    <n v="0"/>
    <n v="0"/>
    <n v="0"/>
    <n v="0"/>
    <n v="0"/>
    <n v="0"/>
    <n v="0"/>
    <n v="0"/>
    <n v="0"/>
    <n v="0"/>
    <n v="0"/>
    <n v="0"/>
    <m/>
  </r>
  <r>
    <n v="1188"/>
    <d v="2025-01-06T13:23:51"/>
    <d v="2025-01-06T13:24:38"/>
    <s v="ymanda@lighthouse.org.mw"/>
    <s v="Yollam Manda"/>
    <x v="6"/>
    <s v="Prototype"/>
    <x v="1"/>
    <s v="COP_23"/>
    <s v="COP_24"/>
    <x v="0"/>
    <s v="Quarter1"/>
    <s v="Qtr_1"/>
    <s v="Dec"/>
    <d v="2024-12-01T00:00:00"/>
    <d v="2024-12-31T00:00:00"/>
    <x v="4"/>
    <n v="0"/>
    <n v="0"/>
    <n v="0"/>
    <n v="0"/>
    <n v="0"/>
    <n v="0"/>
    <n v="0"/>
    <n v="0"/>
    <n v="0"/>
    <n v="0"/>
    <n v="0"/>
    <n v="0"/>
    <n v="0"/>
    <n v="0"/>
    <n v="0"/>
    <n v="0"/>
    <n v="0"/>
    <n v="0"/>
    <n v="0"/>
    <n v="0"/>
    <n v="0"/>
    <n v="0"/>
    <n v="0"/>
    <n v="0"/>
    <n v="0"/>
    <m/>
  </r>
  <r>
    <n v="1189"/>
    <d v="2025-01-06T13:24:45"/>
    <d v="2025-01-06T13:26:20"/>
    <s v="ymanda@lighthouse.org.mw"/>
    <s v="Yollam Manda"/>
    <x v="6"/>
    <s v="Prototype"/>
    <x v="1"/>
    <s v="COP_23"/>
    <s v="COP_24"/>
    <x v="0"/>
    <s v="Quarter1"/>
    <s v="Qtr_1"/>
    <s v="Dec"/>
    <d v="2024-12-01T00:00:00"/>
    <d v="2024-12-31T00:00:00"/>
    <x v="5"/>
    <n v="0"/>
    <n v="0"/>
    <n v="0"/>
    <n v="0"/>
    <n v="0"/>
    <n v="0"/>
    <n v="0"/>
    <n v="0"/>
    <n v="0"/>
    <n v="0"/>
    <n v="0"/>
    <n v="0"/>
    <n v="0"/>
    <n v="0"/>
    <n v="0"/>
    <n v="0"/>
    <n v="0"/>
    <n v="0"/>
    <n v="0"/>
    <n v="0"/>
    <n v="0"/>
    <n v="0"/>
    <n v="0"/>
    <n v="0"/>
    <n v="0"/>
    <m/>
  </r>
  <r>
    <n v="1190"/>
    <d v="2025-01-06T13:26:32"/>
    <d v="2025-01-06T13:27:25"/>
    <s v="ymanda@lighthouse.org.mw"/>
    <s v="Yollam Manda"/>
    <x v="6"/>
    <s v="Prototype"/>
    <x v="1"/>
    <s v="COP_23"/>
    <s v="COP_24"/>
    <x v="0"/>
    <s v="Quarter1"/>
    <s v="Qtr_1"/>
    <s v="Dec"/>
    <d v="2024-12-01T00:00:00"/>
    <d v="2024-12-31T00:00:00"/>
    <x v="6"/>
    <n v="0"/>
    <n v="0"/>
    <n v="0"/>
    <n v="0"/>
    <n v="0"/>
    <n v="0"/>
    <n v="0"/>
    <n v="0"/>
    <n v="0"/>
    <n v="0"/>
    <n v="0"/>
    <n v="0"/>
    <n v="0"/>
    <n v="0"/>
    <n v="0"/>
    <n v="0"/>
    <n v="0"/>
    <n v="0"/>
    <n v="0"/>
    <n v="0"/>
    <n v="0"/>
    <n v="0"/>
    <n v="0"/>
    <n v="0"/>
    <n v="0"/>
    <m/>
  </r>
  <r>
    <n v="1191"/>
    <d v="2025-01-06T13:27:30"/>
    <d v="2025-01-06T13:31:18"/>
    <s v="ymanda@lighthouse.org.mw"/>
    <s v="Yollam Manda"/>
    <x v="6"/>
    <s v="Prototype"/>
    <x v="1"/>
    <s v="COP_23"/>
    <s v="COP_24"/>
    <x v="0"/>
    <s v="Quarter1"/>
    <s v="Qtr_1"/>
    <s v="Dec"/>
    <d v="2024-12-01T00:00:00"/>
    <d v="2024-12-31T00:00:00"/>
    <x v="0"/>
    <n v="12"/>
    <n v="1"/>
    <n v="9"/>
    <n v="0"/>
    <n v="3"/>
    <n v="0"/>
    <n v="8"/>
    <n v="2"/>
    <n v="2"/>
    <n v="0"/>
    <n v="0"/>
    <n v="0"/>
    <n v="3"/>
    <n v="0"/>
    <n v="1"/>
    <n v="1"/>
    <n v="0"/>
    <n v="0"/>
    <n v="0"/>
    <n v="0"/>
    <n v="1"/>
    <n v="0"/>
    <n v="0"/>
    <n v="0"/>
    <n v="0"/>
    <m/>
  </r>
  <r>
    <n v="1193"/>
    <d v="2025-01-06T13:32:22"/>
    <d v="2025-01-06T13:34:49"/>
    <s v="ymanda@lighthouse.org.mw"/>
    <s v="Yollam Manda"/>
    <x v="6"/>
    <s v="Prototype"/>
    <x v="1"/>
    <s v="COP_23"/>
    <s v="COP_24"/>
    <x v="0"/>
    <s v="Quarter1"/>
    <s v="Qtr_1"/>
    <s v="Dec"/>
    <d v="2024-12-01T00:00:00"/>
    <d v="2024-12-31T00:00:00"/>
    <x v="2"/>
    <n v="1"/>
    <n v="1"/>
    <n v="0"/>
    <n v="0"/>
    <n v="1"/>
    <n v="0"/>
    <n v="1"/>
    <n v="1"/>
    <n v="1"/>
    <n v="0"/>
    <n v="0"/>
    <n v="0"/>
    <n v="1"/>
    <n v="0"/>
    <n v="0"/>
    <n v="0"/>
    <n v="0"/>
    <n v="0"/>
    <n v="0"/>
    <n v="0"/>
    <n v="0"/>
    <n v="0"/>
    <n v="0"/>
    <n v="0"/>
    <n v="0"/>
    <m/>
  </r>
  <r>
    <n v="1194"/>
    <d v="2025-01-06T13:35:14"/>
    <d v="2025-01-06T13:37:56"/>
    <s v="ymanda@lighthouse.org.mw"/>
    <s v="Yollam Manda"/>
    <x v="6"/>
    <s v="Prototype"/>
    <x v="1"/>
    <s v="COP_23"/>
    <s v="COP_24"/>
    <x v="0"/>
    <s v="Quarter1"/>
    <s v="Qtr_1"/>
    <s v="Dec"/>
    <d v="2024-12-01T00:00:00"/>
    <d v="2024-12-31T00:00:00"/>
    <x v="1"/>
    <n v="11"/>
    <n v="0"/>
    <n v="9"/>
    <n v="0"/>
    <n v="2"/>
    <n v="0"/>
    <n v="7"/>
    <n v="1"/>
    <n v="1"/>
    <n v="0"/>
    <n v="0"/>
    <n v="0"/>
    <n v="2"/>
    <n v="0"/>
    <n v="1"/>
    <n v="1"/>
    <n v="0"/>
    <n v="0"/>
    <n v="0"/>
    <n v="0"/>
    <n v="1"/>
    <n v="0"/>
    <n v="0"/>
    <n v="0"/>
    <n v="0"/>
    <m/>
  </r>
  <r>
    <n v="1347"/>
    <d v="2025-03-06T08:43:30"/>
    <d v="2025-03-06T09:00:45"/>
    <s v="ymanda@lighthouse.org.mw"/>
    <s v="Yollam Manda"/>
    <x v="6"/>
    <s v="Prototype"/>
    <x v="2"/>
    <s v="COP_23"/>
    <s v="COP_24"/>
    <x v="2"/>
    <s v="Quarter2"/>
    <s v="Qtr_2"/>
    <s v="Jan"/>
    <d v="2025-01-01T00:00:00"/>
    <d v="2025-01-31T00:00:00"/>
    <x v="1"/>
    <n v="13"/>
    <n v="1"/>
    <n v="10"/>
    <n v="1"/>
    <n v="1"/>
    <n v="1"/>
    <n v="9"/>
    <n v="7"/>
    <n v="7"/>
    <n v="1"/>
    <n v="0"/>
    <n v="0"/>
    <n v="6"/>
    <n v="0"/>
    <n v="1"/>
    <n v="1"/>
    <n v="0"/>
    <n v="0"/>
    <n v="0"/>
    <n v="0"/>
    <n v="1"/>
    <n v="0"/>
    <n v="1"/>
    <n v="0"/>
    <n v="0"/>
    <m/>
  </r>
  <r>
    <n v="1348"/>
    <d v="2025-03-06T09:00:57"/>
    <d v="2025-03-06T09:02:54"/>
    <s v="ymanda@lighthouse.org.mw"/>
    <s v="Yollam Manda"/>
    <x v="6"/>
    <s v="Prototype"/>
    <x v="2"/>
    <s v="COP_23"/>
    <s v="COP_24"/>
    <x v="2"/>
    <s v="Quarter2"/>
    <s v="Qtr_2"/>
    <s v="Jan"/>
    <d v="2025-01-01T00:00:00"/>
    <d v="2025-01-31T00:00:00"/>
    <x v="3"/>
    <n v="0"/>
    <n v="0"/>
    <n v="0"/>
    <n v="0"/>
    <n v="0"/>
    <n v="0"/>
    <n v="0"/>
    <n v="0"/>
    <n v="0"/>
    <n v="0"/>
    <n v="0"/>
    <n v="0"/>
    <n v="0"/>
    <n v="0"/>
    <n v="0"/>
    <n v="0"/>
    <n v="0"/>
    <n v="0"/>
    <n v="0"/>
    <n v="0"/>
    <n v="0"/>
    <n v="0"/>
    <n v="0"/>
    <n v="0"/>
    <n v="0"/>
    <m/>
  </r>
  <r>
    <n v="1349"/>
    <d v="2025-03-06T09:02:57"/>
    <d v="2025-03-06T09:06:10"/>
    <s v="ymanda@lighthouse.org.mw"/>
    <s v="Yollam Manda"/>
    <x v="6"/>
    <s v="Prototype"/>
    <x v="2"/>
    <s v="COP_23"/>
    <s v="COP_24"/>
    <x v="2"/>
    <s v="Quarter2"/>
    <s v="Qtr_2"/>
    <s v="Jan"/>
    <d v="2025-01-01T00:00:00"/>
    <d v="2025-01-31T00:00:00"/>
    <x v="4"/>
    <n v="0"/>
    <n v="0"/>
    <n v="0"/>
    <n v="0"/>
    <n v="0"/>
    <n v="0"/>
    <n v="0"/>
    <n v="0"/>
    <n v="0"/>
    <n v="0"/>
    <n v="0"/>
    <n v="0"/>
    <n v="0"/>
    <n v="0"/>
    <n v="0"/>
    <n v="0"/>
    <n v="0"/>
    <n v="0"/>
    <n v="0"/>
    <n v="0"/>
    <n v="0"/>
    <n v="0"/>
    <n v="0"/>
    <n v="0"/>
    <n v="0"/>
    <m/>
  </r>
  <r>
    <n v="1350"/>
    <d v="2025-03-06T09:06:13"/>
    <d v="2025-03-06T09:09:17"/>
    <s v="ymanda@lighthouse.org.mw"/>
    <s v="Yollam Manda"/>
    <x v="6"/>
    <s v="Prototype"/>
    <x v="2"/>
    <s v="COP_23"/>
    <s v="COP_24"/>
    <x v="2"/>
    <s v="Quarter2"/>
    <s v="Qtr_2"/>
    <s v="Jan"/>
    <d v="2025-01-01T00:00:00"/>
    <d v="2025-01-31T00:00:00"/>
    <x v="5"/>
    <n v="0"/>
    <n v="0"/>
    <n v="0"/>
    <n v="0"/>
    <n v="0"/>
    <n v="0"/>
    <n v="0"/>
    <n v="0"/>
    <n v="0"/>
    <n v="0"/>
    <n v="0"/>
    <n v="0"/>
    <n v="0"/>
    <n v="0"/>
    <n v="0"/>
    <n v="0"/>
    <n v="0"/>
    <n v="0"/>
    <n v="0"/>
    <n v="0"/>
    <n v="0"/>
    <n v="0"/>
    <n v="0"/>
    <n v="0"/>
    <n v="0"/>
    <m/>
  </r>
  <r>
    <n v="1351"/>
    <d v="2025-03-06T09:09:21"/>
    <d v="2025-03-06T09:11:15"/>
    <s v="ymanda@lighthouse.org.mw"/>
    <s v="Yollam Manda"/>
    <x v="6"/>
    <s v="Prototype"/>
    <x v="2"/>
    <s v="COP_23"/>
    <s v="COP_24"/>
    <x v="2"/>
    <s v="Quarter2"/>
    <s v="Qtr_2"/>
    <s v="Jan"/>
    <d v="2025-01-01T00:00:00"/>
    <d v="2025-01-31T00:00:00"/>
    <x v="2"/>
    <n v="0"/>
    <n v="0"/>
    <n v="0"/>
    <n v="0"/>
    <n v="0"/>
    <n v="0"/>
    <n v="0"/>
    <n v="0"/>
    <n v="0"/>
    <n v="0"/>
    <n v="0"/>
    <n v="0"/>
    <n v="0"/>
    <n v="0"/>
    <n v="0"/>
    <n v="0"/>
    <n v="0"/>
    <n v="0"/>
    <n v="0"/>
    <n v="0"/>
    <n v="0"/>
    <n v="0"/>
    <n v="0"/>
    <n v="0"/>
    <n v="0"/>
    <m/>
  </r>
  <r>
    <n v="1352"/>
    <d v="2025-03-06T09:11:18"/>
    <d v="2025-03-06T09:13:42"/>
    <s v="ymanda@lighthouse.org.mw"/>
    <s v="Yollam Manda"/>
    <x v="6"/>
    <s v="Prototype"/>
    <x v="2"/>
    <s v="COP_23"/>
    <s v="COP_24"/>
    <x v="2"/>
    <s v="Quarter2"/>
    <s v="Qtr_2"/>
    <s v="Jan"/>
    <d v="2025-01-01T00:00:00"/>
    <d v="2025-01-31T00:00:00"/>
    <x v="6"/>
    <n v="0"/>
    <n v="0"/>
    <n v="0"/>
    <n v="0"/>
    <n v="0"/>
    <n v="0"/>
    <n v="0"/>
    <n v="0"/>
    <n v="0"/>
    <n v="0"/>
    <n v="0"/>
    <n v="0"/>
    <n v="0"/>
    <n v="0"/>
    <n v="0"/>
    <n v="0"/>
    <n v="0"/>
    <n v="0"/>
    <n v="0"/>
    <n v="0"/>
    <n v="0"/>
    <n v="0"/>
    <n v="0"/>
    <n v="0"/>
    <n v="0"/>
    <m/>
  </r>
  <r>
    <n v="1353"/>
    <d v="2025-03-06T09:13:53"/>
    <d v="2025-03-06T09:18:50"/>
    <s v="ymanda@lighthouse.org.mw"/>
    <s v="Yollam Manda"/>
    <x v="6"/>
    <s v="Prototype"/>
    <x v="2"/>
    <s v="COP_23"/>
    <s v="COP_24"/>
    <x v="2"/>
    <s v="Quarter2"/>
    <s v="Qtr_2"/>
    <s v="Jan"/>
    <d v="2025-01-01T00:00:00"/>
    <d v="2025-01-31T00:00:00"/>
    <x v="0"/>
    <n v="13"/>
    <n v="1"/>
    <n v="10"/>
    <n v="1"/>
    <n v="1"/>
    <n v="1"/>
    <n v="9"/>
    <n v="7"/>
    <n v="7"/>
    <n v="1"/>
    <n v="0"/>
    <n v="0"/>
    <n v="6"/>
    <n v="0"/>
    <n v="1"/>
    <n v="1"/>
    <n v="0"/>
    <n v="0"/>
    <n v="0"/>
    <n v="0"/>
    <n v="1"/>
    <n v="0"/>
    <n v="1"/>
    <n v="0"/>
    <n v="0"/>
    <m/>
  </r>
  <r>
    <n v="1354"/>
    <d v="2025-03-06T09:28:19"/>
    <d v="2025-03-06T09:39:02"/>
    <s v="ymanda@lighthouse.org.mw"/>
    <s v="Yollam Manda"/>
    <x v="6"/>
    <s v="Prototype"/>
    <x v="2"/>
    <s v="COP_23"/>
    <s v="COP_24"/>
    <x v="2"/>
    <s v="Quarter2"/>
    <s v="Qtr_2"/>
    <s v="Feb"/>
    <d v="2025-02-01T00:00:00"/>
    <d v="2025-02-28T00:00:00"/>
    <x v="1"/>
    <n v="13"/>
    <n v="2"/>
    <n v="10"/>
    <n v="2"/>
    <n v="0"/>
    <n v="1"/>
    <n v="0"/>
    <n v="0"/>
    <n v="0"/>
    <n v="0"/>
    <n v="0"/>
    <n v="0"/>
    <n v="1"/>
    <n v="1"/>
    <n v="0"/>
    <n v="0"/>
    <n v="0"/>
    <n v="0"/>
    <n v="0"/>
    <n v="0"/>
    <n v="1"/>
    <n v="0"/>
    <n v="0"/>
    <n v="0"/>
    <n v="0"/>
    <m/>
  </r>
  <r>
    <n v="1355"/>
    <d v="2025-03-06T09:41:25"/>
    <d v="2025-03-06T09:42:35"/>
    <s v="ymanda@lighthouse.org.mw"/>
    <s v="Yollam Manda"/>
    <x v="6"/>
    <s v="Prototype"/>
    <x v="2"/>
    <s v="COP_23"/>
    <s v="COP_24"/>
    <x v="2"/>
    <s v="Quarter2"/>
    <s v="Qtr_2"/>
    <s v="Feb"/>
    <d v="2025-02-01T00:00:00"/>
    <d v="2025-02-28T00:00:00"/>
    <x v="3"/>
    <n v="0"/>
    <n v="0"/>
    <n v="0"/>
    <n v="0"/>
    <n v="0"/>
    <n v="0"/>
    <n v="0"/>
    <n v="0"/>
    <n v="0"/>
    <n v="0"/>
    <n v="0"/>
    <n v="0"/>
    <n v="0"/>
    <n v="0"/>
    <n v="0"/>
    <n v="0"/>
    <n v="0"/>
    <n v="0"/>
    <n v="0"/>
    <n v="0"/>
    <n v="0"/>
    <n v="0"/>
    <n v="0"/>
    <n v="0"/>
    <n v="0"/>
    <m/>
  </r>
  <r>
    <n v="1356"/>
    <d v="2025-03-06T09:44:50"/>
    <d v="2025-03-06T09:45:58"/>
    <s v="ymanda@lighthouse.org.mw"/>
    <s v="Yollam Manda"/>
    <x v="6"/>
    <s v="Prototype"/>
    <x v="2"/>
    <s v="COP_23"/>
    <s v="COP_24"/>
    <x v="2"/>
    <s v="Quarter2"/>
    <s v="Qtr_2"/>
    <s v="Feb"/>
    <d v="2025-02-01T00:00:00"/>
    <d v="2025-02-28T00:00:00"/>
    <x v="4"/>
    <n v="0"/>
    <n v="0"/>
    <n v="0"/>
    <n v="0"/>
    <n v="0"/>
    <n v="0"/>
    <n v="0"/>
    <n v="0"/>
    <n v="0"/>
    <n v="0"/>
    <n v="0"/>
    <n v="0"/>
    <n v="0"/>
    <n v="0"/>
    <n v="0"/>
    <n v="0"/>
    <n v="0"/>
    <n v="0"/>
    <n v="0"/>
    <n v="0"/>
    <n v="0"/>
    <n v="0"/>
    <n v="0"/>
    <n v="0"/>
    <n v="0"/>
    <m/>
  </r>
  <r>
    <n v="1357"/>
    <d v="2025-03-06T09:46:23"/>
    <d v="2025-03-06T09:48:15"/>
    <s v="ymanda@lighthouse.org.mw"/>
    <s v="Yollam Manda"/>
    <x v="6"/>
    <s v="Prototype"/>
    <x v="2"/>
    <s v="COP_23"/>
    <s v="COP_24"/>
    <x v="2"/>
    <s v="Quarter2"/>
    <s v="Qtr_2"/>
    <s v="Feb"/>
    <d v="2025-02-01T00:00:00"/>
    <d v="2025-02-28T00:00:00"/>
    <x v="5"/>
    <n v="0"/>
    <n v="0"/>
    <n v="0"/>
    <n v="0"/>
    <n v="0"/>
    <n v="0"/>
    <n v="0"/>
    <n v="0"/>
    <n v="0"/>
    <n v="0"/>
    <n v="0"/>
    <n v="0"/>
    <n v="0"/>
    <n v="0"/>
    <n v="0"/>
    <n v="0"/>
    <n v="0"/>
    <n v="0"/>
    <n v="0"/>
    <n v="0"/>
    <n v="0"/>
    <n v="0"/>
    <n v="0"/>
    <n v="0"/>
    <n v="0"/>
    <m/>
  </r>
  <r>
    <n v="1358"/>
    <d v="2025-03-06T09:48:22"/>
    <d v="2025-03-06T09:49:56"/>
    <s v="ymanda@lighthouse.org.mw"/>
    <s v="Yollam Manda"/>
    <x v="6"/>
    <s v="Prototype"/>
    <x v="2"/>
    <s v="COP_23"/>
    <s v="COP_24"/>
    <x v="2"/>
    <s v="Quarter2"/>
    <s v="Qtr_2"/>
    <s v="Feb"/>
    <d v="2025-02-01T00:00:00"/>
    <d v="2025-02-28T00:00:00"/>
    <x v="2"/>
    <n v="0"/>
    <n v="0"/>
    <n v="0"/>
    <n v="0"/>
    <n v="0"/>
    <n v="0"/>
    <n v="0"/>
    <n v="0"/>
    <n v="0"/>
    <n v="0"/>
    <n v="0"/>
    <n v="0"/>
    <n v="0"/>
    <n v="0"/>
    <n v="0"/>
    <n v="0"/>
    <n v="0"/>
    <n v="0"/>
    <n v="0"/>
    <n v="0"/>
    <n v="0"/>
    <n v="0"/>
    <n v="0"/>
    <n v="0"/>
    <n v="0"/>
    <m/>
  </r>
  <r>
    <n v="1359"/>
    <d v="2025-03-06T09:50:38"/>
    <d v="2025-03-06T09:52:46"/>
    <s v="ymanda@lighthouse.org.mw"/>
    <s v="Yollam Manda"/>
    <x v="6"/>
    <s v="Prototype"/>
    <x v="2"/>
    <s v="COP_23"/>
    <s v="COP_24"/>
    <x v="2"/>
    <s v="Quarter2"/>
    <s v="Qtr_2"/>
    <s v="Feb"/>
    <d v="2025-02-01T00:00:00"/>
    <d v="2025-02-28T00:00:00"/>
    <x v="6"/>
    <n v="0"/>
    <n v="0"/>
    <n v="0"/>
    <n v="0"/>
    <n v="0"/>
    <n v="0"/>
    <n v="0"/>
    <n v="0"/>
    <n v="0"/>
    <n v="0"/>
    <n v="0"/>
    <n v="0"/>
    <n v="0"/>
    <n v="0"/>
    <n v="0"/>
    <n v="0"/>
    <n v="0"/>
    <n v="0"/>
    <n v="0"/>
    <n v="0"/>
    <n v="0"/>
    <n v="0"/>
    <n v="0"/>
    <n v="0"/>
    <n v="0"/>
    <m/>
  </r>
  <r>
    <n v="1360"/>
    <d v="2025-03-06T09:53:32"/>
    <d v="2025-03-06T09:58:34"/>
    <s v="ymanda@lighthouse.org.mw"/>
    <s v="Yollam Manda"/>
    <x v="6"/>
    <s v="Prototype"/>
    <x v="2"/>
    <s v="COP_23"/>
    <s v="COP_24"/>
    <x v="2"/>
    <s v="Quarter2"/>
    <s v="Qtr_2"/>
    <s v="Feb"/>
    <d v="2025-02-01T00:00:00"/>
    <d v="2025-02-28T00:00:00"/>
    <x v="0"/>
    <n v="13"/>
    <n v="2"/>
    <n v="10"/>
    <n v="2"/>
    <n v="0"/>
    <n v="1"/>
    <n v="0"/>
    <n v="0"/>
    <n v="0"/>
    <n v="0"/>
    <n v="0"/>
    <n v="0"/>
    <n v="1"/>
    <n v="1"/>
    <n v="0"/>
    <n v="0"/>
    <n v="0"/>
    <n v="0"/>
    <n v="0"/>
    <n v="0"/>
    <n v="1"/>
    <n v="0"/>
    <n v="0"/>
    <n v="0"/>
    <n v="0"/>
    <m/>
  </r>
  <r>
    <n v="1473"/>
    <d v="2025-04-02T10:56:52"/>
    <d v="2025-04-02T11:18:44"/>
    <s v="lkaonga@lighthouse.org.mw"/>
    <s v="Lameck Kaonga"/>
    <x v="6"/>
    <s v="Prototype"/>
    <x v="2"/>
    <s v="COP_23"/>
    <s v="COP_24"/>
    <x v="2"/>
    <s v="Quarter2"/>
    <s v="Qtr_2"/>
    <s v="Mar"/>
    <d v="2025-03-01T00:00:00"/>
    <d v="2025-03-31T00:00:00"/>
    <x v="1"/>
    <n v="12"/>
    <n v="1"/>
    <n v="9"/>
    <n v="2"/>
    <n v="1"/>
    <n v="0"/>
    <n v="9"/>
    <n v="0"/>
    <n v="1"/>
    <n v="0"/>
    <n v="0"/>
    <n v="0"/>
    <n v="0"/>
    <n v="0"/>
    <n v="0"/>
    <n v="0"/>
    <n v="0"/>
    <n v="0"/>
    <n v="0"/>
    <n v="0"/>
    <n v="0"/>
    <n v="0"/>
    <n v="0"/>
    <n v="0"/>
    <n v="0"/>
    <m/>
  </r>
  <r>
    <n v="1474"/>
    <d v="2025-04-02T11:18:53"/>
    <d v="2025-04-02T11:20:54"/>
    <s v="lkaonga@lighthouse.org.mw"/>
    <s v="Lameck Kaonga"/>
    <x v="6"/>
    <s v="Prototype"/>
    <x v="2"/>
    <s v="COP_23"/>
    <s v="COP_24"/>
    <x v="2"/>
    <s v="Quarter2"/>
    <s v="Qtr_2"/>
    <s v="Mar"/>
    <d v="2025-03-01T00:00:00"/>
    <d v="2025-03-31T00:00:00"/>
    <x v="5"/>
    <n v="4"/>
    <n v="0"/>
    <n v="4"/>
    <n v="0"/>
    <n v="0"/>
    <n v="0"/>
    <n v="0"/>
    <n v="0"/>
    <n v="0"/>
    <n v="0"/>
    <n v="0"/>
    <n v="0"/>
    <n v="0"/>
    <n v="0"/>
    <n v="0"/>
    <n v="0"/>
    <n v="0"/>
    <n v="0"/>
    <n v="0"/>
    <n v="0"/>
    <n v="0"/>
    <n v="0"/>
    <n v="0"/>
    <n v="0"/>
    <n v="0"/>
    <m/>
  </r>
  <r>
    <n v="1475"/>
    <d v="2025-04-02T11:21:03"/>
    <d v="2025-04-02T11:23:03"/>
    <s v="lkaonga@lighthouse.org.mw"/>
    <s v="Lameck Kaonga"/>
    <x v="6"/>
    <s v="Prototype"/>
    <x v="2"/>
    <s v="COP_23"/>
    <s v="COP_24"/>
    <x v="2"/>
    <s v="Quarter2"/>
    <s v="Qtr_2"/>
    <s v="Mar"/>
    <d v="2025-03-01T00:00:00"/>
    <d v="2025-03-31T00:00:00"/>
    <x v="2"/>
    <n v="3"/>
    <n v="0"/>
    <n v="3"/>
    <n v="0"/>
    <n v="0"/>
    <n v="0"/>
    <n v="1"/>
    <n v="0"/>
    <n v="0"/>
    <n v="0"/>
    <n v="0"/>
    <n v="0"/>
    <n v="0"/>
    <n v="0"/>
    <n v="0"/>
    <n v="0"/>
    <n v="0"/>
    <n v="0"/>
    <n v="0"/>
    <n v="0"/>
    <n v="0"/>
    <n v="0"/>
    <n v="0"/>
    <n v="0"/>
    <n v="0"/>
    <m/>
  </r>
  <r>
    <n v="1476"/>
    <d v="2025-04-02T11:23:10"/>
    <d v="2025-04-02T11:29:20"/>
    <s v="lkaonga@lighthouse.org.mw"/>
    <s v="Lameck Kaonga"/>
    <x v="6"/>
    <s v="Prototype"/>
    <x v="2"/>
    <s v="COP_23"/>
    <s v="COP_24"/>
    <x v="2"/>
    <s v="Quarter2"/>
    <s v="Qtr_2"/>
    <s v="Mar"/>
    <d v="2025-03-01T00:00:00"/>
    <d v="2025-03-31T00:00:00"/>
    <x v="3"/>
    <n v="0"/>
    <n v="0"/>
    <n v="0"/>
    <n v="0"/>
    <n v="0"/>
    <n v="0"/>
    <n v="0"/>
    <n v="0"/>
    <n v="0"/>
    <n v="0"/>
    <n v="0"/>
    <n v="0"/>
    <n v="0"/>
    <n v="0"/>
    <n v="0"/>
    <n v="0"/>
    <n v="0"/>
    <n v="0"/>
    <n v="0"/>
    <n v="0"/>
    <n v="0"/>
    <n v="0"/>
    <n v="0"/>
    <n v="0"/>
    <n v="0"/>
    <m/>
  </r>
  <r>
    <n v="1477"/>
    <d v="2025-04-02T11:29:26"/>
    <d v="2025-04-02T11:30:27"/>
    <s v="lkaonga@lighthouse.org.mw"/>
    <s v="Lameck Kaonga"/>
    <x v="6"/>
    <s v="Prototype"/>
    <x v="2"/>
    <s v="COP_23"/>
    <s v="COP_24"/>
    <x v="2"/>
    <s v="Quarter2"/>
    <s v="Qtr_2"/>
    <s v="Mar"/>
    <d v="2025-03-01T00:00:00"/>
    <d v="2025-03-31T00:00:00"/>
    <x v="4"/>
    <n v="0"/>
    <n v="0"/>
    <n v="0"/>
    <n v="0"/>
    <n v="0"/>
    <n v="0"/>
    <n v="0"/>
    <n v="0"/>
    <n v="0"/>
    <n v="0"/>
    <n v="0"/>
    <n v="0"/>
    <n v="0"/>
    <n v="0"/>
    <n v="0"/>
    <n v="0"/>
    <n v="0"/>
    <n v="0"/>
    <n v="0"/>
    <n v="0"/>
    <n v="0"/>
    <n v="0"/>
    <n v="0"/>
    <n v="0"/>
    <n v="0"/>
    <m/>
  </r>
  <r>
    <n v="1478"/>
    <d v="2025-04-02T11:30:34"/>
    <d v="2025-04-02T11:31:44"/>
    <s v="lkaonga@lighthouse.org.mw"/>
    <s v="Lameck Kaonga"/>
    <x v="6"/>
    <s v="Prototype"/>
    <x v="2"/>
    <s v="COP_23"/>
    <s v="COP_24"/>
    <x v="2"/>
    <s v="Quarter2"/>
    <s v="Qtr_2"/>
    <s v="Mar"/>
    <d v="2025-03-01T00:00:00"/>
    <d v="2025-03-31T00:00:00"/>
    <x v="6"/>
    <n v="0"/>
    <n v="0"/>
    <n v="0"/>
    <n v="0"/>
    <n v="0"/>
    <n v="0"/>
    <n v="0"/>
    <n v="0"/>
    <n v="0"/>
    <n v="0"/>
    <n v="0"/>
    <n v="0"/>
    <n v="0"/>
    <n v="0"/>
    <n v="0"/>
    <n v="0"/>
    <n v="0"/>
    <n v="0"/>
    <n v="0"/>
    <n v="0"/>
    <n v="0"/>
    <n v="0"/>
    <n v="0"/>
    <n v="0"/>
    <n v="0"/>
    <m/>
  </r>
  <r>
    <n v="1479"/>
    <d v="2025-04-02T11:33:02"/>
    <d v="2025-04-02T11:51:51"/>
    <s v="lkaonga@lighthouse.org.mw"/>
    <s v="Lameck Kaonga"/>
    <x v="6"/>
    <s v="Prototype"/>
    <x v="2"/>
    <s v="COP_23"/>
    <s v="COP_24"/>
    <x v="2"/>
    <s v="Quarter2"/>
    <s v="Qtr_2"/>
    <s v="Mar"/>
    <d v="2025-03-01T00:00:00"/>
    <d v="2025-03-31T00:00:00"/>
    <x v="0"/>
    <n v="19"/>
    <n v="1"/>
    <n v="16"/>
    <n v="2"/>
    <n v="1"/>
    <n v="0"/>
    <n v="14"/>
    <n v="0"/>
    <n v="1"/>
    <n v="0"/>
    <n v="0"/>
    <n v="0"/>
    <n v="1"/>
    <n v="0"/>
    <n v="0"/>
    <n v="0"/>
    <n v="0"/>
    <n v="0"/>
    <n v="0"/>
    <n v="0"/>
    <n v="0"/>
    <n v="0"/>
    <n v="0"/>
    <n v="0"/>
    <n v="0"/>
    <m/>
  </r>
  <r>
    <n v="1640"/>
    <d v="2025-06-04T11:05:40"/>
    <d v="2025-06-04T11:12:46"/>
    <s v="lkaonga@lighthouse.org.mw"/>
    <s v="Lameck Kaonga"/>
    <x v="6"/>
    <s v="Prototype"/>
    <x v="2"/>
    <s v="COP_23"/>
    <m/>
    <x v="1"/>
    <s v="Quarter3"/>
    <m/>
    <s v="May"/>
    <d v="2025-05-01T00:00:00"/>
    <d v="2025-05-31T00:00:00"/>
    <x v="1"/>
    <n v="6"/>
    <n v="0"/>
    <n v="5"/>
    <n v="0"/>
    <n v="1"/>
    <n v="0"/>
    <n v="4"/>
    <n v="2"/>
    <n v="1"/>
    <n v="0"/>
    <n v="0"/>
    <n v="0"/>
    <n v="2"/>
    <n v="0"/>
    <n v="2"/>
    <n v="1"/>
    <n v="0"/>
    <n v="0"/>
    <n v="0"/>
    <n v="0"/>
    <n v="0"/>
    <n v="0"/>
    <n v="0"/>
    <n v="0"/>
    <n v="0"/>
    <m/>
  </r>
  <r>
    <n v="1641"/>
    <d v="2025-06-04T11:12:54"/>
    <d v="2025-06-04T11:15:53"/>
    <s v="lkaonga@lighthouse.org.mw"/>
    <s v="Lameck Kaonga"/>
    <x v="6"/>
    <s v="Prototype"/>
    <x v="2"/>
    <s v="COP_23"/>
    <m/>
    <x v="1"/>
    <s v="Quarter3"/>
    <m/>
    <s v="May"/>
    <d v="2025-05-01T00:00:00"/>
    <d v="2025-05-31T00:00:00"/>
    <x v="0"/>
    <n v="6"/>
    <n v="0"/>
    <n v="5"/>
    <n v="0"/>
    <n v="1"/>
    <n v="0"/>
    <n v="4"/>
    <n v="2"/>
    <n v="1"/>
    <n v="0"/>
    <n v="0"/>
    <n v="0"/>
    <n v="2"/>
    <n v="0"/>
    <n v="2"/>
    <n v="1"/>
    <n v="0"/>
    <n v="0"/>
    <n v="0"/>
    <n v="0"/>
    <n v="1"/>
    <n v="0"/>
    <n v="0"/>
    <n v="0"/>
    <n v="0"/>
    <m/>
  </r>
  <r>
    <n v="1642"/>
    <d v="2025-06-04T11:15:58"/>
    <d v="2025-06-04T11:18:58"/>
    <s v="lkaonga@lighthouse.org.mw"/>
    <s v="Lameck Kaonga"/>
    <x v="6"/>
    <s v="Prototype"/>
    <x v="2"/>
    <s v="COP_23"/>
    <m/>
    <x v="1"/>
    <s v="Quarter3"/>
    <m/>
    <s v="May"/>
    <d v="2025-05-01T00:00:00"/>
    <d v="2025-05-31T00:00:00"/>
    <x v="3"/>
    <n v="0"/>
    <n v="0"/>
    <n v="0"/>
    <n v="0"/>
    <n v="0"/>
    <n v="0"/>
    <n v="0"/>
    <n v="0"/>
    <n v="0"/>
    <n v="0"/>
    <n v="0"/>
    <n v="0"/>
    <n v="0"/>
    <n v="0"/>
    <n v="0"/>
    <n v="0"/>
    <n v="0"/>
    <n v="0"/>
    <n v="0"/>
    <n v="0"/>
    <n v="0"/>
    <n v="0"/>
    <n v="0"/>
    <n v="0"/>
    <n v="0"/>
    <m/>
  </r>
  <r>
    <n v="1643"/>
    <d v="2025-06-04T11:19:01"/>
    <d v="2025-06-04T11:20:10"/>
    <s v="lkaonga@lighthouse.org.mw"/>
    <s v="Lameck Kaonga"/>
    <x v="6"/>
    <s v="Prototype"/>
    <x v="2"/>
    <s v="COP_23"/>
    <m/>
    <x v="1"/>
    <s v="Quarter3"/>
    <m/>
    <s v="May"/>
    <d v="2025-05-01T00:00:00"/>
    <d v="2025-05-31T00:00:00"/>
    <x v="4"/>
    <n v="0"/>
    <n v="0"/>
    <n v="0"/>
    <n v="0"/>
    <n v="0"/>
    <n v="0"/>
    <n v="0"/>
    <n v="0"/>
    <n v="0"/>
    <n v="0"/>
    <n v="0"/>
    <n v="0"/>
    <n v="0"/>
    <n v="0"/>
    <n v="0"/>
    <n v="0"/>
    <n v="0"/>
    <n v="0"/>
    <n v="0"/>
    <n v="0"/>
    <n v="0"/>
    <n v="0"/>
    <n v="0"/>
    <n v="0"/>
    <n v="0"/>
    <m/>
  </r>
  <r>
    <n v="1644"/>
    <d v="2025-06-04T11:22:35"/>
    <d v="2025-06-04T11:23:41"/>
    <s v="lkaonga@lighthouse.org.mw"/>
    <s v="Lameck Kaonga"/>
    <x v="6"/>
    <s v="Prototype"/>
    <x v="2"/>
    <s v="COP_23"/>
    <m/>
    <x v="1"/>
    <s v="Quarter3"/>
    <m/>
    <s v="May"/>
    <d v="2025-05-01T00:00:00"/>
    <d v="2025-05-31T00:00:00"/>
    <x v="5"/>
    <n v="0"/>
    <n v="0"/>
    <n v="0"/>
    <n v="0"/>
    <n v="0"/>
    <n v="0"/>
    <n v="0"/>
    <n v="0"/>
    <n v="0"/>
    <n v="0"/>
    <n v="0"/>
    <n v="0"/>
    <n v="0"/>
    <n v="0"/>
    <n v="0"/>
    <n v="0"/>
    <n v="0"/>
    <n v="0"/>
    <n v="0"/>
    <n v="0"/>
    <n v="0"/>
    <n v="0"/>
    <n v="0"/>
    <n v="0"/>
    <n v="0"/>
    <m/>
  </r>
  <r>
    <n v="1645"/>
    <d v="2025-06-04T11:23:46"/>
    <d v="2025-06-04T11:26:01"/>
    <s v="lkaonga@lighthouse.org.mw"/>
    <s v="Lameck Kaonga"/>
    <x v="6"/>
    <s v="Prototype"/>
    <x v="2"/>
    <s v="COP_23"/>
    <m/>
    <x v="1"/>
    <s v="Quarter3"/>
    <m/>
    <s v="May"/>
    <d v="2025-05-01T00:00:00"/>
    <d v="2025-05-31T00:00:00"/>
    <x v="2"/>
    <n v="0"/>
    <n v="0"/>
    <n v="0"/>
    <n v="0"/>
    <n v="0"/>
    <n v="0"/>
    <n v="0"/>
    <n v="0"/>
    <n v="0"/>
    <n v="0"/>
    <n v="0"/>
    <n v="0"/>
    <n v="0"/>
    <n v="0"/>
    <n v="0"/>
    <n v="0"/>
    <n v="0"/>
    <n v="0"/>
    <n v="0"/>
    <n v="0"/>
    <n v="0"/>
    <n v="0"/>
    <n v="0"/>
    <n v="0"/>
    <n v="0"/>
    <m/>
  </r>
  <r>
    <n v="1646"/>
    <d v="2025-06-04T11:26:08"/>
    <d v="2025-06-04T11:27:08"/>
    <s v="lkaonga@lighthouse.org.mw"/>
    <s v="Lameck Kaonga"/>
    <x v="6"/>
    <s v="Prototype"/>
    <x v="2"/>
    <s v="COP_23"/>
    <m/>
    <x v="1"/>
    <s v="Quarter3"/>
    <m/>
    <s v="May"/>
    <d v="2025-05-01T00:00:00"/>
    <d v="2025-05-31T00:00:00"/>
    <x v="6"/>
    <n v="0"/>
    <n v="0"/>
    <n v="0"/>
    <n v="0"/>
    <n v="0"/>
    <n v="0"/>
    <n v="0"/>
    <n v="0"/>
    <n v="0"/>
    <n v="0"/>
    <n v="0"/>
    <n v="0"/>
    <n v="0"/>
    <n v="0"/>
    <n v="0"/>
    <n v="0"/>
    <n v="0"/>
    <n v="0"/>
    <n v="0"/>
    <n v="0"/>
    <n v="0"/>
    <n v="0"/>
    <n v="0"/>
    <n v="0"/>
    <n v="0"/>
    <m/>
  </r>
  <r>
    <n v="1741"/>
    <d v="2025-07-09T09:55:13"/>
    <d v="2025-07-09T10:04:05"/>
    <s v="lkaonga@lighthouse.org.mw"/>
    <s v="Lameck Kaonga"/>
    <x v="6"/>
    <s v="Prototype"/>
    <x v="2"/>
    <s v="COP_23"/>
    <m/>
    <x v="3"/>
    <s v="Quarter2"/>
    <m/>
    <s v="Jun"/>
    <d v="2025-06-01T00:00:00"/>
    <d v="2025-06-30T00:00:00"/>
    <x v="1"/>
    <n v="3"/>
    <n v="0"/>
    <n v="3"/>
    <n v="0"/>
    <n v="0"/>
    <n v="0"/>
    <n v="2"/>
    <n v="1"/>
    <n v="1"/>
    <n v="0"/>
    <n v="0"/>
    <n v="0"/>
    <n v="1"/>
    <n v="0"/>
    <n v="0"/>
    <n v="0"/>
    <n v="0"/>
    <n v="0"/>
    <n v="0"/>
    <n v="0"/>
    <n v="0"/>
    <n v="0"/>
    <n v="0"/>
    <n v="0"/>
    <n v="0"/>
    <m/>
  </r>
  <r>
    <n v="1744"/>
    <d v="2025-07-09T10:04:13"/>
    <d v="2025-07-09T10:21:19"/>
    <s v="lkaonga@lighthouse.org.mw"/>
    <s v="Lameck Kaonga"/>
    <x v="6"/>
    <s v="Prototype"/>
    <x v="2"/>
    <s v="COP_23"/>
    <m/>
    <x v="3"/>
    <s v="Quarter2"/>
    <m/>
    <s v="Jun"/>
    <d v="2025-06-01T00:00:00"/>
    <d v="2025-06-30T00:00:00"/>
    <x v="3"/>
    <n v="0"/>
    <n v="0"/>
    <n v="0"/>
    <n v="0"/>
    <n v="0"/>
    <n v="0"/>
    <n v="0"/>
    <n v="0"/>
    <n v="0"/>
    <n v="0"/>
    <n v="0"/>
    <n v="0"/>
    <n v="0"/>
    <n v="0"/>
    <n v="0"/>
    <n v="0"/>
    <n v="0"/>
    <n v="0"/>
    <n v="0"/>
    <n v="0"/>
    <n v="0"/>
    <n v="0"/>
    <n v="0"/>
    <n v="0"/>
    <n v="0"/>
    <m/>
  </r>
  <r>
    <n v="1745"/>
    <d v="2025-07-09T10:21:23"/>
    <d v="2025-07-09T10:23:12"/>
    <s v="lkaonga@lighthouse.org.mw"/>
    <s v="Lameck Kaonga"/>
    <x v="6"/>
    <s v="Prototype"/>
    <x v="2"/>
    <s v="COP_23"/>
    <m/>
    <x v="3"/>
    <s v="Quarter2"/>
    <m/>
    <s v="Jun"/>
    <d v="2025-06-01T00:00:00"/>
    <d v="2025-06-30T00:00:00"/>
    <x v="4"/>
    <n v="0"/>
    <n v="0"/>
    <n v="0"/>
    <n v="0"/>
    <n v="0"/>
    <n v="0"/>
    <n v="0"/>
    <n v="0"/>
    <n v="0"/>
    <n v="0"/>
    <n v="0"/>
    <n v="0"/>
    <n v="0"/>
    <n v="0"/>
    <n v="0"/>
    <n v="0"/>
    <n v="0"/>
    <n v="0"/>
    <n v="0"/>
    <n v="0"/>
    <n v="0"/>
    <n v="0"/>
    <n v="0"/>
    <n v="0"/>
    <n v="0"/>
    <m/>
  </r>
  <r>
    <n v="1747"/>
    <d v="2025-07-09T10:24:41"/>
    <d v="2025-07-09T10:26:32"/>
    <s v="lkaonga@lighthouse.org.mw"/>
    <s v="Lameck Kaonga"/>
    <x v="6"/>
    <s v="Prototype"/>
    <x v="2"/>
    <s v="COP_23"/>
    <m/>
    <x v="3"/>
    <s v="Quarter2"/>
    <m/>
    <s v="Jun"/>
    <d v="2025-06-01T00:00:00"/>
    <d v="2025-06-30T00:00:00"/>
    <x v="5"/>
    <n v="0"/>
    <n v="0"/>
    <n v="0"/>
    <n v="0"/>
    <n v="0"/>
    <n v="0"/>
    <n v="0"/>
    <n v="0"/>
    <n v="0"/>
    <n v="0"/>
    <n v="0"/>
    <n v="0"/>
    <n v="0"/>
    <n v="0"/>
    <n v="0"/>
    <n v="0"/>
    <n v="0"/>
    <n v="0"/>
    <n v="0"/>
    <n v="0"/>
    <n v="0"/>
    <n v="0"/>
    <n v="0"/>
    <n v="0"/>
    <n v="0"/>
    <m/>
  </r>
  <r>
    <n v="1748"/>
    <d v="2025-07-09T10:26:41"/>
    <d v="2025-07-09T10:29:50"/>
    <s v="lkaonga@lighthouse.org.mw"/>
    <s v="Lameck Kaonga"/>
    <x v="6"/>
    <s v="Prototype"/>
    <x v="2"/>
    <s v="COP_23"/>
    <m/>
    <x v="3"/>
    <s v="Quarter2"/>
    <m/>
    <s v="Jun"/>
    <d v="2025-06-01T00:00:00"/>
    <d v="2025-06-30T00:00:00"/>
    <x v="2"/>
    <n v="2"/>
    <n v="1"/>
    <n v="1"/>
    <n v="0"/>
    <n v="3"/>
    <n v="0"/>
    <n v="0"/>
    <n v="0"/>
    <n v="0"/>
    <n v="0"/>
    <n v="0"/>
    <n v="0"/>
    <n v="1"/>
    <n v="0"/>
    <n v="0"/>
    <n v="0"/>
    <n v="0"/>
    <n v="0"/>
    <n v="0"/>
    <n v="0"/>
    <n v="0"/>
    <n v="0"/>
    <n v="0"/>
    <n v="0"/>
    <n v="0"/>
    <m/>
  </r>
  <r>
    <n v="1749"/>
    <d v="2025-07-09T10:30:06"/>
    <d v="2025-07-09T10:33:26"/>
    <s v="lkaonga@lighthouse.org.mw"/>
    <s v="Lameck Kaonga"/>
    <x v="6"/>
    <s v="Prototype"/>
    <x v="2"/>
    <s v="COP_23"/>
    <m/>
    <x v="3"/>
    <s v="Quarter2"/>
    <m/>
    <s v="Jun"/>
    <d v="2025-06-01T00:00:00"/>
    <d v="2025-06-30T00:00:00"/>
    <x v="2"/>
    <n v="1"/>
    <n v="0"/>
    <n v="1"/>
    <n v="0"/>
    <n v="0"/>
    <n v="0"/>
    <n v="1"/>
    <n v="0"/>
    <n v="0"/>
    <n v="0"/>
    <n v="0"/>
    <n v="0"/>
    <n v="0"/>
    <n v="0"/>
    <n v="0"/>
    <n v="0"/>
    <n v="0"/>
    <n v="0"/>
    <n v="0"/>
    <n v="0"/>
    <n v="0"/>
    <n v="0"/>
    <n v="0"/>
    <n v="0"/>
    <n v="0"/>
    <m/>
  </r>
  <r>
    <n v="1750"/>
    <d v="2025-07-09T10:33:38"/>
    <d v="2025-07-09T10:35:40"/>
    <s v="lkaonga@lighthouse.org.mw"/>
    <s v="Lameck Kaonga"/>
    <x v="6"/>
    <s v="Prototype"/>
    <x v="2"/>
    <s v="COP_23"/>
    <m/>
    <x v="3"/>
    <s v="Quarter2"/>
    <m/>
    <s v="Jun"/>
    <d v="2025-06-01T00:00:00"/>
    <d v="2025-06-30T00:00:00"/>
    <x v="6"/>
    <n v="0"/>
    <n v="0"/>
    <n v="0"/>
    <n v="0"/>
    <n v="0"/>
    <n v="0"/>
    <n v="0"/>
    <n v="0"/>
    <n v="0"/>
    <n v="0"/>
    <n v="0"/>
    <n v="0"/>
    <n v="0"/>
    <n v="0"/>
    <n v="0"/>
    <n v="0"/>
    <n v="0"/>
    <n v="0"/>
    <n v="0"/>
    <n v="0"/>
    <n v="0"/>
    <n v="0"/>
    <n v="0"/>
    <n v="0"/>
    <n v="0"/>
    <m/>
  </r>
  <r>
    <n v="1758"/>
    <d v="2025-07-09T11:20:00"/>
    <d v="2025-07-09T11:26:08"/>
    <s v="lkaonga@lighthouse.org.mw"/>
    <s v="Lameck Kaonga"/>
    <x v="6"/>
    <s v="Prototype"/>
    <x v="2"/>
    <s v="COP_23"/>
    <m/>
    <x v="3"/>
    <s v="Quarter2"/>
    <m/>
    <s v="Jun"/>
    <d v="2025-06-01T00:00:00"/>
    <d v="2025-06-30T00:00:00"/>
    <x v="0"/>
    <n v="6"/>
    <n v="1"/>
    <n v="5"/>
    <n v="0"/>
    <n v="1"/>
    <n v="0"/>
    <n v="5"/>
    <n v="1"/>
    <n v="1"/>
    <n v="0"/>
    <n v="0"/>
    <n v="0"/>
    <n v="2"/>
    <n v="0"/>
    <n v="0"/>
    <n v="0"/>
    <n v="0"/>
    <n v="0"/>
    <n v="0"/>
    <n v="0"/>
    <n v="0"/>
    <n v="0"/>
    <n v="0"/>
    <n v="0"/>
    <n v="0"/>
    <m/>
  </r>
  <r>
    <n v="1763"/>
    <d v="2025-07-09T11:27:04"/>
    <d v="2025-07-09T11:40:49"/>
    <s v="lkaonga@lighthouse.org.mw"/>
    <s v="Lameck Kaonga"/>
    <x v="6"/>
    <s v="Prototype"/>
    <x v="2"/>
    <s v="COP_23"/>
    <m/>
    <x v="3"/>
    <s v="Quarter2"/>
    <m/>
    <s v="Apr"/>
    <d v="2025-04-01T00:00:00"/>
    <d v="2025-04-30T00:00:00"/>
    <x v="0"/>
    <n v="10"/>
    <n v="1"/>
    <n v="9"/>
    <n v="0"/>
    <n v="0"/>
    <n v="1"/>
    <n v="9"/>
    <n v="4"/>
    <n v="4"/>
    <n v="1"/>
    <n v="1"/>
    <n v="0"/>
    <n v="5"/>
    <n v="1"/>
    <n v="1"/>
    <n v="0"/>
    <n v="0"/>
    <n v="0"/>
    <n v="0"/>
    <n v="0"/>
    <n v="0"/>
    <n v="0"/>
    <n v="0"/>
    <n v="0"/>
    <n v="0"/>
    <m/>
  </r>
  <r>
    <n v="1764"/>
    <d v="2025-07-09T13:25:18"/>
    <d v="2025-07-09T13:28:22"/>
    <s v="lkaonga@lighthouse.org.mw"/>
    <s v="Lameck Kaonga"/>
    <x v="6"/>
    <s v="Prototype"/>
    <x v="2"/>
    <s v="COP_23"/>
    <m/>
    <x v="3"/>
    <s v="Quarter2"/>
    <m/>
    <s v="Apr"/>
    <d v="2025-04-01T00:00:00"/>
    <d v="2025-04-30T00:00:00"/>
    <x v="1"/>
    <n v="6"/>
    <n v="0"/>
    <n v="5"/>
    <n v="0"/>
    <n v="0"/>
    <n v="1"/>
    <n v="6"/>
    <n v="2"/>
    <n v="1"/>
    <n v="0"/>
    <n v="0"/>
    <n v="0"/>
    <n v="2"/>
    <n v="1"/>
    <n v="0"/>
    <n v="0"/>
    <n v="0"/>
    <n v="0"/>
    <n v="0"/>
    <n v="0"/>
    <n v="0"/>
    <n v="0"/>
    <n v="0"/>
    <n v="0"/>
    <n v="0"/>
    <m/>
  </r>
  <r>
    <n v="1765"/>
    <d v="2025-07-09T13:29:37"/>
    <d v="2025-07-09T13:35:12"/>
    <s v="lkaonga@lighthouse.org.mw"/>
    <s v="Lameck Kaonga"/>
    <x v="6"/>
    <s v="Prototype"/>
    <x v="2"/>
    <s v="COP_23"/>
    <m/>
    <x v="3"/>
    <s v="Quarter2"/>
    <m/>
    <s v="Apr"/>
    <d v="2025-04-01T00:00:00"/>
    <d v="2025-04-30T00:00:00"/>
    <x v="5"/>
    <n v="2"/>
    <n v="0"/>
    <n v="2"/>
    <n v="0"/>
    <n v="0"/>
    <n v="0"/>
    <n v="1"/>
    <n v="1"/>
    <n v="2"/>
    <n v="0"/>
    <n v="1"/>
    <n v="0"/>
    <n v="2"/>
    <n v="0"/>
    <n v="0"/>
    <n v="0"/>
    <n v="0"/>
    <n v="0"/>
    <n v="0"/>
    <n v="0"/>
    <n v="0"/>
    <n v="0"/>
    <n v="0"/>
    <n v="0"/>
    <n v="0"/>
    <m/>
  </r>
  <r>
    <n v="1766"/>
    <d v="2025-07-09T13:35:30"/>
    <d v="2025-07-09T13:44:30"/>
    <s v="lkaonga@lighthouse.org.mw"/>
    <s v="Lameck Kaonga"/>
    <x v="6"/>
    <s v="Prototype"/>
    <x v="2"/>
    <s v="COP_23"/>
    <m/>
    <x v="3"/>
    <s v="Quarter2"/>
    <m/>
    <s v="Apr"/>
    <d v="2025-04-01T00:00:00"/>
    <d v="2025-04-30T00:00:00"/>
    <x v="2"/>
    <n v="2"/>
    <n v="1"/>
    <n v="2"/>
    <n v="0"/>
    <n v="0"/>
    <n v="0"/>
    <n v="2"/>
    <n v="1"/>
    <n v="1"/>
    <n v="0"/>
    <n v="0"/>
    <n v="0"/>
    <n v="1"/>
    <n v="0"/>
    <n v="0"/>
    <n v="0"/>
    <n v="0"/>
    <n v="0"/>
    <n v="0"/>
    <n v="0"/>
    <n v="1"/>
    <n v="0"/>
    <n v="0"/>
    <n v="0"/>
    <n v="1"/>
    <m/>
  </r>
  <r>
    <n v="1767"/>
    <d v="2025-07-09T13:44:56"/>
    <d v="2025-07-09T13:46:30"/>
    <s v="lkaonga@lighthouse.org.mw"/>
    <s v="Lameck Kaonga"/>
    <x v="6"/>
    <s v="Prototype"/>
    <x v="2"/>
    <s v="COP_23"/>
    <m/>
    <x v="3"/>
    <s v="Quarter2"/>
    <m/>
    <s v="Apr"/>
    <d v="2025-04-01T00:00:00"/>
    <d v="2025-04-30T00:00:00"/>
    <x v="3"/>
    <n v="0"/>
    <n v="0"/>
    <n v="0"/>
    <n v="0"/>
    <n v="0"/>
    <n v="0"/>
    <n v="0"/>
    <n v="0"/>
    <n v="0"/>
    <n v="0"/>
    <n v="0"/>
    <n v="0"/>
    <n v="0"/>
    <n v="0"/>
    <n v="0"/>
    <n v="0"/>
    <n v="0"/>
    <n v="0"/>
    <n v="0"/>
    <n v="0"/>
    <n v="0"/>
    <n v="0"/>
    <n v="0"/>
    <n v="0"/>
    <n v="0"/>
    <m/>
  </r>
  <r>
    <n v="1768"/>
    <d v="2025-07-09T13:46:42"/>
    <d v="2025-07-09T13:48:39"/>
    <s v="lkaonga@lighthouse.org.mw"/>
    <s v="Lameck Kaonga"/>
    <x v="6"/>
    <s v="Prototype"/>
    <x v="2"/>
    <s v="COP_23"/>
    <m/>
    <x v="3"/>
    <s v="Quarter2"/>
    <m/>
    <s v="Apr"/>
    <d v="2025-04-01T00:00:00"/>
    <d v="2025-04-30T00:00:00"/>
    <x v="4"/>
    <n v="0"/>
    <n v="0"/>
    <n v="0"/>
    <n v="0"/>
    <n v="0"/>
    <n v="0"/>
    <n v="0"/>
    <n v="0"/>
    <n v="0"/>
    <n v="0"/>
    <n v="0"/>
    <n v="0"/>
    <n v="0"/>
    <n v="0"/>
    <n v="0"/>
    <n v="0"/>
    <n v="0"/>
    <n v="0"/>
    <n v="0"/>
    <n v="0"/>
    <n v="0"/>
    <n v="0"/>
    <n v="0"/>
    <n v="0"/>
    <n v="0"/>
    <m/>
  </r>
  <r>
    <n v="1769"/>
    <d v="2025-07-09T13:48:48"/>
    <d v="2025-07-09T13:50:24"/>
    <s v="lkaonga@lighthouse.org.mw"/>
    <s v="Lameck Kaonga"/>
    <x v="6"/>
    <s v="Prototype"/>
    <x v="2"/>
    <s v="COP_23"/>
    <m/>
    <x v="3"/>
    <s v="Quarter2"/>
    <m/>
    <s v="Apr"/>
    <d v="2025-04-01T00:00:00"/>
    <d v="2025-04-30T00:00:00"/>
    <x v="6"/>
    <n v="0"/>
    <n v="0"/>
    <n v="0"/>
    <n v="0"/>
    <n v="0"/>
    <n v="0"/>
    <n v="0"/>
    <n v="0"/>
    <n v="0"/>
    <n v="0"/>
    <n v="0"/>
    <n v="0"/>
    <n v="0"/>
    <n v="0"/>
    <n v="0"/>
    <n v="0"/>
    <n v="0"/>
    <n v="0"/>
    <n v="0"/>
    <n v="0"/>
    <n v="0"/>
    <n v="0"/>
    <n v="0"/>
    <n v="0"/>
    <n v="0"/>
    <m/>
  </r>
  <r>
    <n v="267"/>
    <d v="2024-04-22T16:42:11"/>
    <d v="2024-04-22T16:48:18"/>
    <s v="jmakoza@lighthouse.org.mw"/>
    <s v="Jonathan Makoza"/>
    <x v="7"/>
    <s v="Prototype"/>
    <x v="1"/>
    <s v="COP_23"/>
    <s v="COP_23"/>
    <x v="2"/>
    <s v="Quarter2"/>
    <s v="Qtr_2"/>
    <s v="Jan"/>
    <d v="2024-01-01T00:00:00"/>
    <d v="2024-01-31T00:00:00"/>
    <x v="5"/>
    <n v="0"/>
    <n v="0"/>
    <n v="0"/>
    <n v="0"/>
    <n v="0"/>
    <n v="0"/>
    <n v="0"/>
    <n v="0"/>
    <n v="0"/>
    <n v="0"/>
    <n v="0"/>
    <n v="0"/>
    <n v="0"/>
    <n v="0"/>
    <n v="0"/>
    <n v="0"/>
    <n v="0"/>
    <n v="0"/>
    <n v="0"/>
    <n v="0"/>
    <n v="0"/>
    <n v="0"/>
    <n v="0"/>
    <n v="0"/>
    <n v="0"/>
    <m/>
  </r>
  <r>
    <n v="268"/>
    <d v="2024-04-22T16:48:49"/>
    <d v="2024-04-22T16:50:15"/>
    <s v="jmakoza@lighthouse.org.mw"/>
    <s v="Jonathan Makoza"/>
    <x v="7"/>
    <s v="Prototype"/>
    <x v="1"/>
    <s v="COP_23"/>
    <s v="COP_23"/>
    <x v="2"/>
    <s v="Quarter2"/>
    <s v="Qtr_2"/>
    <s v="Feb"/>
    <d v="2024-02-01T00:00:00"/>
    <d v="2024-02-29T00:00:00"/>
    <x v="5"/>
    <n v="0"/>
    <n v="0"/>
    <n v="0"/>
    <n v="0"/>
    <n v="0"/>
    <n v="0"/>
    <n v="0"/>
    <n v="0"/>
    <n v="0"/>
    <n v="0"/>
    <n v="0"/>
    <n v="0"/>
    <n v="0"/>
    <n v="0"/>
    <n v="0"/>
    <n v="0"/>
    <n v="0"/>
    <n v="0"/>
    <n v="0"/>
    <n v="0"/>
    <n v="0"/>
    <n v="0"/>
    <n v="0"/>
    <n v="0"/>
    <n v="0"/>
    <m/>
  </r>
  <r>
    <n v="269"/>
    <d v="2024-04-22T16:50:23"/>
    <d v="2024-04-22T16:55:17"/>
    <s v="jmakoza@lighthouse.org.mw"/>
    <s v="Jonathan Makoza"/>
    <x v="7"/>
    <s v="Prototype"/>
    <x v="1"/>
    <s v="COP_23"/>
    <s v="COP_23"/>
    <x v="2"/>
    <s v="Quarter2"/>
    <s v="Qtr_2"/>
    <s v="Mar"/>
    <d v="2024-03-01T00:00:00"/>
    <d v="2024-03-31T00:00:00"/>
    <x v="5"/>
    <n v="0"/>
    <n v="0"/>
    <n v="0"/>
    <n v="0"/>
    <n v="0"/>
    <n v="0"/>
    <n v="0"/>
    <n v="0"/>
    <n v="0"/>
    <n v="0"/>
    <n v="0"/>
    <n v="0"/>
    <n v="0"/>
    <n v="0"/>
    <n v="0"/>
    <n v="0"/>
    <n v="0"/>
    <n v="0"/>
    <n v="0"/>
    <n v="0"/>
    <n v="0"/>
    <n v="0"/>
    <n v="0"/>
    <n v="0"/>
    <n v="0"/>
    <m/>
  </r>
  <r>
    <n v="264"/>
    <d v="2024-04-22T15:22:30"/>
    <d v="2024-04-22T16:35:30"/>
    <s v="jmakoza@lighthouse.org.mw"/>
    <s v="Jonathan Makoza"/>
    <x v="7"/>
    <s v="Prototype"/>
    <x v="1"/>
    <s v="COP_23"/>
    <s v="COP_23"/>
    <x v="2"/>
    <s v="Quarter2"/>
    <s v="Qtr_2"/>
    <s v="Jan"/>
    <d v="2024-01-01T00:00:00"/>
    <d v="2024-01-31T00:00:00"/>
    <x v="0"/>
    <n v="15"/>
    <n v="0"/>
    <n v="0"/>
    <n v="0"/>
    <n v="0"/>
    <n v="0"/>
    <n v="3"/>
    <n v="0"/>
    <n v="0"/>
    <n v="0"/>
    <n v="0"/>
    <n v="0"/>
    <n v="0"/>
    <n v="0"/>
    <n v="0"/>
    <n v="0"/>
    <n v="0"/>
    <n v="0"/>
    <n v="0"/>
    <n v="0"/>
    <n v="0"/>
    <n v="0"/>
    <n v="0"/>
    <n v="0"/>
    <n v="0"/>
    <m/>
  </r>
  <r>
    <n v="265"/>
    <d v="2024-04-22T16:35:31"/>
    <d v="2024-04-22T16:38:08"/>
    <s v="jmakoza@lighthouse.org.mw"/>
    <s v="Jonathan Makoza"/>
    <x v="7"/>
    <s v="Prototype"/>
    <x v="1"/>
    <s v="COP_24"/>
    <s v="COP_23"/>
    <x v="2"/>
    <s v="Quarter2"/>
    <s v="Qtr_2"/>
    <s v="Feb"/>
    <d v="2024-02-01T00:00:00"/>
    <d v="2024-02-29T00:00:00"/>
    <x v="0"/>
    <n v="7"/>
    <n v="0"/>
    <n v="0"/>
    <n v="0"/>
    <n v="0"/>
    <n v="0"/>
    <n v="3"/>
    <n v="0"/>
    <n v="0"/>
    <n v="0"/>
    <n v="0"/>
    <n v="0"/>
    <n v="0"/>
    <n v="0"/>
    <n v="0"/>
    <n v="0"/>
    <n v="0"/>
    <n v="0"/>
    <n v="0"/>
    <n v="0"/>
    <n v="0"/>
    <n v="0"/>
    <n v="0"/>
    <n v="0"/>
    <n v="0"/>
    <m/>
  </r>
  <r>
    <n v="266"/>
    <d v="2024-04-22T16:38:37"/>
    <d v="2024-04-22T16:41:59"/>
    <s v="jmakoza@lighthouse.org.mw"/>
    <s v="Jonathan Makoza"/>
    <x v="7"/>
    <s v="Prototype"/>
    <x v="1"/>
    <s v="COP_24"/>
    <s v="COP_23"/>
    <x v="2"/>
    <s v="Quarter2"/>
    <s v="Qtr_2"/>
    <s v="Mar"/>
    <d v="2024-03-01T00:00:00"/>
    <d v="2024-03-31T00:00:00"/>
    <x v="0"/>
    <n v="12"/>
    <n v="0"/>
    <n v="0"/>
    <n v="0"/>
    <n v="0"/>
    <n v="0"/>
    <n v="9"/>
    <n v="0"/>
    <n v="0"/>
    <n v="0"/>
    <n v="0"/>
    <n v="0"/>
    <n v="0"/>
    <n v="0"/>
    <n v="0"/>
    <n v="0"/>
    <n v="0"/>
    <n v="0"/>
    <n v="0"/>
    <n v="0"/>
    <n v="0"/>
    <n v="0"/>
    <n v="0"/>
    <n v="0"/>
    <n v="0"/>
    <m/>
  </r>
  <r>
    <n v="264"/>
    <d v="2024-04-22T15:22:24"/>
    <d v="2024-04-22T16:35:30"/>
    <s v="jmakoza@lighthouse.org.mw"/>
    <s v="Jonathan Makoza"/>
    <x v="7"/>
    <s v="Prototype"/>
    <x v="1"/>
    <s v="COP_24"/>
    <s v="COP_23"/>
    <x v="2"/>
    <s v="Quarter2"/>
    <s v="Qtr_2"/>
    <s v="Jan"/>
    <d v="2024-01-01T00:00:00"/>
    <d v="2024-01-31T00:00:00"/>
    <x v="1"/>
    <n v="15"/>
    <n v="0"/>
    <n v="0"/>
    <n v="0"/>
    <n v="0"/>
    <n v="0"/>
    <n v="3"/>
    <n v="0"/>
    <n v="0"/>
    <n v="0"/>
    <n v="0"/>
    <n v="0"/>
    <n v="0"/>
    <n v="0"/>
    <n v="0"/>
    <n v="0"/>
    <n v="0"/>
    <n v="0"/>
    <n v="0"/>
    <n v="0"/>
    <n v="0"/>
    <n v="0"/>
    <n v="0"/>
    <n v="0"/>
    <n v="0"/>
    <m/>
  </r>
  <r>
    <n v="265"/>
    <d v="2024-04-22T16:35:49"/>
    <d v="2024-04-22T16:38:08"/>
    <s v="jmakoza@lighthouse.org.mw"/>
    <s v="Jonathan Makoza"/>
    <x v="7"/>
    <s v="Prototype"/>
    <x v="1"/>
    <s v="COP_24"/>
    <s v="COP_23"/>
    <x v="2"/>
    <s v="Quarter2"/>
    <s v="Qtr_2"/>
    <s v="Feb"/>
    <d v="2024-02-01T00:00:00"/>
    <d v="2024-02-29T00:00:00"/>
    <x v="1"/>
    <n v="7"/>
    <n v="0"/>
    <n v="0"/>
    <n v="0"/>
    <n v="0"/>
    <n v="0"/>
    <n v="3"/>
    <n v="0"/>
    <n v="0"/>
    <n v="0"/>
    <n v="0"/>
    <n v="0"/>
    <n v="0"/>
    <n v="0"/>
    <n v="0"/>
    <n v="0"/>
    <n v="0"/>
    <n v="0"/>
    <n v="0"/>
    <n v="0"/>
    <n v="0"/>
    <n v="0"/>
    <n v="0"/>
    <n v="0"/>
    <n v="0"/>
    <m/>
  </r>
  <r>
    <n v="266"/>
    <d v="2024-04-22T16:38:12"/>
    <d v="2024-04-22T16:41:59"/>
    <s v="jmakoza@lighthouse.org.mw"/>
    <s v="Jonathan Makoza"/>
    <x v="7"/>
    <s v="Prototype"/>
    <x v="1"/>
    <s v="COP_24"/>
    <s v="COP_23"/>
    <x v="2"/>
    <s v="Quarter2"/>
    <s v="Qtr_2"/>
    <s v="Mar"/>
    <d v="2024-03-01T00:00:00"/>
    <d v="2024-03-31T00:00:00"/>
    <x v="1"/>
    <n v="12"/>
    <n v="0"/>
    <n v="0"/>
    <n v="0"/>
    <n v="0"/>
    <n v="0"/>
    <n v="9"/>
    <n v="0"/>
    <n v="0"/>
    <n v="0"/>
    <n v="0"/>
    <n v="0"/>
    <n v="0"/>
    <n v="0"/>
    <n v="0"/>
    <n v="0"/>
    <n v="0"/>
    <n v="0"/>
    <n v="0"/>
    <n v="0"/>
    <n v="0"/>
    <n v="0"/>
    <n v="0"/>
    <n v="0"/>
    <n v="0"/>
    <m/>
  </r>
  <r>
    <n v="614"/>
    <d v="2024-07-15T14:16:22"/>
    <d v="2024-07-15T14:19:11"/>
    <s v="jmakoza@lighthouse.org.mw"/>
    <s v="Jonathan Makoza"/>
    <x v="7"/>
    <s v="Prototype"/>
    <x v="1"/>
    <s v="COP_24"/>
    <s v="COP_23"/>
    <x v="3"/>
    <s v="Quarter3"/>
    <s v="Qtr_3"/>
    <s v="Apr"/>
    <d v="2024-04-01T00:00:00"/>
    <d v="2024-04-30T00:00:00"/>
    <x v="1"/>
    <n v="8"/>
    <n v="0"/>
    <n v="8"/>
    <n v="0"/>
    <n v="0"/>
    <n v="0"/>
    <n v="8"/>
    <n v="0"/>
    <n v="0"/>
    <n v="0"/>
    <n v="0"/>
    <n v="0"/>
    <n v="0"/>
    <n v="0"/>
    <n v="0"/>
    <n v="0"/>
    <n v="0"/>
    <n v="0"/>
    <n v="0"/>
    <n v="0"/>
    <n v="0"/>
    <n v="0"/>
    <n v="0"/>
    <n v="0"/>
    <n v="0"/>
    <m/>
  </r>
  <r>
    <n v="615"/>
    <d v="2024-07-15T14:19:16"/>
    <d v="2024-07-15T14:20:59"/>
    <s v="jmakoza@lighthouse.org.mw"/>
    <s v="Jonathan Makoza"/>
    <x v="7"/>
    <s v="Prototype"/>
    <x v="1"/>
    <s v="COP_24"/>
    <s v="COP_23"/>
    <x v="3"/>
    <s v="Quarter3"/>
    <s v="Qtr_3"/>
    <s v="May"/>
    <d v="2024-05-01T00:00:00"/>
    <d v="2024-05-31T00:00:00"/>
    <x v="1"/>
    <n v="9"/>
    <n v="0"/>
    <n v="9"/>
    <n v="0"/>
    <n v="0"/>
    <n v="0"/>
    <n v="9"/>
    <n v="0"/>
    <n v="0"/>
    <n v="0"/>
    <n v="0"/>
    <n v="0"/>
    <n v="0"/>
    <n v="0"/>
    <n v="0"/>
    <n v="0"/>
    <n v="0"/>
    <n v="0"/>
    <n v="0"/>
    <n v="0"/>
    <n v="0"/>
    <n v="0"/>
    <n v="0"/>
    <n v="0"/>
    <n v="0"/>
    <m/>
  </r>
  <r>
    <n v="618"/>
    <d v="2024-07-15T14:26:51"/>
    <d v="2024-07-15T14:28:44"/>
    <s v="jmakoza@lighthouse.org.mw"/>
    <s v="Jonathan Makoza"/>
    <x v="7"/>
    <s v="Prototype"/>
    <x v="1"/>
    <s v="COP_24"/>
    <s v="COP_23"/>
    <x v="3"/>
    <s v="Quarter3"/>
    <s v="Qtr_3"/>
    <s v="Jun"/>
    <d v="2024-06-01T00:00:00"/>
    <d v="2024-06-30T00:00:00"/>
    <x v="1"/>
    <n v="14"/>
    <n v="0"/>
    <n v="14"/>
    <n v="0"/>
    <n v="0"/>
    <n v="0"/>
    <n v="14"/>
    <n v="0"/>
    <n v="0"/>
    <n v="0"/>
    <n v="0"/>
    <n v="0"/>
    <n v="0"/>
    <n v="0"/>
    <n v="0"/>
    <n v="0"/>
    <n v="0"/>
    <n v="0"/>
    <n v="0"/>
    <n v="0"/>
    <n v="0"/>
    <n v="0"/>
    <n v="0"/>
    <n v="0"/>
    <n v="0"/>
    <m/>
  </r>
  <r>
    <n v="867"/>
    <d v="2024-10-02T15:59:14"/>
    <d v="2024-10-02T16:00:13"/>
    <s v="jmakoza@lighthouse.org.mw"/>
    <s v="Jonathan Makoza"/>
    <x v="7"/>
    <s v="Prototype"/>
    <x v="1"/>
    <s v="COP_22"/>
    <s v="COP_23"/>
    <x v="1"/>
    <s v="Quarter4"/>
    <s v="Qtr_4"/>
    <s v="Jul"/>
    <d v="2024-07-01T00:00:00"/>
    <d v="2024-07-31T00:00:00"/>
    <x v="1"/>
    <n v="5"/>
    <n v="0"/>
    <n v="5"/>
    <n v="0"/>
    <n v="0"/>
    <n v="0"/>
    <n v="5"/>
    <n v="0"/>
    <n v="0"/>
    <n v="0"/>
    <n v="0"/>
    <n v="0"/>
    <n v="0"/>
    <n v="0"/>
    <n v="0"/>
    <n v="0"/>
    <n v="0"/>
    <n v="0"/>
    <n v="0"/>
    <n v="0"/>
    <n v="0"/>
    <n v="0"/>
    <n v="0"/>
    <n v="0"/>
    <n v="0"/>
    <m/>
  </r>
  <r>
    <n v="965"/>
    <d v="2024-10-21T09:21:49"/>
    <d v="2024-10-21T09:23:33"/>
    <s v="jmakoza@lighthouse.org.mw"/>
    <s v="Jonathan Makoza"/>
    <x v="7"/>
    <s v="Prototype"/>
    <x v="1"/>
    <s v="COP_22"/>
    <s v="COP_23"/>
    <x v="1"/>
    <s v="Quarter4"/>
    <s v="Qtr_4"/>
    <s v="Sep"/>
    <d v="2024-09-01T00:00:00"/>
    <d v="2024-09-30T00:00:00"/>
    <x v="1"/>
    <n v="6"/>
    <n v="0"/>
    <n v="5"/>
    <n v="0"/>
    <n v="0"/>
    <n v="0"/>
    <n v="5"/>
    <n v="0"/>
    <n v="0"/>
    <n v="0"/>
    <n v="0"/>
    <n v="0"/>
    <n v="0"/>
    <n v="0"/>
    <n v="0"/>
    <n v="0"/>
    <n v="0"/>
    <n v="0"/>
    <n v="0"/>
    <n v="0"/>
    <n v="0"/>
    <n v="0"/>
    <n v="0"/>
    <n v="0"/>
    <n v="0"/>
    <m/>
  </r>
  <r>
    <n v="613"/>
    <d v="2024-07-15T14:01:10"/>
    <d v="2024-07-15T14:15:49"/>
    <s v="jmakoza@lighthouse.org.mw"/>
    <s v="Jonathan Makoza"/>
    <x v="7"/>
    <s v="Prototype"/>
    <x v="1"/>
    <s v="COP_24"/>
    <s v="COP_23"/>
    <x v="3"/>
    <s v="Quarter3"/>
    <s v="Qtr_3"/>
    <s v="Apr"/>
    <d v="2024-04-01T00:00:00"/>
    <d v="2024-04-30T00:00:00"/>
    <x v="0"/>
    <n v="8"/>
    <n v="0"/>
    <n v="8"/>
    <n v="0"/>
    <n v="0"/>
    <n v="0"/>
    <n v="8"/>
    <n v="0"/>
    <n v="0"/>
    <n v="0"/>
    <n v="0"/>
    <n v="0"/>
    <n v="0"/>
    <n v="0"/>
    <n v="0"/>
    <n v="0"/>
    <n v="0"/>
    <n v="0"/>
    <n v="0"/>
    <n v="0"/>
    <n v="0"/>
    <n v="0"/>
    <n v="0"/>
    <n v="0"/>
    <n v="0"/>
    <m/>
  </r>
  <r>
    <n v="966"/>
    <d v="2024-10-21T09:23:49"/>
    <d v="2024-10-21T09:38:25"/>
    <s v="jmakoza@lighthouse.org.mw"/>
    <s v="Jonathan Makoza"/>
    <x v="7"/>
    <s v="Prototype"/>
    <x v="1"/>
    <s v="COP_22"/>
    <s v="COP_23"/>
    <x v="1"/>
    <s v="Quarter4"/>
    <s v="Qtr_4"/>
    <s v="Aug"/>
    <d v="2024-08-01T00:00:00"/>
    <d v="2024-08-31T00:00:00"/>
    <x v="1"/>
    <n v="6"/>
    <n v="0"/>
    <n v="4"/>
    <n v="0"/>
    <n v="0"/>
    <n v="0"/>
    <n v="4"/>
    <n v="0"/>
    <n v="0"/>
    <n v="0"/>
    <n v="0"/>
    <n v="0"/>
    <n v="0"/>
    <n v="0"/>
    <n v="0"/>
    <n v="0"/>
    <n v="0"/>
    <n v="0"/>
    <n v="0"/>
    <n v="0"/>
    <n v="0"/>
    <n v="0"/>
    <n v="0"/>
    <n v="0"/>
    <n v="0"/>
    <m/>
  </r>
  <r>
    <n v="616"/>
    <d v="2024-07-15T14:21:11"/>
    <d v="2024-07-15T14:23:41"/>
    <s v="jmakoza@lighthouse.org.mw"/>
    <s v="Jonathan Makoza"/>
    <x v="7"/>
    <s v="Prototype"/>
    <x v="1"/>
    <s v="COP_24"/>
    <s v="COP_23"/>
    <x v="3"/>
    <s v="Quarter3"/>
    <s v="Qtr_3"/>
    <s v="May"/>
    <d v="2024-05-01T00:00:00"/>
    <d v="2024-05-31T00:00:00"/>
    <x v="0"/>
    <n v="9"/>
    <n v="0"/>
    <n v="9"/>
    <n v="0"/>
    <n v="0"/>
    <n v="0"/>
    <n v="9"/>
    <n v="0"/>
    <n v="0"/>
    <n v="0"/>
    <n v="0"/>
    <n v="0"/>
    <n v="0"/>
    <n v="0"/>
    <n v="0"/>
    <n v="0"/>
    <n v="0"/>
    <n v="0"/>
    <n v="0"/>
    <n v="0"/>
    <n v="0"/>
    <n v="0"/>
    <n v="0"/>
    <n v="0"/>
    <n v="0"/>
    <m/>
  </r>
  <r>
    <n v="617"/>
    <d v="2024-07-15T14:24:02"/>
    <d v="2024-07-15T14:26:47"/>
    <s v="jmakoza@lighthouse.org.mw"/>
    <s v="Jonathan Makoza"/>
    <x v="7"/>
    <s v="Prototype"/>
    <x v="1"/>
    <s v="COP_24"/>
    <s v="COP_23"/>
    <x v="3"/>
    <s v="Quarter3"/>
    <s v="Qtr_3"/>
    <s v="Jun"/>
    <d v="2024-06-01T00:00:00"/>
    <d v="2024-06-30T00:00:00"/>
    <x v="0"/>
    <n v="14"/>
    <n v="0"/>
    <n v="14"/>
    <n v="0"/>
    <n v="0"/>
    <n v="0"/>
    <n v="14"/>
    <n v="0"/>
    <n v="0"/>
    <n v="0"/>
    <n v="0"/>
    <n v="0"/>
    <n v="0"/>
    <n v="0"/>
    <n v="0"/>
    <n v="0"/>
    <n v="0"/>
    <n v="0"/>
    <n v="0"/>
    <n v="0"/>
    <n v="0"/>
    <n v="0"/>
    <n v="0"/>
    <n v="0"/>
    <n v="0"/>
    <m/>
  </r>
  <r>
    <n v="778"/>
    <d v="2024-08-19T13:16:59"/>
    <d v="2024-08-19T13:21:50"/>
    <s v="jmakoza@lighthouse.org.mw"/>
    <s v="Jonathan Makoza"/>
    <x v="7"/>
    <s v="Prototype"/>
    <x v="1"/>
    <s v="COP_24"/>
    <s v="COP_23"/>
    <x v="3"/>
    <s v="Quarter3"/>
    <s v="Qtr_3"/>
    <s v="Apr"/>
    <d v="2024-04-01T00:00:00"/>
    <d v="2024-04-30T00:00:00"/>
    <x v="5"/>
    <n v="0"/>
    <n v="0"/>
    <n v="0"/>
    <n v="0"/>
    <n v="0"/>
    <n v="0"/>
    <n v="0"/>
    <n v="0"/>
    <n v="0"/>
    <n v="0"/>
    <n v="0"/>
    <n v="0"/>
    <n v="0"/>
    <n v="0"/>
    <n v="0"/>
    <n v="0"/>
    <n v="0"/>
    <n v="0"/>
    <n v="0"/>
    <n v="0"/>
    <n v="0"/>
    <n v="0"/>
    <n v="0"/>
    <n v="0"/>
    <n v="0"/>
    <m/>
  </r>
  <r>
    <n v="779"/>
    <d v="2024-08-19T13:22:24"/>
    <d v="2024-08-19T13:32:56"/>
    <s v="jmakoza@lighthouse.org.mw"/>
    <s v="Jonathan Makoza"/>
    <x v="7"/>
    <s v="Prototype"/>
    <x v="1"/>
    <s v="COP_24"/>
    <s v="COP_23"/>
    <x v="3"/>
    <s v="Quarter3"/>
    <s v="Qtr_3"/>
    <s v="May"/>
    <d v="2024-05-01T00:00:00"/>
    <d v="2024-05-31T00:00:00"/>
    <x v="5"/>
    <n v="0"/>
    <n v="0"/>
    <n v="0"/>
    <n v="0"/>
    <n v="0"/>
    <n v="0"/>
    <n v="0"/>
    <n v="0"/>
    <n v="0"/>
    <n v="0"/>
    <n v="0"/>
    <n v="0"/>
    <n v="0"/>
    <n v="0"/>
    <n v="0"/>
    <n v="0"/>
    <n v="0"/>
    <n v="0"/>
    <n v="0"/>
    <n v="0"/>
    <n v="0"/>
    <n v="0"/>
    <n v="0"/>
    <n v="0"/>
    <n v="0"/>
    <m/>
  </r>
  <r>
    <n v="868"/>
    <d v="2024-10-02T16:00:34"/>
    <d v="2024-10-02T16:04:36"/>
    <s v="jmakoza@lighthouse.org.mw"/>
    <s v="Jonathan Makoza"/>
    <x v="7"/>
    <s v="Prototype"/>
    <x v="1"/>
    <s v="COP_22"/>
    <s v="COP_23"/>
    <x v="1"/>
    <s v="Quarter4"/>
    <s v="Qtr_4"/>
    <s v="Jul"/>
    <d v="2024-07-01T00:00:00"/>
    <d v="2024-07-31T00:00:00"/>
    <x v="0"/>
    <n v="5"/>
    <n v="0"/>
    <n v="5"/>
    <n v="0"/>
    <n v="0"/>
    <n v="0"/>
    <n v="5"/>
    <n v="0"/>
    <n v="0"/>
    <n v="0"/>
    <n v="0"/>
    <n v="0"/>
    <n v="0"/>
    <n v="0"/>
    <n v="0"/>
    <n v="0"/>
    <n v="0"/>
    <n v="0"/>
    <n v="0"/>
    <n v="0"/>
    <n v="0"/>
    <n v="0"/>
    <n v="0"/>
    <n v="0"/>
    <n v="0"/>
    <m/>
  </r>
  <r>
    <n v="964"/>
    <d v="2024-10-21T09:18:01"/>
    <d v="2024-10-21T09:21:43"/>
    <s v="jmakoza@lighthouse.org.mw"/>
    <s v="Jonathan Makoza"/>
    <x v="7"/>
    <s v="Prototype"/>
    <x v="1"/>
    <s v="COP_22"/>
    <s v="COP_23"/>
    <x v="1"/>
    <s v="Quarter4"/>
    <s v="Qtr_4"/>
    <s v="Sep"/>
    <d v="2024-09-01T00:00:00"/>
    <d v="2024-09-30T00:00:00"/>
    <x v="0"/>
    <n v="6"/>
    <n v="0"/>
    <n v="5"/>
    <n v="0"/>
    <n v="0"/>
    <n v="0"/>
    <n v="5"/>
    <n v="0"/>
    <n v="0"/>
    <n v="0"/>
    <n v="0"/>
    <n v="0"/>
    <n v="0"/>
    <n v="0"/>
    <n v="0"/>
    <n v="0"/>
    <n v="0"/>
    <n v="0"/>
    <n v="0"/>
    <n v="0"/>
    <n v="0"/>
    <n v="0"/>
    <n v="0"/>
    <n v="0"/>
    <n v="0"/>
    <m/>
  </r>
  <r>
    <n v="967"/>
    <d v="2024-10-21T09:38:31"/>
    <d v="2024-10-21T09:40:19"/>
    <s v="jmakoza@lighthouse.org.mw"/>
    <s v="Jonathan Makoza"/>
    <x v="7"/>
    <s v="Prototype"/>
    <x v="1"/>
    <s v="COP_23"/>
    <s v="COP_23"/>
    <x v="1"/>
    <s v="Quarter4"/>
    <s v="Qtr_4"/>
    <s v="Aug"/>
    <d v="2024-08-01T00:00:00"/>
    <d v="2024-08-31T00:00:00"/>
    <x v="0"/>
    <n v="4"/>
    <n v="0"/>
    <n v="4"/>
    <n v="0"/>
    <n v="0"/>
    <n v="0"/>
    <n v="4"/>
    <n v="0"/>
    <n v="0"/>
    <n v="0"/>
    <n v="0"/>
    <n v="0"/>
    <n v="0"/>
    <n v="0"/>
    <n v="0"/>
    <n v="0"/>
    <n v="0"/>
    <n v="0"/>
    <n v="0"/>
    <n v="0"/>
    <n v="0"/>
    <n v="0"/>
    <n v="0"/>
    <n v="0"/>
    <n v="0"/>
    <m/>
  </r>
  <r>
    <n v="1040"/>
    <d v="2024-11-07T13:49:21"/>
    <d v="2024-11-07T13:50:55"/>
    <s v="jmakoza@lighthouse.org.mw"/>
    <s v="Jonathan Makoza"/>
    <x v="7"/>
    <s v="Prototype"/>
    <x v="1"/>
    <s v="COP_23"/>
    <s v="COP_23"/>
    <x v="1"/>
    <s v="Quarter4"/>
    <s v="Qtr_4"/>
    <s v="Sep"/>
    <d v="2024-09-01T00:00:00"/>
    <d v="2024-09-30T00:00:00"/>
    <x v="5"/>
    <n v="0"/>
    <n v="0"/>
    <n v="0"/>
    <n v="0"/>
    <n v="0"/>
    <n v="0"/>
    <n v="0"/>
    <n v="0"/>
    <n v="0"/>
    <n v="0"/>
    <n v="0"/>
    <n v="0"/>
    <n v="0"/>
    <n v="0"/>
    <n v="0"/>
    <n v="0"/>
    <n v="0"/>
    <n v="0"/>
    <n v="0"/>
    <n v="0"/>
    <n v="0"/>
    <n v="0"/>
    <n v="0"/>
    <n v="0"/>
    <n v="0"/>
    <m/>
  </r>
  <r>
    <n v="1041"/>
    <d v="2024-11-07T13:50:57"/>
    <d v="2024-11-07T13:52:07"/>
    <s v="jmakoza@lighthouse.org.mw"/>
    <s v="Jonathan Makoza"/>
    <x v="7"/>
    <s v="Prototype"/>
    <x v="1"/>
    <s v="COP_22"/>
    <s v="COP_22"/>
    <x v="1"/>
    <s v="Quarter4"/>
    <s v="Qtr_4"/>
    <s v="Aug"/>
    <d v="2024-08-01T00:00:00"/>
    <d v="2024-08-31T00:00:00"/>
    <x v="5"/>
    <n v="0"/>
    <n v="0"/>
    <n v="0"/>
    <n v="0"/>
    <n v="0"/>
    <n v="0"/>
    <n v="0"/>
    <n v="0"/>
    <n v="0"/>
    <n v="0"/>
    <n v="0"/>
    <n v="0"/>
    <n v="0"/>
    <n v="0"/>
    <n v="0"/>
    <n v="0"/>
    <n v="0"/>
    <n v="0"/>
    <n v="0"/>
    <n v="0"/>
    <n v="0"/>
    <n v="0"/>
    <n v="0"/>
    <n v="0"/>
    <n v="0"/>
    <m/>
  </r>
  <r>
    <n v="1042"/>
    <d v="2024-11-07T13:52:10"/>
    <d v="2024-11-07T13:53:32"/>
    <s v="jmakoza@lighthouse.org.mw"/>
    <s v="Jonathan Makoza"/>
    <x v="7"/>
    <s v="Prototype"/>
    <x v="1"/>
    <s v="COP_23"/>
    <s v="COP_23"/>
    <x v="1"/>
    <s v="Quarter4"/>
    <s v="Qtr_4"/>
    <s v="Jul"/>
    <d v="2024-07-01T00:00:00"/>
    <d v="2024-07-31T00:00:00"/>
    <x v="5"/>
    <n v="0"/>
    <n v="0"/>
    <n v="0"/>
    <n v="0"/>
    <n v="0"/>
    <n v="0"/>
    <n v="0"/>
    <n v="0"/>
    <n v="0"/>
    <n v="0"/>
    <n v="0"/>
    <n v="0"/>
    <n v="0"/>
    <n v="0"/>
    <n v="0"/>
    <n v="0"/>
    <n v="0"/>
    <n v="0"/>
    <n v="0"/>
    <n v="0"/>
    <n v="0"/>
    <n v="0"/>
    <n v="0"/>
    <n v="0"/>
    <n v="0"/>
    <m/>
  </r>
  <r>
    <n v="1144"/>
    <d v="2024-12-17T14:38:57"/>
    <d v="2024-12-17T14:44:51"/>
    <s v="jmakoza@lighthouse.org.mw"/>
    <s v="Jonathan Makoza"/>
    <x v="7"/>
    <s v="Prototype"/>
    <x v="1"/>
    <s v="COP_23"/>
    <s v="COP_24"/>
    <x v="0"/>
    <s v="Quarter1"/>
    <s v="Qtr_1"/>
    <s v="Oct"/>
    <d v="2024-10-01T00:00:00"/>
    <d v="2024-10-31T00:00:00"/>
    <x v="1"/>
    <n v="12"/>
    <n v="0"/>
    <n v="10"/>
    <n v="0"/>
    <n v="0"/>
    <n v="0"/>
    <n v="0"/>
    <n v="0"/>
    <n v="0"/>
    <n v="0"/>
    <n v="0"/>
    <n v="0"/>
    <n v="0"/>
    <n v="0"/>
    <n v="0"/>
    <n v="0"/>
    <n v="0"/>
    <n v="0"/>
    <n v="0"/>
    <n v="0"/>
    <n v="0"/>
    <n v="0"/>
    <n v="0"/>
    <n v="0"/>
    <n v="0"/>
    <m/>
  </r>
  <r>
    <n v="1145"/>
    <d v="2024-12-17T14:45:16"/>
    <d v="2024-12-17T14:47:52"/>
    <s v="jmakoza@lighthouse.org.mw"/>
    <s v="Jonathan Makoza"/>
    <x v="7"/>
    <s v="Prototype"/>
    <x v="1"/>
    <s v="COP_22"/>
    <s v="COP_24"/>
    <x v="0"/>
    <s v="Quarter1"/>
    <s v="Qtr_1"/>
    <s v="Oct"/>
    <d v="2024-10-01T00:00:00"/>
    <d v="2024-10-31T00:00:00"/>
    <x v="0"/>
    <n v="12"/>
    <n v="0"/>
    <n v="10"/>
    <n v="0"/>
    <n v="0"/>
    <n v="0"/>
    <n v="0"/>
    <n v="0"/>
    <n v="0"/>
    <n v="0"/>
    <n v="0"/>
    <n v="0"/>
    <n v="0"/>
    <n v="0"/>
    <n v="0"/>
    <n v="0"/>
    <n v="0"/>
    <n v="0"/>
    <n v="0"/>
    <n v="0"/>
    <n v="0"/>
    <n v="0"/>
    <n v="0"/>
    <n v="0"/>
    <n v="0"/>
    <m/>
  </r>
  <r>
    <n v="1153"/>
    <d v="2024-12-17T15:31:06"/>
    <d v="2024-12-17T15:32:46"/>
    <s v="jmakoza@lighthouse.org.mw"/>
    <s v="Jonathan Makoza"/>
    <x v="7"/>
    <s v="Prototype"/>
    <x v="1"/>
    <s v="COP_23"/>
    <s v="COP_24"/>
    <x v="0"/>
    <s v="Quarter1"/>
    <s v="Qtr_1"/>
    <s v="Nov"/>
    <d v="2024-11-01T00:00:00"/>
    <d v="2024-11-30T00:00:00"/>
    <x v="0"/>
    <n v="5"/>
    <n v="0"/>
    <n v="3"/>
    <n v="0"/>
    <n v="0"/>
    <n v="0"/>
    <n v="0"/>
    <n v="0"/>
    <n v="0"/>
    <n v="0"/>
    <n v="0"/>
    <n v="0"/>
    <n v="0"/>
    <n v="0"/>
    <n v="0"/>
    <n v="0"/>
    <n v="0"/>
    <n v="0"/>
    <n v="0"/>
    <n v="0"/>
    <n v="0"/>
    <n v="0"/>
    <n v="0"/>
    <n v="0"/>
    <n v="0"/>
    <m/>
  </r>
  <r>
    <n v="1154"/>
    <d v="2024-12-17T15:32:52"/>
    <d v="2024-12-17T15:35:37"/>
    <s v="jmakoza@lighthouse.org.mw"/>
    <s v="Jonathan Makoza"/>
    <x v="7"/>
    <s v="Prototype"/>
    <x v="1"/>
    <s v="COP_23"/>
    <s v="COP_24"/>
    <x v="0"/>
    <s v="Quarter1"/>
    <s v="Qtr_1"/>
    <s v="Nov"/>
    <d v="2024-11-01T00:00:00"/>
    <d v="2024-11-30T00:00:00"/>
    <x v="1"/>
    <n v="5"/>
    <n v="0"/>
    <n v="5"/>
    <n v="0"/>
    <n v="0"/>
    <n v="0"/>
    <n v="0"/>
    <n v="0"/>
    <n v="0"/>
    <n v="0"/>
    <n v="0"/>
    <n v="0"/>
    <n v="0"/>
    <n v="0"/>
    <n v="0"/>
    <n v="0"/>
    <n v="0"/>
    <n v="0"/>
    <n v="0"/>
    <n v="0"/>
    <n v="0"/>
    <n v="0"/>
    <n v="0"/>
    <n v="0"/>
    <n v="0"/>
    <m/>
  </r>
  <r>
    <n v="1155"/>
    <d v="2024-12-17T15:36:23"/>
    <d v="2024-12-17T15:37:45"/>
    <s v="jmakoza@lighthouse.org.mw"/>
    <s v="Jonathan Makoza"/>
    <x v="7"/>
    <s v="Prototype"/>
    <x v="1"/>
    <s v="COP_23"/>
    <s v="COP_24"/>
    <x v="0"/>
    <s v="Quarter1"/>
    <s v="Qtr_1"/>
    <s v="Nov"/>
    <d v="2024-11-01T00:00:00"/>
    <d v="2024-11-30T00:00:00"/>
    <x v="5"/>
    <n v="0"/>
    <n v="0"/>
    <n v="0"/>
    <n v="0"/>
    <n v="0"/>
    <n v="0"/>
    <n v="0"/>
    <n v="0"/>
    <n v="0"/>
    <n v="0"/>
    <n v="0"/>
    <n v="0"/>
    <n v="0"/>
    <n v="0"/>
    <n v="0"/>
    <n v="0"/>
    <n v="0"/>
    <n v="0"/>
    <n v="0"/>
    <n v="0"/>
    <n v="0"/>
    <n v="0"/>
    <n v="0"/>
    <n v="0"/>
    <n v="0"/>
    <m/>
  </r>
  <r>
    <n v="1296"/>
    <d v="2025-01-16T13:41:44"/>
    <d v="2025-01-16T14:03:51"/>
    <s v="jmakoza@lighthouse.org.mw"/>
    <s v="Jonathan Makoza"/>
    <x v="7"/>
    <s v="Prototype"/>
    <x v="1"/>
    <s v="COP_23"/>
    <s v="COP_24"/>
    <x v="0"/>
    <s v="Quarter1"/>
    <s v="Qtr_1"/>
    <s v="Dec"/>
    <d v="2024-12-01T00:00:00"/>
    <d v="2024-12-31T00:00:00"/>
    <x v="0"/>
    <n v="5"/>
    <n v="0"/>
    <n v="5"/>
    <n v="0"/>
    <n v="0"/>
    <n v="0"/>
    <n v="5"/>
    <n v="0"/>
    <n v="0"/>
    <n v="0"/>
    <n v="0"/>
    <n v="0"/>
    <n v="0"/>
    <n v="0"/>
    <n v="0"/>
    <n v="0"/>
    <n v="0"/>
    <n v="0"/>
    <n v="0"/>
    <n v="0"/>
    <n v="0"/>
    <n v="0"/>
    <n v="0"/>
    <n v="0"/>
    <n v="0"/>
    <m/>
  </r>
  <r>
    <n v="1297"/>
    <d v="2025-01-16T14:04:13"/>
    <d v="2025-01-16T14:06:44"/>
    <s v="jmakoza@lighthouse.org.mw"/>
    <s v="Jonathan Makoza"/>
    <x v="7"/>
    <s v="Prototype"/>
    <x v="1"/>
    <s v="COP_23"/>
    <s v="COP_24"/>
    <x v="0"/>
    <s v="Quarter1"/>
    <s v="Qtr_1"/>
    <s v="Dec"/>
    <d v="2024-12-01T00:00:00"/>
    <d v="2024-12-31T00:00:00"/>
    <x v="1"/>
    <n v="5"/>
    <n v="0"/>
    <n v="5"/>
    <n v="0"/>
    <n v="0"/>
    <n v="0"/>
    <n v="5"/>
    <n v="0"/>
    <n v="0"/>
    <n v="0"/>
    <n v="0"/>
    <n v="0"/>
    <n v="0"/>
    <n v="0"/>
    <n v="0"/>
    <n v="0"/>
    <n v="0"/>
    <n v="0"/>
    <n v="0"/>
    <n v="0"/>
    <n v="0"/>
    <n v="0"/>
    <n v="0"/>
    <n v="0"/>
    <n v="0"/>
    <m/>
  </r>
  <r>
    <n v="1298"/>
    <d v="2025-01-16T14:07:30"/>
    <d v="2025-01-16T14:18:29"/>
    <s v="jmakoza@lighthouse.org.mw"/>
    <s v="Jonathan Makoza"/>
    <x v="7"/>
    <s v="Prototype"/>
    <x v="1"/>
    <s v="COP_23"/>
    <s v="COP_24"/>
    <x v="0"/>
    <s v="Quarter1"/>
    <s v="Qtr_1"/>
    <s v="Dec"/>
    <d v="2024-12-01T00:00:00"/>
    <d v="2024-12-31T00:00:00"/>
    <x v="5"/>
    <n v="0"/>
    <n v="0"/>
    <n v="0"/>
    <n v="0"/>
    <n v="0"/>
    <n v="0"/>
    <n v="0"/>
    <n v="0"/>
    <n v="0"/>
    <n v="0"/>
    <n v="0"/>
    <n v="0"/>
    <n v="0"/>
    <n v="0"/>
    <n v="0"/>
    <n v="0"/>
    <n v="0"/>
    <n v="0"/>
    <n v="0"/>
    <n v="0"/>
    <n v="0"/>
    <n v="0"/>
    <n v="0"/>
    <n v="0"/>
    <n v="0"/>
    <m/>
  </r>
  <r>
    <n v="1299"/>
    <d v="2025-01-16T14:23:05"/>
    <d v="2025-01-16T14:24:34"/>
    <s v="jmakoza@lighthouse.org.mw"/>
    <s v="Jonathan Makoza"/>
    <x v="7"/>
    <s v="Prototype"/>
    <x v="1"/>
    <s v="COP_23"/>
    <s v="COP_24"/>
    <x v="0"/>
    <s v="Quarter1"/>
    <s v="Qtr_1"/>
    <s v="Nov"/>
    <d v="2024-11-01T00:00:00"/>
    <d v="2024-11-30T00:00:00"/>
    <x v="5"/>
    <n v="1"/>
    <n v="0"/>
    <n v="0"/>
    <n v="0"/>
    <n v="0"/>
    <n v="0"/>
    <n v="0"/>
    <n v="0"/>
    <n v="0"/>
    <n v="0"/>
    <n v="0"/>
    <n v="0"/>
    <n v="0"/>
    <n v="0"/>
    <n v="0"/>
    <n v="0"/>
    <n v="0"/>
    <n v="0"/>
    <n v="0"/>
    <n v="0"/>
    <n v="0"/>
    <n v="0"/>
    <n v="0"/>
    <n v="0"/>
    <n v="0"/>
    <m/>
  </r>
  <r>
    <n v="1457"/>
    <d v="2025-03-19T09:58:47"/>
    <d v="2025-03-19T10:03:00"/>
    <s v="jmakoza@lighthouse.org.mw"/>
    <s v="Jonathan Makoza"/>
    <x v="7"/>
    <s v="Prototype"/>
    <x v="2"/>
    <s v="COP_23"/>
    <s v="COP_24"/>
    <x v="2"/>
    <s v="Quarter2"/>
    <s v="Qtr_2"/>
    <s v="Feb"/>
    <d v="2025-02-01T00:00:00"/>
    <d v="2025-02-28T00:00:00"/>
    <x v="0"/>
    <n v="10"/>
    <n v="0"/>
    <n v="10"/>
    <n v="0"/>
    <n v="0"/>
    <n v="0"/>
    <n v="10"/>
    <n v="0"/>
    <n v="0"/>
    <n v="0"/>
    <n v="0"/>
    <n v="0"/>
    <n v="0"/>
    <n v="0"/>
    <n v="0"/>
    <n v="0"/>
    <n v="0"/>
    <n v="0"/>
    <n v="0"/>
    <n v="0"/>
    <n v="0"/>
    <n v="0"/>
    <n v="0"/>
    <n v="0"/>
    <n v="0"/>
    <m/>
  </r>
  <r>
    <n v="1458"/>
    <d v="2025-03-19T10:03:05"/>
    <d v="2025-03-19T10:06:48"/>
    <s v="jmakoza@lighthouse.org.mw"/>
    <s v="Jonathan Makoza"/>
    <x v="7"/>
    <s v="Prototype"/>
    <x v="2"/>
    <s v="COP_23"/>
    <s v="COP_24"/>
    <x v="2"/>
    <s v="Quarter2"/>
    <s v="Qtr_2"/>
    <s v="Feb"/>
    <d v="2025-02-01T00:00:00"/>
    <d v="2025-02-28T00:00:00"/>
    <x v="1"/>
    <n v="10"/>
    <n v="0"/>
    <n v="10"/>
    <n v="0"/>
    <n v="0"/>
    <n v="0"/>
    <n v="10"/>
    <n v="0"/>
    <n v="0"/>
    <n v="0"/>
    <n v="0"/>
    <n v="0"/>
    <n v="0"/>
    <n v="0"/>
    <n v="0"/>
    <n v="0"/>
    <n v="0"/>
    <n v="0"/>
    <n v="0"/>
    <n v="0"/>
    <n v="0"/>
    <n v="0"/>
    <n v="0"/>
    <n v="0"/>
    <n v="0"/>
    <m/>
  </r>
  <r>
    <n v="1459"/>
    <d v="2025-03-19T10:07:22"/>
    <d v="2025-03-19T10:09:59"/>
    <s v="jmakoza@lighthouse.org.mw"/>
    <s v="Jonathan Makoza"/>
    <x v="7"/>
    <s v="Prototype"/>
    <x v="2"/>
    <s v="COP_23"/>
    <s v="COP_24"/>
    <x v="2"/>
    <s v="Quarter2"/>
    <s v="Qtr_2"/>
    <s v="Feb"/>
    <d v="2025-02-01T00:00:00"/>
    <d v="2025-02-28T00:00:00"/>
    <x v="5"/>
    <n v="0"/>
    <n v="0"/>
    <n v="0"/>
    <n v="0"/>
    <n v="0"/>
    <n v="0"/>
    <n v="0"/>
    <n v="0"/>
    <n v="0"/>
    <n v="0"/>
    <n v="0"/>
    <n v="0"/>
    <n v="0"/>
    <n v="0"/>
    <n v="0"/>
    <n v="0"/>
    <n v="0"/>
    <n v="0"/>
    <n v="0"/>
    <n v="0"/>
    <n v="0"/>
    <n v="0"/>
    <n v="0"/>
    <n v="0"/>
    <n v="0"/>
    <m/>
  </r>
  <r>
    <n v="1460"/>
    <d v="2025-03-19T10:10:19"/>
    <d v="2025-03-19T10:13:41"/>
    <s v="jmakoza@lighthouse.org.mw"/>
    <s v="Jonathan Makoza"/>
    <x v="7"/>
    <s v="Prototype"/>
    <x v="2"/>
    <s v="COP_23"/>
    <s v="COP_24"/>
    <x v="2"/>
    <s v="Quarter2"/>
    <s v="Qtr_2"/>
    <s v="Jan"/>
    <d v="2025-01-01T00:00:00"/>
    <d v="2025-01-31T00:00:00"/>
    <x v="1"/>
    <n v="2"/>
    <n v="0"/>
    <n v="2"/>
    <n v="0"/>
    <n v="0"/>
    <n v="0"/>
    <n v="2"/>
    <n v="0"/>
    <n v="0"/>
    <n v="0"/>
    <n v="0"/>
    <n v="0"/>
    <n v="0"/>
    <n v="0"/>
    <n v="0"/>
    <n v="0"/>
    <n v="0"/>
    <n v="0"/>
    <n v="0"/>
    <n v="0"/>
    <n v="0"/>
    <n v="0"/>
    <n v="0"/>
    <n v="0"/>
    <n v="0"/>
    <m/>
  </r>
  <r>
    <n v="1461"/>
    <d v="2025-03-19T10:14:25"/>
    <d v="2025-03-19T10:16:50"/>
    <s v="jmakoza@lighthouse.org.mw"/>
    <s v="Jonathan Makoza"/>
    <x v="7"/>
    <s v="Prototype"/>
    <x v="2"/>
    <s v="COP_23"/>
    <s v="COP_24"/>
    <x v="2"/>
    <s v="Quarter2"/>
    <s v="Qtr_2"/>
    <s v="Jan"/>
    <d v="2025-01-01T00:00:00"/>
    <d v="2025-01-31T00:00:00"/>
    <x v="0"/>
    <n v="2"/>
    <n v="0"/>
    <n v="2"/>
    <n v="0"/>
    <n v="0"/>
    <n v="0"/>
    <n v="2"/>
    <n v="0"/>
    <n v="0"/>
    <n v="0"/>
    <n v="0"/>
    <n v="0"/>
    <n v="0"/>
    <n v="0"/>
    <n v="0"/>
    <n v="0"/>
    <n v="0"/>
    <n v="0"/>
    <n v="0"/>
    <n v="0"/>
    <n v="0"/>
    <n v="0"/>
    <n v="0"/>
    <n v="0"/>
    <n v="0"/>
    <m/>
  </r>
  <r>
    <n v="1462"/>
    <d v="2025-03-19T10:17:05"/>
    <d v="2025-03-19T10:22:29"/>
    <s v="jmakoza@lighthouse.org.mw"/>
    <s v="Jonathan Makoza"/>
    <x v="7"/>
    <s v="Prototype"/>
    <x v="2"/>
    <s v="COP_23"/>
    <s v="COP_24"/>
    <x v="2"/>
    <s v="Quarter2"/>
    <s v="Qtr_2"/>
    <s v="Jan"/>
    <d v="2025-01-01T00:00:00"/>
    <d v="2025-01-31T00:00:00"/>
    <x v="5"/>
    <n v="0"/>
    <n v="0"/>
    <n v="0"/>
    <n v="0"/>
    <n v="0"/>
    <n v="0"/>
    <n v="0"/>
    <n v="0"/>
    <n v="0"/>
    <n v="0"/>
    <n v="0"/>
    <n v="0"/>
    <n v="0"/>
    <n v="0"/>
    <n v="0"/>
    <n v="0"/>
    <n v="0"/>
    <n v="0"/>
    <n v="0"/>
    <n v="0"/>
    <n v="0"/>
    <n v="0"/>
    <n v="0"/>
    <n v="0"/>
    <n v="0"/>
    <m/>
  </r>
  <r>
    <n v="1517"/>
    <d v="2025-04-10T08:52:33"/>
    <d v="2025-04-10T09:20:42"/>
    <s v="jmakoza@lighthouse.org.mw"/>
    <s v="Jonathan Makoza"/>
    <x v="7"/>
    <s v="Prototype"/>
    <x v="2"/>
    <s v="COP_23"/>
    <s v="COP_24"/>
    <x v="2"/>
    <s v="Quarter2"/>
    <s v="Qtr_2"/>
    <s v="Mar"/>
    <d v="2025-03-01T00:00:00"/>
    <d v="2025-03-31T00:00:00"/>
    <x v="1"/>
    <n v="16"/>
    <n v="0"/>
    <n v="16"/>
    <n v="0"/>
    <n v="0"/>
    <n v="0"/>
    <n v="16"/>
    <n v="0"/>
    <n v="0"/>
    <n v="0"/>
    <n v="0"/>
    <n v="0"/>
    <n v="0"/>
    <n v="0"/>
    <n v="0"/>
    <n v="0"/>
    <n v="0"/>
    <n v="0"/>
    <n v="0"/>
    <n v="0"/>
    <n v="0"/>
    <n v="0"/>
    <n v="0"/>
    <n v="0"/>
    <n v="0"/>
    <m/>
  </r>
  <r>
    <n v="1518"/>
    <d v="2025-04-10T09:21:03"/>
    <d v="2025-04-10T09:23:32"/>
    <s v="jmakoza@lighthouse.org.mw"/>
    <s v="Jonathan Makoza"/>
    <x v="7"/>
    <s v="Prototype"/>
    <x v="2"/>
    <s v="COP_23"/>
    <s v="COP_24"/>
    <x v="2"/>
    <s v="Quarter2"/>
    <s v="Qtr_2"/>
    <s v="Mar"/>
    <d v="2025-03-01T00:00:00"/>
    <d v="2025-03-31T00:00:00"/>
    <x v="0"/>
    <n v="16"/>
    <n v="0"/>
    <n v="16"/>
    <n v="0"/>
    <n v="0"/>
    <n v="0"/>
    <n v="0"/>
    <n v="0"/>
    <n v="0"/>
    <n v="0"/>
    <n v="0"/>
    <n v="0"/>
    <n v="0"/>
    <n v="0"/>
    <n v="0"/>
    <n v="0"/>
    <n v="0"/>
    <n v="0"/>
    <n v="0"/>
    <n v="0"/>
    <n v="0"/>
    <n v="0"/>
    <n v="0"/>
    <n v="0"/>
    <n v="0"/>
    <m/>
  </r>
  <r>
    <n v="1519"/>
    <d v="2025-04-10T09:23:52"/>
    <d v="2025-04-10T09:26:44"/>
    <s v="jmakoza@lighthouse.org.mw"/>
    <s v="Jonathan Makoza"/>
    <x v="7"/>
    <s v="Prototype"/>
    <x v="2"/>
    <s v="COP_23"/>
    <s v="COP_24"/>
    <x v="2"/>
    <s v="Quarter2"/>
    <s v="Qtr_2"/>
    <s v="Mar"/>
    <d v="2025-03-01T00:00:00"/>
    <d v="2025-03-31T00:00:00"/>
    <x v="5"/>
    <n v="0"/>
    <n v="0"/>
    <n v="0"/>
    <n v="0"/>
    <n v="0"/>
    <n v="0"/>
    <n v="0"/>
    <n v="0"/>
    <n v="0"/>
    <n v="0"/>
    <n v="0"/>
    <n v="0"/>
    <n v="0"/>
    <n v="0"/>
    <n v="0"/>
    <n v="0"/>
    <n v="0"/>
    <n v="0"/>
    <n v="0"/>
    <n v="0"/>
    <n v="0"/>
    <n v="0"/>
    <n v="0"/>
    <n v="0"/>
    <n v="0"/>
    <m/>
  </r>
  <r>
    <n v="1686"/>
    <d v="2025-06-23T14:21:39"/>
    <d v="2025-06-23T14:39:17"/>
    <s v="tsatumba@lighthouse.org.mw"/>
    <s v="Thomas Satumba"/>
    <x v="7"/>
    <s v="Prototype"/>
    <x v="2"/>
    <s v="COP_23"/>
    <m/>
    <x v="1"/>
    <s v="Quarter3"/>
    <m/>
    <s v="Apr"/>
    <d v="2025-04-01T00:00:00"/>
    <d v="2025-04-30T00:00:00"/>
    <x v="1"/>
    <n v="9"/>
    <n v="0"/>
    <n v="9"/>
    <n v="0"/>
    <n v="0"/>
    <n v="0"/>
    <n v="9"/>
    <n v="0"/>
    <n v="0"/>
    <n v="0"/>
    <n v="0"/>
    <n v="0"/>
    <n v="0"/>
    <n v="0"/>
    <n v="0"/>
    <n v="0"/>
    <n v="0"/>
    <n v="0"/>
    <n v="0"/>
    <n v="0"/>
    <n v="0"/>
    <n v="0"/>
    <n v="0"/>
    <n v="0"/>
    <n v="0"/>
    <m/>
  </r>
  <r>
    <n v="1687"/>
    <d v="2025-06-23T14:39:22"/>
    <d v="2025-06-23T14:43:34"/>
    <s v="tsatumba@lighthouse.org.mw"/>
    <s v="Thomas Satumba"/>
    <x v="7"/>
    <s v="Prototype"/>
    <x v="2"/>
    <s v="COP_23"/>
    <m/>
    <x v="1"/>
    <s v="Quarter3"/>
    <m/>
    <s v="Apr"/>
    <d v="2025-04-01T00:00:00"/>
    <d v="2025-04-30T00:00:00"/>
    <x v="0"/>
    <n v="9"/>
    <n v="0"/>
    <n v="9"/>
    <n v="0"/>
    <n v="0"/>
    <n v="0"/>
    <n v="0"/>
    <n v="0"/>
    <n v="0"/>
    <n v="0"/>
    <n v="0"/>
    <n v="0"/>
    <n v="0"/>
    <n v="0"/>
    <n v="0"/>
    <n v="0"/>
    <n v="0"/>
    <n v="0"/>
    <n v="0"/>
    <n v="0"/>
    <n v="0"/>
    <n v="0"/>
    <n v="0"/>
    <n v="0"/>
    <n v="0"/>
    <m/>
  </r>
  <r>
    <n v="1688"/>
    <d v="2025-06-23T14:43:40"/>
    <d v="2025-06-23T14:45:57"/>
    <s v="tsatumba@lighthouse.org.mw"/>
    <s v="Thomas Satumba"/>
    <x v="7"/>
    <s v="Prototype"/>
    <x v="2"/>
    <s v="COP_23"/>
    <m/>
    <x v="1"/>
    <s v="Quarter3"/>
    <m/>
    <s v="Apr"/>
    <d v="2025-04-01T00:00:00"/>
    <d v="2025-04-30T00:00:00"/>
    <x v="5"/>
    <n v="0"/>
    <n v="0"/>
    <n v="0"/>
    <n v="0"/>
    <n v="0"/>
    <n v="0"/>
    <n v="0"/>
    <n v="0"/>
    <n v="0"/>
    <n v="0"/>
    <n v="0"/>
    <n v="0"/>
    <n v="0"/>
    <n v="0"/>
    <n v="0"/>
    <n v="0"/>
    <n v="0"/>
    <n v="0"/>
    <n v="0"/>
    <n v="0"/>
    <n v="0"/>
    <n v="0"/>
    <n v="0"/>
    <n v="0"/>
    <n v="0"/>
    <m/>
  </r>
  <r>
    <n v="1689"/>
    <d v="2025-06-23T14:46:05"/>
    <d v="2025-06-23T14:48:21"/>
    <s v="tsatumba@lighthouse.org.mw"/>
    <s v="Thomas Satumba"/>
    <x v="7"/>
    <s v="Prototype"/>
    <x v="2"/>
    <s v="COP_23"/>
    <m/>
    <x v="1"/>
    <s v="Quarter3"/>
    <m/>
    <s v="May"/>
    <d v="2025-05-01T00:00:00"/>
    <d v="2025-05-31T00:00:00"/>
    <x v="1"/>
    <n v="4"/>
    <n v="0"/>
    <n v="4"/>
    <n v="0"/>
    <n v="0"/>
    <n v="0"/>
    <n v="0"/>
    <n v="0"/>
    <n v="0"/>
    <n v="0"/>
    <n v="0"/>
    <n v="0"/>
    <n v="0"/>
    <n v="0"/>
    <n v="0"/>
    <n v="0"/>
    <n v="0"/>
    <n v="0"/>
    <n v="0"/>
    <n v="0"/>
    <n v="0"/>
    <n v="0"/>
    <n v="0"/>
    <n v="0"/>
    <n v="0"/>
    <m/>
  </r>
  <r>
    <n v="1690"/>
    <d v="2025-06-23T14:49:47"/>
    <d v="2025-06-23T14:52:23"/>
    <s v="tsatumba@lighthouse.org.mw"/>
    <s v="Thomas Satumba"/>
    <x v="7"/>
    <s v="Prototype"/>
    <x v="2"/>
    <s v="COP_23"/>
    <m/>
    <x v="1"/>
    <s v="Quarter3"/>
    <m/>
    <s v="May"/>
    <d v="2025-05-01T00:00:00"/>
    <d v="2025-05-31T00:00:00"/>
    <x v="0"/>
    <n v="4"/>
    <n v="0"/>
    <n v="4"/>
    <n v="0"/>
    <n v="0"/>
    <n v="0"/>
    <n v="0"/>
    <n v="0"/>
    <n v="0"/>
    <n v="0"/>
    <n v="0"/>
    <n v="0"/>
    <n v="0"/>
    <n v="0"/>
    <n v="0"/>
    <n v="0"/>
    <n v="0"/>
    <n v="0"/>
    <n v="0"/>
    <n v="0"/>
    <n v="0"/>
    <n v="0"/>
    <n v="0"/>
    <n v="0"/>
    <n v="0"/>
    <m/>
  </r>
  <r>
    <n v="1691"/>
    <d v="2025-06-23T14:52:30"/>
    <d v="2025-06-23T14:54:52"/>
    <s v="tsatumba@lighthouse.org.mw"/>
    <s v="Thomas Satumba"/>
    <x v="7"/>
    <s v="Prototype"/>
    <x v="2"/>
    <s v="COP_23"/>
    <m/>
    <x v="1"/>
    <s v="Quarter3"/>
    <m/>
    <s v="May"/>
    <d v="2025-05-01T00:00:00"/>
    <d v="2025-05-31T00:00:00"/>
    <x v="5"/>
    <n v="0"/>
    <n v="0"/>
    <n v="0"/>
    <n v="0"/>
    <n v="0"/>
    <n v="0"/>
    <n v="0"/>
    <n v="0"/>
    <n v="0"/>
    <n v="0"/>
    <n v="0"/>
    <n v="0"/>
    <n v="0"/>
    <n v="0"/>
    <n v="0"/>
    <n v="0"/>
    <n v="0"/>
    <n v="0"/>
    <n v="0"/>
    <n v="0"/>
    <n v="0"/>
    <n v="0"/>
    <n v="0"/>
    <n v="0"/>
    <n v="0"/>
    <m/>
  </r>
  <r>
    <n v="1786"/>
    <d v="2025-07-10T13:14:45"/>
    <d v="2025-07-10T13:17:19"/>
    <s v="jmakoza@lighthouse.org.mw"/>
    <s v="Jonathan Makoza"/>
    <x v="7"/>
    <s v="Prototype"/>
    <x v="2"/>
    <s v="COP_23"/>
    <m/>
    <x v="3"/>
    <s v="Quarter3"/>
    <m/>
    <s v="Jun"/>
    <d v="2025-06-01T00:00:00"/>
    <d v="2025-06-30T00:00:00"/>
    <x v="0"/>
    <n v="5"/>
    <n v="0"/>
    <n v="5"/>
    <n v="0"/>
    <n v="0"/>
    <n v="0"/>
    <n v="5"/>
    <n v="0"/>
    <n v="0"/>
    <n v="0"/>
    <n v="0"/>
    <n v="0"/>
    <n v="0"/>
    <n v="0"/>
    <n v="0"/>
    <n v="0"/>
    <n v="0"/>
    <n v="0"/>
    <n v="0"/>
    <n v="0"/>
    <n v="0"/>
    <n v="0"/>
    <n v="0"/>
    <n v="0"/>
    <n v="0"/>
    <m/>
  </r>
  <r>
    <n v="1787"/>
    <d v="2025-07-10T13:17:22"/>
    <d v="2025-07-10T13:19:08"/>
    <s v="jmakoza@lighthouse.org.mw"/>
    <s v="Jonathan Makoza"/>
    <x v="7"/>
    <s v="Prototype"/>
    <x v="2"/>
    <s v="COP_23"/>
    <m/>
    <x v="3"/>
    <s v="Quarter3"/>
    <m/>
    <s v="Jun"/>
    <d v="2025-06-01T00:00:00"/>
    <d v="2025-06-30T00:00:00"/>
    <x v="1"/>
    <n v="5"/>
    <n v="0"/>
    <n v="5"/>
    <n v="0"/>
    <n v="0"/>
    <n v="0"/>
    <n v="0"/>
    <n v="0"/>
    <n v="0"/>
    <n v="0"/>
    <n v="0"/>
    <n v="0"/>
    <n v="0"/>
    <n v="0"/>
    <n v="0"/>
    <n v="0"/>
    <n v="0"/>
    <n v="0"/>
    <n v="0"/>
    <n v="0"/>
    <n v="0"/>
    <n v="0"/>
    <n v="0"/>
    <n v="0"/>
    <n v="0"/>
    <m/>
  </r>
  <r>
    <n v="1788"/>
    <d v="2025-07-10T13:19:16"/>
    <d v="2025-07-10T13:26:09"/>
    <s v="jmakoza@lighthouse.org.mw"/>
    <s v="Jonathan Makoza"/>
    <x v="7"/>
    <s v="Prototype"/>
    <x v="2"/>
    <s v="COP_23"/>
    <m/>
    <x v="3"/>
    <s v="Quarter3"/>
    <m/>
    <s v="Jun"/>
    <d v="2025-06-01T00:00:00"/>
    <d v="2025-06-30T00:00:00"/>
    <x v="5"/>
    <n v="0"/>
    <n v="0"/>
    <n v="0"/>
    <n v="0"/>
    <n v="0"/>
    <n v="0"/>
    <n v="0"/>
    <n v="0"/>
    <n v="0"/>
    <n v="0"/>
    <n v="0"/>
    <n v="0"/>
    <n v="0"/>
    <n v="0"/>
    <n v="0"/>
    <n v="0"/>
    <n v="0"/>
    <n v="0"/>
    <n v="0"/>
    <n v="0"/>
    <n v="0"/>
    <n v="0"/>
    <n v="0"/>
    <n v="0"/>
    <n v="0"/>
    <m/>
  </r>
  <r>
    <n v="46"/>
    <d v="2023-12-20T11:29:19"/>
    <d v="2023-12-20T11:47:10"/>
    <s v="mchirwa@lighthouse.org.mw"/>
    <s v="Margaret Chirwa"/>
    <x v="8"/>
    <s v="Prototype"/>
    <x v="0"/>
    <s v="COP_23"/>
    <s v="COP_22"/>
    <x v="1"/>
    <s v="Quarter4"/>
    <s v="Qtr_4"/>
    <s v="Sep"/>
    <d v="2023-09-01T00:00:00"/>
    <d v="2023-09-30T00:00:00"/>
    <x v="0"/>
    <n v="27"/>
    <n v="3"/>
    <n v="20"/>
    <n v="2"/>
    <n v="3"/>
    <n v="3"/>
    <n v="27"/>
    <n v="6"/>
    <n v="6"/>
    <n v="0"/>
    <n v="2"/>
    <n v="0"/>
    <n v="7"/>
    <n v="0"/>
    <n v="2"/>
    <n v="0"/>
    <n v="1"/>
    <n v="1"/>
    <n v="1"/>
    <n v="0"/>
    <n v="0"/>
    <n v="0"/>
    <n v="0"/>
    <n v="2"/>
    <n v="3"/>
    <m/>
  </r>
  <r>
    <n v="47"/>
    <d v="2023-12-20T11:47:48"/>
    <d v="2023-12-20T11:52:51"/>
    <s v="mchirwa@lighthouse.org.mw"/>
    <s v="Margaret Chirwa"/>
    <x v="8"/>
    <s v="Prototype"/>
    <x v="0"/>
    <s v="COP_23"/>
    <s v="COP_23"/>
    <x v="0"/>
    <s v="Quarter1"/>
    <s v="Qtr_1"/>
    <s v="Oct"/>
    <d v="2023-10-01T00:00:00"/>
    <d v="2023-10-31T00:00:00"/>
    <x v="0"/>
    <n v="25"/>
    <n v="2"/>
    <n v="19"/>
    <n v="2"/>
    <n v="2"/>
    <n v="2"/>
    <n v="22"/>
    <n v="5"/>
    <n v="5"/>
    <n v="0"/>
    <n v="0"/>
    <n v="0"/>
    <n v="2"/>
    <n v="1"/>
    <n v="1"/>
    <n v="1"/>
    <n v="1"/>
    <n v="1"/>
    <n v="1"/>
    <n v="1"/>
    <n v="3"/>
    <n v="0"/>
    <n v="0"/>
    <n v="0"/>
    <n v="0"/>
    <m/>
  </r>
  <r>
    <n v="50"/>
    <d v="2023-12-20T11:52:58"/>
    <d v="2023-12-20T11:58:07"/>
    <s v="mchirwa@lighthouse.org.mw"/>
    <s v="Margaret Chirwa"/>
    <x v="8"/>
    <s v="Prototype"/>
    <x v="0"/>
    <s v="COP_23"/>
    <s v="COP_23"/>
    <x v="0"/>
    <s v="Quarter1"/>
    <s v="Qtr_1"/>
    <s v="Nov"/>
    <d v="2023-11-01T00:00:00"/>
    <d v="2023-11-30T00:00:00"/>
    <x v="0"/>
    <n v="26"/>
    <n v="3"/>
    <n v="19"/>
    <n v="2"/>
    <n v="3"/>
    <n v="1"/>
    <n v="23"/>
    <n v="2"/>
    <n v="3"/>
    <n v="0"/>
    <n v="0"/>
    <n v="0"/>
    <n v="1"/>
    <n v="0"/>
    <n v="0"/>
    <n v="0"/>
    <n v="0"/>
    <n v="0"/>
    <n v="4"/>
    <n v="0"/>
    <n v="0"/>
    <n v="0"/>
    <n v="0"/>
    <n v="0"/>
    <n v="2"/>
    <m/>
  </r>
  <r>
    <n v="108"/>
    <d v="2024-01-19T15:42:26"/>
    <d v="2024-01-19T15:46:15"/>
    <s v="mmsiska@lighthouse.org.mw"/>
    <s v="Michael Msiska"/>
    <x v="8"/>
    <s v="Prototype"/>
    <x v="0"/>
    <s v="COP_23"/>
    <s v="COP_23"/>
    <x v="0"/>
    <s v="Quarter1"/>
    <s v="Qtr_1"/>
    <s v="Dec"/>
    <d v="2023-12-01T00:00:00"/>
    <d v="2023-12-31T00:00:00"/>
    <x v="0"/>
    <n v="19"/>
    <n v="4"/>
    <n v="9"/>
    <n v="6"/>
    <n v="4"/>
    <n v="0"/>
    <n v="19"/>
    <n v="5"/>
    <n v="5"/>
    <n v="0"/>
    <n v="0"/>
    <n v="0"/>
    <n v="1"/>
    <n v="0"/>
    <n v="0"/>
    <n v="0"/>
    <n v="3"/>
    <n v="2"/>
    <n v="2"/>
    <n v="0"/>
    <n v="2"/>
    <n v="0"/>
    <n v="0"/>
    <n v="0"/>
    <n v="3"/>
    <m/>
  </r>
  <r>
    <n v="317"/>
    <d v="2024-04-29T12:19:58"/>
    <d v="2024-04-29T12:40:47"/>
    <s v="dchirwa@lighthouse.org.mw"/>
    <s v="davis chirwa"/>
    <x v="8"/>
    <s v="Prototype"/>
    <x v="1"/>
    <s v="COP_23"/>
    <s v="COP_23"/>
    <x v="2"/>
    <s v="Quarter2"/>
    <s v="Qtr_2"/>
    <s v="Feb"/>
    <d v="2024-02-01T00:00:00"/>
    <d v="2024-02-29T00:00:00"/>
    <x v="0"/>
    <n v="46"/>
    <n v="3"/>
    <n v="29"/>
    <n v="8"/>
    <n v="8"/>
    <n v="1"/>
    <n v="45"/>
    <n v="8"/>
    <n v="8"/>
    <n v="0"/>
    <n v="0"/>
    <n v="0"/>
    <n v="0"/>
    <n v="0"/>
    <n v="0"/>
    <n v="0"/>
    <n v="1"/>
    <n v="1"/>
    <n v="4"/>
    <n v="0"/>
    <n v="1"/>
    <n v="0"/>
    <n v="0"/>
    <n v="0"/>
    <n v="4"/>
    <m/>
  </r>
  <r>
    <n v="318"/>
    <d v="2024-04-29T12:41:00"/>
    <d v="2024-04-29T12:49:52"/>
    <s v="dchirwa@lighthouse.org.mw"/>
    <s v="davis chirwa"/>
    <x v="8"/>
    <s v="Prototype"/>
    <x v="1"/>
    <s v="COP_23"/>
    <s v="COP_23"/>
    <x v="2"/>
    <s v="Quarter2"/>
    <s v="Qtr_2"/>
    <s v="Mar"/>
    <d v="2024-03-01T00:00:00"/>
    <d v="2024-03-31T00:00:00"/>
    <x v="0"/>
    <n v="30"/>
    <n v="30"/>
    <n v="22"/>
    <n v="4"/>
    <n v="4"/>
    <n v="0"/>
    <n v="29"/>
    <n v="10"/>
    <n v="0"/>
    <n v="0"/>
    <n v="0"/>
    <n v="0"/>
    <n v="0"/>
    <n v="0"/>
    <n v="0"/>
    <n v="0"/>
    <n v="2"/>
    <n v="0"/>
    <n v="3"/>
    <n v="1"/>
    <n v="0"/>
    <n v="0"/>
    <n v="0"/>
    <n v="0"/>
    <n v="1"/>
    <m/>
  </r>
  <r>
    <n v="472"/>
    <d v="2024-06-04T09:54:37"/>
    <d v="2024-06-04T10:07:32"/>
    <s v="dchirwa@lighthouse.org.mw"/>
    <s v="davis chirwa"/>
    <x v="8"/>
    <s v="Prototype"/>
    <x v="1"/>
    <s v="COP_23"/>
    <s v="COP_23"/>
    <x v="3"/>
    <s v="Quarter3"/>
    <s v="Qtr_3"/>
    <s v="Apr"/>
    <d v="2024-04-01T00:00:00"/>
    <d v="2024-04-30T00:00:00"/>
    <x v="0"/>
    <n v="29"/>
    <n v="3"/>
    <n v="16"/>
    <n v="4"/>
    <n v="5"/>
    <n v="4"/>
    <n v="27"/>
    <n v="7"/>
    <n v="6"/>
    <n v="0"/>
    <n v="0"/>
    <n v="0"/>
    <n v="0"/>
    <n v="0"/>
    <n v="0"/>
    <n v="0"/>
    <n v="3"/>
    <n v="0"/>
    <n v="4"/>
    <n v="0"/>
    <n v="0"/>
    <n v="0"/>
    <n v="0"/>
    <n v="2"/>
    <n v="0"/>
    <m/>
  </r>
  <r>
    <n v="502"/>
    <d v="2024-06-06T09:33:53"/>
    <d v="2024-06-06T09:36:20"/>
    <s v="dchirwa@lighthouse.org.mw"/>
    <s v="davis chirwa"/>
    <x v="8"/>
    <s v="Prototype"/>
    <x v="1"/>
    <s v="COP_23"/>
    <s v="COP_23"/>
    <x v="2"/>
    <s v="Quarter2"/>
    <s v="Qtr_2"/>
    <s v="Mar"/>
    <d v="2024-03-01T00:00:00"/>
    <d v="2024-03-31T00:00:00"/>
    <x v="3"/>
    <n v="0"/>
    <n v="0"/>
    <n v="0"/>
    <n v="0"/>
    <n v="0"/>
    <n v="0"/>
    <n v="0"/>
    <n v="0"/>
    <n v="0"/>
    <n v="0"/>
    <n v="0"/>
    <n v="0"/>
    <n v="0"/>
    <n v="0"/>
    <n v="0"/>
    <n v="0"/>
    <n v="0"/>
    <n v="0"/>
    <n v="0"/>
    <n v="0"/>
    <n v="0"/>
    <n v="0"/>
    <n v="0"/>
    <n v="0"/>
    <n v="0"/>
    <m/>
  </r>
  <r>
    <n v="504"/>
    <d v="2024-06-06T09:36:30"/>
    <d v="2024-06-06T09:43:34"/>
    <s v="dchirwa@lighthouse.org.mw"/>
    <s v="davis chirwa"/>
    <x v="8"/>
    <s v="Prototype"/>
    <x v="1"/>
    <s v="COP_23"/>
    <s v="COP_23"/>
    <x v="2"/>
    <s v="Quarter2"/>
    <s v="Qtr_2"/>
    <s v="Mar"/>
    <d v="2024-03-01T00:00:00"/>
    <d v="2024-03-31T00:00:00"/>
    <x v="4"/>
    <n v="1"/>
    <n v="1"/>
    <n v="0"/>
    <n v="1"/>
    <n v="0"/>
    <n v="0"/>
    <n v="1"/>
    <n v="0"/>
    <n v="0"/>
    <n v="0"/>
    <n v="0"/>
    <n v="0"/>
    <n v="0"/>
    <n v="0"/>
    <n v="0"/>
    <n v="0"/>
    <n v="0"/>
    <n v="0"/>
    <n v="0"/>
    <n v="0"/>
    <n v="0"/>
    <n v="0"/>
    <n v="0"/>
    <n v="0"/>
    <n v="0"/>
    <m/>
  </r>
  <r>
    <n v="506"/>
    <d v="2024-06-06T10:09:44"/>
    <d v="2024-06-06T10:15:05"/>
    <s v="dchirwa@lighthouse.org.mw"/>
    <s v="davis chirwa"/>
    <x v="8"/>
    <s v="Prototype"/>
    <x v="1"/>
    <s v="COP_23"/>
    <s v="COP_23"/>
    <x v="2"/>
    <s v="Quarter2"/>
    <s v="Qtr_2"/>
    <s v="Mar"/>
    <d v="2024-03-01T00:00:00"/>
    <d v="2024-03-31T00:00:00"/>
    <x v="5"/>
    <n v="0"/>
    <n v="0"/>
    <n v="0"/>
    <n v="0"/>
    <n v="0"/>
    <n v="0"/>
    <n v="0"/>
    <n v="0"/>
    <n v="0"/>
    <n v="0"/>
    <n v="0"/>
    <n v="0"/>
    <n v="0"/>
    <n v="0"/>
    <n v="0"/>
    <n v="0"/>
    <n v="0"/>
    <n v="0"/>
    <n v="0"/>
    <n v="0"/>
    <n v="0"/>
    <n v="0"/>
    <n v="0"/>
    <n v="0"/>
    <n v="0"/>
    <m/>
  </r>
  <r>
    <n v="508"/>
    <d v="2024-06-06T10:42:28"/>
    <d v="2024-06-06T11:26:58"/>
    <s v="dchirwa@lighthouse.org.mw"/>
    <s v="davis chirwa"/>
    <x v="8"/>
    <s v="Prototype"/>
    <x v="1"/>
    <s v="COP_23"/>
    <s v="COP_23"/>
    <x v="3"/>
    <s v="Quarter3"/>
    <s v="Qtr_3"/>
    <s v="May"/>
    <d v="2024-05-01T00:00:00"/>
    <d v="2024-05-31T00:00:00"/>
    <x v="0"/>
    <n v="29"/>
    <n v="0"/>
    <n v="22"/>
    <n v="4"/>
    <n v="2"/>
    <n v="1"/>
    <n v="26"/>
    <n v="6"/>
    <n v="7"/>
    <n v="0"/>
    <n v="0"/>
    <n v="0"/>
    <n v="0"/>
    <n v="0"/>
    <n v="0"/>
    <n v="0"/>
    <n v="1"/>
    <n v="0"/>
    <n v="1"/>
    <n v="0"/>
    <n v="0"/>
    <n v="0"/>
    <n v="0"/>
    <n v="0"/>
    <n v="2"/>
    <m/>
  </r>
  <r>
    <n v="512"/>
    <d v="2024-06-06T11:44:04"/>
    <d v="2024-06-06T11:44:44"/>
    <s v="dchirwa@lighthouse.org.mw"/>
    <s v="davis chirwa"/>
    <x v="8"/>
    <s v="Prototype"/>
    <x v="1"/>
    <s v="COP_23"/>
    <s v="COP_23"/>
    <x v="3"/>
    <s v="Quarter3"/>
    <s v="Qtr_3"/>
    <s v="May"/>
    <d v="2024-05-01T00:00:00"/>
    <d v="2024-05-31T00:00:00"/>
    <x v="5"/>
    <n v="4"/>
    <n v="0"/>
    <n v="4"/>
    <n v="0"/>
    <n v="0"/>
    <n v="0"/>
    <n v="3"/>
    <n v="0"/>
    <n v="0"/>
    <n v="0"/>
    <n v="0"/>
    <n v="0"/>
    <n v="0"/>
    <n v="0"/>
    <n v="0"/>
    <n v="0"/>
    <n v="0"/>
    <n v="0"/>
    <n v="0"/>
    <n v="0"/>
    <n v="0"/>
    <n v="0"/>
    <n v="0"/>
    <n v="0"/>
    <n v="0"/>
    <m/>
  </r>
  <r>
    <n v="531"/>
    <d v="2024-06-10T10:56:12"/>
    <d v="2024-06-10T10:56:33"/>
    <s v="dchirwa@lighthouse.org.mw"/>
    <s v="davis chirwa"/>
    <x v="8"/>
    <s v="Prototype"/>
    <x v="1"/>
    <s v="COP_23"/>
    <s v="COP_23"/>
    <x v="2"/>
    <s v="Quarter2"/>
    <s v="Qtr_2"/>
    <s v="Feb"/>
    <d v="2024-02-01T00:00:00"/>
    <d v="2024-02-29T00:00:00"/>
    <x v="3"/>
    <n v="1"/>
    <n v="0"/>
    <n v="0"/>
    <n v="1"/>
    <n v="0"/>
    <n v="0"/>
    <n v="1"/>
    <n v="0"/>
    <n v="0"/>
    <n v="0"/>
    <n v="0"/>
    <n v="0"/>
    <n v="0"/>
    <n v="0"/>
    <n v="0"/>
    <n v="0"/>
    <n v="0"/>
    <n v="0"/>
    <n v="0"/>
    <n v="0"/>
    <n v="0"/>
    <n v="0"/>
    <n v="0"/>
    <n v="0"/>
    <n v="0"/>
    <m/>
  </r>
  <r>
    <n v="532"/>
    <d v="2024-06-10T10:56:39"/>
    <d v="2024-06-10T11:02:30"/>
    <s v="dchirwa@lighthouse.org.mw"/>
    <s v="davis chirwa"/>
    <x v="8"/>
    <s v="Prototype"/>
    <x v="1"/>
    <s v="COP_23"/>
    <s v="COP_23"/>
    <x v="2"/>
    <s v="Quarter2"/>
    <s v="Qtr_2"/>
    <s v="Feb"/>
    <d v="2024-02-01T00:00:00"/>
    <d v="2024-02-29T00:00:00"/>
    <x v="4"/>
    <n v="2"/>
    <n v="1"/>
    <n v="0"/>
    <n v="1"/>
    <n v="1"/>
    <n v="0"/>
    <n v="2"/>
    <n v="0"/>
    <n v="0"/>
    <n v="0"/>
    <n v="0"/>
    <n v="0"/>
    <n v="0"/>
    <n v="0"/>
    <n v="0"/>
    <n v="0"/>
    <n v="0"/>
    <n v="0"/>
    <n v="0"/>
    <n v="0"/>
    <n v="0"/>
    <n v="0"/>
    <n v="0"/>
    <n v="0"/>
    <n v="0"/>
    <m/>
  </r>
  <r>
    <n v="533"/>
    <d v="2024-06-10T11:02:35"/>
    <d v="2024-06-10T11:13:34"/>
    <s v="dchirwa@lighthouse.org.mw"/>
    <s v="davis chirwa"/>
    <x v="8"/>
    <s v="Prototype"/>
    <x v="1"/>
    <s v="COP_23"/>
    <s v="COP_23"/>
    <x v="2"/>
    <s v="Quarter2"/>
    <s v="Qtr_2"/>
    <s v="Feb"/>
    <d v="2024-02-01T00:00:00"/>
    <d v="2024-02-29T00:00:00"/>
    <x v="5"/>
    <n v="1"/>
    <n v="0"/>
    <n v="0"/>
    <n v="1"/>
    <n v="0"/>
    <n v="0"/>
    <n v="1"/>
    <n v="0"/>
    <n v="0"/>
    <n v="0"/>
    <n v="0"/>
    <n v="0"/>
    <n v="0"/>
    <n v="0"/>
    <n v="0"/>
    <n v="0"/>
    <n v="0"/>
    <n v="0"/>
    <n v="0"/>
    <n v="0"/>
    <n v="0"/>
    <n v="0"/>
    <n v="0"/>
    <n v="0"/>
    <n v="0"/>
    <m/>
  </r>
  <r>
    <n v="536"/>
    <d v="2024-06-10T14:14:36"/>
    <d v="2024-06-10T14:14:57"/>
    <s v="dchirwa@lighthouse.org.mw"/>
    <s v="davis chirwa"/>
    <x v="8"/>
    <s v="Prototype"/>
    <x v="1"/>
    <s v="COP_23"/>
    <s v="COP_23"/>
    <x v="2"/>
    <s v="Quarter2"/>
    <s v="Qtr_2"/>
    <s v="Jan"/>
    <d v="2024-01-01T00:00:00"/>
    <d v="2024-01-31T00:00:00"/>
    <x v="0"/>
    <n v="26"/>
    <n v="3"/>
    <n v="18"/>
    <n v="0"/>
    <n v="7"/>
    <n v="1"/>
    <n v="1"/>
    <n v="0"/>
    <n v="10"/>
    <n v="0"/>
    <n v="0"/>
    <n v="0"/>
    <n v="1"/>
    <n v="0"/>
    <n v="0"/>
    <n v="0"/>
    <n v="4"/>
    <n v="0"/>
    <n v="0"/>
    <n v="0"/>
    <n v="0"/>
    <n v="0"/>
    <n v="0"/>
    <n v="1"/>
    <n v="3"/>
    <m/>
  </r>
  <r>
    <n v="538"/>
    <d v="2024-06-10T14:21:55"/>
    <d v="2024-06-10T14:28:30"/>
    <s v="dchirwa@lighthouse.org.mw"/>
    <s v="davis chirwa"/>
    <x v="8"/>
    <s v="Prototype"/>
    <x v="1"/>
    <s v="COP_23"/>
    <s v="COP_23"/>
    <x v="2"/>
    <s v="Quarter2"/>
    <s v="Qtr_2"/>
    <s v="Jan"/>
    <d v="2024-01-01T00:00:00"/>
    <d v="2024-01-31T00:00:00"/>
    <x v="3"/>
    <n v="1"/>
    <n v="1"/>
    <n v="0"/>
    <n v="0"/>
    <n v="1"/>
    <n v="0"/>
    <n v="1"/>
    <n v="0"/>
    <n v="0"/>
    <n v="0"/>
    <n v="0"/>
    <n v="0"/>
    <n v="0"/>
    <n v="0"/>
    <n v="0"/>
    <n v="0"/>
    <n v="1"/>
    <n v="0"/>
    <n v="0"/>
    <n v="0"/>
    <n v="0"/>
    <n v="0"/>
    <n v="0"/>
    <n v="0"/>
    <n v="1"/>
    <m/>
  </r>
  <r>
    <n v="539"/>
    <d v="2024-06-10T14:28:36"/>
    <d v="2024-06-10T14:36:18"/>
    <s v="dchirwa@lighthouse.org.mw"/>
    <s v="davis chirwa"/>
    <x v="8"/>
    <s v="Prototype"/>
    <x v="1"/>
    <s v="COP_23"/>
    <s v="COP_23"/>
    <x v="2"/>
    <s v="Quarter2"/>
    <s v="Qtr_2"/>
    <s v="Jan"/>
    <d v="2024-01-01T00:00:00"/>
    <d v="2024-01-31T00:00:00"/>
    <x v="5"/>
    <n v="1"/>
    <n v="1"/>
    <n v="0"/>
    <n v="0"/>
    <n v="1"/>
    <n v="0"/>
    <n v="1"/>
    <n v="1"/>
    <n v="1"/>
    <n v="0"/>
    <n v="0"/>
    <n v="0"/>
    <n v="0"/>
    <n v="0"/>
    <n v="0"/>
    <n v="0"/>
    <n v="1"/>
    <n v="0"/>
    <n v="0"/>
    <n v="0"/>
    <n v="0"/>
    <n v="0"/>
    <n v="0"/>
    <n v="1"/>
    <n v="0"/>
    <m/>
  </r>
  <r>
    <n v="540"/>
    <d v="2024-06-10T14:36:24"/>
    <d v="2024-06-10T14:39:47"/>
    <s v="dchirwa@lighthouse.org.mw"/>
    <s v="davis chirwa"/>
    <x v="8"/>
    <s v="Prototype"/>
    <x v="1"/>
    <s v="COP_23"/>
    <s v="COP_23"/>
    <x v="2"/>
    <s v="Quarter2"/>
    <s v="Qtr_2"/>
    <s v="Jan"/>
    <d v="2024-01-01T00:00:00"/>
    <d v="2024-01-31T00:00:00"/>
    <x v="4"/>
    <n v="0"/>
    <n v="0"/>
    <n v="0"/>
    <n v="0"/>
    <n v="0"/>
    <n v="0"/>
    <n v="0"/>
    <n v="0"/>
    <n v="0"/>
    <n v="0"/>
    <n v="0"/>
    <n v="0"/>
    <n v="0"/>
    <n v="0"/>
    <n v="0"/>
    <n v="0"/>
    <n v="0"/>
    <n v="0"/>
    <n v="0"/>
    <n v="0"/>
    <n v="0"/>
    <n v="0"/>
    <n v="0"/>
    <n v="0"/>
    <n v="0"/>
    <m/>
  </r>
  <r>
    <n v="501"/>
    <d v="2024-06-06T09:27:04"/>
    <d v="2024-06-06T09:33:48"/>
    <s v="dchirwa@lighthouse.org.mw"/>
    <s v="davis chirwa"/>
    <x v="8"/>
    <s v="Prototype"/>
    <x v="1"/>
    <s v="COP_23"/>
    <s v="COP_23"/>
    <x v="2"/>
    <s v="Quarter2"/>
    <s v="Qtr_2"/>
    <s v="Mar"/>
    <d v="2024-03-01T00:00:00"/>
    <d v="2024-03-31T00:00:00"/>
    <x v="1"/>
    <n v="27"/>
    <n v="1"/>
    <n v="22"/>
    <n v="1"/>
    <n v="4"/>
    <n v="0"/>
    <n v="26"/>
    <n v="11"/>
    <n v="9"/>
    <n v="0"/>
    <n v="0"/>
    <n v="0"/>
    <n v="0"/>
    <n v="0"/>
    <n v="0"/>
    <n v="0"/>
    <n v="2"/>
    <n v="0"/>
    <n v="4"/>
    <n v="1"/>
    <n v="0"/>
    <n v="0"/>
    <n v="0"/>
    <n v="0"/>
    <n v="1"/>
    <m/>
  </r>
  <r>
    <n v="530"/>
    <d v="2024-06-10T10:17:20"/>
    <d v="2024-06-10T10:23:13"/>
    <s v="dchirwa@lighthouse.org.mw"/>
    <s v="davis chirwa"/>
    <x v="8"/>
    <s v="Prototype"/>
    <x v="1"/>
    <s v="COP_23"/>
    <s v="COP_23"/>
    <x v="2"/>
    <s v="Quarter2"/>
    <s v="Qtr_2"/>
    <s v="Feb"/>
    <d v="2024-02-01T00:00:00"/>
    <d v="2024-02-29T00:00:00"/>
    <x v="1"/>
    <n v="39"/>
    <n v="1"/>
    <n v="26"/>
    <n v="5"/>
    <n v="7"/>
    <n v="1"/>
    <n v="39"/>
    <n v="7"/>
    <n v="7"/>
    <n v="0"/>
    <n v="0"/>
    <n v="0"/>
    <n v="0"/>
    <n v="0"/>
    <n v="0"/>
    <n v="0"/>
    <n v="0"/>
    <n v="0"/>
    <n v="3"/>
    <n v="0"/>
    <n v="0"/>
    <n v="0"/>
    <n v="0"/>
    <n v="0"/>
    <n v="4"/>
    <m/>
  </r>
  <r>
    <n v="537"/>
    <d v="2024-06-10T14:15:04"/>
    <d v="2024-06-10T14:21:49"/>
    <s v="dchirwa@lighthouse.org.mw"/>
    <s v="davis chirwa"/>
    <x v="8"/>
    <s v="Prototype"/>
    <x v="1"/>
    <s v="COP_23"/>
    <s v="COP_23"/>
    <x v="2"/>
    <s v="Quarter2"/>
    <s v="Qtr_2"/>
    <s v="Jan"/>
    <d v="2024-01-01T00:00:00"/>
    <d v="2024-01-31T00:00:00"/>
    <x v="1"/>
    <n v="24"/>
    <n v="2"/>
    <n v="18"/>
    <n v="0"/>
    <n v="5"/>
    <n v="1"/>
    <n v="22"/>
    <n v="8"/>
    <n v="8"/>
    <n v="0"/>
    <n v="0"/>
    <n v="0"/>
    <n v="0"/>
    <n v="0"/>
    <n v="0"/>
    <n v="0"/>
    <n v="0"/>
    <n v="0"/>
    <n v="0"/>
    <n v="0"/>
    <n v="0"/>
    <n v="0"/>
    <n v="0"/>
    <n v="0"/>
    <n v="2"/>
    <m/>
  </r>
  <r>
    <n v="662"/>
    <d v="2024-07-29T16:12:30"/>
    <d v="2024-07-29T16:20:50"/>
    <s v="dchirwa@lighthouse.org.mw"/>
    <s v="davis chirwa"/>
    <x v="8"/>
    <s v="Prototype"/>
    <x v="1"/>
    <s v="COP_23"/>
    <s v="COP_23"/>
    <x v="3"/>
    <s v="Quarter3"/>
    <s v="Qtr_3"/>
    <s v="Apr"/>
    <d v="2024-04-01T00:00:00"/>
    <d v="2024-04-30T00:00:00"/>
    <x v="1"/>
    <n v="23"/>
    <n v="3"/>
    <n v="12"/>
    <n v="2"/>
    <n v="5"/>
    <n v="4"/>
    <n v="21"/>
    <n v="5"/>
    <n v="4"/>
    <n v="0"/>
    <n v="0"/>
    <n v="0"/>
    <n v="0"/>
    <n v="0"/>
    <n v="0"/>
    <n v="0"/>
    <n v="3"/>
    <n v="0"/>
    <n v="3"/>
    <n v="0"/>
    <n v="0"/>
    <n v="0"/>
    <n v="0"/>
    <n v="2"/>
    <n v="0"/>
    <m/>
  </r>
  <r>
    <n v="668"/>
    <d v="2024-07-30T11:43:44"/>
    <d v="2024-07-30T11:44:06"/>
    <s v="dchirwa@lighthouse.org.mw"/>
    <s v="davis chirwa"/>
    <x v="8"/>
    <s v="Prototype"/>
    <x v="1"/>
    <s v="COP_23"/>
    <s v="COP_23"/>
    <x v="3"/>
    <s v="Quarter3"/>
    <s v="Qtr_3"/>
    <s v="May"/>
    <d v="2024-05-01T00:00:00"/>
    <d v="2024-05-31T00:00:00"/>
    <x v="1"/>
    <n v="23"/>
    <n v="0"/>
    <n v="17"/>
    <n v="3"/>
    <n v="2"/>
    <n v="1"/>
    <n v="21"/>
    <n v="5"/>
    <n v="5"/>
    <n v="0"/>
    <n v="0"/>
    <n v="0"/>
    <n v="0"/>
    <n v="0"/>
    <n v="0"/>
    <n v="0"/>
    <n v="1"/>
    <n v="0"/>
    <n v="0"/>
    <n v="0"/>
    <n v="0"/>
    <n v="0"/>
    <n v="0"/>
    <n v="0"/>
    <n v="1"/>
    <m/>
  </r>
  <r>
    <n v="678"/>
    <d v="2024-07-30T15:05:35"/>
    <d v="2024-07-30T15:12:14"/>
    <s v="dchirwa@lighthouse.org.mw"/>
    <s v="davis chirwa"/>
    <x v="8"/>
    <s v="Prototype"/>
    <x v="1"/>
    <s v="COP_23"/>
    <s v="COP_23"/>
    <x v="3"/>
    <s v="Quarter3"/>
    <s v="Qtr_3"/>
    <s v="Jun"/>
    <d v="2024-06-01T00:00:00"/>
    <d v="2024-06-30T00:00:00"/>
    <x v="1"/>
    <n v="12"/>
    <n v="1"/>
    <n v="7"/>
    <n v="3"/>
    <n v="1"/>
    <n v="0"/>
    <n v="5"/>
    <n v="1"/>
    <n v="1"/>
    <n v="0"/>
    <n v="0"/>
    <n v="0"/>
    <n v="0"/>
    <n v="0"/>
    <n v="1"/>
    <n v="1"/>
    <n v="1"/>
    <n v="1"/>
    <n v="0"/>
    <n v="0"/>
    <n v="1"/>
    <n v="0"/>
    <n v="0"/>
    <n v="0"/>
    <n v="0"/>
    <m/>
  </r>
  <r>
    <n v="505"/>
    <d v="2024-06-06T09:43:41"/>
    <d v="2024-06-06T10:09:33"/>
    <s v="dchirwa@lighthouse.org.mw"/>
    <s v="davis chirwa"/>
    <x v="8"/>
    <s v="Prototype"/>
    <x v="1"/>
    <s v="COP_23"/>
    <s v="COP_23"/>
    <x v="2"/>
    <s v="Quarter2"/>
    <s v="Qtr_2"/>
    <s v="Mar"/>
    <d v="2024-03-01T00:00:00"/>
    <d v="2024-03-31T00:00:00"/>
    <x v="2"/>
    <n v="1"/>
    <n v="0"/>
    <n v="0"/>
    <n v="1"/>
    <n v="0"/>
    <n v="0"/>
    <n v="1"/>
    <n v="1"/>
    <n v="0"/>
    <n v="0"/>
    <n v="0"/>
    <n v="0"/>
    <n v="0"/>
    <n v="0"/>
    <n v="0"/>
    <n v="0"/>
    <n v="0"/>
    <n v="0"/>
    <n v="0"/>
    <n v="0"/>
    <n v="0"/>
    <n v="0"/>
    <n v="0"/>
    <n v="0"/>
    <n v="0"/>
    <m/>
  </r>
  <r>
    <n v="758"/>
    <d v="2024-08-14T09:40:15"/>
    <d v="2024-08-14T09:52:42"/>
    <s v="dchirwa@lighthouse.org.mw"/>
    <s v="davis chirwa"/>
    <x v="8"/>
    <s v="Prototype"/>
    <x v="1"/>
    <s v="COP_23"/>
    <s v="COP_23"/>
    <x v="1"/>
    <s v="Quarter4"/>
    <s v="Qtr_4"/>
    <s v="Jul"/>
    <d v="2024-07-01T00:00:00"/>
    <d v="2024-07-31T00:00:00"/>
    <x v="1"/>
    <n v="19"/>
    <n v="2"/>
    <n v="15"/>
    <n v="2"/>
    <n v="1"/>
    <n v="1"/>
    <n v="0"/>
    <n v="0"/>
    <n v="0"/>
    <n v="0"/>
    <n v="0"/>
    <n v="0"/>
    <n v="0"/>
    <n v="0"/>
    <n v="3"/>
    <n v="0"/>
    <n v="3"/>
    <n v="1"/>
    <n v="1"/>
    <n v="0"/>
    <n v="1"/>
    <n v="0"/>
    <n v="0"/>
    <n v="0"/>
    <n v="1"/>
    <m/>
  </r>
  <r>
    <n v="814"/>
    <d v="2024-09-16T13:55:17"/>
    <d v="2024-09-16T14:00:03"/>
    <s v="dchirwa@lighthouse.org.mw"/>
    <s v="davis chirwa"/>
    <x v="8"/>
    <s v="Prototype"/>
    <x v="1"/>
    <s v="COP_23"/>
    <s v="COP_23"/>
    <x v="1"/>
    <s v="Quarter4"/>
    <s v="Qtr_4"/>
    <s v="Aug"/>
    <d v="2024-08-01T00:00:00"/>
    <d v="2024-08-31T00:00:00"/>
    <x v="1"/>
    <n v="22"/>
    <n v="4"/>
    <n v="12"/>
    <n v="1"/>
    <n v="5"/>
    <n v="0"/>
    <n v="16"/>
    <n v="5"/>
    <n v="4"/>
    <n v="0"/>
    <n v="0"/>
    <n v="0"/>
    <n v="1"/>
    <n v="0"/>
    <n v="0"/>
    <n v="0"/>
    <n v="1"/>
    <n v="0"/>
    <n v="1"/>
    <n v="0"/>
    <n v="1"/>
    <n v="0"/>
    <n v="0"/>
    <n v="0"/>
    <n v="4"/>
    <m/>
  </r>
  <r>
    <n v="663"/>
    <d v="2024-07-29T16:21:45"/>
    <d v="2024-07-29T16:38:31"/>
    <s v="dchirwa@lighthouse.org.mw"/>
    <s v="davis chirwa"/>
    <x v="8"/>
    <s v="Prototype"/>
    <x v="1"/>
    <s v="COP_23"/>
    <s v="COP_23"/>
    <x v="3"/>
    <s v="Quarter3"/>
    <s v="Qtr_3"/>
    <s v="Apr"/>
    <d v="2024-04-01T00:00:00"/>
    <d v="2024-04-30T00:00:00"/>
    <x v="3"/>
    <n v="1"/>
    <n v="0"/>
    <n v="1"/>
    <n v="0"/>
    <n v="0"/>
    <n v="0"/>
    <n v="1"/>
    <n v="0"/>
    <n v="0"/>
    <n v="0"/>
    <n v="0"/>
    <n v="0"/>
    <n v="0"/>
    <n v="0"/>
    <n v="0"/>
    <n v="0"/>
    <n v="0"/>
    <n v="0"/>
    <n v="0"/>
    <n v="0"/>
    <n v="0"/>
    <n v="0"/>
    <n v="0"/>
    <n v="0"/>
    <n v="0"/>
    <m/>
  </r>
  <r>
    <n v="534"/>
    <d v="2024-06-10T11:13:45"/>
    <d v="2024-06-10T11:19:46"/>
    <s v="dchirwa@lighthouse.org.mw"/>
    <s v="davis chirwa"/>
    <x v="8"/>
    <s v="Prototype"/>
    <x v="1"/>
    <s v="COP_23"/>
    <s v="COP_23"/>
    <x v="2"/>
    <s v="Quarter2"/>
    <s v="Qtr_2"/>
    <s v="Feb"/>
    <d v="2024-02-01T00:00:00"/>
    <d v="2024-02-29T00:00:00"/>
    <x v="2"/>
    <n v="4"/>
    <n v="1"/>
    <n v="2"/>
    <n v="1"/>
    <n v="1"/>
    <n v="0"/>
    <n v="4"/>
    <n v="1"/>
    <n v="1"/>
    <n v="0"/>
    <n v="0"/>
    <n v="0"/>
    <n v="0"/>
    <n v="0"/>
    <n v="0"/>
    <n v="0"/>
    <n v="0"/>
    <n v="0"/>
    <n v="1"/>
    <n v="0"/>
    <n v="0"/>
    <n v="0"/>
    <n v="0"/>
    <n v="0"/>
    <n v="0"/>
    <m/>
  </r>
  <r>
    <n v="665"/>
    <d v="2024-07-29T16:51:25"/>
    <d v="2024-07-29T16:54:49"/>
    <s v="dchirwa@lighthouse.org.mw"/>
    <s v="davis chirwa"/>
    <x v="8"/>
    <s v="Prototype"/>
    <x v="1"/>
    <s v="COP_23"/>
    <s v="COP_23"/>
    <x v="3"/>
    <s v="Quarter3"/>
    <s v="Qtr_3"/>
    <s v="Apr"/>
    <d v="2024-04-01T00:00:00"/>
    <d v="2024-04-30T00:00:00"/>
    <x v="4"/>
    <n v="0"/>
    <n v="0"/>
    <n v="0"/>
    <n v="0"/>
    <n v="0"/>
    <n v="0"/>
    <n v="0"/>
    <n v="0"/>
    <n v="0"/>
    <n v="0"/>
    <n v="0"/>
    <n v="0"/>
    <n v="0"/>
    <n v="0"/>
    <n v="0"/>
    <n v="0"/>
    <n v="0"/>
    <n v="0"/>
    <n v="0"/>
    <n v="0"/>
    <n v="0"/>
    <n v="0"/>
    <n v="0"/>
    <n v="0"/>
    <n v="0"/>
    <m/>
  </r>
  <r>
    <n v="666"/>
    <d v="2024-07-29T16:54:58"/>
    <d v="2024-07-29T17:00:20"/>
    <s v="dchirwa@lighthouse.org.mw"/>
    <s v="davis chirwa"/>
    <x v="8"/>
    <s v="Prototype"/>
    <x v="1"/>
    <s v="COP_23"/>
    <s v="COP_23"/>
    <x v="3"/>
    <s v="Quarter3"/>
    <s v="Qtr_3"/>
    <s v="Apr"/>
    <d v="2024-04-01T00:00:00"/>
    <d v="2024-04-30T00:00:00"/>
    <x v="5"/>
    <n v="26"/>
    <n v="0"/>
    <n v="0"/>
    <n v="0"/>
    <n v="0"/>
    <n v="0"/>
    <n v="0"/>
    <n v="0"/>
    <n v="0"/>
    <n v="0"/>
    <n v="0"/>
    <n v="0"/>
    <n v="0"/>
    <n v="0"/>
    <n v="0"/>
    <n v="0"/>
    <n v="0"/>
    <n v="0"/>
    <n v="0"/>
    <n v="0"/>
    <n v="0"/>
    <n v="0"/>
    <n v="0"/>
    <n v="0"/>
    <n v="0"/>
    <m/>
  </r>
  <r>
    <n v="886"/>
    <d v="2024-10-04T15:29:36"/>
    <d v="2024-10-04T15:37:34"/>
    <s v="dchirwa@lighthouse.org.mw"/>
    <s v="davis chirwa"/>
    <x v="8"/>
    <s v="Prototype"/>
    <x v="1"/>
    <s v="COP_23"/>
    <s v="COP_23"/>
    <x v="1"/>
    <s v="Quarter4"/>
    <s v="Qtr_4"/>
    <s v="Sep"/>
    <d v="2024-09-01T00:00:00"/>
    <d v="2024-09-30T00:00:00"/>
    <x v="1"/>
    <n v="29"/>
    <n v="4"/>
    <n v="20"/>
    <n v="4"/>
    <n v="2"/>
    <n v="3"/>
    <n v="28"/>
    <n v="8"/>
    <n v="7"/>
    <n v="1"/>
    <n v="1"/>
    <n v="1"/>
    <n v="6"/>
    <n v="0"/>
    <n v="1"/>
    <n v="0"/>
    <n v="4"/>
    <n v="0"/>
    <n v="1"/>
    <n v="0"/>
    <n v="0"/>
    <n v="1"/>
    <n v="1"/>
    <n v="0"/>
    <n v="5"/>
    <m/>
  </r>
  <r>
    <n v="669"/>
    <d v="2024-07-30T11:44:12"/>
    <d v="2024-07-30T11:51:46"/>
    <s v="dchirwa@lighthouse.org.mw"/>
    <s v="davis chirwa"/>
    <x v="8"/>
    <s v="Prototype"/>
    <x v="1"/>
    <s v="COP_23"/>
    <s v="COP_23"/>
    <x v="3"/>
    <s v="Quarter3"/>
    <s v="Qtr_3"/>
    <s v="May"/>
    <d v="2024-05-01T00:00:00"/>
    <d v="2024-05-31T00:00:00"/>
    <x v="5"/>
    <n v="17"/>
    <n v="0"/>
    <n v="4"/>
    <n v="0"/>
    <n v="0"/>
    <n v="0"/>
    <n v="3"/>
    <n v="0"/>
    <n v="0"/>
    <n v="0"/>
    <n v="0"/>
    <n v="0"/>
    <n v="0"/>
    <n v="0"/>
    <n v="0"/>
    <n v="0"/>
    <n v="0"/>
    <n v="0"/>
    <n v="0"/>
    <n v="0"/>
    <n v="0"/>
    <n v="0"/>
    <n v="0"/>
    <n v="0"/>
    <n v="0"/>
    <m/>
  </r>
  <r>
    <n v="670"/>
    <d v="2024-07-30T11:51:54"/>
    <d v="2024-07-30T11:56:43"/>
    <s v="dchirwa@lighthouse.org.mw"/>
    <s v="davis chirwa"/>
    <x v="8"/>
    <s v="Prototype"/>
    <x v="1"/>
    <s v="COP_23"/>
    <s v="COP_23"/>
    <x v="3"/>
    <s v="Quarter3"/>
    <s v="Qtr_3"/>
    <s v="May"/>
    <d v="2024-05-01T00:00:00"/>
    <d v="2024-05-31T00:00:00"/>
    <x v="3"/>
    <n v="1"/>
    <n v="0"/>
    <n v="1"/>
    <n v="0"/>
    <n v="0"/>
    <n v="0"/>
    <n v="1"/>
    <n v="0"/>
    <n v="0"/>
    <n v="0"/>
    <n v="0"/>
    <n v="0"/>
    <n v="0"/>
    <n v="0"/>
    <n v="0"/>
    <n v="0"/>
    <n v="0"/>
    <n v="0"/>
    <n v="0"/>
    <n v="0"/>
    <n v="0"/>
    <n v="0"/>
    <n v="0"/>
    <n v="0"/>
    <n v="0"/>
    <m/>
  </r>
  <r>
    <n v="671"/>
    <d v="2024-07-30T13:11:53"/>
    <d v="2024-07-30T13:12:05"/>
    <s v="dchirwa@lighthouse.org.mw"/>
    <s v="davis chirwa"/>
    <x v="8"/>
    <s v="Prototype"/>
    <x v="1"/>
    <s v="COP_23"/>
    <s v="COP_23"/>
    <x v="3"/>
    <s v="Quarter3"/>
    <s v="Qtr_3"/>
    <s v="May"/>
    <d v="2024-05-01T00:00:00"/>
    <d v="2024-05-31T00:00:00"/>
    <x v="4"/>
    <n v="1"/>
    <n v="0"/>
    <n v="1"/>
    <n v="0"/>
    <n v="0"/>
    <n v="0"/>
    <n v="1"/>
    <n v="0"/>
    <n v="0"/>
    <n v="0"/>
    <n v="0"/>
    <n v="0"/>
    <n v="0"/>
    <n v="0"/>
    <n v="0"/>
    <n v="0"/>
    <n v="0"/>
    <n v="0"/>
    <n v="0"/>
    <n v="0"/>
    <n v="0"/>
    <n v="0"/>
    <n v="0"/>
    <n v="0"/>
    <n v="0"/>
    <m/>
  </r>
  <r>
    <n v="664"/>
    <d v="2024-07-29T16:38:38"/>
    <d v="2024-07-29T16:51:08"/>
    <s v="dchirwa@lighthouse.org.mw"/>
    <s v="davis chirwa"/>
    <x v="8"/>
    <s v="Prototype"/>
    <x v="1"/>
    <s v="COP_23"/>
    <s v="COP_23"/>
    <x v="3"/>
    <s v="Quarter3"/>
    <s v="Qtr_3"/>
    <s v="Apr"/>
    <d v="2024-04-01T00:00:00"/>
    <d v="2024-04-30T00:00:00"/>
    <x v="2"/>
    <n v="24"/>
    <n v="0"/>
    <n v="4"/>
    <n v="2"/>
    <n v="0"/>
    <n v="0"/>
    <n v="6"/>
    <n v="2"/>
    <n v="2"/>
    <n v="0"/>
    <n v="0"/>
    <n v="0"/>
    <n v="0"/>
    <n v="0"/>
    <n v="0"/>
    <n v="0"/>
    <n v="0"/>
    <n v="0"/>
    <n v="1"/>
    <n v="0"/>
    <n v="0"/>
    <n v="0"/>
    <n v="0"/>
    <n v="0"/>
    <n v="0"/>
    <m/>
  </r>
  <r>
    <n v="674"/>
    <d v="2024-07-30T14:24:28"/>
    <d v="2024-07-30T14:24:50"/>
    <s v="dchirwa@lighthouse.org.mw"/>
    <s v="davis chirwa"/>
    <x v="8"/>
    <s v="Prototype"/>
    <x v="1"/>
    <s v="COP_23"/>
    <s v="COP_23"/>
    <x v="3"/>
    <s v="Quarter3"/>
    <s v="Qtr_3"/>
    <s v="Jun"/>
    <d v="2024-06-01T00:00:00"/>
    <d v="2024-06-30T00:00:00"/>
    <x v="0"/>
    <n v="16"/>
    <n v="2"/>
    <n v="10"/>
    <n v="3"/>
    <n v="3"/>
    <n v="0"/>
    <n v="11"/>
    <n v="1"/>
    <n v="1"/>
    <n v="0"/>
    <n v="0"/>
    <n v="0"/>
    <n v="0"/>
    <n v="0"/>
    <n v="2"/>
    <n v="1"/>
    <n v="2"/>
    <n v="0"/>
    <n v="1"/>
    <n v="0"/>
    <n v="2"/>
    <n v="0"/>
    <n v="0"/>
    <n v="1"/>
    <n v="0"/>
    <m/>
  </r>
  <r>
    <n v="675"/>
    <d v="2024-07-30T14:24:55"/>
    <d v="2024-07-30T14:38:25"/>
    <s v="dchirwa@lighthouse.org.mw"/>
    <s v="davis chirwa"/>
    <x v="8"/>
    <s v="Prototype"/>
    <x v="1"/>
    <s v="COP_23"/>
    <s v="COP_23"/>
    <x v="3"/>
    <s v="Quarter3"/>
    <s v="Qtr_3"/>
    <s v="Jun"/>
    <d v="2024-06-01T00:00:00"/>
    <d v="2024-06-30T00:00:00"/>
    <x v="4"/>
    <n v="1"/>
    <n v="0"/>
    <n v="1"/>
    <n v="0"/>
    <n v="0"/>
    <n v="0"/>
    <n v="1"/>
    <n v="0"/>
    <n v="0"/>
    <n v="0"/>
    <n v="0"/>
    <n v="0"/>
    <n v="0"/>
    <n v="0"/>
    <n v="0"/>
    <n v="0"/>
    <n v="0"/>
    <n v="0"/>
    <n v="0"/>
    <n v="0"/>
    <n v="0"/>
    <n v="0"/>
    <n v="0"/>
    <n v="0"/>
    <n v="0"/>
    <m/>
  </r>
  <r>
    <n v="673"/>
    <d v="2024-07-30T13:23:28"/>
    <d v="2024-07-30T13:29:12"/>
    <s v="dchirwa@lighthouse.org.mw"/>
    <s v="davis chirwa"/>
    <x v="8"/>
    <s v="Prototype"/>
    <x v="1"/>
    <s v="COP_23"/>
    <s v="COP_23"/>
    <x v="3"/>
    <s v="Quarter3"/>
    <s v="Qtr_3"/>
    <s v="May"/>
    <d v="2024-05-01T00:00:00"/>
    <d v="2024-05-31T00:00:00"/>
    <x v="2"/>
    <n v="34"/>
    <n v="0"/>
    <n v="1"/>
    <n v="1"/>
    <n v="0"/>
    <n v="0"/>
    <n v="2"/>
    <n v="1"/>
    <n v="1"/>
    <n v="0"/>
    <n v="0"/>
    <n v="0"/>
    <n v="0"/>
    <n v="0"/>
    <n v="0"/>
    <n v="0"/>
    <n v="0"/>
    <n v="0"/>
    <n v="1"/>
    <n v="0"/>
    <n v="0"/>
    <n v="0"/>
    <n v="0"/>
    <n v="0"/>
    <n v="1"/>
    <m/>
  </r>
  <r>
    <n v="677"/>
    <d v="2024-07-30T14:57:22"/>
    <d v="2024-07-30T15:05:22"/>
    <s v="dchirwa@lighthouse.org.mw"/>
    <s v="davis chirwa"/>
    <x v="8"/>
    <s v="Prototype"/>
    <x v="1"/>
    <s v="COP_23"/>
    <s v="COP_23"/>
    <x v="3"/>
    <s v="Quarter3"/>
    <s v="Qtr_3"/>
    <s v="Jun"/>
    <d v="2024-06-01T00:00:00"/>
    <d v="2024-06-30T00:00:00"/>
    <x v="5"/>
    <n v="26"/>
    <n v="0"/>
    <n v="3"/>
    <n v="0"/>
    <n v="0"/>
    <n v="0"/>
    <n v="3"/>
    <n v="0"/>
    <n v="0"/>
    <n v="0"/>
    <n v="0"/>
    <n v="0"/>
    <n v="0"/>
    <n v="0"/>
    <n v="0"/>
    <n v="0"/>
    <n v="0"/>
    <n v="0"/>
    <n v="0"/>
    <n v="0"/>
    <n v="0"/>
    <n v="0"/>
    <n v="0"/>
    <n v="0"/>
    <n v="0"/>
    <m/>
  </r>
  <r>
    <n v="1062"/>
    <d v="2024-11-13T15:11:56"/>
    <d v="2024-11-13T15:28:27"/>
    <s v="dchirwa@lighthouse.org.mw"/>
    <s v="davis chirwa"/>
    <x v="8"/>
    <s v="Prototype"/>
    <x v="1"/>
    <s v="COP_23"/>
    <s v="COP_24"/>
    <x v="0"/>
    <s v="Quarter1"/>
    <s v="Qtr_1"/>
    <s v="Oct"/>
    <d v="2024-10-01T00:00:00"/>
    <d v="2024-10-31T00:00:00"/>
    <x v="1"/>
    <n v="20"/>
    <n v="1"/>
    <n v="15"/>
    <n v="1"/>
    <n v="4"/>
    <n v="0"/>
    <n v="19"/>
    <n v="6"/>
    <n v="8"/>
    <n v="0"/>
    <n v="0"/>
    <n v="0"/>
    <n v="6"/>
    <n v="1"/>
    <n v="1"/>
    <n v="1"/>
    <n v="1"/>
    <n v="0"/>
    <n v="3"/>
    <n v="0"/>
    <n v="1"/>
    <n v="0"/>
    <n v="1"/>
    <n v="0"/>
    <n v="2"/>
    <m/>
  </r>
  <r>
    <n v="679"/>
    <d v="2024-07-30T15:12:19"/>
    <d v="2024-07-30T15:16:22"/>
    <s v="dchirwa@lighthouse.org.mw"/>
    <s v="davis chirwa"/>
    <x v="8"/>
    <s v="Prototype"/>
    <x v="1"/>
    <s v="COP_23"/>
    <s v="COP_23"/>
    <x v="3"/>
    <s v="Quarter3"/>
    <s v="Qtr_3"/>
    <s v="Jun"/>
    <d v="2024-06-01T00:00:00"/>
    <d v="2024-06-30T00:00:00"/>
    <x v="3"/>
    <n v="0"/>
    <n v="0"/>
    <n v="0"/>
    <n v="0"/>
    <n v="0"/>
    <n v="0"/>
    <n v="0"/>
    <n v="0"/>
    <n v="0"/>
    <n v="0"/>
    <n v="0"/>
    <n v="0"/>
    <n v="0"/>
    <n v="0"/>
    <n v="0"/>
    <n v="0"/>
    <n v="0"/>
    <n v="0"/>
    <n v="0"/>
    <n v="0"/>
    <n v="0"/>
    <n v="0"/>
    <n v="0"/>
    <n v="0"/>
    <n v="0"/>
    <m/>
  </r>
  <r>
    <n v="676"/>
    <d v="2024-07-30T14:38:33"/>
    <d v="2024-07-30T14:57:17"/>
    <s v="dchirwa@lighthouse.org.mw"/>
    <s v="davis chirwa"/>
    <x v="8"/>
    <s v="Prototype"/>
    <x v="1"/>
    <s v="COP_23"/>
    <s v="COP_23"/>
    <x v="3"/>
    <s v="Quarter3"/>
    <s v="Qtr_3"/>
    <s v="Jun"/>
    <d v="2024-06-01T00:00:00"/>
    <d v="2024-06-30T00:00:00"/>
    <x v="2"/>
    <n v="12"/>
    <n v="1"/>
    <n v="1"/>
    <n v="0"/>
    <n v="1"/>
    <n v="0"/>
    <n v="2"/>
    <n v="0"/>
    <n v="0"/>
    <n v="0"/>
    <n v="0"/>
    <n v="0"/>
    <n v="0"/>
    <n v="0"/>
    <n v="1"/>
    <n v="0"/>
    <n v="1"/>
    <n v="0"/>
    <n v="0"/>
    <n v="0"/>
    <n v="1"/>
    <n v="0"/>
    <n v="0"/>
    <n v="0"/>
    <n v="0"/>
    <m/>
  </r>
  <r>
    <n v="754"/>
    <d v="2024-08-14T09:17:27"/>
    <d v="2024-08-14T09:21:27"/>
    <s v="dchirwa@lighthouse.org.mw"/>
    <s v="davis chirwa"/>
    <x v="8"/>
    <s v="Prototype"/>
    <x v="1"/>
    <s v="COP_23"/>
    <s v="COP_23"/>
    <x v="1"/>
    <s v="Quarter4"/>
    <s v="Qtr_4"/>
    <s v="Jul"/>
    <d v="2024-07-01T00:00:00"/>
    <d v="2024-07-31T00:00:00"/>
    <x v="2"/>
    <n v="2"/>
    <n v="2"/>
    <n v="0"/>
    <n v="0"/>
    <n v="1"/>
    <n v="1"/>
    <n v="0"/>
    <n v="0"/>
    <n v="1"/>
    <n v="0"/>
    <n v="0"/>
    <n v="0"/>
    <n v="0"/>
    <n v="0"/>
    <n v="0"/>
    <n v="0"/>
    <n v="2"/>
    <n v="1"/>
    <n v="0"/>
    <n v="0"/>
    <n v="1"/>
    <n v="0"/>
    <n v="0"/>
    <n v="0"/>
    <n v="1"/>
    <m/>
  </r>
  <r>
    <n v="813"/>
    <d v="2024-09-16T13:45:25"/>
    <d v="2024-09-16T13:55:06"/>
    <s v="dchirwa@lighthouse.org.mw"/>
    <s v="davis chirwa"/>
    <x v="8"/>
    <s v="Prototype"/>
    <x v="1"/>
    <s v="COP_23"/>
    <s v="COP_23"/>
    <x v="1"/>
    <s v="Quarter4"/>
    <s v="Qtr_4"/>
    <s v="Aug"/>
    <d v="2024-08-01T00:00:00"/>
    <d v="2024-08-31T00:00:00"/>
    <x v="2"/>
    <n v="73"/>
    <n v="0"/>
    <n v="3"/>
    <n v="0"/>
    <n v="0"/>
    <n v="0"/>
    <n v="3"/>
    <n v="1"/>
    <n v="1"/>
    <n v="0"/>
    <n v="0"/>
    <n v="0"/>
    <n v="0"/>
    <n v="0"/>
    <n v="0"/>
    <n v="0"/>
    <n v="0"/>
    <n v="0"/>
    <n v="0"/>
    <n v="0"/>
    <n v="0"/>
    <n v="0"/>
    <n v="0"/>
    <n v="0"/>
    <n v="0"/>
    <m/>
  </r>
  <r>
    <n v="818"/>
    <d v="2024-09-16T14:19:45"/>
    <d v="2024-09-16T14:23:55"/>
    <s v="dchirwa@lighthouse.org.mw"/>
    <s v="davis chirwa"/>
    <x v="8"/>
    <s v="Prototype"/>
    <x v="1"/>
    <s v="COP_23"/>
    <s v="COP_23"/>
    <x v="1"/>
    <s v="Quarter4"/>
    <s v="Qtr_4"/>
    <s v="Jul"/>
    <d v="2024-07-01T00:00:00"/>
    <d v="2024-07-31T00:00:00"/>
    <x v="2"/>
    <n v="57"/>
    <n v="2"/>
    <n v="0"/>
    <n v="0"/>
    <n v="1"/>
    <n v="1"/>
    <n v="0"/>
    <n v="0"/>
    <n v="1"/>
    <n v="0"/>
    <n v="0"/>
    <n v="0"/>
    <n v="0"/>
    <n v="0"/>
    <n v="0"/>
    <n v="0"/>
    <n v="2"/>
    <n v="1"/>
    <n v="0"/>
    <n v="0"/>
    <n v="1"/>
    <n v="0"/>
    <n v="0"/>
    <n v="0"/>
    <n v="1"/>
    <m/>
  </r>
  <r>
    <n v="885"/>
    <d v="2024-10-04T15:20:33"/>
    <d v="2024-10-04T15:27:29"/>
    <s v="dchirwa@lighthouse.org.mw"/>
    <s v="davis chirwa"/>
    <x v="8"/>
    <s v="Prototype"/>
    <x v="1"/>
    <s v="COP_22"/>
    <s v="COP_23"/>
    <x v="1"/>
    <s v="Quarter4"/>
    <s v="Qtr_4"/>
    <s v="Sep"/>
    <d v="2024-09-01T00:00:00"/>
    <d v="2024-09-30T00:00:00"/>
    <x v="2"/>
    <n v="37"/>
    <n v="0"/>
    <n v="3"/>
    <n v="2"/>
    <n v="0"/>
    <n v="0"/>
    <n v="5"/>
    <n v="2"/>
    <n v="2"/>
    <n v="0"/>
    <n v="0"/>
    <n v="0"/>
    <n v="1"/>
    <n v="0"/>
    <n v="0"/>
    <n v="0"/>
    <n v="0"/>
    <n v="0"/>
    <n v="0"/>
    <n v="0"/>
    <n v="0"/>
    <n v="0"/>
    <n v="0"/>
    <n v="0"/>
    <n v="0"/>
    <m/>
  </r>
  <r>
    <n v="1060"/>
    <d v="2024-11-13T14:54:11"/>
    <d v="2024-11-13T15:03:51"/>
    <s v="dchirwa@lighthouse.org.mw"/>
    <s v="davis chirwa"/>
    <x v="8"/>
    <s v="Prototype"/>
    <x v="1"/>
    <s v="COP_23"/>
    <s v="COP_24"/>
    <x v="0"/>
    <s v="Quarter1"/>
    <s v="Qtr_1"/>
    <s v="Oct"/>
    <d v="2024-10-01T00:00:00"/>
    <d v="2024-10-31T00:00:00"/>
    <x v="2"/>
    <n v="12"/>
    <n v="0"/>
    <n v="2"/>
    <n v="0"/>
    <n v="0"/>
    <n v="0"/>
    <n v="2"/>
    <n v="1"/>
    <n v="2"/>
    <n v="1"/>
    <n v="2"/>
    <n v="1"/>
    <n v="2"/>
    <n v="0"/>
    <n v="0"/>
    <n v="0"/>
    <n v="0"/>
    <n v="0"/>
    <n v="0"/>
    <n v="0"/>
    <n v="0"/>
    <n v="0"/>
    <n v="1"/>
    <n v="0"/>
    <n v="0"/>
    <m/>
  </r>
  <r>
    <n v="753"/>
    <d v="2024-08-14T09:15:17"/>
    <d v="2024-08-14T09:15:29"/>
    <s v="dchirwa@lighthouse.org.mw"/>
    <s v="davis chirwa"/>
    <x v="8"/>
    <s v="Prototype"/>
    <x v="1"/>
    <s v="COP_23"/>
    <s v="COP_23"/>
    <x v="1"/>
    <s v="Quarter4"/>
    <s v="Qtr_4"/>
    <s v="Jul"/>
    <d v="2024-07-01T00:00:00"/>
    <d v="2024-07-31T00:00:00"/>
    <x v="0"/>
    <n v="25"/>
    <n v="4"/>
    <n v="19"/>
    <n v="2"/>
    <n v="2"/>
    <n v="2"/>
    <n v="0"/>
    <n v="0"/>
    <n v="1"/>
    <n v="0"/>
    <n v="0"/>
    <n v="0"/>
    <n v="0"/>
    <n v="0"/>
    <n v="4"/>
    <n v="0"/>
    <n v="5"/>
    <n v="2"/>
    <n v="1"/>
    <n v="1"/>
    <n v="2"/>
    <n v="0"/>
    <n v="0"/>
    <n v="0"/>
    <n v="2"/>
    <m/>
  </r>
  <r>
    <n v="755"/>
    <d v="2024-08-14T09:21:32"/>
    <d v="2024-08-14T09:25:13"/>
    <s v="dchirwa@lighthouse.org.mw"/>
    <s v="davis chirwa"/>
    <x v="8"/>
    <s v="Prototype"/>
    <x v="1"/>
    <s v="COP_23"/>
    <s v="COP_23"/>
    <x v="1"/>
    <s v="Quarter4"/>
    <s v="Qtr_4"/>
    <s v="Jul"/>
    <d v="2024-07-01T00:00:00"/>
    <d v="2024-07-31T00:00:00"/>
    <x v="5"/>
    <n v="5"/>
    <n v="1"/>
    <n v="4"/>
    <n v="0"/>
    <n v="1"/>
    <n v="0"/>
    <n v="0"/>
    <n v="0"/>
    <n v="0"/>
    <n v="0"/>
    <n v="0"/>
    <n v="0"/>
    <n v="0"/>
    <n v="0"/>
    <n v="1"/>
    <n v="0"/>
    <n v="1"/>
    <n v="0"/>
    <n v="0"/>
    <n v="0"/>
    <n v="1"/>
    <n v="0"/>
    <n v="0"/>
    <n v="0"/>
    <n v="0"/>
    <m/>
  </r>
  <r>
    <n v="756"/>
    <d v="2024-08-14T09:25:19"/>
    <d v="2024-08-14T09:37:31"/>
    <s v="dchirwa@lighthouse.org.mw"/>
    <s v="davis chirwa"/>
    <x v="8"/>
    <s v="Prototype"/>
    <x v="1"/>
    <s v="COP_23"/>
    <s v="COP_23"/>
    <x v="1"/>
    <s v="Quarter4"/>
    <s v="Qtr_4"/>
    <s v="Jul"/>
    <d v="2024-07-01T00:00:00"/>
    <d v="2024-07-31T00:00:00"/>
    <x v="4"/>
    <n v="3"/>
    <n v="2"/>
    <n v="1"/>
    <n v="0"/>
    <n v="1"/>
    <n v="1"/>
    <n v="0"/>
    <n v="0"/>
    <n v="0"/>
    <n v="0"/>
    <n v="0"/>
    <n v="0"/>
    <n v="0"/>
    <n v="0"/>
    <n v="0"/>
    <n v="0"/>
    <n v="1"/>
    <n v="1"/>
    <n v="1"/>
    <n v="1"/>
    <n v="1"/>
    <n v="0"/>
    <n v="0"/>
    <n v="0"/>
    <n v="1"/>
    <m/>
  </r>
  <r>
    <n v="757"/>
    <d v="2024-08-14T09:37:43"/>
    <d v="2024-08-14T09:40:03"/>
    <s v="dchirwa@lighthouse.org.mw"/>
    <s v="davis chirwa"/>
    <x v="8"/>
    <s v="Prototype"/>
    <x v="1"/>
    <s v="COP_23"/>
    <s v="COP_23"/>
    <x v="1"/>
    <s v="Quarter4"/>
    <s v="Qtr_4"/>
    <s v="Jul"/>
    <d v="2024-07-01T00:00:00"/>
    <d v="2024-07-31T00:00:00"/>
    <x v="3"/>
    <n v="1"/>
    <n v="0"/>
    <n v="1"/>
    <n v="0"/>
    <n v="0"/>
    <n v="0"/>
    <n v="0"/>
    <n v="0"/>
    <n v="0"/>
    <n v="0"/>
    <n v="0"/>
    <n v="0"/>
    <n v="0"/>
    <n v="0"/>
    <n v="0"/>
    <n v="0"/>
    <n v="0"/>
    <n v="0"/>
    <n v="0"/>
    <n v="0"/>
    <n v="0"/>
    <n v="0"/>
    <n v="0"/>
    <n v="0"/>
    <n v="0"/>
    <m/>
  </r>
  <r>
    <n v="812"/>
    <d v="2024-09-16T13:44:52"/>
    <d v="2024-09-16T13:45:17"/>
    <s v="dchirwa@lighthouse.org.mw"/>
    <s v="davis chirwa"/>
    <x v="8"/>
    <s v="Prototype"/>
    <x v="1"/>
    <s v="COP_23"/>
    <s v="COP_23"/>
    <x v="1"/>
    <s v="Quarter4"/>
    <s v="Qtr_4"/>
    <s v="Aug"/>
    <d v="2024-08-01T00:00:00"/>
    <d v="2024-08-31T00:00:00"/>
    <x v="0"/>
    <n v="24"/>
    <n v="6"/>
    <n v="16"/>
    <n v="2"/>
    <n v="5"/>
    <n v="1"/>
    <n v="22"/>
    <n v="7"/>
    <n v="6"/>
    <n v="0"/>
    <n v="0"/>
    <n v="0"/>
    <n v="3"/>
    <n v="0"/>
    <n v="1"/>
    <n v="0"/>
    <n v="3"/>
    <n v="1"/>
    <n v="1"/>
    <n v="0"/>
    <n v="2"/>
    <n v="0"/>
    <n v="0"/>
    <n v="0"/>
    <n v="5"/>
    <m/>
  </r>
  <r>
    <n v="815"/>
    <d v="2024-09-16T14:00:09"/>
    <d v="2024-09-16T14:03:31"/>
    <s v="dchirwa@lighthouse.org.mw"/>
    <s v="davis chirwa"/>
    <x v="8"/>
    <s v="Prototype"/>
    <x v="1"/>
    <s v="COP_23"/>
    <s v="COP_23"/>
    <x v="1"/>
    <s v="Quarter4"/>
    <s v="Qtr_4"/>
    <s v="Aug"/>
    <d v="2024-08-01T00:00:00"/>
    <d v="2024-08-31T00:00:00"/>
    <x v="4"/>
    <n v="0"/>
    <n v="0"/>
    <n v="0"/>
    <n v="0"/>
    <n v="0"/>
    <n v="0"/>
    <n v="0"/>
    <n v="0"/>
    <n v="0"/>
    <n v="0"/>
    <n v="0"/>
    <n v="0"/>
    <n v="0"/>
    <n v="0"/>
    <n v="0"/>
    <n v="0"/>
    <n v="0"/>
    <n v="0"/>
    <n v="0"/>
    <n v="0"/>
    <n v="0"/>
    <n v="0"/>
    <n v="0"/>
    <n v="0"/>
    <n v="0"/>
    <m/>
  </r>
  <r>
    <n v="816"/>
    <d v="2024-09-16T14:03:40"/>
    <d v="2024-09-16T14:06:34"/>
    <s v="dchirwa@lighthouse.org.mw"/>
    <s v="davis chirwa"/>
    <x v="8"/>
    <s v="Prototype"/>
    <x v="1"/>
    <s v="COP_23"/>
    <s v="COP_23"/>
    <x v="1"/>
    <s v="Quarter4"/>
    <s v="Qtr_4"/>
    <s v="Aug"/>
    <d v="2024-08-01T00:00:00"/>
    <d v="2024-08-31T00:00:00"/>
    <x v="3"/>
    <n v="0"/>
    <n v="0"/>
    <n v="0"/>
    <n v="0"/>
    <n v="0"/>
    <n v="0"/>
    <n v="0"/>
    <n v="0"/>
    <n v="0"/>
    <n v="0"/>
    <n v="0"/>
    <n v="0"/>
    <n v="0"/>
    <n v="0"/>
    <n v="0"/>
    <n v="0"/>
    <n v="0"/>
    <n v="0"/>
    <n v="0"/>
    <n v="0"/>
    <n v="0"/>
    <n v="0"/>
    <n v="0"/>
    <n v="0"/>
    <n v="0"/>
    <m/>
  </r>
  <r>
    <n v="817"/>
    <d v="2024-09-16T14:06:46"/>
    <d v="2024-09-16T14:10:31"/>
    <s v="dchirwa@lighthouse.org.mw"/>
    <s v="davis chirwa"/>
    <x v="8"/>
    <s v="Prototype"/>
    <x v="1"/>
    <s v="COP_22"/>
    <s v="COP_23"/>
    <x v="1"/>
    <s v="Quarter4"/>
    <s v="Qtr_4"/>
    <s v="Aug"/>
    <d v="2024-08-01T00:00:00"/>
    <d v="2024-08-31T00:00:00"/>
    <x v="5"/>
    <n v="15"/>
    <n v="1"/>
    <n v="1"/>
    <n v="0"/>
    <n v="0"/>
    <n v="1"/>
    <n v="2"/>
    <n v="0"/>
    <n v="0"/>
    <n v="0"/>
    <n v="0"/>
    <n v="0"/>
    <n v="1"/>
    <n v="0"/>
    <n v="1"/>
    <n v="0"/>
    <n v="1"/>
    <n v="1"/>
    <n v="0"/>
    <n v="0"/>
    <n v="1"/>
    <n v="0"/>
    <n v="0"/>
    <n v="0"/>
    <n v="0"/>
    <m/>
  </r>
  <r>
    <n v="819"/>
    <d v="2024-09-16T14:24:07"/>
    <d v="2024-09-16T14:41:20"/>
    <s v="dchirwa@lighthouse.org.mw"/>
    <s v="davis chirwa"/>
    <x v="8"/>
    <s v="Prototype"/>
    <x v="1"/>
    <s v="COP_22"/>
    <s v="COP_23"/>
    <x v="1"/>
    <s v="Quarter4"/>
    <s v="Qtr_4"/>
    <s v="Jul"/>
    <d v="2024-07-01T00:00:00"/>
    <d v="2024-07-31T00:00:00"/>
    <x v="5"/>
    <n v="33"/>
    <n v="1"/>
    <n v="4"/>
    <n v="0"/>
    <n v="1"/>
    <n v="0"/>
    <n v="0"/>
    <n v="0"/>
    <n v="0"/>
    <n v="0"/>
    <n v="0"/>
    <n v="0"/>
    <n v="0"/>
    <n v="0"/>
    <n v="1"/>
    <n v="0"/>
    <n v="1"/>
    <n v="1"/>
    <n v="0"/>
    <n v="0"/>
    <n v="1"/>
    <n v="0"/>
    <n v="0"/>
    <n v="0"/>
    <n v="0"/>
    <m/>
  </r>
  <r>
    <n v="882"/>
    <d v="2024-10-04T08:41:53"/>
    <d v="2024-10-04T09:31:51"/>
    <s v="dchirwa@lighthouse.org.mw"/>
    <s v="davis chirwa"/>
    <x v="8"/>
    <s v="Prototype"/>
    <x v="1"/>
    <s v="COP_22"/>
    <s v="COP_23"/>
    <x v="1"/>
    <s v="Quarter4"/>
    <s v="Qtr_4"/>
    <s v="Sep"/>
    <d v="2024-09-01T00:00:00"/>
    <d v="2024-09-30T00:00:00"/>
    <x v="0"/>
    <n v="42"/>
    <n v="7"/>
    <n v="28"/>
    <n v="6"/>
    <n v="3"/>
    <n v="5"/>
    <n v="41"/>
    <n v="13"/>
    <n v="12"/>
    <n v="2"/>
    <n v="1"/>
    <n v="1"/>
    <n v="10"/>
    <n v="1"/>
    <n v="1"/>
    <n v="0"/>
    <n v="5"/>
    <n v="1"/>
    <n v="2"/>
    <n v="0"/>
    <n v="2"/>
    <n v="1"/>
    <n v="1"/>
    <n v="0"/>
    <n v="5"/>
    <m/>
  </r>
  <r>
    <n v="883"/>
    <d v="2024-10-04T15:09:26"/>
    <d v="2024-10-04T15:09:39"/>
    <s v="dchirwa@lighthouse.org.mw"/>
    <s v="davis chirwa"/>
    <x v="8"/>
    <s v="Prototype"/>
    <x v="1"/>
    <s v="COP_22"/>
    <s v="COP_23"/>
    <x v="1"/>
    <s v="Quarter4"/>
    <s v="Qtr_4"/>
    <s v="Sep"/>
    <d v="2024-09-01T00:00:00"/>
    <d v="2024-09-30T00:00:00"/>
    <x v="3"/>
    <n v="1"/>
    <n v="1"/>
    <n v="0"/>
    <n v="0"/>
    <n v="0"/>
    <n v="1"/>
    <n v="0"/>
    <n v="0"/>
    <n v="1"/>
    <n v="0"/>
    <n v="0"/>
    <n v="0"/>
    <n v="1"/>
    <n v="0"/>
    <n v="0"/>
    <n v="0"/>
    <n v="1"/>
    <n v="0"/>
    <n v="0"/>
    <n v="0"/>
    <n v="0"/>
    <n v="0"/>
    <n v="0"/>
    <n v="0"/>
    <n v="1"/>
    <m/>
  </r>
  <r>
    <n v="884"/>
    <d v="2024-10-04T15:11:19"/>
    <d v="2024-10-04T15:19:42"/>
    <s v="dchirwa@lighthouse.org.mw"/>
    <s v="davis chirwa"/>
    <x v="8"/>
    <s v="Prototype"/>
    <x v="1"/>
    <s v="COP_22"/>
    <s v="COP_23"/>
    <x v="1"/>
    <s v="Quarter4"/>
    <s v="Qtr_4"/>
    <s v="Sep"/>
    <d v="2024-09-01T00:00:00"/>
    <d v="2024-09-30T00:00:00"/>
    <x v="5"/>
    <n v="3"/>
    <n v="1"/>
    <n v="0"/>
    <n v="2"/>
    <n v="0"/>
    <n v="1"/>
    <n v="3"/>
    <n v="3"/>
    <n v="2"/>
    <n v="0"/>
    <n v="0"/>
    <n v="0"/>
    <n v="1"/>
    <n v="1"/>
    <n v="0"/>
    <n v="0"/>
    <n v="0"/>
    <n v="0"/>
    <n v="1"/>
    <n v="0"/>
    <n v="1"/>
    <n v="0"/>
    <n v="0"/>
    <n v="0"/>
    <n v="0"/>
    <m/>
  </r>
  <r>
    <n v="887"/>
    <d v="2024-10-04T15:38:10"/>
    <d v="2024-10-04T15:44:27"/>
    <s v="dchirwa@lighthouse.org.mw"/>
    <s v="davis chirwa"/>
    <x v="8"/>
    <s v="Prototype"/>
    <x v="1"/>
    <s v="COP_22"/>
    <s v="COP_23"/>
    <x v="1"/>
    <s v="Quarter4"/>
    <s v="Qtr_4"/>
    <s v="Sep"/>
    <d v="2024-09-01T00:00:00"/>
    <d v="2024-09-30T00:00:00"/>
    <x v="4"/>
    <n v="3"/>
    <n v="3"/>
    <n v="0"/>
    <n v="0"/>
    <n v="2"/>
    <n v="1"/>
    <n v="3"/>
    <n v="3"/>
    <n v="3"/>
    <n v="0"/>
    <n v="0"/>
    <n v="0"/>
    <n v="3"/>
    <n v="1"/>
    <n v="0"/>
    <n v="0"/>
    <n v="1"/>
    <n v="0"/>
    <n v="1"/>
    <n v="0"/>
    <n v="2"/>
    <n v="0"/>
    <n v="0"/>
    <n v="0"/>
    <n v="1"/>
    <m/>
  </r>
  <r>
    <n v="1061"/>
    <d v="2024-11-13T15:04:11"/>
    <d v="2024-11-13T15:11:50"/>
    <s v="dchirwa@lighthouse.org.mw"/>
    <s v="davis chirwa"/>
    <x v="8"/>
    <s v="Prototype"/>
    <x v="1"/>
    <s v="COP_24"/>
    <s v="COP_24"/>
    <x v="0"/>
    <s v="Quarter1"/>
    <s v="Qtr_1"/>
    <s v="Oct"/>
    <d v="2024-10-01T00:00:00"/>
    <d v="2024-10-31T00:00:00"/>
    <x v="0"/>
    <n v="24"/>
    <n v="2"/>
    <n v="19"/>
    <n v="0"/>
    <n v="5"/>
    <n v="0"/>
    <n v="23"/>
    <n v="7"/>
    <n v="9"/>
    <n v="0"/>
    <n v="0"/>
    <n v="0"/>
    <n v="7"/>
    <n v="1"/>
    <n v="0"/>
    <n v="0"/>
    <n v="0"/>
    <n v="0"/>
    <n v="3"/>
    <n v="0"/>
    <n v="2"/>
    <n v="0"/>
    <n v="0"/>
    <n v="0"/>
    <n v="2"/>
    <m/>
  </r>
  <r>
    <n v="1063"/>
    <d v="2024-11-13T15:28:32"/>
    <d v="2024-11-13T15:33:08"/>
    <s v="dchirwa@lighthouse.org.mw"/>
    <s v="davis chirwa"/>
    <x v="8"/>
    <s v="Prototype"/>
    <x v="1"/>
    <s v="COP_24"/>
    <s v="COP_24"/>
    <x v="0"/>
    <s v="Quarter1"/>
    <s v="Qtr_1"/>
    <s v="Oct"/>
    <d v="2024-10-01T00:00:00"/>
    <d v="2024-10-31T00:00:00"/>
    <x v="3"/>
    <n v="1"/>
    <n v="0"/>
    <n v="0"/>
    <n v="0"/>
    <n v="1"/>
    <n v="0"/>
    <n v="0"/>
    <n v="0"/>
    <n v="1"/>
    <n v="0"/>
    <n v="0"/>
    <n v="0"/>
    <n v="0"/>
    <n v="0"/>
    <n v="0"/>
    <n v="0"/>
    <n v="0"/>
    <n v="0"/>
    <n v="0"/>
    <n v="0"/>
    <n v="0"/>
    <n v="0"/>
    <n v="0"/>
    <n v="0"/>
    <n v="0"/>
    <m/>
  </r>
  <r>
    <n v="1064"/>
    <d v="2024-11-13T15:33:13"/>
    <d v="2024-11-13T15:44:27"/>
    <s v="dchirwa@lighthouse.org.mw"/>
    <s v="davis chirwa"/>
    <x v="8"/>
    <s v="Prototype"/>
    <x v="1"/>
    <s v="COP_24"/>
    <s v="COP_24"/>
    <x v="0"/>
    <s v="Quarter1"/>
    <s v="Qtr_1"/>
    <s v="Oct"/>
    <d v="2024-10-01T00:00:00"/>
    <d v="2024-10-31T00:00:00"/>
    <x v="4"/>
    <n v="1"/>
    <n v="0"/>
    <n v="1"/>
    <n v="0"/>
    <n v="0"/>
    <n v="0"/>
    <n v="1"/>
    <n v="1"/>
    <n v="1"/>
    <n v="0"/>
    <n v="0"/>
    <n v="0"/>
    <n v="1"/>
    <n v="0"/>
    <n v="0"/>
    <n v="0"/>
    <n v="0"/>
    <n v="0"/>
    <n v="1"/>
    <n v="0"/>
    <n v="0"/>
    <n v="0"/>
    <n v="0"/>
    <n v="0"/>
    <n v="0"/>
    <m/>
  </r>
  <r>
    <n v="1065"/>
    <d v="2024-11-13T15:51:36"/>
    <d v="2024-11-13T15:51:48"/>
    <s v="dchirwa@lighthouse.org.mw"/>
    <s v="davis chirwa"/>
    <x v="8"/>
    <s v="Prototype"/>
    <x v="1"/>
    <s v="COP_24"/>
    <s v="COP_24"/>
    <x v="0"/>
    <s v="Quarter1"/>
    <s v="Qtr_1"/>
    <s v="Oct"/>
    <d v="2024-10-01T00:00:00"/>
    <d v="2024-10-31T00:00:00"/>
    <x v="5"/>
    <n v="8"/>
    <n v="1"/>
    <n v="2"/>
    <n v="0"/>
    <n v="1"/>
    <n v="0"/>
    <n v="3"/>
    <n v="0"/>
    <n v="1"/>
    <n v="0"/>
    <n v="1"/>
    <n v="0"/>
    <n v="1"/>
    <n v="0"/>
    <n v="1"/>
    <n v="0"/>
    <n v="1"/>
    <n v="1"/>
    <n v="0"/>
    <n v="0"/>
    <n v="1"/>
    <n v="0"/>
    <n v="1"/>
    <n v="0"/>
    <n v="0"/>
    <m/>
  </r>
  <r>
    <n v="1132"/>
    <d v="2024-12-13T15:25:52"/>
    <d v="2024-12-13T15:26:09"/>
    <s v="dchirwa@lighthouse.org.mw"/>
    <s v="davis chirwa"/>
    <x v="8"/>
    <s v="Prototype"/>
    <x v="1"/>
    <s v="COP_24"/>
    <s v="COP_24"/>
    <x v="0"/>
    <s v="Quarter1"/>
    <s v="Qtr_1"/>
    <s v="Nov"/>
    <d v="2024-11-01T00:00:00"/>
    <d v="2024-11-30T00:00:00"/>
    <x v="0"/>
    <n v="21"/>
    <n v="2"/>
    <n v="16"/>
    <n v="1"/>
    <n v="2"/>
    <n v="2"/>
    <n v="21"/>
    <n v="3"/>
    <n v="3"/>
    <n v="1"/>
    <n v="0"/>
    <n v="0"/>
    <n v="2"/>
    <n v="1"/>
    <n v="0"/>
    <n v="0"/>
    <n v="2"/>
    <n v="0"/>
    <n v="2"/>
    <n v="0"/>
    <n v="1"/>
    <n v="0"/>
    <n v="1"/>
    <n v="0"/>
    <n v="2"/>
    <m/>
  </r>
  <r>
    <n v="1133"/>
    <d v="2024-12-13T15:26:14"/>
    <d v="2024-12-13T15:33:21"/>
    <s v="dchirwa@lighthouse.org.mw"/>
    <s v="davis chirwa"/>
    <x v="8"/>
    <s v="Prototype"/>
    <x v="1"/>
    <s v="COP_24"/>
    <s v="COP_24"/>
    <x v="0"/>
    <s v="Quarter1"/>
    <s v="Qtr_1"/>
    <s v="Nov"/>
    <d v="2024-11-01T00:00:00"/>
    <d v="2024-11-30T00:00:00"/>
    <x v="1"/>
    <n v="14"/>
    <n v="1"/>
    <n v="11"/>
    <n v="1"/>
    <n v="1"/>
    <n v="1"/>
    <n v="14"/>
    <n v="1"/>
    <n v="1"/>
    <n v="1"/>
    <n v="0"/>
    <n v="0"/>
    <n v="0"/>
    <n v="0"/>
    <n v="0"/>
    <n v="0"/>
    <n v="1"/>
    <n v="0"/>
    <n v="1"/>
    <n v="0"/>
    <n v="0"/>
    <n v="0"/>
    <n v="1"/>
    <n v="0"/>
    <n v="1"/>
    <m/>
  </r>
  <r>
    <n v="1134"/>
    <d v="2024-12-13T15:33:26"/>
    <d v="2024-12-13T15:40:26"/>
    <s v="dchirwa@lighthouse.org.mw"/>
    <s v="davis chirwa"/>
    <x v="8"/>
    <s v="Prototype"/>
    <x v="1"/>
    <s v="COP_24"/>
    <s v="COP_24"/>
    <x v="0"/>
    <s v="Quarter1"/>
    <s v="Qtr_1"/>
    <s v="Nov"/>
    <d v="2024-11-01T00:00:00"/>
    <d v="2024-11-30T00:00:00"/>
    <x v="3"/>
    <n v="3"/>
    <n v="0"/>
    <n v="3"/>
    <n v="0"/>
    <n v="0"/>
    <n v="0"/>
    <n v="3"/>
    <n v="0"/>
    <n v="0"/>
    <n v="0"/>
    <n v="0"/>
    <n v="0"/>
    <n v="0"/>
    <n v="0"/>
    <n v="0"/>
    <n v="0"/>
    <n v="0"/>
    <n v="0"/>
    <n v="0"/>
    <n v="0"/>
    <n v="0"/>
    <n v="0"/>
    <n v="0"/>
    <n v="0"/>
    <n v="0"/>
    <m/>
  </r>
  <r>
    <n v="1135"/>
    <d v="2024-12-13T15:40:33"/>
    <d v="2024-12-13T15:44:26"/>
    <s v="dchirwa@lighthouse.org.mw"/>
    <s v="davis chirwa"/>
    <x v="8"/>
    <s v="Prototype"/>
    <x v="1"/>
    <s v="COP_24"/>
    <s v="COP_24"/>
    <x v="0"/>
    <s v="Quarter1"/>
    <s v="Qtr_1"/>
    <s v="Nov"/>
    <d v="2024-11-01T00:00:00"/>
    <d v="2024-11-30T00:00:00"/>
    <x v="4"/>
    <n v="0"/>
    <n v="0"/>
    <n v="0"/>
    <n v="0"/>
    <n v="0"/>
    <n v="0"/>
    <n v="0"/>
    <n v="0"/>
    <n v="0"/>
    <n v="0"/>
    <n v="0"/>
    <n v="0"/>
    <n v="0"/>
    <n v="0"/>
    <n v="0"/>
    <n v="0"/>
    <n v="0"/>
    <n v="0"/>
    <n v="0"/>
    <n v="0"/>
    <n v="0"/>
    <n v="0"/>
    <n v="0"/>
    <n v="0"/>
    <n v="0"/>
    <m/>
  </r>
  <r>
    <n v="1136"/>
    <d v="2024-12-13T15:44:39"/>
    <d v="2024-12-13T15:47:23"/>
    <s v="dchirwa@lighthouse.org.mw"/>
    <s v="davis chirwa"/>
    <x v="8"/>
    <s v="Prototype"/>
    <x v="1"/>
    <s v="COP_24"/>
    <s v="COP_24"/>
    <x v="0"/>
    <s v="Quarter1"/>
    <s v="Qtr_1"/>
    <s v="Nov"/>
    <d v="2024-11-01T00:00:00"/>
    <d v="2024-11-30T00:00:00"/>
    <x v="5"/>
    <n v="6"/>
    <n v="1"/>
    <n v="3"/>
    <n v="0"/>
    <n v="0"/>
    <n v="1"/>
    <n v="4"/>
    <n v="1"/>
    <n v="1"/>
    <n v="0"/>
    <n v="0"/>
    <n v="0"/>
    <n v="1"/>
    <n v="1"/>
    <n v="0"/>
    <n v="0"/>
    <n v="0"/>
    <n v="0"/>
    <n v="1"/>
    <n v="0"/>
    <n v="1"/>
    <n v="0"/>
    <n v="0"/>
    <n v="0"/>
    <n v="0"/>
    <m/>
  </r>
  <r>
    <n v="1137"/>
    <d v="2024-12-13T15:47:26"/>
    <d v="2024-12-13T15:52:36"/>
    <s v="dchirwa@lighthouse.org.mw"/>
    <s v="davis chirwa"/>
    <x v="8"/>
    <s v="Prototype"/>
    <x v="1"/>
    <s v="COP_24"/>
    <s v="COP_24"/>
    <x v="0"/>
    <s v="Quarter1"/>
    <s v="Qtr_1"/>
    <s v="Nov"/>
    <d v="2024-11-01T00:00:00"/>
    <d v="2024-11-30T00:00:00"/>
    <x v="2"/>
    <n v="6"/>
    <n v="1"/>
    <n v="1"/>
    <n v="0"/>
    <n v="1"/>
    <n v="1"/>
    <n v="3"/>
    <n v="2"/>
    <n v="2"/>
    <n v="0"/>
    <n v="0"/>
    <n v="0"/>
    <n v="2"/>
    <n v="1"/>
    <n v="0"/>
    <n v="0"/>
    <n v="1"/>
    <n v="0"/>
    <n v="1"/>
    <n v="0"/>
    <n v="1"/>
    <n v="0"/>
    <n v="0"/>
    <n v="0"/>
    <n v="1"/>
    <m/>
  </r>
  <r>
    <n v="1284"/>
    <d v="2025-01-16T10:11:22"/>
    <d v="2025-01-16T10:18:08"/>
    <s v="dchirwa@lighthouse.org.mw"/>
    <s v="davis chirwa"/>
    <x v="8"/>
    <s v="Prototype"/>
    <x v="1"/>
    <s v="COP_24"/>
    <s v="COP_24"/>
    <x v="0"/>
    <s v="Quarter1"/>
    <s v="Qtr_1"/>
    <s v="Dec"/>
    <d v="2024-12-01T00:00:00"/>
    <d v="2024-12-31T00:00:00"/>
    <x v="0"/>
    <n v="30"/>
    <n v="5"/>
    <n v="21"/>
    <n v="5"/>
    <n v="3"/>
    <n v="1"/>
    <n v="28"/>
    <n v="10"/>
    <n v="10"/>
    <n v="1"/>
    <n v="0"/>
    <n v="0"/>
    <n v="8"/>
    <n v="2"/>
    <n v="2"/>
    <n v="1"/>
    <n v="5"/>
    <n v="1"/>
    <n v="6"/>
    <n v="2"/>
    <n v="3"/>
    <n v="1"/>
    <n v="0"/>
    <n v="0"/>
    <n v="0"/>
    <m/>
  </r>
  <r>
    <n v="1285"/>
    <d v="2025-01-16T10:19:41"/>
    <d v="2025-01-16T10:24:25"/>
    <s v="dchirwa@lighthouse.org.mw"/>
    <s v="davis chirwa"/>
    <x v="8"/>
    <s v="Prototype"/>
    <x v="1"/>
    <s v="COP_24"/>
    <s v="COP_24"/>
    <x v="0"/>
    <s v="Quarter1"/>
    <s v="Qtr_1"/>
    <s v="Dec"/>
    <d v="2024-12-01T00:00:00"/>
    <d v="2024-12-31T00:00:00"/>
    <x v="1"/>
    <n v="22"/>
    <n v="0"/>
    <n v="18"/>
    <n v="4"/>
    <n v="0"/>
    <n v="0"/>
    <n v="20"/>
    <n v="6"/>
    <n v="6"/>
    <n v="0"/>
    <n v="0"/>
    <n v="0"/>
    <n v="5"/>
    <n v="0"/>
    <n v="1"/>
    <n v="0"/>
    <n v="3"/>
    <n v="0"/>
    <n v="3"/>
    <n v="0"/>
    <n v="0"/>
    <n v="0"/>
    <n v="0"/>
    <n v="0"/>
    <n v="0"/>
    <m/>
  </r>
  <r>
    <n v="1286"/>
    <d v="2025-01-16T10:24:46"/>
    <d v="2025-01-16T10:28:59"/>
    <s v="dchirwa@lighthouse.org.mw"/>
    <s v="davis chirwa"/>
    <x v="8"/>
    <s v="Prototype"/>
    <x v="1"/>
    <s v="COP_24"/>
    <s v="COP_24"/>
    <x v="0"/>
    <s v="Quarter1"/>
    <s v="Qtr_1"/>
    <s v="Dec"/>
    <d v="2024-12-01T00:00:00"/>
    <d v="2024-12-31T00:00:00"/>
    <x v="5"/>
    <n v="2"/>
    <n v="1"/>
    <n v="1"/>
    <n v="0"/>
    <n v="0"/>
    <n v="1"/>
    <n v="2"/>
    <n v="1"/>
    <n v="1"/>
    <n v="0"/>
    <n v="0"/>
    <n v="0"/>
    <n v="1"/>
    <n v="1"/>
    <n v="0"/>
    <n v="0"/>
    <n v="0"/>
    <n v="0"/>
    <n v="1"/>
    <n v="1"/>
    <n v="1"/>
    <n v="0"/>
    <n v="0"/>
    <n v="0"/>
    <n v="0"/>
    <m/>
  </r>
  <r>
    <n v="1287"/>
    <d v="2025-01-16T10:29:24"/>
    <d v="2025-01-16T10:33:42"/>
    <s v="dchirwa@lighthouse.org.mw"/>
    <s v="davis chirwa"/>
    <x v="8"/>
    <s v="Prototype"/>
    <x v="1"/>
    <s v="COP_24"/>
    <s v="COP_24"/>
    <x v="0"/>
    <s v="Quarter1"/>
    <s v="Qtr_1"/>
    <s v="Dec"/>
    <d v="2024-12-01T00:00:00"/>
    <d v="2024-12-31T00:00:00"/>
    <x v="2"/>
    <n v="30"/>
    <n v="4"/>
    <n v="3"/>
    <n v="1"/>
    <n v="3"/>
    <n v="0"/>
    <n v="7"/>
    <n v="3"/>
    <n v="4"/>
    <n v="1"/>
    <n v="0"/>
    <n v="0"/>
    <n v="3"/>
    <n v="1"/>
    <n v="1"/>
    <n v="1"/>
    <n v="2"/>
    <n v="1"/>
    <n v="2"/>
    <n v="1"/>
    <n v="2"/>
    <n v="1"/>
    <n v="0"/>
    <n v="0"/>
    <n v="0"/>
    <m/>
  </r>
  <r>
    <n v="1288"/>
    <d v="2025-01-16T10:33:50"/>
    <d v="2025-01-16T10:35:27"/>
    <s v="dchirwa@lighthouse.org.mw"/>
    <s v="davis chirwa"/>
    <x v="8"/>
    <s v="Prototype"/>
    <x v="1"/>
    <s v="COP_22"/>
    <s v="COP_24"/>
    <x v="0"/>
    <s v="Quarter1"/>
    <s v="Qtr_1"/>
    <s v="Dec"/>
    <d v="2024-12-01T00:00:00"/>
    <d v="2024-12-31T00:00:00"/>
    <x v="3"/>
    <n v="0"/>
    <n v="0"/>
    <n v="0"/>
    <n v="0"/>
    <n v="0"/>
    <n v="0"/>
    <n v="0"/>
    <n v="0"/>
    <n v="0"/>
    <n v="0"/>
    <n v="0"/>
    <n v="0"/>
    <n v="0"/>
    <n v="0"/>
    <n v="0"/>
    <n v="0"/>
    <n v="0"/>
    <n v="0"/>
    <n v="0"/>
    <n v="0"/>
    <n v="0"/>
    <n v="0"/>
    <n v="0"/>
    <n v="0"/>
    <n v="0"/>
    <m/>
  </r>
  <r>
    <n v="1290"/>
    <d v="2025-01-16T10:35:31"/>
    <d v="2025-01-16T10:36:56"/>
    <s v="dchirwa@lighthouse.org.mw"/>
    <s v="davis chirwa"/>
    <x v="8"/>
    <s v="Prototype"/>
    <x v="1"/>
    <s v="COP_22"/>
    <s v="COP_24"/>
    <x v="0"/>
    <s v="Quarter1"/>
    <s v="Qtr_1"/>
    <s v="Dec"/>
    <d v="2024-12-01T00:00:00"/>
    <d v="2024-12-31T00:00:00"/>
    <x v="4"/>
    <n v="0"/>
    <n v="0"/>
    <n v="0"/>
    <n v="0"/>
    <n v="0"/>
    <n v="0"/>
    <n v="0"/>
    <n v="0"/>
    <n v="0"/>
    <n v="0"/>
    <n v="0"/>
    <n v="0"/>
    <n v="0"/>
    <n v="0"/>
    <n v="0"/>
    <n v="0"/>
    <n v="0"/>
    <n v="0"/>
    <n v="0"/>
    <n v="0"/>
    <n v="0"/>
    <n v="0"/>
    <n v="0"/>
    <n v="0"/>
    <n v="0"/>
    <m/>
  </r>
  <r>
    <n v="1291"/>
    <d v="2025-01-16T10:37:15"/>
    <d v="2025-01-16T10:39:55"/>
    <s v="dchirwa@lighthouse.org.mw"/>
    <s v="davis chirwa"/>
    <x v="8"/>
    <s v="Prototype"/>
    <x v="1"/>
    <s v="COP_23"/>
    <s v="COP_24"/>
    <x v="0"/>
    <s v="Quarter1"/>
    <s v="Qtr_1"/>
    <s v="Dec"/>
    <d v="2024-12-01T00:00:00"/>
    <d v="2024-12-31T00:00:00"/>
    <x v="6"/>
    <n v="0"/>
    <n v="0"/>
    <n v="0"/>
    <n v="0"/>
    <n v="0"/>
    <n v="0"/>
    <n v="0"/>
    <n v="0"/>
    <n v="0"/>
    <n v="0"/>
    <n v="0"/>
    <n v="0"/>
    <n v="0"/>
    <n v="0"/>
    <n v="0"/>
    <n v="0"/>
    <n v="0"/>
    <n v="0"/>
    <n v="0"/>
    <n v="0"/>
    <n v="0"/>
    <n v="0"/>
    <n v="0"/>
    <n v="0"/>
    <n v="0"/>
    <m/>
  </r>
  <r>
    <n v="1412"/>
    <d v="2025-03-12T10:12:08"/>
    <d v="2025-03-12T10:12:26"/>
    <s v="dchirwa@lighthouse.org.mw"/>
    <s v="davis chirwa"/>
    <x v="8"/>
    <s v="Prototype"/>
    <x v="2"/>
    <s v="COP_23"/>
    <s v="COP_24"/>
    <x v="2"/>
    <s v="Quarter2"/>
    <s v="Qtr_2"/>
    <s v="Jan"/>
    <d v="2025-01-01T00:00:00"/>
    <d v="2025-01-31T00:00:00"/>
    <x v="0"/>
    <n v="31"/>
    <n v="5"/>
    <n v="23"/>
    <n v="2"/>
    <n v="2"/>
    <n v="4"/>
    <n v="27"/>
    <n v="6"/>
    <n v="5"/>
    <n v="1"/>
    <n v="0"/>
    <n v="0"/>
    <n v="7"/>
    <n v="2"/>
    <n v="0"/>
    <n v="0"/>
    <n v="5"/>
    <n v="1"/>
    <n v="2"/>
    <n v="0"/>
    <n v="2"/>
    <n v="1"/>
    <n v="0"/>
    <n v="0"/>
    <n v="4"/>
    <m/>
  </r>
  <r>
    <n v="1413"/>
    <d v="2025-03-12T10:12:44"/>
    <d v="2025-03-12T10:20:08"/>
    <s v="dchirwa@lighthouse.org.mw"/>
    <s v="davis chirwa"/>
    <x v="8"/>
    <s v="Prototype"/>
    <x v="2"/>
    <s v="COP_23"/>
    <s v="COP_24"/>
    <x v="2"/>
    <s v="Quarter2"/>
    <s v="Qtr_2"/>
    <s v="Jan"/>
    <d v="2025-01-01T00:00:00"/>
    <d v="2025-01-31T00:00:00"/>
    <x v="1"/>
    <n v="27"/>
    <n v="3"/>
    <n v="21"/>
    <n v="1"/>
    <n v="2"/>
    <n v="3"/>
    <n v="23"/>
    <n v="5"/>
    <n v="5"/>
    <n v="1"/>
    <n v="0"/>
    <n v="0"/>
    <n v="6"/>
    <n v="1"/>
    <n v="0"/>
    <n v="0"/>
    <n v="3"/>
    <n v="1"/>
    <n v="1"/>
    <n v="0"/>
    <n v="1"/>
    <n v="1"/>
    <n v="0"/>
    <n v="0"/>
    <n v="3"/>
    <m/>
  </r>
  <r>
    <n v="1414"/>
    <d v="2025-03-12T10:20:16"/>
    <d v="2025-03-12T10:36:19"/>
    <s v="dchirwa@lighthouse.org.mw"/>
    <s v="davis chirwa"/>
    <x v="8"/>
    <s v="Prototype"/>
    <x v="2"/>
    <s v="COP_23"/>
    <s v="COP_24"/>
    <x v="2"/>
    <s v="Quarter2"/>
    <s v="Qtr_2"/>
    <s v="Jan"/>
    <d v="2025-01-01T00:00:00"/>
    <d v="2025-01-31T00:00:00"/>
    <x v="3"/>
    <n v="1"/>
    <n v="1"/>
    <n v="1"/>
    <n v="0"/>
    <n v="0"/>
    <n v="0"/>
    <n v="0"/>
    <n v="0"/>
    <n v="0"/>
    <n v="0"/>
    <n v="0"/>
    <n v="0"/>
    <n v="0"/>
    <n v="0"/>
    <n v="0"/>
    <n v="0"/>
    <n v="1"/>
    <n v="0"/>
    <n v="0"/>
    <n v="0"/>
    <n v="0"/>
    <n v="0"/>
    <n v="0"/>
    <n v="0"/>
    <n v="1"/>
    <m/>
  </r>
  <r>
    <n v="1415"/>
    <d v="2025-03-12T10:36:33"/>
    <d v="2025-03-12T10:42:16"/>
    <s v="dchirwa@lighthouse.org.mw"/>
    <s v="davis chirwa"/>
    <x v="8"/>
    <s v="Prototype"/>
    <x v="2"/>
    <s v="COP_23"/>
    <s v="COP_24"/>
    <x v="2"/>
    <s v="Quarter2"/>
    <s v="Qtr_2"/>
    <s v="Jan"/>
    <d v="2025-01-01T00:00:00"/>
    <d v="2025-01-31T00:00:00"/>
    <x v="2"/>
    <n v="3"/>
    <n v="2"/>
    <n v="1"/>
    <n v="1"/>
    <n v="0"/>
    <n v="1"/>
    <n v="3"/>
    <n v="1"/>
    <n v="0"/>
    <n v="0"/>
    <n v="0"/>
    <n v="0"/>
    <n v="1"/>
    <n v="1"/>
    <n v="0"/>
    <n v="0"/>
    <n v="2"/>
    <n v="0"/>
    <n v="1"/>
    <n v="0"/>
    <n v="1"/>
    <n v="0"/>
    <n v="0"/>
    <n v="0"/>
    <n v="1"/>
    <m/>
  </r>
  <r>
    <n v="1416"/>
    <d v="2025-03-12T10:42:40"/>
    <d v="2025-03-12T10:52:50"/>
    <s v="dchirwa@lighthouse.org.mw"/>
    <s v="davis chirwa"/>
    <x v="8"/>
    <s v="Prototype"/>
    <x v="2"/>
    <s v="COP_23"/>
    <s v="COP_24"/>
    <x v="2"/>
    <s v="Quarter2"/>
    <s v="Qtr_2"/>
    <s v="Jan"/>
    <d v="2025-01-01T00:00:00"/>
    <d v="2025-01-31T00:00:00"/>
    <x v="4"/>
    <n v="0"/>
    <n v="0"/>
    <n v="0"/>
    <n v="0"/>
    <n v="0"/>
    <n v="0"/>
    <n v="0"/>
    <n v="0"/>
    <n v="0"/>
    <n v="0"/>
    <n v="0"/>
    <n v="0"/>
    <n v="0"/>
    <n v="0"/>
    <n v="0"/>
    <n v="0"/>
    <n v="0"/>
    <n v="0"/>
    <n v="0"/>
    <n v="0"/>
    <n v="0"/>
    <n v="0"/>
    <n v="0"/>
    <n v="0"/>
    <n v="0"/>
    <m/>
  </r>
  <r>
    <n v="1417"/>
    <d v="2025-03-12T10:53:01"/>
    <d v="2025-03-12T10:57:37"/>
    <s v="dchirwa@lighthouse.org.mw"/>
    <s v="davis chirwa"/>
    <x v="8"/>
    <s v="Prototype"/>
    <x v="2"/>
    <s v="COP_23"/>
    <s v="COP_24"/>
    <x v="2"/>
    <s v="Quarter2"/>
    <s v="Qtr_2"/>
    <s v="Jan"/>
    <d v="2025-01-01T00:00:00"/>
    <d v="2025-01-31T00:00:00"/>
    <x v="5"/>
    <n v="0"/>
    <n v="0"/>
    <n v="0"/>
    <n v="0"/>
    <n v="0"/>
    <n v="0"/>
    <n v="0"/>
    <n v="0"/>
    <n v="0"/>
    <n v="0"/>
    <n v="0"/>
    <n v="0"/>
    <n v="0"/>
    <n v="0"/>
    <n v="0"/>
    <n v="0"/>
    <n v="0"/>
    <n v="0"/>
    <n v="0"/>
    <n v="0"/>
    <n v="0"/>
    <n v="0"/>
    <n v="0"/>
    <n v="0"/>
    <n v="0"/>
    <m/>
  </r>
  <r>
    <n v="1418"/>
    <d v="2025-03-12T10:58:06"/>
    <d v="2025-03-12T11:00:56"/>
    <s v="dchirwa@lighthouse.org.mw"/>
    <s v="davis chirwa"/>
    <x v="8"/>
    <s v="Prototype"/>
    <x v="2"/>
    <s v="COP_23"/>
    <s v="COP_24"/>
    <x v="2"/>
    <s v="Quarter2"/>
    <s v="Qtr_2"/>
    <s v="Jan"/>
    <d v="2025-01-01T00:00:00"/>
    <d v="2025-01-31T00:00:00"/>
    <x v="6"/>
    <n v="0"/>
    <n v="0"/>
    <n v="0"/>
    <n v="0"/>
    <n v="0"/>
    <n v="0"/>
    <n v="0"/>
    <n v="0"/>
    <n v="0"/>
    <n v="0"/>
    <n v="0"/>
    <n v="0"/>
    <n v="0"/>
    <n v="0"/>
    <n v="0"/>
    <n v="0"/>
    <n v="0"/>
    <n v="0"/>
    <n v="0"/>
    <n v="0"/>
    <n v="0"/>
    <n v="0"/>
    <n v="0"/>
    <n v="0"/>
    <n v="0"/>
    <m/>
  </r>
  <r>
    <n v="1419"/>
    <d v="2025-03-13T10:04:55"/>
    <d v="2025-03-13T10:11:18"/>
    <s v="dchirwa@lighthouse.org.mw"/>
    <s v="davis chirwa"/>
    <x v="8"/>
    <s v="Prototype"/>
    <x v="2"/>
    <s v="COP_23"/>
    <s v="COP_24"/>
    <x v="2"/>
    <s v="Quarter2"/>
    <s v="Qtr_2"/>
    <s v="Feb"/>
    <d v="2025-02-01T00:00:00"/>
    <d v="2025-02-28T00:00:00"/>
    <x v="0"/>
    <n v="4"/>
    <n v="3"/>
    <n v="2"/>
    <n v="1"/>
    <n v="1"/>
    <n v="0"/>
    <n v="3"/>
    <n v="1"/>
    <n v="1"/>
    <n v="0"/>
    <n v="0"/>
    <n v="0"/>
    <n v="0"/>
    <n v="0"/>
    <n v="1"/>
    <n v="1"/>
    <n v="1"/>
    <n v="1"/>
    <n v="1"/>
    <n v="0"/>
    <n v="1"/>
    <n v="0"/>
    <n v="0"/>
    <n v="0"/>
    <n v="0"/>
    <m/>
  </r>
  <r>
    <n v="1420"/>
    <d v="2025-03-13T10:11:36"/>
    <d v="2025-03-13T10:22:22"/>
    <s v="dchirwa@lighthouse.org.mw"/>
    <s v="davis chirwa"/>
    <x v="8"/>
    <s v="Prototype"/>
    <x v="2"/>
    <s v="COP_23"/>
    <s v="COP_24"/>
    <x v="2"/>
    <s v="Quarter2"/>
    <s v="Qtr_2"/>
    <s v="Feb"/>
    <d v="2025-02-01T00:00:00"/>
    <d v="2025-02-28T00:00:00"/>
    <x v="1"/>
    <n v="4"/>
    <n v="3"/>
    <n v="2"/>
    <n v="1"/>
    <n v="1"/>
    <n v="0"/>
    <n v="3"/>
    <n v="1"/>
    <n v="1"/>
    <n v="0"/>
    <n v="0"/>
    <n v="0"/>
    <n v="0"/>
    <n v="0"/>
    <n v="1"/>
    <n v="1"/>
    <n v="1"/>
    <n v="1"/>
    <n v="1"/>
    <n v="0"/>
    <n v="1"/>
    <n v="0"/>
    <n v="0"/>
    <n v="0"/>
    <n v="0"/>
    <m/>
  </r>
  <r>
    <n v="1421"/>
    <d v="2025-03-13T10:22:32"/>
    <d v="2025-03-13T10:26:04"/>
    <s v="dchirwa@lighthouse.org.mw"/>
    <s v="davis chirwa"/>
    <x v="8"/>
    <s v="Prototype"/>
    <x v="2"/>
    <s v="COP_23"/>
    <s v="COP_24"/>
    <x v="2"/>
    <s v="Quarter2"/>
    <s v="Qtr_2"/>
    <s v="Feb"/>
    <d v="2025-02-01T00:00:00"/>
    <d v="2025-02-28T00:00:00"/>
    <x v="3"/>
    <n v="0"/>
    <n v="0"/>
    <n v="0"/>
    <n v="0"/>
    <n v="0"/>
    <n v="0"/>
    <n v="0"/>
    <n v="0"/>
    <n v="0"/>
    <n v="0"/>
    <n v="0"/>
    <n v="0"/>
    <n v="0"/>
    <n v="0"/>
    <n v="0"/>
    <n v="0"/>
    <n v="0"/>
    <n v="0"/>
    <n v="0"/>
    <n v="0"/>
    <n v="0"/>
    <n v="0"/>
    <n v="0"/>
    <n v="0"/>
    <n v="0"/>
    <m/>
  </r>
  <r>
    <n v="1422"/>
    <d v="2025-03-13T10:26:17"/>
    <d v="2025-03-13T10:28:25"/>
    <s v="dchirwa@lighthouse.org.mw"/>
    <s v="davis chirwa"/>
    <x v="8"/>
    <s v="Prototype"/>
    <x v="2"/>
    <s v="COP_23"/>
    <s v="COP_24"/>
    <x v="2"/>
    <s v="Quarter2"/>
    <s v="Qtr_2"/>
    <s v="Feb"/>
    <d v="2025-02-01T00:00:00"/>
    <d v="2025-02-28T00:00:00"/>
    <x v="4"/>
    <n v="0"/>
    <n v="0"/>
    <n v="0"/>
    <n v="0"/>
    <n v="0"/>
    <n v="0"/>
    <n v="0"/>
    <n v="0"/>
    <n v="0"/>
    <n v="0"/>
    <n v="0"/>
    <n v="0"/>
    <n v="0"/>
    <n v="0"/>
    <n v="0"/>
    <n v="0"/>
    <n v="0"/>
    <n v="0"/>
    <n v="0"/>
    <n v="0"/>
    <n v="0"/>
    <n v="0"/>
    <n v="0"/>
    <n v="0"/>
    <n v="0"/>
    <m/>
  </r>
  <r>
    <n v="1423"/>
    <d v="2025-03-13T10:29:07"/>
    <d v="2025-03-13T10:32:34"/>
    <s v="dchirwa@lighthouse.org.mw"/>
    <s v="davis chirwa"/>
    <x v="8"/>
    <s v="Prototype"/>
    <x v="2"/>
    <s v="COP_23"/>
    <s v="COP_24"/>
    <x v="2"/>
    <s v="Quarter2"/>
    <s v="Qtr_2"/>
    <s v="Feb"/>
    <d v="2025-02-01T00:00:00"/>
    <d v="2025-02-28T00:00:00"/>
    <x v="5"/>
    <n v="0"/>
    <n v="0"/>
    <n v="0"/>
    <n v="0"/>
    <n v="0"/>
    <n v="0"/>
    <n v="0"/>
    <n v="0"/>
    <n v="0"/>
    <n v="0"/>
    <n v="0"/>
    <n v="0"/>
    <n v="0"/>
    <n v="0"/>
    <n v="0"/>
    <n v="0"/>
    <n v="0"/>
    <n v="0"/>
    <n v="0"/>
    <n v="0"/>
    <n v="0"/>
    <n v="0"/>
    <n v="0"/>
    <n v="0"/>
    <n v="0"/>
    <m/>
  </r>
  <r>
    <n v="1424"/>
    <d v="2025-03-13T10:36:00"/>
    <d v="2025-03-13T10:38:25"/>
    <s v="dchirwa@lighthouse.org.mw"/>
    <s v="davis chirwa"/>
    <x v="8"/>
    <s v="Prototype"/>
    <x v="2"/>
    <s v="COP_23"/>
    <s v="COP_24"/>
    <x v="2"/>
    <s v="Quarter2"/>
    <s v="Qtr_2"/>
    <s v="Feb"/>
    <d v="2025-02-01T00:00:00"/>
    <d v="2025-02-28T00:00:00"/>
    <x v="2"/>
    <n v="0"/>
    <n v="0"/>
    <n v="0"/>
    <n v="0"/>
    <n v="0"/>
    <n v="0"/>
    <n v="0"/>
    <n v="0"/>
    <n v="0"/>
    <n v="0"/>
    <n v="0"/>
    <n v="0"/>
    <n v="0"/>
    <n v="0"/>
    <n v="0"/>
    <n v="0"/>
    <n v="0"/>
    <n v="0"/>
    <n v="0"/>
    <n v="0"/>
    <n v="0"/>
    <n v="0"/>
    <n v="0"/>
    <n v="0"/>
    <n v="0"/>
    <m/>
  </r>
  <r>
    <n v="1425"/>
    <d v="2025-03-13T10:38:31"/>
    <d v="2025-03-13T10:40:44"/>
    <s v="dchirwa@lighthouse.org.mw"/>
    <s v="davis chirwa"/>
    <x v="8"/>
    <s v="Prototype"/>
    <x v="2"/>
    <s v="COP_23"/>
    <s v="COP_24"/>
    <x v="2"/>
    <s v="Quarter2"/>
    <s v="Qtr_2"/>
    <s v="Feb"/>
    <d v="2025-02-01T00:00:00"/>
    <d v="2025-02-28T00:00:00"/>
    <x v="6"/>
    <n v="0"/>
    <n v="0"/>
    <n v="0"/>
    <n v="0"/>
    <n v="0"/>
    <n v="0"/>
    <n v="0"/>
    <n v="0"/>
    <n v="0"/>
    <n v="0"/>
    <n v="0"/>
    <n v="0"/>
    <n v="0"/>
    <n v="0"/>
    <n v="0"/>
    <n v="0"/>
    <n v="0"/>
    <n v="0"/>
    <n v="0"/>
    <n v="0"/>
    <n v="0"/>
    <n v="0"/>
    <n v="0"/>
    <n v="0"/>
    <n v="0"/>
    <m/>
  </r>
  <r>
    <n v="1527"/>
    <d v="2025-04-10T16:52:51"/>
    <d v="2025-04-10T16:59:41"/>
    <s v="jkenneth@lighthouse.org.mw"/>
    <s v="Joseph Kenneth"/>
    <x v="8"/>
    <s v="Prototype"/>
    <x v="2"/>
    <s v="COP_23"/>
    <s v="COP_24"/>
    <x v="2"/>
    <s v="Quarter2"/>
    <s v="Qtr_2"/>
    <s v="Mar"/>
    <d v="2025-03-01T00:00:00"/>
    <d v="2025-03-31T00:00:00"/>
    <x v="5"/>
    <n v="3"/>
    <n v="0"/>
    <n v="1"/>
    <n v="2"/>
    <n v="0"/>
    <n v="0"/>
    <n v="3"/>
    <n v="0"/>
    <n v="0"/>
    <n v="0"/>
    <n v="0"/>
    <n v="0"/>
    <n v="0"/>
    <n v="0"/>
    <n v="0"/>
    <n v="0"/>
    <n v="0"/>
    <n v="0"/>
    <n v="0"/>
    <n v="0"/>
    <n v="0"/>
    <n v="0"/>
    <n v="0"/>
    <n v="0"/>
    <n v="0"/>
    <m/>
  </r>
  <r>
    <n v="1528"/>
    <d v="2025-04-10T16:59:58"/>
    <d v="2025-04-10T17:03:14"/>
    <s v="jkenneth@lighthouse.org.mw"/>
    <s v="Joseph Kenneth"/>
    <x v="8"/>
    <s v="Prototype"/>
    <x v="2"/>
    <s v="COP_23"/>
    <s v="COP_24"/>
    <x v="2"/>
    <s v="Quarter2"/>
    <s v="Qtr_2"/>
    <s v="Mar"/>
    <d v="2025-03-01T00:00:00"/>
    <d v="2025-03-31T00:00:00"/>
    <x v="2"/>
    <n v="1"/>
    <n v="1"/>
    <n v="0"/>
    <n v="0"/>
    <n v="0"/>
    <n v="1"/>
    <n v="1"/>
    <n v="1"/>
    <n v="1"/>
    <n v="0"/>
    <n v="0"/>
    <n v="0"/>
    <n v="1"/>
    <n v="1"/>
    <n v="1"/>
    <n v="1"/>
    <n v="0"/>
    <n v="0"/>
    <n v="0"/>
    <n v="0"/>
    <n v="1"/>
    <n v="0"/>
    <n v="0"/>
    <n v="0"/>
    <n v="0"/>
    <m/>
  </r>
  <r>
    <n v="1529"/>
    <d v="2025-04-10T17:07:24"/>
    <d v="2025-04-10T17:12:38"/>
    <s v="jkenneth@lighthouse.org.mw"/>
    <s v="Joseph Kenneth"/>
    <x v="8"/>
    <s v="Prototype"/>
    <x v="2"/>
    <s v="COP_23"/>
    <s v="COP_24"/>
    <x v="2"/>
    <s v="Quarter2"/>
    <s v="Qtr_2"/>
    <s v="Mar"/>
    <d v="2025-03-01T00:00:00"/>
    <d v="2025-03-31T00:00:00"/>
    <x v="1"/>
    <n v="25"/>
    <n v="4"/>
    <n v="16"/>
    <n v="2"/>
    <n v="4"/>
    <n v="3"/>
    <n v="21"/>
    <n v="10"/>
    <n v="10"/>
    <n v="0"/>
    <n v="0"/>
    <n v="0"/>
    <n v="10"/>
    <n v="1"/>
    <n v="2"/>
    <n v="0"/>
    <n v="10"/>
    <n v="0"/>
    <n v="7"/>
    <n v="1"/>
    <n v="1"/>
    <n v="0"/>
    <n v="0"/>
    <n v="0"/>
    <n v="4"/>
    <m/>
  </r>
  <r>
    <n v="1530"/>
    <d v="2025-04-10T17:12:56"/>
    <d v="2025-04-10T17:17:35"/>
    <s v="jkenneth@lighthouse.org.mw"/>
    <s v="Joseph Kenneth"/>
    <x v="8"/>
    <s v="Prototype"/>
    <x v="2"/>
    <s v="COP_23"/>
    <s v="COP_24"/>
    <x v="2"/>
    <s v="Quarter2"/>
    <s v="Qtr_2"/>
    <s v="Mar"/>
    <d v="2025-03-01T00:00:00"/>
    <d v="2025-03-31T00:00:00"/>
    <x v="0"/>
    <n v="29"/>
    <n v="5"/>
    <n v="17"/>
    <n v="4"/>
    <n v="4"/>
    <n v="4"/>
    <n v="25"/>
    <n v="11"/>
    <n v="11"/>
    <n v="0"/>
    <n v="0"/>
    <n v="0"/>
    <n v="11"/>
    <n v="2"/>
    <n v="3"/>
    <n v="1"/>
    <n v="10"/>
    <n v="0"/>
    <n v="7"/>
    <n v="1"/>
    <n v="2"/>
    <n v="0"/>
    <n v="0"/>
    <n v="0"/>
    <n v="4"/>
    <m/>
  </r>
  <r>
    <n v="1532"/>
    <d v="2025-04-14T15:34:12"/>
    <d v="2025-04-14T15:35:40"/>
    <s v="jkenneth@lighthouse.org.mw"/>
    <s v="Joseph Kenneth"/>
    <x v="8"/>
    <s v="Prototype"/>
    <x v="2"/>
    <s v="COP_23"/>
    <s v="COP_24"/>
    <x v="2"/>
    <s v="Quarter2"/>
    <s v="Qtr_2"/>
    <s v="Mar"/>
    <d v="2025-03-01T00:00:00"/>
    <d v="2025-03-31T00:00:00"/>
    <x v="6"/>
    <n v="0"/>
    <n v="0"/>
    <n v="0"/>
    <n v="0"/>
    <n v="0"/>
    <n v="0"/>
    <n v="0"/>
    <n v="0"/>
    <n v="0"/>
    <n v="0"/>
    <n v="0"/>
    <n v="0"/>
    <n v="0"/>
    <n v="0"/>
    <n v="0"/>
    <n v="0"/>
    <n v="0"/>
    <n v="0"/>
    <n v="0"/>
    <n v="0"/>
    <n v="0"/>
    <n v="0"/>
    <n v="0"/>
    <n v="0"/>
    <n v="0"/>
    <m/>
  </r>
  <r>
    <n v="1533"/>
    <d v="2025-04-14T15:35:43"/>
    <d v="2025-04-14T15:37:13"/>
    <s v="jkenneth@lighthouse.org.mw"/>
    <s v="Joseph Kenneth"/>
    <x v="8"/>
    <s v="Prototype"/>
    <x v="2"/>
    <s v="COP_23"/>
    <s v="COP_24"/>
    <x v="2"/>
    <s v="Quarter2"/>
    <s v="Qtr_2"/>
    <s v="Mar"/>
    <d v="2025-03-01T00:00:00"/>
    <d v="2025-03-31T00:00:00"/>
    <x v="3"/>
    <n v="0"/>
    <n v="0"/>
    <n v="0"/>
    <n v="0"/>
    <n v="0"/>
    <n v="0"/>
    <n v="0"/>
    <n v="0"/>
    <n v="0"/>
    <n v="0"/>
    <n v="0"/>
    <n v="0"/>
    <n v="0"/>
    <n v="0"/>
    <n v="0"/>
    <n v="0"/>
    <n v="0"/>
    <n v="0"/>
    <n v="0"/>
    <n v="0"/>
    <n v="0"/>
    <n v="0"/>
    <n v="0"/>
    <n v="0"/>
    <n v="0"/>
    <m/>
  </r>
  <r>
    <n v="1534"/>
    <d v="2025-04-14T15:37:15"/>
    <d v="2025-04-14T15:38:43"/>
    <s v="jkenneth@lighthouse.org.mw"/>
    <s v="Joseph Kenneth"/>
    <x v="8"/>
    <s v="Prototype"/>
    <x v="2"/>
    <s v="COP_23"/>
    <s v="COP_24"/>
    <x v="2"/>
    <s v="Quarter2"/>
    <s v="Qtr_2"/>
    <s v="Mar"/>
    <d v="2025-03-01T00:00:00"/>
    <d v="2025-03-31T00:00:00"/>
    <x v="4"/>
    <n v="0"/>
    <n v="0"/>
    <n v="0"/>
    <n v="0"/>
    <n v="0"/>
    <n v="0"/>
    <n v="0"/>
    <n v="0"/>
    <n v="0"/>
    <n v="0"/>
    <n v="0"/>
    <n v="0"/>
    <n v="0"/>
    <n v="0"/>
    <n v="0"/>
    <n v="0"/>
    <n v="0"/>
    <n v="0"/>
    <n v="0"/>
    <n v="0"/>
    <n v="0"/>
    <n v="0"/>
    <n v="0"/>
    <n v="0"/>
    <n v="0"/>
    <m/>
  </r>
  <r>
    <n v="1654"/>
    <d v="2025-06-10T07:44:21"/>
    <d v="2025-06-10T07:50:15"/>
    <s v="jkenneth@lighthouse.org.mw"/>
    <s v="Joseph Kenneth"/>
    <x v="8"/>
    <s v="Prototype"/>
    <x v="2"/>
    <s v="COP_23"/>
    <m/>
    <x v="1"/>
    <s v="Quarter3"/>
    <m/>
    <s v="Apr"/>
    <d v="2025-04-01T00:00:00"/>
    <d v="2025-04-30T00:00:00"/>
    <x v="0"/>
    <n v="22"/>
    <n v="6"/>
    <n v="11"/>
    <n v="3"/>
    <n v="2"/>
    <n v="6"/>
    <n v="22"/>
    <n v="9"/>
    <n v="9"/>
    <n v="0"/>
    <n v="0"/>
    <n v="0"/>
    <n v="9"/>
    <n v="5"/>
    <n v="0"/>
    <n v="0"/>
    <n v="3"/>
    <n v="1"/>
    <n v="4"/>
    <n v="1"/>
    <n v="5"/>
    <n v="0"/>
    <n v="0"/>
    <n v="0"/>
    <n v="2"/>
    <m/>
  </r>
  <r>
    <n v="1655"/>
    <d v="2025-06-10T07:51:34"/>
    <d v="2025-06-10T07:54:59"/>
    <s v="jkenneth@lighthouse.org.mw"/>
    <s v="Joseph Kenneth"/>
    <x v="8"/>
    <s v="Prototype"/>
    <x v="2"/>
    <s v="COP_23"/>
    <m/>
    <x v="1"/>
    <s v="Quarter3"/>
    <m/>
    <s v="Apr"/>
    <d v="2025-04-01T00:00:00"/>
    <d v="2025-04-30T00:00:00"/>
    <x v="4"/>
    <n v="1"/>
    <n v="1"/>
    <n v="0"/>
    <n v="0"/>
    <n v="0"/>
    <n v="1"/>
    <n v="1"/>
    <n v="0"/>
    <n v="0"/>
    <n v="0"/>
    <n v="0"/>
    <n v="0"/>
    <n v="0"/>
    <n v="0"/>
    <n v="0"/>
    <n v="0"/>
    <n v="0"/>
    <n v="0"/>
    <n v="0"/>
    <n v="0"/>
    <n v="0"/>
    <n v="0"/>
    <n v="0"/>
    <n v="0"/>
    <n v="1"/>
    <m/>
  </r>
  <r>
    <n v="1656"/>
    <d v="2025-06-10T07:55:06"/>
    <d v="2025-06-10T08:01:04"/>
    <s v="jkenneth@lighthouse.org.mw"/>
    <s v="Joseph Kenneth"/>
    <x v="8"/>
    <s v="Prototype"/>
    <x v="2"/>
    <s v="COP_23"/>
    <m/>
    <x v="1"/>
    <s v="Quarter3"/>
    <m/>
    <s v="Apr"/>
    <d v="2025-04-01T00:00:00"/>
    <d v="2025-04-30T00:00:00"/>
    <x v="1"/>
    <n v="17"/>
    <n v="1"/>
    <n v="11"/>
    <n v="3"/>
    <n v="1"/>
    <n v="2"/>
    <n v="17"/>
    <n v="4"/>
    <n v="2"/>
    <n v="0"/>
    <n v="1"/>
    <n v="0"/>
    <n v="4"/>
    <n v="1"/>
    <n v="0"/>
    <n v="0"/>
    <n v="2"/>
    <n v="1"/>
    <n v="2"/>
    <n v="0"/>
    <n v="1"/>
    <n v="0"/>
    <n v="0"/>
    <n v="0"/>
    <n v="0"/>
    <m/>
  </r>
  <r>
    <n v="1657"/>
    <d v="2025-06-10T08:01:11"/>
    <d v="2025-06-10T08:07:32"/>
    <s v="jkenneth@lighthouse.org.mw"/>
    <s v="Joseph Kenneth"/>
    <x v="8"/>
    <s v="Prototype"/>
    <x v="2"/>
    <s v="COP_23"/>
    <m/>
    <x v="1"/>
    <s v="Quarter3"/>
    <m/>
    <s v="Apr"/>
    <d v="2025-04-01T00:00:00"/>
    <d v="2025-04-30T00:00:00"/>
    <x v="2"/>
    <n v="5"/>
    <n v="4"/>
    <n v="0"/>
    <n v="0"/>
    <n v="1"/>
    <n v="4"/>
    <n v="5"/>
    <n v="5"/>
    <n v="5"/>
    <n v="0"/>
    <n v="0"/>
    <n v="0"/>
    <n v="5"/>
    <n v="4"/>
    <n v="0"/>
    <n v="0"/>
    <n v="3"/>
    <n v="2"/>
    <n v="2"/>
    <n v="1"/>
    <n v="4"/>
    <n v="0"/>
    <n v="0"/>
    <n v="0"/>
    <n v="1"/>
    <m/>
  </r>
  <r>
    <n v="1658"/>
    <d v="2025-06-10T08:07:40"/>
    <d v="2025-06-10T08:09:55"/>
    <s v="jkenneth@lighthouse.org.mw"/>
    <s v="Joseph Kenneth"/>
    <x v="8"/>
    <s v="Prototype"/>
    <x v="2"/>
    <s v="COP_23"/>
    <m/>
    <x v="1"/>
    <s v="Quarter3"/>
    <m/>
    <s v="Apr"/>
    <d v="2025-04-01T00:00:00"/>
    <d v="2025-04-30T00:00:00"/>
    <x v="5"/>
    <n v="0"/>
    <n v="0"/>
    <n v="0"/>
    <n v="0"/>
    <n v="0"/>
    <n v="0"/>
    <n v="0"/>
    <n v="0"/>
    <n v="0"/>
    <n v="0"/>
    <n v="0"/>
    <n v="0"/>
    <n v="0"/>
    <n v="0"/>
    <n v="0"/>
    <n v="0"/>
    <n v="0"/>
    <n v="0"/>
    <n v="0"/>
    <n v="0"/>
    <n v="0"/>
    <n v="0"/>
    <n v="0"/>
    <n v="0"/>
    <n v="0"/>
    <m/>
  </r>
  <r>
    <n v="1659"/>
    <d v="2025-06-10T08:11:07"/>
    <d v="2025-06-10T08:12:28"/>
    <s v="jkenneth@lighthouse.org.mw"/>
    <s v="Joseph Kenneth"/>
    <x v="8"/>
    <s v="Prototype"/>
    <x v="2"/>
    <s v="COP_23"/>
    <m/>
    <x v="1"/>
    <s v="Quarter3"/>
    <m/>
    <s v="Apr"/>
    <d v="2025-04-01T00:00:00"/>
    <d v="2025-04-30T00:00:00"/>
    <x v="3"/>
    <n v="0"/>
    <n v="0"/>
    <n v="0"/>
    <n v="0"/>
    <n v="0"/>
    <n v="0"/>
    <n v="0"/>
    <n v="0"/>
    <n v="0"/>
    <n v="0"/>
    <n v="0"/>
    <n v="0"/>
    <n v="0"/>
    <n v="0"/>
    <n v="0"/>
    <n v="0"/>
    <n v="0"/>
    <n v="0"/>
    <n v="0"/>
    <n v="0"/>
    <n v="0"/>
    <n v="0"/>
    <n v="0"/>
    <n v="0"/>
    <n v="0"/>
    <m/>
  </r>
  <r>
    <n v="1660"/>
    <d v="2025-06-10T08:12:41"/>
    <d v="2025-06-10T08:16:52"/>
    <s v="jkenneth@lighthouse.org.mw"/>
    <s v="Joseph Kenneth"/>
    <x v="8"/>
    <s v="Prototype"/>
    <x v="2"/>
    <s v="COP_23"/>
    <m/>
    <x v="1"/>
    <s v="Quarter3"/>
    <m/>
    <s v="May"/>
    <d v="2025-05-01T00:00:00"/>
    <d v="2025-05-31T00:00:00"/>
    <x v="0"/>
    <n v="34"/>
    <n v="9"/>
    <n v="20"/>
    <n v="3"/>
    <n v="4"/>
    <n v="7"/>
    <n v="34"/>
    <n v="10"/>
    <n v="10"/>
    <n v="1"/>
    <n v="0"/>
    <n v="0"/>
    <n v="7"/>
    <n v="7"/>
    <n v="2"/>
    <n v="0"/>
    <n v="6"/>
    <n v="4"/>
    <n v="5"/>
    <n v="2"/>
    <n v="8"/>
    <n v="0"/>
    <n v="0"/>
    <n v="0"/>
    <n v="1"/>
    <m/>
  </r>
  <r>
    <n v="1661"/>
    <d v="2025-06-10T08:16:57"/>
    <d v="2025-06-10T08:22:45"/>
    <s v="jkenneth@lighthouse.org.mw"/>
    <s v="Joseph Kenneth"/>
    <x v="8"/>
    <s v="Prototype"/>
    <x v="2"/>
    <s v="COP_23"/>
    <m/>
    <x v="3"/>
    <s v="Quarter3"/>
    <m/>
    <s v="May"/>
    <d v="2025-05-01T00:00:00"/>
    <d v="2025-05-31T00:00:00"/>
    <x v="1"/>
    <n v="30"/>
    <n v="5"/>
    <n v="20"/>
    <n v="3"/>
    <n v="4"/>
    <n v="3"/>
    <n v="29"/>
    <n v="7"/>
    <n v="6"/>
    <n v="1"/>
    <n v="0"/>
    <n v="0"/>
    <n v="6"/>
    <n v="4"/>
    <n v="2"/>
    <n v="0"/>
    <n v="3"/>
    <n v="2"/>
    <n v="4"/>
    <n v="1"/>
    <n v="5"/>
    <n v="0"/>
    <n v="0"/>
    <n v="0"/>
    <n v="1"/>
    <m/>
  </r>
  <r>
    <n v="1662"/>
    <d v="2025-06-10T08:22:56"/>
    <d v="2025-06-10T08:27:40"/>
    <s v="jkenneth@lighthouse.org.mw"/>
    <s v="Joseph Kenneth"/>
    <x v="8"/>
    <s v="Prototype"/>
    <x v="2"/>
    <s v="COP_23"/>
    <m/>
    <x v="3"/>
    <s v="Quarter3"/>
    <m/>
    <s v="May"/>
    <d v="2025-05-01T00:00:00"/>
    <d v="2025-05-31T00:00:00"/>
    <x v="2"/>
    <n v="3"/>
    <n v="3"/>
    <n v="0"/>
    <n v="0"/>
    <n v="0"/>
    <n v="3"/>
    <n v="3"/>
    <n v="3"/>
    <n v="3"/>
    <n v="0"/>
    <n v="0"/>
    <n v="0"/>
    <n v="3"/>
    <n v="3"/>
    <n v="3"/>
    <n v="0"/>
    <n v="3"/>
    <n v="2"/>
    <n v="3"/>
    <n v="1"/>
    <n v="3"/>
    <n v="0"/>
    <n v="0"/>
    <n v="0"/>
    <n v="0"/>
    <m/>
  </r>
  <r>
    <n v="1663"/>
    <d v="2025-06-10T08:27:43"/>
    <d v="2025-06-10T08:35:23"/>
    <s v="jkenneth@lighthouse.org.mw"/>
    <s v="Joseph Kenneth"/>
    <x v="8"/>
    <s v="Prototype"/>
    <x v="2"/>
    <s v="COP_23"/>
    <m/>
    <x v="3"/>
    <s v="Quarter3"/>
    <m/>
    <s v="May"/>
    <d v="2025-05-01T00:00:00"/>
    <d v="2025-05-31T00:00:00"/>
    <x v="5"/>
    <n v="1"/>
    <n v="1"/>
    <n v="0"/>
    <n v="0"/>
    <n v="0"/>
    <n v="1"/>
    <n v="1"/>
    <n v="1"/>
    <n v="1"/>
    <n v="0"/>
    <n v="0"/>
    <n v="0"/>
    <n v="1"/>
    <n v="1"/>
    <n v="0"/>
    <n v="0"/>
    <n v="1"/>
    <n v="1"/>
    <n v="0"/>
    <n v="0"/>
    <n v="1"/>
    <n v="0"/>
    <n v="0"/>
    <n v="0"/>
    <n v="0"/>
    <m/>
  </r>
  <r>
    <n v="1664"/>
    <d v="2025-06-10T08:35:26"/>
    <d v="2025-06-10T08:37:10"/>
    <s v="jkenneth@lighthouse.org.mw"/>
    <s v="Joseph Kenneth"/>
    <x v="8"/>
    <s v="Prototype"/>
    <x v="2"/>
    <s v="COP_23"/>
    <m/>
    <x v="3"/>
    <s v="Quarter3"/>
    <m/>
    <s v="May"/>
    <d v="2025-05-01T00:00:00"/>
    <d v="2025-05-31T00:00:00"/>
    <x v="3"/>
    <n v="1"/>
    <n v="0"/>
    <n v="0"/>
    <n v="0"/>
    <n v="1"/>
    <n v="0"/>
    <n v="0"/>
    <n v="0"/>
    <n v="0"/>
    <n v="0"/>
    <n v="0"/>
    <n v="0"/>
    <n v="0"/>
    <n v="0"/>
    <n v="0"/>
    <n v="0"/>
    <n v="0"/>
    <n v="0"/>
    <n v="0"/>
    <n v="0"/>
    <n v="0"/>
    <n v="0"/>
    <n v="0"/>
    <n v="0"/>
    <n v="0"/>
    <m/>
  </r>
  <r>
    <n v="1730"/>
    <d v="2025-07-08T08:50:02"/>
    <d v="2025-07-08T08:54:12"/>
    <s v="jkenneth@lighthouse.org.mw"/>
    <s v="Joseph Kenneth"/>
    <x v="8"/>
    <s v="Prototype"/>
    <x v="2"/>
    <s v="COP_23"/>
    <m/>
    <x v="3"/>
    <s v="Quarter3"/>
    <m/>
    <s v="Jun"/>
    <d v="2025-06-01T00:00:00"/>
    <d v="2025-06-30T00:00:00"/>
    <x v="0"/>
    <n v="30"/>
    <n v="5"/>
    <n v="18"/>
    <n v="3"/>
    <n v="3"/>
    <n v="6"/>
    <n v="30"/>
    <n v="13"/>
    <n v="13"/>
    <n v="0"/>
    <n v="0"/>
    <n v="0"/>
    <n v="13"/>
    <n v="4"/>
    <n v="1"/>
    <n v="0"/>
    <n v="4"/>
    <n v="2"/>
    <n v="6"/>
    <n v="4"/>
    <n v="5"/>
    <n v="0"/>
    <n v="0"/>
    <n v="2"/>
    <n v="2"/>
    <m/>
  </r>
  <r>
    <n v="1731"/>
    <d v="2025-07-08T08:54:28"/>
    <d v="2025-07-08T08:58:55"/>
    <s v="jkenneth@lighthouse.org.mw"/>
    <s v="Joseph Kenneth"/>
    <x v="8"/>
    <s v="Prototype"/>
    <x v="2"/>
    <s v="COP_23"/>
    <m/>
    <x v="3"/>
    <s v="Quarter3"/>
    <m/>
    <s v="Jun"/>
    <d v="2025-06-01T00:00:00"/>
    <d v="2025-06-30T00:00:00"/>
    <x v="1"/>
    <n v="27"/>
    <n v="2"/>
    <n v="18"/>
    <n v="2"/>
    <n v="1"/>
    <n v="6"/>
    <n v="27"/>
    <n v="10"/>
    <n v="10"/>
    <n v="0"/>
    <n v="0"/>
    <n v="0"/>
    <n v="9"/>
    <n v="4"/>
    <n v="1"/>
    <n v="0"/>
    <n v="3"/>
    <n v="2"/>
    <n v="6"/>
    <n v="4"/>
    <n v="5"/>
    <n v="0"/>
    <n v="0"/>
    <n v="2"/>
    <n v="0"/>
    <m/>
  </r>
  <r>
    <n v="1732"/>
    <d v="2025-07-08T08:58:59"/>
    <d v="2025-07-08T09:01:24"/>
    <s v="jkenneth@lighthouse.org.mw"/>
    <s v="Joseph Kenneth"/>
    <x v="8"/>
    <s v="Prototype"/>
    <x v="2"/>
    <s v="COP_23"/>
    <m/>
    <x v="3"/>
    <s v="Quarter3"/>
    <m/>
    <s v="Jun"/>
    <d v="2025-06-01T00:00:00"/>
    <d v="2025-06-30T00:00:00"/>
    <x v="2"/>
    <n v="1"/>
    <n v="1"/>
    <n v="0"/>
    <n v="0"/>
    <n v="1"/>
    <n v="0"/>
    <n v="1"/>
    <n v="1"/>
    <n v="1"/>
    <n v="0"/>
    <n v="0"/>
    <n v="0"/>
    <n v="1"/>
    <n v="0"/>
    <n v="0"/>
    <n v="0"/>
    <n v="0"/>
    <n v="0"/>
    <n v="0"/>
    <n v="0"/>
    <n v="0"/>
    <n v="0"/>
    <n v="0"/>
    <n v="0"/>
    <n v="1"/>
    <m/>
  </r>
  <r>
    <n v="1733"/>
    <d v="2025-07-08T09:01:40"/>
    <d v="2025-07-08T09:09:55"/>
    <s v="jkenneth@lighthouse.org.mw"/>
    <s v="Joseph Kenneth"/>
    <x v="8"/>
    <s v="Prototype"/>
    <x v="2"/>
    <s v="COP_23"/>
    <m/>
    <x v="3"/>
    <s v="Quarter3"/>
    <m/>
    <s v="Jun"/>
    <d v="2025-06-01T00:00:00"/>
    <d v="2025-06-30T00:00:00"/>
    <x v="5"/>
    <n v="2"/>
    <n v="2"/>
    <n v="0"/>
    <n v="1"/>
    <n v="1"/>
    <n v="0"/>
    <n v="2"/>
    <n v="2"/>
    <n v="2"/>
    <n v="0"/>
    <n v="0"/>
    <n v="0"/>
    <n v="2"/>
    <n v="0"/>
    <n v="0"/>
    <n v="0"/>
    <n v="1"/>
    <n v="0"/>
    <n v="0"/>
    <n v="0"/>
    <n v="0"/>
    <n v="0"/>
    <n v="0"/>
    <n v="0"/>
    <n v="1"/>
    <m/>
  </r>
  <r>
    <n v="1734"/>
    <d v="2025-07-08T09:10:01"/>
    <d v="2025-07-08T09:11:21"/>
    <s v="jkenneth@lighthouse.org.mw"/>
    <s v="Joseph Kenneth"/>
    <x v="8"/>
    <s v="Prototype"/>
    <x v="2"/>
    <s v="COP_23"/>
    <m/>
    <x v="3"/>
    <s v="Quarter3"/>
    <m/>
    <s v="Jun"/>
    <d v="2025-06-01T00:00:00"/>
    <d v="2025-06-30T00:00:00"/>
    <x v="3"/>
    <n v="0"/>
    <n v="0"/>
    <n v="0"/>
    <n v="0"/>
    <n v="0"/>
    <n v="0"/>
    <n v="0"/>
    <n v="0"/>
    <n v="0"/>
    <n v="0"/>
    <n v="0"/>
    <n v="0"/>
    <n v="0"/>
    <n v="0"/>
    <n v="0"/>
    <n v="0"/>
    <n v="0"/>
    <n v="0"/>
    <n v="0"/>
    <n v="0"/>
    <n v="0"/>
    <n v="0"/>
    <n v="0"/>
    <n v="0"/>
    <n v="0"/>
    <m/>
  </r>
  <r>
    <n v="1735"/>
    <d v="2025-07-08T09:11:24"/>
    <d v="2025-07-08T09:12:49"/>
    <s v="jkenneth@lighthouse.org.mw"/>
    <s v="Joseph Kenneth"/>
    <x v="8"/>
    <s v="Prototype"/>
    <x v="2"/>
    <s v="COP_23"/>
    <m/>
    <x v="3"/>
    <s v="Quarter3"/>
    <m/>
    <s v="Jun"/>
    <d v="2025-06-01T00:00:00"/>
    <d v="2025-06-30T00:00:00"/>
    <x v="4"/>
    <n v="0"/>
    <n v="0"/>
    <n v="0"/>
    <n v="0"/>
    <n v="0"/>
    <n v="0"/>
    <n v="0"/>
    <n v="0"/>
    <n v="0"/>
    <n v="0"/>
    <n v="0"/>
    <n v="0"/>
    <n v="0"/>
    <n v="0"/>
    <n v="0"/>
    <n v="0"/>
    <n v="0"/>
    <n v="0"/>
    <n v="0"/>
    <n v="0"/>
    <n v="0"/>
    <n v="0"/>
    <n v="0"/>
    <n v="0"/>
    <n v="0"/>
    <m/>
  </r>
  <r>
    <n v="1736"/>
    <d v="2025-07-08T09:13:01"/>
    <d v="2025-07-08T09:15:08"/>
    <s v="jkenneth@lighthouse.org.mw"/>
    <s v="Joseph Kenneth"/>
    <x v="8"/>
    <s v="Prototype"/>
    <x v="2"/>
    <s v="COP_23"/>
    <m/>
    <x v="3"/>
    <s v="Quarter3"/>
    <m/>
    <s v="Jun"/>
    <d v="2025-06-01T00:00:00"/>
    <d v="2025-06-30T00:00:00"/>
    <x v="6"/>
    <n v="0"/>
    <n v="0"/>
    <n v="0"/>
    <n v="0"/>
    <n v="0"/>
    <n v="0"/>
    <n v="0"/>
    <n v="0"/>
    <n v="0"/>
    <n v="0"/>
    <n v="0"/>
    <n v="0"/>
    <n v="0"/>
    <n v="0"/>
    <n v="0"/>
    <n v="0"/>
    <n v="0"/>
    <n v="0"/>
    <n v="0"/>
    <n v="0"/>
    <n v="0"/>
    <n v="0"/>
    <n v="0"/>
    <n v="0"/>
    <n v="0"/>
    <m/>
  </r>
  <r>
    <n v="53"/>
    <d v="2023-12-20T12:31:05"/>
    <d v="2023-12-20T12:31:53"/>
    <s v="mchirwa@lighthouse.org.mw"/>
    <s v="Margaret Chirwa"/>
    <x v="9"/>
    <s v="COE"/>
    <x v="0"/>
    <s v="COP_23"/>
    <s v="COP_22"/>
    <x v="1"/>
    <s v="Quarter4"/>
    <s v="Qtr_4"/>
    <s v="Sep"/>
    <d v="2023-09-01T00:00:00"/>
    <d v="2023-09-30T00:00:00"/>
    <x v="0"/>
    <n v="108"/>
    <n v="7"/>
    <n v="19"/>
    <n v="6"/>
    <n v="10"/>
    <n v="5"/>
    <n v="31"/>
    <n v="25"/>
    <n v="37"/>
    <n v="0"/>
    <n v="0"/>
    <n v="0"/>
    <n v="38"/>
    <n v="1"/>
    <n v="11"/>
    <n v="0"/>
    <n v="10"/>
    <n v="6"/>
    <n v="39"/>
    <n v="3"/>
    <n v="3"/>
    <n v="0"/>
    <n v="0"/>
    <n v="2"/>
    <n v="22"/>
    <m/>
  </r>
  <r>
    <n v="54"/>
    <d v="2023-12-20T12:32:07"/>
    <d v="2023-12-20T12:36:14"/>
    <s v="mchirwa@lighthouse.org.mw"/>
    <s v="Margaret Chirwa"/>
    <x v="9"/>
    <s v="COE"/>
    <x v="0"/>
    <s v="COP_23"/>
    <s v="COP_23"/>
    <x v="0"/>
    <s v="Quarter1"/>
    <s v="Qtr_1"/>
    <s v="Oct"/>
    <d v="2023-10-01T00:00:00"/>
    <d v="2023-10-31T00:00:00"/>
    <x v="0"/>
    <n v="120"/>
    <n v="21"/>
    <n v="24"/>
    <n v="6"/>
    <n v="14"/>
    <n v="13"/>
    <n v="53"/>
    <n v="34"/>
    <n v="43"/>
    <n v="0"/>
    <n v="0"/>
    <n v="0"/>
    <n v="47"/>
    <n v="11"/>
    <n v="8"/>
    <n v="0"/>
    <n v="11"/>
    <n v="6"/>
    <n v="34"/>
    <n v="7"/>
    <n v="15"/>
    <n v="7"/>
    <n v="0"/>
    <n v="1"/>
    <n v="10"/>
    <m/>
  </r>
  <r>
    <n v="55"/>
    <d v="2023-12-20T12:36:25"/>
    <d v="2023-12-20T12:39:39"/>
    <s v="mchirwa@lighthouse.org.mw"/>
    <s v="Margaret Chirwa"/>
    <x v="9"/>
    <s v="COE"/>
    <x v="0"/>
    <s v="COP_23"/>
    <s v="COP_23"/>
    <x v="0"/>
    <s v="Quarter1"/>
    <s v="Qtr_1"/>
    <s v="Nov"/>
    <d v="2023-11-01T00:00:00"/>
    <d v="2023-11-30T00:00:00"/>
    <x v="0"/>
    <n v="139"/>
    <n v="29"/>
    <n v="20"/>
    <n v="9"/>
    <n v="19"/>
    <n v="20"/>
    <n v="66"/>
    <n v="45"/>
    <n v="49"/>
    <n v="0"/>
    <n v="2"/>
    <n v="0"/>
    <n v="51"/>
    <n v="10"/>
    <n v="7"/>
    <n v="2"/>
    <n v="17"/>
    <n v="6"/>
    <n v="33"/>
    <n v="4"/>
    <n v="14"/>
    <n v="0"/>
    <n v="0"/>
    <n v="4"/>
    <n v="16"/>
    <m/>
  </r>
  <r>
    <n v="98"/>
    <d v="2024-01-18T14:34:16"/>
    <d v="2024-01-18T14:34:56"/>
    <s v="mmsiska@lighthouse.org.mw"/>
    <s v="Michael Msiska"/>
    <x v="9"/>
    <s v="COE"/>
    <x v="0"/>
    <s v="COP_23"/>
    <s v="COP_23"/>
    <x v="0"/>
    <s v="Quarter1"/>
    <s v="Qtr_1"/>
    <s v="Dec"/>
    <d v="2023-12-01T00:00:00"/>
    <d v="2023-12-31T00:00:00"/>
    <x v="0"/>
    <n v="76"/>
    <n v="9"/>
    <n v="33"/>
    <n v="16"/>
    <n v="8"/>
    <n v="12"/>
    <n v="66"/>
    <n v="33"/>
    <n v="44"/>
    <n v="1"/>
    <n v="1"/>
    <n v="0"/>
    <n v="44"/>
    <n v="9"/>
    <n v="2"/>
    <n v="0"/>
    <n v="5"/>
    <n v="1"/>
    <n v="19"/>
    <n v="2"/>
    <n v="11"/>
    <n v="0"/>
    <n v="1"/>
    <n v="1"/>
    <n v="13"/>
    <m/>
  </r>
  <r>
    <n v="100"/>
    <d v="2024-01-18T15:50:09"/>
    <d v="2024-01-18T15:50:22"/>
    <s v="mmsiska@lighthouse.org.mw"/>
    <s v="Michael Msiska"/>
    <x v="9"/>
    <s v="COE"/>
    <x v="0"/>
    <s v="COP_23"/>
    <s v="COP_23"/>
    <x v="0"/>
    <s v="Quarter1"/>
    <s v="Qtr_1"/>
    <s v="Dec"/>
    <d v="2023-12-01T00:00:00"/>
    <d v="2023-12-31T00:00:00"/>
    <x v="3"/>
    <n v="4"/>
    <n v="0"/>
    <n v="4"/>
    <n v="0"/>
    <n v="0"/>
    <n v="0"/>
    <n v="0"/>
    <n v="0"/>
    <n v="4"/>
    <n v="0"/>
    <n v="0"/>
    <n v="0"/>
    <n v="3"/>
    <n v="0"/>
    <n v="0"/>
    <n v="0"/>
    <n v="0"/>
    <n v="0"/>
    <n v="0"/>
    <n v="0"/>
    <n v="0"/>
    <n v="0"/>
    <n v="0"/>
    <n v="0"/>
    <n v="0"/>
    <m/>
  </r>
  <r>
    <n v="101"/>
    <d v="2024-01-18T15:50:28"/>
    <d v="2024-01-18T15:53:06"/>
    <s v="mmsiska@lighthouse.org.mw"/>
    <s v="Michael Msiska"/>
    <x v="9"/>
    <s v="COE"/>
    <x v="0"/>
    <s v="COP_23"/>
    <s v="COP_23"/>
    <x v="0"/>
    <s v="Quarter1"/>
    <s v="Qtr_1"/>
    <s v="Dec"/>
    <d v="2023-12-01T00:00:00"/>
    <d v="2023-12-31T00:00:00"/>
    <x v="5"/>
    <n v="21"/>
    <n v="0"/>
    <n v="11"/>
    <n v="2"/>
    <n v="3"/>
    <n v="0"/>
    <n v="16"/>
    <n v="5"/>
    <n v="15"/>
    <n v="0"/>
    <n v="0"/>
    <n v="0"/>
    <n v="14"/>
    <n v="0"/>
    <n v="0"/>
    <n v="0"/>
    <n v="0"/>
    <n v="0"/>
    <n v="2"/>
    <n v="0"/>
    <n v="0"/>
    <n v="0"/>
    <n v="0"/>
    <n v="0"/>
    <n v="4"/>
    <m/>
  </r>
  <r>
    <n v="103"/>
    <d v="2024-01-19T09:41:31"/>
    <d v="2024-01-19T09:42:49"/>
    <s v="mmsiska@lighthouse.org.mw"/>
    <s v="Michael Msiska"/>
    <x v="9"/>
    <s v="COE"/>
    <x v="0"/>
    <s v="COP_23"/>
    <s v="COP_23"/>
    <x v="0"/>
    <s v="Quarter1"/>
    <s v="Qtr_1"/>
    <s v="Oct"/>
    <d v="2023-10-01T00:00:00"/>
    <d v="2023-10-31T00:00:00"/>
    <x v="3"/>
    <n v="0"/>
    <n v="0"/>
    <n v="0"/>
    <n v="0"/>
    <n v="0"/>
    <n v="0"/>
    <n v="0"/>
    <n v="0"/>
    <n v="0"/>
    <n v="0"/>
    <n v="0"/>
    <n v="0"/>
    <n v="0"/>
    <n v="0"/>
    <n v="0"/>
    <n v="0"/>
    <n v="0"/>
    <n v="0"/>
    <n v="0"/>
    <n v="0"/>
    <n v="0"/>
    <n v="0"/>
    <n v="0"/>
    <n v="0"/>
    <n v="0"/>
    <m/>
  </r>
  <r>
    <n v="104"/>
    <d v="2024-01-19T09:42:54"/>
    <d v="2024-01-19T09:46:15"/>
    <s v="mmsiska@lighthouse.org.mw"/>
    <s v="Michael Msiska"/>
    <x v="9"/>
    <s v="COE"/>
    <x v="0"/>
    <s v="COP_23"/>
    <s v="COP_23"/>
    <x v="0"/>
    <s v="Quarter1"/>
    <s v="Qtr_1"/>
    <s v="Oct"/>
    <d v="2023-10-01T00:00:00"/>
    <d v="2023-10-31T00:00:00"/>
    <x v="5"/>
    <n v="6"/>
    <n v="1"/>
    <n v="2"/>
    <n v="1"/>
    <n v="1"/>
    <n v="1"/>
    <n v="5"/>
    <n v="1"/>
    <n v="5"/>
    <n v="0"/>
    <n v="0"/>
    <n v="0"/>
    <n v="4"/>
    <n v="1"/>
    <n v="0"/>
    <n v="0"/>
    <n v="0"/>
    <n v="0"/>
    <n v="3"/>
    <n v="0"/>
    <n v="1"/>
    <n v="0"/>
    <n v="0"/>
    <n v="0"/>
    <n v="2"/>
    <m/>
  </r>
  <r>
    <n v="106"/>
    <d v="2024-01-19T09:48:54"/>
    <d v="2024-01-19T09:49:58"/>
    <s v="mmsiska@lighthouse.org.mw"/>
    <s v="Michael Msiska"/>
    <x v="9"/>
    <s v="COE"/>
    <x v="0"/>
    <s v="COP_23"/>
    <s v="COP_23"/>
    <x v="0"/>
    <s v="Quarter1"/>
    <s v="Qtr_1"/>
    <s v="Nov"/>
    <d v="2023-11-01T00:00:00"/>
    <d v="2023-11-30T00:00:00"/>
    <x v="3"/>
    <n v="0"/>
    <n v="0"/>
    <n v="0"/>
    <n v="0"/>
    <n v="0"/>
    <n v="0"/>
    <n v="0"/>
    <n v="0"/>
    <n v="0"/>
    <n v="0"/>
    <n v="0"/>
    <n v="0"/>
    <n v="0"/>
    <n v="0"/>
    <n v="0"/>
    <n v="0"/>
    <n v="0"/>
    <n v="0"/>
    <n v="0"/>
    <n v="0"/>
    <n v="0"/>
    <n v="0"/>
    <n v="0"/>
    <n v="0"/>
    <n v="0"/>
    <m/>
  </r>
  <r>
    <n v="107"/>
    <d v="2024-01-19T09:50:00"/>
    <d v="2024-01-19T09:52:03"/>
    <s v="mmsiska@lighthouse.org.mw"/>
    <s v="Michael Msiska"/>
    <x v="9"/>
    <s v="COE"/>
    <x v="0"/>
    <s v="COP_23"/>
    <s v="COP_23"/>
    <x v="0"/>
    <s v="Quarter1"/>
    <s v="Qtr_1"/>
    <s v="Nov"/>
    <d v="2023-11-01T00:00:00"/>
    <d v="2023-11-30T00:00:00"/>
    <x v="5"/>
    <n v="3"/>
    <n v="0"/>
    <n v="2"/>
    <n v="0"/>
    <n v="1"/>
    <n v="0"/>
    <n v="2"/>
    <n v="1"/>
    <n v="3"/>
    <n v="0"/>
    <n v="0"/>
    <n v="0"/>
    <n v="3"/>
    <n v="0"/>
    <n v="0"/>
    <n v="0"/>
    <n v="0"/>
    <n v="0"/>
    <n v="1"/>
    <n v="0"/>
    <n v="0"/>
    <n v="0"/>
    <n v="0"/>
    <n v="0"/>
    <n v="0"/>
    <m/>
  </r>
  <r>
    <n v="223"/>
    <d v="2024-04-08T15:29:45"/>
    <d v="2024-04-08T15:30:32"/>
    <s v="mchirwa@lighthouse.org.mw"/>
    <s v="Margaret Chirwa"/>
    <x v="9"/>
    <s v="COE"/>
    <x v="1"/>
    <s v="COP_23"/>
    <s v="COP_23"/>
    <x v="2"/>
    <s v="Quarter2"/>
    <s v="Qtr_2"/>
    <s v="Mar"/>
    <d v="2024-03-01T00:00:00"/>
    <d v="2024-03-31T00:00:00"/>
    <x v="3"/>
    <n v="8"/>
    <n v="0"/>
    <n v="7"/>
    <n v="0"/>
    <n v="1"/>
    <n v="0"/>
    <n v="0"/>
    <n v="0"/>
    <n v="8"/>
    <n v="0"/>
    <n v="8"/>
    <n v="0"/>
    <n v="7"/>
    <n v="0"/>
    <n v="0"/>
    <n v="0"/>
    <n v="0"/>
    <n v="0"/>
    <n v="1"/>
    <n v="0"/>
    <n v="0"/>
    <n v="0"/>
    <n v="0"/>
    <n v="0"/>
    <n v="1"/>
    <m/>
  </r>
  <r>
    <n v="224"/>
    <d v="2024-04-08T15:30:35"/>
    <d v="2024-04-08T15:36:32"/>
    <s v="mchirwa@lighthouse.org.mw"/>
    <s v="Margaret Chirwa"/>
    <x v="9"/>
    <s v="COE"/>
    <x v="1"/>
    <s v="COP_23"/>
    <s v="COP_23"/>
    <x v="2"/>
    <s v="Quarter2"/>
    <s v="Qtr_2"/>
    <s v="Mar"/>
    <d v="2024-03-01T00:00:00"/>
    <d v="2024-03-31T00:00:00"/>
    <x v="4"/>
    <n v="7"/>
    <n v="0"/>
    <n v="6"/>
    <n v="0"/>
    <n v="1"/>
    <n v="0"/>
    <n v="6"/>
    <n v="0"/>
    <n v="4"/>
    <n v="0"/>
    <n v="4"/>
    <n v="0"/>
    <n v="4"/>
    <n v="0"/>
    <n v="0"/>
    <n v="0"/>
    <n v="0"/>
    <n v="0"/>
    <n v="0"/>
    <n v="0"/>
    <n v="0"/>
    <n v="0"/>
    <n v="0"/>
    <n v="0"/>
    <n v="0"/>
    <m/>
  </r>
  <r>
    <n v="225"/>
    <d v="2024-04-08T15:36:43"/>
    <d v="2024-04-08T15:39:47"/>
    <s v="mchirwa@lighthouse.org.mw"/>
    <s v="Margaret Chirwa"/>
    <x v="9"/>
    <s v="COE"/>
    <x v="1"/>
    <s v="COP_23"/>
    <s v="COP_23"/>
    <x v="2"/>
    <s v="Quarter2"/>
    <s v="Qtr_2"/>
    <s v="Mar"/>
    <d v="2024-03-01T00:00:00"/>
    <d v="2024-03-31T00:00:00"/>
    <x v="5"/>
    <n v="84"/>
    <n v="2"/>
    <n v="49"/>
    <n v="2"/>
    <n v="0"/>
    <n v="0"/>
    <n v="45"/>
    <n v="9"/>
    <n v="24"/>
    <n v="0"/>
    <n v="24"/>
    <n v="0"/>
    <n v="24"/>
    <n v="0"/>
    <n v="0"/>
    <n v="0"/>
    <n v="0"/>
    <n v="0"/>
    <n v="3"/>
    <n v="0"/>
    <n v="0"/>
    <n v="0"/>
    <n v="0"/>
    <n v="0"/>
    <n v="1"/>
    <m/>
  </r>
  <r>
    <n v="227"/>
    <d v="2024-04-08T15:48:31"/>
    <d v="2024-04-08T15:54:08"/>
    <s v="mchirwa@lighthouse.org.mw"/>
    <s v="Margaret Chirwa"/>
    <x v="9"/>
    <s v="COE"/>
    <x v="1"/>
    <s v="COP_23"/>
    <s v="COP_23"/>
    <x v="2"/>
    <s v="Quarter2"/>
    <s v="Qtr_2"/>
    <s v="Mar"/>
    <d v="2024-03-01T00:00:00"/>
    <d v="2024-03-31T00:00:00"/>
    <x v="0"/>
    <n v="219"/>
    <n v="19"/>
    <n v="161"/>
    <n v="18"/>
    <n v="34"/>
    <n v="9"/>
    <n v="210"/>
    <n v="57"/>
    <n v="92"/>
    <n v="0"/>
    <n v="2"/>
    <n v="0"/>
    <n v="91"/>
    <n v="3"/>
    <n v="2"/>
    <n v="0"/>
    <n v="18"/>
    <n v="9"/>
    <n v="41"/>
    <n v="6"/>
    <n v="5"/>
    <n v="0"/>
    <n v="0"/>
    <n v="2"/>
    <n v="23"/>
    <m/>
  </r>
  <r>
    <n v="291"/>
    <d v="2024-04-24T10:43:45"/>
    <d v="2024-04-24T10:44:33"/>
    <s v="mchirwa@lighthouse.org.mw"/>
    <s v="Margaret Chirwa"/>
    <x v="9"/>
    <s v="COE"/>
    <x v="1"/>
    <s v="COP_23"/>
    <s v="COP_23"/>
    <x v="2"/>
    <s v="Quarter2"/>
    <s v="Qtr_2"/>
    <s v="Feb"/>
    <d v="2024-02-01T00:00:00"/>
    <d v="2024-02-29T00:00:00"/>
    <x v="3"/>
    <n v="3"/>
    <n v="0"/>
    <n v="3"/>
    <n v="0"/>
    <n v="0"/>
    <n v="0"/>
    <n v="0"/>
    <n v="0"/>
    <n v="0"/>
    <n v="0"/>
    <n v="0"/>
    <n v="0"/>
    <n v="0"/>
    <n v="0"/>
    <n v="0"/>
    <n v="0"/>
    <n v="0"/>
    <n v="0"/>
    <n v="0"/>
    <n v="0"/>
    <n v="0"/>
    <n v="0"/>
    <n v="0"/>
    <n v="0"/>
    <n v="0"/>
    <m/>
  </r>
  <r>
    <n v="292"/>
    <d v="2024-04-24T10:44:38"/>
    <d v="2024-04-24T10:46:22"/>
    <s v="mchirwa@lighthouse.org.mw"/>
    <s v="Margaret Chirwa"/>
    <x v="9"/>
    <s v="COE"/>
    <x v="1"/>
    <s v="COP_23"/>
    <s v="COP_23"/>
    <x v="2"/>
    <s v="Quarter2"/>
    <s v="Qtr_2"/>
    <s v="Feb"/>
    <d v="2024-02-01T00:00:00"/>
    <d v="2024-02-29T00:00:00"/>
    <x v="4"/>
    <n v="4"/>
    <n v="2"/>
    <n v="2"/>
    <n v="0"/>
    <n v="2"/>
    <n v="0"/>
    <n v="4"/>
    <n v="0"/>
    <n v="4"/>
    <n v="0"/>
    <n v="0"/>
    <n v="0"/>
    <n v="4"/>
    <n v="0"/>
    <n v="0"/>
    <n v="0"/>
    <n v="0"/>
    <n v="0"/>
    <n v="0"/>
    <n v="0"/>
    <n v="0"/>
    <n v="0"/>
    <n v="0"/>
    <n v="0"/>
    <n v="0"/>
    <m/>
  </r>
  <r>
    <n v="293"/>
    <d v="2024-04-24T10:46:26"/>
    <d v="2024-04-24T10:48:08"/>
    <s v="mchirwa@lighthouse.org.mw"/>
    <s v="Margaret Chirwa"/>
    <x v="9"/>
    <s v="COE"/>
    <x v="1"/>
    <s v="COP_23"/>
    <s v="COP_23"/>
    <x v="2"/>
    <s v="Quarter2"/>
    <s v="Qtr_2"/>
    <s v="Feb"/>
    <d v="2024-02-01T00:00:00"/>
    <d v="2024-02-29T00:00:00"/>
    <x v="0"/>
    <n v="213"/>
    <n v="30"/>
    <n v="145"/>
    <n v="31"/>
    <n v="20"/>
    <n v="16"/>
    <n v="209"/>
    <n v="57"/>
    <n v="103"/>
    <n v="5"/>
    <n v="4"/>
    <n v="0"/>
    <n v="102"/>
    <n v="12"/>
    <n v="0"/>
    <n v="0"/>
    <n v="13"/>
    <n v="2"/>
    <n v="39"/>
    <n v="4"/>
    <n v="16"/>
    <n v="2"/>
    <n v="2"/>
    <n v="0"/>
    <n v="14"/>
    <m/>
  </r>
  <r>
    <n v="298"/>
    <d v="2024-04-24T11:10:10"/>
    <d v="2024-04-24T11:13:30"/>
    <s v="mchirwa@lighthouse.org.mw"/>
    <s v="Margaret Chirwa"/>
    <x v="9"/>
    <s v="COE"/>
    <x v="1"/>
    <s v="COP_23"/>
    <s v="COP_23"/>
    <x v="2"/>
    <s v="Quarter2"/>
    <s v="Qtr_2"/>
    <s v="Jan"/>
    <d v="2024-01-01T00:00:00"/>
    <d v="2024-01-31T00:00:00"/>
    <x v="3"/>
    <n v="14"/>
    <n v="1"/>
    <n v="13"/>
    <n v="0"/>
    <n v="1"/>
    <n v="0"/>
    <n v="2"/>
    <n v="0"/>
    <n v="13"/>
    <n v="0"/>
    <n v="0"/>
    <n v="0"/>
    <n v="13"/>
    <n v="2"/>
    <n v="0"/>
    <n v="0"/>
    <n v="0"/>
    <n v="0"/>
    <n v="0"/>
    <n v="0"/>
    <n v="0"/>
    <n v="0"/>
    <n v="0"/>
    <n v="0"/>
    <n v="2"/>
    <m/>
  </r>
  <r>
    <n v="299"/>
    <d v="2024-04-24T11:21:47"/>
    <d v="2024-04-24T11:27:54"/>
    <s v="mchirwa@lighthouse.org.mw"/>
    <s v="Margaret Chirwa"/>
    <x v="9"/>
    <s v="COE"/>
    <x v="1"/>
    <s v="COP_23"/>
    <s v="COP_23"/>
    <x v="2"/>
    <s v="Quarter2"/>
    <s v="Qtr_2"/>
    <s v="Jan"/>
    <d v="2024-01-01T00:00:00"/>
    <d v="2024-01-31T00:00:00"/>
    <x v="4"/>
    <n v="15"/>
    <n v="0"/>
    <n v="15"/>
    <n v="0"/>
    <n v="0"/>
    <n v="0"/>
    <n v="13"/>
    <n v="0"/>
    <n v="13"/>
    <n v="0"/>
    <n v="0"/>
    <n v="0"/>
    <n v="13"/>
    <n v="0"/>
    <n v="0"/>
    <n v="0"/>
    <n v="0"/>
    <n v="0"/>
    <n v="0"/>
    <n v="0"/>
    <n v="0"/>
    <n v="0"/>
    <n v="0"/>
    <n v="0"/>
    <n v="1"/>
    <m/>
  </r>
  <r>
    <n v="300"/>
    <d v="2024-04-24T11:27:58"/>
    <d v="2024-04-24T11:30:58"/>
    <s v="mchirwa@lighthouse.org.mw"/>
    <s v="Margaret Chirwa"/>
    <x v="9"/>
    <s v="COE"/>
    <x v="1"/>
    <s v="COP_23"/>
    <s v="COP_23"/>
    <x v="2"/>
    <s v="Quarter2"/>
    <s v="Qtr_2"/>
    <s v="Jan"/>
    <d v="2024-01-01T00:00:00"/>
    <d v="2024-01-31T00:00:00"/>
    <x v="5"/>
    <n v="47"/>
    <n v="5"/>
    <n v="27"/>
    <n v="3"/>
    <n v="5"/>
    <n v="4"/>
    <n v="35"/>
    <n v="10"/>
    <n v="32"/>
    <n v="0"/>
    <n v="0"/>
    <n v="0"/>
    <n v="32"/>
    <n v="2"/>
    <n v="1"/>
    <n v="0"/>
    <n v="2"/>
    <n v="1"/>
    <n v="4"/>
    <n v="0"/>
    <n v="3"/>
    <n v="0"/>
    <n v="0"/>
    <n v="1"/>
    <n v="5"/>
    <m/>
  </r>
  <r>
    <n v="303"/>
    <d v="2024-04-24T13:32:52"/>
    <d v="2024-04-24T13:35:28"/>
    <s v="mchirwa@lighthouse.org.mw"/>
    <s v="Margaret Chirwa"/>
    <x v="9"/>
    <s v="COE"/>
    <x v="1"/>
    <s v="COP_23"/>
    <s v="COP_23"/>
    <x v="2"/>
    <s v="Quarter2"/>
    <s v="Qtr_2"/>
    <s v="Jan"/>
    <d v="2024-01-01T00:00:00"/>
    <d v="2024-01-31T00:00:00"/>
    <x v="0"/>
    <n v="242"/>
    <n v="49"/>
    <n v="162"/>
    <n v="26"/>
    <n v="34"/>
    <n v="20"/>
    <n v="218"/>
    <n v="65"/>
    <n v="132"/>
    <n v="1"/>
    <n v="3"/>
    <n v="1"/>
    <n v="128"/>
    <n v="15"/>
    <n v="5"/>
    <n v="0"/>
    <n v="12"/>
    <n v="8"/>
    <n v="37"/>
    <n v="6"/>
    <n v="17"/>
    <n v="3"/>
    <n v="0"/>
    <n v="3"/>
    <n v="25"/>
    <m/>
  </r>
  <r>
    <n v="349"/>
    <d v="2024-04-30T15:32:29"/>
    <d v="2024-04-30T15:35:14"/>
    <s v="mchirwa@lighthouse.org.mw"/>
    <s v="Margaret Chirwa"/>
    <x v="9"/>
    <s v="COE"/>
    <x v="1"/>
    <s v="COP_23"/>
    <s v="COP_23"/>
    <x v="2"/>
    <s v="Quarter2"/>
    <s v="Qtr_2"/>
    <s v="Feb"/>
    <d v="2024-02-01T00:00:00"/>
    <d v="2024-02-29T00:00:00"/>
    <x v="5"/>
    <n v="38"/>
    <n v="0"/>
    <n v="22"/>
    <n v="1"/>
    <n v="0"/>
    <n v="0"/>
    <n v="23"/>
    <n v="4"/>
    <n v="22"/>
    <n v="0"/>
    <n v="0"/>
    <n v="0"/>
    <n v="22"/>
    <n v="1"/>
    <n v="0"/>
    <n v="0"/>
    <n v="2"/>
    <n v="0"/>
    <n v="4"/>
    <n v="0"/>
    <n v="1"/>
    <n v="0"/>
    <n v="0"/>
    <n v="0"/>
    <n v="0"/>
    <m/>
  </r>
  <r>
    <n v="622"/>
    <d v="2024-07-16T09:06:14"/>
    <d v="2024-07-16T13:44:13"/>
    <s v="jmakoza@lighthouse.org.mw"/>
    <s v="Jonathan Makoza"/>
    <x v="9"/>
    <s v="COE"/>
    <x v="1"/>
    <s v="COP_23"/>
    <s v="COP_23"/>
    <x v="3"/>
    <s v="Quarter3"/>
    <s v="Qtr_3"/>
    <s v="Apr"/>
    <d v="2024-04-01T00:00:00"/>
    <d v="2024-04-30T00:00:00"/>
    <x v="3"/>
    <n v="4"/>
    <n v="1"/>
    <n v="2"/>
    <n v="0"/>
    <n v="1"/>
    <n v="1"/>
    <n v="1"/>
    <n v="0"/>
    <n v="1"/>
    <n v="0"/>
    <n v="0"/>
    <n v="0"/>
    <n v="2"/>
    <n v="0"/>
    <n v="0"/>
    <n v="0"/>
    <n v="0"/>
    <n v="0"/>
    <n v="0"/>
    <n v="0"/>
    <n v="0"/>
    <n v="0"/>
    <n v="0"/>
    <n v="0"/>
    <n v="1"/>
    <m/>
  </r>
  <r>
    <n v="624"/>
    <d v="2024-07-16T13:48:56"/>
    <d v="2024-07-16T13:53:32"/>
    <s v="jmakoza@lighthouse.org.mw"/>
    <s v="Jonathan Makoza"/>
    <x v="9"/>
    <s v="COE"/>
    <x v="1"/>
    <s v="COP_23"/>
    <s v="COP_23"/>
    <x v="3"/>
    <s v="Quarter3"/>
    <s v="Qtr_3"/>
    <s v="Apr"/>
    <d v="2024-04-01T00:00:00"/>
    <d v="2024-04-30T00:00:00"/>
    <x v="4"/>
    <n v="13"/>
    <n v="1"/>
    <n v="3"/>
    <n v="0"/>
    <n v="1"/>
    <n v="0"/>
    <n v="4"/>
    <n v="2"/>
    <n v="3"/>
    <n v="0"/>
    <n v="0"/>
    <n v="0"/>
    <n v="0"/>
    <n v="3"/>
    <n v="0"/>
    <n v="0"/>
    <n v="0"/>
    <n v="0"/>
    <n v="0"/>
    <n v="0"/>
    <n v="0"/>
    <n v="0"/>
    <n v="0"/>
    <n v="0"/>
    <n v="1"/>
    <m/>
  </r>
  <r>
    <n v="625"/>
    <d v="2024-07-16T13:53:59"/>
    <d v="2024-07-16T13:58:55"/>
    <s v="jmakoza@lighthouse.org.mw"/>
    <s v="Jonathan Makoza"/>
    <x v="9"/>
    <s v="COE"/>
    <x v="1"/>
    <s v="COP_23"/>
    <s v="COP_23"/>
    <x v="3"/>
    <s v="Quarter3"/>
    <s v="Qtr_3"/>
    <s v="Apr"/>
    <d v="2024-04-01T00:00:00"/>
    <d v="2024-04-30T00:00:00"/>
    <x v="5"/>
    <n v="52"/>
    <n v="3"/>
    <n v="23"/>
    <n v="0"/>
    <n v="4"/>
    <n v="1"/>
    <n v="28"/>
    <n v="7"/>
    <n v="8"/>
    <n v="1"/>
    <n v="1"/>
    <n v="1"/>
    <n v="8"/>
    <n v="0"/>
    <n v="1"/>
    <n v="0"/>
    <n v="1"/>
    <n v="1"/>
    <n v="1"/>
    <n v="0"/>
    <n v="1"/>
    <n v="1"/>
    <n v="0"/>
    <n v="0"/>
    <n v="1"/>
    <m/>
  </r>
  <r>
    <n v="627"/>
    <d v="2024-07-16T14:18:02"/>
    <d v="2024-07-16T14:21:34"/>
    <s v="jmakoza@lighthouse.org.mw"/>
    <s v="Jonathan Makoza"/>
    <x v="9"/>
    <s v="COE"/>
    <x v="1"/>
    <s v="COP_23"/>
    <s v="COP_23"/>
    <x v="3"/>
    <s v="Quarter3"/>
    <s v="Qtr_3"/>
    <s v="Apr"/>
    <d v="2024-04-01T00:00:00"/>
    <d v="2024-04-30T00:00:00"/>
    <x v="0"/>
    <n v="163"/>
    <n v="26"/>
    <n v="118"/>
    <n v="7"/>
    <n v="31"/>
    <n v="7"/>
    <n v="151"/>
    <n v="58"/>
    <n v="55"/>
    <n v="3"/>
    <n v="4"/>
    <n v="2"/>
    <n v="55"/>
    <n v="3"/>
    <n v="6"/>
    <n v="2"/>
    <n v="8"/>
    <n v="4"/>
    <n v="22"/>
    <n v="0"/>
    <n v="10"/>
    <n v="4"/>
    <n v="0"/>
    <n v="0"/>
    <n v="18"/>
    <m/>
  </r>
  <r>
    <n v="630"/>
    <d v="2024-07-16T14:56:46"/>
    <d v="2024-07-16T15:01:37"/>
    <s v="jmakoza@lighthouse.org.mw"/>
    <s v="Jonathan Makoza"/>
    <x v="9"/>
    <s v="COE"/>
    <x v="1"/>
    <s v="COP_23"/>
    <s v="COP_23"/>
    <x v="3"/>
    <s v="Quarter3"/>
    <s v="Qtr_3"/>
    <s v="May"/>
    <d v="2024-05-01T00:00:00"/>
    <d v="2024-05-31T00:00:00"/>
    <x v="4"/>
    <n v="5"/>
    <n v="0"/>
    <n v="2"/>
    <n v="1"/>
    <n v="0"/>
    <n v="0"/>
    <n v="3"/>
    <n v="1"/>
    <n v="3"/>
    <n v="0"/>
    <n v="0"/>
    <n v="0"/>
    <n v="3"/>
    <n v="0"/>
    <n v="0"/>
    <n v="0"/>
    <n v="0"/>
    <n v="0"/>
    <n v="0"/>
    <n v="0"/>
    <n v="0"/>
    <n v="0"/>
    <n v="0"/>
    <n v="0"/>
    <n v="0"/>
    <m/>
  </r>
  <r>
    <n v="631"/>
    <d v="2024-07-16T15:01:45"/>
    <d v="2024-07-16T15:04:05"/>
    <s v="jmakoza@lighthouse.org.mw"/>
    <s v="Jonathan Makoza"/>
    <x v="9"/>
    <s v="COE"/>
    <x v="1"/>
    <s v="COP_23"/>
    <s v="COP_23"/>
    <x v="3"/>
    <s v="Quarter3"/>
    <s v="Qtr_3"/>
    <s v="May"/>
    <d v="2024-05-01T00:00:00"/>
    <d v="2024-05-31T00:00:00"/>
    <x v="5"/>
    <n v="21"/>
    <n v="0"/>
    <n v="17"/>
    <n v="1"/>
    <n v="0"/>
    <n v="0"/>
    <n v="17"/>
    <n v="3"/>
    <n v="4"/>
    <n v="0"/>
    <n v="0"/>
    <n v="0"/>
    <n v="2"/>
    <n v="0"/>
    <n v="0"/>
    <n v="0"/>
    <n v="0"/>
    <n v="0"/>
    <n v="2"/>
    <n v="0"/>
    <n v="0"/>
    <n v="0"/>
    <n v="0"/>
    <n v="0"/>
    <n v="0"/>
    <m/>
  </r>
  <r>
    <n v="633"/>
    <d v="2024-07-16T15:13:58"/>
    <d v="2024-07-16T15:18:51"/>
    <s v="jmakoza@lighthouse.org.mw"/>
    <s v="Jonathan Makoza"/>
    <x v="9"/>
    <s v="COE"/>
    <x v="1"/>
    <s v="COP_23"/>
    <s v="COP_23"/>
    <x v="3"/>
    <s v="Quarter3"/>
    <s v="Qtr_3"/>
    <s v="May"/>
    <d v="2024-05-01T00:00:00"/>
    <d v="2024-05-31T00:00:00"/>
    <x v="0"/>
    <n v="138"/>
    <n v="23"/>
    <n v="96"/>
    <n v="9"/>
    <n v="28"/>
    <n v="4"/>
    <n v="133"/>
    <n v="40"/>
    <n v="49"/>
    <n v="0"/>
    <n v="0"/>
    <n v="0"/>
    <n v="7"/>
    <n v="0"/>
    <n v="2"/>
    <n v="1"/>
    <n v="3"/>
    <n v="0"/>
    <n v="37"/>
    <n v="2"/>
    <n v="4"/>
    <n v="0"/>
    <n v="0"/>
    <n v="2"/>
    <n v="11"/>
    <m/>
  </r>
  <r>
    <n v="635"/>
    <d v="2024-07-16T15:27:48"/>
    <d v="2024-07-16T15:32:51"/>
    <s v="jmakoza@lighthouse.org.mw"/>
    <s v="Jonathan Makoza"/>
    <x v="9"/>
    <s v="COE"/>
    <x v="1"/>
    <s v="COP_23"/>
    <s v="COP_23"/>
    <x v="3"/>
    <s v="Quarter3"/>
    <s v="Qtr_3"/>
    <s v="May"/>
    <d v="2024-06-01T00:00:00"/>
    <d v="2024-06-30T00:00:00"/>
    <x v="3"/>
    <n v="7"/>
    <n v="0"/>
    <n v="5"/>
    <n v="2"/>
    <n v="0"/>
    <n v="0"/>
    <n v="0"/>
    <n v="0"/>
    <n v="5"/>
    <n v="0"/>
    <n v="0"/>
    <n v="0"/>
    <n v="0"/>
    <n v="0"/>
    <n v="0"/>
    <n v="0"/>
    <n v="0"/>
    <n v="0"/>
    <n v="3"/>
    <n v="0"/>
    <n v="0"/>
    <n v="0"/>
    <n v="0"/>
    <n v="0"/>
    <n v="0"/>
    <m/>
  </r>
  <r>
    <n v="636"/>
    <d v="2024-07-16T15:33:04"/>
    <d v="2024-07-16T15:41:30"/>
    <s v="jmakoza@lighthouse.org.mw"/>
    <s v="Jonathan Makoza"/>
    <x v="9"/>
    <s v="COE"/>
    <x v="1"/>
    <s v="COP_23"/>
    <s v="COP_23"/>
    <x v="3"/>
    <s v="Quarter3"/>
    <s v="Qtr_3"/>
    <s v="Jun"/>
    <d v="2024-06-01T00:00:00"/>
    <d v="2024-06-30T00:00:00"/>
    <x v="4"/>
    <n v="12"/>
    <n v="0"/>
    <n v="12"/>
    <n v="0"/>
    <n v="0"/>
    <n v="0"/>
    <n v="9"/>
    <n v="1"/>
    <n v="0"/>
    <n v="0"/>
    <n v="0"/>
    <n v="0"/>
    <n v="0"/>
    <n v="2"/>
    <n v="0"/>
    <n v="0"/>
    <n v="0"/>
    <n v="0"/>
    <n v="0"/>
    <n v="11"/>
    <n v="0"/>
    <n v="0"/>
    <n v="0"/>
    <n v="0"/>
    <n v="0"/>
    <m/>
  </r>
  <r>
    <n v="637"/>
    <d v="2024-07-16T15:42:09"/>
    <d v="2024-07-16T15:44:02"/>
    <s v="jmakoza@lighthouse.org.mw"/>
    <s v="Jonathan Makoza"/>
    <x v="9"/>
    <s v="COE"/>
    <x v="1"/>
    <s v="COP_23"/>
    <s v="COP_23"/>
    <x v="3"/>
    <s v="Quarter3"/>
    <s v="Qtr_3"/>
    <s v="Jun"/>
    <d v="2024-06-01T00:00:00"/>
    <d v="2024-06-30T00:00:00"/>
    <x v="5"/>
    <n v="22"/>
    <n v="0"/>
    <n v="21"/>
    <n v="1"/>
    <n v="0"/>
    <n v="0"/>
    <n v="16"/>
    <n v="2"/>
    <n v="5"/>
    <n v="0"/>
    <n v="0"/>
    <n v="0"/>
    <n v="2"/>
    <n v="0"/>
    <n v="0"/>
    <n v="0"/>
    <n v="0"/>
    <n v="0"/>
    <n v="14"/>
    <n v="0"/>
    <n v="0"/>
    <n v="0"/>
    <n v="0"/>
    <n v="0"/>
    <n v="0"/>
    <m/>
  </r>
  <r>
    <n v="639"/>
    <d v="2024-07-16T15:53:51"/>
    <d v="2024-07-16T15:55:23"/>
    <s v="jmakoza@lighthouse.org.mw"/>
    <s v="Jonathan Makoza"/>
    <x v="9"/>
    <s v="COE"/>
    <x v="1"/>
    <s v="COP_23"/>
    <s v="COP_23"/>
    <x v="3"/>
    <s v="Quarter3"/>
    <s v="Qtr_3"/>
    <s v="Jun"/>
    <d v="2024-06-01T00:00:00"/>
    <d v="2024-06-30T00:00:00"/>
    <x v="0"/>
    <n v="92"/>
    <n v="8"/>
    <n v="67"/>
    <n v="8"/>
    <n v="14"/>
    <n v="3"/>
    <n v="81"/>
    <n v="28"/>
    <n v="35"/>
    <n v="0"/>
    <n v="0"/>
    <n v="0"/>
    <n v="2"/>
    <n v="2"/>
    <n v="1"/>
    <n v="0"/>
    <n v="0"/>
    <n v="0"/>
    <n v="23"/>
    <n v="1"/>
    <n v="0"/>
    <n v="0"/>
    <n v="0"/>
    <n v="0"/>
    <n v="5"/>
    <m/>
  </r>
  <r>
    <n v="99"/>
    <d v="2024-01-18T14:35:08"/>
    <d v="2024-01-18T15:30:58"/>
    <s v="mmsiska@lighthouse.org.mw"/>
    <s v="Michael Msiska"/>
    <x v="9"/>
    <s v="COE"/>
    <x v="0"/>
    <s v="COP_23"/>
    <s v="COP_23"/>
    <x v="0"/>
    <s v="Quarter1"/>
    <s v="Qtr_1"/>
    <s v="Dec"/>
    <d v="2023-12-01T00:00:00"/>
    <d v="2023-12-31T00:00:00"/>
    <x v="1"/>
    <n v="42"/>
    <n v="3"/>
    <n v="20"/>
    <n v="13"/>
    <n v="1"/>
    <n v="8"/>
    <n v="39"/>
    <n v="22"/>
    <n v="19"/>
    <n v="0"/>
    <n v="0"/>
    <n v="0"/>
    <n v="19"/>
    <n v="6"/>
    <n v="1"/>
    <n v="0"/>
    <n v="5"/>
    <n v="1"/>
    <n v="14"/>
    <n v="2"/>
    <n v="8"/>
    <n v="0"/>
    <n v="0"/>
    <n v="1"/>
    <n v="4"/>
    <m/>
  </r>
  <r>
    <n v="102"/>
    <d v="2024-01-19T08:57:34"/>
    <d v="2024-01-19T09:41:25"/>
    <s v="mmsiska@lighthouse.org.mw"/>
    <s v="Michael Msiska"/>
    <x v="9"/>
    <s v="COE"/>
    <x v="0"/>
    <s v="COP_24"/>
    <s v="COP_23"/>
    <x v="0"/>
    <s v="Quarter1"/>
    <s v="Qtr_1"/>
    <s v="Oct"/>
    <d v="2023-10-01T00:00:00"/>
    <d v="2023-10-31T00:00:00"/>
    <x v="1"/>
    <n v="31"/>
    <n v="8"/>
    <n v="16"/>
    <n v="4"/>
    <n v="5"/>
    <n v="6"/>
    <n v="31"/>
    <n v="22"/>
    <n v="24"/>
    <n v="0"/>
    <n v="0"/>
    <n v="0"/>
    <n v="25"/>
    <n v="6"/>
    <n v="3"/>
    <n v="0"/>
    <n v="6"/>
    <n v="4"/>
    <n v="18"/>
    <n v="3"/>
    <n v="8"/>
    <n v="0"/>
    <n v="0"/>
    <n v="1"/>
    <n v="6"/>
    <m/>
  </r>
  <r>
    <n v="105"/>
    <d v="2024-01-19T09:46:19"/>
    <d v="2024-01-19T09:48:49"/>
    <s v="mmsiska@lighthouse.org.mw"/>
    <s v="Michael Msiska"/>
    <x v="9"/>
    <s v="COE"/>
    <x v="0"/>
    <s v="COP_23"/>
    <s v="COP_23"/>
    <x v="0"/>
    <s v="Quarter1"/>
    <s v="Qtr_1"/>
    <s v="Nov"/>
    <d v="2023-11-01T00:00:00"/>
    <d v="2023-11-30T00:00:00"/>
    <x v="1"/>
    <n v="36"/>
    <n v="11"/>
    <n v="14"/>
    <n v="9"/>
    <n v="4"/>
    <n v="9"/>
    <n v="36"/>
    <n v="22"/>
    <n v="23"/>
    <n v="0"/>
    <n v="0"/>
    <n v="0"/>
    <n v="23"/>
    <n v="4"/>
    <n v="4"/>
    <n v="1"/>
    <n v="7"/>
    <n v="3"/>
    <n v="17"/>
    <n v="2"/>
    <n v="7"/>
    <n v="0"/>
    <n v="0"/>
    <n v="2"/>
    <n v="8"/>
    <m/>
  </r>
  <r>
    <n v="169"/>
    <d v="2024-03-11T14:26:42"/>
    <d v="2024-03-11T14:31:25"/>
    <s v="mchirwa@lighthouse.org.mw"/>
    <s v="Margaret Chirwa"/>
    <x v="9"/>
    <s v="COE"/>
    <x v="1"/>
    <s v="COP_23"/>
    <s v="COP_23"/>
    <x v="2"/>
    <s v="Quarter2"/>
    <s v="Qtr_2"/>
    <s v="Feb"/>
    <d v="2024-02-01T00:00:00"/>
    <d v="2024-02-29T00:00:00"/>
    <x v="1"/>
    <n v="155"/>
    <n v="16"/>
    <n v="84"/>
    <n v="27"/>
    <n v="9"/>
    <n v="11"/>
    <n v="131"/>
    <n v="39"/>
    <n v="39"/>
    <n v="3"/>
    <n v="3"/>
    <n v="0"/>
    <n v="39"/>
    <n v="9"/>
    <n v="0"/>
    <n v="0"/>
    <n v="4"/>
    <n v="1"/>
    <n v="24"/>
    <n v="2"/>
    <n v="9"/>
    <n v="1"/>
    <n v="2"/>
    <n v="0"/>
    <n v="5"/>
    <m/>
  </r>
  <r>
    <n v="222"/>
    <d v="2024-04-08T14:28:21"/>
    <d v="2024-04-08T14:41:43"/>
    <s v="mchirwa@lighthouse.org.mw"/>
    <s v="Margaret Chirwa"/>
    <x v="9"/>
    <s v="COE"/>
    <x v="1"/>
    <s v="COP_23"/>
    <s v="COP_23"/>
    <x v="2"/>
    <s v="Quarter2"/>
    <s v="Qtr_2"/>
    <s v="Mar"/>
    <d v="2024-03-01T00:00:00"/>
    <d v="2024-03-31T00:00:00"/>
    <x v="1"/>
    <n v="136"/>
    <n v="8"/>
    <n v="62"/>
    <n v="11"/>
    <n v="22"/>
    <n v="4"/>
    <n v="95"/>
    <n v="28"/>
    <n v="33"/>
    <n v="0"/>
    <n v="1"/>
    <n v="0"/>
    <n v="33"/>
    <n v="0"/>
    <n v="2"/>
    <n v="0"/>
    <n v="7"/>
    <n v="5"/>
    <n v="23"/>
    <n v="3"/>
    <n v="7"/>
    <n v="0"/>
    <n v="0"/>
    <n v="1"/>
    <n v="11"/>
    <m/>
  </r>
  <r>
    <n v="296"/>
    <d v="2024-04-24T10:50:41"/>
    <d v="2024-04-24T11:02:40"/>
    <s v="mchirwa@lighthouse.org.mw"/>
    <s v="Margaret Chirwa"/>
    <x v="9"/>
    <s v="COE"/>
    <x v="1"/>
    <s v="COP_24"/>
    <s v="COP_23"/>
    <x v="2"/>
    <s v="Quarter2"/>
    <s v="Qtr_2"/>
    <s v="Jan"/>
    <d v="2024-01-01T00:00:00"/>
    <d v="2024-01-31T00:00:00"/>
    <x v="1"/>
    <n v="144"/>
    <n v="32"/>
    <n v="89"/>
    <n v="22"/>
    <n v="21"/>
    <n v="12"/>
    <n v="143"/>
    <n v="49"/>
    <n v="57"/>
    <n v="1"/>
    <n v="2"/>
    <n v="1"/>
    <n v="52"/>
    <n v="6"/>
    <n v="3"/>
    <n v="0"/>
    <n v="6"/>
    <n v="3"/>
    <n v="30"/>
    <n v="5"/>
    <n v="9"/>
    <n v="1"/>
    <n v="0"/>
    <n v="2"/>
    <n v="13"/>
    <m/>
  </r>
  <r>
    <n v="623"/>
    <d v="2024-07-16T13:45:18"/>
    <d v="2024-07-16T13:48:49"/>
    <s v="jmakoza@lighthouse.org.mw"/>
    <s v="Jonathan Makoza"/>
    <x v="9"/>
    <s v="COE"/>
    <x v="1"/>
    <s v="COP_24"/>
    <s v="COP_23"/>
    <x v="3"/>
    <s v="Quarter3"/>
    <s v="Qtr_3"/>
    <s v="Apr"/>
    <d v="2024-04-01T00:00:00"/>
    <d v="2024-04-30T00:00:00"/>
    <x v="1"/>
    <n v="129"/>
    <n v="18"/>
    <n v="79"/>
    <n v="6"/>
    <n v="21"/>
    <n v="4"/>
    <n v="126"/>
    <n v="39"/>
    <n v="36"/>
    <n v="1"/>
    <n v="1"/>
    <n v="0"/>
    <n v="35"/>
    <n v="2"/>
    <n v="5"/>
    <n v="2"/>
    <n v="6"/>
    <n v="3"/>
    <n v="13"/>
    <n v="0"/>
    <n v="8"/>
    <n v="0"/>
    <n v="1"/>
    <n v="0"/>
    <n v="11"/>
    <m/>
  </r>
  <r>
    <n v="628"/>
    <d v="2024-07-16T14:34:21"/>
    <d v="2024-07-16T14:43:26"/>
    <s v="jmakoza@lighthouse.org.mw"/>
    <s v="Jonathan Makoza"/>
    <x v="9"/>
    <s v="COE"/>
    <x v="1"/>
    <s v="COP_24"/>
    <s v="COP_23"/>
    <x v="3"/>
    <s v="Quarter3"/>
    <s v="Qtr_3"/>
    <s v="May"/>
    <d v="2024-05-01T00:00:00"/>
    <d v="2024-05-30T00:00:00"/>
    <x v="1"/>
    <n v="134"/>
    <n v="21"/>
    <n v="67"/>
    <n v="8"/>
    <n v="26"/>
    <n v="5"/>
    <n v="130"/>
    <n v="34"/>
    <n v="43"/>
    <n v="0"/>
    <n v="0"/>
    <n v="0"/>
    <n v="4"/>
    <n v="0"/>
    <n v="2"/>
    <n v="1"/>
    <n v="1"/>
    <n v="0"/>
    <n v="32"/>
    <n v="2"/>
    <n v="4"/>
    <n v="0"/>
    <n v="0"/>
    <n v="2"/>
    <n v="8"/>
    <m/>
  </r>
  <r>
    <n v="634"/>
    <d v="2024-07-16T15:20:10"/>
    <d v="2024-07-16T15:27:35"/>
    <s v="jmakoza@lighthouse.org.mw"/>
    <s v="Jonathan Makoza"/>
    <x v="9"/>
    <s v="COE"/>
    <x v="1"/>
    <s v="COP_24"/>
    <s v="COP_23"/>
    <x v="3"/>
    <s v="Quarter3"/>
    <s v="Qtr_3"/>
    <s v="Jun"/>
    <d v="2024-06-01T00:00:00"/>
    <d v="2024-06-30T00:00:00"/>
    <x v="1"/>
    <n v="98"/>
    <n v="6"/>
    <n v="44"/>
    <n v="7"/>
    <n v="12"/>
    <n v="3"/>
    <n v="90"/>
    <n v="29"/>
    <n v="34"/>
    <n v="0"/>
    <n v="0"/>
    <n v="0"/>
    <n v="0"/>
    <n v="0"/>
    <n v="1"/>
    <n v="0"/>
    <n v="0"/>
    <n v="0"/>
    <n v="8"/>
    <n v="0"/>
    <n v="0"/>
    <n v="0"/>
    <n v="0"/>
    <n v="0"/>
    <n v="5"/>
    <m/>
  </r>
  <r>
    <n v="226"/>
    <d v="2024-04-08T15:42:48"/>
    <d v="2024-04-08T15:48:23"/>
    <s v="mchirwa@lighthouse.org.mw"/>
    <s v="Margaret Chirwa"/>
    <x v="9"/>
    <s v="COE"/>
    <x v="1"/>
    <s v="COP_24"/>
    <s v="COP_23"/>
    <x v="2"/>
    <s v="Quarter2"/>
    <s v="Qtr_2"/>
    <s v="Mar"/>
    <d v="2024-03-01T00:00:00"/>
    <d v="2024-03-31T00:00:00"/>
    <x v="2"/>
    <n v="49"/>
    <n v="4"/>
    <n v="37"/>
    <n v="3"/>
    <n v="5"/>
    <n v="4"/>
    <n v="49"/>
    <n v="15"/>
    <n v="25"/>
    <n v="0"/>
    <n v="0"/>
    <n v="0"/>
    <n v="25"/>
    <n v="1"/>
    <n v="2"/>
    <n v="0"/>
    <n v="7"/>
    <n v="1"/>
    <n v="12"/>
    <n v="2"/>
    <n v="4"/>
    <n v="0"/>
    <n v="0"/>
    <n v="0"/>
    <n v="3"/>
    <m/>
  </r>
  <r>
    <n v="302"/>
    <d v="2024-04-24T13:31:30"/>
    <d v="2024-04-24T13:32:38"/>
    <s v="mchirwa@lighthouse.org.mw"/>
    <s v="Margaret Chirwa"/>
    <x v="9"/>
    <s v="COE"/>
    <x v="1"/>
    <s v="COP_24"/>
    <s v="COP_23"/>
    <x v="2"/>
    <s v="Quarter2"/>
    <s v="Qtr_2"/>
    <s v="Jan"/>
    <d v="2024-01-01T00:00:00"/>
    <d v="2024-01-31T00:00:00"/>
    <x v="2"/>
    <n v="16"/>
    <n v="2"/>
    <n v="12"/>
    <n v="0"/>
    <n v="1"/>
    <n v="1"/>
    <n v="14"/>
    <n v="4"/>
    <n v="7"/>
    <n v="0"/>
    <n v="1"/>
    <n v="0"/>
    <n v="7"/>
    <n v="1"/>
    <n v="0"/>
    <n v="0"/>
    <n v="1"/>
    <n v="1"/>
    <n v="0"/>
    <n v="0"/>
    <n v="2"/>
    <n v="0"/>
    <n v="0"/>
    <n v="0"/>
    <n v="0"/>
    <m/>
  </r>
  <r>
    <n v="350"/>
    <d v="2024-04-30T15:35:16"/>
    <d v="2024-04-30T15:36:34"/>
    <s v="mchirwa@lighthouse.org.mw"/>
    <s v="Margaret Chirwa"/>
    <x v="9"/>
    <s v="COE"/>
    <x v="1"/>
    <s v="COP_24"/>
    <s v="COP_23"/>
    <x v="2"/>
    <s v="Quarter2"/>
    <s v="Qtr_2"/>
    <s v="Feb"/>
    <d v="2024-02-01T00:00:00"/>
    <d v="2024-02-29T00:00:00"/>
    <x v="2"/>
    <n v="36"/>
    <n v="6"/>
    <n v="20"/>
    <n v="2"/>
    <n v="4"/>
    <n v="3"/>
    <n v="29"/>
    <n v="7"/>
    <n v="24"/>
    <n v="2"/>
    <n v="1"/>
    <n v="0"/>
    <n v="24"/>
    <n v="2"/>
    <n v="0"/>
    <n v="0"/>
    <n v="4"/>
    <n v="0"/>
    <n v="7"/>
    <n v="0"/>
    <n v="2"/>
    <n v="1"/>
    <n v="0"/>
    <n v="0"/>
    <n v="5"/>
    <m/>
  </r>
  <r>
    <n v="626"/>
    <d v="2024-07-16T14:00:29"/>
    <d v="2024-07-16T14:12:25"/>
    <s v="jmakoza@lighthouse.org.mw"/>
    <s v="Jonathan Makoza"/>
    <x v="9"/>
    <s v="COE"/>
    <x v="1"/>
    <s v="COP_24"/>
    <s v="COP_23"/>
    <x v="3"/>
    <s v="Quarter3"/>
    <s v="Qtr_3"/>
    <s v="Apr"/>
    <d v="2024-04-01T00:00:00"/>
    <d v="2024-04-30T00:00:00"/>
    <x v="2"/>
    <n v="32"/>
    <n v="0"/>
    <n v="24"/>
    <n v="1"/>
    <n v="6"/>
    <n v="1"/>
    <n v="32"/>
    <n v="12"/>
    <n v="12"/>
    <n v="2"/>
    <n v="2"/>
    <n v="2"/>
    <n v="12"/>
    <n v="0"/>
    <n v="1"/>
    <n v="0"/>
    <n v="2"/>
    <n v="1"/>
    <n v="4"/>
    <n v="0"/>
    <n v="1"/>
    <n v="2"/>
    <n v="0"/>
    <n v="0"/>
    <n v="3"/>
    <m/>
  </r>
  <r>
    <n v="632"/>
    <d v="2024-07-16T15:05:08"/>
    <d v="2024-07-16T15:12:50"/>
    <s v="jmakoza@lighthouse.org.mw"/>
    <s v="Jonathan Makoza"/>
    <x v="9"/>
    <s v="COE"/>
    <x v="1"/>
    <s v="COP_24"/>
    <s v="COP_23"/>
    <x v="3"/>
    <s v="Quarter3"/>
    <s v="Qtr_3"/>
    <s v="May"/>
    <d v="2024-05-01T00:00:00"/>
    <d v="2024-05-31T00:00:00"/>
    <x v="2"/>
    <n v="53"/>
    <n v="2"/>
    <n v="12"/>
    <n v="0"/>
    <n v="2"/>
    <n v="0"/>
    <n v="13"/>
    <n v="2"/>
    <n v="2"/>
    <n v="0"/>
    <n v="0"/>
    <n v="0"/>
    <n v="1"/>
    <n v="0"/>
    <n v="0"/>
    <n v="0"/>
    <n v="2"/>
    <n v="0"/>
    <n v="2"/>
    <n v="0"/>
    <n v="0"/>
    <n v="0"/>
    <n v="0"/>
    <n v="0"/>
    <n v="2"/>
    <m/>
  </r>
  <r>
    <n v="855"/>
    <d v="2024-10-02T14:39:46"/>
    <d v="2024-10-02T14:45:18"/>
    <s v="jmakoza@lighthouse.org.mw"/>
    <s v="Jonathan Makoza"/>
    <x v="9"/>
    <s v="COE"/>
    <x v="1"/>
    <s v="COP_22"/>
    <s v="COP_23"/>
    <x v="1"/>
    <s v="Quarter4"/>
    <s v="Qtr_4"/>
    <s v="Jul"/>
    <d v="2024-07-01T00:00:00"/>
    <d v="2024-07-31T00:00:00"/>
    <x v="1"/>
    <n v="99"/>
    <n v="14"/>
    <n v="69"/>
    <n v="7"/>
    <n v="17"/>
    <n v="6"/>
    <n v="92"/>
    <n v="27"/>
    <n v="33"/>
    <n v="0"/>
    <n v="0"/>
    <n v="0"/>
    <n v="0"/>
    <n v="0"/>
    <n v="0"/>
    <n v="0"/>
    <n v="11"/>
    <n v="4"/>
    <n v="3"/>
    <n v="14"/>
    <n v="6"/>
    <n v="0"/>
    <n v="0"/>
    <n v="0"/>
    <n v="15"/>
    <m/>
  </r>
  <r>
    <n v="864"/>
    <d v="2024-10-02T15:21:07"/>
    <d v="2024-10-02T15:23:14"/>
    <s v="jmakoza@lighthouse.org.mw"/>
    <s v="Jonathan Makoza"/>
    <x v="9"/>
    <s v="COE"/>
    <x v="1"/>
    <s v="COP_22"/>
    <s v="COP_23"/>
    <x v="1"/>
    <s v="Quarter4"/>
    <s v="Qtr_4"/>
    <s v="Aug"/>
    <d v="2024-08-01T00:00:00"/>
    <d v="2024-08-31T00:00:00"/>
    <x v="1"/>
    <n v="123"/>
    <n v="2"/>
    <n v="76"/>
    <n v="7"/>
    <n v="19"/>
    <n v="8"/>
    <n v="106"/>
    <n v="28"/>
    <n v="30"/>
    <n v="0"/>
    <n v="0"/>
    <n v="0"/>
    <n v="3"/>
    <n v="2"/>
    <n v="0"/>
    <n v="0"/>
    <n v="3"/>
    <n v="2"/>
    <n v="4"/>
    <n v="0"/>
    <n v="9"/>
    <n v="0"/>
    <n v="0"/>
    <n v="0"/>
    <n v="15"/>
    <m/>
  </r>
  <r>
    <n v="955"/>
    <d v="2024-10-17T15:18:49"/>
    <d v="2024-10-17T15:25:01"/>
    <s v="jmakoza@lighthouse.org.mw"/>
    <s v="Jonathan Makoza"/>
    <x v="9"/>
    <s v="COE"/>
    <x v="1"/>
    <s v="COP_22"/>
    <s v="COP_23"/>
    <x v="1"/>
    <s v="Quarter4"/>
    <s v="Qtr_4"/>
    <s v="Sep"/>
    <d v="2024-09-01T00:00:00"/>
    <d v="2024-09-30T00:00:00"/>
    <x v="1"/>
    <n v="93"/>
    <n v="10"/>
    <n v="61"/>
    <n v="5"/>
    <n v="18"/>
    <n v="11"/>
    <n v="92"/>
    <n v="29"/>
    <n v="25"/>
    <n v="1"/>
    <n v="3"/>
    <n v="0"/>
    <n v="25"/>
    <n v="2"/>
    <n v="3"/>
    <n v="1"/>
    <n v="8"/>
    <n v="4"/>
    <n v="18"/>
    <n v="1"/>
    <n v="4"/>
    <n v="0"/>
    <n v="0"/>
    <n v="0"/>
    <n v="3"/>
    <m/>
  </r>
  <r>
    <n v="638"/>
    <d v="2024-07-16T15:44:07"/>
    <d v="2024-07-16T15:46:07"/>
    <s v="jmakoza@lighthouse.org.mw"/>
    <s v="Jonathan Makoza"/>
    <x v="9"/>
    <s v="COE"/>
    <x v="1"/>
    <s v="COP_24"/>
    <s v="COP_23"/>
    <x v="3"/>
    <s v="Quarter3"/>
    <s v="Qtr_3"/>
    <s v="Jun"/>
    <d v="2024-06-01T00:00:00"/>
    <d v="2024-06-30T00:00:00"/>
    <x v="2"/>
    <n v="50"/>
    <n v="1"/>
    <n v="5"/>
    <n v="1"/>
    <n v="1"/>
    <n v="0"/>
    <n v="6"/>
    <n v="1"/>
    <n v="1"/>
    <n v="0"/>
    <n v="0"/>
    <n v="0"/>
    <n v="0"/>
    <n v="0"/>
    <n v="0"/>
    <n v="0"/>
    <n v="0"/>
    <n v="0"/>
    <n v="0"/>
    <n v="0"/>
    <n v="0"/>
    <n v="0"/>
    <n v="0"/>
    <n v="0"/>
    <n v="0"/>
    <m/>
  </r>
  <r>
    <n v="859"/>
    <d v="2024-10-02T15:03:23"/>
    <d v="2024-10-02T15:05:29"/>
    <s v="jmakoza@lighthouse.org.mw"/>
    <s v="Jonathan Makoza"/>
    <x v="9"/>
    <s v="COE"/>
    <x v="1"/>
    <s v="COP_22"/>
    <s v="COP_23"/>
    <x v="1"/>
    <s v="Quarter4"/>
    <s v="Qtr_4"/>
    <s v="Jul"/>
    <d v="2024-07-01T00:00:00"/>
    <d v="2024-07-31T00:00:00"/>
    <x v="2"/>
    <n v="11"/>
    <n v="1"/>
    <n v="9"/>
    <n v="0"/>
    <n v="2"/>
    <n v="0"/>
    <n v="11"/>
    <n v="1"/>
    <n v="0"/>
    <n v="0"/>
    <n v="0"/>
    <n v="0"/>
    <n v="0"/>
    <n v="0"/>
    <n v="0"/>
    <n v="0"/>
    <n v="0"/>
    <n v="0"/>
    <n v="0"/>
    <n v="0"/>
    <n v="0"/>
    <n v="0"/>
    <n v="0"/>
    <n v="0"/>
    <n v="0"/>
    <m/>
  </r>
  <r>
    <n v="770"/>
    <d v="2024-08-19T10:34:30"/>
    <d v="2024-08-19T10:38:22"/>
    <s v="mchirwa@lighthouse.org.mw"/>
    <s v="Margaret Chirwa"/>
    <x v="9"/>
    <s v="COE"/>
    <x v="1"/>
    <s v="COP_24"/>
    <s v="COP_23"/>
    <x v="3"/>
    <s v="Quarter3"/>
    <s v="Qtr_3"/>
    <s v="Jun"/>
    <d v="2024-06-01T00:00:00"/>
    <d v="2024-06-30T00:00:00"/>
    <x v="3"/>
    <n v="7"/>
    <n v="0"/>
    <n v="5"/>
    <n v="2"/>
    <n v="0"/>
    <n v="0"/>
    <n v="0"/>
    <n v="0"/>
    <n v="5"/>
    <n v="0"/>
    <n v="0"/>
    <n v="0"/>
    <n v="0"/>
    <n v="0"/>
    <n v="0"/>
    <n v="0"/>
    <n v="0"/>
    <n v="0"/>
    <n v="3"/>
    <n v="0"/>
    <n v="0"/>
    <n v="0"/>
    <n v="0"/>
    <n v="0"/>
    <n v="0"/>
    <m/>
  </r>
  <r>
    <n v="862"/>
    <d v="2024-10-02T15:13:40"/>
    <d v="2024-10-02T15:17:18"/>
    <s v="jmakoza@lighthouse.org.mw"/>
    <s v="Jonathan Makoza"/>
    <x v="9"/>
    <s v="COE"/>
    <x v="1"/>
    <s v="COP_22"/>
    <s v="COP_23"/>
    <x v="1"/>
    <s v="Quarter4"/>
    <s v="Qtr_4"/>
    <s v="Aug"/>
    <d v="2024-08-01T00:00:00"/>
    <d v="2024-08-31T00:00:00"/>
    <x v="2"/>
    <n v="37"/>
    <n v="0"/>
    <n v="10"/>
    <n v="2"/>
    <n v="0"/>
    <n v="0"/>
    <n v="12"/>
    <n v="1"/>
    <n v="1"/>
    <n v="0"/>
    <n v="0"/>
    <n v="0"/>
    <n v="0"/>
    <n v="0"/>
    <n v="0"/>
    <n v="0"/>
    <n v="0"/>
    <n v="0"/>
    <n v="0"/>
    <n v="0"/>
    <n v="0"/>
    <n v="0"/>
    <n v="0"/>
    <n v="0"/>
    <n v="0"/>
    <m/>
  </r>
  <r>
    <n v="951"/>
    <d v="2024-10-17T15:05:30"/>
    <d v="2024-10-17T15:11:33"/>
    <s v="jmakoza@lighthouse.org.mw"/>
    <s v="Jonathan Makoza"/>
    <x v="9"/>
    <s v="COE"/>
    <x v="1"/>
    <s v="COP_22"/>
    <s v="COP_23"/>
    <x v="1"/>
    <s v="Quarter4"/>
    <s v="Qtr_4"/>
    <s v="Sep"/>
    <d v="2024-09-01T00:00:00"/>
    <d v="2024-09-30T00:00:00"/>
    <x v="2"/>
    <n v="40"/>
    <n v="0"/>
    <n v="8"/>
    <n v="1"/>
    <n v="3"/>
    <n v="1"/>
    <n v="13"/>
    <n v="5"/>
    <n v="6"/>
    <n v="0"/>
    <n v="0"/>
    <n v="0"/>
    <n v="6"/>
    <n v="0"/>
    <n v="0"/>
    <n v="0"/>
    <n v="3"/>
    <n v="1"/>
    <n v="4"/>
    <n v="0"/>
    <n v="1"/>
    <n v="0"/>
    <n v="0"/>
    <n v="0"/>
    <n v="1"/>
    <m/>
  </r>
  <r>
    <n v="856"/>
    <d v="2024-10-02T14:47:06"/>
    <d v="2024-10-02T14:50:48"/>
    <s v="jmakoza@lighthouse.org.mw"/>
    <s v="Jonathan Makoza"/>
    <x v="9"/>
    <s v="COE"/>
    <x v="1"/>
    <s v="COP_22"/>
    <s v="COP_23"/>
    <x v="1"/>
    <s v="Quarter4"/>
    <s v="Qtr_4"/>
    <s v="Jul"/>
    <d v="2024-07-01T00:00:00"/>
    <d v="2024-07-31T00:00:00"/>
    <x v="3"/>
    <n v="6"/>
    <n v="1"/>
    <n v="4"/>
    <n v="0"/>
    <n v="2"/>
    <n v="0"/>
    <n v="0"/>
    <n v="0"/>
    <n v="5"/>
    <n v="0"/>
    <n v="0"/>
    <n v="0"/>
    <n v="0"/>
    <n v="0"/>
    <n v="0"/>
    <n v="0"/>
    <n v="2"/>
    <n v="1"/>
    <n v="1"/>
    <n v="1"/>
    <n v="1"/>
    <n v="0"/>
    <n v="0"/>
    <n v="0"/>
    <n v="2"/>
    <m/>
  </r>
  <r>
    <n v="857"/>
    <d v="2024-10-02T14:53:54"/>
    <d v="2024-10-02T15:00:15"/>
    <s v="jmakoza@lighthouse.org.mw"/>
    <s v="Jonathan Makoza"/>
    <x v="9"/>
    <s v="COE"/>
    <x v="1"/>
    <s v="COP_22"/>
    <s v="COP_23"/>
    <x v="1"/>
    <s v="Quarter4"/>
    <s v="Qtr_4"/>
    <s v="Jul"/>
    <d v="2024-10-01T00:00:00"/>
    <d v="2024-10-31T00:00:00"/>
    <x v="4"/>
    <n v="6"/>
    <n v="1"/>
    <n v="3"/>
    <n v="1"/>
    <n v="2"/>
    <n v="0"/>
    <n v="6"/>
    <n v="1"/>
    <n v="0"/>
    <n v="0"/>
    <n v="0"/>
    <n v="0"/>
    <n v="0"/>
    <n v="0"/>
    <n v="0"/>
    <n v="0"/>
    <n v="0"/>
    <n v="0"/>
    <n v="1"/>
    <n v="0"/>
    <n v="0"/>
    <n v="0"/>
    <n v="0"/>
    <n v="0"/>
    <n v="2"/>
    <m/>
  </r>
  <r>
    <n v="858"/>
    <d v="2024-10-02T15:00:21"/>
    <d v="2024-10-02T15:03:10"/>
    <s v="jmakoza@lighthouse.org.mw"/>
    <s v="Jonathan Makoza"/>
    <x v="9"/>
    <s v="COE"/>
    <x v="1"/>
    <s v="COP_22"/>
    <s v="COP_23"/>
    <x v="1"/>
    <s v="Quarter4"/>
    <s v="Qtr_4"/>
    <s v="Jul"/>
    <d v="2024-07-01T00:00:00"/>
    <d v="2024-07-31T00:00:00"/>
    <x v="5"/>
    <n v="19"/>
    <n v="2"/>
    <n v="17"/>
    <n v="0"/>
    <n v="0"/>
    <n v="2"/>
    <n v="18"/>
    <n v="4"/>
    <n v="3"/>
    <n v="0"/>
    <n v="0"/>
    <n v="0"/>
    <n v="0"/>
    <n v="0"/>
    <n v="0"/>
    <n v="0"/>
    <n v="0"/>
    <n v="0"/>
    <n v="1"/>
    <n v="1"/>
    <n v="1"/>
    <n v="0"/>
    <n v="0"/>
    <n v="0"/>
    <n v="0"/>
    <m/>
  </r>
  <r>
    <n v="860"/>
    <d v="2024-10-02T15:06:14"/>
    <d v="2024-10-02T15:09:52"/>
    <s v="jmakoza@lighthouse.org.mw"/>
    <s v="Jonathan Makoza"/>
    <x v="9"/>
    <s v="COE"/>
    <x v="1"/>
    <s v="COP_22"/>
    <s v="COP_23"/>
    <x v="1"/>
    <s v="Quarter4"/>
    <s v="Qtr_4"/>
    <s v="Jul"/>
    <d v="2024-07-01T00:00:00"/>
    <d v="2024-07-31T00:00:00"/>
    <x v="0"/>
    <n v="129"/>
    <n v="17"/>
    <n v="95"/>
    <n v="7"/>
    <n v="19"/>
    <n v="8"/>
    <n v="121"/>
    <n v="32"/>
    <n v="36"/>
    <n v="0"/>
    <n v="0"/>
    <n v="0"/>
    <n v="0"/>
    <n v="0"/>
    <n v="0"/>
    <n v="0"/>
    <n v="11"/>
    <n v="4"/>
    <n v="15"/>
    <n v="4"/>
    <n v="7"/>
    <n v="0"/>
    <n v="0"/>
    <n v="0"/>
    <n v="16"/>
    <m/>
  </r>
  <r>
    <n v="861"/>
    <d v="2024-10-02T15:10:02"/>
    <d v="2024-10-02T15:13:25"/>
    <s v="jmakoza@lighthouse.org.mw"/>
    <s v="Jonathan Makoza"/>
    <x v="9"/>
    <s v="COE"/>
    <x v="1"/>
    <s v="COP_22"/>
    <s v="COP_22"/>
    <x v="1"/>
    <s v="Quarter4"/>
    <s v="Qtr_4"/>
    <s v="Aug"/>
    <d v="2024-08-01T00:00:00"/>
    <d v="2024-08-31T00:00:00"/>
    <x v="0"/>
    <n v="141"/>
    <n v="3"/>
    <n v="103"/>
    <n v="9"/>
    <n v="20"/>
    <n v="9"/>
    <n v="131"/>
    <n v="30"/>
    <n v="44"/>
    <n v="0"/>
    <n v="0"/>
    <n v="0"/>
    <n v="11"/>
    <n v="3"/>
    <n v="0"/>
    <n v="0"/>
    <n v="5"/>
    <n v="4"/>
    <n v="13"/>
    <n v="2"/>
    <n v="11"/>
    <n v="0"/>
    <n v="0"/>
    <n v="0"/>
    <n v="15"/>
    <m/>
  </r>
  <r>
    <n v="863"/>
    <d v="2024-10-02T15:17:26"/>
    <d v="2024-10-02T15:20:47"/>
    <s v="jmakoza@lighthouse.org.mw"/>
    <s v="Jonathan Makoza"/>
    <x v="9"/>
    <s v="COE"/>
    <x v="1"/>
    <s v="COP_23"/>
    <s v="COP_23"/>
    <x v="1"/>
    <s v="Quarter4"/>
    <s v="Qtr_4"/>
    <s v="Aug"/>
    <d v="2024-08-01T00:00:00"/>
    <d v="2024-08-31T00:00:00"/>
    <x v="5"/>
    <n v="56"/>
    <n v="0"/>
    <n v="11"/>
    <n v="1"/>
    <n v="0"/>
    <n v="1"/>
    <n v="9"/>
    <n v="1"/>
    <n v="7"/>
    <n v="0"/>
    <n v="0"/>
    <n v="0"/>
    <n v="6"/>
    <n v="1"/>
    <n v="0"/>
    <n v="0"/>
    <n v="1"/>
    <n v="1"/>
    <n v="2"/>
    <n v="0"/>
    <n v="0"/>
    <n v="0"/>
    <n v="0"/>
    <n v="0"/>
    <n v="0"/>
    <m/>
  </r>
  <r>
    <n v="865"/>
    <d v="2024-10-02T15:29:35"/>
    <d v="2024-10-02T15:31:29"/>
    <s v="jmakoza@lighthouse.org.mw"/>
    <s v="Jonathan Makoza"/>
    <x v="9"/>
    <s v="COE"/>
    <x v="1"/>
    <s v="COP_22"/>
    <s v="COP_22"/>
    <x v="1"/>
    <s v="Quarter4"/>
    <s v="Qtr_4"/>
    <s v="Aug"/>
    <d v="2024-08-01T00:00:00"/>
    <d v="2024-08-31T00:00:00"/>
    <x v="3"/>
    <n v="9"/>
    <n v="0"/>
    <n v="8"/>
    <n v="0"/>
    <n v="1"/>
    <n v="0"/>
    <n v="1"/>
    <n v="0"/>
    <n v="9"/>
    <n v="0"/>
    <n v="0"/>
    <n v="0"/>
    <n v="6"/>
    <n v="0"/>
    <n v="0"/>
    <n v="0"/>
    <n v="0"/>
    <n v="4"/>
    <n v="0"/>
    <n v="0"/>
    <n v="0"/>
    <n v="0"/>
    <n v="0"/>
    <n v="0"/>
    <n v="0"/>
    <m/>
  </r>
  <r>
    <n v="866"/>
    <d v="2024-10-02T15:32:52"/>
    <d v="2024-10-02T15:34:50"/>
    <s v="jmakoza@lighthouse.org.mw"/>
    <s v="Jonathan Makoza"/>
    <x v="9"/>
    <s v="COE"/>
    <x v="1"/>
    <s v="COP_23"/>
    <s v="COP_23"/>
    <x v="1"/>
    <s v="Quarter4"/>
    <s v="Qtr_4"/>
    <s v="Aug"/>
    <d v="2024-08-01T00:00:00"/>
    <d v="2024-08-31T00:00:00"/>
    <x v="4"/>
    <n v="8"/>
    <n v="1"/>
    <n v="5"/>
    <n v="0"/>
    <n v="1"/>
    <n v="2"/>
    <n v="8"/>
    <n v="1"/>
    <n v="1"/>
    <n v="0"/>
    <n v="0"/>
    <n v="0"/>
    <n v="1"/>
    <n v="1"/>
    <n v="0"/>
    <n v="0"/>
    <n v="5"/>
    <n v="0"/>
    <n v="6"/>
    <n v="1"/>
    <n v="2"/>
    <n v="0"/>
    <n v="0"/>
    <n v="0"/>
    <n v="0"/>
    <m/>
  </r>
  <r>
    <n v="950"/>
    <d v="2024-10-17T14:58:57"/>
    <d v="2024-10-17T15:04:41"/>
    <s v="jmakoza@lighthouse.org.mw"/>
    <s v="Jonathan Makoza"/>
    <x v="9"/>
    <s v="COE"/>
    <x v="1"/>
    <s v="COP_23"/>
    <s v="COP_23"/>
    <x v="1"/>
    <s v="Quarter4"/>
    <s v="Qtr_4"/>
    <s v="Sep"/>
    <d v="2024-09-01T00:00:00"/>
    <d v="2024-09-30T00:00:00"/>
    <x v="0"/>
    <n v="117"/>
    <n v="13"/>
    <n v="75"/>
    <n v="6"/>
    <n v="22"/>
    <n v="14"/>
    <n v="114"/>
    <n v="39"/>
    <n v="36"/>
    <n v="2"/>
    <n v="5"/>
    <n v="0"/>
    <n v="35"/>
    <n v="4"/>
    <n v="3"/>
    <n v="1"/>
    <n v="14"/>
    <n v="6"/>
    <n v="24"/>
    <n v="1"/>
    <n v="6"/>
    <n v="0"/>
    <n v="0"/>
    <n v="0"/>
    <n v="5"/>
    <m/>
  </r>
  <r>
    <n v="952"/>
    <d v="2024-10-17T15:11:41"/>
    <d v="2024-10-17T15:14:10"/>
    <s v="jmakoza@lighthouse.org.mw"/>
    <s v="Jonathan Makoza"/>
    <x v="9"/>
    <s v="COE"/>
    <x v="1"/>
    <s v="COP_23"/>
    <s v="COP_23"/>
    <x v="1"/>
    <s v="Quarter4"/>
    <s v="Qtr_4"/>
    <s v="Sep"/>
    <d v="2024-09-01T00:00:00"/>
    <d v="2024-09-30T00:00:00"/>
    <x v="5"/>
    <n v="50"/>
    <n v="0"/>
    <n v="8"/>
    <n v="1"/>
    <n v="0"/>
    <n v="0"/>
    <n v="9"/>
    <n v="3"/>
    <n v="3"/>
    <n v="0"/>
    <n v="0"/>
    <n v="0"/>
    <n v="3"/>
    <n v="0"/>
    <n v="0"/>
    <n v="0"/>
    <n v="3"/>
    <n v="1"/>
    <n v="1"/>
    <n v="0"/>
    <n v="0"/>
    <n v="0"/>
    <n v="0"/>
    <n v="0"/>
    <n v="1"/>
    <m/>
  </r>
  <r>
    <n v="953"/>
    <d v="2024-10-17T15:14:14"/>
    <d v="2024-10-17T15:16:35"/>
    <s v="jmakoza@lighthouse.org.mw"/>
    <s v="Jonathan Makoza"/>
    <x v="9"/>
    <s v="COE"/>
    <x v="1"/>
    <s v="COP_23"/>
    <s v="COP_23"/>
    <x v="1"/>
    <s v="Quarter4"/>
    <s v="Qtr_4"/>
    <s v="Sep"/>
    <d v="2024-09-01T00:00:00"/>
    <d v="2024-09-30T00:00:00"/>
    <x v="4"/>
    <n v="3"/>
    <n v="0"/>
    <n v="0"/>
    <n v="0"/>
    <n v="0"/>
    <n v="2"/>
    <n v="2"/>
    <n v="2"/>
    <n v="2"/>
    <n v="0"/>
    <n v="0"/>
    <n v="0"/>
    <n v="2"/>
    <n v="0"/>
    <n v="0"/>
    <n v="0"/>
    <n v="0"/>
    <n v="0"/>
    <n v="1"/>
    <n v="0"/>
    <n v="0"/>
    <n v="0"/>
    <n v="0"/>
    <n v="0"/>
    <n v="0"/>
    <m/>
  </r>
  <r>
    <n v="954"/>
    <d v="2024-10-17T15:16:41"/>
    <d v="2024-10-17T15:18:37"/>
    <s v="jmakoza@lighthouse.org.mw"/>
    <s v="Jonathan Makoza"/>
    <x v="9"/>
    <s v="COE"/>
    <x v="1"/>
    <s v="COP_23"/>
    <s v="COP_23"/>
    <x v="1"/>
    <s v="Quarter4"/>
    <s v="Qtr_4"/>
    <s v="Sep"/>
    <d v="2024-09-01T00:00:00"/>
    <d v="2024-09-30T00:00:00"/>
    <x v="3"/>
    <n v="5"/>
    <n v="0"/>
    <n v="2"/>
    <n v="0"/>
    <n v="1"/>
    <n v="0"/>
    <n v="2"/>
    <n v="0"/>
    <n v="0"/>
    <n v="0"/>
    <n v="0"/>
    <n v="0"/>
    <n v="0"/>
    <n v="0"/>
    <n v="0"/>
    <n v="0"/>
    <n v="0"/>
    <n v="0"/>
    <n v="0"/>
    <n v="0"/>
    <n v="0"/>
    <n v="0"/>
    <n v="0"/>
    <n v="0"/>
    <n v="0"/>
    <m/>
  </r>
  <r>
    <n v="1138"/>
    <d v="2024-12-17T13:56:54"/>
    <d v="2024-12-17T14:07:14"/>
    <s v="jmakoza@lighthouse.org.mw"/>
    <s v="Jonathan Makoza"/>
    <x v="9"/>
    <s v="COE"/>
    <x v="1"/>
    <s v="COP_23"/>
    <s v="COP_24"/>
    <x v="0"/>
    <s v="Quarter1"/>
    <s v="Qtr_1"/>
    <s v="Nov"/>
    <d v="2024-11-01T00:00:00"/>
    <d v="2024-11-30T00:00:00"/>
    <x v="1"/>
    <n v="103"/>
    <n v="5"/>
    <n v="80"/>
    <n v="8"/>
    <n v="10"/>
    <n v="7"/>
    <n v="100"/>
    <n v="30"/>
    <n v="37"/>
    <n v="0"/>
    <n v="0"/>
    <n v="0"/>
    <n v="30"/>
    <n v="4"/>
    <n v="7"/>
    <n v="1"/>
    <n v="4"/>
    <n v="1"/>
    <n v="13"/>
    <n v="0"/>
    <n v="3"/>
    <n v="0"/>
    <n v="0"/>
    <n v="1"/>
    <n v="13"/>
    <m/>
  </r>
  <r>
    <n v="1139"/>
    <d v="2024-12-17T14:07:22"/>
    <d v="2024-12-17T14:12:10"/>
    <s v="jmakoza@lighthouse.org.mw"/>
    <s v="Jonathan Makoza"/>
    <x v="9"/>
    <s v="COE"/>
    <x v="1"/>
    <s v="COP_23"/>
    <s v="COP_24"/>
    <x v="0"/>
    <s v="Quarter1"/>
    <s v="Qtr_1"/>
    <s v="Nov"/>
    <d v="2024-11-01T00:00:00"/>
    <d v="2024-11-30T00:00:00"/>
    <x v="3"/>
    <n v="5"/>
    <n v="0"/>
    <n v="3"/>
    <n v="0"/>
    <n v="1"/>
    <n v="1"/>
    <n v="5"/>
    <n v="0"/>
    <n v="5"/>
    <n v="0"/>
    <n v="0"/>
    <n v="0"/>
    <n v="4"/>
    <n v="1"/>
    <n v="0"/>
    <n v="0"/>
    <n v="0"/>
    <n v="0"/>
    <n v="1"/>
    <n v="0"/>
    <n v="0"/>
    <n v="0"/>
    <n v="0"/>
    <n v="0"/>
    <n v="1"/>
    <m/>
  </r>
  <r>
    <n v="1140"/>
    <d v="2024-12-17T14:12:14"/>
    <d v="2024-12-17T14:15:51"/>
    <s v="jmakoza@lighthouse.org.mw"/>
    <s v="Jonathan Makoza"/>
    <x v="9"/>
    <s v="COE"/>
    <x v="1"/>
    <s v="COP_23"/>
    <s v="COP_24"/>
    <x v="0"/>
    <s v="Quarter1"/>
    <s v="Qtr_1"/>
    <s v="Nov"/>
    <d v="2024-11-01T00:00:00"/>
    <d v="2024-11-30T00:00:00"/>
    <x v="4"/>
    <n v="5"/>
    <n v="0"/>
    <n v="4"/>
    <n v="0"/>
    <n v="0"/>
    <n v="1"/>
    <n v="5"/>
    <n v="1"/>
    <n v="4"/>
    <n v="0"/>
    <n v="0"/>
    <n v="0"/>
    <n v="2"/>
    <n v="0"/>
    <n v="0"/>
    <n v="0"/>
    <n v="0"/>
    <n v="0"/>
    <n v="2"/>
    <n v="0"/>
    <n v="1"/>
    <n v="0"/>
    <n v="0"/>
    <n v="0"/>
    <n v="0"/>
    <m/>
  </r>
  <r>
    <n v="1141"/>
    <d v="2024-12-17T14:16:56"/>
    <d v="2024-12-17T14:23:11"/>
    <s v="jmakoza@lighthouse.org.mw"/>
    <s v="Jonathan Makoza"/>
    <x v="9"/>
    <s v="COE"/>
    <x v="1"/>
    <s v="COP_23"/>
    <s v="COP_24"/>
    <x v="0"/>
    <s v="Quarter1"/>
    <s v="Qtr_1"/>
    <s v="Nov"/>
    <d v="2024-11-01T00:00:00"/>
    <d v="2024-11-30T00:00:00"/>
    <x v="5"/>
    <n v="52"/>
    <n v="3"/>
    <n v="36"/>
    <n v="1"/>
    <n v="0"/>
    <n v="3"/>
    <n v="34"/>
    <n v="4"/>
    <n v="9"/>
    <n v="0"/>
    <n v="0"/>
    <n v="0"/>
    <n v="11"/>
    <n v="1"/>
    <n v="1"/>
    <n v="1"/>
    <n v="0"/>
    <n v="0"/>
    <n v="6"/>
    <n v="1"/>
    <n v="3"/>
    <n v="0"/>
    <n v="0"/>
    <n v="0"/>
    <n v="1"/>
    <m/>
  </r>
  <r>
    <n v="1142"/>
    <d v="2024-12-17T14:23:46"/>
    <d v="2024-12-17T14:34:11"/>
    <s v="jmakoza@lighthouse.org.mw"/>
    <s v="Jonathan Makoza"/>
    <x v="9"/>
    <s v="COE"/>
    <x v="1"/>
    <s v="COP_23"/>
    <s v="COP_24"/>
    <x v="0"/>
    <s v="Quarter1"/>
    <s v="Qtr_1"/>
    <s v="Nov"/>
    <d v="2024-11-01T00:00:00"/>
    <d v="2024-11-30T00:00:00"/>
    <x v="2"/>
    <n v="74"/>
    <n v="1"/>
    <n v="22"/>
    <n v="2"/>
    <n v="6"/>
    <n v="0"/>
    <n v="29"/>
    <n v="11"/>
    <n v="9"/>
    <n v="0"/>
    <n v="0"/>
    <n v="0"/>
    <n v="9"/>
    <n v="0"/>
    <n v="1"/>
    <n v="0"/>
    <n v="2"/>
    <n v="1"/>
    <n v="7"/>
    <n v="0"/>
    <n v="0"/>
    <n v="0"/>
    <n v="0"/>
    <n v="0"/>
    <n v="0"/>
    <m/>
  </r>
  <r>
    <n v="1143"/>
    <d v="2024-12-17T14:35:11"/>
    <d v="2024-12-17T14:38:49"/>
    <s v="jmakoza@lighthouse.org.mw"/>
    <s v="Jonathan Makoza"/>
    <x v="9"/>
    <s v="COE"/>
    <x v="1"/>
    <s v="COP_23"/>
    <s v="COP_24"/>
    <x v="0"/>
    <s v="Quarter1"/>
    <s v="Qtr_1"/>
    <s v="Nov"/>
    <d v="2024-11-01T00:00:00"/>
    <d v="2024-11-30T00:00:00"/>
    <x v="0"/>
    <n v="177"/>
    <n v="9"/>
    <n v="140"/>
    <n v="10"/>
    <n v="17"/>
    <n v="10"/>
    <n v="170"/>
    <n v="42"/>
    <n v="60"/>
    <n v="0"/>
    <n v="0"/>
    <n v="0"/>
    <n v="50"/>
    <n v="5"/>
    <n v="9"/>
    <n v="2"/>
    <n v="6"/>
    <n v="2"/>
    <n v="26"/>
    <n v="1"/>
    <n v="6"/>
    <n v="0"/>
    <n v="0"/>
    <n v="1"/>
    <n v="17"/>
    <m/>
  </r>
  <r>
    <n v="1147"/>
    <d v="2024-12-17T14:52:22"/>
    <d v="2024-12-17T14:55:40"/>
    <s v="jmakoza@lighthouse.org.mw"/>
    <s v="Jonathan Makoza"/>
    <x v="9"/>
    <s v="COE"/>
    <x v="1"/>
    <s v="COP_23"/>
    <s v="COP_24"/>
    <x v="0"/>
    <s v="Quarter1"/>
    <s v="Qtr_1"/>
    <s v="Oct"/>
    <d v="2024-10-01T00:00:00"/>
    <d v="2024-10-31T00:00:00"/>
    <x v="0"/>
    <n v="155"/>
    <n v="11"/>
    <n v="116"/>
    <n v="14"/>
    <n v="12"/>
    <n v="13"/>
    <n v="144"/>
    <n v="44"/>
    <n v="54"/>
    <n v="2"/>
    <n v="0"/>
    <n v="0"/>
    <n v="50"/>
    <n v="6"/>
    <n v="3"/>
    <n v="1"/>
    <n v="10"/>
    <n v="3"/>
    <n v="30"/>
    <n v="2"/>
    <n v="11"/>
    <n v="1"/>
    <n v="0"/>
    <n v="0"/>
    <n v="14"/>
    <m/>
  </r>
  <r>
    <n v="1148"/>
    <d v="2024-12-17T15:00:21"/>
    <d v="2024-12-17T15:00:46"/>
    <s v="jmakoza@lighthouse.org.mw"/>
    <s v="Jonathan Makoza"/>
    <x v="9"/>
    <s v="COE"/>
    <x v="1"/>
    <s v="COP_23"/>
    <s v="COP_24"/>
    <x v="0"/>
    <s v="Quarter1"/>
    <s v="Qtr_1"/>
    <s v="Oct"/>
    <d v="2024-10-01T00:00:00"/>
    <d v="2024-10-31T00:00:00"/>
    <x v="2"/>
    <n v="66"/>
    <n v="3"/>
    <n v="5"/>
    <n v="3"/>
    <n v="0"/>
    <n v="3"/>
    <n v="11"/>
    <n v="5"/>
    <n v="4"/>
    <n v="1"/>
    <n v="0"/>
    <n v="0"/>
    <n v="5"/>
    <n v="1"/>
    <n v="0"/>
    <n v="0"/>
    <n v="0"/>
    <n v="0"/>
    <n v="4"/>
    <n v="0"/>
    <n v="1"/>
    <n v="0"/>
    <n v="0"/>
    <n v="0"/>
    <n v="3"/>
    <m/>
  </r>
  <r>
    <n v="1149"/>
    <d v="2024-12-17T15:01:03"/>
    <d v="2024-12-17T15:06:25"/>
    <s v="jmakoza@lighthouse.org.mw"/>
    <s v="Jonathan Makoza"/>
    <x v="9"/>
    <s v="COE"/>
    <x v="1"/>
    <s v="COP_23"/>
    <s v="COP_24"/>
    <x v="0"/>
    <s v="Quarter1"/>
    <s v="Qtr_1"/>
    <s v="Oct"/>
    <d v="2024-10-01T00:00:00"/>
    <d v="2024-10-31T00:00:00"/>
    <x v="5"/>
    <n v="34"/>
    <n v="0"/>
    <n v="23"/>
    <n v="1"/>
    <n v="0"/>
    <n v="0"/>
    <n v="20"/>
    <n v="5"/>
    <n v="10"/>
    <n v="0"/>
    <n v="0"/>
    <n v="0"/>
    <n v="9"/>
    <n v="1"/>
    <n v="0"/>
    <n v="0"/>
    <n v="0"/>
    <n v="0"/>
    <n v="4"/>
    <n v="0"/>
    <n v="1"/>
    <n v="0"/>
    <n v="0"/>
    <n v="0"/>
    <n v="2"/>
    <m/>
  </r>
  <r>
    <n v="1150"/>
    <d v="2024-12-17T15:06:32"/>
    <d v="2024-12-17T15:15:04"/>
    <s v="jmakoza@lighthouse.org.mw"/>
    <s v="Jonathan Makoza"/>
    <x v="9"/>
    <s v="COE"/>
    <x v="1"/>
    <s v="COP_23"/>
    <s v="COP_24"/>
    <x v="0"/>
    <s v="Quarter1"/>
    <s v="Qtr_1"/>
    <s v="Oct"/>
    <d v="2024-10-01T00:00:00"/>
    <d v="2024-10-31T00:00:00"/>
    <x v="4"/>
    <n v="9"/>
    <n v="0"/>
    <n v="7"/>
    <n v="0"/>
    <n v="0"/>
    <n v="2"/>
    <n v="7"/>
    <n v="2"/>
    <n v="7"/>
    <n v="0"/>
    <n v="0"/>
    <n v="0"/>
    <n v="7"/>
    <n v="0"/>
    <n v="0"/>
    <n v="0"/>
    <n v="2"/>
    <n v="0"/>
    <n v="3"/>
    <n v="0"/>
    <n v="0"/>
    <n v="0"/>
    <n v="0"/>
    <n v="0"/>
    <n v="3"/>
    <m/>
  </r>
  <r>
    <n v="1151"/>
    <d v="2024-12-17T15:15:50"/>
    <d v="2024-12-17T15:27:14"/>
    <s v="jmakoza@lighthouse.org.mw"/>
    <s v="Jonathan Makoza"/>
    <x v="9"/>
    <s v="COE"/>
    <x v="1"/>
    <s v="COP_23"/>
    <s v="COP_24"/>
    <x v="0"/>
    <s v="Quarter1"/>
    <s v="Qtr_1"/>
    <s v="Oct"/>
    <d v="2024-10-01T00:00:00"/>
    <d v="2024-10-31T00:00:00"/>
    <x v="3"/>
    <n v="6"/>
    <n v="0"/>
    <n v="6"/>
    <n v="0"/>
    <n v="0"/>
    <n v="0"/>
    <n v="0"/>
    <n v="0"/>
    <n v="6"/>
    <n v="0"/>
    <n v="0"/>
    <n v="0"/>
    <n v="2"/>
    <n v="0"/>
    <n v="0"/>
    <n v="0"/>
    <n v="0"/>
    <n v="0"/>
    <n v="0"/>
    <n v="0"/>
    <n v="0"/>
    <n v="0"/>
    <n v="0"/>
    <n v="0"/>
    <n v="0"/>
    <m/>
  </r>
  <r>
    <n v="1152"/>
    <d v="2024-12-17T15:27:56"/>
    <d v="2024-12-17T15:31:00"/>
    <s v="jmakoza@lighthouse.org.mw"/>
    <s v="Jonathan Makoza"/>
    <x v="9"/>
    <s v="COE"/>
    <x v="1"/>
    <s v="COP_23"/>
    <s v="COP_24"/>
    <x v="0"/>
    <s v="Quarter1"/>
    <s v="Qtr_1"/>
    <s v="Oct"/>
    <d v="2024-10-01T00:00:00"/>
    <d v="2024-10-31T00:00:00"/>
    <x v="1"/>
    <n v="111"/>
    <n v="7"/>
    <n v="84"/>
    <n v="11"/>
    <n v="12"/>
    <n v="9"/>
    <n v="109"/>
    <n v="32"/>
    <n v="38"/>
    <n v="1"/>
    <n v="0"/>
    <n v="0"/>
    <n v="34"/>
    <n v="3"/>
    <n v="3"/>
    <n v="1"/>
    <n v="10"/>
    <n v="3"/>
    <n v="22"/>
    <n v="2"/>
    <n v="8"/>
    <n v="1"/>
    <n v="0"/>
    <n v="0"/>
    <n v="10"/>
    <m/>
  </r>
  <r>
    <n v="1249"/>
    <d v="2025-01-13T13:28:09"/>
    <d v="2025-01-13T13:40:56"/>
    <s v="jmakoza@lighthouse.org.mw"/>
    <s v="Jonathan Makoza"/>
    <x v="9"/>
    <s v="COE"/>
    <x v="1"/>
    <s v="COP_23"/>
    <s v="COP_24"/>
    <x v="0"/>
    <s v="Quarter1"/>
    <s v="Qtr_1"/>
    <s v="Dec"/>
    <d v="2024-12-01T00:00:00"/>
    <d v="2024-12-31T00:00:00"/>
    <x v="1"/>
    <n v="105"/>
    <n v="5"/>
    <n v="75"/>
    <n v="8"/>
    <n v="8"/>
    <n v="7"/>
    <n v="96"/>
    <n v="28"/>
    <n v="27"/>
    <n v="1"/>
    <n v="1"/>
    <n v="1"/>
    <n v="27"/>
    <n v="1"/>
    <n v="2"/>
    <n v="0"/>
    <n v="5"/>
    <n v="4"/>
    <n v="16"/>
    <n v="2"/>
    <n v="6"/>
    <n v="1"/>
    <n v="0"/>
    <n v="0"/>
    <n v="5"/>
    <m/>
  </r>
  <r>
    <n v="1252"/>
    <d v="2025-01-13T13:41:07"/>
    <d v="2025-01-13T13:45:17"/>
    <s v="jmakoza@lighthouse.org.mw"/>
    <s v="Jonathan Makoza"/>
    <x v="9"/>
    <s v="COE"/>
    <x v="1"/>
    <s v="COP_23"/>
    <s v="COP_24"/>
    <x v="0"/>
    <s v="Quarter1"/>
    <s v="Qtr_1"/>
    <s v="Dec"/>
    <d v="2024-12-01T00:00:00"/>
    <d v="2024-12-31T00:00:00"/>
    <x v="2"/>
    <n v="61"/>
    <n v="3"/>
    <n v="13"/>
    <n v="1"/>
    <n v="2"/>
    <n v="2"/>
    <n v="18"/>
    <n v="6"/>
    <n v="7"/>
    <n v="0"/>
    <n v="0"/>
    <n v="0"/>
    <n v="7"/>
    <n v="1"/>
    <n v="1"/>
    <n v="0"/>
    <n v="1"/>
    <n v="1"/>
    <n v="4"/>
    <n v="0"/>
    <n v="4"/>
    <n v="0"/>
    <n v="0"/>
    <n v="0"/>
    <n v="0"/>
    <m/>
  </r>
  <r>
    <n v="1253"/>
    <d v="2025-01-13T13:45:55"/>
    <d v="2025-01-13T13:47:47"/>
    <s v="jmakoza@lighthouse.org.mw"/>
    <s v="Jonathan Makoza"/>
    <x v="9"/>
    <s v="COE"/>
    <x v="1"/>
    <s v="COP_23"/>
    <s v="COP_24"/>
    <x v="0"/>
    <s v="Quarter1"/>
    <s v="Qtr_1"/>
    <s v="Dec"/>
    <d v="2024-12-01T00:00:00"/>
    <d v="2024-12-31T00:00:00"/>
    <x v="5"/>
    <n v="21"/>
    <n v="1"/>
    <n v="20"/>
    <n v="0"/>
    <n v="0"/>
    <n v="1"/>
    <n v="21"/>
    <n v="4"/>
    <n v="6"/>
    <n v="0"/>
    <n v="0"/>
    <n v="0"/>
    <n v="5"/>
    <n v="1"/>
    <n v="0"/>
    <n v="0"/>
    <n v="0"/>
    <n v="0"/>
    <n v="4"/>
    <n v="0"/>
    <n v="1"/>
    <n v="0"/>
    <n v="0"/>
    <n v="0"/>
    <n v="1"/>
    <m/>
  </r>
  <r>
    <n v="1254"/>
    <d v="2025-01-13T13:47:55"/>
    <d v="2025-01-13T13:49:35"/>
    <s v="jmakoza@lighthouse.org.mw"/>
    <s v="Jonathan Makoza"/>
    <x v="9"/>
    <s v="COE"/>
    <x v="1"/>
    <s v="COP_23"/>
    <s v="COP_24"/>
    <x v="0"/>
    <s v="Quarter1"/>
    <s v="Qtr_1"/>
    <s v="Dec"/>
    <d v="2024-12-01T00:00:00"/>
    <d v="2024-12-31T00:00:00"/>
    <x v="3"/>
    <n v="6"/>
    <n v="1"/>
    <n v="4"/>
    <n v="0"/>
    <n v="1"/>
    <n v="1"/>
    <n v="0"/>
    <n v="0"/>
    <n v="1"/>
    <n v="0"/>
    <n v="0"/>
    <n v="0"/>
    <n v="1"/>
    <n v="1"/>
    <n v="0"/>
    <n v="0"/>
    <n v="1"/>
    <n v="1"/>
    <n v="0"/>
    <n v="0"/>
    <n v="2"/>
    <n v="0"/>
    <n v="0"/>
    <n v="0"/>
    <n v="1"/>
    <m/>
  </r>
  <r>
    <n v="1255"/>
    <d v="2025-01-13T13:49:38"/>
    <d v="2025-01-13T13:51:43"/>
    <s v="jmakoza@lighthouse.org.mw"/>
    <s v="Jonathan Makoza"/>
    <x v="9"/>
    <s v="COE"/>
    <x v="1"/>
    <s v="COP_23"/>
    <s v="COP_24"/>
    <x v="0"/>
    <s v="Quarter1"/>
    <s v="Qtr_1"/>
    <s v="Dec"/>
    <d v="2024-12-01T00:00:00"/>
    <d v="2024-12-31T00:00:00"/>
    <x v="4"/>
    <n v="6"/>
    <n v="0"/>
    <n v="5"/>
    <n v="0"/>
    <n v="0"/>
    <n v="1"/>
    <n v="0"/>
    <n v="0"/>
    <n v="0"/>
    <n v="0"/>
    <n v="0"/>
    <n v="0"/>
    <n v="0"/>
    <n v="0"/>
    <n v="0"/>
    <n v="0"/>
    <n v="0"/>
    <n v="0"/>
    <n v="0"/>
    <n v="0"/>
    <n v="0"/>
    <n v="0"/>
    <n v="0"/>
    <n v="0"/>
    <n v="0"/>
    <m/>
  </r>
  <r>
    <n v="1304"/>
    <d v="2025-01-17T14:29:49"/>
    <d v="2025-01-17T14:37:15"/>
    <s v="eadisoni@lighthouse.org.mw"/>
    <s v="Eliza adisoni"/>
    <x v="9"/>
    <s v="COE"/>
    <x v="1"/>
    <s v="COP_23"/>
    <s v="COP_24"/>
    <x v="0"/>
    <s v="Quarter1"/>
    <s v="Qtr_1"/>
    <s v="Dec"/>
    <d v="2024-12-01T00:00:00"/>
    <d v="2024-12-31T00:00:00"/>
    <x v="0"/>
    <n v="149"/>
    <n v="11"/>
    <n v="117"/>
    <n v="9"/>
    <n v="11"/>
    <n v="12"/>
    <n v="138"/>
    <n v="43"/>
    <n v="47"/>
    <n v="1"/>
    <n v="1"/>
    <n v="1"/>
    <n v="46"/>
    <n v="6"/>
    <n v="3"/>
    <n v="0"/>
    <n v="8"/>
    <n v="5"/>
    <n v="26"/>
    <n v="3"/>
    <n v="14"/>
    <n v="1"/>
    <n v="0"/>
    <n v="0"/>
    <n v="7"/>
    <m/>
  </r>
  <r>
    <n v="1327"/>
    <d v="2025-02-25T14:22:57"/>
    <d v="2025-02-25T14:29:31"/>
    <s v="eadisoni@lighthouse.org.mw"/>
    <s v="Eliza adisoni"/>
    <x v="9"/>
    <s v="COE"/>
    <x v="2"/>
    <s v="COP_23"/>
    <s v="COP_24"/>
    <x v="2"/>
    <s v="Quarter2"/>
    <s v="Qtr_2"/>
    <s v="Jan"/>
    <d v="2025-01-01T00:00:00"/>
    <d v="2025-01-31T00:00:00"/>
    <x v="0"/>
    <n v="106"/>
    <n v="11"/>
    <n v="84"/>
    <n v="7"/>
    <n v="10"/>
    <n v="5"/>
    <n v="103"/>
    <n v="24"/>
    <n v="25"/>
    <n v="0"/>
    <n v="0"/>
    <n v="0"/>
    <n v="25"/>
    <n v="1"/>
    <n v="2"/>
    <n v="1"/>
    <n v="4"/>
    <n v="1"/>
    <n v="20"/>
    <n v="1"/>
    <n v="3"/>
    <n v="0"/>
    <n v="0"/>
    <n v="1"/>
    <n v="7"/>
    <m/>
  </r>
  <r>
    <n v="1328"/>
    <d v="2025-02-25T14:29:46"/>
    <d v="2025-02-25T14:32:11"/>
    <s v="eadisoni@lighthouse.org.mw"/>
    <s v="Eliza adisoni"/>
    <x v="9"/>
    <s v="COE"/>
    <x v="2"/>
    <s v="COP_23"/>
    <s v="COP_24"/>
    <x v="2"/>
    <s v="Quarter2"/>
    <s v="Qtr_2"/>
    <s v="Jan"/>
    <d v="2025-01-01T00:00:00"/>
    <d v="2025-01-31T00:00:00"/>
    <x v="1"/>
    <n v="80"/>
    <n v="8"/>
    <n v="60"/>
    <n v="6"/>
    <n v="10"/>
    <n v="4"/>
    <n v="77"/>
    <n v="15"/>
    <n v="18"/>
    <n v="0"/>
    <n v="0"/>
    <n v="0"/>
    <n v="18"/>
    <n v="1"/>
    <n v="1"/>
    <n v="0"/>
    <n v="3"/>
    <n v="1"/>
    <n v="12"/>
    <n v="0"/>
    <n v="2"/>
    <n v="0"/>
    <n v="0"/>
    <n v="1"/>
    <n v="5"/>
    <m/>
  </r>
  <r>
    <n v="1329"/>
    <d v="2025-02-25T14:32:19"/>
    <d v="2025-02-25T14:34:25"/>
    <s v="eadisoni@lighthouse.org.mw"/>
    <s v="Eliza adisoni"/>
    <x v="9"/>
    <s v="COE"/>
    <x v="2"/>
    <s v="COP_23"/>
    <s v="COP_24"/>
    <x v="2"/>
    <s v="Quarter2"/>
    <s v="Qtr_2"/>
    <s v="Jan"/>
    <d v="2025-01-01T00:00:00"/>
    <d v="2025-01-31T00:00:00"/>
    <x v="3"/>
    <n v="3"/>
    <n v="1"/>
    <n v="1"/>
    <n v="0"/>
    <n v="2"/>
    <n v="0"/>
    <n v="0"/>
    <n v="0"/>
    <n v="3"/>
    <n v="0"/>
    <n v="0"/>
    <n v="0"/>
    <n v="3"/>
    <n v="0"/>
    <n v="0"/>
    <n v="0"/>
    <n v="0"/>
    <n v="0"/>
    <n v="2"/>
    <n v="0"/>
    <n v="0"/>
    <n v="0"/>
    <n v="0"/>
    <n v="0"/>
    <n v="1"/>
    <m/>
  </r>
  <r>
    <n v="1330"/>
    <d v="2025-02-25T14:34:41"/>
    <d v="2025-02-25T14:37:11"/>
    <s v="eadisoni@lighthouse.org.mw"/>
    <s v="Eliza adisoni"/>
    <x v="9"/>
    <s v="COE"/>
    <x v="2"/>
    <s v="COP_23"/>
    <s v="COP_24"/>
    <x v="2"/>
    <s v="Quarter2"/>
    <s v="Qtr_2"/>
    <s v="Jan"/>
    <d v="2025-01-01T00:00:00"/>
    <d v="2025-01-31T00:00:00"/>
    <x v="4"/>
    <n v="2"/>
    <n v="0"/>
    <n v="2"/>
    <n v="0"/>
    <n v="0"/>
    <n v="0"/>
    <n v="2"/>
    <n v="1"/>
    <n v="1"/>
    <n v="0"/>
    <n v="0"/>
    <n v="0"/>
    <n v="1"/>
    <n v="0"/>
    <n v="0"/>
    <n v="0"/>
    <n v="1"/>
    <n v="0"/>
    <n v="1"/>
    <n v="0"/>
    <n v="0"/>
    <n v="0"/>
    <n v="0"/>
    <n v="0"/>
    <n v="0"/>
    <m/>
  </r>
  <r>
    <n v="1331"/>
    <d v="2025-02-25T14:37:15"/>
    <d v="2025-02-25T14:39:52"/>
    <s v="eadisoni@lighthouse.org.mw"/>
    <s v="Eliza adisoni"/>
    <x v="9"/>
    <s v="COE"/>
    <x v="2"/>
    <s v="COP_23"/>
    <s v="COP_24"/>
    <x v="2"/>
    <s v="Quarter2"/>
    <s v="Qtr_2"/>
    <s v="Jan"/>
    <d v="2025-01-01T00:00:00"/>
    <d v="2025-01-31T00:00:00"/>
    <x v="5"/>
    <n v="9"/>
    <n v="2"/>
    <n v="8"/>
    <n v="0"/>
    <n v="0"/>
    <n v="1"/>
    <n v="9"/>
    <n v="3"/>
    <n v="2"/>
    <n v="0"/>
    <n v="0"/>
    <n v="0"/>
    <n v="2"/>
    <n v="0"/>
    <n v="1"/>
    <n v="0"/>
    <n v="0"/>
    <n v="0"/>
    <n v="2"/>
    <n v="0"/>
    <n v="1"/>
    <n v="0"/>
    <n v="0"/>
    <n v="0"/>
    <n v="0"/>
    <m/>
  </r>
  <r>
    <n v="1332"/>
    <d v="2025-02-25T14:40:06"/>
    <d v="2025-02-25T14:42:33"/>
    <s v="eadisoni@lighthouse.org.mw"/>
    <s v="Eliza adisoni"/>
    <x v="9"/>
    <s v="COE"/>
    <x v="2"/>
    <s v="COP_23"/>
    <s v="COP_24"/>
    <x v="2"/>
    <s v="Quarter2"/>
    <s v="Qtr_2"/>
    <s v="Jan"/>
    <d v="2025-01-01T00:00:00"/>
    <d v="2025-01-31T00:00:00"/>
    <x v="2"/>
    <n v="20"/>
    <n v="3"/>
    <n v="19"/>
    <n v="1"/>
    <n v="0"/>
    <n v="0"/>
    <n v="20"/>
    <n v="8"/>
    <n v="6"/>
    <n v="0"/>
    <n v="0"/>
    <n v="0"/>
    <n v="7"/>
    <n v="0"/>
    <n v="0"/>
    <n v="0"/>
    <n v="1"/>
    <n v="0"/>
    <n v="7"/>
    <n v="1"/>
    <n v="1"/>
    <n v="0"/>
    <n v="0"/>
    <n v="0"/>
    <n v="3"/>
    <m/>
  </r>
  <r>
    <n v="1392"/>
    <d v="2025-03-11T08:21:06"/>
    <d v="2025-03-11T08:31:16"/>
    <s v="lkaonga@lighthouse.org.mw"/>
    <s v="Lameck Kaonga"/>
    <x v="9"/>
    <s v="COE"/>
    <x v="2"/>
    <s v="COP_23"/>
    <s v="COP_24"/>
    <x v="2"/>
    <s v="Quarter2"/>
    <s v="Qtr_2"/>
    <s v="Feb"/>
    <d v="2025-02-01T00:00:00"/>
    <d v="2025-02-28T00:00:00"/>
    <x v="0"/>
    <n v="87"/>
    <n v="11"/>
    <n v="49"/>
    <n v="14"/>
    <n v="15"/>
    <n v="8"/>
    <n v="23"/>
    <n v="23"/>
    <n v="26"/>
    <n v="3"/>
    <n v="1"/>
    <n v="0"/>
    <n v="26"/>
    <n v="3"/>
    <n v="2"/>
    <n v="0"/>
    <n v="5"/>
    <n v="1"/>
    <n v="7"/>
    <n v="2"/>
    <n v="5"/>
    <n v="1"/>
    <n v="0"/>
    <n v="0"/>
    <n v="2"/>
    <m/>
  </r>
  <r>
    <n v="1393"/>
    <d v="2025-03-11T08:31:25"/>
    <d v="2025-03-11T08:48:32"/>
    <s v="lkaonga@lighthouse.org.mw"/>
    <s v="Lameck Kaonga"/>
    <x v="9"/>
    <s v="COE"/>
    <x v="2"/>
    <s v="COP_23"/>
    <s v="COP_24"/>
    <x v="2"/>
    <s v="Quarter2"/>
    <s v="Qtr_2"/>
    <s v="Feb"/>
    <d v="2025-02-01T00:00:00"/>
    <d v="2025-02-28T00:00:00"/>
    <x v="1"/>
    <n v="71"/>
    <n v="10"/>
    <n v="36"/>
    <n v="14"/>
    <n v="13"/>
    <n v="8"/>
    <n v="18"/>
    <n v="18"/>
    <n v="18"/>
    <n v="18"/>
    <n v="18"/>
    <n v="0"/>
    <n v="18"/>
    <n v="2"/>
    <n v="2"/>
    <n v="0"/>
    <n v="5"/>
    <n v="4"/>
    <n v="7"/>
    <n v="2"/>
    <n v="5"/>
    <n v="1"/>
    <n v="0"/>
    <n v="0"/>
    <n v="2"/>
    <m/>
  </r>
  <r>
    <n v="1394"/>
    <d v="2025-03-11T08:48:52"/>
    <d v="2025-03-11T08:57:35"/>
    <s v="lkaonga@lighthouse.org.mw"/>
    <s v="Lameck Kaonga"/>
    <x v="9"/>
    <s v="COE"/>
    <x v="2"/>
    <s v="COP_23"/>
    <s v="COP_24"/>
    <x v="2"/>
    <s v="Quarter2"/>
    <s v="Qtr_2"/>
    <s v="Feb"/>
    <d v="2025-02-01T00:00:00"/>
    <d v="2025-02-28T00:00:00"/>
    <x v="3"/>
    <n v="1"/>
    <n v="0"/>
    <n v="0"/>
    <n v="0"/>
    <n v="0"/>
    <n v="0"/>
    <n v="0"/>
    <n v="0"/>
    <n v="0"/>
    <n v="0"/>
    <n v="0"/>
    <n v="0"/>
    <n v="0"/>
    <n v="0"/>
    <n v="0"/>
    <n v="0"/>
    <n v="0"/>
    <n v="0"/>
    <n v="0"/>
    <n v="0"/>
    <n v="0"/>
    <n v="0"/>
    <n v="0"/>
    <n v="0"/>
    <n v="0"/>
    <m/>
  </r>
  <r>
    <n v="1395"/>
    <d v="2025-03-11T08:58:42"/>
    <d v="2025-03-11T09:00:03"/>
    <s v="lkaonga@lighthouse.org.mw"/>
    <s v="Lameck Kaonga"/>
    <x v="9"/>
    <s v="COE"/>
    <x v="2"/>
    <s v="COP_23"/>
    <s v="COP_24"/>
    <x v="2"/>
    <s v="Quarter2"/>
    <s v="Qtr_2"/>
    <s v="Feb"/>
    <d v="2025-02-01T00:00:00"/>
    <d v="2025-02-28T00:00:00"/>
    <x v="4"/>
    <n v="0"/>
    <n v="0"/>
    <n v="0"/>
    <n v="0"/>
    <n v="0"/>
    <n v="0"/>
    <n v="0"/>
    <n v="0"/>
    <n v="0"/>
    <n v="0"/>
    <n v="0"/>
    <n v="0"/>
    <n v="0"/>
    <n v="0"/>
    <n v="0"/>
    <n v="0"/>
    <n v="0"/>
    <n v="0"/>
    <n v="0"/>
    <n v="0"/>
    <n v="0"/>
    <n v="0"/>
    <n v="0"/>
    <n v="0"/>
    <n v="0"/>
    <m/>
  </r>
  <r>
    <n v="1396"/>
    <d v="2025-03-11T09:00:10"/>
    <d v="2025-03-11T09:03:01"/>
    <s v="lkaonga@lighthouse.org.mw"/>
    <s v="Lameck Kaonga"/>
    <x v="9"/>
    <s v="COE"/>
    <x v="2"/>
    <s v="COP_23"/>
    <s v="COP_24"/>
    <x v="2"/>
    <s v="Quarter2"/>
    <s v="Qtr_2"/>
    <s v="Feb"/>
    <d v="2025-02-01T00:00:00"/>
    <d v="2025-02-28T00:00:00"/>
    <x v="5"/>
    <n v="3"/>
    <n v="0"/>
    <n v="3"/>
    <n v="0"/>
    <n v="0"/>
    <n v="0"/>
    <n v="3"/>
    <n v="1"/>
    <n v="0"/>
    <n v="0"/>
    <n v="1"/>
    <n v="0"/>
    <n v="1"/>
    <n v="0"/>
    <n v="0"/>
    <n v="0"/>
    <n v="0"/>
    <n v="0"/>
    <n v="0"/>
    <n v="0"/>
    <n v="0"/>
    <n v="0"/>
    <n v="0"/>
    <n v="0"/>
    <n v="0"/>
    <m/>
  </r>
  <r>
    <n v="1397"/>
    <d v="2025-03-11T09:03:13"/>
    <d v="2025-03-11T09:07:57"/>
    <s v="lkaonga@lighthouse.org.mw"/>
    <s v="Lameck Kaonga"/>
    <x v="9"/>
    <s v="COE"/>
    <x v="2"/>
    <s v="COP_23"/>
    <s v="COP_24"/>
    <x v="2"/>
    <s v="Quarter2"/>
    <s v="Qtr_2"/>
    <s v="Feb"/>
    <d v="2025-02-01T00:00:00"/>
    <d v="2025-02-28T00:00:00"/>
    <x v="2"/>
    <n v="9"/>
    <n v="0"/>
    <n v="6"/>
    <n v="0"/>
    <n v="2"/>
    <n v="1"/>
    <n v="9"/>
    <n v="3"/>
    <n v="6"/>
    <n v="0"/>
    <n v="0"/>
    <n v="0"/>
    <n v="5"/>
    <n v="1"/>
    <n v="0"/>
    <n v="0"/>
    <n v="0"/>
    <n v="0"/>
    <n v="0"/>
    <n v="0"/>
    <n v="0"/>
    <n v="0"/>
    <n v="0"/>
    <n v="0"/>
    <n v="0"/>
    <m/>
  </r>
  <r>
    <n v="1398"/>
    <d v="2025-03-11T09:08:17"/>
    <d v="2025-03-11T09:09:18"/>
    <s v="lkaonga@lighthouse.org.mw"/>
    <s v="Lameck Kaonga"/>
    <x v="9"/>
    <s v="COE"/>
    <x v="2"/>
    <s v="COP_23"/>
    <s v="COP_24"/>
    <x v="2"/>
    <s v="Quarter2"/>
    <s v="Qtr_2"/>
    <s v="Feb"/>
    <d v="2025-02-01T00:00:00"/>
    <d v="2025-02-28T00:00:00"/>
    <x v="6"/>
    <n v="0"/>
    <n v="0"/>
    <n v="0"/>
    <n v="0"/>
    <n v="0"/>
    <n v="0"/>
    <n v="0"/>
    <n v="0"/>
    <n v="0"/>
    <n v="0"/>
    <n v="0"/>
    <n v="0"/>
    <n v="0"/>
    <n v="0"/>
    <n v="0"/>
    <n v="0"/>
    <n v="0"/>
    <n v="0"/>
    <n v="0"/>
    <n v="0"/>
    <n v="0"/>
    <n v="0"/>
    <n v="0"/>
    <n v="0"/>
    <n v="0"/>
    <m/>
  </r>
  <r>
    <n v="1463"/>
    <d v="2025-03-20T10:09:49"/>
    <d v="2025-03-20T10:12:32"/>
    <s v="lkaonga@lighthouse.org.mw"/>
    <s v="Lameck Kaonga"/>
    <x v="9"/>
    <s v="COE"/>
    <x v="2"/>
    <s v="COP_23"/>
    <s v="COP_24"/>
    <x v="2"/>
    <s v="Quarter2"/>
    <s v="Qtr_2"/>
    <s v="Jan"/>
    <d v="2025-01-01T00:00:00"/>
    <d v="2025-01-31T00:00:00"/>
    <x v="6"/>
    <n v="0"/>
    <n v="0"/>
    <n v="0"/>
    <n v="0"/>
    <n v="0"/>
    <n v="0"/>
    <n v="0"/>
    <n v="0"/>
    <n v="0"/>
    <n v="0"/>
    <n v="0"/>
    <n v="0"/>
    <n v="0"/>
    <n v="0"/>
    <n v="0"/>
    <n v="0"/>
    <n v="0"/>
    <n v="0"/>
    <n v="0"/>
    <n v="0"/>
    <n v="0"/>
    <n v="0"/>
    <n v="0"/>
    <n v="0"/>
    <n v="0"/>
    <m/>
  </r>
  <r>
    <n v="1467"/>
    <d v="2025-04-01T14:28:21"/>
    <d v="2025-04-01T14:37:08"/>
    <s v="eadisoni@lighthouse.org.mw"/>
    <s v="Eliza adisoni"/>
    <x v="9"/>
    <s v="COE"/>
    <x v="2"/>
    <s v="COP_23"/>
    <s v="COP_24"/>
    <x v="2"/>
    <s v="Quarter2"/>
    <s v="Qtr_2"/>
    <s v="Mar"/>
    <d v="2025-03-01T00:00:00"/>
    <d v="2025-03-31T00:00:00"/>
    <x v="0"/>
    <n v="138"/>
    <n v="14"/>
    <n v="85"/>
    <n v="21"/>
    <n v="22"/>
    <n v="10"/>
    <n v="132"/>
    <n v="39"/>
    <n v="37"/>
    <n v="5"/>
    <n v="4"/>
    <n v="2"/>
    <n v="38"/>
    <n v="5"/>
    <n v="0"/>
    <n v="0"/>
    <n v="6"/>
    <n v="1"/>
    <n v="20"/>
    <n v="0"/>
    <n v="8"/>
    <n v="1"/>
    <n v="0"/>
    <n v="0"/>
    <n v="11"/>
    <m/>
  </r>
  <r>
    <n v="1468"/>
    <d v="2025-04-01T14:37:18"/>
    <d v="2025-04-01T14:40:58"/>
    <s v="eadisoni@lighthouse.org.mw"/>
    <s v="Eliza adisoni"/>
    <x v="9"/>
    <s v="COE"/>
    <x v="2"/>
    <s v="COP_23"/>
    <s v="COP_24"/>
    <x v="2"/>
    <s v="Quarter2"/>
    <s v="Qtr_2"/>
    <s v="Mar"/>
    <d v="2025-03-01T00:00:00"/>
    <d v="2025-03-31T00:00:00"/>
    <x v="1"/>
    <n v="116"/>
    <n v="7"/>
    <n v="72"/>
    <n v="21"/>
    <n v="18"/>
    <n v="5"/>
    <n v="110"/>
    <n v="30"/>
    <n v="29"/>
    <n v="3"/>
    <n v="2"/>
    <n v="1"/>
    <n v="2"/>
    <n v="1"/>
    <n v="0"/>
    <n v="0"/>
    <n v="4"/>
    <n v="0"/>
    <n v="17"/>
    <n v="0"/>
    <n v="5"/>
    <n v="1"/>
    <n v="0"/>
    <n v="0"/>
    <n v="10"/>
    <m/>
  </r>
  <r>
    <n v="1469"/>
    <d v="2025-04-01T14:41:06"/>
    <d v="2025-04-01T14:43:34"/>
    <s v="eadisoni@lighthouse.org.mw"/>
    <s v="Eliza adisoni"/>
    <x v="9"/>
    <s v="COE"/>
    <x v="2"/>
    <s v="COP_23"/>
    <s v="COP_24"/>
    <x v="2"/>
    <s v="Quarter2"/>
    <s v="Qtr_2"/>
    <s v="Mar"/>
    <d v="2025-03-01T00:00:00"/>
    <d v="2025-03-31T00:00:00"/>
    <x v="3"/>
    <n v="3"/>
    <n v="0"/>
    <n v="2"/>
    <n v="0"/>
    <n v="1"/>
    <n v="0"/>
    <n v="0"/>
    <n v="0"/>
    <n v="2"/>
    <n v="0"/>
    <n v="0"/>
    <n v="0"/>
    <n v="3"/>
    <n v="0"/>
    <n v="0"/>
    <n v="0"/>
    <n v="1"/>
    <n v="0"/>
    <n v="1"/>
    <n v="0"/>
    <n v="1"/>
    <n v="0"/>
    <n v="0"/>
    <n v="0"/>
    <n v="0"/>
    <m/>
  </r>
  <r>
    <n v="1470"/>
    <d v="2025-04-01T14:43:37"/>
    <d v="2025-04-01T14:45:50"/>
    <s v="eadisoni@lighthouse.org.mw"/>
    <s v="Eliza adisoni"/>
    <x v="9"/>
    <s v="COE"/>
    <x v="2"/>
    <s v="COP_23"/>
    <s v="COP_24"/>
    <x v="2"/>
    <s v="Quarter2"/>
    <s v="Qtr_2"/>
    <s v="Mar"/>
    <d v="2025-03-01T00:00:00"/>
    <d v="2025-03-31T00:00:00"/>
    <x v="4"/>
    <n v="4"/>
    <n v="1"/>
    <n v="1"/>
    <n v="1"/>
    <n v="1"/>
    <n v="1"/>
    <n v="2"/>
    <n v="0"/>
    <n v="0"/>
    <n v="0"/>
    <n v="0"/>
    <n v="0"/>
    <n v="0"/>
    <n v="0"/>
    <n v="0"/>
    <n v="0"/>
    <n v="0"/>
    <n v="0"/>
    <n v="1"/>
    <n v="0"/>
    <n v="0"/>
    <n v="0"/>
    <n v="0"/>
    <n v="0"/>
    <n v="0"/>
    <m/>
  </r>
  <r>
    <n v="1471"/>
    <d v="2025-04-01T14:46:05"/>
    <d v="2025-04-01T14:48:24"/>
    <s v="eadisoni@lighthouse.org.mw"/>
    <s v="Eliza adisoni"/>
    <x v="9"/>
    <s v="COE"/>
    <x v="2"/>
    <s v="COP_23"/>
    <s v="COP_24"/>
    <x v="2"/>
    <s v="Quarter2"/>
    <s v="Qtr_2"/>
    <s v="Mar"/>
    <d v="2025-03-01T00:00:00"/>
    <d v="2025-03-31T00:00:00"/>
    <x v="2"/>
    <n v="22"/>
    <n v="7"/>
    <n v="13"/>
    <n v="4"/>
    <n v="5"/>
    <n v="0"/>
    <n v="22"/>
    <n v="9"/>
    <n v="8"/>
    <n v="2"/>
    <n v="2"/>
    <n v="1"/>
    <n v="8"/>
    <n v="1"/>
    <n v="0"/>
    <n v="0"/>
    <n v="2"/>
    <n v="1"/>
    <n v="3"/>
    <n v="0"/>
    <n v="2"/>
    <n v="0"/>
    <n v="0"/>
    <n v="0"/>
    <n v="2"/>
    <m/>
  </r>
  <r>
    <n v="1472"/>
    <d v="2025-04-01T14:48:28"/>
    <d v="2025-04-01T14:50:45"/>
    <s v="eadisoni@lighthouse.org.mw"/>
    <s v="Eliza adisoni"/>
    <x v="9"/>
    <s v="COE"/>
    <x v="2"/>
    <s v="COP_23"/>
    <s v="COP_24"/>
    <x v="2"/>
    <s v="Quarter2"/>
    <s v="Qtr_2"/>
    <s v="Mar"/>
    <d v="2025-03-01T00:00:00"/>
    <d v="2025-03-31T00:00:00"/>
    <x v="5"/>
    <n v="3"/>
    <n v="1"/>
    <n v="2"/>
    <n v="0"/>
    <n v="1"/>
    <n v="0"/>
    <n v="3"/>
    <n v="2"/>
    <n v="0"/>
    <n v="0"/>
    <n v="0"/>
    <n v="0"/>
    <n v="2"/>
    <n v="0"/>
    <n v="0"/>
    <n v="0"/>
    <n v="1"/>
    <n v="0"/>
    <n v="1"/>
    <n v="0"/>
    <n v="1"/>
    <n v="0"/>
    <n v="0"/>
    <n v="0"/>
    <n v="0"/>
    <m/>
  </r>
  <r>
    <n v="1608"/>
    <d v="2025-06-03T09:49:38"/>
    <d v="2025-06-03T09:53:51"/>
    <s v="eadisoni@lighthouse.org.mw"/>
    <s v="Eliza adisoni"/>
    <x v="9"/>
    <s v="COE"/>
    <x v="2"/>
    <s v="COP_23"/>
    <m/>
    <x v="1"/>
    <s v="Quarter3"/>
    <m/>
    <s v="Apr"/>
    <d v="2025-04-01T00:00:00"/>
    <d v="2025-04-30T00:00:00"/>
    <x v="0"/>
    <n v="120"/>
    <n v="7"/>
    <n v="92"/>
    <n v="11"/>
    <n v="6"/>
    <n v="11"/>
    <n v="115"/>
    <n v="36"/>
    <n v="34"/>
    <n v="1"/>
    <n v="9"/>
    <n v="0"/>
    <n v="36"/>
    <n v="5"/>
    <n v="0"/>
    <n v="0"/>
    <n v="8"/>
    <n v="3"/>
    <n v="25"/>
    <n v="2"/>
    <n v="3"/>
    <n v="0"/>
    <n v="0"/>
    <n v="0"/>
    <n v="0"/>
    <m/>
  </r>
  <r>
    <n v="1609"/>
    <d v="2025-06-03T09:53:58"/>
    <d v="2025-06-03T09:56:39"/>
    <s v="eadisoni@lighthouse.org.mw"/>
    <s v="Eliza adisoni"/>
    <x v="9"/>
    <s v="COE"/>
    <x v="2"/>
    <s v="COP_23"/>
    <m/>
    <x v="1"/>
    <s v="Quarter3"/>
    <m/>
    <s v="Apr"/>
    <d v="2025-04-01T00:00:00"/>
    <d v="2025-04-30T00:00:00"/>
    <x v="1"/>
    <n v="110"/>
    <n v="6"/>
    <n v="87"/>
    <n v="10"/>
    <n v="4"/>
    <n v="9"/>
    <n v="105"/>
    <n v="34"/>
    <n v="33"/>
    <n v="0"/>
    <n v="8"/>
    <n v="0"/>
    <n v="34"/>
    <n v="3"/>
    <n v="0"/>
    <n v="0"/>
    <n v="7"/>
    <n v="3"/>
    <n v="25"/>
    <n v="2"/>
    <n v="5"/>
    <n v="5"/>
    <n v="0"/>
    <n v="1"/>
    <n v="2"/>
    <m/>
  </r>
  <r>
    <n v="1610"/>
    <d v="2025-06-03T09:56:56"/>
    <d v="2025-06-03T10:00:17"/>
    <s v="eadisoni@lighthouse.org.mw"/>
    <s v="Eliza adisoni"/>
    <x v="9"/>
    <s v="COE"/>
    <x v="2"/>
    <s v="COP_23"/>
    <m/>
    <x v="1"/>
    <s v="Quarter3"/>
    <m/>
    <s v="Apr"/>
    <d v="2025-04-01T00:00:00"/>
    <d v="2025-04-30T00:00:00"/>
    <x v="3"/>
    <n v="3"/>
    <n v="0"/>
    <n v="2"/>
    <n v="0"/>
    <n v="0"/>
    <n v="1"/>
    <n v="0"/>
    <n v="0"/>
    <n v="3"/>
    <n v="0"/>
    <n v="1"/>
    <n v="0"/>
    <n v="1"/>
    <n v="0"/>
    <n v="0"/>
    <n v="0"/>
    <n v="0"/>
    <n v="0"/>
    <n v="1"/>
    <n v="0"/>
    <n v="1"/>
    <n v="0"/>
    <n v="0"/>
    <n v="0"/>
    <n v="0"/>
    <m/>
  </r>
  <r>
    <n v="1611"/>
    <d v="2025-06-03T10:00:23"/>
    <d v="2025-06-03T10:02:30"/>
    <s v="eadisoni@lighthouse.org.mw"/>
    <s v="Eliza adisoni"/>
    <x v="9"/>
    <s v="COE"/>
    <x v="2"/>
    <s v="COP_23"/>
    <m/>
    <x v="1"/>
    <s v="Quarter3"/>
    <m/>
    <s v="Apr"/>
    <d v="2025-04-01T00:00:00"/>
    <d v="2025-04-30T00:00:00"/>
    <x v="4"/>
    <n v="2"/>
    <n v="1"/>
    <n v="1"/>
    <n v="0"/>
    <n v="0"/>
    <n v="1"/>
    <n v="2"/>
    <n v="2"/>
    <n v="2"/>
    <n v="0"/>
    <n v="0"/>
    <n v="0"/>
    <n v="2"/>
    <n v="0"/>
    <n v="0"/>
    <n v="0"/>
    <n v="0"/>
    <n v="0"/>
    <n v="2"/>
    <n v="0"/>
    <n v="0"/>
    <n v="0"/>
    <n v="0"/>
    <n v="0"/>
    <n v="1"/>
    <m/>
  </r>
  <r>
    <n v="1613"/>
    <d v="2025-06-03T10:04:26"/>
    <d v="2025-06-03T10:06:39"/>
    <s v="eadisoni@lighthouse.org.mw"/>
    <s v="Eliza adisoni"/>
    <x v="9"/>
    <s v="COE"/>
    <x v="2"/>
    <s v="COP_23"/>
    <m/>
    <x v="1"/>
    <s v="Quarter3"/>
    <m/>
    <s v="Apr"/>
    <d v="2025-04-01T00:00:00"/>
    <d v="2025-04-30T00:00:00"/>
    <x v="2"/>
    <n v="10"/>
    <n v="1"/>
    <n v="5"/>
    <n v="1"/>
    <n v="2"/>
    <n v="2"/>
    <n v="10"/>
    <n v="2"/>
    <n v="1"/>
    <n v="1"/>
    <n v="0"/>
    <n v="0"/>
    <n v="2"/>
    <n v="2"/>
    <n v="0"/>
    <n v="0"/>
    <n v="1"/>
    <n v="0"/>
    <n v="0"/>
    <n v="0"/>
    <n v="2"/>
    <n v="0"/>
    <n v="0"/>
    <n v="0"/>
    <n v="2"/>
    <m/>
  </r>
  <r>
    <n v="1621"/>
    <d v="2025-06-03T11:11:38"/>
    <d v="2025-06-03T11:12:05"/>
    <s v="eadisoni@lighthouse.org.mw"/>
    <s v="Eliza adisoni"/>
    <x v="9"/>
    <s v="COE"/>
    <x v="2"/>
    <s v="COP_23"/>
    <m/>
    <x v="1"/>
    <s v="Quarter3"/>
    <m/>
    <s v="May"/>
    <d v="2025-05-01T00:00:00"/>
    <d v="2025-05-31T00:00:00"/>
    <x v="0"/>
    <n v="115"/>
    <n v="18"/>
    <n v="67"/>
    <n v="15"/>
    <n v="24"/>
    <n v="9"/>
    <n v="112"/>
    <n v="26"/>
    <n v="31"/>
    <n v="1"/>
    <n v="2"/>
    <n v="0"/>
    <n v="30"/>
    <n v="1"/>
    <n v="3"/>
    <n v="2"/>
    <n v="13"/>
    <n v="8"/>
    <n v="12"/>
    <n v="1"/>
    <n v="9"/>
    <n v="0"/>
    <n v="0"/>
    <n v="1"/>
    <n v="4"/>
    <m/>
  </r>
  <r>
    <n v="1624"/>
    <d v="2025-06-03T11:15:47"/>
    <d v="2025-06-03T11:17:51"/>
    <s v="eadisoni@lighthouse.org.mw"/>
    <s v="Eliza adisoni"/>
    <x v="9"/>
    <s v="COE"/>
    <x v="2"/>
    <s v="COP_23"/>
    <m/>
    <x v="1"/>
    <s v="Quarter3"/>
    <m/>
    <s v="May"/>
    <d v="2025-05-01T00:00:00"/>
    <d v="2025-05-31T00:00:00"/>
    <x v="3"/>
    <n v="4"/>
    <n v="2"/>
    <n v="2"/>
    <n v="0"/>
    <n v="1"/>
    <n v="1"/>
    <n v="2"/>
    <n v="0"/>
    <n v="0"/>
    <n v="0"/>
    <n v="0"/>
    <n v="0"/>
    <n v="4"/>
    <n v="0"/>
    <n v="0"/>
    <n v="0"/>
    <n v="1"/>
    <n v="1"/>
    <n v="0"/>
    <n v="0"/>
    <n v="1"/>
    <n v="0"/>
    <n v="0"/>
    <n v="0"/>
    <n v="0"/>
    <m/>
  </r>
  <r>
    <n v="1626"/>
    <d v="2025-06-03T11:18:03"/>
    <d v="2025-06-03T11:20:11"/>
    <s v="eadisoni@lighthouse.org.mw"/>
    <s v="Eliza adisoni"/>
    <x v="9"/>
    <s v="COE"/>
    <x v="2"/>
    <s v="COP_23"/>
    <m/>
    <x v="1"/>
    <s v="Quarter3"/>
    <m/>
    <s v="May"/>
    <d v="2025-05-01T00:00:00"/>
    <d v="2025-05-31T00:00:00"/>
    <x v="4"/>
    <n v="6"/>
    <n v="4"/>
    <n v="0"/>
    <n v="0"/>
    <n v="3"/>
    <n v="3"/>
    <n v="5"/>
    <n v="1"/>
    <n v="2"/>
    <n v="0"/>
    <n v="0"/>
    <n v="0"/>
    <n v="2"/>
    <n v="0"/>
    <n v="1"/>
    <n v="0"/>
    <n v="3"/>
    <n v="2"/>
    <n v="1"/>
    <n v="0"/>
    <n v="1"/>
    <n v="0"/>
    <n v="0"/>
    <n v="0"/>
    <n v="1"/>
    <m/>
  </r>
  <r>
    <n v="1629"/>
    <d v="2025-06-03T11:20:20"/>
    <d v="2025-06-03T11:23:40"/>
    <s v="eadisoni@lighthouse.org.mw"/>
    <s v="Eliza adisoni"/>
    <x v="9"/>
    <s v="COE"/>
    <x v="2"/>
    <s v="COP_23"/>
    <m/>
    <x v="1"/>
    <s v="Quarter3"/>
    <m/>
    <s v="May"/>
    <d v="2025-05-01T00:00:00"/>
    <d v="2025-05-31T00:00:00"/>
    <x v="1"/>
    <n v="88"/>
    <n v="9"/>
    <n v="52"/>
    <n v="11"/>
    <n v="16"/>
    <n v="9"/>
    <n v="85"/>
    <n v="16"/>
    <n v="21"/>
    <n v="1"/>
    <n v="2"/>
    <n v="0"/>
    <n v="20"/>
    <n v="1"/>
    <n v="3"/>
    <n v="2"/>
    <n v="9"/>
    <n v="6"/>
    <n v="9"/>
    <n v="1"/>
    <n v="8"/>
    <n v="0"/>
    <n v="0"/>
    <n v="1"/>
    <n v="1"/>
    <m/>
  </r>
  <r>
    <n v="1631"/>
    <d v="2025-06-03T11:24:31"/>
    <d v="2025-06-03T11:26:33"/>
    <s v="eadisoni@lighthouse.org.mw"/>
    <s v="Eliza adisoni"/>
    <x v="9"/>
    <s v="COE"/>
    <x v="2"/>
    <s v="COP_23"/>
    <m/>
    <x v="1"/>
    <s v="Quarter3"/>
    <m/>
    <s v="May"/>
    <d v="2025-05-01T00:00:00"/>
    <d v="2025-05-31T00:00:00"/>
    <x v="5"/>
    <n v="2"/>
    <n v="1"/>
    <n v="1"/>
    <n v="0"/>
    <n v="1"/>
    <n v="0"/>
    <n v="2"/>
    <n v="1"/>
    <n v="1"/>
    <n v="0"/>
    <n v="0"/>
    <n v="0"/>
    <n v="1"/>
    <n v="0"/>
    <n v="0"/>
    <n v="0"/>
    <n v="0"/>
    <n v="0"/>
    <n v="0"/>
    <n v="0"/>
    <n v="0"/>
    <n v="0"/>
    <n v="0"/>
    <n v="0"/>
    <n v="1"/>
    <m/>
  </r>
  <r>
    <n v="1632"/>
    <d v="2025-06-03T11:26:59"/>
    <d v="2025-06-03T11:29:41"/>
    <s v="eadisoni@lighthouse.org.mw"/>
    <s v="Eliza adisoni"/>
    <x v="9"/>
    <s v="COE"/>
    <x v="2"/>
    <s v="COP_23"/>
    <m/>
    <x v="1"/>
    <s v="Quarter3"/>
    <m/>
    <s v="May"/>
    <d v="2025-05-01T00:00:00"/>
    <d v="2025-05-31T00:00:00"/>
    <x v="2"/>
    <n v="26"/>
    <n v="8"/>
    <n v="15"/>
    <n v="4"/>
    <n v="7"/>
    <n v="0"/>
    <n v="26"/>
    <n v="10"/>
    <n v="10"/>
    <n v="0"/>
    <n v="0"/>
    <n v="0"/>
    <n v="10"/>
    <n v="0"/>
    <n v="0"/>
    <n v="0"/>
    <n v="4"/>
    <n v="2"/>
    <n v="3"/>
    <n v="0"/>
    <n v="1"/>
    <n v="0"/>
    <n v="0"/>
    <n v="0"/>
    <n v="2"/>
    <m/>
  </r>
  <r>
    <n v="1719"/>
    <d v="2025-07-02T15:24:08"/>
    <d v="2025-07-02T15:27:21"/>
    <s v="eadisoni@lighthouse.org.mw"/>
    <s v="Eliza adisoni"/>
    <x v="9"/>
    <s v="COE"/>
    <x v="2"/>
    <s v="COP_23"/>
    <m/>
    <x v="3"/>
    <s v="Quarter3"/>
    <m/>
    <s v="Jun"/>
    <d v="2025-06-01T00:00:00"/>
    <d v="2025-06-30T00:00:00"/>
    <x v="0"/>
    <n v="88"/>
    <n v="9"/>
    <n v="56"/>
    <n v="11"/>
    <n v="12"/>
    <n v="9"/>
    <n v="87"/>
    <n v="22"/>
    <n v="22"/>
    <n v="1"/>
    <n v="2"/>
    <n v="1"/>
    <n v="21"/>
    <n v="2"/>
    <n v="3"/>
    <n v="1"/>
    <n v="6"/>
    <n v="3"/>
    <n v="17"/>
    <n v="1"/>
    <n v="8"/>
    <n v="0"/>
    <n v="0"/>
    <n v="1"/>
    <n v="3"/>
    <m/>
  </r>
  <r>
    <n v="1720"/>
    <d v="2025-07-02T15:27:24"/>
    <d v="2025-07-02T15:28:55"/>
    <s v="eadisoni@lighthouse.org.mw"/>
    <s v="Eliza adisoni"/>
    <x v="9"/>
    <s v="COE"/>
    <x v="2"/>
    <s v="COP_23"/>
    <m/>
    <x v="3"/>
    <s v="Quarter3"/>
    <m/>
    <s v="Jun"/>
    <d v="2025-06-01T00:00:00"/>
    <d v="2025-06-30T00:00:00"/>
    <x v="3"/>
    <n v="0"/>
    <n v="0"/>
    <n v="0"/>
    <n v="0"/>
    <n v="0"/>
    <n v="0"/>
    <n v="0"/>
    <n v="0"/>
    <n v="0"/>
    <n v="0"/>
    <n v="0"/>
    <n v="0"/>
    <n v="0"/>
    <n v="0"/>
    <n v="0"/>
    <n v="0"/>
    <n v="0"/>
    <n v="0"/>
    <n v="0"/>
    <n v="0"/>
    <n v="0"/>
    <n v="0"/>
    <n v="0"/>
    <n v="0"/>
    <n v="0"/>
    <m/>
  </r>
  <r>
    <n v="1721"/>
    <d v="2025-07-02T15:29:09"/>
    <d v="2025-07-02T15:32:14"/>
    <s v="eadisoni@lighthouse.org.mw"/>
    <s v="Eliza adisoni"/>
    <x v="9"/>
    <s v="COE"/>
    <x v="2"/>
    <s v="COP_23"/>
    <m/>
    <x v="3"/>
    <s v="Quarter3"/>
    <m/>
    <s v="Jun"/>
    <d v="2025-06-01T00:00:00"/>
    <d v="2025-06-30T00:00:00"/>
    <x v="1"/>
    <n v="79"/>
    <n v="5"/>
    <n v="49"/>
    <n v="11"/>
    <n v="11"/>
    <n v="8"/>
    <n v="78"/>
    <n v="18"/>
    <n v="18"/>
    <n v="0"/>
    <n v="1"/>
    <n v="0"/>
    <n v="18"/>
    <n v="2"/>
    <n v="3"/>
    <n v="2"/>
    <n v="6"/>
    <n v="3"/>
    <n v="16"/>
    <n v="1"/>
    <n v="8"/>
    <n v="0"/>
    <n v="0"/>
    <n v="1"/>
    <n v="3"/>
    <m/>
  </r>
  <r>
    <n v="1722"/>
    <d v="2025-07-02T15:34:55"/>
    <d v="2025-07-02T15:37:34"/>
    <s v="eadisoni@lighthouse.org.mw"/>
    <s v="Eliza adisoni"/>
    <x v="9"/>
    <s v="COE"/>
    <x v="2"/>
    <s v="COP_23"/>
    <m/>
    <x v="3"/>
    <s v="Quarter3"/>
    <m/>
    <s v="Jun"/>
    <d v="2025-06-01T00:00:00"/>
    <d v="2025-06-30T00:00:00"/>
    <x v="4"/>
    <n v="5"/>
    <n v="2"/>
    <n v="3"/>
    <n v="0"/>
    <n v="0"/>
    <n v="2"/>
    <n v="5"/>
    <n v="2"/>
    <n v="2"/>
    <n v="0"/>
    <n v="0"/>
    <n v="0"/>
    <n v="2"/>
    <n v="0"/>
    <n v="1"/>
    <n v="0"/>
    <n v="0"/>
    <n v="0"/>
    <n v="2"/>
    <n v="0"/>
    <n v="0"/>
    <n v="0"/>
    <n v="0"/>
    <n v="0"/>
    <n v="1"/>
    <m/>
  </r>
  <r>
    <n v="1723"/>
    <d v="2025-07-02T15:37:36"/>
    <d v="2025-07-02T15:38:52"/>
    <s v="eadisoni@lighthouse.org.mw"/>
    <s v="Eliza adisoni"/>
    <x v="9"/>
    <s v="COE"/>
    <x v="2"/>
    <s v="COP_23"/>
    <m/>
    <x v="3"/>
    <s v="Quarter3"/>
    <m/>
    <s v="Jun"/>
    <d v="2025-06-01T00:00:00"/>
    <d v="2025-06-30T00:00:00"/>
    <x v="5"/>
    <n v="0"/>
    <n v="0"/>
    <n v="0"/>
    <n v="0"/>
    <n v="0"/>
    <n v="0"/>
    <n v="0"/>
    <n v="0"/>
    <n v="0"/>
    <n v="0"/>
    <n v="0"/>
    <n v="0"/>
    <n v="0"/>
    <n v="0"/>
    <n v="0"/>
    <n v="0"/>
    <n v="0"/>
    <n v="0"/>
    <n v="0"/>
    <n v="0"/>
    <n v="0"/>
    <n v="0"/>
    <n v="0"/>
    <n v="0"/>
    <n v="0"/>
    <m/>
  </r>
  <r>
    <n v="1724"/>
    <d v="2025-07-02T15:39:05"/>
    <d v="2025-07-02T15:41:50"/>
    <s v="eadisoni@lighthouse.org.mw"/>
    <s v="Eliza adisoni"/>
    <x v="9"/>
    <s v="COE"/>
    <x v="2"/>
    <s v="COP_23"/>
    <m/>
    <x v="3"/>
    <s v="Quarter3"/>
    <m/>
    <s v="Jun"/>
    <d v="2025-06-01T00:00:00"/>
    <d v="2025-06-30T00:00:00"/>
    <x v="2"/>
    <n v="9"/>
    <n v="2"/>
    <n v="7"/>
    <n v="0"/>
    <n v="1"/>
    <n v="1"/>
    <n v="9"/>
    <n v="4"/>
    <n v="1"/>
    <n v="0"/>
    <n v="1"/>
    <n v="0"/>
    <n v="3"/>
    <n v="0"/>
    <n v="0"/>
    <n v="0"/>
    <n v="0"/>
    <n v="0"/>
    <n v="2"/>
    <n v="0"/>
    <n v="0"/>
    <n v="0"/>
    <n v="0"/>
    <n v="0"/>
    <n v="0"/>
    <m/>
  </r>
  <r>
    <n v="205"/>
    <d v="2024-04-05T11:23:49"/>
    <d v="2024-04-05T11:26:08"/>
    <s v="tsatumba@lighthouse.org.mw"/>
    <s v="Thomas Satumba"/>
    <x v="10"/>
    <s v="Prototype"/>
    <x v="1"/>
    <s v="COP_23"/>
    <s v="COP_23"/>
    <x v="2"/>
    <s v="Quarter2"/>
    <s v="Qtr_2"/>
    <s v="Jan"/>
    <d v="2024-01-01T00:00:00"/>
    <d v="2024-01-31T00:00:00"/>
    <x v="3"/>
    <n v="0"/>
    <n v="0"/>
    <n v="0"/>
    <n v="0"/>
    <n v="0"/>
    <n v="0"/>
    <n v="0"/>
    <n v="0"/>
    <n v="0"/>
    <n v="0"/>
    <n v="0"/>
    <n v="0"/>
    <n v="0"/>
    <n v="0"/>
    <n v="0"/>
    <n v="0"/>
    <n v="0"/>
    <n v="0"/>
    <n v="0"/>
    <n v="0"/>
    <n v="0"/>
    <n v="0"/>
    <n v="0"/>
    <n v="0"/>
    <n v="0"/>
    <m/>
  </r>
  <r>
    <n v="206"/>
    <d v="2024-04-05T11:26:13"/>
    <d v="2024-04-05T11:30:57"/>
    <s v="tsatumba@lighthouse.org.mw"/>
    <s v="Thomas Satumba"/>
    <x v="10"/>
    <s v="Prototype"/>
    <x v="1"/>
    <s v="COP_23"/>
    <s v="COP_23"/>
    <x v="2"/>
    <s v="Quarter2"/>
    <s v="Qtr_2"/>
    <s v="Jan"/>
    <d v="2024-01-01T00:00:00"/>
    <d v="2024-01-31T00:00:00"/>
    <x v="5"/>
    <n v="4"/>
    <n v="0"/>
    <n v="3"/>
    <n v="0"/>
    <n v="0"/>
    <n v="1"/>
    <n v="3"/>
    <n v="1"/>
    <n v="2"/>
    <n v="0"/>
    <n v="0"/>
    <n v="0"/>
    <n v="2"/>
    <n v="1"/>
    <n v="0"/>
    <n v="0"/>
    <n v="0"/>
    <n v="0"/>
    <n v="0"/>
    <n v="0"/>
    <n v="0"/>
    <n v="0"/>
    <n v="0"/>
    <n v="0"/>
    <n v="0"/>
    <m/>
  </r>
  <r>
    <n v="208"/>
    <d v="2024-04-05T11:42:42"/>
    <d v="2024-04-05T11:46:53"/>
    <s v="tsatumba@lighthouse.org.mw"/>
    <s v="Thomas Satumba"/>
    <x v="10"/>
    <s v="Prototype"/>
    <x v="1"/>
    <s v="COP_23"/>
    <s v="COP_23"/>
    <x v="2"/>
    <s v="Quarter2"/>
    <s v="Qtr_2"/>
    <s v="Jan"/>
    <d v="2024-01-01T00:00:00"/>
    <d v="2024-01-31T00:00:00"/>
    <x v="4"/>
    <n v="1"/>
    <n v="0"/>
    <n v="1"/>
    <n v="0"/>
    <n v="0"/>
    <n v="0"/>
    <n v="0"/>
    <n v="0"/>
    <n v="1"/>
    <n v="0"/>
    <n v="0"/>
    <n v="0"/>
    <n v="1"/>
    <n v="0"/>
    <n v="0"/>
    <n v="0"/>
    <n v="0"/>
    <n v="0"/>
    <n v="0"/>
    <n v="0"/>
    <n v="0"/>
    <n v="0"/>
    <n v="0"/>
    <n v="0"/>
    <n v="0"/>
    <m/>
  </r>
  <r>
    <n v="211"/>
    <d v="2024-04-05T11:58:36"/>
    <d v="2024-04-05T12:02:05"/>
    <s v="tsatumba@lighthouse.org.mw"/>
    <s v="Thomas Satumba"/>
    <x v="10"/>
    <s v="Prototype"/>
    <x v="1"/>
    <s v="COP_23"/>
    <s v="COP_23"/>
    <x v="2"/>
    <s v="Quarter2"/>
    <s v="Qtr_2"/>
    <s v="Feb"/>
    <d v="2024-02-01T00:00:00"/>
    <d v="2024-02-29T00:00:00"/>
    <x v="5"/>
    <n v="3"/>
    <n v="1"/>
    <n v="2"/>
    <n v="0"/>
    <n v="0"/>
    <n v="1"/>
    <n v="3"/>
    <n v="1"/>
    <n v="2"/>
    <n v="0"/>
    <n v="0"/>
    <n v="0"/>
    <n v="2"/>
    <n v="1"/>
    <n v="0"/>
    <n v="0"/>
    <n v="0"/>
    <n v="0"/>
    <n v="0"/>
    <n v="0"/>
    <n v="0"/>
    <n v="0"/>
    <n v="0"/>
    <n v="0"/>
    <n v="0"/>
    <m/>
  </r>
  <r>
    <n v="212"/>
    <d v="2024-04-05T12:02:09"/>
    <d v="2024-04-05T12:05:00"/>
    <s v="tsatumba@lighthouse.org.mw"/>
    <s v="Thomas Satumba"/>
    <x v="10"/>
    <s v="Prototype"/>
    <x v="1"/>
    <s v="COP_23"/>
    <s v="COP_23"/>
    <x v="2"/>
    <s v="Quarter2"/>
    <s v="Qtr_2"/>
    <s v="Feb"/>
    <d v="2024-01-01T00:00:00"/>
    <d v="2024-02-29T00:00:00"/>
    <x v="4"/>
    <n v="1"/>
    <n v="0"/>
    <n v="1"/>
    <n v="0"/>
    <n v="0"/>
    <n v="0"/>
    <n v="0"/>
    <n v="0"/>
    <n v="0"/>
    <n v="0"/>
    <n v="0"/>
    <n v="0"/>
    <n v="1"/>
    <n v="0"/>
    <n v="0"/>
    <n v="0"/>
    <n v="0"/>
    <n v="0"/>
    <n v="0"/>
    <n v="0"/>
    <n v="0"/>
    <n v="0"/>
    <n v="0"/>
    <n v="0"/>
    <n v="0"/>
    <m/>
  </r>
  <r>
    <n v="215"/>
    <d v="2024-04-05T12:40:56"/>
    <d v="2024-04-05T12:42:36"/>
    <s v="tsatumba@lighthouse.org.mw"/>
    <s v="Thomas Satumba"/>
    <x v="10"/>
    <s v="Prototype"/>
    <x v="1"/>
    <s v="COP_23"/>
    <s v="COP_23"/>
    <x v="2"/>
    <s v="Quarter2"/>
    <s v="Qtr_2"/>
    <s v="Mar"/>
    <d v="2024-03-01T00:00:00"/>
    <d v="2024-03-31T00:00:00"/>
    <x v="5"/>
    <n v="2"/>
    <n v="1"/>
    <n v="1"/>
    <n v="0"/>
    <n v="0"/>
    <n v="1"/>
    <n v="1"/>
    <n v="0"/>
    <n v="0"/>
    <n v="0"/>
    <n v="0"/>
    <n v="0"/>
    <n v="0"/>
    <n v="0"/>
    <n v="0"/>
    <n v="0"/>
    <n v="0"/>
    <n v="0"/>
    <n v="0"/>
    <n v="0"/>
    <n v="0"/>
    <n v="0"/>
    <n v="0"/>
    <n v="0"/>
    <n v="0"/>
    <m/>
  </r>
  <r>
    <n v="216"/>
    <d v="2024-04-05T12:42:46"/>
    <d v="2024-04-05T12:44:24"/>
    <s v="tsatumba@lighthouse.org.mw"/>
    <s v="Thomas Satumba"/>
    <x v="10"/>
    <s v="Prototype"/>
    <x v="1"/>
    <s v="COP_23"/>
    <s v="COP_23"/>
    <x v="2"/>
    <s v="Quarter2"/>
    <s v="Qtr_2"/>
    <s v="Mar"/>
    <d v="2024-03-01T00:00:00"/>
    <d v="2024-03-31T00:00:00"/>
    <x v="3"/>
    <n v="1"/>
    <n v="0"/>
    <n v="1"/>
    <n v="0"/>
    <n v="0"/>
    <n v="0"/>
    <n v="0"/>
    <n v="0"/>
    <n v="0"/>
    <n v="0"/>
    <n v="0"/>
    <n v="0"/>
    <n v="1"/>
    <n v="0"/>
    <n v="0"/>
    <n v="0"/>
    <n v="0"/>
    <n v="0"/>
    <n v="0"/>
    <n v="0"/>
    <n v="0"/>
    <n v="0"/>
    <n v="0"/>
    <n v="0"/>
    <n v="0"/>
    <m/>
  </r>
  <r>
    <n v="244"/>
    <d v="2024-04-17T15:40:26"/>
    <d v="2024-04-17T15:45:09"/>
    <s v="tsatumba@lighthouse.org.mw"/>
    <s v="Thomas Satumba"/>
    <x v="10"/>
    <s v="Prototype"/>
    <x v="1"/>
    <s v="COP_23"/>
    <s v="COP_23"/>
    <x v="2"/>
    <s v="Quarter2"/>
    <s v="Qtr_2"/>
    <s v="Jan"/>
    <d v="2024-01-01T00:00:00"/>
    <d v="2024-01-31T00:00:00"/>
    <x v="0"/>
    <n v="19"/>
    <n v="0"/>
    <n v="15"/>
    <n v="1"/>
    <n v="1"/>
    <n v="2"/>
    <n v="18"/>
    <n v="8"/>
    <n v="19"/>
    <n v="0"/>
    <n v="0"/>
    <n v="0"/>
    <n v="9"/>
    <n v="2"/>
    <n v="0"/>
    <n v="0"/>
    <n v="0"/>
    <n v="0"/>
    <n v="0"/>
    <n v="0"/>
    <n v="1"/>
    <n v="0"/>
    <n v="0"/>
    <n v="0"/>
    <n v="0"/>
    <m/>
  </r>
  <r>
    <n v="245"/>
    <d v="2024-04-17T15:45:21"/>
    <d v="2024-04-17T15:48:46"/>
    <s v="tsatumba@lighthouse.org.mw"/>
    <s v="Thomas Satumba"/>
    <x v="10"/>
    <s v="Prototype"/>
    <x v="1"/>
    <s v="COP_23"/>
    <s v="COP_23"/>
    <x v="2"/>
    <s v="Quarter2"/>
    <s v="Qtr_2"/>
    <s v="Feb"/>
    <d v="2024-02-01T00:00:00"/>
    <d v="2024-02-29T00:00:00"/>
    <x v="0"/>
    <n v="19"/>
    <n v="1"/>
    <n v="11"/>
    <n v="5"/>
    <n v="0"/>
    <n v="3"/>
    <n v="18"/>
    <n v="8"/>
    <n v="11"/>
    <n v="0"/>
    <n v="0"/>
    <n v="0"/>
    <n v="14"/>
    <n v="5"/>
    <n v="0"/>
    <n v="0"/>
    <n v="0"/>
    <n v="0"/>
    <n v="0"/>
    <n v="0"/>
    <n v="4"/>
    <n v="0"/>
    <n v="0"/>
    <n v="0"/>
    <n v="0"/>
    <m/>
  </r>
  <r>
    <n v="246"/>
    <d v="2024-04-17T15:48:50"/>
    <d v="2024-04-17T15:51:56"/>
    <s v="tsatumba@lighthouse.org.mw"/>
    <s v="Thomas Satumba"/>
    <x v="10"/>
    <s v="Prototype"/>
    <x v="1"/>
    <s v="COP_23"/>
    <s v="COP_23"/>
    <x v="2"/>
    <s v="Quarter2"/>
    <s v="Qtr_2"/>
    <s v="Mar"/>
    <d v="2024-03-01T00:00:00"/>
    <d v="2024-03-31T00:00:00"/>
    <x v="0"/>
    <n v="29"/>
    <n v="3"/>
    <n v="17"/>
    <n v="1"/>
    <n v="4"/>
    <n v="7"/>
    <n v="20"/>
    <n v="9"/>
    <n v="0"/>
    <n v="0"/>
    <n v="0"/>
    <n v="0"/>
    <n v="20"/>
    <n v="12"/>
    <n v="0"/>
    <n v="0"/>
    <n v="0"/>
    <n v="0"/>
    <n v="0"/>
    <n v="0"/>
    <n v="12"/>
    <n v="1"/>
    <n v="0"/>
    <n v="0"/>
    <n v="0"/>
    <m/>
  </r>
  <r>
    <n v="619"/>
    <d v="2024-07-16T08:57:07"/>
    <d v="2024-07-16T09:13:03"/>
    <s v="tsatumba@lighthouse.org.mw"/>
    <s v="Thomas Satumba"/>
    <x v="10"/>
    <s v="Prototype"/>
    <x v="1"/>
    <s v="COP_23"/>
    <s v="COP_23"/>
    <x v="3"/>
    <s v="Quarter3"/>
    <s v="Qtr_3"/>
    <s v="Apr"/>
    <d v="2024-04-01T00:00:00"/>
    <d v="2024-04-30T00:00:00"/>
    <x v="0"/>
    <n v="15"/>
    <n v="0"/>
    <n v="10"/>
    <n v="3"/>
    <n v="1"/>
    <n v="1"/>
    <n v="15"/>
    <n v="2"/>
    <n v="2"/>
    <n v="0"/>
    <n v="0"/>
    <n v="0"/>
    <n v="2"/>
    <n v="1"/>
    <n v="0"/>
    <n v="0"/>
    <n v="0"/>
    <n v="0"/>
    <n v="0"/>
    <n v="0"/>
    <n v="1"/>
    <n v="0"/>
    <n v="0"/>
    <n v="0"/>
    <n v="0"/>
    <m/>
  </r>
  <r>
    <n v="620"/>
    <d v="2024-07-16T09:13:33"/>
    <d v="2024-07-16T09:17:49"/>
    <s v="tsatumba@lighthouse.org.mw"/>
    <s v="Thomas Satumba"/>
    <x v="10"/>
    <s v="Prototype"/>
    <x v="1"/>
    <s v="COP_23"/>
    <s v="COP_23"/>
    <x v="3"/>
    <s v="Quarter3"/>
    <s v="Qtr_3"/>
    <s v="May"/>
    <d v="2024-05-01T00:00:00"/>
    <d v="2024-05-31T00:00:00"/>
    <x v="0"/>
    <n v="11"/>
    <n v="0"/>
    <n v="7"/>
    <n v="1"/>
    <n v="2"/>
    <n v="1"/>
    <n v="11"/>
    <n v="3"/>
    <n v="3"/>
    <n v="0"/>
    <n v="0"/>
    <n v="0"/>
    <n v="1"/>
    <n v="1"/>
    <n v="0"/>
    <n v="0"/>
    <n v="0"/>
    <n v="0"/>
    <n v="0"/>
    <n v="0"/>
    <n v="0"/>
    <n v="0"/>
    <n v="0"/>
    <n v="0"/>
    <n v="0"/>
    <m/>
  </r>
  <r>
    <n v="621"/>
    <d v="2024-07-16T09:20:29"/>
    <d v="2024-07-16T09:26:13"/>
    <s v="tsatumba@lighthouse.org.mw"/>
    <s v="Thomas Satumba"/>
    <x v="10"/>
    <s v="Prototype"/>
    <x v="1"/>
    <s v="COP_23"/>
    <s v="COP_23"/>
    <x v="3"/>
    <s v="Quarter3"/>
    <s v="Qtr_3"/>
    <s v="Jun"/>
    <d v="2024-06-01T00:00:00"/>
    <d v="2024-06-30T00:00:00"/>
    <x v="0"/>
    <n v="12"/>
    <n v="0"/>
    <n v="10"/>
    <n v="1"/>
    <n v="1"/>
    <n v="0"/>
    <n v="10"/>
    <n v="5"/>
    <n v="5"/>
    <n v="0"/>
    <n v="0"/>
    <n v="0"/>
    <n v="0"/>
    <n v="0"/>
    <n v="0"/>
    <n v="0"/>
    <n v="0"/>
    <n v="0"/>
    <n v="0"/>
    <n v="0"/>
    <n v="0"/>
    <n v="0"/>
    <n v="0"/>
    <n v="0"/>
    <n v="0"/>
    <m/>
  </r>
  <r>
    <n v="683"/>
    <d v="2024-07-31T09:18:43"/>
    <d v="2024-07-31T09:21:33"/>
    <s v="tsatumba@lighthouse.org.mw"/>
    <s v="Thomas Satumba"/>
    <x v="10"/>
    <s v="Prototype"/>
    <x v="1"/>
    <s v="COP_24"/>
    <s v="COP_23"/>
    <x v="3"/>
    <s v="Quarter3"/>
    <s v="Qtr_3"/>
    <s v="Apr"/>
    <d v="2024-04-01T00:00:00"/>
    <d v="2024-04-30T00:00:00"/>
    <x v="3"/>
    <n v="0"/>
    <n v="0"/>
    <n v="0"/>
    <n v="0"/>
    <n v="0"/>
    <n v="0"/>
    <n v="0"/>
    <n v="0"/>
    <n v="0"/>
    <n v="0"/>
    <n v="0"/>
    <n v="0"/>
    <n v="0"/>
    <n v="0"/>
    <n v="0"/>
    <n v="0"/>
    <n v="0"/>
    <n v="0"/>
    <n v="0"/>
    <n v="0"/>
    <n v="0"/>
    <n v="0"/>
    <n v="0"/>
    <n v="0"/>
    <n v="0"/>
    <m/>
  </r>
  <r>
    <n v="684"/>
    <d v="2024-07-31T09:22:01"/>
    <d v="2024-07-31T09:24:20"/>
    <s v="tsatumba@lighthouse.org.mw"/>
    <s v="Thomas Satumba"/>
    <x v="10"/>
    <s v="Prototype"/>
    <x v="1"/>
    <s v="COP_23"/>
    <s v="COP_23"/>
    <x v="3"/>
    <s v="Quarter3"/>
    <s v="Qtr_3"/>
    <s v="May"/>
    <d v="2024-05-01T00:00:00"/>
    <d v="2024-05-31T00:00:00"/>
    <x v="3"/>
    <n v="0"/>
    <n v="0"/>
    <n v="0"/>
    <n v="0"/>
    <n v="0"/>
    <n v="0"/>
    <n v="0"/>
    <n v="0"/>
    <n v="0"/>
    <n v="0"/>
    <n v="0"/>
    <n v="0"/>
    <n v="0"/>
    <n v="0"/>
    <n v="0"/>
    <n v="0"/>
    <n v="0"/>
    <n v="0"/>
    <n v="0"/>
    <n v="0"/>
    <n v="0"/>
    <n v="0"/>
    <n v="0"/>
    <n v="0"/>
    <n v="0"/>
    <m/>
  </r>
  <r>
    <n v="685"/>
    <d v="2024-07-31T09:25:35"/>
    <d v="2024-07-31T09:29:15"/>
    <s v="tsatumba@lighthouse.org.mw"/>
    <s v="Thomas Satumba"/>
    <x v="10"/>
    <s v="Prototype"/>
    <x v="1"/>
    <s v="COP_23"/>
    <s v="COP_23"/>
    <x v="3"/>
    <s v="Quarter3"/>
    <s v="Qtr_3"/>
    <s v="Jun"/>
    <d v="2024-06-01T00:00:00"/>
    <d v="2024-06-30T00:00:00"/>
    <x v="3"/>
    <n v="0"/>
    <n v="0"/>
    <n v="0"/>
    <n v="0"/>
    <n v="0"/>
    <n v="0"/>
    <n v="0"/>
    <n v="0"/>
    <n v="0"/>
    <n v="0"/>
    <n v="0"/>
    <n v="0"/>
    <n v="0"/>
    <n v="0"/>
    <n v="0"/>
    <n v="0"/>
    <n v="0"/>
    <n v="0"/>
    <n v="0"/>
    <n v="0"/>
    <n v="0"/>
    <n v="0"/>
    <n v="0"/>
    <n v="0"/>
    <n v="0"/>
    <m/>
  </r>
  <r>
    <n v="686"/>
    <d v="2024-07-31T09:29:34"/>
    <d v="2024-07-31T09:32:11"/>
    <s v="tsatumba@lighthouse.org.mw"/>
    <s v="Thomas Satumba"/>
    <x v="10"/>
    <s v="Prototype"/>
    <x v="1"/>
    <s v="COP_23"/>
    <s v="COP_23"/>
    <x v="3"/>
    <s v="Quarter3"/>
    <s v="Qtr_3"/>
    <s v="Apr"/>
    <d v="2024-04-01T00:00:00"/>
    <d v="2024-04-30T00:00:00"/>
    <x v="4"/>
    <n v="0"/>
    <n v="0"/>
    <n v="0"/>
    <n v="0"/>
    <n v="0"/>
    <n v="0"/>
    <n v="0"/>
    <n v="0"/>
    <n v="0"/>
    <n v="0"/>
    <n v="0"/>
    <n v="0"/>
    <n v="0"/>
    <n v="0"/>
    <n v="0"/>
    <n v="0"/>
    <n v="0"/>
    <n v="0"/>
    <n v="0"/>
    <n v="0"/>
    <n v="0"/>
    <n v="0"/>
    <n v="0"/>
    <n v="0"/>
    <n v="0"/>
    <m/>
  </r>
  <r>
    <n v="688"/>
    <d v="2024-07-31T09:33:49"/>
    <d v="2024-07-31T09:34:51"/>
    <s v="tsatumba@lighthouse.org.mw"/>
    <s v="Thomas Satumba"/>
    <x v="10"/>
    <s v="Prototype"/>
    <x v="1"/>
    <s v="COP_24"/>
    <s v="COP_23"/>
    <x v="3"/>
    <s v="Quarter3"/>
    <s v="Qtr_3"/>
    <s v="May"/>
    <d v="2024-05-01T00:00:00"/>
    <d v="2024-05-31T00:00:00"/>
    <x v="4"/>
    <n v="0"/>
    <n v="0"/>
    <n v="0"/>
    <n v="0"/>
    <n v="0"/>
    <n v="0"/>
    <n v="0"/>
    <n v="0"/>
    <n v="0"/>
    <n v="0"/>
    <n v="0"/>
    <n v="0"/>
    <n v="0"/>
    <n v="0"/>
    <n v="0"/>
    <n v="0"/>
    <n v="0"/>
    <n v="0"/>
    <n v="0"/>
    <n v="0"/>
    <n v="0"/>
    <n v="0"/>
    <n v="0"/>
    <n v="0"/>
    <n v="0"/>
    <m/>
  </r>
  <r>
    <n v="689"/>
    <d v="2024-07-31T09:34:55"/>
    <d v="2024-07-31T09:36:16"/>
    <s v="tsatumba@lighthouse.org.mw"/>
    <s v="Thomas Satumba"/>
    <x v="10"/>
    <s v="Prototype"/>
    <x v="1"/>
    <s v="COP_24"/>
    <s v="COP_23"/>
    <x v="3"/>
    <s v="Quarter3"/>
    <s v="Qtr_3"/>
    <s v="Jun"/>
    <d v="2024-06-01T00:00:00"/>
    <d v="2024-06-30T00:00:00"/>
    <x v="4"/>
    <n v="0"/>
    <n v="0"/>
    <n v="0"/>
    <n v="0"/>
    <n v="0"/>
    <n v="0"/>
    <n v="0"/>
    <n v="0"/>
    <n v="0"/>
    <n v="0"/>
    <n v="0"/>
    <n v="0"/>
    <n v="0"/>
    <n v="0"/>
    <n v="0"/>
    <n v="0"/>
    <n v="0"/>
    <n v="0"/>
    <n v="0"/>
    <n v="0"/>
    <n v="0"/>
    <n v="0"/>
    <n v="0"/>
    <n v="0"/>
    <n v="0"/>
    <m/>
  </r>
  <r>
    <n v="690"/>
    <d v="2024-07-31T09:36:32"/>
    <d v="2024-07-31T10:10:24"/>
    <s v="tsatumba@lighthouse.org.mw"/>
    <s v="Thomas Satumba"/>
    <x v="10"/>
    <s v="Prototype"/>
    <x v="1"/>
    <s v="COP_24"/>
    <s v="COP_23"/>
    <x v="3"/>
    <s v="Quarter3"/>
    <s v="Qtr_3"/>
    <s v="Apr"/>
    <d v="2024-04-01T00:00:00"/>
    <d v="2024-04-30T00:00:00"/>
    <x v="5"/>
    <n v="17"/>
    <n v="0"/>
    <n v="1"/>
    <n v="0"/>
    <n v="0"/>
    <n v="1"/>
    <n v="2"/>
    <n v="0"/>
    <n v="0"/>
    <n v="0"/>
    <n v="0"/>
    <n v="0"/>
    <n v="2"/>
    <n v="1"/>
    <n v="0"/>
    <n v="0"/>
    <n v="0"/>
    <n v="0"/>
    <n v="0"/>
    <n v="0"/>
    <n v="0"/>
    <n v="0"/>
    <n v="0"/>
    <n v="0"/>
    <n v="0"/>
    <m/>
  </r>
  <r>
    <n v="691"/>
    <d v="2024-07-31T10:10:35"/>
    <d v="2024-07-31T10:13:41"/>
    <s v="tsatumba@lighthouse.org.mw"/>
    <s v="Thomas Satumba"/>
    <x v="10"/>
    <s v="Prototype"/>
    <x v="1"/>
    <s v="COP_24"/>
    <s v="COP_23"/>
    <x v="3"/>
    <s v="Quarter3"/>
    <s v="Qtr_3"/>
    <s v="May"/>
    <d v="2024-05-01T00:00:00"/>
    <d v="2024-05-31T00:00:00"/>
    <x v="5"/>
    <n v="7"/>
    <n v="0"/>
    <n v="1"/>
    <n v="0"/>
    <n v="2"/>
    <n v="0"/>
    <n v="3"/>
    <n v="1"/>
    <n v="1"/>
    <n v="0"/>
    <n v="0"/>
    <n v="0"/>
    <n v="0"/>
    <n v="0"/>
    <n v="0"/>
    <n v="0"/>
    <n v="0"/>
    <n v="0"/>
    <n v="0"/>
    <n v="0"/>
    <n v="0"/>
    <n v="0"/>
    <n v="0"/>
    <n v="0"/>
    <n v="0"/>
    <m/>
  </r>
  <r>
    <n v="692"/>
    <d v="2024-07-31T10:13:54"/>
    <d v="2024-07-31T10:15:16"/>
    <s v="tsatumba@lighthouse.org.mw"/>
    <s v="Thomas Satumba"/>
    <x v="10"/>
    <s v="Prototype"/>
    <x v="1"/>
    <s v="COP_24"/>
    <s v="COP_23"/>
    <x v="3"/>
    <s v="Quarter3"/>
    <s v="Qtr_3"/>
    <s v="Jun"/>
    <d v="2024-06-01T00:00:00"/>
    <d v="2024-06-30T00:00:00"/>
    <x v="5"/>
    <n v="7"/>
    <n v="0"/>
    <n v="0"/>
    <n v="0"/>
    <n v="0"/>
    <n v="0"/>
    <n v="0"/>
    <n v="0"/>
    <n v="0"/>
    <n v="0"/>
    <n v="0"/>
    <n v="0"/>
    <n v="0"/>
    <n v="0"/>
    <n v="0"/>
    <n v="0"/>
    <n v="0"/>
    <n v="0"/>
    <n v="0"/>
    <n v="0"/>
    <n v="0"/>
    <n v="0"/>
    <n v="0"/>
    <n v="0"/>
    <n v="0"/>
    <m/>
  </r>
  <r>
    <n v="26"/>
    <d v="2023-12-18T07:55:19"/>
    <d v="2023-12-18T08:02:51"/>
    <s v="tsatumba@lighthouse.org.mw"/>
    <s v="Thomas Satumba"/>
    <x v="10"/>
    <s v="Prototype"/>
    <x v="0"/>
    <s v="COP_24"/>
    <s v="COP_23"/>
    <x v="0"/>
    <s v="Quarter1"/>
    <s v="Qtr_1"/>
    <s v="Oct"/>
    <d v="2023-10-01T00:00:00"/>
    <d v="2023-10-31T00:00:00"/>
    <x v="1"/>
    <n v="10"/>
    <n v="0"/>
    <n v="6"/>
    <n v="0"/>
    <n v="1"/>
    <n v="1"/>
    <n v="0"/>
    <n v="0"/>
    <n v="0"/>
    <n v="0"/>
    <n v="0"/>
    <n v="0"/>
    <n v="4"/>
    <n v="2"/>
    <n v="0"/>
    <n v="0"/>
    <n v="0"/>
    <n v="0"/>
    <n v="0"/>
    <n v="0"/>
    <n v="2"/>
    <n v="0"/>
    <n v="0"/>
    <n v="0"/>
    <n v="1"/>
    <m/>
  </r>
  <r>
    <n v="27"/>
    <d v="2023-12-18T08:03:53"/>
    <d v="2023-12-18T08:08:02"/>
    <s v="tsatumba@lighthouse.org.mw"/>
    <s v="Thomas Satumba"/>
    <x v="10"/>
    <s v="Prototype"/>
    <x v="0"/>
    <s v="COP_24"/>
    <s v="COP_23"/>
    <x v="0"/>
    <s v="Quarter1"/>
    <s v="Qtr_1"/>
    <s v="Nov"/>
    <d v="2023-11-01T00:00:00"/>
    <d v="2023-11-30T00:00:00"/>
    <x v="1"/>
    <n v="10"/>
    <n v="0"/>
    <n v="10"/>
    <n v="0"/>
    <n v="0"/>
    <n v="0"/>
    <n v="1"/>
    <n v="0"/>
    <n v="0"/>
    <n v="0"/>
    <n v="0"/>
    <n v="0"/>
    <n v="0"/>
    <n v="0"/>
    <n v="0"/>
    <n v="0"/>
    <n v="0"/>
    <n v="0"/>
    <n v="0"/>
    <n v="0"/>
    <n v="0"/>
    <n v="0"/>
    <n v="0"/>
    <n v="0"/>
    <n v="0"/>
    <m/>
  </r>
  <r>
    <n v="97"/>
    <d v="2024-01-18T11:56:20"/>
    <d v="2024-01-18T12:06:19"/>
    <s v="tsatumba@lighthouse.org.mw"/>
    <s v="Thomas Satumba"/>
    <x v="10"/>
    <s v="Prototype"/>
    <x v="0"/>
    <s v="COP_24"/>
    <s v="COP_23"/>
    <x v="0"/>
    <s v="Quarter1"/>
    <s v="Qtr_1"/>
    <s v="Dec"/>
    <d v="2023-12-01T00:00:00"/>
    <d v="2023-12-31T00:00:00"/>
    <x v="1"/>
    <n v="8"/>
    <n v="0"/>
    <n v="7"/>
    <n v="1"/>
    <n v="0"/>
    <n v="0"/>
    <n v="8"/>
    <n v="1"/>
    <n v="0"/>
    <n v="1"/>
    <n v="0"/>
    <n v="0"/>
    <n v="0"/>
    <n v="0"/>
    <n v="0"/>
    <n v="0"/>
    <n v="0"/>
    <n v="0"/>
    <n v="0"/>
    <n v="0"/>
    <n v="0"/>
    <n v="0"/>
    <n v="0"/>
    <n v="0"/>
    <n v="1"/>
    <m/>
  </r>
  <r>
    <n v="207"/>
    <d v="2024-04-05T11:31:01"/>
    <d v="2024-04-05T11:42:34"/>
    <s v="tsatumba@lighthouse.org.mw"/>
    <s v="Thomas Satumba"/>
    <x v="10"/>
    <s v="Prototype"/>
    <x v="1"/>
    <s v="COP_24"/>
    <s v="COP_23"/>
    <x v="2"/>
    <s v="Quarter2"/>
    <s v="Qtr_2"/>
    <s v="Jan"/>
    <d v="2024-01-01T00:00:00"/>
    <d v="2024-01-31T00:00:00"/>
    <x v="2"/>
    <n v="3"/>
    <n v="1"/>
    <n v="2"/>
    <n v="0"/>
    <n v="0"/>
    <n v="1"/>
    <n v="3"/>
    <n v="1"/>
    <n v="1"/>
    <n v="0"/>
    <n v="0"/>
    <n v="0"/>
    <n v="2"/>
    <n v="1"/>
    <n v="0"/>
    <n v="0"/>
    <n v="0"/>
    <n v="0"/>
    <n v="0"/>
    <n v="0"/>
    <n v="0"/>
    <n v="0"/>
    <n v="0"/>
    <n v="0"/>
    <n v="0"/>
    <m/>
  </r>
  <r>
    <n v="204"/>
    <d v="2024-04-05T11:09:55"/>
    <d v="2024-04-05T11:22:59"/>
    <s v="tsatumba@lighthouse.org.mw"/>
    <s v="Thomas Satumba"/>
    <x v="10"/>
    <s v="Prototype"/>
    <x v="1"/>
    <s v="COP_24"/>
    <s v="COP_23"/>
    <x v="2"/>
    <s v="Quarter2"/>
    <s v="Qtr_2"/>
    <s v="Jan"/>
    <d v="2024-01-01T00:00:00"/>
    <d v="2024-01-31T00:00:00"/>
    <x v="1"/>
    <n v="12"/>
    <n v="1"/>
    <n v="9"/>
    <n v="1"/>
    <n v="1"/>
    <n v="4"/>
    <n v="12"/>
    <n v="5"/>
    <n v="4"/>
    <n v="0"/>
    <n v="0"/>
    <n v="0"/>
    <n v="5"/>
    <n v="2"/>
    <n v="0"/>
    <n v="0"/>
    <n v="0"/>
    <n v="0"/>
    <n v="0"/>
    <n v="0"/>
    <n v="2"/>
    <n v="0"/>
    <n v="0"/>
    <n v="0"/>
    <n v="0"/>
    <m/>
  </r>
  <r>
    <n v="209"/>
    <d v="2024-04-05T11:46:57"/>
    <d v="2024-04-05T11:52:48"/>
    <s v="tsatumba@lighthouse.org.mw"/>
    <s v="Thomas Satumba"/>
    <x v="10"/>
    <s v="Prototype"/>
    <x v="1"/>
    <s v="COP_24"/>
    <s v="COP_23"/>
    <x v="2"/>
    <s v="Quarter2"/>
    <s v="Qtr_2"/>
    <s v="Feb"/>
    <d v="2024-02-01T00:00:00"/>
    <d v="2024-02-29T00:00:00"/>
    <x v="1"/>
    <n v="7"/>
    <n v="0"/>
    <n v="6"/>
    <n v="1"/>
    <n v="0"/>
    <n v="0"/>
    <n v="7"/>
    <n v="1"/>
    <n v="1"/>
    <n v="0"/>
    <n v="0"/>
    <n v="0"/>
    <n v="1"/>
    <n v="0"/>
    <n v="0"/>
    <n v="0"/>
    <n v="0"/>
    <n v="0"/>
    <n v="0"/>
    <n v="0"/>
    <n v="0"/>
    <n v="0"/>
    <n v="0"/>
    <n v="0"/>
    <n v="0"/>
    <m/>
  </r>
  <r>
    <n v="210"/>
    <d v="2024-04-05T11:52:54"/>
    <d v="2024-04-05T11:58:32"/>
    <s v="tsatumba@lighthouse.org.mw"/>
    <s v="Thomas Satumba"/>
    <x v="10"/>
    <s v="Prototype"/>
    <x v="1"/>
    <s v="COP_24"/>
    <s v="COP_23"/>
    <x v="2"/>
    <s v="Quarter2"/>
    <s v="Qtr_2"/>
    <s v="Feb"/>
    <d v="2024-02-01T00:00:00"/>
    <d v="2024-02-29T00:00:00"/>
    <x v="2"/>
    <n v="9"/>
    <n v="3"/>
    <n v="2"/>
    <n v="4"/>
    <n v="0"/>
    <n v="3"/>
    <n v="8"/>
    <n v="3"/>
    <n v="5"/>
    <n v="0"/>
    <n v="0"/>
    <n v="0"/>
    <n v="9"/>
    <n v="3"/>
    <n v="0"/>
    <n v="0"/>
    <n v="0"/>
    <n v="0"/>
    <n v="0"/>
    <n v="0"/>
    <n v="0"/>
    <n v="0"/>
    <n v="0"/>
    <n v="0"/>
    <n v="0"/>
    <m/>
  </r>
  <r>
    <n v="214"/>
    <d v="2024-04-05T12:29:12"/>
    <d v="2024-04-05T12:40:53"/>
    <s v="tsatumba@lighthouse.org.mw"/>
    <s v="Thomas Satumba"/>
    <x v="10"/>
    <s v="Prototype"/>
    <x v="1"/>
    <s v="COP_24"/>
    <s v="COP_23"/>
    <x v="2"/>
    <s v="Quarter2"/>
    <s v="Qtr_2"/>
    <s v="Mar"/>
    <d v="2024-03-01T00:00:00"/>
    <d v="2024-03-31T00:00:00"/>
    <x v="2"/>
    <n v="9"/>
    <n v="4"/>
    <n v="5"/>
    <n v="0"/>
    <n v="1"/>
    <n v="3"/>
    <n v="8"/>
    <n v="6"/>
    <n v="6"/>
    <n v="0"/>
    <n v="0"/>
    <n v="0"/>
    <n v="8"/>
    <n v="5"/>
    <n v="0"/>
    <n v="0"/>
    <n v="0"/>
    <n v="0"/>
    <n v="0"/>
    <n v="0"/>
    <n v="0"/>
    <n v="0"/>
    <n v="0"/>
    <n v="0"/>
    <n v="0"/>
    <m/>
  </r>
  <r>
    <n v="213"/>
    <d v="2024-04-05T12:05:12"/>
    <d v="2024-04-05T12:29:08"/>
    <s v="tsatumba@lighthouse.org.mw"/>
    <s v="Thomas Satumba"/>
    <x v="10"/>
    <s v="Prototype"/>
    <x v="1"/>
    <s v="COP_24"/>
    <s v="COP_23"/>
    <x v="2"/>
    <s v="Quarter2"/>
    <s v="Qtr_2"/>
    <s v="Mar"/>
    <d v="2024-03-01T00:00:00"/>
    <d v="2024-03-31T00:00:00"/>
    <x v="1"/>
    <n v="15"/>
    <n v="4"/>
    <n v="10"/>
    <n v="1"/>
    <n v="2"/>
    <n v="4"/>
    <n v="15"/>
    <n v="3"/>
    <n v="2"/>
    <n v="0"/>
    <n v="0"/>
    <n v="0"/>
    <n v="9"/>
    <n v="5"/>
    <n v="0"/>
    <n v="0"/>
    <n v="0"/>
    <n v="0"/>
    <n v="0"/>
    <n v="0"/>
    <n v="0"/>
    <n v="0"/>
    <n v="0"/>
    <n v="0"/>
    <n v="0"/>
    <m/>
  </r>
  <r>
    <n v="693"/>
    <d v="2024-07-31T10:15:47"/>
    <d v="2024-07-31T10:19:54"/>
    <s v="tsatumba@lighthouse.org.mw"/>
    <s v="Thomas Satumba"/>
    <x v="10"/>
    <s v="Prototype"/>
    <x v="1"/>
    <s v="COP_24"/>
    <s v="COP_23"/>
    <x v="3"/>
    <s v="Quarter3"/>
    <s v="Qtr_3"/>
    <s v="Jun"/>
    <d v="2024-06-01T00:00:00"/>
    <d v="2024-06-30T00:00:00"/>
    <x v="2"/>
    <n v="10"/>
    <n v="0"/>
    <n v="1"/>
    <n v="1"/>
    <n v="0"/>
    <n v="0"/>
    <n v="2"/>
    <n v="1"/>
    <n v="1"/>
    <n v="0"/>
    <n v="0"/>
    <n v="0"/>
    <n v="0"/>
    <n v="0"/>
    <n v="0"/>
    <n v="0"/>
    <n v="0"/>
    <n v="0"/>
    <n v="0"/>
    <n v="0"/>
    <n v="0"/>
    <n v="0"/>
    <n v="0"/>
    <n v="0"/>
    <n v="0"/>
    <m/>
  </r>
  <r>
    <n v="694"/>
    <d v="2024-07-31T10:20:01"/>
    <d v="2024-07-31T10:21:11"/>
    <s v="tsatumba@lighthouse.org.mw"/>
    <s v="Thomas Satumba"/>
    <x v="10"/>
    <s v="Prototype"/>
    <x v="1"/>
    <s v="COP_24"/>
    <s v="COP_23"/>
    <x v="3"/>
    <s v="Quarter3"/>
    <s v="Qtr_3"/>
    <s v="Apr"/>
    <d v="2024-04-01T00:00:00"/>
    <d v="2024-04-30T00:00:00"/>
    <x v="2"/>
    <n v="17"/>
    <n v="0"/>
    <n v="0"/>
    <n v="0"/>
    <n v="0"/>
    <n v="0"/>
    <n v="0"/>
    <n v="0"/>
    <n v="0"/>
    <n v="0"/>
    <n v="0"/>
    <n v="0"/>
    <n v="0"/>
    <n v="0"/>
    <n v="0"/>
    <n v="0"/>
    <n v="0"/>
    <n v="0"/>
    <n v="0"/>
    <n v="0"/>
    <n v="0"/>
    <n v="0"/>
    <n v="0"/>
    <n v="0"/>
    <n v="0"/>
    <m/>
  </r>
  <r>
    <n v="680"/>
    <d v="2024-07-31T09:03:05"/>
    <d v="2024-07-31T09:09:00"/>
    <s v="tsatumba@lighthouse.org.mw"/>
    <s v="Thomas Satumba"/>
    <x v="10"/>
    <s v="Prototype"/>
    <x v="1"/>
    <s v="COP_24"/>
    <s v="COP_23"/>
    <x v="3"/>
    <s v="Quarter3"/>
    <s v="Qtr_3"/>
    <s v="Apr"/>
    <d v="2024-04-01T00:00:00"/>
    <d v="2024-04-30T00:00:00"/>
    <x v="1"/>
    <n v="9"/>
    <n v="0"/>
    <n v="8"/>
    <n v="1"/>
    <n v="0"/>
    <n v="0"/>
    <n v="9"/>
    <n v="2"/>
    <n v="0"/>
    <n v="0"/>
    <n v="0"/>
    <n v="0"/>
    <n v="0"/>
    <n v="0"/>
    <n v="0"/>
    <n v="0"/>
    <n v="0"/>
    <n v="0"/>
    <n v="0"/>
    <n v="0"/>
    <n v="0"/>
    <n v="0"/>
    <n v="0"/>
    <n v="0"/>
    <n v="0"/>
    <m/>
  </r>
  <r>
    <n v="695"/>
    <d v="2024-07-31T10:21:24"/>
    <d v="2024-07-31T10:22:44"/>
    <s v="tsatumba@lighthouse.org.mw"/>
    <s v="Thomas Satumba"/>
    <x v="10"/>
    <s v="Prototype"/>
    <x v="1"/>
    <s v="COP_24"/>
    <s v="COP_23"/>
    <x v="3"/>
    <s v="Quarter3"/>
    <s v="Qtr_3"/>
    <s v="May"/>
    <d v="2024-05-01T00:00:00"/>
    <d v="2024-05-31T00:00:00"/>
    <x v="2"/>
    <n v="10"/>
    <n v="0"/>
    <n v="0"/>
    <n v="0"/>
    <n v="0"/>
    <n v="0"/>
    <n v="0"/>
    <n v="0"/>
    <n v="0"/>
    <n v="0"/>
    <n v="0"/>
    <n v="0"/>
    <n v="0"/>
    <n v="0"/>
    <n v="0"/>
    <n v="0"/>
    <n v="0"/>
    <n v="0"/>
    <n v="0"/>
    <n v="0"/>
    <n v="0"/>
    <n v="0"/>
    <n v="0"/>
    <n v="0"/>
    <n v="0"/>
    <m/>
  </r>
  <r>
    <n v="681"/>
    <d v="2024-07-31T09:09:48"/>
    <d v="2024-07-31T09:13:40"/>
    <s v="tsatumba@lighthouse.org.mw"/>
    <s v="Thomas Satumba"/>
    <x v="10"/>
    <s v="Prototype"/>
    <x v="1"/>
    <s v="COP_24"/>
    <s v="COP_23"/>
    <x v="3"/>
    <s v="Quarter3"/>
    <s v="Qtr_3"/>
    <s v="May"/>
    <d v="2024-05-01T00:00:00"/>
    <d v="2024-05-31T00:00:00"/>
    <x v="1"/>
    <n v="8"/>
    <n v="0"/>
    <n v="6"/>
    <n v="1"/>
    <n v="0"/>
    <n v="1"/>
    <n v="8"/>
    <n v="2"/>
    <n v="2"/>
    <n v="0"/>
    <n v="0"/>
    <n v="0"/>
    <n v="0"/>
    <n v="0"/>
    <n v="0"/>
    <n v="0"/>
    <n v="0"/>
    <n v="0"/>
    <n v="0"/>
    <n v="0"/>
    <n v="0"/>
    <n v="0"/>
    <n v="0"/>
    <n v="0"/>
    <n v="0"/>
    <m/>
  </r>
  <r>
    <n v="682"/>
    <d v="2024-07-31T09:14:03"/>
    <d v="2024-07-31T09:16:58"/>
    <s v="tsatumba@lighthouse.org.mw"/>
    <s v="Thomas Satumba"/>
    <x v="10"/>
    <s v="Prototype"/>
    <x v="1"/>
    <s v="COP_24"/>
    <s v="COP_23"/>
    <x v="3"/>
    <s v="Quarter3"/>
    <s v="Qtr_3"/>
    <s v="Jun"/>
    <d v="2024-06-01T00:00:00"/>
    <d v="2024-06-30T00:00:00"/>
    <x v="1"/>
    <n v="10"/>
    <n v="0"/>
    <n v="9"/>
    <n v="0"/>
    <n v="1"/>
    <n v="0"/>
    <n v="8"/>
    <n v="4"/>
    <n v="4"/>
    <n v="0"/>
    <n v="0"/>
    <n v="0"/>
    <n v="0"/>
    <n v="0"/>
    <n v="0"/>
    <n v="0"/>
    <n v="0"/>
    <n v="0"/>
    <n v="0"/>
    <n v="0"/>
    <n v="0"/>
    <n v="0"/>
    <n v="0"/>
    <n v="0"/>
    <n v="0"/>
    <m/>
  </r>
  <r>
    <n v="923"/>
    <d v="2024-10-14T09:30:17"/>
    <d v="2024-10-14T09:30:39"/>
    <s v="tsatumba@lighthouse.org.mw"/>
    <s v="Thomas Satumba"/>
    <x v="10"/>
    <s v="Prototype"/>
    <x v="1"/>
    <s v="COP_23"/>
    <s v="COP_23"/>
    <x v="1"/>
    <s v="Quarter4"/>
    <s v="Qtr_4"/>
    <s v="Jul"/>
    <d v="2024-07-01T00:00:00"/>
    <d v="2024-07-31T00:00:00"/>
    <x v="1"/>
    <n v="11"/>
    <n v="2"/>
    <n v="8"/>
    <n v="1"/>
    <n v="1"/>
    <n v="0"/>
    <n v="9"/>
    <n v="2"/>
    <n v="3"/>
    <n v="0"/>
    <n v="0"/>
    <n v="0"/>
    <n v="0"/>
    <n v="0"/>
    <n v="0"/>
    <n v="0"/>
    <n v="0"/>
    <n v="0"/>
    <n v="0"/>
    <n v="0"/>
    <n v="0"/>
    <n v="0"/>
    <n v="0"/>
    <n v="0"/>
    <n v="0"/>
    <m/>
  </r>
  <r>
    <n v="924"/>
    <d v="2024-10-14T09:30:54"/>
    <d v="2024-10-14T09:33:19"/>
    <s v="tsatumba@lighthouse.org.mw"/>
    <s v="Thomas Satumba"/>
    <x v="10"/>
    <s v="Prototype"/>
    <x v="1"/>
    <s v="COP_23"/>
    <s v="COP_23"/>
    <x v="1"/>
    <s v="Quarter4"/>
    <s v="Qtr_4"/>
    <s v="Aug"/>
    <d v="2024-08-01T00:00:00"/>
    <d v="2024-08-31T00:00:00"/>
    <x v="1"/>
    <n v="13"/>
    <n v="0"/>
    <n v="10"/>
    <n v="1"/>
    <n v="1"/>
    <n v="0"/>
    <n v="12"/>
    <n v="3"/>
    <n v="0"/>
    <n v="0"/>
    <n v="0"/>
    <n v="0"/>
    <n v="0"/>
    <n v="0"/>
    <n v="0"/>
    <n v="0"/>
    <n v="0"/>
    <n v="0"/>
    <n v="0"/>
    <n v="0"/>
    <n v="0"/>
    <n v="0"/>
    <n v="0"/>
    <n v="0"/>
    <n v="0"/>
    <m/>
  </r>
  <r>
    <n v="925"/>
    <d v="2024-10-14T09:33:28"/>
    <d v="2024-10-14T09:35:34"/>
    <s v="tsatumba@lighthouse.org.mw"/>
    <s v="Thomas Satumba"/>
    <x v="10"/>
    <s v="Prototype"/>
    <x v="1"/>
    <s v="COP_23"/>
    <s v="COP_23"/>
    <x v="1"/>
    <s v="Quarter4"/>
    <s v="Qtr_4"/>
    <s v="Sep"/>
    <d v="2024-09-01T00:00:00"/>
    <d v="2024-09-30T00:00:00"/>
    <x v="1"/>
    <n v="8"/>
    <n v="0"/>
    <n v="6"/>
    <n v="1"/>
    <n v="0"/>
    <n v="0"/>
    <n v="4"/>
    <n v="0"/>
    <n v="0"/>
    <n v="0"/>
    <n v="0"/>
    <n v="0"/>
    <n v="0"/>
    <n v="0"/>
    <n v="0"/>
    <n v="0"/>
    <n v="0"/>
    <n v="0"/>
    <n v="0"/>
    <n v="0"/>
    <n v="0"/>
    <n v="0"/>
    <n v="0"/>
    <n v="0"/>
    <n v="0"/>
    <m/>
  </r>
  <r>
    <n v="914"/>
    <d v="2024-10-10T14:27:00"/>
    <d v="2024-10-10T14:33:23"/>
    <s v="tsatumba@lighthouse.org.mw"/>
    <s v="Thomas Satumba"/>
    <x v="10"/>
    <s v="Prototype"/>
    <x v="1"/>
    <s v="COP_23"/>
    <s v="COP_23"/>
    <x v="1"/>
    <s v="Quarter4"/>
    <s v="Qtr_4"/>
    <s v="Jul"/>
    <d v="2024-07-01T00:00:00"/>
    <d v="2024-07-31T00:00:00"/>
    <x v="0"/>
    <n v="12"/>
    <n v="2"/>
    <n v="10"/>
    <n v="1"/>
    <n v="1"/>
    <n v="0"/>
    <n v="11"/>
    <n v="2"/>
    <n v="3"/>
    <n v="0"/>
    <n v="0"/>
    <n v="0"/>
    <n v="0"/>
    <n v="0"/>
    <n v="0"/>
    <n v="0"/>
    <n v="0"/>
    <n v="0"/>
    <n v="0"/>
    <n v="0"/>
    <n v="0"/>
    <n v="0"/>
    <n v="0"/>
    <n v="0"/>
    <n v="0"/>
    <m/>
  </r>
  <r>
    <n v="915"/>
    <d v="2024-10-10T14:34:22"/>
    <d v="2024-10-10T14:44:49"/>
    <s v="tsatumba@lighthouse.org.mw"/>
    <s v="Thomas Satumba"/>
    <x v="10"/>
    <s v="Prototype"/>
    <x v="1"/>
    <s v="COP_23"/>
    <s v="COP_23"/>
    <x v="1"/>
    <s v="Quarter4"/>
    <s v="Qtr_4"/>
    <s v="Aug"/>
    <d v="2024-08-01T00:00:00"/>
    <d v="2024-08-31T00:00:00"/>
    <x v="0"/>
    <n v="18"/>
    <n v="1"/>
    <n v="15"/>
    <n v="0"/>
    <n v="2"/>
    <n v="1"/>
    <n v="18"/>
    <n v="5"/>
    <n v="2"/>
    <n v="0"/>
    <n v="0"/>
    <n v="0"/>
    <n v="2"/>
    <n v="1"/>
    <n v="0"/>
    <n v="0"/>
    <n v="0"/>
    <n v="0"/>
    <n v="0"/>
    <n v="0"/>
    <n v="0"/>
    <n v="0"/>
    <n v="0"/>
    <n v="0"/>
    <n v="0"/>
    <m/>
  </r>
  <r>
    <n v="916"/>
    <d v="2024-10-10T14:50:40"/>
    <d v="2024-10-10T15:08:19"/>
    <s v="tsatumba@lighthouse.org.mw"/>
    <s v="Thomas Satumba"/>
    <x v="10"/>
    <s v="Prototype"/>
    <x v="1"/>
    <s v="COP_23"/>
    <s v="COP_23"/>
    <x v="1"/>
    <s v="Quarter4"/>
    <s v="Qtr_4"/>
    <s v="Sep"/>
    <d v="2024-09-01T00:00:00"/>
    <d v="2024-09-30T00:00:00"/>
    <x v="0"/>
    <n v="17"/>
    <n v="0"/>
    <n v="13"/>
    <n v="1"/>
    <n v="1"/>
    <n v="2"/>
    <n v="11"/>
    <n v="2"/>
    <n v="1"/>
    <n v="0"/>
    <n v="0"/>
    <n v="0"/>
    <n v="7"/>
    <n v="3"/>
    <n v="0"/>
    <n v="0"/>
    <n v="0"/>
    <n v="0"/>
    <n v="0"/>
    <n v="0"/>
    <n v="4"/>
    <n v="0"/>
    <n v="0"/>
    <n v="0"/>
    <n v="0"/>
    <m/>
  </r>
  <r>
    <n v="917"/>
    <d v="2024-10-10T15:12:05"/>
    <d v="2024-10-10T15:19:14"/>
    <s v="tsatumba@lighthouse.org.mw"/>
    <s v="Thomas Satumba"/>
    <x v="10"/>
    <s v="Prototype"/>
    <x v="1"/>
    <s v="COP_23"/>
    <s v="COP_23"/>
    <x v="1"/>
    <s v="Quarter4"/>
    <s v="Qtr_4"/>
    <s v="Jul"/>
    <d v="2024-07-01T00:00:00"/>
    <d v="2024-07-31T00:00:00"/>
    <x v="3"/>
    <n v="0"/>
    <n v="0"/>
    <n v="0"/>
    <n v="0"/>
    <n v="0"/>
    <n v="0"/>
    <n v="0"/>
    <n v="0"/>
    <n v="0"/>
    <n v="0"/>
    <n v="0"/>
    <n v="0"/>
    <n v="0"/>
    <n v="0"/>
    <n v="0"/>
    <n v="0"/>
    <n v="0"/>
    <n v="0"/>
    <n v="0"/>
    <n v="0"/>
    <n v="0"/>
    <n v="0"/>
    <n v="0"/>
    <n v="0"/>
    <n v="0"/>
    <m/>
  </r>
  <r>
    <n v="918"/>
    <d v="2024-10-10T15:19:17"/>
    <d v="2024-10-10T15:20:30"/>
    <s v="tsatumba@lighthouse.org.mw"/>
    <s v="Thomas Satumba"/>
    <x v="10"/>
    <s v="Prototype"/>
    <x v="1"/>
    <s v="COP_23"/>
    <s v="COP_23"/>
    <x v="1"/>
    <s v="Quarter4"/>
    <s v="Qtr_4"/>
    <s v="Aug"/>
    <d v="2024-08-01T00:00:00"/>
    <d v="2024-08-31T00:00:00"/>
    <x v="3"/>
    <n v="0"/>
    <n v="0"/>
    <n v="0"/>
    <n v="0"/>
    <n v="0"/>
    <n v="0"/>
    <n v="0"/>
    <n v="0"/>
    <n v="0"/>
    <n v="0"/>
    <n v="0"/>
    <n v="0"/>
    <n v="0"/>
    <n v="0"/>
    <n v="0"/>
    <n v="0"/>
    <n v="0"/>
    <n v="0"/>
    <n v="0"/>
    <n v="0"/>
    <n v="0"/>
    <n v="0"/>
    <n v="0"/>
    <n v="0"/>
    <n v="0"/>
    <m/>
  </r>
  <r>
    <n v="919"/>
    <d v="2024-10-10T15:20:33"/>
    <d v="2024-10-10T15:21:50"/>
    <s v="tsatumba@lighthouse.org.mw"/>
    <s v="Thomas Satumba"/>
    <x v="10"/>
    <s v="Prototype"/>
    <x v="1"/>
    <s v="COP_23"/>
    <s v="COP_23"/>
    <x v="1"/>
    <s v="Quarter4"/>
    <s v="Qtr_4"/>
    <s v="Sep"/>
    <d v="2024-09-01T00:00:00"/>
    <d v="2024-09-01T00:00:00"/>
    <x v="3"/>
    <n v="0"/>
    <n v="0"/>
    <n v="0"/>
    <n v="0"/>
    <n v="0"/>
    <n v="0"/>
    <n v="0"/>
    <n v="0"/>
    <n v="0"/>
    <n v="0"/>
    <n v="0"/>
    <n v="0"/>
    <n v="0"/>
    <n v="0"/>
    <n v="0"/>
    <n v="0"/>
    <n v="0"/>
    <n v="0"/>
    <n v="0"/>
    <n v="0"/>
    <n v="0"/>
    <n v="0"/>
    <n v="0"/>
    <n v="0"/>
    <n v="0"/>
    <m/>
  </r>
  <r>
    <n v="920"/>
    <d v="2024-10-10T15:22:06"/>
    <d v="2024-10-10T15:23:17"/>
    <s v="tsatumba@lighthouse.org.mw"/>
    <s v="Thomas Satumba"/>
    <x v="10"/>
    <s v="Prototype"/>
    <x v="1"/>
    <s v="COP_23"/>
    <s v="COP_23"/>
    <x v="1"/>
    <s v="Quarter4"/>
    <s v="Qtr_4"/>
    <s v="Jul"/>
    <d v="2024-07-01T00:00:00"/>
    <d v="2024-07-31T00:00:00"/>
    <x v="6"/>
    <n v="0"/>
    <n v="0"/>
    <n v="0"/>
    <n v="0"/>
    <n v="0"/>
    <n v="0"/>
    <n v="0"/>
    <n v="0"/>
    <n v="0"/>
    <n v="0"/>
    <n v="0"/>
    <n v="0"/>
    <n v="0"/>
    <n v="0"/>
    <n v="0"/>
    <n v="0"/>
    <n v="0"/>
    <n v="0"/>
    <n v="0"/>
    <n v="0"/>
    <n v="0"/>
    <n v="0"/>
    <n v="0"/>
    <n v="0"/>
    <n v="0"/>
    <m/>
  </r>
  <r>
    <n v="921"/>
    <d v="2024-10-10T15:23:20"/>
    <d v="2024-10-10T15:24:43"/>
    <s v="tsatumba@lighthouse.org.mw"/>
    <s v="Thomas Satumba"/>
    <x v="10"/>
    <s v="Prototype"/>
    <x v="1"/>
    <s v="COP_23"/>
    <s v="COP_23"/>
    <x v="1"/>
    <s v="Quarter4"/>
    <s v="Qtr_4"/>
    <s v="Aug"/>
    <d v="2024-08-01T00:00:00"/>
    <d v="2024-08-31T00:00:00"/>
    <x v="6"/>
    <n v="0"/>
    <n v="0"/>
    <n v="0"/>
    <n v="0"/>
    <n v="0"/>
    <n v="0"/>
    <n v="0"/>
    <n v="0"/>
    <n v="0"/>
    <n v="0"/>
    <n v="0"/>
    <n v="0"/>
    <n v="0"/>
    <n v="0"/>
    <n v="0"/>
    <n v="0"/>
    <n v="0"/>
    <n v="0"/>
    <n v="0"/>
    <n v="0"/>
    <n v="0"/>
    <n v="0"/>
    <n v="0"/>
    <n v="0"/>
    <n v="0"/>
    <m/>
  </r>
  <r>
    <n v="922"/>
    <d v="2024-10-10T15:24:46"/>
    <d v="2024-10-10T15:25:56"/>
    <s v="tsatumba@lighthouse.org.mw"/>
    <s v="Thomas Satumba"/>
    <x v="10"/>
    <s v="Prototype"/>
    <x v="1"/>
    <s v="COP_23"/>
    <s v="COP_23"/>
    <x v="1"/>
    <s v="Quarter4"/>
    <s v="Qtr_4"/>
    <s v="Sep"/>
    <d v="2024-09-01T00:00:00"/>
    <d v="2024-09-30T00:00:00"/>
    <x v="6"/>
    <n v="0"/>
    <n v="0"/>
    <n v="0"/>
    <n v="0"/>
    <n v="0"/>
    <n v="0"/>
    <n v="0"/>
    <n v="0"/>
    <n v="0"/>
    <n v="0"/>
    <n v="0"/>
    <n v="0"/>
    <n v="0"/>
    <n v="0"/>
    <n v="0"/>
    <n v="0"/>
    <n v="0"/>
    <n v="0"/>
    <n v="0"/>
    <n v="0"/>
    <n v="0"/>
    <n v="0"/>
    <n v="0"/>
    <n v="0"/>
    <n v="0"/>
    <m/>
  </r>
  <r>
    <n v="947"/>
    <d v="2024-10-17T13:30:26"/>
    <d v="2024-10-17T13:32:27"/>
    <s v="tsatumba@lighthouse.org.mw"/>
    <s v="Thomas Satumba"/>
    <x v="10"/>
    <s v="Prototype"/>
    <x v="1"/>
    <s v="COP_23"/>
    <s v="COP_23"/>
    <x v="1"/>
    <s v="Quarter4"/>
    <s v="Qtr_4"/>
    <s v="Aug"/>
    <d v="2024-08-01T00:00:00"/>
    <d v="2024-08-31T00:00:00"/>
    <x v="4"/>
    <n v="1"/>
    <n v="0"/>
    <n v="0"/>
    <n v="0"/>
    <n v="1"/>
    <n v="0"/>
    <n v="1"/>
    <n v="1"/>
    <n v="0"/>
    <n v="0"/>
    <n v="0"/>
    <n v="0"/>
    <n v="0"/>
    <n v="0"/>
    <n v="0"/>
    <n v="0"/>
    <n v="0"/>
    <n v="0"/>
    <n v="0"/>
    <n v="0"/>
    <n v="0"/>
    <n v="0"/>
    <n v="0"/>
    <n v="0"/>
    <n v="0"/>
    <m/>
  </r>
  <r>
    <n v="948"/>
    <d v="2024-10-17T13:32:32"/>
    <d v="2024-10-17T13:34:11"/>
    <s v="tsatumba@lighthouse.org.mw"/>
    <s v="Thomas Satumba"/>
    <x v="10"/>
    <s v="Prototype"/>
    <x v="1"/>
    <s v="COP_23"/>
    <s v="COP_23"/>
    <x v="1"/>
    <s v="Quarter4"/>
    <s v="Qtr_4"/>
    <s v="Sep"/>
    <d v="2024-09-01T00:00:00"/>
    <d v="2024-09-30T00:00:00"/>
    <x v="4"/>
    <n v="1"/>
    <n v="0"/>
    <n v="0"/>
    <n v="1"/>
    <n v="0"/>
    <n v="0"/>
    <n v="0"/>
    <n v="0"/>
    <n v="0"/>
    <n v="0"/>
    <n v="0"/>
    <n v="0"/>
    <n v="0"/>
    <n v="0"/>
    <n v="0"/>
    <n v="0"/>
    <n v="0"/>
    <n v="0"/>
    <n v="0"/>
    <n v="0"/>
    <n v="0"/>
    <n v="0"/>
    <n v="0"/>
    <n v="0"/>
    <n v="0"/>
    <m/>
  </r>
  <r>
    <n v="949"/>
    <d v="2024-10-17T13:35:33"/>
    <d v="2024-10-17T13:38:18"/>
    <s v="tsatumba@lighthouse.org.mw"/>
    <s v="Thomas Satumba"/>
    <x v="10"/>
    <s v="Prototype"/>
    <x v="1"/>
    <s v="COP_23"/>
    <s v="COP_23"/>
    <x v="1"/>
    <s v="Quarter4"/>
    <s v="Qtr_4"/>
    <s v="Sep"/>
    <d v="2024-09-01T00:00:00"/>
    <d v="2024-09-30T00:00:00"/>
    <x v="5"/>
    <n v="6"/>
    <n v="0"/>
    <n v="5"/>
    <n v="0"/>
    <n v="1"/>
    <n v="0"/>
    <n v="6"/>
    <n v="2"/>
    <n v="2"/>
    <n v="0"/>
    <n v="0"/>
    <n v="0"/>
    <n v="2"/>
    <n v="0"/>
    <n v="0"/>
    <n v="0"/>
    <n v="0"/>
    <n v="0"/>
    <n v="0"/>
    <n v="0"/>
    <n v="0"/>
    <n v="0"/>
    <n v="0"/>
    <n v="0"/>
    <n v="0"/>
    <m/>
  </r>
  <r>
    <n v="986"/>
    <d v="2024-10-24T11:05:30"/>
    <d v="2024-10-24T11:06:50"/>
    <s v="tsatumba@lighthouse.org.mw"/>
    <s v="Thomas Satumba"/>
    <x v="10"/>
    <s v="Prototype"/>
    <x v="1"/>
    <s v="COP_23"/>
    <s v="COP_23"/>
    <x v="1"/>
    <s v="Quarter4"/>
    <s v="Qtr_4"/>
    <s v="Aug"/>
    <d v="2024-08-01T00:00:00"/>
    <d v="2024-08-31T00:00:00"/>
    <x v="5"/>
    <n v="0"/>
    <n v="0"/>
    <n v="0"/>
    <n v="0"/>
    <n v="0"/>
    <n v="0"/>
    <n v="0"/>
    <n v="0"/>
    <n v="0"/>
    <n v="0"/>
    <n v="0"/>
    <n v="0"/>
    <n v="0"/>
    <n v="0"/>
    <n v="0"/>
    <n v="0"/>
    <n v="0"/>
    <n v="0"/>
    <n v="0"/>
    <n v="0"/>
    <n v="0"/>
    <n v="0"/>
    <n v="0"/>
    <n v="0"/>
    <n v="0"/>
    <m/>
  </r>
  <r>
    <n v="987"/>
    <d v="2024-10-24T11:06:53"/>
    <d v="2024-10-24T11:07:53"/>
    <s v="tsatumba@lighthouse.org.mw"/>
    <s v="Thomas Satumba"/>
    <x v="10"/>
    <s v="Prototype"/>
    <x v="1"/>
    <s v="COP_23"/>
    <s v="COP_23"/>
    <x v="1"/>
    <s v="Quarter4"/>
    <s v="Qtr_4"/>
    <s v="Jul"/>
    <d v="2024-07-01T00:00:00"/>
    <d v="2024-07-31T00:00:00"/>
    <x v="5"/>
    <n v="0"/>
    <n v="0"/>
    <n v="0"/>
    <n v="0"/>
    <n v="0"/>
    <n v="0"/>
    <n v="0"/>
    <n v="0"/>
    <n v="0"/>
    <n v="0"/>
    <n v="0"/>
    <n v="0"/>
    <n v="0"/>
    <n v="0"/>
    <n v="0"/>
    <n v="0"/>
    <n v="0"/>
    <n v="0"/>
    <n v="0"/>
    <n v="0"/>
    <n v="0"/>
    <n v="0"/>
    <n v="0"/>
    <n v="0"/>
    <n v="0"/>
    <m/>
  </r>
  <r>
    <n v="1110"/>
    <d v="2024-12-06T09:32:31"/>
    <d v="2024-12-06T09:37:33"/>
    <s v="tsatumba@lighthouse.org.mw"/>
    <s v="Thomas Satumba"/>
    <x v="10"/>
    <s v="Prototype"/>
    <x v="1"/>
    <s v="COP_24"/>
    <s v="COP_24"/>
    <x v="0"/>
    <s v="Quarter1"/>
    <s v="Qtr_1"/>
    <s v="Oct"/>
    <d v="2024-10-01T00:00:00"/>
    <d v="2024-10-31T00:00:00"/>
    <x v="0"/>
    <n v="13"/>
    <n v="0"/>
    <n v="13"/>
    <n v="0"/>
    <n v="0"/>
    <n v="0"/>
    <n v="0"/>
    <n v="0"/>
    <n v="0"/>
    <n v="0"/>
    <n v="0"/>
    <n v="0"/>
    <n v="3"/>
    <n v="0"/>
    <n v="0"/>
    <n v="0"/>
    <n v="0"/>
    <n v="0"/>
    <n v="0"/>
    <n v="0"/>
    <n v="0"/>
    <n v="0"/>
    <n v="0"/>
    <n v="0"/>
    <n v="0"/>
    <m/>
  </r>
  <r>
    <n v="1111"/>
    <d v="2024-12-06T09:37:56"/>
    <d v="2024-12-06T09:40:10"/>
    <s v="tsatumba@lighthouse.org.mw"/>
    <s v="Thomas Satumba"/>
    <x v="10"/>
    <s v="Prototype"/>
    <x v="1"/>
    <s v="COP_24"/>
    <s v="COP_24"/>
    <x v="0"/>
    <s v="Quarter1"/>
    <s v="Qtr_1"/>
    <s v="Nov"/>
    <d v="2024-11-01T00:00:00"/>
    <d v="2024-11-30T00:00:00"/>
    <x v="0"/>
    <n v="21"/>
    <n v="1"/>
    <n v="12"/>
    <n v="2"/>
    <n v="4"/>
    <n v="0"/>
    <n v="0"/>
    <n v="0"/>
    <n v="0"/>
    <n v="0"/>
    <n v="0"/>
    <n v="0"/>
    <n v="7"/>
    <n v="0"/>
    <n v="0"/>
    <n v="0"/>
    <n v="0"/>
    <n v="0"/>
    <n v="0"/>
    <n v="0"/>
    <n v="0"/>
    <n v="0"/>
    <n v="0"/>
    <n v="0"/>
    <n v="0"/>
    <m/>
  </r>
  <r>
    <n v="1239"/>
    <d v="2025-01-13T13:04:51"/>
    <d v="2025-01-13T13:12:07"/>
    <s v="tsatumba@lighthouse.org.mw"/>
    <s v="Thomas Satumba"/>
    <x v="10"/>
    <s v="Prototype"/>
    <x v="1"/>
    <s v="COP_24"/>
    <s v="COP_24"/>
    <x v="0"/>
    <s v="Quarter1"/>
    <s v="Qtr_1"/>
    <s v="Dec"/>
    <d v="2024-12-01T00:00:00"/>
    <d v="2024-12-31T00:00:00"/>
    <x v="0"/>
    <n v="13"/>
    <n v="0"/>
    <n v="9"/>
    <n v="1"/>
    <n v="3"/>
    <n v="0"/>
    <n v="8"/>
    <n v="3"/>
    <n v="6"/>
    <n v="0"/>
    <n v="0"/>
    <n v="0"/>
    <n v="5"/>
    <n v="0"/>
    <n v="0"/>
    <n v="0"/>
    <n v="0"/>
    <n v="0"/>
    <n v="0"/>
    <n v="0"/>
    <n v="0"/>
    <n v="0"/>
    <n v="0"/>
    <n v="0"/>
    <n v="0"/>
    <m/>
  </r>
  <r>
    <n v="1240"/>
    <d v="2025-01-13T13:13:50"/>
    <d v="2025-01-13T13:17:47"/>
    <s v="tsatumba@lighthouse.org.mw"/>
    <s v="Thomas Satumba"/>
    <x v="10"/>
    <s v="Prototype"/>
    <x v="1"/>
    <s v="COP_24"/>
    <s v="COP_24"/>
    <x v="0"/>
    <s v="Quarter1"/>
    <s v="Qtr_1"/>
    <s v="Dec"/>
    <d v="2024-12-01T00:00:00"/>
    <d v="2024-12-31T00:00:00"/>
    <x v="1"/>
    <n v="9"/>
    <n v="0"/>
    <n v="6"/>
    <n v="1"/>
    <n v="2"/>
    <n v="0"/>
    <n v="8"/>
    <n v="3"/>
    <n v="5"/>
    <n v="0"/>
    <n v="0"/>
    <n v="0"/>
    <n v="3"/>
    <n v="0"/>
    <n v="0"/>
    <n v="0"/>
    <n v="0"/>
    <n v="0"/>
    <n v="0"/>
    <n v="0"/>
    <n v="0"/>
    <n v="0"/>
    <n v="0"/>
    <n v="0"/>
    <n v="0"/>
    <m/>
  </r>
  <r>
    <n v="1241"/>
    <d v="2025-01-13T13:18:43"/>
    <d v="2025-01-13T13:20:31"/>
    <s v="tsatumba@lighthouse.org.mw"/>
    <s v="Thomas Satumba"/>
    <x v="10"/>
    <s v="Prototype"/>
    <x v="1"/>
    <s v="COP_24"/>
    <s v="COP_24"/>
    <x v="0"/>
    <s v="Quarter1"/>
    <s v="Qtr_1"/>
    <s v="Dec"/>
    <d v="2024-12-01T00:00:00"/>
    <d v="2024-12-31T00:00:00"/>
    <x v="4"/>
    <n v="0"/>
    <n v="0"/>
    <n v="0"/>
    <n v="0"/>
    <n v="0"/>
    <n v="0"/>
    <n v="0"/>
    <n v="0"/>
    <n v="0"/>
    <n v="0"/>
    <n v="0"/>
    <n v="0"/>
    <n v="0"/>
    <n v="0"/>
    <n v="0"/>
    <n v="0"/>
    <n v="0"/>
    <n v="0"/>
    <n v="0"/>
    <n v="0"/>
    <n v="0"/>
    <n v="0"/>
    <n v="0"/>
    <n v="0"/>
    <n v="0"/>
    <m/>
  </r>
  <r>
    <n v="1242"/>
    <d v="2025-01-13T13:20:49"/>
    <d v="2025-01-13T13:24:42"/>
    <s v="tsatumba@lighthouse.org.mw"/>
    <s v="Thomas Satumba"/>
    <x v="10"/>
    <s v="Prototype"/>
    <x v="1"/>
    <s v="COP_24"/>
    <s v="COP_24"/>
    <x v="0"/>
    <s v="Quarter1"/>
    <s v="Qtr_1"/>
    <s v="Dec"/>
    <d v="2024-12-01T00:00:00"/>
    <d v="2024-12-31T00:00:00"/>
    <x v="3"/>
    <n v="1"/>
    <n v="0"/>
    <n v="1"/>
    <n v="0"/>
    <n v="0"/>
    <n v="0"/>
    <n v="0"/>
    <n v="0"/>
    <n v="0"/>
    <n v="0"/>
    <n v="0"/>
    <n v="0"/>
    <n v="0"/>
    <n v="0"/>
    <n v="0"/>
    <n v="0"/>
    <n v="0"/>
    <n v="0"/>
    <n v="0"/>
    <n v="0"/>
    <n v="0"/>
    <n v="0"/>
    <n v="0"/>
    <n v="0"/>
    <n v="0"/>
    <m/>
  </r>
  <r>
    <n v="1243"/>
    <d v="2025-01-13T13:25:10"/>
    <d v="2025-01-13T13:26:50"/>
    <s v="tsatumba@lighthouse.org.mw"/>
    <s v="Thomas Satumba"/>
    <x v="10"/>
    <s v="Prototype"/>
    <x v="1"/>
    <s v="COP_24"/>
    <s v="COP_24"/>
    <x v="0"/>
    <s v="Quarter1"/>
    <s v="Qtr_1"/>
    <s v="Dec"/>
    <d v="2024-12-01T00:00:00"/>
    <d v="2024-12-31T00:00:00"/>
    <x v="5"/>
    <n v="0"/>
    <n v="0"/>
    <n v="0"/>
    <n v="0"/>
    <n v="0"/>
    <n v="0"/>
    <n v="0"/>
    <n v="0"/>
    <n v="0"/>
    <n v="0"/>
    <n v="0"/>
    <n v="0"/>
    <n v="0"/>
    <n v="0"/>
    <n v="0"/>
    <n v="0"/>
    <n v="0"/>
    <n v="0"/>
    <n v="0"/>
    <n v="0"/>
    <n v="0"/>
    <n v="0"/>
    <n v="0"/>
    <n v="0"/>
    <n v="0"/>
    <m/>
  </r>
  <r>
    <n v="1245"/>
    <d v="2025-01-13T13:27:00"/>
    <d v="2025-01-13T13:28:47"/>
    <s v="tsatumba@lighthouse.org.mw"/>
    <s v="Thomas Satumba"/>
    <x v="10"/>
    <s v="Prototype"/>
    <x v="1"/>
    <s v="COP_24"/>
    <s v="COP_24"/>
    <x v="0"/>
    <s v="Quarter1"/>
    <s v="Qtr_1"/>
    <s v="Dec"/>
    <d v="2024-12-01T00:00:00"/>
    <d v="2024-12-31T00:00:00"/>
    <x v="6"/>
    <n v="0"/>
    <n v="0"/>
    <n v="0"/>
    <n v="0"/>
    <n v="0"/>
    <n v="0"/>
    <n v="0"/>
    <n v="0"/>
    <n v="0"/>
    <n v="0"/>
    <n v="0"/>
    <n v="0"/>
    <n v="0"/>
    <n v="0"/>
    <n v="0"/>
    <n v="0"/>
    <n v="0"/>
    <n v="0"/>
    <n v="0"/>
    <n v="0"/>
    <n v="0"/>
    <n v="0"/>
    <n v="0"/>
    <n v="0"/>
    <n v="0"/>
    <m/>
  </r>
  <r>
    <n v="1246"/>
    <d v="2025-01-13T13:30:00"/>
    <d v="2025-01-13T13:32:49"/>
    <s v="tsatumba@lighthouse.org.mw"/>
    <s v="Thomas Satumba"/>
    <x v="10"/>
    <s v="Prototype"/>
    <x v="1"/>
    <s v="COP_24"/>
    <s v="COP_24"/>
    <x v="0"/>
    <s v="Quarter1"/>
    <s v="Qtr_1"/>
    <s v="Nov"/>
    <d v="2024-11-01T00:00:00"/>
    <d v="2024-11-30T00:00:00"/>
    <x v="3"/>
    <n v="1"/>
    <n v="0"/>
    <n v="1"/>
    <n v="0"/>
    <n v="0"/>
    <n v="0"/>
    <n v="0"/>
    <n v="0"/>
    <n v="0"/>
    <n v="0"/>
    <n v="0"/>
    <n v="0"/>
    <n v="0"/>
    <n v="0"/>
    <n v="0"/>
    <n v="0"/>
    <n v="0"/>
    <n v="0"/>
    <n v="0"/>
    <n v="0"/>
    <n v="0"/>
    <n v="0"/>
    <n v="0"/>
    <n v="0"/>
    <n v="0"/>
    <m/>
  </r>
  <r>
    <n v="1247"/>
    <d v="2025-01-13T13:33:02"/>
    <d v="2025-01-13T13:37:00"/>
    <s v="tsatumba@lighthouse.org.mw"/>
    <s v="Thomas Satumba"/>
    <x v="10"/>
    <s v="Prototype"/>
    <x v="1"/>
    <s v="COP_24"/>
    <s v="COP_24"/>
    <x v="0"/>
    <s v="Quarter1"/>
    <s v="Qtr_1"/>
    <s v="Nov"/>
    <d v="2024-11-01T00:00:00"/>
    <d v="2024-11-30T00:00:00"/>
    <x v="4"/>
    <n v="1"/>
    <n v="0"/>
    <n v="0"/>
    <n v="1"/>
    <n v="0"/>
    <n v="0"/>
    <n v="0"/>
    <n v="0"/>
    <n v="0"/>
    <n v="0"/>
    <n v="0"/>
    <n v="0"/>
    <n v="0"/>
    <n v="0"/>
    <n v="0"/>
    <n v="0"/>
    <n v="0"/>
    <n v="0"/>
    <n v="0"/>
    <n v="0"/>
    <n v="0"/>
    <n v="0"/>
    <n v="0"/>
    <n v="0"/>
    <n v="0"/>
    <m/>
  </r>
  <r>
    <n v="1248"/>
    <d v="2025-01-13T13:37:17"/>
    <d v="2025-01-13T13:39:19"/>
    <s v="tsatumba@lighthouse.org.mw"/>
    <s v="Thomas Satumba"/>
    <x v="10"/>
    <s v="Prototype"/>
    <x v="1"/>
    <s v="COP_24"/>
    <s v="COP_24"/>
    <x v="0"/>
    <s v="Quarter1"/>
    <s v="Qtr_1"/>
    <s v="Nov"/>
    <d v="2024-11-01T00:00:00"/>
    <d v="2024-11-30T00:00:00"/>
    <x v="1"/>
    <n v="13"/>
    <n v="0"/>
    <n v="10"/>
    <n v="0"/>
    <n v="0"/>
    <n v="0"/>
    <n v="0"/>
    <n v="0"/>
    <n v="0"/>
    <n v="0"/>
    <n v="0"/>
    <n v="0"/>
    <n v="0"/>
    <n v="0"/>
    <n v="0"/>
    <n v="0"/>
    <n v="0"/>
    <n v="0"/>
    <n v="0"/>
    <n v="0"/>
    <n v="0"/>
    <n v="0"/>
    <n v="0"/>
    <n v="0"/>
    <n v="0"/>
    <m/>
  </r>
  <r>
    <n v="1250"/>
    <d v="2025-01-13T13:40:58"/>
    <d v="2025-01-13T13:43:09"/>
    <s v="tsatumba@lighthouse.org.mw"/>
    <s v="Thomas Satumba"/>
    <x v="10"/>
    <s v="Prototype"/>
    <x v="1"/>
    <s v="COP_24"/>
    <s v="COP_24"/>
    <x v="0"/>
    <s v="Quarter1"/>
    <s v="Qtr_1"/>
    <s v="Nov"/>
    <d v="2024-11-01T00:00:00"/>
    <d v="2024-11-30T00:00:00"/>
    <x v="2"/>
    <n v="0"/>
    <n v="0"/>
    <n v="0"/>
    <n v="0"/>
    <n v="0"/>
    <n v="0"/>
    <n v="0"/>
    <n v="0"/>
    <n v="0"/>
    <n v="0"/>
    <n v="0"/>
    <n v="0"/>
    <n v="0"/>
    <n v="0"/>
    <n v="0"/>
    <n v="0"/>
    <n v="0"/>
    <n v="0"/>
    <n v="0"/>
    <n v="0"/>
    <n v="0"/>
    <n v="0"/>
    <n v="0"/>
    <n v="0"/>
    <n v="0"/>
    <m/>
  </r>
  <r>
    <n v="1251"/>
    <d v="2025-01-13T13:43:53"/>
    <d v="2025-01-13T13:45:05"/>
    <s v="tsatumba@lighthouse.org.mw"/>
    <s v="Thomas Satumba"/>
    <x v="10"/>
    <s v="Prototype"/>
    <x v="1"/>
    <s v="COP_24"/>
    <s v="COP_24"/>
    <x v="0"/>
    <s v="Quarter1"/>
    <s v="Qtr_1"/>
    <s v="Nov"/>
    <d v="2024-11-01T00:00:00"/>
    <d v="2024-11-30T00:00:00"/>
    <x v="6"/>
    <n v="0"/>
    <n v="0"/>
    <n v="0"/>
    <n v="0"/>
    <n v="0"/>
    <n v="0"/>
    <n v="0"/>
    <n v="0"/>
    <n v="0"/>
    <n v="0"/>
    <n v="0"/>
    <n v="0"/>
    <n v="0"/>
    <n v="0"/>
    <n v="0"/>
    <n v="0"/>
    <n v="0"/>
    <n v="0"/>
    <n v="0"/>
    <n v="0"/>
    <n v="0"/>
    <n v="0"/>
    <n v="0"/>
    <n v="0"/>
    <n v="0"/>
    <m/>
  </r>
  <r>
    <n v="1256"/>
    <d v="2025-01-13T13:51:45"/>
    <d v="2025-01-13T13:54:44"/>
    <s v="tsatumba@lighthouse.org.mw"/>
    <s v="Thomas Satumba"/>
    <x v="10"/>
    <s v="Prototype"/>
    <x v="1"/>
    <s v="COP_24"/>
    <s v="COP_24"/>
    <x v="0"/>
    <s v="Quarter1"/>
    <s v="Qtr_1"/>
    <s v="Oct"/>
    <d v="2024-10-01T00:00:00"/>
    <d v="2024-10-31T00:00:00"/>
    <x v="1"/>
    <n v="14"/>
    <n v="0"/>
    <n v="10"/>
    <n v="0"/>
    <n v="2"/>
    <n v="0"/>
    <n v="0"/>
    <n v="0"/>
    <n v="2"/>
    <n v="0"/>
    <n v="0"/>
    <n v="0"/>
    <n v="2"/>
    <n v="0"/>
    <n v="0"/>
    <n v="0"/>
    <n v="0"/>
    <n v="0"/>
    <n v="0"/>
    <n v="0"/>
    <n v="0"/>
    <n v="0"/>
    <n v="0"/>
    <n v="0"/>
    <n v="0"/>
    <m/>
  </r>
  <r>
    <n v="1257"/>
    <d v="2025-01-13T13:55:54"/>
    <d v="2025-01-13T13:57:03"/>
    <s v="tsatumba@lighthouse.org.mw"/>
    <s v="Thomas Satumba"/>
    <x v="10"/>
    <s v="Prototype"/>
    <x v="1"/>
    <s v="COP_24"/>
    <s v="COP_24"/>
    <x v="0"/>
    <s v="Quarter1"/>
    <s v="Qtr_1"/>
    <s v="Oct"/>
    <d v="2024-10-01T00:00:00"/>
    <d v="2024-10-31T00:00:00"/>
    <x v="4"/>
    <n v="0"/>
    <n v="0"/>
    <n v="0"/>
    <n v="0"/>
    <n v="0"/>
    <n v="0"/>
    <n v="0"/>
    <n v="0"/>
    <n v="0"/>
    <n v="0"/>
    <n v="0"/>
    <n v="0"/>
    <n v="0"/>
    <n v="0"/>
    <n v="0"/>
    <n v="0"/>
    <n v="0"/>
    <n v="0"/>
    <n v="0"/>
    <n v="0"/>
    <n v="0"/>
    <n v="0"/>
    <n v="0"/>
    <n v="0"/>
    <n v="0"/>
    <m/>
  </r>
  <r>
    <n v="1258"/>
    <d v="2025-01-13T13:57:18"/>
    <d v="2025-01-13T13:58:25"/>
    <s v="tsatumba@lighthouse.org.mw"/>
    <s v="Thomas Satumba"/>
    <x v="10"/>
    <s v="Prototype"/>
    <x v="1"/>
    <s v="COP_24"/>
    <s v="COP_24"/>
    <x v="0"/>
    <s v="Quarter1"/>
    <s v="Qtr_1"/>
    <s v="Oct"/>
    <d v="2024-10-01T00:00:00"/>
    <d v="2024-10-31T00:00:00"/>
    <x v="3"/>
    <n v="0"/>
    <n v="0"/>
    <n v="0"/>
    <n v="0"/>
    <n v="0"/>
    <n v="0"/>
    <n v="0"/>
    <n v="0"/>
    <n v="0"/>
    <n v="0"/>
    <n v="0"/>
    <n v="0"/>
    <n v="0"/>
    <n v="0"/>
    <n v="0"/>
    <n v="0"/>
    <n v="0"/>
    <n v="0"/>
    <n v="0"/>
    <n v="0"/>
    <n v="0"/>
    <n v="0"/>
    <n v="0"/>
    <n v="0"/>
    <n v="0"/>
    <m/>
  </r>
  <r>
    <n v="1259"/>
    <d v="2025-01-13T13:58:29"/>
    <d v="2025-01-13T13:59:45"/>
    <s v="tsatumba@lighthouse.org.mw"/>
    <s v="Thomas Satumba"/>
    <x v="10"/>
    <s v="Prototype"/>
    <x v="1"/>
    <s v="COP_24"/>
    <s v="COP_24"/>
    <x v="0"/>
    <s v="Quarter1"/>
    <s v="Qtr_1"/>
    <s v="Oct"/>
    <d v="2024-10-01T00:00:00"/>
    <d v="2024-10-31T00:00:00"/>
    <x v="5"/>
    <n v="0"/>
    <n v="0"/>
    <n v="0"/>
    <n v="0"/>
    <n v="0"/>
    <n v="0"/>
    <n v="0"/>
    <n v="0"/>
    <n v="0"/>
    <n v="0"/>
    <n v="0"/>
    <n v="0"/>
    <n v="0"/>
    <n v="0"/>
    <n v="0"/>
    <n v="0"/>
    <n v="0"/>
    <n v="0"/>
    <n v="0"/>
    <n v="0"/>
    <n v="0"/>
    <n v="0"/>
    <n v="0"/>
    <n v="0"/>
    <n v="0"/>
    <m/>
  </r>
  <r>
    <n v="1260"/>
    <d v="2025-01-13T13:59:48"/>
    <d v="2025-01-13T14:00:56"/>
    <s v="tsatumba@lighthouse.org.mw"/>
    <s v="Thomas Satumba"/>
    <x v="10"/>
    <s v="Prototype"/>
    <x v="1"/>
    <s v="COP_24"/>
    <s v="COP_24"/>
    <x v="0"/>
    <s v="Quarter1"/>
    <s v="Qtr_1"/>
    <s v="Oct"/>
    <d v="2024-10-01T00:00:00"/>
    <d v="2024-10-31T00:00:00"/>
    <x v="6"/>
    <n v="0"/>
    <n v="0"/>
    <n v="0"/>
    <n v="0"/>
    <n v="0"/>
    <n v="0"/>
    <n v="0"/>
    <n v="0"/>
    <n v="0"/>
    <n v="0"/>
    <n v="0"/>
    <n v="0"/>
    <n v="0"/>
    <n v="0"/>
    <n v="0"/>
    <n v="0"/>
    <n v="0"/>
    <n v="0"/>
    <n v="0"/>
    <n v="0"/>
    <n v="0"/>
    <n v="0"/>
    <n v="0"/>
    <n v="0"/>
    <n v="0"/>
    <m/>
  </r>
  <r>
    <n v="1379"/>
    <d v="2025-03-07T19:52:42"/>
    <d v="2025-03-07T20:20:41"/>
    <s v="tsatumba@lighthouse.org.mw"/>
    <s v="Thomas Satumba"/>
    <x v="10"/>
    <s v="Prototype"/>
    <x v="2"/>
    <s v="COP_24"/>
    <s v="COP_24"/>
    <x v="2"/>
    <s v="Quarter2"/>
    <s v="Qtr_2"/>
    <s v="Jan"/>
    <d v="2025-01-01T00:00:00"/>
    <d v="2025-01-31T00:00:00"/>
    <x v="0"/>
    <n v="7"/>
    <n v="0"/>
    <n v="4"/>
    <n v="1"/>
    <n v="2"/>
    <n v="0"/>
    <n v="6"/>
    <n v="4"/>
    <n v="4"/>
    <n v="1"/>
    <n v="0"/>
    <n v="0"/>
    <n v="4"/>
    <n v="0"/>
    <n v="1"/>
    <n v="1"/>
    <n v="1"/>
    <n v="1"/>
    <n v="0"/>
    <n v="0"/>
    <n v="1"/>
    <n v="0"/>
    <n v="0"/>
    <n v="0"/>
    <n v="0"/>
    <m/>
  </r>
  <r>
    <n v="1380"/>
    <d v="2025-03-07T20:22:25"/>
    <d v="2025-03-07T20:31:44"/>
    <s v="tsatumba@lighthouse.org.mw"/>
    <s v="Thomas Satumba"/>
    <x v="10"/>
    <s v="Prototype"/>
    <x v="2"/>
    <s v="COP_24"/>
    <s v="COP_24"/>
    <x v="2"/>
    <s v="Quarter2"/>
    <s v="Qtr_2"/>
    <s v="Jan"/>
    <d v="2025-01-01T00:00:00"/>
    <d v="2025-01-31T00:00:00"/>
    <x v="1"/>
    <n v="5"/>
    <n v="0"/>
    <n v="2"/>
    <n v="1"/>
    <n v="1"/>
    <n v="0"/>
    <n v="4"/>
    <n v="3"/>
    <n v="3"/>
    <n v="1"/>
    <n v="0"/>
    <n v="0"/>
    <n v="3"/>
    <n v="0"/>
    <n v="0"/>
    <n v="0"/>
    <n v="0"/>
    <n v="0"/>
    <n v="0"/>
    <n v="0"/>
    <n v="0"/>
    <n v="0"/>
    <n v="0"/>
    <n v="0"/>
    <n v="0"/>
    <m/>
  </r>
  <r>
    <n v="1381"/>
    <d v="2025-03-07T20:34:02"/>
    <d v="2025-03-07T20:38:22"/>
    <s v="tsatumba@lighthouse.org.mw"/>
    <s v="Thomas Satumba"/>
    <x v="10"/>
    <s v="Prototype"/>
    <x v="2"/>
    <s v="COP_24"/>
    <s v="COP_24"/>
    <x v="2"/>
    <s v="Quarter2"/>
    <s v="Qtr_2"/>
    <s v="Jan"/>
    <d v="2025-01-01T00:00:00"/>
    <d v="2025-01-31T00:00:00"/>
    <x v="3"/>
    <n v="0"/>
    <n v="0"/>
    <n v="0"/>
    <n v="0"/>
    <n v="0"/>
    <n v="0"/>
    <n v="0"/>
    <n v="0"/>
    <n v="0"/>
    <n v="0"/>
    <n v="0"/>
    <n v="0"/>
    <n v="0"/>
    <n v="0"/>
    <n v="0"/>
    <n v="0"/>
    <n v="0"/>
    <n v="0"/>
    <n v="0"/>
    <n v="0"/>
    <n v="0"/>
    <n v="0"/>
    <n v="0"/>
    <n v="0"/>
    <n v="0"/>
    <m/>
  </r>
  <r>
    <n v="1382"/>
    <d v="2025-03-07T20:38:32"/>
    <d v="2025-03-07T20:39:44"/>
    <s v="tsatumba@lighthouse.org.mw"/>
    <s v="Thomas Satumba"/>
    <x v="10"/>
    <s v="Prototype"/>
    <x v="2"/>
    <s v="COP_24"/>
    <s v="COP_24"/>
    <x v="2"/>
    <s v="Quarter2"/>
    <s v="Qtr_2"/>
    <s v="Jan"/>
    <d v="2025-01-01T00:00:00"/>
    <d v="2025-01-31T00:00:00"/>
    <x v="4"/>
    <n v="0"/>
    <n v="0"/>
    <n v="0"/>
    <n v="0"/>
    <n v="0"/>
    <n v="0"/>
    <n v="0"/>
    <n v="0"/>
    <n v="0"/>
    <n v="0"/>
    <n v="0"/>
    <n v="0"/>
    <n v="0"/>
    <n v="0"/>
    <n v="0"/>
    <n v="0"/>
    <n v="0"/>
    <n v="0"/>
    <n v="0"/>
    <n v="0"/>
    <n v="0"/>
    <n v="0"/>
    <n v="0"/>
    <n v="0"/>
    <n v="0"/>
    <m/>
  </r>
  <r>
    <n v="1383"/>
    <d v="2025-03-07T20:40:12"/>
    <d v="2025-03-07T20:43:27"/>
    <s v="tsatumba@lighthouse.org.mw"/>
    <s v="Thomas Satumba"/>
    <x v="10"/>
    <s v="Prototype"/>
    <x v="2"/>
    <s v="COP_24"/>
    <s v="COP_24"/>
    <x v="2"/>
    <s v="Quarter2"/>
    <s v="Qtr_2"/>
    <s v="Jan"/>
    <d v="2025-01-01T00:00:00"/>
    <d v="2025-01-31T00:00:00"/>
    <x v="5"/>
    <n v="0"/>
    <n v="0"/>
    <n v="0"/>
    <n v="0"/>
    <n v="0"/>
    <n v="0"/>
    <n v="0"/>
    <n v="0"/>
    <n v="0"/>
    <n v="0"/>
    <n v="0"/>
    <n v="0"/>
    <n v="0"/>
    <n v="0"/>
    <n v="0"/>
    <n v="0"/>
    <n v="0"/>
    <n v="0"/>
    <n v="0"/>
    <n v="0"/>
    <n v="0"/>
    <n v="0"/>
    <n v="0"/>
    <n v="0"/>
    <n v="0"/>
    <m/>
  </r>
  <r>
    <n v="1384"/>
    <d v="2025-03-07T20:44:11"/>
    <d v="2025-03-07T20:46:45"/>
    <s v="tsatumba@lighthouse.org.mw"/>
    <s v="Thomas Satumba"/>
    <x v="10"/>
    <s v="Prototype"/>
    <x v="2"/>
    <s v="COP_24"/>
    <s v="COP_24"/>
    <x v="2"/>
    <s v="Quarter2"/>
    <s v="Qtr_2"/>
    <s v="Jan"/>
    <d v="2025-01-01T00:00:00"/>
    <d v="2025-01-31T00:00:00"/>
    <x v="2"/>
    <n v="0"/>
    <n v="0"/>
    <n v="0"/>
    <n v="0"/>
    <n v="0"/>
    <n v="0"/>
    <n v="0"/>
    <n v="0"/>
    <n v="0"/>
    <n v="0"/>
    <n v="0"/>
    <n v="0"/>
    <n v="0"/>
    <n v="0"/>
    <n v="0"/>
    <n v="0"/>
    <n v="0"/>
    <n v="0"/>
    <n v="0"/>
    <n v="0"/>
    <n v="0"/>
    <n v="0"/>
    <n v="0"/>
    <n v="0"/>
    <n v="0"/>
    <m/>
  </r>
  <r>
    <n v="1385"/>
    <d v="2025-03-07T20:46:54"/>
    <d v="2025-03-07T20:47:58"/>
    <s v="tsatumba@lighthouse.org.mw"/>
    <s v="Thomas Satumba"/>
    <x v="10"/>
    <s v="Prototype"/>
    <x v="2"/>
    <s v="COP_24"/>
    <s v="COP_24"/>
    <x v="2"/>
    <s v="Quarter2"/>
    <s v="Qtr_2"/>
    <s v="Jan"/>
    <d v="2025-01-01T00:00:00"/>
    <d v="2025-01-31T00:00:00"/>
    <x v="6"/>
    <n v="0"/>
    <n v="0"/>
    <n v="0"/>
    <n v="0"/>
    <n v="0"/>
    <n v="0"/>
    <n v="0"/>
    <n v="0"/>
    <n v="0"/>
    <n v="0"/>
    <n v="0"/>
    <n v="0"/>
    <n v="0"/>
    <n v="0"/>
    <n v="0"/>
    <n v="0"/>
    <n v="0"/>
    <n v="0"/>
    <n v="0"/>
    <n v="0"/>
    <n v="0"/>
    <n v="0"/>
    <n v="0"/>
    <n v="0"/>
    <n v="0"/>
    <m/>
  </r>
  <r>
    <n v="1386"/>
    <d v="2025-03-07T20:48:27"/>
    <d v="2025-03-07T20:51:48"/>
    <s v="tsatumba@lighthouse.org.mw"/>
    <s v="Thomas Satumba"/>
    <x v="10"/>
    <s v="Prototype"/>
    <x v="2"/>
    <s v="COP_24"/>
    <s v="COP_24"/>
    <x v="2"/>
    <s v="Quarter2"/>
    <s v="Qtr_2"/>
    <s v="Feb"/>
    <d v="2025-02-01T00:00:00"/>
    <d v="2025-02-28T00:00:00"/>
    <x v="0"/>
    <n v="8"/>
    <n v="0"/>
    <n v="5"/>
    <n v="0"/>
    <n v="3"/>
    <n v="0"/>
    <n v="3"/>
    <n v="1"/>
    <n v="5"/>
    <n v="0"/>
    <n v="0"/>
    <n v="0"/>
    <n v="5"/>
    <n v="0"/>
    <n v="0"/>
    <n v="0"/>
    <n v="0"/>
    <n v="0"/>
    <n v="0"/>
    <n v="0"/>
    <n v="0"/>
    <n v="0"/>
    <n v="0"/>
    <n v="0"/>
    <n v="0"/>
    <m/>
  </r>
  <r>
    <n v="1387"/>
    <d v="2025-03-07T20:52:19"/>
    <d v="2025-03-07T20:54:49"/>
    <s v="tsatumba@lighthouse.org.mw"/>
    <s v="Thomas Satumba"/>
    <x v="10"/>
    <s v="Prototype"/>
    <x v="2"/>
    <s v="COP_24"/>
    <s v="COP_24"/>
    <x v="2"/>
    <s v="Quarter2"/>
    <s v="Qtr_2"/>
    <s v="Feb"/>
    <d v="2025-02-01T00:00:00"/>
    <d v="2025-02-28T00:00:00"/>
    <x v="1"/>
    <n v="6"/>
    <n v="0"/>
    <n v="4"/>
    <n v="0"/>
    <n v="1"/>
    <n v="0"/>
    <n v="3"/>
    <n v="1"/>
    <n v="2"/>
    <n v="0"/>
    <n v="0"/>
    <n v="0"/>
    <n v="2"/>
    <n v="0"/>
    <n v="0"/>
    <n v="0"/>
    <n v="0"/>
    <n v="0"/>
    <n v="0"/>
    <n v="0"/>
    <n v="0"/>
    <n v="0"/>
    <n v="0"/>
    <n v="0"/>
    <n v="0"/>
    <m/>
  </r>
  <r>
    <n v="1388"/>
    <d v="2025-03-07T20:55:39"/>
    <d v="2025-03-07T20:57:22"/>
    <s v="tsatumba@lighthouse.org.mw"/>
    <s v="Thomas Satumba"/>
    <x v="10"/>
    <s v="Prototype"/>
    <x v="2"/>
    <s v="COP_24"/>
    <s v="COP_24"/>
    <x v="2"/>
    <s v="Quarter2"/>
    <s v="Qtr_2"/>
    <s v="Feb"/>
    <d v="2025-02-01T00:00:00"/>
    <d v="2025-02-28T00:00:00"/>
    <x v="3"/>
    <n v="1"/>
    <n v="0"/>
    <n v="1"/>
    <n v="0"/>
    <n v="0"/>
    <n v="0"/>
    <n v="0"/>
    <n v="0"/>
    <n v="0"/>
    <n v="0"/>
    <n v="0"/>
    <n v="0"/>
    <n v="0"/>
    <n v="0"/>
    <n v="0"/>
    <n v="0"/>
    <n v="0"/>
    <n v="0"/>
    <n v="0"/>
    <n v="0"/>
    <n v="0"/>
    <n v="0"/>
    <n v="0"/>
    <n v="0"/>
    <n v="0"/>
    <m/>
  </r>
  <r>
    <n v="1389"/>
    <d v="2025-03-07T21:00:35"/>
    <d v="2025-03-07T21:02:35"/>
    <s v="tsatumba@lighthouse.org.mw"/>
    <s v="Thomas Satumba"/>
    <x v="10"/>
    <s v="Prototype"/>
    <x v="2"/>
    <s v="COP_24"/>
    <s v="COP_24"/>
    <x v="2"/>
    <s v="Quarter2"/>
    <s v="Qtr_2"/>
    <s v="Feb"/>
    <d v="2025-02-01T00:00:00"/>
    <d v="2025-02-28T00:00:00"/>
    <x v="4"/>
    <n v="0"/>
    <n v="0"/>
    <n v="0"/>
    <n v="0"/>
    <n v="0"/>
    <n v="0"/>
    <n v="0"/>
    <n v="0"/>
    <n v="0"/>
    <n v="0"/>
    <n v="0"/>
    <n v="0"/>
    <n v="0"/>
    <n v="0"/>
    <n v="0"/>
    <n v="0"/>
    <n v="0"/>
    <n v="0"/>
    <n v="0"/>
    <n v="0"/>
    <n v="0"/>
    <n v="0"/>
    <n v="0"/>
    <n v="0"/>
    <n v="0"/>
    <m/>
  </r>
  <r>
    <n v="1390"/>
    <d v="2025-03-07T21:02:38"/>
    <d v="2025-03-07T21:05:04"/>
    <s v="tsatumba@lighthouse.org.mw"/>
    <s v="Thomas Satumba"/>
    <x v="10"/>
    <s v="Prototype"/>
    <x v="2"/>
    <s v="COP_24"/>
    <s v="COP_24"/>
    <x v="2"/>
    <s v="Quarter2"/>
    <s v="Qtr_2"/>
    <s v="Feb"/>
    <d v="2025-02-01T00:00:00"/>
    <d v="2025-02-28T00:00:00"/>
    <x v="2"/>
    <n v="0"/>
    <n v="0"/>
    <n v="0"/>
    <n v="0"/>
    <n v="0"/>
    <n v="0"/>
    <n v="0"/>
    <n v="0"/>
    <n v="0"/>
    <n v="0"/>
    <n v="0"/>
    <n v="0"/>
    <n v="0"/>
    <n v="0"/>
    <n v="0"/>
    <n v="0"/>
    <n v="0"/>
    <n v="0"/>
    <n v="0"/>
    <n v="0"/>
    <n v="0"/>
    <n v="0"/>
    <n v="0"/>
    <n v="0"/>
    <n v="0"/>
    <m/>
  </r>
  <r>
    <n v="1391"/>
    <d v="2025-03-07T21:05:09"/>
    <d v="2025-03-07T21:06:40"/>
    <s v="tsatumba@lighthouse.org.mw"/>
    <s v="Thomas Satumba"/>
    <x v="10"/>
    <s v="Prototype"/>
    <x v="2"/>
    <s v="COP_24"/>
    <s v="COP_24"/>
    <x v="2"/>
    <s v="Quarter2"/>
    <s v="Qtr_2"/>
    <s v="Feb"/>
    <d v="2025-02-01T00:00:00"/>
    <d v="2025-02-28T00:00:00"/>
    <x v="6"/>
    <n v="0"/>
    <n v="0"/>
    <n v="0"/>
    <n v="0"/>
    <n v="0"/>
    <n v="0"/>
    <n v="0"/>
    <n v="0"/>
    <n v="0"/>
    <n v="0"/>
    <n v="0"/>
    <n v="0"/>
    <n v="0"/>
    <n v="0"/>
    <n v="0"/>
    <n v="0"/>
    <n v="0"/>
    <n v="0"/>
    <n v="0"/>
    <n v="0"/>
    <n v="0"/>
    <n v="0"/>
    <n v="0"/>
    <n v="0"/>
    <n v="0"/>
    <m/>
  </r>
  <r>
    <n v="1431"/>
    <d v="2025-03-18T08:59:34"/>
    <d v="2025-03-18T09:02:23"/>
    <s v="tsatumba@lighthouse.org.mw"/>
    <s v="Thomas Satumba"/>
    <x v="10"/>
    <s v="Prototype"/>
    <x v="2"/>
    <s v="COP_24"/>
    <s v="COP_24"/>
    <x v="2"/>
    <s v="Quarter2"/>
    <s v="Qtr_2"/>
    <s v="Feb"/>
    <d v="2025-02-01T00:00:00"/>
    <d v="2025-02-28T00:00:00"/>
    <x v="5"/>
    <n v="10"/>
    <n v="0"/>
    <n v="1"/>
    <n v="0"/>
    <n v="1"/>
    <n v="0"/>
    <n v="0"/>
    <n v="0"/>
    <n v="2"/>
    <n v="0"/>
    <n v="0"/>
    <n v="0"/>
    <n v="2"/>
    <n v="0"/>
    <n v="0"/>
    <n v="0"/>
    <n v="0"/>
    <n v="0"/>
    <n v="0"/>
    <n v="0"/>
    <n v="0"/>
    <n v="0"/>
    <n v="0"/>
    <n v="0"/>
    <n v="0"/>
    <m/>
  </r>
  <r>
    <n v="1535"/>
    <d v="2025-04-15T11:23:48"/>
    <d v="2025-04-15T11:30:15"/>
    <s v="tsatumba@lighthouse.org.mw"/>
    <s v="Thomas Satumba"/>
    <x v="10"/>
    <s v="Prototype"/>
    <x v="2"/>
    <s v="COP_24"/>
    <s v="COP_24"/>
    <x v="2"/>
    <s v="Quarter2"/>
    <s v="Qtr_2"/>
    <s v="Mar"/>
    <d v="2025-03-01T00:00:00"/>
    <d v="2025-03-31T00:00:00"/>
    <x v="1"/>
    <n v="9"/>
    <n v="0"/>
    <n v="4"/>
    <n v="0"/>
    <n v="1"/>
    <n v="0"/>
    <n v="5"/>
    <n v="1"/>
    <n v="0"/>
    <n v="0"/>
    <n v="0"/>
    <n v="0"/>
    <n v="1"/>
    <n v="1"/>
    <n v="0"/>
    <n v="0"/>
    <n v="0"/>
    <n v="0"/>
    <n v="0"/>
    <n v="0"/>
    <n v="1"/>
    <n v="0"/>
    <n v="0"/>
    <n v="0"/>
    <n v="0"/>
    <m/>
  </r>
  <r>
    <n v="1536"/>
    <d v="2025-04-15T11:30:34"/>
    <d v="2025-04-15T11:32:20"/>
    <s v="tsatumba@lighthouse.org.mw"/>
    <s v="Thomas Satumba"/>
    <x v="10"/>
    <s v="Prototype"/>
    <x v="2"/>
    <s v="COP_24"/>
    <s v="COP_24"/>
    <x v="2"/>
    <s v="Quarter2"/>
    <s v="Qtr_2"/>
    <s v="Mar"/>
    <d v="2025-03-01T00:00:00"/>
    <d v="2025-03-31T00:00:00"/>
    <x v="3"/>
    <n v="0"/>
    <n v="0"/>
    <n v="0"/>
    <n v="0"/>
    <n v="0"/>
    <n v="0"/>
    <n v="0"/>
    <n v="0"/>
    <n v="0"/>
    <n v="0"/>
    <n v="0"/>
    <n v="0"/>
    <n v="0"/>
    <n v="0"/>
    <n v="0"/>
    <n v="0"/>
    <n v="0"/>
    <n v="0"/>
    <n v="0"/>
    <n v="0"/>
    <n v="0"/>
    <n v="0"/>
    <n v="0"/>
    <n v="0"/>
    <n v="0"/>
    <m/>
  </r>
  <r>
    <n v="1537"/>
    <d v="2025-04-15T11:32:26"/>
    <d v="2025-04-15T11:33:32"/>
    <s v="tsatumba@lighthouse.org.mw"/>
    <s v="Thomas Satumba"/>
    <x v="10"/>
    <s v="Prototype"/>
    <x v="2"/>
    <s v="COP_24"/>
    <s v="COP_24"/>
    <x v="2"/>
    <s v="Quarter2"/>
    <s v="Qtr_2"/>
    <s v="Mar"/>
    <d v="2025-03-01T00:00:00"/>
    <d v="2025-03-31T00:00:00"/>
    <x v="4"/>
    <n v="0"/>
    <n v="0"/>
    <n v="0"/>
    <n v="0"/>
    <n v="0"/>
    <n v="0"/>
    <n v="0"/>
    <n v="0"/>
    <n v="0"/>
    <n v="0"/>
    <n v="0"/>
    <n v="0"/>
    <n v="0"/>
    <n v="0"/>
    <n v="0"/>
    <n v="0"/>
    <n v="0"/>
    <n v="0"/>
    <n v="0"/>
    <n v="0"/>
    <n v="0"/>
    <n v="0"/>
    <n v="0"/>
    <n v="0"/>
    <n v="0"/>
    <m/>
  </r>
  <r>
    <n v="1538"/>
    <d v="2025-04-15T11:33:35"/>
    <d v="2025-04-15T11:35:11"/>
    <s v="tsatumba@lighthouse.org.mw"/>
    <s v="Thomas Satumba"/>
    <x v="10"/>
    <s v="Prototype"/>
    <x v="2"/>
    <s v="COP_24"/>
    <s v="COP_24"/>
    <x v="2"/>
    <s v="Quarter2"/>
    <s v="Qtr_2"/>
    <s v="Mar"/>
    <d v="2025-03-01T00:00:00"/>
    <d v="2025-03-31T00:00:00"/>
    <x v="2"/>
    <n v="0"/>
    <n v="0"/>
    <n v="0"/>
    <n v="0"/>
    <n v="0"/>
    <n v="0"/>
    <n v="0"/>
    <n v="0"/>
    <n v="0"/>
    <n v="0"/>
    <n v="0"/>
    <n v="0"/>
    <n v="0"/>
    <n v="0"/>
    <n v="0"/>
    <n v="0"/>
    <n v="0"/>
    <n v="0"/>
    <n v="0"/>
    <n v="0"/>
    <n v="0"/>
    <n v="0"/>
    <n v="0"/>
    <n v="0"/>
    <n v="0"/>
    <m/>
  </r>
  <r>
    <n v="1539"/>
    <d v="2025-04-15T11:35:14"/>
    <d v="2025-04-15T11:37:14"/>
    <s v="tsatumba@lighthouse.org.mw"/>
    <s v="Thomas Satumba"/>
    <x v="10"/>
    <s v="Prototype"/>
    <x v="2"/>
    <s v="COP_24"/>
    <s v="COP_24"/>
    <x v="2"/>
    <s v="Quarter2"/>
    <s v="Qtr_2"/>
    <s v="Mar"/>
    <d v="2025-03-01T00:00:00"/>
    <d v="2025-03-31T00:00:00"/>
    <x v="6"/>
    <n v="0"/>
    <n v="0"/>
    <n v="0"/>
    <n v="0"/>
    <n v="0"/>
    <n v="0"/>
    <n v="0"/>
    <n v="0"/>
    <n v="0"/>
    <n v="0"/>
    <n v="0"/>
    <n v="0"/>
    <n v="0"/>
    <n v="0"/>
    <n v="0"/>
    <n v="0"/>
    <n v="0"/>
    <n v="0"/>
    <n v="0"/>
    <n v="0"/>
    <n v="0"/>
    <n v="0"/>
    <n v="0"/>
    <n v="0"/>
    <n v="0"/>
    <m/>
  </r>
  <r>
    <n v="1540"/>
    <d v="2025-04-15T11:37:17"/>
    <d v="2025-04-15T11:43:05"/>
    <s v="tsatumba@lighthouse.org.mw"/>
    <s v="Thomas Satumba"/>
    <x v="10"/>
    <s v="Prototype"/>
    <x v="2"/>
    <s v="COP_24"/>
    <s v="COP_24"/>
    <x v="2"/>
    <s v="Quarter2"/>
    <s v="Qtr_2"/>
    <s v="Mar"/>
    <d v="2025-03-01T00:00:00"/>
    <d v="2025-03-31T00:00:00"/>
    <x v="0"/>
    <n v="9"/>
    <n v="0"/>
    <n v="8"/>
    <n v="0"/>
    <n v="2"/>
    <n v="0"/>
    <n v="7"/>
    <n v="1"/>
    <n v="4"/>
    <n v="0"/>
    <n v="0"/>
    <n v="0"/>
    <n v="4"/>
    <n v="2"/>
    <n v="0"/>
    <n v="0"/>
    <n v="0"/>
    <n v="0"/>
    <n v="0"/>
    <n v="0"/>
    <n v="3"/>
    <n v="0"/>
    <n v="0"/>
    <n v="0"/>
    <n v="0"/>
    <m/>
  </r>
  <r>
    <n v="1541"/>
    <d v="2025-04-15T11:43:12"/>
    <d v="2025-04-15T11:50:26"/>
    <s v="tsatumba@lighthouse.org.mw"/>
    <s v="Thomas Satumba"/>
    <x v="10"/>
    <s v="Prototype"/>
    <x v="2"/>
    <s v="COP_24"/>
    <s v="COP_24"/>
    <x v="2"/>
    <s v="Quarter2"/>
    <s v="Qtr_2"/>
    <s v="Mar"/>
    <d v="2025-03-01T00:00:00"/>
    <d v="2025-03-31T00:00:00"/>
    <x v="5"/>
    <n v="0"/>
    <n v="4"/>
    <n v="2"/>
    <n v="0"/>
    <n v="0"/>
    <n v="0"/>
    <n v="0"/>
    <n v="0"/>
    <n v="0"/>
    <n v="0"/>
    <n v="0"/>
    <n v="0"/>
    <n v="2"/>
    <n v="1"/>
    <n v="0"/>
    <n v="0"/>
    <n v="0"/>
    <n v="0"/>
    <n v="0"/>
    <n v="0"/>
    <n v="1"/>
    <n v="0"/>
    <n v="0"/>
    <n v="0"/>
    <n v="1"/>
    <m/>
  </r>
  <r>
    <n v="1620"/>
    <d v="2025-06-03T11:02:04"/>
    <d v="2025-06-03T11:09:09"/>
    <s v="tsatumba@lighthouse.org.mw"/>
    <s v="Thomas Satumba"/>
    <x v="10"/>
    <s v="Prototype"/>
    <x v="2"/>
    <s v="COP_24"/>
    <m/>
    <x v="1"/>
    <s v="Quarter3"/>
    <m/>
    <s v="Apr"/>
    <d v="2025-04-01T00:00:00"/>
    <d v="2025-04-30T00:00:00"/>
    <x v="1"/>
    <n v="16"/>
    <n v="1"/>
    <n v="9"/>
    <n v="5"/>
    <n v="2"/>
    <n v="0"/>
    <n v="16"/>
    <n v="6"/>
    <n v="6"/>
    <n v="0"/>
    <n v="0"/>
    <n v="0"/>
    <n v="4"/>
    <n v="2"/>
    <n v="0"/>
    <n v="0"/>
    <n v="0"/>
    <n v="0"/>
    <n v="0"/>
    <n v="0"/>
    <n v="4"/>
    <n v="0"/>
    <n v="0"/>
    <n v="0"/>
    <n v="0"/>
    <m/>
  </r>
  <r>
    <n v="1622"/>
    <d v="2025-06-03T11:09:19"/>
    <d v="2025-06-03T11:15:17"/>
    <s v="tsatumba@lighthouse.org.mw"/>
    <s v="Thomas Satumba"/>
    <x v="10"/>
    <s v="Prototype"/>
    <x v="2"/>
    <s v="COP_24"/>
    <m/>
    <x v="3"/>
    <s v="Quarter2"/>
    <m/>
    <s v="Apr"/>
    <d v="2025-04-01T00:00:00"/>
    <d v="2025-04-30T00:00:00"/>
    <x v="0"/>
    <n v="24"/>
    <n v="2"/>
    <n v="12"/>
    <n v="7"/>
    <n v="5"/>
    <n v="0"/>
    <n v="21"/>
    <n v="9"/>
    <n v="12"/>
    <n v="0"/>
    <n v="0"/>
    <n v="0"/>
    <n v="12"/>
    <n v="4"/>
    <n v="0"/>
    <n v="0"/>
    <n v="0"/>
    <n v="0"/>
    <n v="0"/>
    <n v="0"/>
    <n v="4"/>
    <n v="0"/>
    <n v="0"/>
    <n v="0"/>
    <n v="0"/>
    <m/>
  </r>
  <r>
    <n v="1623"/>
    <d v="2025-06-03T11:15:44"/>
    <d v="2025-06-03T11:17:33"/>
    <s v="tsatumba@lighthouse.org.mw"/>
    <s v="Thomas Satumba"/>
    <x v="10"/>
    <s v="Prototype"/>
    <x v="2"/>
    <s v="COP_24"/>
    <m/>
    <x v="3"/>
    <s v="Quarter2"/>
    <m/>
    <s v="Apr"/>
    <d v="2025-04-01T00:00:00"/>
    <d v="2025-04-30T00:00:00"/>
    <x v="3"/>
    <n v="0"/>
    <n v="0"/>
    <n v="0"/>
    <n v="0"/>
    <n v="0"/>
    <n v="0"/>
    <n v="0"/>
    <n v="0"/>
    <n v="0"/>
    <n v="0"/>
    <n v="0"/>
    <n v="0"/>
    <n v="0"/>
    <n v="0"/>
    <n v="0"/>
    <n v="0"/>
    <n v="0"/>
    <n v="0"/>
    <n v="0"/>
    <n v="0"/>
    <n v="0"/>
    <n v="0"/>
    <n v="0"/>
    <n v="0"/>
    <n v="0"/>
    <m/>
  </r>
  <r>
    <n v="1625"/>
    <d v="2025-06-03T11:17:56"/>
    <d v="2025-06-03T11:19:40"/>
    <s v="tsatumba@lighthouse.org.mw"/>
    <s v="Thomas Satumba"/>
    <x v="10"/>
    <s v="Prototype"/>
    <x v="2"/>
    <s v="COP_24"/>
    <m/>
    <x v="3"/>
    <s v="Quarter2"/>
    <m/>
    <s v="Apr"/>
    <d v="2025-04-01T00:00:00"/>
    <d v="2025-04-30T00:00:00"/>
    <x v="4"/>
    <n v="0"/>
    <n v="0"/>
    <n v="0"/>
    <n v="0"/>
    <n v="0"/>
    <n v="0"/>
    <n v="0"/>
    <n v="0"/>
    <n v="0"/>
    <n v="0"/>
    <n v="0"/>
    <n v="0"/>
    <n v="0"/>
    <n v="0"/>
    <n v="0"/>
    <n v="0"/>
    <n v="0"/>
    <n v="0"/>
    <n v="0"/>
    <n v="0"/>
    <n v="0"/>
    <n v="0"/>
    <n v="0"/>
    <n v="0"/>
    <n v="0"/>
    <m/>
  </r>
  <r>
    <n v="1627"/>
    <d v="2025-06-03T11:19:46"/>
    <d v="2025-06-03T11:22:01"/>
    <s v="tsatumba@lighthouse.org.mw"/>
    <s v="Thomas Satumba"/>
    <x v="10"/>
    <s v="Prototype"/>
    <x v="2"/>
    <s v="COP_24"/>
    <m/>
    <x v="3"/>
    <s v="Quarter2"/>
    <m/>
    <s v="Apr"/>
    <d v="2025-04-01T00:00:00"/>
    <d v="2025-04-30T00:00:00"/>
    <x v="5"/>
    <n v="0"/>
    <n v="0"/>
    <n v="0"/>
    <n v="0"/>
    <n v="0"/>
    <n v="0"/>
    <n v="0"/>
    <n v="0"/>
    <n v="0"/>
    <n v="0"/>
    <n v="0"/>
    <n v="0"/>
    <n v="0"/>
    <n v="0"/>
    <n v="0"/>
    <n v="0"/>
    <n v="0"/>
    <n v="0"/>
    <n v="0"/>
    <n v="0"/>
    <n v="0"/>
    <n v="0"/>
    <n v="0"/>
    <n v="0"/>
    <n v="0"/>
    <m/>
  </r>
  <r>
    <n v="1628"/>
    <d v="2025-06-03T11:22:05"/>
    <d v="2025-06-03T11:23:26"/>
    <s v="tsatumba@lighthouse.org.mw"/>
    <s v="Thomas Satumba"/>
    <x v="10"/>
    <s v="Prototype"/>
    <x v="2"/>
    <s v="COP_24"/>
    <m/>
    <x v="3"/>
    <s v="Quarter2"/>
    <m/>
    <s v="Apr"/>
    <d v="2025-04-01T00:00:00"/>
    <d v="2025-04-30T00:00:00"/>
    <x v="6"/>
    <n v="0"/>
    <n v="0"/>
    <n v="0"/>
    <n v="0"/>
    <n v="0"/>
    <n v="0"/>
    <n v="0"/>
    <n v="0"/>
    <n v="0"/>
    <n v="0"/>
    <n v="0"/>
    <n v="0"/>
    <n v="0"/>
    <n v="0"/>
    <n v="0"/>
    <n v="0"/>
    <n v="0"/>
    <n v="0"/>
    <n v="0"/>
    <n v="0"/>
    <n v="0"/>
    <n v="0"/>
    <n v="0"/>
    <n v="0"/>
    <n v="0"/>
    <m/>
  </r>
  <r>
    <n v="1633"/>
    <d v="2025-06-03T11:25:37"/>
    <d v="2025-06-03T11:37:13"/>
    <s v="tsatumba@lighthouse.org.mw"/>
    <s v="Thomas Satumba"/>
    <x v="10"/>
    <s v="Prototype"/>
    <x v="2"/>
    <s v="COP_24"/>
    <m/>
    <x v="1"/>
    <s v="Quarter3"/>
    <m/>
    <s v="May"/>
    <d v="2025-05-01T00:00:00"/>
    <d v="2025-05-31T00:00:00"/>
    <x v="1"/>
    <n v="12"/>
    <n v="1"/>
    <n v="6"/>
    <n v="3"/>
    <n v="3"/>
    <n v="0"/>
    <n v="12"/>
    <n v="7"/>
    <n v="0"/>
    <n v="0"/>
    <n v="0"/>
    <n v="0"/>
    <n v="3"/>
    <n v="0"/>
    <n v="0"/>
    <n v="0"/>
    <n v="0"/>
    <n v="0"/>
    <n v="0"/>
    <n v="0"/>
    <n v="0"/>
    <n v="0"/>
    <n v="0"/>
    <n v="0"/>
    <n v="0"/>
    <m/>
  </r>
  <r>
    <n v="1634"/>
    <d v="2025-06-03T11:37:25"/>
    <d v="2025-06-03T11:41:05"/>
    <s v="tsatumba@lighthouse.org.mw"/>
    <s v="Thomas Satumba"/>
    <x v="10"/>
    <s v="Prototype"/>
    <x v="2"/>
    <s v="COP_24"/>
    <m/>
    <x v="1"/>
    <s v="Quarter3"/>
    <m/>
    <s v="May"/>
    <d v="2025-05-01T00:00:00"/>
    <d v="2025-05-31T00:00:00"/>
    <x v="0"/>
    <n v="12"/>
    <n v="1"/>
    <n v="6"/>
    <n v="3"/>
    <n v="3"/>
    <n v="0"/>
    <n v="12"/>
    <n v="7"/>
    <n v="0"/>
    <n v="0"/>
    <n v="0"/>
    <n v="0"/>
    <n v="3"/>
    <n v="0"/>
    <n v="0"/>
    <n v="0"/>
    <n v="0"/>
    <n v="0"/>
    <n v="0"/>
    <n v="0"/>
    <n v="0"/>
    <n v="0"/>
    <n v="0"/>
    <n v="0"/>
    <n v="0"/>
    <m/>
  </r>
  <r>
    <n v="1635"/>
    <d v="2025-06-03T11:41:08"/>
    <d v="2025-06-03T11:42:28"/>
    <s v="tsatumba@lighthouse.org.mw"/>
    <s v="Thomas Satumba"/>
    <x v="10"/>
    <s v="Prototype"/>
    <x v="2"/>
    <s v="COP_24"/>
    <m/>
    <x v="1"/>
    <s v="Quarter3"/>
    <m/>
    <s v="May"/>
    <d v="2025-05-01T00:00:00"/>
    <d v="2025-05-31T00:00:00"/>
    <x v="3"/>
    <n v="0"/>
    <n v="0"/>
    <n v="0"/>
    <n v="0"/>
    <n v="0"/>
    <n v="0"/>
    <n v="0"/>
    <n v="0"/>
    <n v="0"/>
    <n v="0"/>
    <n v="0"/>
    <n v="0"/>
    <n v="0"/>
    <n v="0"/>
    <n v="0"/>
    <n v="0"/>
    <n v="0"/>
    <n v="0"/>
    <n v="0"/>
    <n v="0"/>
    <n v="0"/>
    <n v="0"/>
    <n v="0"/>
    <n v="0"/>
    <n v="0"/>
    <m/>
  </r>
  <r>
    <n v="1636"/>
    <d v="2025-06-03T11:42:31"/>
    <d v="2025-06-03T11:43:41"/>
    <s v="tsatumba@lighthouse.org.mw"/>
    <s v="Thomas Satumba"/>
    <x v="10"/>
    <s v="Prototype"/>
    <x v="2"/>
    <s v="COP_24"/>
    <m/>
    <x v="1"/>
    <s v="Quarter3"/>
    <m/>
    <s v="May"/>
    <d v="2025-05-01T00:00:00"/>
    <d v="2025-05-31T00:00:00"/>
    <x v="4"/>
    <n v="0"/>
    <n v="0"/>
    <n v="0"/>
    <n v="0"/>
    <n v="0"/>
    <n v="0"/>
    <n v="0"/>
    <n v="0"/>
    <n v="0"/>
    <n v="0"/>
    <n v="0"/>
    <n v="0"/>
    <n v="0"/>
    <n v="0"/>
    <n v="0"/>
    <n v="0"/>
    <n v="0"/>
    <n v="0"/>
    <n v="0"/>
    <n v="0"/>
    <n v="0"/>
    <n v="0"/>
    <n v="0"/>
    <n v="0"/>
    <n v="0"/>
    <m/>
  </r>
  <r>
    <n v="1637"/>
    <d v="2025-06-03T11:43:43"/>
    <d v="2025-06-03T11:45:05"/>
    <s v="tsatumba@lighthouse.org.mw"/>
    <s v="Thomas Satumba"/>
    <x v="10"/>
    <s v="Prototype"/>
    <x v="2"/>
    <s v="COP_24"/>
    <m/>
    <x v="1"/>
    <s v="Quarter3"/>
    <m/>
    <s v="May"/>
    <d v="2025-05-01T00:00:00"/>
    <d v="2025-05-31T00:00:00"/>
    <x v="5"/>
    <n v="0"/>
    <n v="0"/>
    <n v="0"/>
    <n v="0"/>
    <n v="0"/>
    <n v="0"/>
    <n v="0"/>
    <n v="0"/>
    <n v="0"/>
    <n v="0"/>
    <n v="0"/>
    <n v="0"/>
    <n v="0"/>
    <n v="0"/>
    <n v="0"/>
    <n v="0"/>
    <n v="0"/>
    <n v="0"/>
    <n v="0"/>
    <n v="0"/>
    <n v="0"/>
    <n v="0"/>
    <n v="0"/>
    <n v="0"/>
    <n v="0"/>
    <m/>
  </r>
  <r>
    <n v="1638"/>
    <d v="2025-06-03T11:45:07"/>
    <d v="2025-06-03T11:46:44"/>
    <s v="tsatumba@lighthouse.org.mw"/>
    <s v="Thomas Satumba"/>
    <x v="10"/>
    <s v="Prototype"/>
    <x v="2"/>
    <s v="COP_24"/>
    <m/>
    <x v="1"/>
    <s v="Quarter3"/>
    <m/>
    <s v="May"/>
    <d v="2025-05-01T00:00:00"/>
    <d v="2025-05-31T00:00:00"/>
    <x v="2"/>
    <n v="0"/>
    <n v="0"/>
    <n v="0"/>
    <n v="0"/>
    <n v="0"/>
    <n v="0"/>
    <n v="0"/>
    <n v="0"/>
    <n v="0"/>
    <n v="0"/>
    <n v="0"/>
    <n v="0"/>
    <n v="0"/>
    <n v="0"/>
    <n v="0"/>
    <n v="0"/>
    <n v="0"/>
    <n v="0"/>
    <n v="0"/>
    <n v="0"/>
    <n v="0"/>
    <n v="0"/>
    <n v="0"/>
    <n v="0"/>
    <n v="0"/>
    <m/>
  </r>
  <r>
    <n v="1639"/>
    <d v="2025-06-03T11:46:47"/>
    <d v="2025-06-03T11:48:25"/>
    <s v="tsatumba@lighthouse.org.mw"/>
    <s v="Thomas Satumba"/>
    <x v="10"/>
    <s v="Prototype"/>
    <x v="2"/>
    <s v="COP_24"/>
    <m/>
    <x v="1"/>
    <s v="Quarter3"/>
    <m/>
    <s v="May"/>
    <d v="2025-05-01T00:00:00"/>
    <d v="2025-05-31T00:00:00"/>
    <x v="6"/>
    <n v="0"/>
    <n v="0"/>
    <n v="0"/>
    <n v="0"/>
    <n v="0"/>
    <n v="0"/>
    <n v="0"/>
    <n v="0"/>
    <n v="0"/>
    <n v="0"/>
    <n v="0"/>
    <n v="0"/>
    <n v="0"/>
    <n v="0"/>
    <n v="0"/>
    <n v="0"/>
    <n v="0"/>
    <n v="0"/>
    <n v="0"/>
    <n v="0"/>
    <n v="0"/>
    <n v="0"/>
    <n v="0"/>
    <n v="0"/>
    <n v="0"/>
    <m/>
  </r>
  <r>
    <n v="1653"/>
    <d v="2025-06-06T14:05:16"/>
    <d v="2025-06-06T14:08:33"/>
    <s v="tsatumba@lighthouse.org.mw"/>
    <s v="Thomas Satumba"/>
    <x v="10"/>
    <s v="Prototype"/>
    <x v="2"/>
    <s v="COP_24"/>
    <m/>
    <x v="3"/>
    <s v="Quarter2"/>
    <m/>
    <s v="May"/>
    <d v="2025-05-01T00:00:00"/>
    <d v="2025-05-31T00:00:00"/>
    <x v="2"/>
    <n v="30"/>
    <n v="0"/>
    <n v="3"/>
    <n v="2"/>
    <n v="2"/>
    <n v="0"/>
    <n v="7"/>
    <n v="1"/>
    <n v="4"/>
    <n v="0"/>
    <n v="0"/>
    <n v="0"/>
    <n v="4"/>
    <n v="1"/>
    <n v="0"/>
    <n v="0"/>
    <n v="0"/>
    <n v="0"/>
    <n v="0"/>
    <n v="0"/>
    <n v="1"/>
    <n v="0"/>
    <n v="0"/>
    <n v="0"/>
    <n v="0"/>
    <m/>
  </r>
  <r>
    <n v="1782"/>
    <d v="2025-07-09T17:18:10"/>
    <d v="2025-07-09T17:19:20"/>
    <s v="tsatumba@lighthouse.org.mw"/>
    <s v="Thomas Satumba"/>
    <x v="10"/>
    <s v="Prototype"/>
    <x v="2"/>
    <s v="COP_24"/>
    <m/>
    <x v="1"/>
    <s v="Quarter3"/>
    <m/>
    <s v="Jun"/>
    <d v="2025-06-01T00:00:00"/>
    <d v="2025-06-30T00:00:00"/>
    <x v="1"/>
    <n v="14"/>
    <n v="0"/>
    <n v="12"/>
    <n v="1"/>
    <n v="1"/>
    <n v="0"/>
    <n v="14"/>
    <n v="4"/>
    <n v="3"/>
    <n v="0"/>
    <n v="0"/>
    <n v="0"/>
    <n v="5"/>
    <n v="0"/>
    <n v="0"/>
    <n v="0"/>
    <n v="0"/>
    <n v="0"/>
    <n v="0"/>
    <n v="0"/>
    <n v="0"/>
    <n v="0"/>
    <n v="0"/>
    <n v="0"/>
    <n v="0"/>
    <m/>
  </r>
  <r>
    <n v="1783"/>
    <d v="2025-07-09T17:19:28"/>
    <d v="2025-07-09T17:21:56"/>
    <s v="tsatumba@lighthouse.org.mw"/>
    <s v="Thomas Satumba"/>
    <x v="10"/>
    <s v="Prototype"/>
    <x v="2"/>
    <s v="COP_24"/>
    <m/>
    <x v="1"/>
    <s v="Quarter3"/>
    <m/>
    <s v="Jun"/>
    <d v="2025-06-01T00:00:00"/>
    <d v="2025-06-30T00:00:00"/>
    <x v="3"/>
    <n v="1"/>
    <n v="0"/>
    <n v="1"/>
    <n v="0"/>
    <n v="0"/>
    <n v="0"/>
    <n v="0"/>
    <n v="0"/>
    <n v="0"/>
    <n v="0"/>
    <n v="0"/>
    <n v="0"/>
    <n v="0"/>
    <n v="0"/>
    <n v="0"/>
    <n v="0"/>
    <n v="0"/>
    <n v="0"/>
    <n v="0"/>
    <n v="0"/>
    <n v="0"/>
    <n v="0"/>
    <n v="0"/>
    <n v="0"/>
    <n v="0"/>
    <m/>
  </r>
  <r>
    <n v="1784"/>
    <d v="2025-07-09T17:22:04"/>
    <d v="2025-07-09T17:26:45"/>
    <s v="tsatumba@lighthouse.org.mw"/>
    <s v="Thomas Satumba"/>
    <x v="10"/>
    <s v="Prototype"/>
    <x v="2"/>
    <s v="COP_24"/>
    <m/>
    <x v="1"/>
    <s v="Quarter3"/>
    <m/>
    <s v="Jun"/>
    <d v="2025-06-01T00:00:00"/>
    <d v="2025-06-30T00:00:00"/>
    <x v="4"/>
    <n v="2"/>
    <n v="0"/>
    <n v="2"/>
    <n v="0"/>
    <n v="1"/>
    <n v="0"/>
    <n v="0"/>
    <n v="0"/>
    <n v="3"/>
    <n v="0"/>
    <n v="0"/>
    <n v="0"/>
    <n v="3"/>
    <n v="0"/>
    <n v="0"/>
    <n v="0"/>
    <n v="0"/>
    <n v="0"/>
    <n v="0"/>
    <n v="0"/>
    <n v="0"/>
    <n v="0"/>
    <n v="0"/>
    <n v="0"/>
    <n v="0"/>
    <m/>
  </r>
  <r>
    <n v="1785"/>
    <d v="2025-07-09T17:26:50"/>
    <d v="2025-07-09T17:31:08"/>
    <s v="tsatumba@lighthouse.org.mw"/>
    <s v="Thomas Satumba"/>
    <x v="10"/>
    <s v="Prototype"/>
    <x v="2"/>
    <s v="COP_24"/>
    <m/>
    <x v="1"/>
    <s v="Quarter3"/>
    <m/>
    <s v="Jun"/>
    <d v="2025-06-01T00:00:00"/>
    <d v="2025-06-30T00:00:00"/>
    <x v="5"/>
    <n v="5"/>
    <n v="0"/>
    <n v="4"/>
    <n v="0"/>
    <n v="1"/>
    <n v="0"/>
    <n v="0"/>
    <n v="0"/>
    <n v="0"/>
    <n v="0"/>
    <n v="0"/>
    <n v="0"/>
    <n v="4"/>
    <n v="0"/>
    <n v="0"/>
    <n v="0"/>
    <n v="0"/>
    <n v="0"/>
    <n v="0"/>
    <n v="0"/>
    <n v="0"/>
    <n v="0"/>
    <n v="0"/>
    <n v="0"/>
    <n v="0"/>
    <m/>
  </r>
  <r>
    <n v="1799"/>
    <d v="2025-07-10T18:03:29"/>
    <d v="2025-07-10T18:10:36"/>
    <s v="tsatumba@lighthouse.org.mw"/>
    <s v="Thomas Satumba"/>
    <x v="10"/>
    <s v="Prototype"/>
    <x v="2"/>
    <s v="COP_24"/>
    <m/>
    <x v="1"/>
    <s v="Quarter3"/>
    <m/>
    <s v="Jun"/>
    <d v="2025-06-01T00:00:00"/>
    <d v="2025-06-30T00:00:00"/>
    <x v="2"/>
    <n v="3"/>
    <n v="2"/>
    <n v="0"/>
    <n v="0"/>
    <n v="3"/>
    <n v="0"/>
    <n v="0"/>
    <n v="0"/>
    <n v="1"/>
    <n v="0"/>
    <n v="0"/>
    <n v="0"/>
    <n v="3"/>
    <n v="1"/>
    <n v="0"/>
    <n v="0"/>
    <n v="0"/>
    <n v="0"/>
    <n v="0"/>
    <n v="0"/>
    <n v="0"/>
    <n v="0"/>
    <n v="0"/>
    <n v="0"/>
    <n v="0"/>
    <m/>
  </r>
  <r>
    <n v="1800"/>
    <d v="2025-07-10T18:10:41"/>
    <d v="2025-07-10T18:12:33"/>
    <s v="tsatumba@lighthouse.org.mw"/>
    <s v="Thomas Satumba"/>
    <x v="10"/>
    <s v="Prototype"/>
    <x v="2"/>
    <s v="COP_24"/>
    <m/>
    <x v="3"/>
    <s v="Quarter3"/>
    <m/>
    <s v="Jun"/>
    <d v="2025-06-01T00:00:00"/>
    <d v="2025-06-30T00:00:00"/>
    <x v="6"/>
    <n v="0"/>
    <n v="0"/>
    <n v="0"/>
    <n v="0"/>
    <n v="0"/>
    <n v="0"/>
    <n v="0"/>
    <n v="0"/>
    <n v="0"/>
    <n v="0"/>
    <n v="0"/>
    <n v="0"/>
    <n v="0"/>
    <n v="0"/>
    <n v="0"/>
    <n v="0"/>
    <n v="0"/>
    <n v="0"/>
    <n v="0"/>
    <n v="0"/>
    <n v="0"/>
    <n v="0"/>
    <n v="0"/>
    <n v="0"/>
    <n v="0"/>
    <m/>
  </r>
  <r>
    <n v="1801"/>
    <d v="2025-07-10T18:12:38"/>
    <d v="2025-07-10T18:16:06"/>
    <s v="tsatumba@lighthouse.org.mw"/>
    <s v="Thomas Satumba"/>
    <x v="10"/>
    <s v="Prototype"/>
    <x v="2"/>
    <s v="COP_24"/>
    <m/>
    <x v="3"/>
    <s v="Quarter3"/>
    <m/>
    <s v="Jun"/>
    <d v="2025-06-01T00:00:00"/>
    <d v="2025-06-30T00:00:00"/>
    <x v="0"/>
    <n v="24"/>
    <n v="2"/>
    <n v="17"/>
    <n v="1"/>
    <n v="6"/>
    <n v="0"/>
    <n v="6"/>
    <n v="0"/>
    <n v="9"/>
    <n v="0"/>
    <n v="0"/>
    <n v="0"/>
    <n v="13"/>
    <n v="2"/>
    <n v="0"/>
    <n v="0"/>
    <n v="0"/>
    <n v="0"/>
    <n v="0"/>
    <n v="0"/>
    <n v="2"/>
    <n v="0"/>
    <n v="0"/>
    <n v="0"/>
    <n v="0"/>
    <m/>
  </r>
  <r>
    <n v="56"/>
    <d v="2023-12-21T10:34:05"/>
    <d v="2023-12-21T10:45:06"/>
    <s v="vngwira@lighthouse.org.mw"/>
    <s v="Vincent Ngwira"/>
    <x v="11"/>
    <s v="COE"/>
    <x v="0"/>
    <s v="COP_23"/>
    <s v="COP_23"/>
    <x v="0"/>
    <s v="Quarter1"/>
    <s v="Qtr_1"/>
    <s v="Nov"/>
    <d v="2023-11-01T00:00:00"/>
    <d v="2023-11-30T00:00:00"/>
    <x v="6"/>
    <n v="40"/>
    <n v="36"/>
    <n v="0"/>
    <n v="0"/>
    <n v="31"/>
    <n v="9"/>
    <n v="38"/>
    <n v="11"/>
    <n v="40"/>
    <n v="2"/>
    <n v="2"/>
    <n v="1"/>
    <n v="37"/>
    <n v="4"/>
    <n v="4"/>
    <n v="0"/>
    <n v="8"/>
    <n v="1"/>
    <n v="10"/>
    <n v="0"/>
    <n v="2"/>
    <n v="1"/>
    <n v="0"/>
    <n v="0"/>
    <n v="9"/>
    <m/>
  </r>
  <r>
    <n v="57"/>
    <d v="2023-12-21T10:45:13"/>
    <d v="2023-12-21T10:48:52"/>
    <s v="vngwira@lighthouse.org.mw"/>
    <s v="Vincent Ngwira"/>
    <x v="11"/>
    <s v="COE"/>
    <x v="0"/>
    <s v="COP_23"/>
    <s v="COP_23"/>
    <x v="0"/>
    <s v="Quarter1"/>
    <s v="Qtr_1"/>
    <s v="Oct"/>
    <d v="2023-10-01T00:00:00"/>
    <d v="2023-10-31T00:00:00"/>
    <x v="6"/>
    <n v="59"/>
    <n v="34"/>
    <n v="1"/>
    <n v="0"/>
    <n v="33"/>
    <n v="5"/>
    <n v="37"/>
    <n v="14"/>
    <n v="37"/>
    <n v="2"/>
    <n v="2"/>
    <n v="0"/>
    <n v="23"/>
    <n v="6"/>
    <n v="0"/>
    <n v="0"/>
    <n v="1"/>
    <n v="0"/>
    <n v="6"/>
    <n v="2"/>
    <n v="6"/>
    <n v="0"/>
    <n v="0"/>
    <n v="0"/>
    <n v="0"/>
    <m/>
  </r>
  <r>
    <n v="58"/>
    <d v="2023-12-21T10:49:11"/>
    <d v="2023-12-21T10:51:44"/>
    <s v="vngwira@lighthouse.org.mw"/>
    <s v="Vincent Ngwira"/>
    <x v="11"/>
    <s v="COE"/>
    <x v="0"/>
    <s v="COP_22"/>
    <s v="COP_22"/>
    <x v="1"/>
    <s v="Quarter4"/>
    <s v="Qtr_4"/>
    <s v="Sep"/>
    <d v="2023-09-01T00:00:00"/>
    <d v="2023-09-30T00:00:00"/>
    <x v="6"/>
    <n v="23"/>
    <n v="18"/>
    <n v="1"/>
    <n v="0"/>
    <n v="19"/>
    <n v="3"/>
    <n v="19"/>
    <n v="12"/>
    <n v="21"/>
    <n v="1"/>
    <n v="1"/>
    <n v="0"/>
    <n v="22"/>
    <n v="1"/>
    <n v="1"/>
    <n v="0"/>
    <n v="8"/>
    <n v="3"/>
    <n v="10"/>
    <n v="3"/>
    <n v="6"/>
    <n v="1"/>
    <n v="0"/>
    <n v="0"/>
    <n v="13"/>
    <m/>
  </r>
  <r>
    <n v="59"/>
    <d v="2023-12-21T13:46:06"/>
    <d v="2023-12-21T13:46:20"/>
    <s v="vngwira@lighthouse.org.mw"/>
    <s v="Vincent Ngwira"/>
    <x v="11"/>
    <s v="COE"/>
    <x v="0"/>
    <s v="COP_23"/>
    <s v="COP_23"/>
    <x v="0"/>
    <s v="Quarter1"/>
    <s v="Qtr_1"/>
    <s v="Nov"/>
    <d v="2023-11-01T00:00:00"/>
    <d v="2023-11-30T00:00:00"/>
    <x v="0"/>
    <n v="117"/>
    <n v="100"/>
    <n v="84"/>
    <n v="5"/>
    <n v="19"/>
    <n v="9"/>
    <n v="110"/>
    <n v="34"/>
    <n v="37"/>
    <n v="2"/>
    <n v="2"/>
    <n v="1"/>
    <n v="48"/>
    <n v="3"/>
    <n v="12"/>
    <n v="0"/>
    <n v="27"/>
    <n v="4"/>
    <n v="32"/>
    <n v="3"/>
    <n v="7"/>
    <n v="1"/>
    <n v="1"/>
    <n v="1"/>
    <n v="0"/>
    <m/>
  </r>
  <r>
    <n v="60"/>
    <d v="2023-12-21T13:46:43"/>
    <d v="2023-12-21T13:50:00"/>
    <s v="vngwira@lighthouse.org.mw"/>
    <s v="Vincent Ngwira"/>
    <x v="11"/>
    <s v="COE"/>
    <x v="0"/>
    <s v="COP_23"/>
    <s v="COP_23"/>
    <x v="0"/>
    <s v="Quarter1"/>
    <s v="Qtr_1"/>
    <s v="Oct"/>
    <d v="2023-10-01T00:00:00"/>
    <d v="2023-10-31T00:00:00"/>
    <x v="0"/>
    <n v="119"/>
    <n v="13"/>
    <n v="92"/>
    <n v="0"/>
    <n v="18"/>
    <n v="9"/>
    <n v="114"/>
    <n v="38"/>
    <n v="50"/>
    <n v="3"/>
    <n v="2"/>
    <n v="0"/>
    <n v="40"/>
    <n v="3"/>
    <n v="26"/>
    <n v="1"/>
    <n v="36"/>
    <n v="25"/>
    <n v="29"/>
    <n v="22"/>
    <n v="5"/>
    <n v="1"/>
    <n v="1"/>
    <n v="0"/>
    <n v="4"/>
    <m/>
  </r>
  <r>
    <n v="61"/>
    <d v="2023-12-21T13:50:07"/>
    <d v="2023-12-21T13:52:31"/>
    <s v="vngwira@lighthouse.org.mw"/>
    <s v="Vincent Ngwira"/>
    <x v="11"/>
    <s v="COE"/>
    <x v="0"/>
    <s v="COP_22"/>
    <s v="COP_22"/>
    <x v="1"/>
    <s v="Quarter4"/>
    <s v="Qtr_4"/>
    <s v="Sep"/>
    <d v="2023-09-01T00:00:00"/>
    <d v="2023-09-30T00:00:00"/>
    <x v="0"/>
    <n v="158"/>
    <n v="29"/>
    <n v="130"/>
    <n v="0"/>
    <n v="19"/>
    <n v="9"/>
    <n v="146"/>
    <n v="45"/>
    <n v="51"/>
    <n v="1"/>
    <n v="1"/>
    <n v="0"/>
    <n v="54"/>
    <n v="4"/>
    <n v="3"/>
    <n v="1"/>
    <n v="10"/>
    <n v="2"/>
    <n v="10"/>
    <n v="2"/>
    <n v="7"/>
    <n v="0"/>
    <n v="0"/>
    <n v="0"/>
    <n v="2"/>
    <m/>
  </r>
  <r>
    <n v="65"/>
    <d v="2024-01-11T09:04:52"/>
    <d v="2024-01-11T09:36:10"/>
    <s v="vngwira@lighthouse.org.mw"/>
    <s v="Vincent Ngwira"/>
    <x v="11"/>
    <s v="COE"/>
    <x v="0"/>
    <s v="COP_23"/>
    <s v="COP_23"/>
    <x v="0"/>
    <s v="Quarter1"/>
    <s v="Qtr_1"/>
    <s v="Oct"/>
    <d v="2023-10-01T00:00:00"/>
    <d v="2023-10-31T00:00:00"/>
    <x v="3"/>
    <n v="0"/>
    <n v="0"/>
    <n v="0"/>
    <n v="0"/>
    <n v="0"/>
    <n v="0"/>
    <n v="0"/>
    <n v="0"/>
    <n v="0"/>
    <n v="0"/>
    <n v="0"/>
    <n v="0"/>
    <n v="0"/>
    <n v="0"/>
    <n v="0"/>
    <n v="0"/>
    <n v="0"/>
    <n v="0"/>
    <n v="0"/>
    <n v="0"/>
    <n v="0"/>
    <n v="0"/>
    <n v="0"/>
    <n v="0"/>
    <n v="0"/>
    <m/>
  </r>
  <r>
    <n v="66"/>
    <d v="2024-01-11T09:36:18"/>
    <d v="2024-01-11T09:42:41"/>
    <s v="vngwira@lighthouse.org.mw"/>
    <s v="Vincent Ngwira"/>
    <x v="11"/>
    <s v="COE"/>
    <x v="0"/>
    <s v="COP_23"/>
    <s v="COP_23"/>
    <x v="0"/>
    <s v="Quarter1"/>
    <s v="Qtr_1"/>
    <s v="Oct"/>
    <d v="2023-10-01T00:00:00"/>
    <d v="2023-10-31T00:00:00"/>
    <x v="4"/>
    <n v="7"/>
    <n v="4"/>
    <n v="3"/>
    <n v="0"/>
    <n v="3"/>
    <n v="1"/>
    <n v="7"/>
    <n v="2"/>
    <n v="5"/>
    <n v="0"/>
    <n v="1"/>
    <n v="0"/>
    <n v="5"/>
    <n v="0"/>
    <n v="1"/>
    <n v="0"/>
    <n v="1"/>
    <n v="0"/>
    <n v="2"/>
    <n v="0"/>
    <n v="1"/>
    <n v="0"/>
    <n v="0"/>
    <n v="1"/>
    <n v="0"/>
    <m/>
  </r>
  <r>
    <n v="67"/>
    <d v="2024-01-11T09:42:45"/>
    <d v="2024-01-11T09:45:36"/>
    <s v="vngwira@lighthouse.org.mw"/>
    <s v="Vincent Ngwira"/>
    <x v="11"/>
    <s v="COE"/>
    <x v="0"/>
    <s v="COP_23"/>
    <s v="COP_23"/>
    <x v="0"/>
    <s v="Quarter1"/>
    <s v="Qtr_1"/>
    <s v="Oct"/>
    <d v="2023-10-01T00:00:00"/>
    <d v="2023-10-31T00:00:00"/>
    <x v="5"/>
    <n v="11"/>
    <n v="0"/>
    <n v="9"/>
    <n v="0"/>
    <n v="1"/>
    <n v="1"/>
    <n v="11"/>
    <n v="5"/>
    <n v="5"/>
    <n v="0"/>
    <n v="0"/>
    <n v="0"/>
    <n v="2"/>
    <n v="0"/>
    <n v="2"/>
    <n v="0"/>
    <n v="3"/>
    <n v="1"/>
    <n v="3"/>
    <n v="1"/>
    <n v="1"/>
    <n v="0"/>
    <n v="0"/>
    <n v="0"/>
    <n v="1"/>
    <m/>
  </r>
  <r>
    <n v="69"/>
    <d v="2024-01-11T09:47:48"/>
    <d v="2024-01-11T09:49:45"/>
    <s v="vngwira@lighthouse.org.mw"/>
    <s v="Vincent Ngwira"/>
    <x v="11"/>
    <s v="COE"/>
    <x v="0"/>
    <s v="COP_23"/>
    <s v="COP_23"/>
    <x v="0"/>
    <s v="Quarter1"/>
    <s v="Qtr_1"/>
    <s v="Nov"/>
    <d v="2023-11-01T00:00:00"/>
    <d v="2023-11-30T00:00:00"/>
    <x v="3"/>
    <n v="0"/>
    <n v="0"/>
    <n v="0"/>
    <n v="0"/>
    <n v="0"/>
    <n v="0"/>
    <n v="0"/>
    <n v="0"/>
    <n v="0"/>
    <n v="0"/>
    <n v="0"/>
    <n v="0"/>
    <n v="0"/>
    <n v="0"/>
    <n v="0"/>
    <n v="0"/>
    <n v="0"/>
    <n v="0"/>
    <n v="0"/>
    <n v="0"/>
    <n v="0"/>
    <n v="0"/>
    <n v="0"/>
    <n v="0"/>
    <n v="0"/>
    <m/>
  </r>
  <r>
    <n v="70"/>
    <d v="2024-01-11T09:49:59"/>
    <d v="2024-01-11T09:52:04"/>
    <s v="vngwira@lighthouse.org.mw"/>
    <s v="Vincent Ngwira"/>
    <x v="11"/>
    <s v="COE"/>
    <x v="0"/>
    <s v="COP_23"/>
    <s v="COP_23"/>
    <x v="0"/>
    <s v="Quarter1"/>
    <s v="Qtr_1"/>
    <s v="Nov"/>
    <d v="2023-11-01T00:00:00"/>
    <d v="2023-11-30T00:00:00"/>
    <x v="4"/>
    <n v="13"/>
    <n v="2"/>
    <n v="10"/>
    <n v="0"/>
    <n v="2"/>
    <n v="1"/>
    <n v="13"/>
    <n v="1"/>
    <n v="3"/>
    <n v="0"/>
    <n v="0"/>
    <n v="0"/>
    <n v="3"/>
    <n v="0"/>
    <n v="0"/>
    <n v="0"/>
    <n v="1"/>
    <n v="1"/>
    <n v="1"/>
    <n v="0"/>
    <n v="1"/>
    <n v="0"/>
    <n v="0"/>
    <n v="0"/>
    <n v="1"/>
    <m/>
  </r>
  <r>
    <n v="71"/>
    <d v="2024-01-11T09:52:28"/>
    <d v="2024-01-11T09:55:08"/>
    <s v="vngwira@lighthouse.org.mw"/>
    <s v="Vincent Ngwira"/>
    <x v="11"/>
    <s v="COE"/>
    <x v="0"/>
    <s v="COP_23"/>
    <s v="COP_23"/>
    <x v="0"/>
    <s v="Quarter1"/>
    <s v="Qtr_1"/>
    <s v="Nov"/>
    <d v="2023-11-01T00:00:00"/>
    <d v="2023-11-30T00:00:00"/>
    <x v="5"/>
    <n v="35"/>
    <n v="1"/>
    <n v="32"/>
    <n v="1"/>
    <n v="1"/>
    <n v="1"/>
    <n v="35"/>
    <n v="9"/>
    <n v="8"/>
    <n v="0"/>
    <n v="0"/>
    <n v="0"/>
    <n v="7"/>
    <n v="0"/>
    <n v="3"/>
    <n v="0"/>
    <n v="3"/>
    <n v="3"/>
    <n v="4"/>
    <n v="0"/>
    <n v="1"/>
    <n v="0"/>
    <n v="0"/>
    <n v="0"/>
    <n v="0"/>
    <m/>
  </r>
  <r>
    <n v="73"/>
    <d v="2024-01-11T09:58:19"/>
    <d v="2024-01-11T10:01:12"/>
    <s v="vngwira@lighthouse.org.mw"/>
    <s v="Vincent Ngwira"/>
    <x v="11"/>
    <s v="COE"/>
    <x v="0"/>
    <s v="COP_23"/>
    <s v="COP_23"/>
    <x v="0"/>
    <s v="Quarter1"/>
    <s v="Qtr_1"/>
    <s v="Dec"/>
    <d v="2023-12-01T00:00:00"/>
    <d v="2023-12-31T00:00:00"/>
    <x v="6"/>
    <n v="41"/>
    <n v="41"/>
    <n v="0"/>
    <n v="0"/>
    <n v="25"/>
    <n v="16"/>
    <n v="40"/>
    <n v="20"/>
    <n v="41"/>
    <n v="2"/>
    <n v="3"/>
    <n v="2"/>
    <n v="38"/>
    <n v="5"/>
    <n v="4"/>
    <n v="0"/>
    <n v="7"/>
    <n v="1"/>
    <n v="13"/>
    <n v="6"/>
    <n v="10"/>
    <n v="2"/>
    <n v="1"/>
    <n v="1"/>
    <n v="5"/>
    <m/>
  </r>
  <r>
    <n v="74"/>
    <d v="2024-01-11T10:01:14"/>
    <d v="2024-01-11T10:03:06"/>
    <s v="vngwira@lighthouse.org.mw"/>
    <s v="Vincent Ngwira"/>
    <x v="11"/>
    <s v="COE"/>
    <x v="0"/>
    <s v="COP_23"/>
    <s v="COP_23"/>
    <x v="0"/>
    <s v="Quarter1"/>
    <s v="Qtr_1"/>
    <s v="Dec"/>
    <d v="2023-12-01T00:00:00"/>
    <d v="2023-12-31T00:00:00"/>
    <x v="5"/>
    <n v="19"/>
    <n v="1"/>
    <n v="17"/>
    <n v="0"/>
    <n v="2"/>
    <n v="0"/>
    <n v="18"/>
    <n v="5"/>
    <n v="7"/>
    <n v="0"/>
    <n v="0"/>
    <n v="0"/>
    <n v="7"/>
    <n v="0"/>
    <n v="1"/>
    <n v="0"/>
    <n v="2"/>
    <n v="1"/>
    <n v="4"/>
    <n v="0"/>
    <n v="1"/>
    <n v="0"/>
    <n v="0"/>
    <n v="0"/>
    <n v="0"/>
    <m/>
  </r>
  <r>
    <n v="76"/>
    <d v="2024-01-11T10:05:58"/>
    <d v="2024-01-11T10:08:06"/>
    <s v="vngwira@lighthouse.org.mw"/>
    <s v="Vincent Ngwira"/>
    <x v="11"/>
    <s v="COE"/>
    <x v="0"/>
    <s v="COP_23"/>
    <s v="COP_23"/>
    <x v="0"/>
    <s v="Quarter1"/>
    <s v="Qtr_1"/>
    <s v="Dec"/>
    <d v="2023-12-01T00:00:00"/>
    <d v="2023-12-31T00:00:00"/>
    <x v="4"/>
    <n v="5"/>
    <n v="2"/>
    <n v="3"/>
    <n v="0"/>
    <n v="2"/>
    <n v="0"/>
    <n v="4"/>
    <n v="1"/>
    <n v="2"/>
    <n v="1"/>
    <n v="2"/>
    <n v="1"/>
    <n v="2"/>
    <n v="0"/>
    <n v="1"/>
    <n v="0"/>
    <n v="1"/>
    <n v="0"/>
    <n v="2"/>
    <n v="0"/>
    <n v="1"/>
    <n v="1"/>
    <n v="0"/>
    <n v="0"/>
    <n v="0"/>
    <m/>
  </r>
  <r>
    <n v="77"/>
    <d v="2024-01-11T10:08:08"/>
    <d v="2024-01-11T10:09:59"/>
    <s v="vngwira@lighthouse.org.mw"/>
    <s v="Vincent Ngwira"/>
    <x v="11"/>
    <s v="COE"/>
    <x v="0"/>
    <s v="COP_23"/>
    <s v="COP_23"/>
    <x v="0"/>
    <s v="Quarter1"/>
    <s v="Qtr_1"/>
    <s v="Dec"/>
    <d v="2023-12-01T00:00:00"/>
    <d v="2023-12-31T00:00:00"/>
    <x v="3"/>
    <n v="2"/>
    <n v="1"/>
    <n v="0"/>
    <n v="0"/>
    <n v="1"/>
    <n v="1"/>
    <n v="0"/>
    <n v="0"/>
    <n v="2"/>
    <n v="0"/>
    <n v="0"/>
    <n v="0"/>
    <n v="2"/>
    <n v="1"/>
    <n v="0"/>
    <n v="0"/>
    <n v="0"/>
    <n v="0"/>
    <n v="1"/>
    <n v="1"/>
    <n v="1"/>
    <n v="0"/>
    <n v="0"/>
    <n v="0"/>
    <n v="0"/>
    <m/>
  </r>
  <r>
    <n v="78"/>
    <d v="2024-01-11T10:10:04"/>
    <d v="2024-01-11T10:30:56"/>
    <s v="vngwira@lighthouse.org.mw"/>
    <s v="Vincent Ngwira"/>
    <x v="11"/>
    <s v="COE"/>
    <x v="0"/>
    <s v="COP_23"/>
    <s v="COP_23"/>
    <x v="0"/>
    <s v="Quarter1"/>
    <s v="Qtr_1"/>
    <s v="Dec"/>
    <d v="2023-12-01T00:00:00"/>
    <d v="2023-12-31T00:00:00"/>
    <x v="0"/>
    <n v="136"/>
    <n v="62"/>
    <n v="46"/>
    <n v="1"/>
    <n v="47"/>
    <n v="42"/>
    <n v="130"/>
    <n v="55"/>
    <n v="83"/>
    <n v="5"/>
    <n v="6"/>
    <n v="4"/>
    <n v="74"/>
    <n v="7"/>
    <n v="14"/>
    <n v="0"/>
    <n v="20"/>
    <n v="8"/>
    <n v="38"/>
    <n v="11"/>
    <n v="22"/>
    <n v="4"/>
    <n v="2"/>
    <n v="2"/>
    <n v="6"/>
    <m/>
  </r>
  <r>
    <n v="138"/>
    <d v="2024-02-06T09:04:37"/>
    <d v="2024-02-06T09:20:39"/>
    <s v="vngwira@lighthouse.org.mw"/>
    <s v="Vincent Ngwira"/>
    <x v="11"/>
    <s v="COE"/>
    <x v="1"/>
    <s v="COP_23"/>
    <s v="COP_23"/>
    <x v="2"/>
    <s v="Quarter2"/>
    <s v="Qtr_2"/>
    <s v="Jan"/>
    <d v="2024-01-01T00:00:00"/>
    <d v="2024-01-31T00:00:00"/>
    <x v="0"/>
    <n v="181"/>
    <n v="54"/>
    <n v="91"/>
    <n v="1"/>
    <n v="63"/>
    <n v="26"/>
    <n v="170"/>
    <n v="60"/>
    <n v="100"/>
    <n v="6"/>
    <n v="4"/>
    <n v="3"/>
    <n v="101"/>
    <n v="17"/>
    <n v="17"/>
    <n v="3"/>
    <n v="8"/>
    <n v="5"/>
    <n v="23"/>
    <n v="17"/>
    <n v="20"/>
    <n v="3"/>
    <n v="0"/>
    <n v="2"/>
    <n v="4"/>
    <m/>
  </r>
  <r>
    <n v="139"/>
    <d v="2024-02-06T09:20:44"/>
    <d v="2024-02-06T09:25:30"/>
    <s v="vngwira@lighthouse.org.mw"/>
    <s v="Vincent Ngwira"/>
    <x v="11"/>
    <s v="COE"/>
    <x v="1"/>
    <s v="COP_23"/>
    <s v="COP_23"/>
    <x v="2"/>
    <s v="Quarter2"/>
    <s v="Qtr_2"/>
    <s v="Jan"/>
    <d v="2024-01-01T00:00:00"/>
    <d v="2024-01-31T00:00:00"/>
    <x v="6"/>
    <n v="41"/>
    <n v="29"/>
    <n v="4"/>
    <n v="1"/>
    <n v="26"/>
    <n v="10"/>
    <n v="38"/>
    <n v="12"/>
    <n v="35"/>
    <n v="2"/>
    <n v="2"/>
    <n v="2"/>
    <n v="32"/>
    <n v="7"/>
    <n v="0"/>
    <n v="0"/>
    <n v="4"/>
    <n v="2"/>
    <n v="10"/>
    <n v="7"/>
    <n v="7"/>
    <n v="2"/>
    <n v="0"/>
    <n v="0"/>
    <n v="3"/>
    <m/>
  </r>
  <r>
    <n v="140"/>
    <d v="2024-02-06T09:25:44"/>
    <d v="2024-02-06T09:29:40"/>
    <s v="vngwira@lighthouse.org.mw"/>
    <s v="Vincent Ngwira"/>
    <x v="11"/>
    <s v="COE"/>
    <x v="1"/>
    <s v="COP_23"/>
    <s v="COP_23"/>
    <x v="2"/>
    <s v="Quarter2"/>
    <s v="Qtr_2"/>
    <s v="Jan"/>
    <d v="2024-01-01T00:00:00"/>
    <d v="2024-01-31T00:00:00"/>
    <x v="5"/>
    <n v="37"/>
    <n v="1"/>
    <n v="32"/>
    <n v="0"/>
    <n v="5"/>
    <n v="0"/>
    <n v="35"/>
    <n v="8"/>
    <n v="11"/>
    <n v="0"/>
    <n v="0"/>
    <n v="0"/>
    <n v="10"/>
    <n v="0"/>
    <n v="0"/>
    <n v="0"/>
    <n v="0"/>
    <n v="0"/>
    <n v="0"/>
    <n v="0"/>
    <n v="1"/>
    <n v="0"/>
    <n v="0"/>
    <n v="0"/>
    <n v="0"/>
    <m/>
  </r>
  <r>
    <n v="141"/>
    <d v="2024-02-06T09:30:02"/>
    <d v="2024-02-06T09:36:25"/>
    <s v="vngwira@lighthouse.org.mw"/>
    <s v="Vincent Ngwira"/>
    <x v="11"/>
    <s v="COE"/>
    <x v="1"/>
    <s v="COP_23"/>
    <s v="COP_23"/>
    <x v="2"/>
    <s v="Quarter2"/>
    <s v="Qtr_2"/>
    <s v="Jan"/>
    <d v="2024-01-01T00:00:00"/>
    <d v="2024-01-31T00:00:00"/>
    <x v="4"/>
    <n v="9"/>
    <n v="0"/>
    <n v="7"/>
    <n v="0"/>
    <n v="2"/>
    <n v="0"/>
    <n v="9"/>
    <n v="3"/>
    <n v="4"/>
    <n v="0"/>
    <n v="0"/>
    <n v="0"/>
    <n v="3"/>
    <n v="0"/>
    <n v="0"/>
    <n v="0"/>
    <n v="0"/>
    <n v="0"/>
    <n v="0"/>
    <n v="0"/>
    <n v="0"/>
    <n v="0"/>
    <n v="0"/>
    <n v="0"/>
    <n v="0"/>
    <m/>
  </r>
  <r>
    <n v="142"/>
    <d v="2024-02-06T09:36:41"/>
    <d v="2024-02-06T09:43:54"/>
    <s v="vngwira@lighthouse.org.mw"/>
    <s v="Vincent Ngwira"/>
    <x v="11"/>
    <s v="COE"/>
    <x v="1"/>
    <s v="COP_23"/>
    <s v="COP_23"/>
    <x v="2"/>
    <s v="Quarter2"/>
    <s v="Qtr_2"/>
    <s v="Jan"/>
    <d v="2024-01-01T00:00:00"/>
    <d v="2024-01-31T00:00:00"/>
    <x v="3"/>
    <n v="4"/>
    <n v="1"/>
    <n v="2"/>
    <n v="0"/>
    <n v="2"/>
    <n v="0"/>
    <n v="0"/>
    <n v="0"/>
    <n v="4"/>
    <n v="0"/>
    <n v="0"/>
    <n v="0"/>
    <n v="4"/>
    <n v="0"/>
    <n v="0"/>
    <n v="0"/>
    <n v="0"/>
    <n v="0"/>
    <n v="1"/>
    <n v="1"/>
    <n v="1"/>
    <n v="0"/>
    <n v="0"/>
    <n v="0"/>
    <n v="0"/>
    <m/>
  </r>
  <r>
    <n v="176"/>
    <d v="2024-03-20T08:03:44"/>
    <d v="2024-03-20T08:07:21"/>
    <s v="vngwira@lighthouse.org.mw"/>
    <s v="Vincent Ngwira"/>
    <x v="11"/>
    <s v="COE"/>
    <x v="1"/>
    <s v="COP_23"/>
    <s v="COP_23"/>
    <x v="2"/>
    <s v="Quarter2"/>
    <s v="Qtr_2"/>
    <s v="Feb"/>
    <d v="2024-02-01T00:00:00"/>
    <d v="2024-02-29T00:00:00"/>
    <x v="0"/>
    <n v="175"/>
    <n v="64"/>
    <n v="66"/>
    <n v="3"/>
    <n v="76"/>
    <n v="30"/>
    <n v="164"/>
    <n v="55"/>
    <n v="110"/>
    <n v="7"/>
    <n v="5"/>
    <n v="2"/>
    <n v="112"/>
    <n v="20"/>
    <n v="5"/>
    <n v="0"/>
    <n v="8"/>
    <n v="5"/>
    <n v="30"/>
    <n v="7"/>
    <n v="21"/>
    <n v="2"/>
    <n v="4"/>
    <n v="0"/>
    <n v="17"/>
    <m/>
  </r>
  <r>
    <n v="177"/>
    <d v="2024-03-20T08:07:25"/>
    <d v="2024-03-20T08:10:12"/>
    <s v="vngwira@lighthouse.org.mw"/>
    <s v="Vincent Ngwira"/>
    <x v="11"/>
    <s v="COE"/>
    <x v="1"/>
    <s v="COP_23"/>
    <s v="COP_23"/>
    <x v="2"/>
    <s v="Quarter2"/>
    <s v="Qtr_2"/>
    <s v="Feb"/>
    <d v="2024-02-01T00:00:00"/>
    <d v="2024-02-29T00:00:00"/>
    <x v="6"/>
    <n v="51"/>
    <n v="46"/>
    <n v="1"/>
    <n v="1"/>
    <n v="32"/>
    <n v="17"/>
    <n v="45"/>
    <n v="21"/>
    <n v="49"/>
    <n v="3"/>
    <n v="2"/>
    <n v="1"/>
    <n v="48"/>
    <n v="10"/>
    <n v="0"/>
    <n v="0"/>
    <n v="4"/>
    <n v="3"/>
    <n v="21"/>
    <n v="7"/>
    <n v="11"/>
    <n v="1"/>
    <n v="1"/>
    <n v="0"/>
    <n v="16"/>
    <m/>
  </r>
  <r>
    <n v="178"/>
    <d v="2024-03-20T08:10:20"/>
    <d v="2024-03-20T08:13:37"/>
    <s v="vngwira@lighthouse.org.mw"/>
    <s v="Vincent Ngwira"/>
    <x v="11"/>
    <s v="COE"/>
    <x v="1"/>
    <s v="COP_23"/>
    <s v="COP_23"/>
    <x v="2"/>
    <s v="Quarter2"/>
    <s v="Qtr_2"/>
    <s v="Feb"/>
    <d v="2024-02-01T00:00:00"/>
    <d v="2024-02-29T00:00:00"/>
    <x v="5"/>
    <n v="34"/>
    <n v="0"/>
    <n v="29"/>
    <n v="1"/>
    <n v="2"/>
    <n v="2"/>
    <n v="32"/>
    <n v="8"/>
    <n v="10"/>
    <n v="3"/>
    <n v="2"/>
    <n v="0"/>
    <n v="10"/>
    <n v="0"/>
    <n v="0"/>
    <n v="0"/>
    <n v="0"/>
    <n v="0"/>
    <n v="0"/>
    <n v="0"/>
    <n v="0"/>
    <n v="0"/>
    <n v="3"/>
    <n v="0"/>
    <n v="0"/>
    <m/>
  </r>
  <r>
    <n v="180"/>
    <d v="2024-03-20T08:16:59"/>
    <d v="2024-03-20T08:18:40"/>
    <s v="vngwira@lighthouse.org.mw"/>
    <s v="Vincent Ngwira"/>
    <x v="11"/>
    <s v="COE"/>
    <x v="1"/>
    <s v="COP_23"/>
    <s v="COP_23"/>
    <x v="2"/>
    <s v="Quarter2"/>
    <s v="Qtr_2"/>
    <s v="Feb"/>
    <d v="2024-02-01T00:00:00"/>
    <d v="2024-02-29T00:00:00"/>
    <x v="3"/>
    <n v="4"/>
    <n v="2"/>
    <n v="1"/>
    <n v="1"/>
    <n v="1"/>
    <n v="1"/>
    <n v="0"/>
    <n v="0"/>
    <n v="4"/>
    <n v="0"/>
    <n v="0"/>
    <n v="0"/>
    <n v="4"/>
    <n v="0"/>
    <n v="0"/>
    <n v="0"/>
    <n v="0"/>
    <n v="0"/>
    <n v="1"/>
    <n v="1"/>
    <n v="0"/>
    <n v="0"/>
    <n v="0"/>
    <n v="0"/>
    <n v="1"/>
    <m/>
  </r>
  <r>
    <n v="181"/>
    <d v="2024-03-20T08:18:43"/>
    <d v="2024-03-20T08:20:13"/>
    <s v="vngwira@lighthouse.org.mw"/>
    <s v="Vincent Ngwira"/>
    <x v="11"/>
    <s v="COE"/>
    <x v="1"/>
    <s v="COP_23"/>
    <s v="COP_23"/>
    <x v="2"/>
    <s v="Quarter2"/>
    <s v="Qtr_2"/>
    <s v="Feb"/>
    <d v="2024-02-01T00:00:00"/>
    <d v="2024-02-29T00:00:00"/>
    <x v="4"/>
    <n v="9"/>
    <n v="1"/>
    <n v="5"/>
    <n v="0"/>
    <n v="3"/>
    <n v="1"/>
    <n v="8"/>
    <n v="2"/>
    <n v="6"/>
    <n v="0"/>
    <n v="0"/>
    <n v="0"/>
    <n v="6"/>
    <n v="1"/>
    <n v="0"/>
    <n v="0"/>
    <n v="0"/>
    <n v="0"/>
    <n v="1"/>
    <n v="0"/>
    <n v="1"/>
    <n v="0"/>
    <n v="0"/>
    <n v="0"/>
    <n v="2"/>
    <m/>
  </r>
  <r>
    <n v="235"/>
    <d v="2024-04-12T08:51:21"/>
    <d v="2024-04-12T08:55:35"/>
    <s v="vngwira@lighthouse.org.mw"/>
    <s v="Vincent Ngwira"/>
    <x v="11"/>
    <s v="COE"/>
    <x v="1"/>
    <s v="COP_23"/>
    <s v="COP_23"/>
    <x v="2"/>
    <s v="Quarter2"/>
    <s v="Qtr_2"/>
    <s v="Mar"/>
    <d v="2024-03-01T00:00:00"/>
    <d v="2024-03-31T00:00:00"/>
    <x v="6"/>
    <n v="57"/>
    <n v="36"/>
    <n v="0"/>
    <n v="0"/>
    <n v="29"/>
    <n v="16"/>
    <n v="45"/>
    <n v="20"/>
    <n v="45"/>
    <n v="3"/>
    <n v="4"/>
    <n v="2"/>
    <n v="44"/>
    <n v="8"/>
    <n v="0"/>
    <n v="0"/>
    <n v="0"/>
    <n v="0"/>
    <n v="13"/>
    <n v="4"/>
    <n v="8"/>
    <n v="2"/>
    <n v="1"/>
    <n v="0"/>
    <n v="5"/>
    <m/>
  </r>
  <r>
    <n v="236"/>
    <d v="2024-04-12T08:56:28"/>
    <d v="2024-04-12T09:01:05"/>
    <s v="vngwira@lighthouse.org.mw"/>
    <s v="Vincent Ngwira"/>
    <x v="11"/>
    <s v="COE"/>
    <x v="1"/>
    <s v="COP_23"/>
    <s v="COP_23"/>
    <x v="2"/>
    <s v="Quarter2"/>
    <s v="Qtr_2"/>
    <s v="Mar"/>
    <d v="2024-03-01T00:00:00"/>
    <d v="2024-03-31T00:00:00"/>
    <x v="0"/>
    <n v="175"/>
    <n v="48"/>
    <n v="59"/>
    <n v="7"/>
    <n v="73"/>
    <n v="24"/>
    <n v="155"/>
    <n v="57"/>
    <n v="102"/>
    <n v="6"/>
    <n v="7"/>
    <n v="5"/>
    <n v="100"/>
    <n v="13"/>
    <n v="1"/>
    <n v="0"/>
    <n v="4"/>
    <n v="1"/>
    <n v="24"/>
    <n v="5"/>
    <n v="13"/>
    <n v="5"/>
    <n v="1"/>
    <n v="0"/>
    <n v="7"/>
    <m/>
  </r>
  <r>
    <n v="237"/>
    <d v="2024-04-12T09:01:27"/>
    <d v="2024-04-12T09:13:06"/>
    <s v="vngwira@lighthouse.org.mw"/>
    <s v="Vincent Ngwira"/>
    <x v="11"/>
    <s v="COE"/>
    <x v="1"/>
    <s v="COP_23"/>
    <s v="COP_23"/>
    <x v="2"/>
    <s v="Quarter2"/>
    <s v="Qtr_2"/>
    <s v="Mar"/>
    <d v="2024-03-01T00:00:00"/>
    <d v="2024-03-31T00:00:00"/>
    <x v="5"/>
    <n v="31"/>
    <n v="1"/>
    <n v="22"/>
    <n v="1"/>
    <n v="6"/>
    <n v="2"/>
    <n v="31"/>
    <n v="8"/>
    <n v="10"/>
    <n v="0"/>
    <n v="0"/>
    <n v="0"/>
    <n v="11"/>
    <n v="2"/>
    <n v="0"/>
    <n v="0"/>
    <n v="0"/>
    <n v="0"/>
    <n v="2"/>
    <n v="1"/>
    <n v="2"/>
    <n v="0"/>
    <n v="0"/>
    <n v="0"/>
    <n v="0"/>
    <m/>
  </r>
  <r>
    <n v="238"/>
    <d v="2024-04-12T09:13:43"/>
    <d v="2024-04-12T09:16:13"/>
    <s v="vngwira@lighthouse.org.mw"/>
    <s v="Vincent Ngwira"/>
    <x v="11"/>
    <s v="COE"/>
    <x v="1"/>
    <s v="COP_23"/>
    <s v="COP_23"/>
    <x v="2"/>
    <s v="Quarter2"/>
    <s v="Qtr_2"/>
    <s v="Mar"/>
    <d v="2024-03-01T00:00:00"/>
    <d v="2024-03-31T00:00:00"/>
    <x v="3"/>
    <n v="0"/>
    <n v="0"/>
    <n v="0"/>
    <n v="0"/>
    <n v="0"/>
    <n v="0"/>
    <n v="0"/>
    <n v="0"/>
    <n v="0"/>
    <n v="0"/>
    <n v="0"/>
    <n v="0"/>
    <n v="0"/>
    <n v="0"/>
    <n v="0"/>
    <n v="0"/>
    <n v="0"/>
    <n v="0"/>
    <n v="0"/>
    <n v="0"/>
    <n v="0"/>
    <n v="0"/>
    <n v="0"/>
    <n v="0"/>
    <n v="0"/>
    <m/>
  </r>
  <r>
    <n v="242"/>
    <d v="2024-04-12T09:24:40"/>
    <d v="2024-04-12T09:26:05"/>
    <s v="vngwira@lighthouse.org.mw"/>
    <s v="Vincent Ngwira"/>
    <x v="11"/>
    <s v="COE"/>
    <x v="1"/>
    <s v="COP_23"/>
    <s v="COP_23"/>
    <x v="2"/>
    <s v="Quarter2"/>
    <s v="Qtr_2"/>
    <s v="Mar"/>
    <d v="2024-03-01T00:00:00"/>
    <d v="2024-03-31T00:00:00"/>
    <x v="4"/>
    <n v="2"/>
    <n v="0"/>
    <n v="2"/>
    <n v="0"/>
    <n v="0"/>
    <n v="0"/>
    <n v="2"/>
    <n v="0"/>
    <n v="0"/>
    <n v="0"/>
    <n v="0"/>
    <n v="0"/>
    <n v="0"/>
    <n v="0"/>
    <n v="0"/>
    <n v="0"/>
    <n v="0"/>
    <n v="0"/>
    <n v="0"/>
    <n v="0"/>
    <n v="0"/>
    <n v="0"/>
    <n v="0"/>
    <n v="0"/>
    <n v="0"/>
    <m/>
  </r>
  <r>
    <n v="449"/>
    <d v="2024-05-21T13:01:51"/>
    <d v="2024-05-21T13:16:11"/>
    <s v="vngwira@lighthouse.org.mw"/>
    <s v="Vincent Ngwira"/>
    <x v="11"/>
    <s v="COE"/>
    <x v="1"/>
    <s v="COP_24"/>
    <s v="COP_23"/>
    <x v="3"/>
    <s v="Quarter3"/>
    <s v="Qtr_3"/>
    <s v="Apr"/>
    <d v="2024-04-01T00:00:00"/>
    <d v="2024-04-30T00:00:00"/>
    <x v="3"/>
    <n v="4"/>
    <n v="2"/>
    <n v="0"/>
    <n v="2"/>
    <n v="1"/>
    <n v="1"/>
    <n v="4"/>
    <n v="1"/>
    <n v="3"/>
    <n v="0"/>
    <n v="0"/>
    <n v="0"/>
    <n v="0"/>
    <n v="0"/>
    <n v="0"/>
    <n v="0"/>
    <n v="2"/>
    <n v="1"/>
    <n v="2"/>
    <n v="0"/>
    <n v="0"/>
    <n v="0"/>
    <n v="0"/>
    <n v="0"/>
    <n v="2"/>
    <m/>
  </r>
  <r>
    <n v="451"/>
    <d v="2024-05-21T13:20:10"/>
    <d v="2024-05-21T13:37:15"/>
    <s v="vngwira@lighthouse.org.mw"/>
    <s v="Vincent Ngwira"/>
    <x v="11"/>
    <s v="COE"/>
    <x v="1"/>
    <s v="COP_24"/>
    <s v="COP_23"/>
    <x v="3"/>
    <s v="Quarter3"/>
    <s v="Qtr_3"/>
    <s v="Apr"/>
    <d v="2024-04-01T00:00:00"/>
    <d v="2024-04-30T00:00:00"/>
    <x v="5"/>
    <n v="21"/>
    <n v="1"/>
    <n v="19"/>
    <n v="0"/>
    <n v="2"/>
    <n v="0"/>
    <n v="21"/>
    <n v="7"/>
    <n v="9"/>
    <n v="0"/>
    <n v="0"/>
    <n v="0"/>
    <n v="1"/>
    <n v="0"/>
    <n v="0"/>
    <n v="0"/>
    <n v="0"/>
    <n v="0"/>
    <n v="5"/>
    <n v="0"/>
    <n v="0"/>
    <n v="0"/>
    <n v="0"/>
    <n v="0"/>
    <n v="0"/>
    <m/>
  </r>
  <r>
    <n v="453"/>
    <d v="2024-05-21T13:43:33"/>
    <d v="2024-05-21T13:47:29"/>
    <s v="vngwira@lighthouse.org.mw"/>
    <s v="Vincent Ngwira"/>
    <x v="11"/>
    <s v="COE"/>
    <x v="1"/>
    <s v="COP_24"/>
    <s v="COP_23"/>
    <x v="3"/>
    <s v="Quarter3"/>
    <s v="Qtr_3"/>
    <s v="Apr"/>
    <d v="2024-04-01T00:00:00"/>
    <d v="2024-04-30T00:00:00"/>
    <x v="6"/>
    <n v="55"/>
    <n v="52"/>
    <n v="0"/>
    <n v="0"/>
    <n v="45"/>
    <n v="10"/>
    <n v="54"/>
    <n v="22"/>
    <n v="55"/>
    <n v="2"/>
    <n v="1"/>
    <n v="1"/>
    <n v="18"/>
    <n v="4"/>
    <n v="0"/>
    <n v="0"/>
    <n v="3"/>
    <n v="2"/>
    <n v="15"/>
    <n v="2"/>
    <n v="5"/>
    <n v="2"/>
    <n v="0"/>
    <n v="0"/>
    <n v="12"/>
    <m/>
  </r>
  <r>
    <n v="454"/>
    <d v="2024-05-21T13:47:33"/>
    <d v="2024-05-21T13:52:28"/>
    <s v="vngwira@lighthouse.org.mw"/>
    <s v="Vincent Ngwira"/>
    <x v="11"/>
    <s v="COE"/>
    <x v="1"/>
    <s v="COP_24"/>
    <s v="COP_23"/>
    <x v="3"/>
    <s v="Quarter3"/>
    <s v="Qtr_3"/>
    <s v="Apr"/>
    <d v="2024-04-08T00:00:00"/>
    <d v="2024-04-30T00:00:00"/>
    <x v="0"/>
    <n v="159"/>
    <n v="63"/>
    <n v="68"/>
    <n v="3"/>
    <n v="70"/>
    <n v="18"/>
    <n v="157"/>
    <n v="58"/>
    <n v="103"/>
    <n v="2"/>
    <n v="1"/>
    <n v="1"/>
    <n v="35"/>
    <n v="9"/>
    <n v="6"/>
    <n v="0"/>
    <n v="5"/>
    <n v="3"/>
    <n v="34"/>
    <n v="2"/>
    <n v="11"/>
    <n v="2"/>
    <n v="0"/>
    <n v="1"/>
    <n v="14"/>
    <m/>
  </r>
  <r>
    <n v="455"/>
    <d v="2024-05-21T13:52:31"/>
    <d v="2024-05-21T13:53:51"/>
    <s v="vngwira@lighthouse.org.mw"/>
    <s v="Vincent Ngwira"/>
    <x v="11"/>
    <s v="COE"/>
    <x v="1"/>
    <s v="COP_24"/>
    <s v="COP_23"/>
    <x v="3"/>
    <s v="Quarter3"/>
    <s v="Qtr_3"/>
    <s v="Apr"/>
    <d v="2024-04-01T00:00:00"/>
    <d v="2024-04-30T00:00:00"/>
    <x v="4"/>
    <n v="4"/>
    <n v="0"/>
    <n v="4"/>
    <n v="0"/>
    <n v="0"/>
    <n v="0"/>
    <n v="4"/>
    <n v="0"/>
    <n v="0"/>
    <n v="0"/>
    <n v="0"/>
    <n v="0"/>
    <n v="0"/>
    <n v="0"/>
    <n v="0"/>
    <n v="0"/>
    <n v="0"/>
    <n v="0"/>
    <n v="0"/>
    <n v="0"/>
    <n v="0"/>
    <n v="0"/>
    <n v="0"/>
    <n v="0"/>
    <n v="0"/>
    <m/>
  </r>
  <r>
    <n v="516"/>
    <d v="2024-06-07T10:35:39"/>
    <d v="2024-06-07T10:51:42"/>
    <s v="vngwira@lighthouse.org.mw"/>
    <s v="Vincent Ngwira"/>
    <x v="11"/>
    <s v="COE"/>
    <x v="1"/>
    <s v="COP_24"/>
    <s v="COP_23"/>
    <x v="3"/>
    <s v="Quarter3"/>
    <s v="Qtr_3"/>
    <s v="May"/>
    <d v="2024-05-01T00:00:00"/>
    <d v="2024-05-31T00:00:00"/>
    <x v="0"/>
    <n v="153"/>
    <n v="16"/>
    <n v="55"/>
    <n v="11"/>
    <n v="67"/>
    <n v="20"/>
    <n v="150"/>
    <n v="69"/>
    <n v="108"/>
    <n v="4"/>
    <n v="4"/>
    <n v="3"/>
    <n v="0"/>
    <n v="0"/>
    <n v="6"/>
    <n v="0"/>
    <n v="4"/>
    <n v="3"/>
    <n v="47"/>
    <n v="6"/>
    <n v="5"/>
    <n v="3"/>
    <n v="1"/>
    <n v="3"/>
    <n v="2"/>
    <m/>
  </r>
  <r>
    <n v="518"/>
    <d v="2024-06-07T10:53:16"/>
    <d v="2024-06-07T10:55:50"/>
    <s v="vngwira@lighthouse.org.mw"/>
    <s v="Vincent Ngwira"/>
    <x v="11"/>
    <s v="COE"/>
    <x v="1"/>
    <s v="COP_24"/>
    <s v="COP_23"/>
    <x v="3"/>
    <s v="Quarter3"/>
    <s v="Qtr_3"/>
    <s v="May"/>
    <d v="2024-05-01T00:00:00"/>
    <d v="2024-05-31T00:00:00"/>
    <x v="6"/>
    <n v="53"/>
    <n v="4"/>
    <n v="2"/>
    <n v="0"/>
    <n v="37"/>
    <n v="14"/>
    <n v="52"/>
    <n v="31"/>
    <n v="50"/>
    <n v="3"/>
    <n v="4"/>
    <n v="2"/>
    <n v="0"/>
    <n v="0"/>
    <n v="0"/>
    <n v="0"/>
    <n v="1"/>
    <n v="1"/>
    <n v="18"/>
    <n v="5"/>
    <n v="3"/>
    <n v="2"/>
    <n v="1"/>
    <n v="1"/>
    <n v="0"/>
    <m/>
  </r>
  <r>
    <n v="520"/>
    <d v="2024-06-07T10:58:22"/>
    <d v="2024-06-07T10:59:57"/>
    <s v="vngwira@lighthouse.org.mw"/>
    <s v="Vincent Ngwira"/>
    <x v="11"/>
    <s v="COE"/>
    <x v="1"/>
    <s v="COP_24"/>
    <s v="COP_23"/>
    <x v="3"/>
    <s v="Quarter3"/>
    <s v="Qtr_3"/>
    <s v="May"/>
    <d v="2024-05-01T00:00:00"/>
    <d v="2024-05-31T00:00:00"/>
    <x v="5"/>
    <n v="22"/>
    <n v="0"/>
    <n v="18"/>
    <n v="1"/>
    <n v="2"/>
    <n v="0"/>
    <n v="22"/>
    <n v="6"/>
    <n v="9"/>
    <n v="0"/>
    <n v="0"/>
    <n v="0"/>
    <n v="0"/>
    <n v="0"/>
    <n v="0"/>
    <n v="0"/>
    <n v="0"/>
    <n v="0"/>
    <n v="0"/>
    <n v="0"/>
    <n v="0"/>
    <n v="0"/>
    <n v="0"/>
    <n v="0"/>
    <n v="0"/>
    <m/>
  </r>
  <r>
    <n v="522"/>
    <d v="2024-06-07T10:59:59"/>
    <d v="2024-06-07T11:11:24"/>
    <s v="vngwira@lighthouse.org.mw"/>
    <s v="Vincent Ngwira"/>
    <x v="11"/>
    <s v="COE"/>
    <x v="1"/>
    <s v="COP_24"/>
    <s v="COP_23"/>
    <x v="3"/>
    <s v="Quarter3"/>
    <s v="Qtr_3"/>
    <s v="May"/>
    <d v="2024-05-01T00:00:00"/>
    <d v="2024-05-31T00:00:00"/>
    <x v="3"/>
    <n v="2"/>
    <n v="1"/>
    <n v="1"/>
    <n v="0"/>
    <n v="1"/>
    <n v="0"/>
    <n v="0"/>
    <n v="0"/>
    <n v="2"/>
    <n v="0"/>
    <n v="0"/>
    <n v="0"/>
    <n v="0"/>
    <n v="0"/>
    <n v="0"/>
    <n v="0"/>
    <n v="0"/>
    <n v="0"/>
    <n v="2"/>
    <n v="0"/>
    <n v="0"/>
    <n v="0"/>
    <n v="0"/>
    <n v="0"/>
    <n v="0"/>
    <m/>
  </r>
  <r>
    <n v="525"/>
    <d v="2024-06-07T11:13:23"/>
    <d v="2024-06-07T11:17:15"/>
    <s v="vngwira@lighthouse.org.mw"/>
    <s v="Vincent Ngwira"/>
    <x v="11"/>
    <s v="COE"/>
    <x v="1"/>
    <s v="COP_24"/>
    <s v="COP_23"/>
    <x v="3"/>
    <s v="Quarter3"/>
    <s v="Qtr_3"/>
    <s v="May"/>
    <d v="2024-05-01T00:00:00"/>
    <d v="2024-05-31T00:00:00"/>
    <x v="4"/>
    <n v="7"/>
    <n v="1"/>
    <n v="5"/>
    <n v="0"/>
    <n v="2"/>
    <n v="0"/>
    <n v="7"/>
    <n v="2"/>
    <n v="3"/>
    <n v="0"/>
    <n v="0"/>
    <n v="0"/>
    <n v="0"/>
    <n v="0"/>
    <n v="0"/>
    <n v="0"/>
    <n v="0"/>
    <n v="0"/>
    <n v="1"/>
    <n v="0"/>
    <n v="0"/>
    <n v="0"/>
    <n v="0"/>
    <n v="0"/>
    <n v="0"/>
    <m/>
  </r>
  <r>
    <n v="654"/>
    <d v="2024-07-26T19:56:13"/>
    <d v="2024-07-26T20:00:01"/>
    <s v="vngwira@lighthouse.org.mw"/>
    <s v="Vincent Ngwira"/>
    <x v="11"/>
    <s v="COE"/>
    <x v="1"/>
    <s v="COP_24"/>
    <s v="COP_23"/>
    <x v="3"/>
    <s v="Quarter3"/>
    <s v="Qtr_3"/>
    <s v="Jun"/>
    <d v="2024-06-01T00:00:00"/>
    <d v="2024-06-30T00:00:00"/>
    <x v="0"/>
    <n v="146"/>
    <n v="64"/>
    <n v="61"/>
    <n v="5"/>
    <n v="69"/>
    <n v="11"/>
    <n v="141"/>
    <n v="49"/>
    <n v="98"/>
    <n v="5"/>
    <n v="5"/>
    <n v="5"/>
    <n v="0"/>
    <n v="0"/>
    <n v="3"/>
    <n v="2"/>
    <n v="5"/>
    <n v="2"/>
    <n v="60"/>
    <n v="3"/>
    <n v="6"/>
    <n v="5"/>
    <n v="0"/>
    <n v="1"/>
    <n v="20"/>
    <m/>
  </r>
  <r>
    <n v="655"/>
    <d v="2024-07-26T20:00:05"/>
    <d v="2024-07-26T20:06:24"/>
    <s v="vngwira@lighthouse.org.mw"/>
    <s v="Vincent Ngwira"/>
    <x v="11"/>
    <s v="COE"/>
    <x v="1"/>
    <s v="COP_24"/>
    <s v="COP_23"/>
    <x v="3"/>
    <s v="Quarter3"/>
    <s v="Qtr_3"/>
    <s v="Jun"/>
    <d v="2024-06-01T00:00:00"/>
    <d v="2024-06-30T00:00:00"/>
    <x v="6"/>
    <n v="56"/>
    <n v="53"/>
    <n v="0"/>
    <n v="1"/>
    <n v="48"/>
    <n v="7"/>
    <n v="56"/>
    <n v="22"/>
    <n v="55"/>
    <n v="4"/>
    <n v="4"/>
    <n v="4"/>
    <n v="0"/>
    <n v="0"/>
    <n v="0"/>
    <n v="0"/>
    <n v="2"/>
    <n v="1"/>
    <n v="18"/>
    <n v="1"/>
    <n v="2"/>
    <n v="4"/>
    <n v="0"/>
    <n v="1"/>
    <n v="2"/>
    <m/>
  </r>
  <r>
    <n v="656"/>
    <d v="2024-07-26T20:06:27"/>
    <d v="2024-07-26T20:08:40"/>
    <s v="vngwira@lighthouse.org.mw"/>
    <s v="Vincent Ngwira"/>
    <x v="11"/>
    <s v="COE"/>
    <x v="1"/>
    <s v="COP_24"/>
    <s v="COP_23"/>
    <x v="3"/>
    <s v="Quarter3"/>
    <s v="Qtr_3"/>
    <s v="Jun"/>
    <d v="2024-06-01T00:00:00"/>
    <d v="2024-06-30T00:00:00"/>
    <x v="3"/>
    <n v="6"/>
    <n v="3"/>
    <n v="4"/>
    <n v="0"/>
    <n v="2"/>
    <n v="0"/>
    <n v="0"/>
    <n v="0"/>
    <n v="6"/>
    <n v="0"/>
    <n v="0"/>
    <n v="0"/>
    <n v="0"/>
    <n v="0"/>
    <n v="0"/>
    <n v="0"/>
    <n v="0"/>
    <n v="0"/>
    <n v="6"/>
    <n v="1"/>
    <n v="1"/>
    <n v="0"/>
    <n v="0"/>
    <n v="0"/>
    <n v="0"/>
    <m/>
  </r>
  <r>
    <n v="659"/>
    <d v="2024-07-26T20:30:34"/>
    <d v="2024-07-26T20:32:36"/>
    <s v="vngwira@lighthouse.org.mw"/>
    <s v="Vincent Ngwira"/>
    <x v="11"/>
    <s v="COE"/>
    <x v="1"/>
    <s v="COP_24"/>
    <s v="COP_23"/>
    <x v="3"/>
    <s v="Quarter3"/>
    <s v="Qtr_3"/>
    <s v="Jun"/>
    <d v="2024-06-01T00:00:00"/>
    <d v="2024-06-30T00:00:00"/>
    <x v="4"/>
    <n v="7"/>
    <n v="1"/>
    <n v="5"/>
    <n v="1"/>
    <n v="1"/>
    <n v="0"/>
    <n v="7"/>
    <n v="2"/>
    <n v="3"/>
    <n v="0"/>
    <n v="0"/>
    <n v="0"/>
    <n v="0"/>
    <n v="0"/>
    <n v="0"/>
    <n v="0"/>
    <n v="0"/>
    <n v="0"/>
    <n v="2"/>
    <n v="0"/>
    <n v="0"/>
    <n v="0"/>
    <n v="0"/>
    <n v="0"/>
    <n v="2"/>
    <m/>
  </r>
  <r>
    <n v="660"/>
    <d v="2024-07-26T20:32:40"/>
    <d v="2024-07-26T20:34:11"/>
    <s v="vngwira@lighthouse.org.mw"/>
    <s v="Vincent Ngwira"/>
    <x v="11"/>
    <s v="COE"/>
    <x v="1"/>
    <s v="COP_24"/>
    <s v="COP_23"/>
    <x v="3"/>
    <s v="Quarter3"/>
    <s v="Qtr_3"/>
    <s v="Jun"/>
    <d v="2024-06-01T00:00:00"/>
    <d v="2024-06-30T00:00:00"/>
    <x v="5"/>
    <n v="21"/>
    <n v="1"/>
    <n v="14"/>
    <n v="3"/>
    <n v="3"/>
    <n v="1"/>
    <n v="19"/>
    <n v="8"/>
    <n v="11"/>
    <n v="1"/>
    <n v="1"/>
    <n v="1"/>
    <n v="0"/>
    <n v="0"/>
    <n v="0"/>
    <n v="0"/>
    <n v="0"/>
    <n v="0"/>
    <n v="11"/>
    <n v="0"/>
    <n v="0"/>
    <n v="1"/>
    <n v="0"/>
    <n v="0"/>
    <n v="3"/>
    <m/>
  </r>
  <r>
    <n v="759"/>
    <d v="2024-08-14T12:42:01"/>
    <d v="2024-08-14T12:44:32"/>
    <s v="vngwira@lighthouse.org.mw"/>
    <s v="Vincent Ngwira"/>
    <x v="11"/>
    <s v="COE"/>
    <x v="1"/>
    <s v="COP_23"/>
    <s v="COP_23"/>
    <x v="1"/>
    <s v="Quarter4"/>
    <s v="Qtr_4"/>
    <s v="Jul"/>
    <d v="2024-07-01T00:00:00"/>
    <d v="2024-07-31T00:00:00"/>
    <x v="4"/>
    <n v="2"/>
    <n v="2"/>
    <n v="2"/>
    <n v="0"/>
    <n v="0"/>
    <n v="0"/>
    <n v="2"/>
    <n v="1"/>
    <n v="1"/>
    <n v="0"/>
    <n v="0"/>
    <n v="0"/>
    <n v="0"/>
    <n v="0"/>
    <n v="0"/>
    <n v="0"/>
    <n v="0"/>
    <n v="0"/>
    <n v="0"/>
    <n v="0"/>
    <n v="0"/>
    <n v="0"/>
    <n v="0"/>
    <n v="0"/>
    <n v="0"/>
    <m/>
  </r>
  <r>
    <n v="760"/>
    <d v="2024-08-14T12:44:37"/>
    <d v="2024-08-14T12:47:30"/>
    <s v="vngwira@lighthouse.org.mw"/>
    <s v="Vincent Ngwira"/>
    <x v="11"/>
    <s v="COE"/>
    <x v="1"/>
    <s v="COP_23"/>
    <s v="COP_23"/>
    <x v="1"/>
    <s v="Quarter4"/>
    <s v="Qtr_4"/>
    <s v="Jul"/>
    <d v="2024-07-01T00:00:00"/>
    <d v="2024-07-31T00:00:00"/>
    <x v="3"/>
    <n v="2"/>
    <n v="1"/>
    <n v="0"/>
    <n v="1"/>
    <n v="0"/>
    <n v="1"/>
    <n v="1"/>
    <n v="0"/>
    <n v="1"/>
    <n v="0"/>
    <n v="0"/>
    <n v="0"/>
    <n v="0"/>
    <n v="0"/>
    <n v="0"/>
    <n v="0"/>
    <n v="0"/>
    <n v="0"/>
    <n v="0"/>
    <n v="0"/>
    <n v="0"/>
    <n v="0"/>
    <n v="0"/>
    <n v="0"/>
    <n v="0"/>
    <m/>
  </r>
  <r>
    <n v="761"/>
    <d v="2024-08-14T12:47:34"/>
    <d v="2024-08-14T12:49:34"/>
    <s v="vngwira@lighthouse.org.mw"/>
    <s v="Vincent Ngwira"/>
    <x v="11"/>
    <s v="COE"/>
    <x v="1"/>
    <s v="COP_23"/>
    <s v="COP_23"/>
    <x v="1"/>
    <s v="Quarter4"/>
    <s v="Qtr_4"/>
    <s v="Jul"/>
    <d v="2024-07-01T00:00:00"/>
    <d v="2024-07-31T00:00:00"/>
    <x v="5"/>
    <n v="19"/>
    <n v="19"/>
    <n v="17"/>
    <n v="1"/>
    <n v="1"/>
    <n v="0"/>
    <n v="19"/>
    <n v="5"/>
    <n v="5"/>
    <n v="0"/>
    <n v="0"/>
    <n v="0"/>
    <n v="0"/>
    <n v="0"/>
    <n v="0"/>
    <n v="0"/>
    <n v="0"/>
    <n v="0"/>
    <n v="4"/>
    <n v="0"/>
    <n v="0"/>
    <n v="0"/>
    <n v="0"/>
    <n v="0"/>
    <n v="0"/>
    <m/>
  </r>
  <r>
    <n v="783"/>
    <d v="2024-08-20T10:15:25"/>
    <d v="2024-08-20T10:19:37"/>
    <s v="vngwira@lighthouse.org.mw"/>
    <s v="Vincent Ngwira"/>
    <x v="11"/>
    <s v="COE"/>
    <x v="1"/>
    <s v="COP_23"/>
    <s v="COP_23"/>
    <x v="1"/>
    <s v="Quarter4"/>
    <s v="Qtr_4"/>
    <s v="Jul"/>
    <d v="2024-07-01T00:00:00"/>
    <d v="2024-07-31T00:00:00"/>
    <x v="6"/>
    <n v="45"/>
    <n v="43"/>
    <n v="3"/>
    <n v="0"/>
    <n v="32"/>
    <n v="10"/>
    <n v="42"/>
    <n v="18"/>
    <n v="45"/>
    <n v="1"/>
    <n v="3"/>
    <n v="1"/>
    <n v="0"/>
    <n v="0"/>
    <n v="1"/>
    <n v="1"/>
    <n v="3"/>
    <n v="1"/>
    <n v="24"/>
    <n v="8"/>
    <n v="9"/>
    <n v="1"/>
    <n v="2"/>
    <n v="1"/>
    <n v="32"/>
    <m/>
  </r>
  <r>
    <n v="784"/>
    <d v="2024-08-20T10:19:41"/>
    <d v="2024-08-20T10:24:06"/>
    <s v="vngwira@lighthouse.org.mw"/>
    <s v="Vincent Ngwira"/>
    <x v="11"/>
    <s v="COE"/>
    <x v="1"/>
    <s v="COP_23"/>
    <s v="COP_23"/>
    <x v="1"/>
    <s v="Quarter4"/>
    <s v="Qtr_4"/>
    <s v="Jul"/>
    <d v="2024-07-01T00:00:00"/>
    <d v="2024-07-31T00:00:00"/>
    <x v="0"/>
    <n v="131"/>
    <n v="54"/>
    <n v="52"/>
    <n v="5"/>
    <n v="56"/>
    <n v="18"/>
    <n v="126"/>
    <n v="40"/>
    <n v="84"/>
    <n v="1"/>
    <n v="3"/>
    <n v="1"/>
    <n v="0"/>
    <n v="0"/>
    <n v="4"/>
    <n v="1"/>
    <n v="5"/>
    <n v="1"/>
    <n v="46"/>
    <n v="11"/>
    <n v="12"/>
    <n v="1"/>
    <n v="2"/>
    <n v="1"/>
    <n v="66"/>
    <m/>
  </r>
  <r>
    <n v="805"/>
    <d v="2024-09-16T08:50:56"/>
    <d v="2024-09-16T08:55:52"/>
    <s v="vngwira@lighthouse.org.mw"/>
    <s v="Vincent Ngwira"/>
    <x v="11"/>
    <s v="COE"/>
    <x v="1"/>
    <s v="COP_23"/>
    <s v="COP_23"/>
    <x v="1"/>
    <s v="Quarter4"/>
    <s v="Qtr_4"/>
    <s v="Aug"/>
    <d v="2024-08-01T00:00:00"/>
    <d v="2024-08-31T00:00:00"/>
    <x v="0"/>
    <n v="185"/>
    <n v="85"/>
    <n v="65"/>
    <n v="2"/>
    <n v="74"/>
    <n v="44"/>
    <n v="159"/>
    <n v="58"/>
    <n v="147"/>
    <n v="9"/>
    <n v="6"/>
    <n v="0"/>
    <n v="52"/>
    <n v="1"/>
    <n v="8"/>
    <n v="0"/>
    <n v="0"/>
    <n v="0"/>
    <n v="90"/>
    <n v="22"/>
    <n v="19"/>
    <n v="1"/>
    <n v="2"/>
    <n v="0"/>
    <n v="99"/>
    <m/>
  </r>
  <r>
    <n v="806"/>
    <d v="2024-09-16T08:56:21"/>
    <d v="2024-09-16T08:58:37"/>
    <s v="vngwira@lighthouse.org.mw"/>
    <s v="Vincent Ngwira"/>
    <x v="11"/>
    <s v="COE"/>
    <x v="1"/>
    <s v="COP_23"/>
    <s v="COP_23"/>
    <x v="1"/>
    <s v="Quarter4"/>
    <s v="Qtr_4"/>
    <s v="Aug"/>
    <d v="2024-08-01T00:00:00"/>
    <d v="2024-08-31T00:00:00"/>
    <x v="5"/>
    <n v="41"/>
    <n v="1"/>
    <n v="39"/>
    <n v="0"/>
    <n v="1"/>
    <n v="1"/>
    <n v="32"/>
    <n v="13"/>
    <n v="29"/>
    <n v="2"/>
    <n v="2"/>
    <n v="0"/>
    <n v="13"/>
    <n v="0"/>
    <n v="3"/>
    <n v="0"/>
    <n v="0"/>
    <n v="0"/>
    <n v="13"/>
    <n v="0"/>
    <n v="0"/>
    <n v="0"/>
    <n v="2"/>
    <n v="0"/>
    <n v="11"/>
    <m/>
  </r>
  <r>
    <n v="807"/>
    <d v="2024-09-16T08:58:39"/>
    <d v="2024-09-16T09:02:18"/>
    <s v="vngwira@lighthouse.org.mw"/>
    <s v="Vincent Ngwira"/>
    <x v="11"/>
    <s v="COE"/>
    <x v="1"/>
    <s v="COP_23"/>
    <s v="COP_23"/>
    <x v="1"/>
    <s v="Quarter4"/>
    <s v="Qtr_4"/>
    <s v="Aug"/>
    <d v="2024-08-01T00:00:00"/>
    <d v="2024-08-31T00:00:00"/>
    <x v="3"/>
    <n v="5"/>
    <n v="0"/>
    <n v="5"/>
    <n v="0"/>
    <n v="0"/>
    <n v="0"/>
    <n v="0"/>
    <n v="0"/>
    <n v="5"/>
    <n v="0"/>
    <n v="0"/>
    <n v="0"/>
    <n v="1"/>
    <n v="0"/>
    <n v="0"/>
    <n v="0"/>
    <n v="0"/>
    <n v="0"/>
    <n v="2"/>
    <n v="0"/>
    <n v="0"/>
    <n v="0"/>
    <n v="0"/>
    <n v="0"/>
    <n v="0"/>
    <m/>
  </r>
  <r>
    <n v="808"/>
    <d v="2024-09-16T09:02:26"/>
    <d v="2024-09-16T09:04:39"/>
    <s v="vngwira@lighthouse.org.mw"/>
    <s v="Vincent Ngwira"/>
    <x v="11"/>
    <s v="COE"/>
    <x v="1"/>
    <s v="COP_23"/>
    <s v="COP_23"/>
    <x v="1"/>
    <s v="Quarter4"/>
    <s v="Qtr_4"/>
    <s v="Aug"/>
    <d v="2024-08-01T00:00:00"/>
    <d v="2024-08-31T00:00:00"/>
    <x v="4"/>
    <n v="5"/>
    <n v="0"/>
    <n v="5"/>
    <n v="0"/>
    <n v="0"/>
    <n v="0"/>
    <n v="4"/>
    <n v="2"/>
    <n v="5"/>
    <n v="0"/>
    <n v="0"/>
    <n v="0"/>
    <n v="4"/>
    <n v="0"/>
    <n v="1"/>
    <n v="0"/>
    <n v="0"/>
    <n v="0"/>
    <n v="2"/>
    <n v="0"/>
    <n v="0"/>
    <n v="0"/>
    <n v="0"/>
    <n v="0"/>
    <n v="2"/>
    <m/>
  </r>
  <r>
    <n v="810"/>
    <d v="2024-09-16T09:07:47"/>
    <d v="2024-09-16T09:12:03"/>
    <s v="vngwira@lighthouse.org.mw"/>
    <s v="Vincent Ngwira"/>
    <x v="11"/>
    <s v="COE"/>
    <x v="1"/>
    <s v="COP_23"/>
    <s v="COP_23"/>
    <x v="1"/>
    <s v="Quarter4"/>
    <s v="Qtr_4"/>
    <s v="Aug"/>
    <d v="2024-08-01T00:00:00"/>
    <d v="2024-08-31T00:00:00"/>
    <x v="6"/>
    <n v="68"/>
    <n v="63"/>
    <n v="2"/>
    <n v="0"/>
    <n v="44"/>
    <n v="22"/>
    <n v="62"/>
    <n v="26"/>
    <n v="66"/>
    <n v="4"/>
    <n v="4"/>
    <n v="0"/>
    <n v="18"/>
    <n v="1"/>
    <n v="0"/>
    <n v="0"/>
    <n v="8"/>
    <n v="4"/>
    <n v="48"/>
    <n v="18"/>
    <n v="15"/>
    <n v="1"/>
    <n v="0"/>
    <n v="0"/>
    <n v="50"/>
    <m/>
  </r>
  <r>
    <n v="68"/>
    <d v="2024-01-11T09:45:39"/>
    <d v="2024-01-11T09:47:44"/>
    <s v="vngwira@lighthouse.org.mw"/>
    <s v="Vincent Ngwira"/>
    <x v="11"/>
    <s v="COE"/>
    <x v="0"/>
    <s v="COP_23"/>
    <s v="COP_23"/>
    <x v="0"/>
    <s v="Quarter1"/>
    <s v="Qtr_1"/>
    <s v="Oct"/>
    <d v="2023-10-01T00:00:00"/>
    <d v="2023-10-31T00:00:00"/>
    <x v="2"/>
    <n v="20"/>
    <n v="15"/>
    <n v="14"/>
    <n v="0"/>
    <n v="6"/>
    <n v="0"/>
    <n v="20"/>
    <n v="6"/>
    <n v="10"/>
    <n v="0"/>
    <n v="0"/>
    <n v="0"/>
    <n v="5"/>
    <n v="1"/>
    <n v="2"/>
    <n v="0"/>
    <n v="2"/>
    <n v="0"/>
    <n v="3"/>
    <n v="0"/>
    <n v="1"/>
    <n v="0"/>
    <n v="0"/>
    <n v="0"/>
    <n v="0"/>
    <m/>
  </r>
  <r>
    <n v="72"/>
    <d v="2024-01-11T09:55:13"/>
    <d v="2024-01-11T09:58:03"/>
    <s v="vngwira@lighthouse.org.mw"/>
    <s v="Vincent Ngwira"/>
    <x v="11"/>
    <s v="COE"/>
    <x v="0"/>
    <s v="COP_23"/>
    <s v="COP_23"/>
    <x v="0"/>
    <s v="Quarter1"/>
    <s v="Qtr_1"/>
    <s v="Nov"/>
    <d v="2023-11-01T00:00:00"/>
    <d v="2023-11-30T00:00:00"/>
    <x v="2"/>
    <n v="16"/>
    <n v="1"/>
    <n v="12"/>
    <n v="0"/>
    <n v="3"/>
    <n v="1"/>
    <n v="16"/>
    <n v="6"/>
    <n v="6"/>
    <n v="1"/>
    <n v="1"/>
    <n v="1"/>
    <n v="7"/>
    <n v="0"/>
    <n v="1"/>
    <n v="0"/>
    <n v="4"/>
    <n v="0"/>
    <n v="5"/>
    <n v="0"/>
    <n v="0"/>
    <n v="1"/>
    <n v="0"/>
    <n v="0"/>
    <n v="0"/>
    <m/>
  </r>
  <r>
    <n v="75"/>
    <d v="2024-01-11T10:05:26"/>
    <d v="2024-01-11T10:05:54"/>
    <s v="vngwira@lighthouse.org.mw"/>
    <s v="Vincent Ngwira"/>
    <x v="11"/>
    <s v="COE"/>
    <x v="0"/>
    <s v="COP_23"/>
    <s v="COP_23"/>
    <x v="0"/>
    <s v="Quarter1"/>
    <s v="Qtr_1"/>
    <s v="Dec"/>
    <d v="2023-12-01T00:00:00"/>
    <d v="2023-12-31T00:00:00"/>
    <x v="2"/>
    <n v="25"/>
    <n v="8"/>
    <n v="13"/>
    <n v="0"/>
    <n v="5"/>
    <n v="7"/>
    <n v="25"/>
    <n v="8"/>
    <n v="13"/>
    <n v="0"/>
    <n v="1"/>
    <n v="0"/>
    <n v="11"/>
    <n v="0"/>
    <n v="3"/>
    <n v="0"/>
    <n v="2"/>
    <n v="2"/>
    <n v="4"/>
    <n v="0"/>
    <n v="1"/>
    <n v="0"/>
    <n v="0"/>
    <n v="0"/>
    <n v="1"/>
    <m/>
  </r>
  <r>
    <n v="143"/>
    <d v="2024-02-06T09:44:31"/>
    <d v="2024-02-06T09:47:27"/>
    <s v="vngwira@lighthouse.org.mw"/>
    <s v="Vincent Ngwira"/>
    <x v="11"/>
    <s v="COE"/>
    <x v="1"/>
    <s v="COP_23"/>
    <s v="COP_23"/>
    <x v="2"/>
    <s v="Quarter2"/>
    <s v="Qtr_2"/>
    <s v="Jan"/>
    <d v="2024-01-01T00:00:00"/>
    <d v="2024-01-31T00:00:00"/>
    <x v="2"/>
    <n v="23"/>
    <n v="6"/>
    <n v="19"/>
    <n v="0"/>
    <n v="4"/>
    <n v="0"/>
    <n v="23"/>
    <n v="8"/>
    <n v="9"/>
    <n v="0"/>
    <n v="0"/>
    <n v="0"/>
    <n v="9"/>
    <n v="3"/>
    <n v="0"/>
    <n v="0"/>
    <n v="2"/>
    <n v="2"/>
    <n v="3"/>
    <n v="3"/>
    <n v="3"/>
    <n v="0"/>
    <n v="0"/>
    <n v="0"/>
    <n v="0"/>
    <m/>
  </r>
  <r>
    <n v="179"/>
    <d v="2024-03-20T08:14:11"/>
    <d v="2024-03-20T08:16:23"/>
    <s v="vngwira@lighthouse.org.mw"/>
    <s v="Vincent Ngwira"/>
    <x v="11"/>
    <s v="COE"/>
    <x v="1"/>
    <s v="COP_23"/>
    <s v="COP_23"/>
    <x v="2"/>
    <s v="Quarter2"/>
    <s v="Qtr_2"/>
    <s v="Feb"/>
    <d v="2024-02-01T00:00:00"/>
    <d v="2024-02-29T00:00:00"/>
    <x v="2"/>
    <n v="24"/>
    <n v="5"/>
    <n v="14"/>
    <n v="0"/>
    <n v="5"/>
    <n v="5"/>
    <n v="22"/>
    <n v="7"/>
    <n v="11"/>
    <n v="0"/>
    <n v="0"/>
    <n v="0"/>
    <n v="10"/>
    <n v="2"/>
    <n v="1"/>
    <n v="0"/>
    <n v="2"/>
    <n v="1"/>
    <n v="5"/>
    <n v="1"/>
    <n v="2"/>
    <n v="0"/>
    <n v="0"/>
    <n v="0"/>
    <n v="0"/>
    <m/>
  </r>
  <r>
    <n v="89"/>
    <d v="2024-01-16T15:32:12"/>
    <d v="2024-01-16T15:36:51"/>
    <s v="vngwira@lighthouse.org.mw"/>
    <s v="Vincent Ngwira"/>
    <x v="11"/>
    <s v="COE"/>
    <x v="0"/>
    <s v="COP_23"/>
    <s v="COP_23"/>
    <x v="0"/>
    <s v="Quarter1"/>
    <s v="Qtr_1"/>
    <s v="Oct"/>
    <d v="2023-10-01T00:00:00"/>
    <d v="2023-10-31T00:00:00"/>
    <x v="1"/>
    <n v="54"/>
    <n v="13"/>
    <n v="32"/>
    <n v="0"/>
    <n v="16"/>
    <n v="6"/>
    <n v="54"/>
    <n v="23"/>
    <n v="29"/>
    <n v="2"/>
    <n v="2"/>
    <n v="1"/>
    <n v="20"/>
    <n v="4"/>
    <n v="12"/>
    <n v="0"/>
    <n v="13"/>
    <n v="3"/>
    <n v="17"/>
    <n v="3"/>
    <n v="5"/>
    <n v="1"/>
    <n v="0"/>
    <n v="0"/>
    <n v="1"/>
    <m/>
  </r>
  <r>
    <n v="241"/>
    <d v="2024-04-12T09:22:58"/>
    <d v="2024-04-12T09:24:33"/>
    <s v="vngwira@lighthouse.org.mw"/>
    <s v="Vincent Ngwira"/>
    <x v="11"/>
    <s v="COE"/>
    <x v="1"/>
    <s v="COP_23"/>
    <s v="COP_23"/>
    <x v="2"/>
    <s v="Quarter2"/>
    <s v="Qtr_2"/>
    <s v="Mar"/>
    <d v="2024-03-01T00:00:00"/>
    <d v="2024-03-31T00:00:00"/>
    <x v="2"/>
    <n v="35"/>
    <n v="8"/>
    <n v="24"/>
    <n v="0"/>
    <n v="7"/>
    <n v="4"/>
    <n v="35"/>
    <n v="7"/>
    <n v="11"/>
    <n v="0"/>
    <n v="0"/>
    <n v="0"/>
    <n v="11"/>
    <n v="3"/>
    <n v="0"/>
    <n v="0"/>
    <n v="0"/>
    <n v="0"/>
    <n v="0"/>
    <n v="0"/>
    <n v="3"/>
    <n v="0"/>
    <n v="0"/>
    <n v="0"/>
    <n v="0"/>
    <m/>
  </r>
  <r>
    <n v="450"/>
    <d v="2024-05-21T13:16:18"/>
    <d v="2024-05-21T13:20:05"/>
    <s v="vngwira@lighthouse.org.mw"/>
    <s v="Vincent Ngwira"/>
    <x v="11"/>
    <s v="COE"/>
    <x v="1"/>
    <s v="COP_24"/>
    <s v="COP_23"/>
    <x v="3"/>
    <s v="Quarter3"/>
    <s v="Qtr_3"/>
    <s v="Apr"/>
    <d v="2024-04-01T00:00:00"/>
    <d v="2024-04-30T00:00:00"/>
    <x v="2"/>
    <n v="18"/>
    <n v="4"/>
    <n v="11"/>
    <n v="1"/>
    <n v="6"/>
    <n v="0"/>
    <n v="18"/>
    <n v="6"/>
    <n v="8"/>
    <n v="0"/>
    <n v="0"/>
    <n v="0"/>
    <n v="0"/>
    <n v="0"/>
    <n v="0"/>
    <n v="0"/>
    <n v="0"/>
    <n v="0"/>
    <n v="7"/>
    <n v="6"/>
    <n v="0"/>
    <n v="0"/>
    <n v="0"/>
    <n v="0"/>
    <n v="3"/>
    <m/>
  </r>
  <r>
    <n v="90"/>
    <d v="2024-01-16T15:36:54"/>
    <d v="2024-01-16T15:39:11"/>
    <s v="vngwira@lighthouse.org.mw"/>
    <s v="Vincent Ngwira"/>
    <x v="11"/>
    <s v="COE"/>
    <x v="0"/>
    <s v="COP_23"/>
    <s v="COP_23"/>
    <x v="0"/>
    <s v="Quarter1"/>
    <s v="Qtr_1"/>
    <s v="Nov"/>
    <d v="2023-11-01T00:00:00"/>
    <d v="2023-11-30T00:00:00"/>
    <x v="1"/>
    <n v="32"/>
    <n v="6"/>
    <n v="19"/>
    <n v="3"/>
    <n v="4"/>
    <n v="6"/>
    <n v="32"/>
    <n v="12"/>
    <n v="19"/>
    <n v="2"/>
    <n v="3"/>
    <n v="1"/>
    <n v="18"/>
    <n v="0"/>
    <n v="2"/>
    <n v="0"/>
    <n v="8"/>
    <n v="0"/>
    <n v="11"/>
    <n v="1"/>
    <n v="1"/>
    <n v="0"/>
    <n v="0"/>
    <n v="0"/>
    <n v="0"/>
    <m/>
  </r>
  <r>
    <n v="91"/>
    <d v="2024-01-16T15:39:14"/>
    <d v="2024-01-16T15:42:09"/>
    <s v="vngwira@lighthouse.org.mw"/>
    <s v="Vincent Ngwira"/>
    <x v="11"/>
    <s v="COE"/>
    <x v="0"/>
    <s v="COP_23"/>
    <s v="COP_23"/>
    <x v="0"/>
    <s v="Quarter1"/>
    <s v="Qtr_1"/>
    <s v="Dec"/>
    <d v="2023-12-01T00:00:00"/>
    <d v="2023-12-31T00:00:00"/>
    <x v="1"/>
    <n v="40"/>
    <n v="12"/>
    <n v="19"/>
    <n v="0"/>
    <n v="13"/>
    <n v="8"/>
    <n v="40"/>
    <n v="23"/>
    <n v="27"/>
    <n v="1"/>
    <n v="1"/>
    <n v="1"/>
    <n v="23"/>
    <n v="4"/>
    <n v="6"/>
    <n v="0"/>
    <n v="9"/>
    <n v="5"/>
    <n v="12"/>
    <n v="3"/>
    <n v="14"/>
    <n v="1"/>
    <n v="0"/>
    <n v="1"/>
    <n v="4"/>
    <m/>
  </r>
  <r>
    <n v="144"/>
    <d v="2024-02-06T14:59:12"/>
    <d v="2024-02-06T15:02:26"/>
    <s v="vngwira@lighthouse.org.mw"/>
    <s v="Vincent Ngwira"/>
    <x v="11"/>
    <s v="COE"/>
    <x v="1"/>
    <s v="COP_23"/>
    <s v="COP_23"/>
    <x v="2"/>
    <s v="Quarter2"/>
    <s v="Qtr_2"/>
    <s v="Jan"/>
    <d v="2024-01-01T00:00:00"/>
    <d v="2024-01-31T00:00:00"/>
    <x v="1"/>
    <n v="57"/>
    <n v="15"/>
    <n v="37"/>
    <n v="0"/>
    <n v="10"/>
    <n v="10"/>
    <n v="54"/>
    <n v="28"/>
    <n v="34"/>
    <n v="1"/>
    <n v="1"/>
    <n v="1"/>
    <n v="33"/>
    <n v="3"/>
    <n v="0"/>
    <n v="0"/>
    <n v="3"/>
    <n v="1"/>
    <n v="7"/>
    <n v="3"/>
    <n v="8"/>
    <n v="1"/>
    <n v="0"/>
    <n v="1"/>
    <n v="2"/>
    <m/>
  </r>
  <r>
    <n v="519"/>
    <d v="2024-06-07T10:56:05"/>
    <d v="2024-06-07T10:58:05"/>
    <s v="vngwira@lighthouse.org.mw"/>
    <s v="Vincent Ngwira"/>
    <x v="11"/>
    <s v="COE"/>
    <x v="1"/>
    <s v="COP_24"/>
    <s v="COP_23"/>
    <x v="3"/>
    <s v="Quarter3"/>
    <s v="Qtr_3"/>
    <s v="May"/>
    <d v="2024-05-01T00:00:00"/>
    <d v="2024-05-31T00:00:00"/>
    <x v="2"/>
    <n v="33"/>
    <n v="7"/>
    <n v="16"/>
    <n v="4"/>
    <n v="11"/>
    <n v="2"/>
    <n v="31"/>
    <n v="11"/>
    <n v="17"/>
    <n v="0"/>
    <n v="0"/>
    <n v="0"/>
    <n v="0"/>
    <n v="0"/>
    <n v="1"/>
    <n v="0"/>
    <n v="2"/>
    <n v="1"/>
    <n v="9"/>
    <n v="7"/>
    <n v="2"/>
    <n v="0"/>
    <n v="0"/>
    <n v="0"/>
    <n v="0"/>
    <m/>
  </r>
  <r>
    <n v="175"/>
    <d v="2024-03-20T07:58:17"/>
    <d v="2024-03-20T08:03:38"/>
    <s v="vngwira@lighthouse.org.mw"/>
    <s v="Vincent Ngwira"/>
    <x v="11"/>
    <s v="COE"/>
    <x v="1"/>
    <s v="COP_23"/>
    <s v="COP_23"/>
    <x v="2"/>
    <s v="Quarter2"/>
    <s v="Qtr_2"/>
    <s v="Feb"/>
    <d v="2024-02-01T00:00:00"/>
    <d v="2024-02-29T00:00:00"/>
    <x v="1"/>
    <n v="51"/>
    <n v="15"/>
    <n v="29"/>
    <n v="1"/>
    <n v="15"/>
    <n v="6"/>
    <n v="49"/>
    <n v="19"/>
    <n v="32"/>
    <n v="2"/>
    <n v="2"/>
    <n v="1"/>
    <n v="32"/>
    <n v="6"/>
    <n v="1"/>
    <n v="0"/>
    <n v="2"/>
    <n v="1"/>
    <n v="11"/>
    <n v="9"/>
    <n v="6"/>
    <n v="0"/>
    <n v="1"/>
    <n v="1"/>
    <n v="0"/>
    <m/>
  </r>
  <r>
    <n v="240"/>
    <d v="2024-04-12T09:20:25"/>
    <d v="2024-04-12T09:22:44"/>
    <s v="vngwira@lighthouse.org.mw"/>
    <s v="Vincent Ngwira"/>
    <x v="11"/>
    <s v="COE"/>
    <x v="1"/>
    <s v="COP_23"/>
    <s v="COP_23"/>
    <x v="2"/>
    <s v="Quarter2"/>
    <s v="Qtr_2"/>
    <s v="Mar"/>
    <d v="2024-03-01T00:00:00"/>
    <d v="2024-03-31T00:00:00"/>
    <x v="1"/>
    <n v="37"/>
    <n v="7"/>
    <n v="19"/>
    <n v="5"/>
    <n v="12"/>
    <n v="1"/>
    <n v="37"/>
    <n v="17"/>
    <n v="21"/>
    <n v="0"/>
    <n v="1"/>
    <n v="1"/>
    <n v="20"/>
    <n v="5"/>
    <n v="0"/>
    <n v="0"/>
    <n v="3"/>
    <n v="1"/>
    <n v="6"/>
    <n v="6"/>
    <n v="5"/>
    <n v="0"/>
    <n v="0"/>
    <n v="0"/>
    <n v="1"/>
    <m/>
  </r>
  <r>
    <n v="657"/>
    <d v="2024-07-26T20:08:45"/>
    <d v="2024-07-26T20:24:50"/>
    <s v="vngwira@lighthouse.org.mw"/>
    <s v="Vincent Ngwira"/>
    <x v="11"/>
    <s v="COE"/>
    <x v="1"/>
    <s v="COP_24"/>
    <s v="COP_23"/>
    <x v="3"/>
    <s v="Quarter3"/>
    <s v="Qtr_3"/>
    <s v="Jun"/>
    <d v="2024-06-01T00:00:00"/>
    <d v="2024-06-30T00:00:00"/>
    <x v="2"/>
    <n v="23"/>
    <n v="0"/>
    <n v="21"/>
    <n v="0"/>
    <n v="0"/>
    <n v="2"/>
    <n v="23"/>
    <n v="7"/>
    <n v="7"/>
    <n v="1"/>
    <n v="1"/>
    <n v="1"/>
    <n v="0"/>
    <n v="0"/>
    <n v="0"/>
    <n v="0"/>
    <n v="0"/>
    <n v="0"/>
    <n v="7"/>
    <n v="6"/>
    <n v="1"/>
    <n v="1"/>
    <n v="0"/>
    <n v="0"/>
    <n v="2"/>
    <m/>
  </r>
  <r>
    <n v="782"/>
    <d v="2024-08-20T10:11:57"/>
    <d v="2024-08-20T10:15:08"/>
    <s v="vngwira@lighthouse.org.mw"/>
    <s v="Vincent Ngwira"/>
    <x v="11"/>
    <s v="COE"/>
    <x v="1"/>
    <s v="COP_23"/>
    <s v="COP_23"/>
    <x v="1"/>
    <s v="Quarter4"/>
    <s v="Qtr_4"/>
    <s v="Jul"/>
    <d v="2024-07-01T00:00:00"/>
    <d v="2024-07-31T00:00:00"/>
    <x v="2"/>
    <n v="29"/>
    <n v="4"/>
    <n v="23"/>
    <n v="0"/>
    <n v="4"/>
    <n v="2"/>
    <n v="29"/>
    <n v="8"/>
    <n v="12"/>
    <n v="0"/>
    <n v="0"/>
    <n v="0"/>
    <n v="0"/>
    <n v="0"/>
    <n v="1"/>
    <n v="1"/>
    <n v="1"/>
    <n v="0"/>
    <n v="7"/>
    <n v="1"/>
    <n v="1"/>
    <n v="0"/>
    <n v="0"/>
    <n v="0"/>
    <n v="9"/>
    <m/>
  </r>
  <r>
    <n v="452"/>
    <d v="2024-05-21T13:37:19"/>
    <d v="2024-05-21T13:43:29"/>
    <s v="vngwira@lighthouse.org.mw"/>
    <s v="Vincent Ngwira"/>
    <x v="11"/>
    <s v="COE"/>
    <x v="1"/>
    <s v="COP_24"/>
    <s v="COP_23"/>
    <x v="3"/>
    <s v="Quarter3"/>
    <s v="Qtr_3"/>
    <s v="Apr"/>
    <d v="2024-04-01T00:00:00"/>
    <d v="2024-04-30T00:00:00"/>
    <x v="1"/>
    <n v="54"/>
    <n v="14"/>
    <n v="31"/>
    <n v="1"/>
    <n v="14"/>
    <n v="8"/>
    <n v="53"/>
    <n v="27"/>
    <n v="33"/>
    <n v="0"/>
    <n v="0"/>
    <n v="0"/>
    <n v="15"/>
    <n v="3"/>
    <n v="3"/>
    <n v="0"/>
    <n v="2"/>
    <n v="1"/>
    <n v="16"/>
    <n v="0"/>
    <n v="3"/>
    <n v="0"/>
    <n v="0"/>
    <n v="1"/>
    <n v="5"/>
    <m/>
  </r>
  <r>
    <n v="653"/>
    <d v="2024-07-26T19:55:39"/>
    <d v="2024-07-26T19:56:06"/>
    <s v="vngwira@lighthouse.org.mw"/>
    <s v="Vincent Ngwira"/>
    <x v="11"/>
    <s v="COE"/>
    <x v="1"/>
    <s v="COP_24"/>
    <s v="COP_23"/>
    <x v="3"/>
    <s v="Quarter3"/>
    <s v="Qtr_3"/>
    <s v="May"/>
    <d v="2024-05-01T00:00:00"/>
    <d v="2024-05-31T00:00:00"/>
    <x v="1"/>
    <n v="46"/>
    <n v="8"/>
    <n v="14"/>
    <n v="7"/>
    <n v="19"/>
    <n v="6"/>
    <n v="46"/>
    <n v="28"/>
    <n v="42"/>
    <n v="1"/>
    <n v="1"/>
    <n v="1"/>
    <n v="0"/>
    <n v="0"/>
    <n v="5"/>
    <n v="0"/>
    <n v="1"/>
    <n v="1"/>
    <n v="24"/>
    <n v="1"/>
    <n v="1"/>
    <n v="1"/>
    <n v="0"/>
    <n v="1"/>
    <n v="2"/>
    <m/>
  </r>
  <r>
    <n v="811"/>
    <d v="2024-09-16T09:12:05"/>
    <d v="2024-09-16T09:14:32"/>
    <s v="vngwira@lighthouse.org.mw"/>
    <s v="Vincent Ngwira"/>
    <x v="11"/>
    <s v="COE"/>
    <x v="1"/>
    <s v="COP_23"/>
    <s v="COP_23"/>
    <x v="1"/>
    <s v="Quarter4"/>
    <s v="Qtr_4"/>
    <s v="Aug"/>
    <d v="2024-08-01T00:00:00"/>
    <d v="2024-08-31T00:00:00"/>
    <x v="2"/>
    <n v="28"/>
    <n v="7"/>
    <n v="19"/>
    <n v="0"/>
    <n v="4"/>
    <n v="5"/>
    <n v="26"/>
    <n v="9"/>
    <n v="16"/>
    <n v="1"/>
    <n v="1"/>
    <n v="0"/>
    <n v="6"/>
    <n v="1"/>
    <n v="0"/>
    <n v="0"/>
    <n v="1"/>
    <n v="0"/>
    <n v="12"/>
    <n v="5"/>
    <n v="3"/>
    <n v="0"/>
    <n v="0"/>
    <n v="0"/>
    <n v="12"/>
    <m/>
  </r>
  <r>
    <n v="959"/>
    <d v="2024-10-18T12:41:21"/>
    <d v="2024-10-18T12:45:14"/>
    <s v="vngwira@lighthouse.org.mw"/>
    <s v="Vincent Ngwira"/>
    <x v="11"/>
    <s v="COE"/>
    <x v="1"/>
    <s v="COP_23"/>
    <s v="COP_23"/>
    <x v="1"/>
    <s v="Quarter4"/>
    <s v="Qtr_4"/>
    <s v="Sep"/>
    <d v="2024-09-01T00:00:00"/>
    <d v="2024-09-30T00:00:00"/>
    <x v="2"/>
    <n v="28"/>
    <n v="4"/>
    <n v="23"/>
    <n v="0"/>
    <n v="2"/>
    <n v="3"/>
    <n v="28"/>
    <n v="6"/>
    <n v="7"/>
    <n v="0"/>
    <n v="1"/>
    <n v="0"/>
    <n v="7"/>
    <n v="1"/>
    <n v="0"/>
    <n v="0"/>
    <n v="2"/>
    <n v="1"/>
    <n v="4"/>
    <n v="2"/>
    <n v="3"/>
    <n v="0"/>
    <n v="0"/>
    <n v="0"/>
    <n v="4"/>
    <m/>
  </r>
  <r>
    <n v="658"/>
    <d v="2024-07-26T20:24:56"/>
    <d v="2024-07-26T20:30:18"/>
    <s v="vngwira@lighthouse.org.mw"/>
    <s v="Vincent Ngwira"/>
    <x v="11"/>
    <s v="COE"/>
    <x v="1"/>
    <s v="COP_24"/>
    <s v="COP_23"/>
    <x v="3"/>
    <s v="Quarter3"/>
    <s v="Qtr_3"/>
    <s v="Jun"/>
    <d v="2024-06-01T00:00:00"/>
    <d v="2024-06-30T00:00:00"/>
    <x v="1"/>
    <n v="39"/>
    <n v="5"/>
    <n v="32"/>
    <n v="1"/>
    <n v="4"/>
    <n v="2"/>
    <n v="36"/>
    <n v="11"/>
    <n v="15"/>
    <n v="0"/>
    <n v="0"/>
    <n v="0"/>
    <n v="0"/>
    <n v="0"/>
    <n v="1"/>
    <n v="1"/>
    <n v="2"/>
    <n v="1"/>
    <n v="15"/>
    <n v="14"/>
    <n v="3"/>
    <n v="0"/>
    <n v="0"/>
    <n v="0"/>
    <n v="2"/>
    <m/>
  </r>
  <r>
    <n v="1071"/>
    <d v="2024-11-15T10:39:59"/>
    <d v="2024-11-15T10:42:04"/>
    <s v="vngwira@lighthouse.org.mw"/>
    <s v="Vincent Ngwira"/>
    <x v="11"/>
    <s v="COE"/>
    <x v="1"/>
    <s v="COP_24"/>
    <s v="COP_24"/>
    <x v="0"/>
    <s v="Quarter1"/>
    <s v="Qtr_1"/>
    <s v="Oct"/>
    <d v="2024-10-01T00:00:00"/>
    <d v="2024-10-31T00:00:00"/>
    <x v="2"/>
    <n v="38"/>
    <n v="7"/>
    <n v="25"/>
    <n v="1"/>
    <n v="12"/>
    <n v="0"/>
    <n v="38"/>
    <n v="15"/>
    <n v="19"/>
    <n v="1"/>
    <n v="1"/>
    <n v="0"/>
    <n v="17"/>
    <n v="1"/>
    <n v="3"/>
    <n v="0"/>
    <n v="8"/>
    <n v="0"/>
    <n v="15"/>
    <n v="2"/>
    <n v="2"/>
    <n v="0"/>
    <n v="1"/>
    <n v="0"/>
    <n v="12"/>
    <m/>
  </r>
  <r>
    <n v="781"/>
    <d v="2024-08-20T10:10:23"/>
    <d v="2024-08-20T10:11:35"/>
    <s v="vngwira@lighthouse.org.mw"/>
    <s v="Vincent Ngwira"/>
    <x v="11"/>
    <s v="COE"/>
    <x v="1"/>
    <s v="COP_23"/>
    <s v="COP_23"/>
    <x v="1"/>
    <s v="Quarter4"/>
    <s v="Qtr_4"/>
    <s v="Jul"/>
    <d v="2024-07-01T00:00:00"/>
    <d v="2024-07-31T00:00:00"/>
    <x v="1"/>
    <n v="31"/>
    <n v="4"/>
    <n v="20"/>
    <n v="2"/>
    <n v="8"/>
    <n v="1"/>
    <n v="31"/>
    <n v="8"/>
    <n v="31"/>
    <n v="1"/>
    <n v="1"/>
    <n v="1"/>
    <n v="0"/>
    <n v="0"/>
    <n v="5"/>
    <n v="0"/>
    <n v="1"/>
    <n v="1"/>
    <n v="9"/>
    <n v="1"/>
    <n v="1"/>
    <n v="1"/>
    <n v="0"/>
    <n v="1"/>
    <n v="6"/>
    <m/>
  </r>
  <r>
    <n v="809"/>
    <d v="2024-09-16T09:04:41"/>
    <d v="2024-09-16T09:07:29"/>
    <s v="vngwira@lighthouse.org.mw"/>
    <s v="Vincent Ngwira"/>
    <x v="11"/>
    <s v="COE"/>
    <x v="1"/>
    <s v="COP_23"/>
    <s v="COP_23"/>
    <x v="1"/>
    <s v="Quarter4"/>
    <s v="Qtr_4"/>
    <s v="Aug"/>
    <d v="2024-08-01T00:00:00"/>
    <d v="2024-08-31T00:00:00"/>
    <x v="1"/>
    <n v="37"/>
    <n v="15"/>
    <n v="17"/>
    <n v="1"/>
    <n v="12"/>
    <n v="7"/>
    <n v="34"/>
    <n v="15"/>
    <n v="26"/>
    <n v="1"/>
    <n v="2"/>
    <n v="0"/>
    <n v="3"/>
    <n v="0"/>
    <n v="0"/>
    <n v="0"/>
    <n v="2"/>
    <n v="0"/>
    <n v="20"/>
    <n v="4"/>
    <n v="5"/>
    <n v="0"/>
    <n v="0"/>
    <n v="0"/>
    <n v="16"/>
    <m/>
  </r>
  <r>
    <n v="957"/>
    <d v="2024-10-18T12:34:09"/>
    <d v="2024-10-18T12:37:33"/>
    <s v="vngwira@lighthouse.org.mw"/>
    <s v="Vincent Ngwira"/>
    <x v="11"/>
    <s v="COE"/>
    <x v="1"/>
    <s v="COP_23"/>
    <s v="COP_23"/>
    <x v="1"/>
    <s v="Quarter4"/>
    <s v="Qtr_4"/>
    <s v="Sep"/>
    <d v="2024-09-01T00:00:00"/>
    <d v="2024-09-30T00:00:00"/>
    <x v="1"/>
    <n v="29"/>
    <n v="6"/>
    <n v="20"/>
    <n v="1"/>
    <n v="5"/>
    <n v="3"/>
    <n v="29"/>
    <n v="14"/>
    <n v="22"/>
    <n v="0"/>
    <n v="2"/>
    <n v="0"/>
    <n v="19"/>
    <n v="3"/>
    <n v="0"/>
    <n v="0"/>
    <n v="4"/>
    <n v="3"/>
    <n v="6"/>
    <n v="4"/>
    <n v="5"/>
    <n v="0"/>
    <n v="0"/>
    <n v="0"/>
    <n v="3"/>
    <m/>
  </r>
  <r>
    <n v="956"/>
    <d v="2024-10-18T12:30:45"/>
    <d v="2024-10-18T12:34:04"/>
    <s v="vngwira@lighthouse.org.mw"/>
    <s v="Vincent Ngwira"/>
    <x v="11"/>
    <s v="COE"/>
    <x v="1"/>
    <s v="COP_23"/>
    <s v="COP_23"/>
    <x v="1"/>
    <s v="Quarter4"/>
    <s v="Qtr_4"/>
    <s v="Sep"/>
    <d v="2024-09-01T00:00:00"/>
    <d v="2024-09-30T00:00:00"/>
    <x v="5"/>
    <n v="30"/>
    <n v="0"/>
    <n v="29"/>
    <n v="0"/>
    <n v="1"/>
    <n v="0"/>
    <n v="28"/>
    <n v="7"/>
    <n v="14"/>
    <n v="0"/>
    <n v="0"/>
    <n v="0"/>
    <n v="11"/>
    <n v="0"/>
    <n v="0"/>
    <n v="0"/>
    <n v="0"/>
    <n v="0"/>
    <n v="5"/>
    <n v="0"/>
    <n v="0"/>
    <n v="0"/>
    <n v="0"/>
    <n v="0"/>
    <n v="10"/>
    <m/>
  </r>
  <r>
    <n v="958"/>
    <d v="2024-10-18T12:37:37"/>
    <d v="2024-10-18T12:41:18"/>
    <s v="vngwira@lighthouse.org.mw"/>
    <s v="Vincent Ngwira"/>
    <x v="11"/>
    <s v="COE"/>
    <x v="1"/>
    <s v="COP_23"/>
    <s v="COP_23"/>
    <x v="1"/>
    <s v="Quarter4"/>
    <s v="Qtr_4"/>
    <s v="Sep"/>
    <d v="2024-09-01T00:00:00"/>
    <d v="2024-09-30T00:00:00"/>
    <x v="6"/>
    <n v="34"/>
    <n v="32"/>
    <n v="0"/>
    <n v="0"/>
    <n v="17"/>
    <n v="17"/>
    <n v="32"/>
    <n v="15"/>
    <n v="32"/>
    <n v="0"/>
    <n v="4"/>
    <n v="0"/>
    <n v="31"/>
    <n v="9"/>
    <n v="1"/>
    <n v="0"/>
    <n v="10"/>
    <n v="6"/>
    <n v="12"/>
    <n v="7"/>
    <n v="11"/>
    <n v="0"/>
    <n v="0"/>
    <n v="0"/>
    <n v="23"/>
    <m/>
  </r>
  <r>
    <n v="960"/>
    <d v="2024-10-18T12:45:17"/>
    <d v="2024-10-18T12:49:05"/>
    <s v="vngwira@lighthouse.org.mw"/>
    <s v="Vincent Ngwira"/>
    <x v="11"/>
    <s v="COE"/>
    <x v="1"/>
    <s v="COP_23"/>
    <s v="COP_23"/>
    <x v="1"/>
    <s v="Quarter4"/>
    <s v="Qtr_4"/>
    <s v="Sep"/>
    <d v="2024-09-01T00:00:00"/>
    <d v="2024-09-30T00:00:00"/>
    <x v="3"/>
    <n v="4"/>
    <n v="1"/>
    <n v="4"/>
    <n v="0"/>
    <n v="0"/>
    <n v="0"/>
    <n v="0"/>
    <n v="0"/>
    <n v="4"/>
    <n v="0"/>
    <n v="0"/>
    <n v="0"/>
    <n v="0"/>
    <n v="0"/>
    <n v="0"/>
    <n v="0"/>
    <n v="0"/>
    <n v="0"/>
    <n v="0"/>
    <n v="0"/>
    <n v="0"/>
    <n v="0"/>
    <n v="0"/>
    <n v="0"/>
    <n v="0"/>
    <m/>
  </r>
  <r>
    <n v="961"/>
    <d v="2024-10-18T12:49:08"/>
    <d v="2024-10-18T12:52:50"/>
    <s v="vngwira@lighthouse.org.mw"/>
    <s v="Vincent Ngwira"/>
    <x v="11"/>
    <s v="COE"/>
    <x v="1"/>
    <s v="COP_23"/>
    <s v="COP_23"/>
    <x v="1"/>
    <s v="Quarter4"/>
    <s v="Qtr_4"/>
    <s v="Sep"/>
    <d v="2024-09-01T00:00:00"/>
    <d v="2024-09-30T00:00:00"/>
    <x v="4"/>
    <n v="3"/>
    <n v="0"/>
    <n v="2"/>
    <n v="0"/>
    <n v="1"/>
    <n v="0"/>
    <n v="3"/>
    <n v="0"/>
    <n v="1"/>
    <n v="0"/>
    <n v="0"/>
    <n v="0"/>
    <n v="1"/>
    <n v="0"/>
    <n v="0"/>
    <n v="0"/>
    <n v="0"/>
    <n v="0"/>
    <n v="0"/>
    <n v="0"/>
    <n v="0"/>
    <n v="0"/>
    <n v="0"/>
    <n v="0"/>
    <n v="1"/>
    <m/>
  </r>
  <r>
    <n v="962"/>
    <d v="2024-10-18T12:54:20"/>
    <d v="2024-10-18T13:02:03"/>
    <s v="vngwira@lighthouse.org.mw"/>
    <s v="Vincent Ngwira"/>
    <x v="11"/>
    <s v="COE"/>
    <x v="1"/>
    <s v="COP_23"/>
    <s v="COP_23"/>
    <x v="1"/>
    <s v="Quarter4"/>
    <s v="Qtr_4"/>
    <s v="Sep"/>
    <d v="2024-09-01T00:00:00"/>
    <d v="2024-09-30T00:00:00"/>
    <x v="0"/>
    <n v="130"/>
    <n v="39"/>
    <n v="73"/>
    <n v="0"/>
    <n v="36"/>
    <n v="21"/>
    <n v="123"/>
    <n v="37"/>
    <n v="75"/>
    <n v="0"/>
    <n v="5"/>
    <n v="0"/>
    <n v="60"/>
    <n v="11"/>
    <n v="1"/>
    <n v="0"/>
    <n v="11"/>
    <n v="4"/>
    <n v="36"/>
    <n v="10"/>
    <n v="14"/>
    <n v="0"/>
    <n v="0"/>
    <n v="0"/>
    <n v="54"/>
    <m/>
  </r>
  <r>
    <n v="1067"/>
    <d v="2024-11-15T10:26:24"/>
    <d v="2024-11-15T10:30:29"/>
    <s v="vngwira@lighthouse.org.mw"/>
    <s v="Vincent Ngwira"/>
    <x v="11"/>
    <s v="COE"/>
    <x v="1"/>
    <s v="COP_24"/>
    <s v="COP_24"/>
    <x v="0"/>
    <s v="Quarter1"/>
    <s v="Qtr_1"/>
    <s v="Oct"/>
    <d v="2024-10-01T00:00:00"/>
    <d v="2024-10-31T00:00:00"/>
    <x v="0"/>
    <n v="181"/>
    <n v="68"/>
    <n v="74"/>
    <n v="2"/>
    <n v="90"/>
    <n v="15"/>
    <n v="181"/>
    <n v="61"/>
    <n v="130"/>
    <n v="3"/>
    <n v="7"/>
    <n v="3"/>
    <n v="129"/>
    <n v="14"/>
    <n v="9"/>
    <n v="1"/>
    <n v="27"/>
    <n v="4"/>
    <n v="75"/>
    <n v="9"/>
    <n v="19"/>
    <n v="3"/>
    <n v="1"/>
    <n v="0"/>
    <n v="103"/>
    <m/>
  </r>
  <r>
    <n v="1068"/>
    <d v="2024-11-15T10:30:55"/>
    <d v="2024-11-15T10:35:12"/>
    <s v="vngwira@lighthouse.org.mw"/>
    <s v="Vincent Ngwira"/>
    <x v="11"/>
    <s v="COE"/>
    <x v="1"/>
    <s v="COP_24"/>
    <s v="COP_24"/>
    <x v="0"/>
    <s v="Quarter1"/>
    <s v="Qtr_1"/>
    <s v="Oct"/>
    <d v="2024-10-01T00:00:00"/>
    <d v="2024-10-31T00:00:00"/>
    <x v="3"/>
    <n v="3"/>
    <n v="1"/>
    <n v="2"/>
    <n v="0"/>
    <n v="1"/>
    <n v="0"/>
    <n v="0"/>
    <n v="0"/>
    <n v="3"/>
    <n v="0"/>
    <n v="0"/>
    <n v="0"/>
    <n v="3"/>
    <n v="0"/>
    <n v="0"/>
    <n v="0"/>
    <n v="1"/>
    <n v="1"/>
    <n v="3"/>
    <n v="0"/>
    <n v="0"/>
    <n v="0"/>
    <n v="0"/>
    <n v="0"/>
    <n v="1"/>
    <m/>
  </r>
  <r>
    <n v="1069"/>
    <d v="2024-11-15T10:35:14"/>
    <d v="2024-11-15T10:36:54"/>
    <s v="vngwira@lighthouse.org.mw"/>
    <s v="Vincent Ngwira"/>
    <x v="11"/>
    <s v="COE"/>
    <x v="1"/>
    <s v="COP_24"/>
    <s v="COP_24"/>
    <x v="0"/>
    <s v="Quarter1"/>
    <s v="Qtr_1"/>
    <s v="Oct"/>
    <d v="2024-10-01T00:00:00"/>
    <d v="2024-10-31T00:00:00"/>
    <x v="4"/>
    <n v="6"/>
    <n v="1"/>
    <n v="2"/>
    <n v="0"/>
    <n v="3"/>
    <n v="1"/>
    <n v="6"/>
    <n v="2"/>
    <n v="5"/>
    <n v="0"/>
    <n v="0"/>
    <n v="0"/>
    <n v="5"/>
    <n v="1"/>
    <n v="0"/>
    <n v="0"/>
    <n v="0"/>
    <n v="0"/>
    <n v="5"/>
    <n v="1"/>
    <n v="2"/>
    <n v="0"/>
    <n v="0"/>
    <n v="0"/>
    <n v="3"/>
    <m/>
  </r>
  <r>
    <n v="1070"/>
    <d v="2024-11-15T10:36:56"/>
    <d v="2024-11-15T10:39:56"/>
    <s v="vngwira@lighthouse.org.mw"/>
    <s v="Vincent Ngwira"/>
    <x v="11"/>
    <s v="COE"/>
    <x v="1"/>
    <s v="COP_24"/>
    <s v="COP_24"/>
    <x v="0"/>
    <s v="Quarter1"/>
    <s v="Qtr_1"/>
    <s v="Oct"/>
    <d v="2024-10-01T00:00:00"/>
    <d v="2024-10-31T00:00:00"/>
    <x v="6"/>
    <n v="66"/>
    <n v="60"/>
    <n v="0"/>
    <n v="0"/>
    <n v="55"/>
    <n v="11"/>
    <n v="66"/>
    <n v="25"/>
    <n v="66"/>
    <n v="2"/>
    <n v="5"/>
    <n v="3"/>
    <n v="66"/>
    <n v="10"/>
    <n v="1"/>
    <n v="0"/>
    <n v="6"/>
    <n v="2"/>
    <n v="31"/>
    <n v="7"/>
    <n v="14"/>
    <n v="3"/>
    <n v="0"/>
    <n v="0"/>
    <n v="49"/>
    <m/>
  </r>
  <r>
    <n v="1072"/>
    <d v="2024-11-15T10:42:34"/>
    <d v="2024-11-15T10:44:06"/>
    <s v="vngwira@lighthouse.org.mw"/>
    <s v="Vincent Ngwira"/>
    <x v="11"/>
    <s v="COE"/>
    <x v="1"/>
    <s v="COP_24"/>
    <s v="COP_24"/>
    <x v="0"/>
    <s v="Quarter1"/>
    <s v="Qtr_1"/>
    <s v="Oct"/>
    <d v="2024-10-01T00:00:00"/>
    <d v="2024-10-31T00:00:00"/>
    <x v="5"/>
    <n v="21"/>
    <n v="1"/>
    <n v="19"/>
    <n v="0"/>
    <n v="2"/>
    <n v="0"/>
    <n v="21"/>
    <n v="8"/>
    <n v="10"/>
    <n v="0"/>
    <n v="0"/>
    <n v="0"/>
    <n v="10"/>
    <n v="0"/>
    <n v="1"/>
    <n v="0"/>
    <n v="2"/>
    <n v="1"/>
    <n v="6"/>
    <n v="0"/>
    <n v="0"/>
    <n v="0"/>
    <n v="0"/>
    <n v="0"/>
    <n v="8"/>
    <m/>
  </r>
  <r>
    <n v="1088"/>
    <d v="2024-11-21T08:39:56"/>
    <d v="2024-11-21T08:44:30"/>
    <s v="vngwira@lighthouse.org.mw"/>
    <s v="Vincent Ngwira"/>
    <x v="11"/>
    <s v="COE"/>
    <x v="1"/>
    <s v="COP_24"/>
    <s v="COP_24"/>
    <x v="0"/>
    <s v="Quarter1"/>
    <s v="Qtr_1"/>
    <s v="Oct"/>
    <d v="2024-10-01T00:00:00"/>
    <d v="2024-10-31T00:00:00"/>
    <x v="1"/>
    <n v="44"/>
    <n v="7"/>
    <n v="26"/>
    <n v="1"/>
    <n v="14"/>
    <n v="3"/>
    <n v="43"/>
    <n v="14"/>
    <n v="28"/>
    <n v="1"/>
    <n v="3"/>
    <n v="2"/>
    <n v="26"/>
    <n v="3"/>
    <n v="3"/>
    <n v="1"/>
    <n v="7"/>
    <n v="1"/>
    <n v="25"/>
    <n v="3"/>
    <n v="5"/>
    <n v="2"/>
    <n v="0"/>
    <n v="0"/>
    <n v="12"/>
    <m/>
  </r>
  <r>
    <n v="1156"/>
    <d v="2024-12-18T08:39:30"/>
    <d v="2024-12-18T08:45:45"/>
    <s v="vngwira@lighthouse.org.mw"/>
    <s v="Vincent Ngwira"/>
    <x v="11"/>
    <s v="COE"/>
    <x v="1"/>
    <s v="COP_24"/>
    <s v="COP_24"/>
    <x v="0"/>
    <s v="Quarter1"/>
    <s v="Qtr_1"/>
    <s v="Nov"/>
    <d v="2024-11-01T00:00:00"/>
    <d v="2024-11-30T00:00:00"/>
    <x v="0"/>
    <n v="147"/>
    <n v="56"/>
    <n v="65"/>
    <n v="2"/>
    <n v="72"/>
    <n v="8"/>
    <n v="142"/>
    <n v="45"/>
    <n v="91"/>
    <n v="0"/>
    <n v="4"/>
    <n v="0"/>
    <n v="85"/>
    <n v="6"/>
    <n v="10"/>
    <n v="1"/>
    <n v="17"/>
    <n v="4"/>
    <n v="52"/>
    <n v="7"/>
    <n v="9"/>
    <n v="0"/>
    <n v="0"/>
    <n v="0"/>
    <n v="85"/>
    <m/>
  </r>
  <r>
    <n v="1157"/>
    <d v="2024-12-18T08:45:50"/>
    <d v="2024-12-18T08:49:37"/>
    <s v="vngwira@lighthouse.org.mw"/>
    <s v="Vincent Ngwira"/>
    <x v="11"/>
    <s v="COE"/>
    <x v="1"/>
    <s v="COP_24"/>
    <s v="COP_24"/>
    <x v="0"/>
    <s v="Quarter1"/>
    <s v="Qtr_1"/>
    <s v="Nov"/>
    <d v="2024-11-01T00:00:00"/>
    <d v="2024-11-30T00:00:00"/>
    <x v="1"/>
    <n v="33"/>
    <n v="3"/>
    <n v="22"/>
    <n v="1"/>
    <n v="8"/>
    <n v="2"/>
    <n v="32"/>
    <n v="5"/>
    <n v="15"/>
    <n v="0"/>
    <n v="4"/>
    <n v="0"/>
    <n v="13"/>
    <n v="0"/>
    <n v="1"/>
    <n v="0"/>
    <n v="2"/>
    <n v="0"/>
    <n v="8"/>
    <n v="7"/>
    <n v="0"/>
    <n v="0"/>
    <n v="0"/>
    <n v="0"/>
    <n v="13"/>
    <m/>
  </r>
  <r>
    <n v="1158"/>
    <d v="2024-12-18T08:49:48"/>
    <d v="2024-12-18T08:51:26"/>
    <s v="vngwira@lighthouse.org.mw"/>
    <s v="Vincent Ngwira"/>
    <x v="11"/>
    <s v="COE"/>
    <x v="1"/>
    <s v="COP_24"/>
    <s v="COP_24"/>
    <x v="0"/>
    <s v="Quarter1"/>
    <s v="Qtr_1"/>
    <s v="Nov"/>
    <d v="2024-11-01T00:00:00"/>
    <d v="2024-11-30T00:00:00"/>
    <x v="3"/>
    <n v="1"/>
    <n v="1"/>
    <n v="0"/>
    <n v="0"/>
    <n v="0"/>
    <n v="1"/>
    <n v="0"/>
    <n v="0"/>
    <n v="1"/>
    <n v="0"/>
    <n v="0"/>
    <n v="0"/>
    <n v="1"/>
    <n v="0"/>
    <n v="0"/>
    <n v="0"/>
    <n v="0"/>
    <n v="0"/>
    <n v="1"/>
    <n v="1"/>
    <n v="1"/>
    <n v="0"/>
    <n v="0"/>
    <n v="0"/>
    <n v="0"/>
    <m/>
  </r>
  <r>
    <n v="1159"/>
    <d v="2024-12-18T08:51:28"/>
    <d v="2024-12-18T08:53:11"/>
    <s v="vngwira@lighthouse.org.mw"/>
    <s v="Vincent Ngwira"/>
    <x v="11"/>
    <s v="COE"/>
    <x v="1"/>
    <s v="COP_24"/>
    <s v="COP_24"/>
    <x v="0"/>
    <s v="Quarter1"/>
    <s v="Qtr_1"/>
    <s v="Nov"/>
    <d v="2024-11-01T00:00:00"/>
    <d v="2024-11-30T00:00:00"/>
    <x v="4"/>
    <n v="2"/>
    <n v="0"/>
    <n v="1"/>
    <n v="0"/>
    <n v="1"/>
    <n v="0"/>
    <n v="2"/>
    <n v="0"/>
    <n v="1"/>
    <n v="0"/>
    <n v="0"/>
    <n v="0"/>
    <n v="1"/>
    <n v="0"/>
    <n v="0"/>
    <n v="0"/>
    <n v="0"/>
    <n v="0"/>
    <n v="1"/>
    <n v="0"/>
    <n v="0"/>
    <n v="0"/>
    <n v="0"/>
    <n v="0"/>
    <n v="1"/>
    <m/>
  </r>
  <r>
    <n v="1160"/>
    <d v="2024-12-18T08:53:29"/>
    <d v="2024-12-18T08:55:19"/>
    <s v="vngwira@lighthouse.org.mw"/>
    <s v="Vincent Ngwira"/>
    <x v="11"/>
    <s v="COE"/>
    <x v="1"/>
    <s v="COP_24"/>
    <s v="COP_24"/>
    <x v="0"/>
    <s v="Quarter1"/>
    <s v="Qtr_1"/>
    <s v="Nov"/>
    <d v="2024-11-01T00:00:00"/>
    <d v="2024-11-30T00:00:00"/>
    <x v="5"/>
    <n v="19"/>
    <n v="0"/>
    <n v="16"/>
    <n v="0"/>
    <n v="3"/>
    <n v="0"/>
    <n v="19"/>
    <n v="3"/>
    <n v="6"/>
    <n v="0"/>
    <n v="0"/>
    <n v="0"/>
    <n v="6"/>
    <n v="0"/>
    <n v="0"/>
    <n v="0"/>
    <n v="1"/>
    <n v="1"/>
    <n v="4"/>
    <n v="0"/>
    <n v="0"/>
    <n v="0"/>
    <n v="0"/>
    <n v="0"/>
    <n v="6"/>
    <m/>
  </r>
  <r>
    <n v="1161"/>
    <d v="2024-12-18T08:55:56"/>
    <d v="2024-12-18T08:58:52"/>
    <s v="vngwira@lighthouse.org.mw"/>
    <s v="Vincent Ngwira"/>
    <x v="11"/>
    <s v="COE"/>
    <x v="1"/>
    <s v="COP_24"/>
    <s v="COP_24"/>
    <x v="0"/>
    <s v="Quarter1"/>
    <s v="Qtr_1"/>
    <s v="Nov"/>
    <d v="2024-11-01T00:00:00"/>
    <d v="2024-11-30T00:00:00"/>
    <x v="2"/>
    <n v="32"/>
    <n v="2"/>
    <n v="22"/>
    <n v="1"/>
    <n v="7"/>
    <n v="2"/>
    <n v="32"/>
    <n v="13"/>
    <n v="4"/>
    <n v="0"/>
    <n v="1"/>
    <n v="0"/>
    <n v="15"/>
    <n v="2"/>
    <n v="2"/>
    <n v="0"/>
    <n v="3"/>
    <n v="1"/>
    <n v="12"/>
    <n v="12"/>
    <n v="3"/>
    <n v="0"/>
    <n v="0"/>
    <n v="0"/>
    <n v="13"/>
    <m/>
  </r>
  <r>
    <n v="1162"/>
    <d v="2024-12-18T08:58:55"/>
    <d v="2024-12-18T09:01:53"/>
    <s v="vngwira@lighthouse.org.mw"/>
    <s v="Vincent Ngwira"/>
    <x v="11"/>
    <s v="COE"/>
    <x v="1"/>
    <s v="COP_24"/>
    <s v="COP_24"/>
    <x v="0"/>
    <s v="Quarter1"/>
    <s v="Qtr_1"/>
    <s v="Nov"/>
    <d v="2024-11-01T00:00:00"/>
    <d v="2024-11-30T00:00:00"/>
    <x v="6"/>
    <n v="43"/>
    <n v="40"/>
    <n v="1"/>
    <n v="0"/>
    <n v="39"/>
    <n v="3"/>
    <n v="42"/>
    <n v="20"/>
    <n v="42"/>
    <n v="0"/>
    <n v="2"/>
    <n v="0"/>
    <n v="38"/>
    <n v="4"/>
    <n v="5"/>
    <n v="1"/>
    <n v="5"/>
    <n v="1"/>
    <n v="21"/>
    <n v="6"/>
    <n v="5"/>
    <n v="0"/>
    <n v="0"/>
    <n v="0"/>
    <n v="37"/>
    <m/>
  </r>
  <r>
    <n v="1306"/>
    <d v="2025-01-22T15:02:00"/>
    <d v="2025-01-22T15:08:13"/>
    <s v="vngwira@lighthouse.org.mw"/>
    <s v="Vincent Ngwira"/>
    <x v="11"/>
    <s v="COE"/>
    <x v="1"/>
    <s v="COP_24"/>
    <s v="COP_24"/>
    <x v="0"/>
    <s v="Quarter1"/>
    <s v="Qtr_1"/>
    <s v="Dec"/>
    <d v="2024-12-01T00:00:00"/>
    <d v="2024-12-31T00:00:00"/>
    <x v="1"/>
    <n v="30"/>
    <n v="12"/>
    <n v="15"/>
    <n v="1"/>
    <n v="8"/>
    <n v="6"/>
    <n v="30"/>
    <n v="19"/>
    <n v="22"/>
    <n v="0"/>
    <n v="0"/>
    <n v="0"/>
    <n v="21"/>
    <n v="0"/>
    <n v="3"/>
    <n v="0"/>
    <n v="2"/>
    <n v="2"/>
    <n v="18"/>
    <n v="2"/>
    <n v="5"/>
    <n v="0"/>
    <n v="0"/>
    <n v="0"/>
    <n v="15"/>
    <m/>
  </r>
  <r>
    <n v="1307"/>
    <d v="2025-01-22T15:08:18"/>
    <d v="2025-01-22T15:10:19"/>
    <s v="vngwira@lighthouse.org.mw"/>
    <s v="Vincent Ngwira"/>
    <x v="11"/>
    <s v="COE"/>
    <x v="1"/>
    <s v="COP_24"/>
    <s v="COP_24"/>
    <x v="0"/>
    <s v="Quarter1"/>
    <s v="Qtr_1"/>
    <s v="Dec"/>
    <d v="2024-12-01T00:00:00"/>
    <d v="2024-12-31T00:00:00"/>
    <x v="3"/>
    <n v="0"/>
    <n v="0"/>
    <n v="0"/>
    <n v="0"/>
    <n v="0"/>
    <n v="0"/>
    <n v="0"/>
    <n v="0"/>
    <n v="0"/>
    <n v="0"/>
    <n v="0"/>
    <n v="0"/>
    <n v="0"/>
    <n v="0"/>
    <n v="0"/>
    <n v="0"/>
    <n v="0"/>
    <n v="0"/>
    <n v="0"/>
    <n v="0"/>
    <n v="0"/>
    <n v="0"/>
    <n v="0"/>
    <n v="0"/>
    <n v="0"/>
    <m/>
  </r>
  <r>
    <n v="1308"/>
    <d v="2025-01-22T15:10:21"/>
    <d v="2025-01-22T15:17:45"/>
    <s v="vngwira@lighthouse.org.mw"/>
    <s v="Vincent Ngwira"/>
    <x v="11"/>
    <s v="COE"/>
    <x v="1"/>
    <s v="COP_24"/>
    <s v="COP_24"/>
    <x v="0"/>
    <s v="Quarter1"/>
    <s v="Qtr_1"/>
    <s v="Dec"/>
    <d v="2024-12-01T00:00:00"/>
    <d v="2024-12-31T00:00:00"/>
    <x v="4"/>
    <n v="0"/>
    <n v="0"/>
    <n v="0"/>
    <n v="0"/>
    <n v="0"/>
    <n v="0"/>
    <n v="0"/>
    <n v="0"/>
    <n v="0"/>
    <n v="0"/>
    <n v="0"/>
    <n v="0"/>
    <n v="0"/>
    <n v="0"/>
    <n v="0"/>
    <n v="0"/>
    <n v="0"/>
    <n v="0"/>
    <n v="0"/>
    <n v="0"/>
    <n v="0"/>
    <n v="0"/>
    <n v="0"/>
    <n v="0"/>
    <n v="0"/>
    <m/>
  </r>
  <r>
    <n v="1310"/>
    <d v="2025-01-22T15:18:58"/>
    <d v="2025-01-22T15:21:47"/>
    <s v="vngwira@lighthouse.org.mw"/>
    <s v="Vincent Ngwira"/>
    <x v="11"/>
    <s v="COE"/>
    <x v="1"/>
    <s v="COP_24"/>
    <s v="COP_24"/>
    <x v="0"/>
    <s v="Quarter1"/>
    <s v="Qtr_1"/>
    <s v="Dec"/>
    <d v="2024-12-01T00:00:00"/>
    <d v="2024-12-31T00:00:00"/>
    <x v="5"/>
    <n v="14"/>
    <n v="0"/>
    <n v="13"/>
    <n v="0"/>
    <n v="1"/>
    <n v="0"/>
    <n v="14"/>
    <n v="4"/>
    <n v="6"/>
    <n v="0"/>
    <n v="0"/>
    <n v="0"/>
    <n v="6"/>
    <n v="0"/>
    <n v="1"/>
    <n v="0"/>
    <n v="1"/>
    <n v="0"/>
    <n v="5"/>
    <n v="0"/>
    <n v="0"/>
    <n v="0"/>
    <n v="0"/>
    <n v="0"/>
    <n v="5"/>
    <m/>
  </r>
  <r>
    <n v="1311"/>
    <d v="2025-01-22T15:21:49"/>
    <d v="2025-01-22T15:24:05"/>
    <s v="vngwira@lighthouse.org.mw"/>
    <s v="Vincent Ngwira"/>
    <x v="11"/>
    <s v="COE"/>
    <x v="1"/>
    <s v="COP_24"/>
    <s v="COP_24"/>
    <x v="0"/>
    <s v="Quarter1"/>
    <s v="Qtr_1"/>
    <s v="Dec"/>
    <d v="2024-12-01T00:00:00"/>
    <d v="2024-12-31T00:00:00"/>
    <x v="2"/>
    <n v="28"/>
    <n v="2"/>
    <n v="25"/>
    <n v="0"/>
    <n v="2"/>
    <n v="1"/>
    <n v="28"/>
    <n v="7"/>
    <n v="9"/>
    <n v="0"/>
    <n v="0"/>
    <n v="0"/>
    <n v="9"/>
    <n v="1"/>
    <n v="0"/>
    <n v="0"/>
    <n v="0"/>
    <n v="0"/>
    <n v="5"/>
    <n v="5"/>
    <n v="0"/>
    <n v="0"/>
    <n v="0"/>
    <n v="0"/>
    <n v="8"/>
    <m/>
  </r>
  <r>
    <n v="1312"/>
    <d v="2025-01-22T15:24:07"/>
    <d v="2025-01-22T15:27:16"/>
    <s v="vngwira@lighthouse.org.mw"/>
    <s v="Vincent Ngwira"/>
    <x v="11"/>
    <s v="COE"/>
    <x v="1"/>
    <s v="COP_24"/>
    <s v="COP_24"/>
    <x v="0"/>
    <s v="Quarter1"/>
    <s v="Qtr_1"/>
    <s v="Dec"/>
    <d v="2024-12-01T00:00:00"/>
    <d v="2024-12-31T00:00:00"/>
    <x v="6"/>
    <n v="45"/>
    <n v="44"/>
    <n v="0"/>
    <n v="0"/>
    <n v="30"/>
    <n v="15"/>
    <n v="43"/>
    <n v="25"/>
    <n v="45"/>
    <n v="1"/>
    <n v="3"/>
    <n v="1"/>
    <n v="43"/>
    <n v="9"/>
    <n v="6"/>
    <n v="0"/>
    <n v="2"/>
    <n v="2"/>
    <n v="29"/>
    <n v="11"/>
    <n v="9"/>
    <n v="1"/>
    <n v="0"/>
    <n v="0"/>
    <n v="35"/>
    <m/>
  </r>
  <r>
    <n v="1314"/>
    <d v="2025-01-22T15:27:18"/>
    <d v="2025-01-22T15:41:08"/>
    <s v="vngwira@lighthouse.org.mw"/>
    <s v="Vincent Ngwira"/>
    <x v="11"/>
    <s v="COE"/>
    <x v="1"/>
    <s v="COP_24"/>
    <s v="COP_24"/>
    <x v="0"/>
    <s v="Quarter1"/>
    <s v="Qtr_1"/>
    <s v="Dec"/>
    <d v="2024-12-01T00:00:00"/>
    <d v="2024-12-31T00:00:00"/>
    <x v="0"/>
    <n v="124"/>
    <n v="57"/>
    <n v="63"/>
    <n v="3"/>
    <n v="38"/>
    <n v="20"/>
    <n v="121"/>
    <n v="50"/>
    <n v="88"/>
    <n v="2"/>
    <n v="4"/>
    <n v="2"/>
    <n v="84"/>
    <n v="13"/>
    <n v="9"/>
    <n v="0"/>
    <n v="5"/>
    <n v="4"/>
    <n v="54"/>
    <n v="12"/>
    <n v="15"/>
    <n v="3"/>
    <n v="0"/>
    <n v="0"/>
    <n v="67"/>
    <m/>
  </r>
  <r>
    <n v="1553"/>
    <d v="2025-04-29T11:13:49"/>
    <d v="2025-04-29T11:20:09"/>
    <s v="vngwira@lighthouse.org.mw"/>
    <s v="Vincent Ngwira"/>
    <x v="11"/>
    <s v="COE"/>
    <x v="2"/>
    <s v="COP_24"/>
    <s v="COP_24"/>
    <x v="2"/>
    <s v="Quarter2"/>
    <s v="Qtr_2"/>
    <s v="Jan"/>
    <d v="2025-01-01T00:00:00"/>
    <d v="2025-01-31T00:00:00"/>
    <x v="0"/>
    <n v="163"/>
    <n v="138"/>
    <n v="74"/>
    <n v="0"/>
    <n v="76"/>
    <n v="13"/>
    <n v="155"/>
    <n v="56"/>
    <n v="99"/>
    <n v="1"/>
    <n v="1"/>
    <n v="1"/>
    <n v="90"/>
    <n v="6"/>
    <n v="6"/>
    <n v="0"/>
    <n v="5"/>
    <n v="4"/>
    <n v="62"/>
    <n v="5"/>
    <n v="10"/>
    <n v="1"/>
    <n v="0"/>
    <n v="1"/>
    <n v="94"/>
    <m/>
  </r>
  <r>
    <n v="1554"/>
    <d v="2025-04-29T11:21:12"/>
    <d v="2025-04-29T11:24:17"/>
    <s v="vngwira@lighthouse.org.mw"/>
    <s v="Vincent Ngwira"/>
    <x v="11"/>
    <s v="COE"/>
    <x v="2"/>
    <s v="COP_24"/>
    <s v="COP_24"/>
    <x v="2"/>
    <s v="Quarter2"/>
    <s v="Qtr_2"/>
    <s v="Jan"/>
    <d v="2025-01-01T00:00:00"/>
    <d v="2025-01-31T00:00:00"/>
    <x v="6"/>
    <n v="36"/>
    <n v="32"/>
    <n v="0"/>
    <n v="0"/>
    <n v="30"/>
    <n v="6"/>
    <n v="34"/>
    <n v="17"/>
    <n v="36"/>
    <n v="1"/>
    <n v="1"/>
    <n v="1"/>
    <n v="31"/>
    <n v="3"/>
    <n v="1"/>
    <n v="0"/>
    <n v="0"/>
    <n v="0"/>
    <n v="26"/>
    <n v="4"/>
    <n v="6"/>
    <n v="1"/>
    <n v="0"/>
    <n v="0"/>
    <n v="29"/>
    <m/>
  </r>
  <r>
    <n v="1555"/>
    <d v="2025-04-29T11:24:35"/>
    <d v="2025-04-29T11:26:09"/>
    <s v="vngwira@lighthouse.org.mw"/>
    <s v="Vincent Ngwira"/>
    <x v="11"/>
    <s v="COE"/>
    <x v="2"/>
    <s v="COP_24"/>
    <s v="COP_24"/>
    <x v="2"/>
    <s v="Quarter2"/>
    <s v="Qtr_2"/>
    <s v="Jan"/>
    <d v="2025-01-01T00:00:00"/>
    <d v="2025-01-30T00:00:00"/>
    <x v="3"/>
    <n v="2"/>
    <n v="1"/>
    <n v="2"/>
    <n v="0"/>
    <n v="0"/>
    <n v="0"/>
    <n v="0"/>
    <n v="0"/>
    <n v="2"/>
    <n v="0"/>
    <n v="0"/>
    <n v="0"/>
    <n v="2"/>
    <n v="0"/>
    <n v="0"/>
    <n v="0"/>
    <n v="0"/>
    <n v="0"/>
    <n v="1"/>
    <n v="0"/>
    <n v="0"/>
    <n v="0"/>
    <n v="0"/>
    <n v="0"/>
    <n v="1"/>
    <m/>
  </r>
  <r>
    <n v="1556"/>
    <d v="2025-04-29T11:26:39"/>
    <d v="2025-04-29T11:28:07"/>
    <s v="vngwira@lighthouse.org.mw"/>
    <s v="Vincent Ngwira"/>
    <x v="11"/>
    <s v="COE"/>
    <x v="2"/>
    <s v="COP_24"/>
    <s v="COP_24"/>
    <x v="2"/>
    <s v="Quarter2"/>
    <s v="Qtr_2"/>
    <s v="Jan"/>
    <d v="2025-01-01T00:00:00"/>
    <d v="2025-01-31T00:00:00"/>
    <x v="4"/>
    <n v="8"/>
    <n v="3"/>
    <n v="4"/>
    <n v="1"/>
    <n v="3"/>
    <n v="0"/>
    <n v="8"/>
    <n v="5"/>
    <n v="7"/>
    <n v="0"/>
    <n v="0"/>
    <n v="0"/>
    <n v="7"/>
    <n v="0"/>
    <n v="0"/>
    <n v="0"/>
    <n v="0"/>
    <n v="0"/>
    <n v="4"/>
    <n v="4"/>
    <n v="0"/>
    <n v="0"/>
    <n v="0"/>
    <n v="0"/>
    <n v="6"/>
    <m/>
  </r>
  <r>
    <n v="1557"/>
    <d v="2025-04-29T11:28:30"/>
    <d v="2025-04-29T11:30:25"/>
    <s v="vngwira@lighthouse.org.mw"/>
    <s v="Vincent Ngwira"/>
    <x v="11"/>
    <s v="COE"/>
    <x v="2"/>
    <s v="COP_24"/>
    <s v="COP_24"/>
    <x v="2"/>
    <s v="Quarter2"/>
    <s v="Qtr_2"/>
    <s v="Jan"/>
    <d v="2025-01-01T00:00:00"/>
    <d v="2025-01-31T00:00:00"/>
    <x v="5"/>
    <n v="24"/>
    <n v="1"/>
    <n v="23"/>
    <n v="0"/>
    <n v="0"/>
    <n v="1"/>
    <n v="23"/>
    <n v="10"/>
    <n v="10"/>
    <n v="0"/>
    <n v="0"/>
    <n v="0"/>
    <n v="7"/>
    <n v="0"/>
    <n v="0"/>
    <n v="0"/>
    <n v="0"/>
    <n v="0"/>
    <n v="3"/>
    <n v="2"/>
    <n v="1"/>
    <n v="0"/>
    <n v="0"/>
    <n v="0"/>
    <n v="1"/>
    <m/>
  </r>
  <r>
    <n v="1558"/>
    <d v="2025-04-29T11:30:43"/>
    <d v="2025-04-29T11:32:53"/>
    <s v="vngwira@lighthouse.org.mw"/>
    <s v="Vincent Ngwira"/>
    <x v="11"/>
    <s v="COE"/>
    <x v="2"/>
    <s v="COP_24"/>
    <s v="COP_24"/>
    <x v="2"/>
    <s v="Quarter2"/>
    <s v="Qtr_2"/>
    <s v="Jan"/>
    <d v="2025-01-01T00:00:00"/>
    <d v="2025-01-31T00:00:00"/>
    <x v="2"/>
    <n v="34"/>
    <n v="6"/>
    <n v="25"/>
    <n v="0"/>
    <n v="7"/>
    <n v="2"/>
    <n v="32"/>
    <n v="4"/>
    <n v="12"/>
    <n v="0"/>
    <n v="0"/>
    <n v="0"/>
    <n v="11"/>
    <n v="0"/>
    <n v="1"/>
    <n v="0"/>
    <n v="1"/>
    <n v="0"/>
    <n v="4"/>
    <n v="1"/>
    <n v="1"/>
    <n v="0"/>
    <n v="0"/>
    <n v="0"/>
    <n v="11"/>
    <m/>
  </r>
  <r>
    <n v="1559"/>
    <d v="2025-04-29T11:33:12"/>
    <d v="2025-04-29T11:36:32"/>
    <s v="vngwira@lighthouse.org.mw"/>
    <s v="Vincent Ngwira"/>
    <x v="11"/>
    <s v="COE"/>
    <x v="2"/>
    <s v="COP_24"/>
    <s v="COP_24"/>
    <x v="2"/>
    <s v="Quarter2"/>
    <s v="Qtr_2"/>
    <s v="Jan"/>
    <d v="2025-01-01T00:00:00"/>
    <d v="2025-01-31T00:00:00"/>
    <x v="1"/>
    <n v="36"/>
    <n v="8"/>
    <n v="22"/>
    <n v="1"/>
    <n v="12"/>
    <n v="1"/>
    <n v="36"/>
    <n v="15"/>
    <n v="0"/>
    <n v="0"/>
    <n v="0"/>
    <n v="0"/>
    <n v="16"/>
    <n v="1"/>
    <n v="2"/>
    <n v="0"/>
    <n v="0"/>
    <n v="0"/>
    <n v="14"/>
    <n v="0"/>
    <n v="1"/>
    <n v="0"/>
    <n v="0"/>
    <n v="0"/>
    <n v="18"/>
    <m/>
  </r>
  <r>
    <n v="1589"/>
    <d v="2025-05-07T08:48:20"/>
    <d v="2025-05-07T09:19:09"/>
    <s v="vngwira@lighthouse.org.mw"/>
    <s v="Vincent Ngwira"/>
    <x v="11"/>
    <s v="COE"/>
    <x v="2"/>
    <s v="COP_24"/>
    <m/>
    <x v="2"/>
    <s v="Quarter2"/>
    <m/>
    <s v="Feb"/>
    <d v="2025-02-01T00:00:00"/>
    <d v="2025-02-28T00:00:00"/>
    <x v="0"/>
    <n v="134"/>
    <n v="45"/>
    <n v="56"/>
    <n v="1"/>
    <n v="64"/>
    <n v="13"/>
    <n v="130"/>
    <n v="48"/>
    <n v="63"/>
    <n v="0"/>
    <n v="2"/>
    <n v="1"/>
    <n v="67"/>
    <n v="9"/>
    <n v="9"/>
    <n v="2"/>
    <n v="5"/>
    <n v="3"/>
    <n v="52"/>
    <n v="3"/>
    <n v="13"/>
    <n v="1"/>
    <n v="0"/>
    <n v="0"/>
    <n v="78"/>
    <m/>
  </r>
  <r>
    <n v="1590"/>
    <d v="2025-05-07T09:19:14"/>
    <d v="2025-05-07T09:22:05"/>
    <s v="vngwira@lighthouse.org.mw"/>
    <s v="Vincent Ngwira"/>
    <x v="11"/>
    <s v="COE"/>
    <x v="2"/>
    <s v="COP_24"/>
    <m/>
    <x v="2"/>
    <s v="Quarter2"/>
    <m/>
    <s v="Feb"/>
    <d v="2025-02-01T00:00:00"/>
    <d v="2025-02-28T00:00:00"/>
    <x v="6"/>
    <n v="29"/>
    <n v="29"/>
    <n v="0"/>
    <n v="0"/>
    <n v="22"/>
    <n v="7"/>
    <n v="28"/>
    <n v="12"/>
    <n v="29"/>
    <n v="0"/>
    <n v="0"/>
    <n v="0"/>
    <n v="23"/>
    <n v="5"/>
    <n v="0"/>
    <n v="0"/>
    <n v="1"/>
    <n v="1"/>
    <n v="14"/>
    <n v="1"/>
    <n v="6"/>
    <n v="0"/>
    <n v="0"/>
    <n v="0"/>
    <n v="23"/>
    <m/>
  </r>
  <r>
    <n v="1591"/>
    <d v="2025-05-07T09:22:26"/>
    <d v="2025-05-07T09:23:51"/>
    <s v="vngwira@lighthouse.org.mw"/>
    <s v="Vincent Ngwira"/>
    <x v="11"/>
    <s v="COE"/>
    <x v="2"/>
    <s v="COP_24"/>
    <m/>
    <x v="2"/>
    <s v="Quarter2"/>
    <m/>
    <s v="Feb"/>
    <d v="2025-02-01T00:00:00"/>
    <d v="2025-02-28T00:00:00"/>
    <x v="3"/>
    <n v="3"/>
    <n v="2"/>
    <n v="1"/>
    <n v="0"/>
    <n v="1"/>
    <n v="1"/>
    <n v="0"/>
    <n v="0"/>
    <n v="3"/>
    <n v="0"/>
    <n v="0"/>
    <n v="0"/>
    <n v="2"/>
    <n v="0"/>
    <n v="0"/>
    <n v="0"/>
    <n v="0"/>
    <n v="0"/>
    <n v="3"/>
    <n v="0"/>
    <n v="0"/>
    <n v="0"/>
    <n v="0"/>
    <n v="0"/>
    <n v="1"/>
    <m/>
  </r>
  <r>
    <n v="1592"/>
    <d v="2025-05-07T09:24:14"/>
    <d v="2025-05-07T09:26:28"/>
    <s v="vngwira@lighthouse.org.mw"/>
    <s v="Vincent Ngwira"/>
    <x v="11"/>
    <s v="COE"/>
    <x v="2"/>
    <s v="COP_24"/>
    <m/>
    <x v="2"/>
    <s v="Quarter2"/>
    <m/>
    <s v="Feb"/>
    <d v="2025-02-01T00:00:00"/>
    <d v="2025-02-28T00:00:00"/>
    <x v="4"/>
    <n v="3"/>
    <n v="1"/>
    <n v="1"/>
    <n v="0"/>
    <n v="1"/>
    <n v="1"/>
    <n v="3"/>
    <n v="0"/>
    <n v="1"/>
    <n v="0"/>
    <n v="0"/>
    <n v="0"/>
    <n v="1"/>
    <n v="0"/>
    <n v="0"/>
    <n v="0"/>
    <n v="0"/>
    <n v="0"/>
    <n v="0"/>
    <n v="0"/>
    <n v="0"/>
    <n v="0"/>
    <n v="0"/>
    <n v="0"/>
    <n v="0"/>
    <m/>
  </r>
  <r>
    <n v="1593"/>
    <d v="2025-05-07T09:26:50"/>
    <d v="2025-05-07T09:28:58"/>
    <s v="vngwira@lighthouse.org.mw"/>
    <s v="Vincent Ngwira"/>
    <x v="11"/>
    <s v="COE"/>
    <x v="2"/>
    <s v="COP_24"/>
    <s v="COP_24"/>
    <x v="2"/>
    <s v="Quarter2"/>
    <s v="Qtr_2"/>
    <s v="Feb"/>
    <d v="2025-02-01T00:00:00"/>
    <d v="2025-02-28T00:00:00"/>
    <x v="2"/>
    <n v="30"/>
    <n v="3"/>
    <n v="23"/>
    <n v="0"/>
    <n v="6"/>
    <n v="1"/>
    <n v="30"/>
    <n v="7"/>
    <n v="7"/>
    <n v="0"/>
    <n v="0"/>
    <n v="0"/>
    <n v="7"/>
    <n v="1"/>
    <n v="0"/>
    <n v="0"/>
    <n v="0"/>
    <n v="0"/>
    <n v="7"/>
    <n v="0"/>
    <n v="1"/>
    <n v="0"/>
    <n v="0"/>
    <n v="0"/>
    <n v="7"/>
    <m/>
  </r>
  <r>
    <n v="1594"/>
    <d v="2025-05-07T09:29:21"/>
    <d v="2025-05-07T09:32:23"/>
    <s v="vngwira@lighthouse.org.mw"/>
    <s v="Vincent Ngwira"/>
    <x v="11"/>
    <s v="COE"/>
    <x v="2"/>
    <s v="COP_24"/>
    <m/>
    <x v="2"/>
    <s v="Quarter2"/>
    <m/>
    <s v="Feb"/>
    <d v="2025-02-01T00:00:00"/>
    <d v="2025-02-28T00:00:00"/>
    <x v="1"/>
    <n v="31"/>
    <n v="9"/>
    <n v="14"/>
    <n v="1"/>
    <n v="13"/>
    <n v="3"/>
    <n v="29"/>
    <n v="18"/>
    <n v="16"/>
    <n v="1"/>
    <n v="5"/>
    <n v="1"/>
    <n v="19"/>
    <n v="3"/>
    <n v="4"/>
    <n v="1"/>
    <n v="2"/>
    <n v="1"/>
    <n v="18"/>
    <n v="16"/>
    <n v="5"/>
    <n v="1"/>
    <n v="0"/>
    <n v="0"/>
    <n v="25"/>
    <m/>
  </r>
  <r>
    <n v="1595"/>
    <d v="2025-05-07T09:33:13"/>
    <d v="2025-05-07T09:36:01"/>
    <s v="vngwira@lighthouse.org.mw"/>
    <s v="Vincent Ngwira"/>
    <x v="11"/>
    <s v="COE"/>
    <x v="2"/>
    <s v="COP_24"/>
    <m/>
    <x v="2"/>
    <s v="Quarter2"/>
    <m/>
    <s v="Feb"/>
    <d v="2025-02-01T00:00:00"/>
    <d v="2025-02-28T00:00:00"/>
    <x v="5"/>
    <n v="22"/>
    <n v="0"/>
    <n v="20"/>
    <n v="0"/>
    <n v="1"/>
    <n v="1"/>
    <n v="22"/>
    <n v="6"/>
    <n v="5"/>
    <n v="0"/>
    <n v="0"/>
    <n v="0"/>
    <n v="7"/>
    <n v="1"/>
    <n v="1"/>
    <n v="0"/>
    <n v="1"/>
    <n v="0"/>
    <n v="5"/>
    <n v="0"/>
    <n v="1"/>
    <n v="0"/>
    <n v="0"/>
    <n v="0"/>
    <n v="7"/>
    <m/>
  </r>
  <r>
    <n v="1596"/>
    <d v="2025-05-07T09:36:23"/>
    <d v="2025-05-07T09:44:18"/>
    <s v="vngwira@lighthouse.org.mw"/>
    <s v="Vincent Ngwira"/>
    <x v="11"/>
    <s v="COE"/>
    <x v="2"/>
    <s v="COP_24"/>
    <m/>
    <x v="2"/>
    <s v="Quarter2"/>
    <m/>
    <s v="Mar"/>
    <d v="2025-03-01T00:00:00"/>
    <d v="2025-03-31T00:00:00"/>
    <x v="0"/>
    <n v="137"/>
    <n v="69"/>
    <n v="43"/>
    <n v="1"/>
    <n v="72"/>
    <n v="21"/>
    <n v="98"/>
    <n v="28"/>
    <n v="60"/>
    <n v="2"/>
    <n v="2"/>
    <n v="1"/>
    <n v="35"/>
    <n v="6"/>
    <n v="14"/>
    <n v="3"/>
    <n v="8"/>
    <n v="3"/>
    <n v="59"/>
    <n v="8"/>
    <n v="17"/>
    <n v="1"/>
    <n v="1"/>
    <n v="1"/>
    <n v="76"/>
    <m/>
  </r>
  <r>
    <n v="1600"/>
    <d v="2025-05-07T11:28:25"/>
    <d v="2025-05-07T11:28:35"/>
    <s v="vngwira@lighthouse.org.mw"/>
    <s v="Vincent Ngwira"/>
    <x v="11"/>
    <s v="COE"/>
    <x v="2"/>
    <s v="COP_24"/>
    <m/>
    <x v="2"/>
    <s v="Quarter2"/>
    <m/>
    <s v="Mar"/>
    <d v="2025-03-01T00:00:00"/>
    <d v="2025-03-31T00:00:00"/>
    <x v="6"/>
    <n v="48"/>
    <n v="48"/>
    <n v="0"/>
    <n v="0"/>
    <n v="34"/>
    <n v="14"/>
    <n v="29"/>
    <n v="11"/>
    <n v="30"/>
    <n v="0"/>
    <n v="0"/>
    <n v="0"/>
    <n v="16"/>
    <n v="1"/>
    <n v="1"/>
    <n v="1"/>
    <n v="4"/>
    <n v="3"/>
    <n v="20"/>
    <n v="6"/>
    <n v="9"/>
    <n v="0"/>
    <n v="0"/>
    <n v="0"/>
    <n v="39"/>
    <m/>
  </r>
  <r>
    <n v="1603"/>
    <d v="2025-05-07T13:19:33"/>
    <d v="2025-05-07T13:20:12"/>
    <s v="vngwira@lighthouse.org.mw"/>
    <s v="Vincent Ngwira"/>
    <x v="11"/>
    <s v="COE"/>
    <x v="2"/>
    <s v="COP_24"/>
    <m/>
    <x v="2"/>
    <s v="Quarter2"/>
    <m/>
    <s v="Mar"/>
    <d v="2025-03-01T00:00:00"/>
    <d v="2025-03-31T00:00:00"/>
    <x v="3"/>
    <n v="0"/>
    <n v="0"/>
    <n v="0"/>
    <n v="0"/>
    <n v="0"/>
    <n v="0"/>
    <n v="0"/>
    <n v="0"/>
    <n v="0"/>
    <n v="0"/>
    <n v="0"/>
    <n v="0"/>
    <n v="0"/>
    <n v="0"/>
    <n v="0"/>
    <n v="0"/>
    <n v="0"/>
    <n v="0"/>
    <n v="0"/>
    <n v="0"/>
    <n v="0"/>
    <n v="0"/>
    <n v="0"/>
    <n v="0"/>
    <n v="0"/>
    <m/>
  </r>
  <r>
    <n v="1604"/>
    <d v="2025-05-07T13:20:14"/>
    <d v="2025-05-07T13:22:18"/>
    <s v="vngwira@lighthouse.org.mw"/>
    <s v="Vincent Ngwira"/>
    <x v="11"/>
    <s v="COE"/>
    <x v="2"/>
    <s v="COP_24"/>
    <m/>
    <x v="2"/>
    <s v="Quarter2"/>
    <m/>
    <s v="Mar"/>
    <d v="2025-03-01T00:00:00"/>
    <d v="2025-03-31T00:00:00"/>
    <x v="4"/>
    <n v="2"/>
    <n v="2"/>
    <n v="0"/>
    <n v="0"/>
    <n v="2"/>
    <n v="0"/>
    <n v="2"/>
    <n v="1"/>
    <n v="0"/>
    <n v="0"/>
    <n v="0"/>
    <n v="0"/>
    <n v="2"/>
    <n v="0"/>
    <n v="0"/>
    <n v="0"/>
    <n v="0"/>
    <n v="0"/>
    <n v="2"/>
    <n v="2"/>
    <n v="0"/>
    <n v="0"/>
    <n v="0"/>
    <n v="0"/>
    <n v="2"/>
    <m/>
  </r>
  <r>
    <n v="1605"/>
    <d v="2025-05-07T13:23:08"/>
    <d v="2025-05-07T13:25:56"/>
    <s v="vngwira@lighthouse.org.mw"/>
    <s v="Vincent Ngwira"/>
    <x v="11"/>
    <s v="COE"/>
    <x v="2"/>
    <s v="COP_24"/>
    <m/>
    <x v="2"/>
    <s v="Quarter2"/>
    <m/>
    <s v="Mar"/>
    <d v="2025-03-01T00:00:00"/>
    <d v="2025-03-31T00:00:00"/>
    <x v="1"/>
    <n v="38"/>
    <n v="15"/>
    <n v="16"/>
    <n v="0"/>
    <n v="15"/>
    <n v="7"/>
    <n v="31"/>
    <n v="14"/>
    <n v="14"/>
    <n v="1"/>
    <n v="1"/>
    <n v="0"/>
    <n v="10"/>
    <n v="1"/>
    <n v="8"/>
    <n v="2"/>
    <n v="4"/>
    <n v="4"/>
    <n v="16"/>
    <n v="1"/>
    <n v="5"/>
    <n v="0"/>
    <n v="1"/>
    <n v="1"/>
    <n v="16"/>
    <m/>
  </r>
  <r>
    <n v="1606"/>
    <d v="2025-05-07T13:26:16"/>
    <d v="2025-05-07T13:27:42"/>
    <s v="vngwira@lighthouse.org.mw"/>
    <s v="Vincent Ngwira"/>
    <x v="11"/>
    <s v="COE"/>
    <x v="2"/>
    <s v="COP_24"/>
    <m/>
    <x v="2"/>
    <s v="Quarter2"/>
    <m/>
    <s v="Mar"/>
    <d v="2025-03-01T00:00:00"/>
    <d v="2025-03-31T00:00:00"/>
    <x v="5"/>
    <n v="14"/>
    <n v="2"/>
    <n v="11"/>
    <n v="0"/>
    <n v="3"/>
    <n v="0"/>
    <n v="13"/>
    <n v="0"/>
    <n v="1"/>
    <n v="0"/>
    <n v="0"/>
    <n v="0"/>
    <n v="1"/>
    <n v="1"/>
    <n v="1"/>
    <n v="0"/>
    <n v="0"/>
    <n v="0"/>
    <n v="3"/>
    <n v="0"/>
    <n v="1"/>
    <n v="0"/>
    <n v="0"/>
    <n v="0"/>
    <n v="3"/>
    <m/>
  </r>
  <r>
    <n v="1607"/>
    <d v="2025-05-07T13:28:09"/>
    <d v="2025-05-07T13:29:46"/>
    <s v="vngwira@lighthouse.org.mw"/>
    <s v="Vincent Ngwira"/>
    <x v="11"/>
    <s v="COE"/>
    <x v="2"/>
    <s v="COP_24"/>
    <m/>
    <x v="2"/>
    <s v="Quarter2"/>
    <m/>
    <s v="Mar"/>
    <d v="2025-03-01T00:00:00"/>
    <d v="2025-03-31T00:00:00"/>
    <x v="2"/>
    <n v="30"/>
    <n v="2"/>
    <n v="25"/>
    <n v="1"/>
    <n v="3"/>
    <n v="1"/>
    <n v="26"/>
    <n v="3"/>
    <n v="3"/>
    <n v="0"/>
    <n v="0"/>
    <n v="0"/>
    <n v="3"/>
    <n v="1"/>
    <n v="2"/>
    <n v="1"/>
    <n v="0"/>
    <n v="0"/>
    <n v="4"/>
    <n v="0"/>
    <n v="2"/>
    <n v="0"/>
    <n v="0"/>
    <n v="0"/>
    <n v="3"/>
    <m/>
  </r>
  <r>
    <n v="9"/>
    <d v="2023-12-16T12:09:45"/>
    <d v="2023-12-16T13:10:47"/>
    <s v="anhlema@lighthouse.org.mw"/>
    <s v="Angelina Nhlema"/>
    <x v="12"/>
    <s v="COE"/>
    <x v="0"/>
    <s v="COP_22"/>
    <s v="COP_22"/>
    <x v="1"/>
    <s v="Quarter4"/>
    <s v="Qtr_4"/>
    <s v="Sep"/>
    <d v="2023-09-01T00:00:00"/>
    <d v="2023-09-30T00:00:00"/>
    <x v="0"/>
    <n v="168"/>
    <n v="79"/>
    <n v="108"/>
    <n v="10"/>
    <n v="29"/>
    <n v="21"/>
    <n v="161"/>
    <n v="54"/>
    <n v="57"/>
    <n v="1"/>
    <n v="3"/>
    <n v="1"/>
    <n v="75"/>
    <n v="18"/>
    <n v="62"/>
    <n v="2"/>
    <n v="63"/>
    <n v="6"/>
    <n v="56"/>
    <n v="1"/>
    <n v="8"/>
    <n v="1"/>
    <n v="0"/>
    <n v="1"/>
    <n v="158"/>
    <m/>
  </r>
  <r>
    <n v="10"/>
    <d v="2023-12-16T13:10:53"/>
    <d v="2023-12-16T13:18:34"/>
    <s v="anhlema@lighthouse.org.mw"/>
    <s v="Angelina Nhlema"/>
    <x v="12"/>
    <s v="COE"/>
    <x v="0"/>
    <s v="COP_22"/>
    <s v="COP_22"/>
    <x v="1"/>
    <s v="Quarter4"/>
    <s v="Qtr_4"/>
    <s v="Sep"/>
    <d v="2023-09-01T00:00:00"/>
    <d v="2023-09-30T00:00:00"/>
    <x v="6"/>
    <n v="1"/>
    <n v="1"/>
    <n v="1"/>
    <n v="0"/>
    <n v="0"/>
    <n v="0"/>
    <n v="1"/>
    <n v="1"/>
    <n v="0"/>
    <n v="0"/>
    <n v="0"/>
    <n v="0"/>
    <n v="0"/>
    <n v="0"/>
    <n v="0"/>
    <n v="0"/>
    <n v="0"/>
    <n v="0"/>
    <n v="0"/>
    <n v="0"/>
    <n v="0"/>
    <n v="0"/>
    <n v="0"/>
    <n v="0"/>
    <n v="0"/>
    <m/>
  </r>
  <r>
    <n v="11"/>
    <d v="2023-12-16T13:18:47"/>
    <d v="2023-12-16T14:32:51"/>
    <s v="anhlema@lighthouse.org.mw"/>
    <s v="Angelina Nhlema"/>
    <x v="12"/>
    <s v="COE"/>
    <x v="0"/>
    <s v="COP_23"/>
    <s v="COP_23"/>
    <x v="0"/>
    <s v="Quarter1"/>
    <s v="Qtr_1"/>
    <s v="Oct"/>
    <d v="2023-10-01T00:00:00"/>
    <d v="2023-10-31T00:00:00"/>
    <x v="6"/>
    <n v="34"/>
    <n v="32"/>
    <n v="10"/>
    <n v="9"/>
    <n v="11"/>
    <n v="4"/>
    <n v="31"/>
    <n v="13"/>
    <n v="14"/>
    <n v="1"/>
    <n v="5"/>
    <n v="1"/>
    <n v="18"/>
    <n v="7"/>
    <n v="3"/>
    <n v="0"/>
    <n v="6"/>
    <n v="2"/>
    <n v="6"/>
    <n v="1"/>
    <n v="4"/>
    <n v="1"/>
    <n v="0"/>
    <n v="0"/>
    <n v="29"/>
    <m/>
  </r>
  <r>
    <n v="12"/>
    <d v="2023-12-16T15:11:50"/>
    <d v="2023-12-16T15:19:05"/>
    <s v="anhlema@lighthouse.org.mw"/>
    <s v="Angelina Nhlema"/>
    <x v="12"/>
    <s v="COE"/>
    <x v="0"/>
    <s v="COP_23"/>
    <s v="COP_23"/>
    <x v="0"/>
    <s v="Quarter1"/>
    <s v="Qtr_1"/>
    <s v="Oct"/>
    <d v="2023-10-01T00:00:00"/>
    <d v="2023-10-31T00:00:00"/>
    <x v="0"/>
    <n v="188"/>
    <n v="58"/>
    <n v="115"/>
    <n v="2"/>
    <n v="40"/>
    <n v="30"/>
    <n v="179"/>
    <n v="49"/>
    <n v="51"/>
    <n v="4"/>
    <n v="5"/>
    <n v="0"/>
    <n v="82"/>
    <n v="15"/>
    <n v="32"/>
    <n v="1"/>
    <n v="48"/>
    <n v="4"/>
    <n v="56"/>
    <n v="1"/>
    <n v="7"/>
    <n v="0"/>
    <n v="4"/>
    <n v="1"/>
    <n v="177"/>
    <m/>
  </r>
  <r>
    <n v="13"/>
    <d v="2023-12-16T15:39:57"/>
    <d v="2023-12-16T15:40:12"/>
    <s v="anhlema@lighthouse.org.mw"/>
    <s v="Angelina Nhlema"/>
    <x v="12"/>
    <s v="COE"/>
    <x v="0"/>
    <s v="COP_23"/>
    <s v="COP_23"/>
    <x v="0"/>
    <s v="Quarter1"/>
    <s v="Qtr_1"/>
    <s v="Nov"/>
    <d v="2023-11-01T00:00:00"/>
    <d v="2023-11-30T00:00:00"/>
    <x v="6"/>
    <n v="26"/>
    <n v="26"/>
    <n v="0"/>
    <n v="20"/>
    <n v="3"/>
    <n v="3"/>
    <n v="24"/>
    <n v="9"/>
    <n v="18"/>
    <n v="0"/>
    <n v="4"/>
    <n v="1"/>
    <n v="13"/>
    <n v="2"/>
    <n v="0"/>
    <n v="0"/>
    <n v="1"/>
    <n v="0"/>
    <n v="9"/>
    <n v="0"/>
    <n v="0"/>
    <n v="0"/>
    <n v="0"/>
    <n v="0"/>
    <n v="26"/>
    <m/>
  </r>
  <r>
    <n v="14"/>
    <d v="2023-12-16T15:40:15"/>
    <d v="2023-12-16T15:54:12"/>
    <s v="anhlema@lighthouse.org.mw"/>
    <s v="Angelina Nhlema"/>
    <x v="12"/>
    <s v="COE"/>
    <x v="0"/>
    <s v="COP_23"/>
    <s v="COP_23"/>
    <x v="0"/>
    <s v="Quarter1"/>
    <s v="Qtr_1"/>
    <s v="Nov"/>
    <d v="2023-11-01T00:00:00"/>
    <d v="2023-11-30T00:00:00"/>
    <x v="0"/>
    <n v="182"/>
    <n v="75"/>
    <n v="95"/>
    <n v="26"/>
    <n v="38"/>
    <n v="23"/>
    <n v="179"/>
    <n v="46"/>
    <n v="57"/>
    <n v="5"/>
    <n v="13"/>
    <n v="5"/>
    <n v="69"/>
    <n v="7"/>
    <n v="24"/>
    <n v="0"/>
    <n v="40"/>
    <n v="1"/>
    <n v="40"/>
    <n v="1"/>
    <n v="3"/>
    <n v="2"/>
    <n v="3"/>
    <n v="0"/>
    <n v="174"/>
    <m/>
  </r>
  <r>
    <n v="81"/>
    <d v="2024-01-11T15:57:25"/>
    <d v="2024-01-11T16:08:41"/>
    <s v="cdziwe@lighthouse.org.mw"/>
    <s v="Clement Dziwe"/>
    <x v="12"/>
    <s v="COE"/>
    <x v="0"/>
    <s v="COP_23"/>
    <s v="COP_23"/>
    <x v="0"/>
    <s v="Quarter1"/>
    <s v="Qtr_1"/>
    <s v="Dec"/>
    <d v="2023-12-01T00:00:00"/>
    <d v="2023-12-31T00:00:00"/>
    <x v="3"/>
    <n v="8"/>
    <n v="5"/>
    <n v="2"/>
    <n v="1"/>
    <n v="3"/>
    <n v="2"/>
    <n v="3"/>
    <n v="0"/>
    <n v="4"/>
    <n v="0"/>
    <n v="0"/>
    <n v="0"/>
    <n v="7"/>
    <n v="2"/>
    <n v="0"/>
    <n v="0"/>
    <n v="0"/>
    <n v="0"/>
    <n v="0"/>
    <n v="0"/>
    <n v="2"/>
    <n v="0"/>
    <n v="0"/>
    <n v="0"/>
    <n v="6"/>
    <m/>
  </r>
  <r>
    <n v="94"/>
    <d v="2024-01-17T14:40:22"/>
    <d v="2024-01-17T15:23:30"/>
    <s v="cdziwe@lighthouse.org.mw"/>
    <s v="Clement Dziwe"/>
    <x v="12"/>
    <s v="COE"/>
    <x v="0"/>
    <s v="COP_23"/>
    <s v="COP_23"/>
    <x v="0"/>
    <s v="Quarter1"/>
    <s v="Qtr_1"/>
    <s v="Dec"/>
    <d v="2023-12-01T00:00:00"/>
    <d v="2023-12-31T00:00:00"/>
    <x v="6"/>
    <n v="20"/>
    <n v="20"/>
    <n v="1"/>
    <n v="2"/>
    <n v="17"/>
    <n v="0"/>
    <n v="20"/>
    <n v="7"/>
    <n v="9"/>
    <n v="1"/>
    <n v="1"/>
    <n v="1"/>
    <n v="11"/>
    <n v="1"/>
    <n v="0"/>
    <n v="0"/>
    <n v="0"/>
    <n v="0"/>
    <n v="7"/>
    <n v="0"/>
    <n v="0"/>
    <n v="1"/>
    <n v="0"/>
    <n v="0"/>
    <n v="6"/>
    <m/>
  </r>
  <r>
    <n v="95"/>
    <d v="2024-01-17T15:28:02"/>
    <d v="2024-01-17T15:30:13"/>
    <s v="cdziwe@lighthouse.org.mw"/>
    <s v="Clement Dziwe"/>
    <x v="12"/>
    <s v="COE"/>
    <x v="0"/>
    <s v="COP_23"/>
    <s v="COP_23"/>
    <x v="0"/>
    <s v="Quarter1"/>
    <s v="Qtr_1"/>
    <s v="Dec"/>
    <d v="2023-12-01T00:00:00"/>
    <d v="2023-12-31T00:00:00"/>
    <x v="4"/>
    <n v="5"/>
    <n v="2"/>
    <n v="2"/>
    <n v="0"/>
    <n v="1"/>
    <n v="2"/>
    <n v="5"/>
    <n v="2"/>
    <n v="2"/>
    <n v="2"/>
    <n v="2"/>
    <n v="0"/>
    <n v="2"/>
    <n v="0"/>
    <n v="0"/>
    <n v="0"/>
    <n v="0"/>
    <n v="0"/>
    <n v="2"/>
    <n v="0"/>
    <n v="0"/>
    <n v="0"/>
    <n v="0"/>
    <n v="0"/>
    <n v="5"/>
    <m/>
  </r>
  <r>
    <n v="96"/>
    <d v="2024-01-17T15:47:17"/>
    <d v="2024-01-17T15:57:04"/>
    <s v="cdziwe@lighthouse.org.mw"/>
    <s v="Clement Dziwe"/>
    <x v="12"/>
    <s v="COE"/>
    <x v="0"/>
    <s v="COP_23"/>
    <s v="COP_23"/>
    <x v="0"/>
    <s v="Quarter1"/>
    <s v="Qtr_1"/>
    <s v="Dec"/>
    <d v="2023-12-01T00:00:00"/>
    <d v="2023-12-31T00:00:00"/>
    <x v="5"/>
    <n v="25"/>
    <n v="1"/>
    <n v="15"/>
    <n v="2"/>
    <n v="7"/>
    <n v="1"/>
    <n v="25"/>
    <n v="2"/>
    <n v="2"/>
    <n v="0"/>
    <n v="0"/>
    <n v="0"/>
    <n v="2"/>
    <n v="0"/>
    <n v="0"/>
    <n v="0"/>
    <n v="0"/>
    <n v="0"/>
    <n v="0"/>
    <n v="0"/>
    <n v="0"/>
    <n v="0"/>
    <n v="0"/>
    <n v="0"/>
    <n v="0"/>
    <m/>
  </r>
  <r>
    <n v="113"/>
    <d v="2024-01-23T16:04:15"/>
    <d v="2024-01-23T16:13:21"/>
    <s v="cdziwe@lighthouse.org.mw"/>
    <s v="Clement Dziwe"/>
    <x v="12"/>
    <s v="COE"/>
    <x v="0"/>
    <s v="COP_23"/>
    <s v="COP_23"/>
    <x v="0"/>
    <s v="Quarter1"/>
    <s v="Qtr_1"/>
    <s v="Oct"/>
    <d v="2023-10-01T00:00:00"/>
    <d v="2023-10-31T00:00:00"/>
    <x v="3"/>
    <n v="3"/>
    <n v="2"/>
    <n v="1"/>
    <n v="0"/>
    <n v="1"/>
    <n v="1"/>
    <n v="0"/>
    <n v="0"/>
    <n v="3"/>
    <n v="0"/>
    <n v="0"/>
    <n v="0"/>
    <n v="3"/>
    <n v="1"/>
    <n v="1"/>
    <n v="0"/>
    <n v="1"/>
    <n v="1"/>
    <n v="2"/>
    <n v="1"/>
    <n v="1"/>
    <n v="0"/>
    <n v="0"/>
    <n v="0"/>
    <n v="2"/>
    <m/>
  </r>
  <r>
    <n v="114"/>
    <d v="2024-01-23T16:13:35"/>
    <d v="2024-01-23T16:21:17"/>
    <s v="cdziwe@lighthouse.org.mw"/>
    <s v="Clement Dziwe"/>
    <x v="12"/>
    <s v="COE"/>
    <x v="0"/>
    <s v="COP_23"/>
    <s v="COP_23"/>
    <x v="0"/>
    <s v="Quarter1"/>
    <s v="Qtr_1"/>
    <s v="Nov"/>
    <d v="2023-11-01T00:00:00"/>
    <d v="2023-11-30T00:00:00"/>
    <x v="3"/>
    <n v="1"/>
    <n v="0"/>
    <n v="1"/>
    <n v="0"/>
    <n v="0"/>
    <n v="0"/>
    <n v="1"/>
    <n v="0"/>
    <n v="0"/>
    <n v="0"/>
    <n v="0"/>
    <n v="0"/>
    <n v="0"/>
    <n v="0"/>
    <n v="0"/>
    <n v="0"/>
    <n v="0"/>
    <n v="0"/>
    <n v="0"/>
    <n v="0"/>
    <n v="0"/>
    <n v="0"/>
    <n v="0"/>
    <n v="0"/>
    <n v="1"/>
    <m/>
  </r>
  <r>
    <n v="115"/>
    <d v="2024-01-23T16:21:33"/>
    <d v="2024-01-23T16:32:12"/>
    <s v="cdziwe@lighthouse.org.mw"/>
    <s v="Clement Dziwe"/>
    <x v="12"/>
    <s v="COE"/>
    <x v="0"/>
    <s v="COP_23"/>
    <s v="COP_23"/>
    <x v="0"/>
    <s v="Quarter1"/>
    <s v="Qtr_1"/>
    <s v="Oct"/>
    <d v="2023-10-01T00:00:00"/>
    <d v="2023-10-31T00:00:00"/>
    <x v="5"/>
    <n v="22"/>
    <n v="0"/>
    <n v="20"/>
    <n v="0"/>
    <n v="0"/>
    <n v="2"/>
    <n v="21"/>
    <n v="5"/>
    <n v="6"/>
    <n v="0"/>
    <n v="0"/>
    <n v="0"/>
    <n v="7"/>
    <n v="0"/>
    <n v="2"/>
    <n v="0"/>
    <n v="2"/>
    <n v="0"/>
    <n v="6"/>
    <n v="0"/>
    <n v="0"/>
    <n v="0"/>
    <n v="0"/>
    <n v="0"/>
    <n v="22"/>
    <m/>
  </r>
  <r>
    <n v="116"/>
    <d v="2024-01-23T16:32:46"/>
    <d v="2024-01-23T16:43:57"/>
    <s v="cdziwe@lighthouse.org.mw"/>
    <s v="Clement Dziwe"/>
    <x v="12"/>
    <s v="COE"/>
    <x v="0"/>
    <s v="COP_23"/>
    <s v="COP_23"/>
    <x v="0"/>
    <s v="Quarter1"/>
    <s v="Qtr_1"/>
    <s v="Nov"/>
    <d v="2023-11-01T00:00:00"/>
    <d v="2023-11-30T00:00:00"/>
    <x v="5"/>
    <n v="22"/>
    <n v="2"/>
    <n v="17"/>
    <n v="3"/>
    <n v="1"/>
    <n v="1"/>
    <n v="22"/>
    <n v="7"/>
    <n v="7"/>
    <n v="1"/>
    <n v="1"/>
    <n v="0"/>
    <n v="7"/>
    <n v="0"/>
    <n v="1"/>
    <n v="0"/>
    <n v="2"/>
    <n v="0"/>
    <n v="7"/>
    <n v="0"/>
    <n v="0"/>
    <n v="0"/>
    <n v="1"/>
    <n v="0"/>
    <n v="21"/>
    <m/>
  </r>
  <r>
    <n v="182"/>
    <d v="2024-03-21T10:22:57"/>
    <d v="2024-03-21T11:38:07"/>
    <s v="pchaula@lighthouse.org.mw"/>
    <s v="Pachalo Chaula"/>
    <x v="12"/>
    <s v="COE"/>
    <x v="1"/>
    <s v="COP_23"/>
    <s v="COP_23"/>
    <x v="2"/>
    <s v="Quarter2"/>
    <s v="Qtr_2"/>
    <s v="Feb"/>
    <d v="2024-02-01T00:00:00"/>
    <d v="2024-02-29T00:00:00"/>
    <x v="0"/>
    <n v="207"/>
    <n v="30"/>
    <n v="72"/>
    <n v="38"/>
    <n v="75"/>
    <n v="22"/>
    <n v="22"/>
    <n v="44"/>
    <n v="159"/>
    <n v="1"/>
    <n v="159"/>
    <n v="1"/>
    <n v="150"/>
    <n v="3"/>
    <n v="3"/>
    <n v="1"/>
    <n v="207"/>
    <n v="0"/>
    <n v="207"/>
    <n v="6"/>
    <n v="6"/>
    <n v="1"/>
    <n v="0"/>
    <n v="2"/>
    <n v="198"/>
    <m/>
  </r>
  <r>
    <n v="183"/>
    <d v="2024-03-21T11:39:55"/>
    <d v="2024-03-21T11:44:58"/>
    <s v="pchaula@lighthouse.org.mw"/>
    <s v="Pachalo Chaula"/>
    <x v="12"/>
    <s v="COE"/>
    <x v="1"/>
    <s v="COP_23"/>
    <s v="COP_23"/>
    <x v="2"/>
    <s v="Quarter2"/>
    <s v="Qtr_2"/>
    <s v="Feb"/>
    <d v="2024-02-01T00:00:00"/>
    <d v="2024-02-29T00:00:00"/>
    <x v="6"/>
    <n v="40"/>
    <n v="40"/>
    <n v="9"/>
    <n v="18"/>
    <n v="11"/>
    <n v="2"/>
    <n v="40"/>
    <n v="12"/>
    <n v="40"/>
    <n v="1"/>
    <n v="40"/>
    <n v="0"/>
    <n v="40"/>
    <n v="3"/>
    <n v="40"/>
    <n v="0"/>
    <n v="40"/>
    <n v="0"/>
    <n v="40"/>
    <n v="2"/>
    <n v="1"/>
    <n v="0"/>
    <n v="1"/>
    <n v="0"/>
    <n v="38"/>
    <m/>
  </r>
  <r>
    <n v="229"/>
    <d v="2024-04-09T09:20:50"/>
    <d v="2024-04-09T09:25:39"/>
    <s v="pchaula@lighthouse.org.mw"/>
    <s v="Pachalo Chaula"/>
    <x v="12"/>
    <s v="COE"/>
    <x v="1"/>
    <s v="COP_23"/>
    <s v="COP_23"/>
    <x v="2"/>
    <s v="Quarter2"/>
    <s v="Qtr_2"/>
    <s v="Mar"/>
    <d v="2024-03-01T00:00:00"/>
    <d v="2024-03-31T00:00:00"/>
    <x v="3"/>
    <n v="4"/>
    <n v="4"/>
    <n v="3"/>
    <n v="0"/>
    <n v="0"/>
    <n v="1"/>
    <n v="4"/>
    <n v="0"/>
    <n v="4"/>
    <n v="1"/>
    <n v="1"/>
    <n v="0"/>
    <n v="4"/>
    <n v="1"/>
    <n v="0"/>
    <n v="0"/>
    <n v="0"/>
    <n v="0"/>
    <n v="1"/>
    <n v="0"/>
    <n v="0"/>
    <n v="0"/>
    <n v="1"/>
    <n v="0"/>
    <n v="3"/>
    <m/>
  </r>
  <r>
    <n v="304"/>
    <d v="2024-04-25T07:43:17"/>
    <d v="2024-04-25T07:59:17"/>
    <s v="pchaula@lighthouse.org.mw"/>
    <s v="Pachalo Chaula"/>
    <x v="12"/>
    <s v="COE"/>
    <x v="1"/>
    <s v="COP_23"/>
    <s v="COP_23"/>
    <x v="2"/>
    <s v="Quarter2"/>
    <s v="Qtr_2"/>
    <s v="Jan"/>
    <d v="2024-01-01T00:00:00"/>
    <d v="2024-01-31T00:00:00"/>
    <x v="0"/>
    <n v="195"/>
    <n v="56"/>
    <n v="109"/>
    <n v="24"/>
    <n v="54"/>
    <n v="8"/>
    <n v="144"/>
    <n v="51"/>
    <n v="55"/>
    <n v="1"/>
    <n v="5"/>
    <n v="2"/>
    <n v="62"/>
    <n v="10"/>
    <n v="3"/>
    <n v="0"/>
    <n v="7"/>
    <n v="5"/>
    <n v="28"/>
    <n v="3"/>
    <n v="7"/>
    <n v="2"/>
    <n v="1"/>
    <n v="0"/>
    <n v="186"/>
    <m/>
  </r>
  <r>
    <n v="306"/>
    <d v="2024-04-25T08:19:41"/>
    <d v="2024-04-25T08:22:58"/>
    <s v="pchaula@lighthouse.org.mw"/>
    <s v="Pachalo Chaula"/>
    <x v="12"/>
    <s v="COE"/>
    <x v="1"/>
    <s v="COP_23"/>
    <s v="COP_23"/>
    <x v="2"/>
    <s v="Quarter2"/>
    <s v="Qtr_2"/>
    <s v="Jan"/>
    <d v="2024-01-01T00:00:00"/>
    <d v="2024-01-31T00:00:00"/>
    <x v="6"/>
    <n v="24"/>
    <n v="24"/>
    <n v="5"/>
    <n v="8"/>
    <n v="10"/>
    <n v="1"/>
    <n v="24"/>
    <n v="10"/>
    <n v="11"/>
    <n v="0"/>
    <n v="1"/>
    <n v="0"/>
    <n v="12"/>
    <n v="3"/>
    <n v="0"/>
    <n v="0"/>
    <n v="0"/>
    <n v="0"/>
    <n v="2"/>
    <n v="0"/>
    <n v="2"/>
    <n v="0"/>
    <n v="0"/>
    <n v="0"/>
    <n v="22"/>
    <m/>
  </r>
  <r>
    <n v="308"/>
    <d v="2024-04-25T08:31:19"/>
    <d v="2024-04-25T08:34:26"/>
    <s v="pchaula@lighthouse.org.mw"/>
    <s v="Pachalo Chaula"/>
    <x v="12"/>
    <s v="COE"/>
    <x v="1"/>
    <s v="COP_23"/>
    <s v="COP_23"/>
    <x v="2"/>
    <s v="Quarter2"/>
    <s v="Qtr_2"/>
    <s v="Jan"/>
    <d v="2024-01-01T00:00:00"/>
    <d v="2024-01-31T00:00:00"/>
    <x v="5"/>
    <n v="31"/>
    <n v="0"/>
    <n v="27"/>
    <n v="2"/>
    <n v="2"/>
    <n v="0"/>
    <n v="31"/>
    <n v="3"/>
    <n v="3"/>
    <n v="0"/>
    <n v="0"/>
    <n v="0"/>
    <n v="3"/>
    <n v="0"/>
    <n v="0"/>
    <n v="0"/>
    <n v="0"/>
    <n v="0"/>
    <n v="3"/>
    <n v="0"/>
    <n v="0"/>
    <n v="0"/>
    <n v="0"/>
    <n v="0"/>
    <n v="31"/>
    <m/>
  </r>
  <r>
    <n v="309"/>
    <d v="2024-04-25T08:34:43"/>
    <d v="2024-04-25T08:39:08"/>
    <s v="pchaula@lighthouse.org.mw"/>
    <s v="Pachalo Chaula"/>
    <x v="12"/>
    <s v="COE"/>
    <x v="1"/>
    <s v="COP_23"/>
    <s v="COP_23"/>
    <x v="2"/>
    <s v="Quarter2"/>
    <s v="Qtr_2"/>
    <s v="Jan"/>
    <d v="2024-01-01T00:00:00"/>
    <d v="2024-01-31T00:00:00"/>
    <x v="4"/>
    <n v="7"/>
    <n v="0"/>
    <n v="5"/>
    <n v="0"/>
    <n v="2"/>
    <n v="0"/>
    <n v="7"/>
    <n v="0"/>
    <n v="0"/>
    <n v="0"/>
    <n v="0"/>
    <n v="0"/>
    <n v="0"/>
    <n v="0"/>
    <n v="0"/>
    <n v="0"/>
    <n v="0"/>
    <n v="0"/>
    <n v="0"/>
    <n v="0"/>
    <n v="0"/>
    <n v="0"/>
    <n v="0"/>
    <n v="0"/>
    <n v="7"/>
    <m/>
  </r>
  <r>
    <n v="319"/>
    <d v="2024-04-29T14:05:48"/>
    <d v="2024-04-29T14:09:57"/>
    <s v="pchaula@lighthouse.org.mw"/>
    <s v="Pachalo Chaula"/>
    <x v="12"/>
    <s v="COE"/>
    <x v="1"/>
    <s v="COP_23"/>
    <s v="COP_23"/>
    <x v="2"/>
    <s v="Quarter2"/>
    <s v="Qtr_2"/>
    <s v="Feb"/>
    <d v="2024-02-01T00:00:00"/>
    <d v="2024-02-29T00:00:00"/>
    <x v="5"/>
    <n v="24"/>
    <n v="0"/>
    <n v="15"/>
    <n v="2"/>
    <n v="7"/>
    <n v="0"/>
    <n v="21"/>
    <n v="1"/>
    <n v="0"/>
    <n v="0"/>
    <n v="4"/>
    <n v="0"/>
    <n v="7"/>
    <n v="3"/>
    <n v="0"/>
    <n v="0"/>
    <n v="0"/>
    <n v="0"/>
    <n v="0"/>
    <n v="0"/>
    <n v="0"/>
    <n v="0"/>
    <n v="0"/>
    <n v="0"/>
    <n v="24"/>
    <m/>
  </r>
  <r>
    <n v="321"/>
    <d v="2024-04-29T14:34:12"/>
    <d v="2024-04-29T14:38:56"/>
    <s v="pchaula@lighthouse.org.mw"/>
    <s v="Pachalo Chaula"/>
    <x v="12"/>
    <s v="COE"/>
    <x v="1"/>
    <s v="COP_23"/>
    <s v="COP_23"/>
    <x v="2"/>
    <s v="Quarter2"/>
    <s v="Qtr_2"/>
    <s v="Feb"/>
    <d v="2024-02-01T00:00:00"/>
    <d v="2024-02-29T00:00:00"/>
    <x v="4"/>
    <n v="15"/>
    <n v="3"/>
    <n v="7"/>
    <n v="2"/>
    <n v="4"/>
    <n v="2"/>
    <n v="14"/>
    <n v="2"/>
    <n v="2"/>
    <n v="0"/>
    <n v="2"/>
    <n v="0"/>
    <n v="2"/>
    <n v="0"/>
    <n v="0"/>
    <n v="0"/>
    <n v="0"/>
    <n v="0"/>
    <n v="0"/>
    <n v="0"/>
    <n v="0"/>
    <n v="0"/>
    <n v="0"/>
    <n v="0"/>
    <n v="15"/>
    <m/>
  </r>
  <r>
    <n v="322"/>
    <d v="2024-04-29T14:40:24"/>
    <d v="2024-04-29T14:45:19"/>
    <s v="pchaula@lighthouse.org.mw"/>
    <s v="Pachalo Chaula"/>
    <x v="12"/>
    <s v="COE"/>
    <x v="1"/>
    <s v="COP_23"/>
    <s v="COP_23"/>
    <x v="2"/>
    <s v="Quarter2"/>
    <s v="Qtr_2"/>
    <s v="Feb"/>
    <d v="2024-02-01T00:00:00"/>
    <d v="2024-02-29T00:00:00"/>
    <x v="3"/>
    <n v="3"/>
    <n v="0"/>
    <n v="1"/>
    <n v="0"/>
    <n v="2"/>
    <n v="0"/>
    <n v="0"/>
    <n v="0"/>
    <n v="2"/>
    <n v="0"/>
    <n v="0"/>
    <n v="0"/>
    <n v="3"/>
    <n v="2"/>
    <n v="0"/>
    <n v="0"/>
    <n v="0"/>
    <n v="0"/>
    <n v="0"/>
    <n v="0"/>
    <n v="0"/>
    <n v="0"/>
    <n v="0"/>
    <n v="0"/>
    <n v="3"/>
    <m/>
  </r>
  <r>
    <n v="325"/>
    <d v="2024-04-29T15:01:33"/>
    <d v="2024-04-29T15:10:36"/>
    <s v="pchaula@lighthouse.org.mw"/>
    <s v="Pachalo Chaula"/>
    <x v="12"/>
    <s v="COE"/>
    <x v="1"/>
    <s v="COP_23"/>
    <s v="COP_23"/>
    <x v="2"/>
    <s v="Quarter2"/>
    <s v="Qtr_2"/>
    <s v="Mar"/>
    <d v="2024-03-01T00:00:00"/>
    <d v="2024-03-31T00:00:00"/>
    <x v="6"/>
    <n v="14"/>
    <n v="14"/>
    <n v="1"/>
    <n v="2"/>
    <n v="2"/>
    <n v="9"/>
    <n v="11"/>
    <n v="6"/>
    <n v="5"/>
    <n v="1"/>
    <n v="0"/>
    <n v="0"/>
    <n v="5"/>
    <n v="2"/>
    <n v="1"/>
    <n v="1"/>
    <n v="2"/>
    <n v="2"/>
    <n v="4"/>
    <n v="1"/>
    <n v="1"/>
    <n v="0"/>
    <n v="0"/>
    <n v="0"/>
    <n v="13"/>
    <m/>
  </r>
  <r>
    <n v="326"/>
    <d v="2024-04-29T15:10:47"/>
    <d v="2024-04-29T15:25:01"/>
    <s v="pchaula@lighthouse.org.mw"/>
    <s v="Pachalo Chaula"/>
    <x v="12"/>
    <s v="COE"/>
    <x v="1"/>
    <s v="COP_23"/>
    <s v="COP_23"/>
    <x v="2"/>
    <s v="Quarter2"/>
    <s v="Qtr_2"/>
    <s v="Mar"/>
    <d v="2024-03-01T00:00:00"/>
    <d v="2024-03-31T00:00:00"/>
    <x v="4"/>
    <n v="7"/>
    <n v="2"/>
    <n v="3"/>
    <n v="2"/>
    <n v="0"/>
    <n v="2"/>
    <n v="0"/>
    <n v="3"/>
    <n v="3"/>
    <n v="0"/>
    <n v="3"/>
    <n v="0"/>
    <n v="1"/>
    <n v="1"/>
    <n v="2"/>
    <n v="0"/>
    <n v="0"/>
    <n v="0"/>
    <n v="1"/>
    <n v="0"/>
    <n v="0"/>
    <n v="0"/>
    <n v="0"/>
    <n v="0"/>
    <n v="0"/>
    <m/>
  </r>
  <r>
    <n v="369"/>
    <d v="2024-05-08T11:24:29"/>
    <d v="2024-05-08T11:25:55"/>
    <s v="pchaula@lighthouse.org.mw"/>
    <s v="Pachalo Chaula"/>
    <x v="12"/>
    <s v="COE"/>
    <x v="1"/>
    <s v="COP_23"/>
    <s v="COP_23"/>
    <x v="2"/>
    <s v="Quarter2"/>
    <s v="Qtr_2"/>
    <s v="Jan"/>
    <d v="2024-01-01T00:00:00"/>
    <d v="2024-01-31T00:00:00"/>
    <x v="3"/>
    <n v="0"/>
    <n v="0"/>
    <n v="0"/>
    <n v="0"/>
    <n v="0"/>
    <n v="0"/>
    <n v="0"/>
    <n v="0"/>
    <n v="0"/>
    <n v="0"/>
    <n v="0"/>
    <n v="0"/>
    <n v="0"/>
    <n v="0"/>
    <n v="0"/>
    <n v="0"/>
    <n v="0"/>
    <n v="0"/>
    <n v="0"/>
    <n v="0"/>
    <n v="0"/>
    <n v="0"/>
    <n v="0"/>
    <n v="0"/>
    <n v="0"/>
    <m/>
  </r>
  <r>
    <n v="370"/>
    <d v="2024-05-08T11:26:01"/>
    <d v="2024-05-08T11:30:20"/>
    <s v="pchaula@lighthouse.org.mw"/>
    <s v="Pachalo Chaula"/>
    <x v="12"/>
    <s v="COE"/>
    <x v="1"/>
    <s v="COP_23"/>
    <s v="COP_23"/>
    <x v="2"/>
    <s v="Quarter2"/>
    <s v="Qtr_2"/>
    <s v="Mar"/>
    <d v="2024-03-01T00:00:00"/>
    <d v="2024-03-31T00:00:00"/>
    <x v="0"/>
    <n v="145"/>
    <n v="30"/>
    <n v="64"/>
    <n v="14"/>
    <n v="44"/>
    <n v="23"/>
    <n v="140"/>
    <n v="40"/>
    <n v="39"/>
    <n v="4"/>
    <n v="4"/>
    <n v="1"/>
    <n v="42"/>
    <n v="9"/>
    <n v="35"/>
    <n v="5"/>
    <n v="44"/>
    <n v="4"/>
    <n v="35"/>
    <n v="6"/>
    <n v="9"/>
    <n v="1"/>
    <n v="3"/>
    <n v="2"/>
    <n v="55"/>
    <m/>
  </r>
  <r>
    <n v="371"/>
    <d v="2024-05-08T11:30:39"/>
    <d v="2024-05-08T11:34:09"/>
    <s v="pchaula@lighthouse.org.mw"/>
    <s v="Pachalo Chaula"/>
    <x v="12"/>
    <s v="COE"/>
    <x v="1"/>
    <s v="COP_23"/>
    <s v="COP_23"/>
    <x v="2"/>
    <s v="Quarter2"/>
    <s v="Qtr_2"/>
    <s v="Mar"/>
    <d v="2024-03-01T00:00:00"/>
    <d v="2024-03-31T00:00:00"/>
    <x v="5"/>
    <n v="23"/>
    <n v="3"/>
    <n v="19"/>
    <n v="0"/>
    <n v="2"/>
    <n v="2"/>
    <n v="23"/>
    <n v="5"/>
    <n v="5"/>
    <n v="0"/>
    <n v="0"/>
    <n v="0"/>
    <n v="5"/>
    <n v="1"/>
    <n v="0"/>
    <n v="0"/>
    <n v="0"/>
    <n v="0"/>
    <n v="5"/>
    <n v="0"/>
    <n v="1"/>
    <n v="0"/>
    <n v="0"/>
    <n v="0"/>
    <n v="22"/>
    <m/>
  </r>
  <r>
    <n v="397"/>
    <d v="2024-05-09T14:41:32"/>
    <d v="2024-05-09T14:47:01"/>
    <s v="pchaula@lighthouse.org.mw"/>
    <s v="Pachalo Chaula"/>
    <x v="12"/>
    <s v="COE"/>
    <x v="1"/>
    <s v="COP_24"/>
    <s v="COP_23"/>
    <x v="3"/>
    <s v="Quarter3"/>
    <s v="Qtr_3"/>
    <s v="Apr"/>
    <d v="2024-04-01T00:00:00"/>
    <d v="2024-04-30T00:00:00"/>
    <x v="0"/>
    <n v="141"/>
    <n v="37"/>
    <n v="73"/>
    <n v="17"/>
    <n v="37"/>
    <n v="14"/>
    <n v="14"/>
    <n v="62"/>
    <n v="43"/>
    <n v="1"/>
    <n v="2"/>
    <n v="0"/>
    <n v="47"/>
    <n v="5"/>
    <n v="7"/>
    <n v="1"/>
    <n v="15"/>
    <n v="7"/>
    <n v="35"/>
    <n v="5"/>
    <n v="7"/>
    <n v="0"/>
    <n v="1"/>
    <n v="0"/>
    <n v="133"/>
    <m/>
  </r>
  <r>
    <n v="398"/>
    <d v="2024-05-09T14:47:19"/>
    <d v="2024-05-09T14:52:43"/>
    <s v="pchaula@lighthouse.org.mw"/>
    <s v="Pachalo Chaula"/>
    <x v="12"/>
    <s v="COE"/>
    <x v="1"/>
    <s v="COP_24"/>
    <s v="COP_23"/>
    <x v="3"/>
    <s v="Quarter3"/>
    <s v="Qtr_3"/>
    <s v="Apr"/>
    <d v="2024-04-01T00:00:00"/>
    <d v="2024-04-30T00:00:00"/>
    <x v="6"/>
    <n v="63"/>
    <n v="63"/>
    <n v="14"/>
    <n v="20"/>
    <n v="25"/>
    <n v="4"/>
    <n v="62"/>
    <n v="24"/>
    <n v="22"/>
    <n v="2"/>
    <n v="4"/>
    <n v="0"/>
    <n v="20"/>
    <n v="3"/>
    <n v="1"/>
    <n v="0"/>
    <n v="4"/>
    <n v="1"/>
    <n v="11"/>
    <n v="2"/>
    <n v="4"/>
    <n v="4"/>
    <n v="0"/>
    <n v="2"/>
    <n v="2"/>
    <m/>
  </r>
  <r>
    <n v="400"/>
    <d v="2024-05-09T14:58:09"/>
    <d v="2024-05-09T15:01:03"/>
    <s v="pchaula@lighthouse.org.mw"/>
    <s v="Pachalo Chaula"/>
    <x v="12"/>
    <s v="COE"/>
    <x v="1"/>
    <s v="COP_24"/>
    <s v="COP_23"/>
    <x v="3"/>
    <s v="Quarter3"/>
    <s v="Qtr_3"/>
    <s v="Apr"/>
    <d v="2024-04-01T00:00:00"/>
    <d v="2024-04-30T00:00:00"/>
    <x v="5"/>
    <n v="31"/>
    <n v="0"/>
    <n v="37"/>
    <n v="1"/>
    <n v="1"/>
    <n v="2"/>
    <n v="31"/>
    <n v="5"/>
    <n v="5"/>
    <n v="0"/>
    <n v="0"/>
    <n v="0"/>
    <n v="0"/>
    <n v="0"/>
    <n v="2"/>
    <n v="0"/>
    <n v="3"/>
    <n v="0"/>
    <n v="5"/>
    <n v="0"/>
    <n v="2"/>
    <n v="0"/>
    <n v="0"/>
    <n v="0"/>
    <n v="29"/>
    <m/>
  </r>
  <r>
    <n v="401"/>
    <d v="2024-05-09T15:01:17"/>
    <d v="2024-05-09T15:02:21"/>
    <s v="pchaula@lighthouse.org.mw"/>
    <s v="Pachalo Chaula"/>
    <x v="12"/>
    <s v="COE"/>
    <x v="1"/>
    <s v="COP_24"/>
    <s v="COP_23"/>
    <x v="3"/>
    <s v="Quarter3"/>
    <s v="Qtr_3"/>
    <s v="Apr"/>
    <d v="2024-04-01T00:00:00"/>
    <d v="2024-04-30T00:00:00"/>
    <x v="3"/>
    <n v="0"/>
    <n v="0"/>
    <n v="0"/>
    <n v="0"/>
    <n v="0"/>
    <n v="0"/>
    <n v="0"/>
    <n v="0"/>
    <n v="0"/>
    <n v="0"/>
    <n v="0"/>
    <n v="0"/>
    <n v="0"/>
    <n v="0"/>
    <n v="0"/>
    <n v="0"/>
    <n v="0"/>
    <n v="0"/>
    <n v="0"/>
    <n v="0"/>
    <n v="0"/>
    <n v="0"/>
    <n v="0"/>
    <n v="0"/>
    <n v="0"/>
    <m/>
  </r>
  <r>
    <n v="402"/>
    <d v="2024-05-09T15:02:34"/>
    <d v="2024-05-09T15:06:37"/>
    <s v="pchaula@lighthouse.org.mw"/>
    <s v="Pachalo Chaula"/>
    <x v="12"/>
    <s v="COE"/>
    <x v="1"/>
    <s v="COP_24"/>
    <s v="COP_23"/>
    <x v="3"/>
    <s v="Quarter3"/>
    <s v="Qtr_3"/>
    <s v="Apr"/>
    <d v="2024-04-01T00:00:00"/>
    <d v="2024-04-30T00:00:00"/>
    <x v="4"/>
    <n v="8"/>
    <n v="0"/>
    <n v="4"/>
    <n v="2"/>
    <n v="2"/>
    <n v="0"/>
    <n v="8"/>
    <n v="2"/>
    <n v="0"/>
    <n v="0"/>
    <n v="0"/>
    <n v="0"/>
    <n v="2"/>
    <n v="0"/>
    <n v="0"/>
    <n v="0"/>
    <n v="0"/>
    <n v="0"/>
    <n v="2"/>
    <n v="0"/>
    <n v="0"/>
    <n v="0"/>
    <n v="0"/>
    <n v="0"/>
    <n v="8"/>
    <m/>
  </r>
  <r>
    <n v="515"/>
    <d v="2024-06-07T10:43:26"/>
    <d v="2024-06-07T10:50:20"/>
    <s v="pchaula@lighthouse.org.mw"/>
    <s v="Pachalo Chaula"/>
    <x v="12"/>
    <s v="COE"/>
    <x v="1"/>
    <s v="COP_24"/>
    <s v="COP_23"/>
    <x v="3"/>
    <s v="Quarter3"/>
    <s v="Qtr_3"/>
    <s v="May"/>
    <d v="2024-05-01T00:00:00"/>
    <d v="2024-05-31T00:00:00"/>
    <x v="0"/>
    <n v="124"/>
    <n v="24"/>
    <n v="82"/>
    <n v="9"/>
    <n v="17"/>
    <n v="16"/>
    <n v="71"/>
    <n v="20"/>
    <n v="72"/>
    <n v="2"/>
    <n v="3"/>
    <n v="1"/>
    <n v="9"/>
    <n v="0"/>
    <n v="11"/>
    <n v="0"/>
    <n v="4"/>
    <n v="0"/>
    <n v="49"/>
    <n v="4"/>
    <n v="3"/>
    <n v="1"/>
    <n v="2"/>
    <n v="4"/>
    <n v="114"/>
    <m/>
  </r>
  <r>
    <n v="521"/>
    <d v="2024-06-07T10:54:53"/>
    <d v="2024-06-07T11:09:56"/>
    <s v="pchaula@lighthouse.org.mw"/>
    <s v="Pachalo Chaula"/>
    <x v="12"/>
    <s v="COE"/>
    <x v="1"/>
    <s v="COP_24"/>
    <s v="COP_23"/>
    <x v="3"/>
    <s v="Quarter3"/>
    <s v="Qtr_3"/>
    <s v="May"/>
    <d v="2024-05-01T00:00:00"/>
    <d v="2024-05-31T00:00:00"/>
    <x v="6"/>
    <n v="54"/>
    <n v="54"/>
    <n v="18"/>
    <n v="7"/>
    <n v="14"/>
    <n v="15"/>
    <n v="35"/>
    <n v="10"/>
    <n v="22"/>
    <n v="2"/>
    <n v="2"/>
    <n v="1"/>
    <n v="4"/>
    <n v="1"/>
    <n v="8"/>
    <n v="1"/>
    <n v="11"/>
    <n v="7"/>
    <n v="26"/>
    <n v="6"/>
    <n v="6"/>
    <n v="1"/>
    <n v="0"/>
    <n v="0"/>
    <n v="47"/>
    <m/>
  </r>
  <r>
    <n v="524"/>
    <d v="2024-06-07T11:13:00"/>
    <d v="2024-06-07T11:14:48"/>
    <s v="pchaula@lighthouse.org.mw"/>
    <s v="Pachalo Chaula"/>
    <x v="12"/>
    <s v="COE"/>
    <x v="1"/>
    <s v="COP_24"/>
    <s v="COP_23"/>
    <x v="3"/>
    <s v="Quarter3"/>
    <s v="Qtr_3"/>
    <s v="May"/>
    <d v="2024-05-01T00:00:00"/>
    <d v="2024-05-31T00:00:00"/>
    <x v="4"/>
    <n v="6"/>
    <n v="1"/>
    <n v="3"/>
    <n v="1"/>
    <n v="1"/>
    <n v="1"/>
    <n v="2"/>
    <n v="1"/>
    <n v="4"/>
    <n v="0"/>
    <n v="1"/>
    <n v="0"/>
    <n v="1"/>
    <n v="0"/>
    <n v="0"/>
    <n v="0"/>
    <n v="0"/>
    <n v="0"/>
    <n v="2"/>
    <n v="0"/>
    <n v="0"/>
    <n v="0"/>
    <n v="0"/>
    <n v="0"/>
    <n v="6"/>
    <m/>
  </r>
  <r>
    <n v="526"/>
    <d v="2024-06-07T11:15:26"/>
    <d v="2024-06-07T11:37:57"/>
    <s v="pchaula@lighthouse.org.mw"/>
    <s v="Pachalo Chaula"/>
    <x v="12"/>
    <s v="COE"/>
    <x v="1"/>
    <s v="COP_24"/>
    <s v="COP_23"/>
    <x v="3"/>
    <s v="Quarter3"/>
    <s v="Qtr_3"/>
    <s v="May"/>
    <d v="2024-05-01T00:00:00"/>
    <d v="2024-05-31T00:00:00"/>
    <x v="5"/>
    <n v="17"/>
    <n v="1"/>
    <n v="14"/>
    <n v="0"/>
    <n v="2"/>
    <n v="1"/>
    <n v="12"/>
    <n v="2"/>
    <n v="0"/>
    <n v="0"/>
    <n v="0"/>
    <n v="0"/>
    <n v="2"/>
    <n v="0"/>
    <n v="0"/>
    <n v="0"/>
    <n v="0"/>
    <n v="0"/>
    <n v="2"/>
    <n v="0"/>
    <n v="0"/>
    <n v="0"/>
    <n v="0"/>
    <n v="0"/>
    <n v="17"/>
    <m/>
  </r>
  <r>
    <n v="527"/>
    <d v="2024-06-07T15:41:11"/>
    <d v="2024-06-07T15:45:14"/>
    <s v="pchaula@lighthouse.org.mw"/>
    <s v="Pachalo Chaula"/>
    <x v="12"/>
    <s v="COE"/>
    <x v="1"/>
    <s v="COP_24"/>
    <s v="COP_23"/>
    <x v="3"/>
    <s v="Quarter3"/>
    <s v="Qtr_3"/>
    <s v="May"/>
    <d v="2024-05-01T00:00:00"/>
    <d v="2024-05-31T00:00:00"/>
    <x v="3"/>
    <n v="7"/>
    <n v="1"/>
    <n v="3"/>
    <n v="0"/>
    <n v="2"/>
    <n v="2"/>
    <n v="0"/>
    <n v="0"/>
    <n v="0"/>
    <n v="0"/>
    <n v="0"/>
    <n v="0"/>
    <n v="0"/>
    <n v="0"/>
    <n v="0"/>
    <n v="0"/>
    <n v="0"/>
    <n v="0"/>
    <n v="2"/>
    <n v="1"/>
    <n v="1"/>
    <n v="0"/>
    <n v="0"/>
    <n v="0"/>
    <n v="6"/>
    <m/>
  </r>
  <r>
    <n v="581"/>
    <d v="2024-07-04T13:27:16"/>
    <d v="2024-07-04T13:33:23"/>
    <s v="pchaula@lighthouse.org.mw"/>
    <s v="Pachalo Chaula"/>
    <x v="12"/>
    <s v="COE"/>
    <x v="1"/>
    <s v="COP_24"/>
    <s v="COP_23"/>
    <x v="3"/>
    <s v="Quarter3"/>
    <s v="Qtr_3"/>
    <s v="Jun"/>
    <d v="2024-06-01T00:00:00"/>
    <d v="2024-06-30T00:00:00"/>
    <x v="0"/>
    <n v="158"/>
    <n v="46"/>
    <n v="85"/>
    <n v="15"/>
    <n v="36"/>
    <n v="22"/>
    <n v="156"/>
    <n v="42"/>
    <n v="46"/>
    <n v="1"/>
    <n v="5"/>
    <n v="0"/>
    <n v="0"/>
    <n v="0"/>
    <n v="6"/>
    <n v="1"/>
    <n v="15"/>
    <n v="6"/>
    <n v="39"/>
    <n v="6"/>
    <n v="7"/>
    <n v="0"/>
    <n v="1"/>
    <n v="7"/>
    <n v="143"/>
    <m/>
  </r>
  <r>
    <n v="583"/>
    <d v="2024-07-04T13:37:42"/>
    <d v="2024-07-04T13:43:14"/>
    <s v="pchaula@lighthouse.org.mw"/>
    <s v="Pachalo Chaula"/>
    <x v="12"/>
    <s v="COE"/>
    <x v="1"/>
    <s v="COP_24"/>
    <s v="COP_23"/>
    <x v="3"/>
    <s v="Quarter3"/>
    <s v="Qtr_3"/>
    <s v="Jun"/>
    <d v="2024-06-01T00:00:00"/>
    <d v="2024-06-30T00:00:00"/>
    <x v="4"/>
    <n v="7"/>
    <n v="3"/>
    <n v="5"/>
    <n v="1"/>
    <n v="0"/>
    <n v="1"/>
    <n v="7"/>
    <n v="1"/>
    <n v="2"/>
    <n v="0"/>
    <n v="0"/>
    <n v="0"/>
    <n v="0"/>
    <n v="0"/>
    <n v="0"/>
    <n v="0"/>
    <n v="0"/>
    <n v="0"/>
    <n v="1"/>
    <n v="0"/>
    <n v="0"/>
    <n v="0"/>
    <n v="0"/>
    <n v="1"/>
    <n v="6"/>
    <m/>
  </r>
  <r>
    <n v="584"/>
    <d v="2024-07-04T13:45:33"/>
    <d v="2024-07-04T14:07:17"/>
    <s v="pchaula@lighthouse.org.mw"/>
    <s v="Pachalo Chaula"/>
    <x v="12"/>
    <s v="COE"/>
    <x v="1"/>
    <s v="COP_24"/>
    <s v="COP_23"/>
    <x v="3"/>
    <s v="Quarter3"/>
    <s v="Qtr_3"/>
    <s v="Jun"/>
    <d v="2024-06-01T00:00:00"/>
    <d v="2024-06-30T00:00:00"/>
    <x v="5"/>
    <n v="29"/>
    <n v="4"/>
    <n v="23"/>
    <n v="2"/>
    <n v="1"/>
    <n v="32"/>
    <n v="28"/>
    <n v="7"/>
    <n v="7"/>
    <n v="0"/>
    <n v="1"/>
    <n v="0"/>
    <n v="0"/>
    <n v="0"/>
    <n v="0"/>
    <n v="0"/>
    <n v="0"/>
    <n v="0"/>
    <n v="6"/>
    <n v="1"/>
    <n v="1"/>
    <n v="0"/>
    <n v="0"/>
    <n v="1"/>
    <n v="27"/>
    <m/>
  </r>
  <r>
    <n v="585"/>
    <d v="2024-07-04T14:07:26"/>
    <d v="2024-07-04T14:11:43"/>
    <s v="pchaula@lighthouse.org.mw"/>
    <s v="Pachalo Chaula"/>
    <x v="12"/>
    <s v="COE"/>
    <x v="1"/>
    <s v="COP_24"/>
    <s v="COP_23"/>
    <x v="3"/>
    <s v="Quarter3"/>
    <s v="Qtr_3"/>
    <s v="Jun"/>
    <d v="2024-06-01T00:00:00"/>
    <d v="2024-06-30T00:00:00"/>
    <x v="3"/>
    <n v="1"/>
    <n v="0"/>
    <n v="1"/>
    <n v="0"/>
    <n v="0"/>
    <n v="0"/>
    <n v="0"/>
    <n v="0"/>
    <n v="1"/>
    <n v="0"/>
    <n v="0"/>
    <n v="0"/>
    <n v="0"/>
    <n v="0"/>
    <n v="0"/>
    <n v="0"/>
    <n v="0"/>
    <n v="0"/>
    <n v="1"/>
    <n v="0"/>
    <n v="0"/>
    <n v="0"/>
    <n v="0"/>
    <n v="0"/>
    <n v="1"/>
    <m/>
  </r>
  <r>
    <n v="587"/>
    <d v="2024-07-04T14:16:07"/>
    <d v="2024-07-04T14:20:20"/>
    <s v="pchaula@lighthouse.org.mw"/>
    <s v="Pachalo Chaula"/>
    <x v="12"/>
    <s v="COE"/>
    <x v="1"/>
    <s v="COP_24"/>
    <s v="COP_23"/>
    <x v="3"/>
    <s v="Quarter3"/>
    <s v="Qtr_3"/>
    <s v="Jun"/>
    <d v="2024-06-01T00:00:00"/>
    <d v="2024-06-30T00:00:00"/>
    <x v="6"/>
    <n v="44"/>
    <n v="44"/>
    <n v="31"/>
    <n v="2"/>
    <n v="9"/>
    <n v="2"/>
    <n v="44"/>
    <n v="16"/>
    <n v="16"/>
    <n v="0"/>
    <n v="2"/>
    <n v="0"/>
    <n v="0"/>
    <n v="0"/>
    <n v="5"/>
    <n v="0"/>
    <n v="7"/>
    <n v="1"/>
    <n v="12"/>
    <n v="1"/>
    <n v="1"/>
    <n v="0"/>
    <n v="0"/>
    <n v="1"/>
    <n v="42"/>
    <m/>
  </r>
  <r>
    <n v="711"/>
    <d v="2024-08-05T13:56:32"/>
    <d v="2024-08-05T14:03:02"/>
    <s v="pchaula@lighthouse.org.mw"/>
    <s v="Pachalo Chaula"/>
    <x v="12"/>
    <s v="COE"/>
    <x v="1"/>
    <s v="COP_23"/>
    <s v="COP_23"/>
    <x v="1"/>
    <s v="Quarter4"/>
    <s v="Qtr_4"/>
    <s v="Jul"/>
    <d v="2024-07-01T00:00:00"/>
    <d v="2024-07-31T00:00:00"/>
    <x v="0"/>
    <n v="127"/>
    <n v="33"/>
    <n v="67"/>
    <n v="16"/>
    <n v="36"/>
    <n v="8"/>
    <n v="122"/>
    <n v="37"/>
    <n v="48"/>
    <n v="0"/>
    <n v="5"/>
    <n v="0"/>
    <n v="0"/>
    <n v="0"/>
    <n v="2"/>
    <n v="0"/>
    <n v="19"/>
    <n v="11"/>
    <n v="43"/>
    <n v="0"/>
    <n v="0"/>
    <n v="0"/>
    <n v="0"/>
    <n v="3"/>
    <n v="124"/>
    <m/>
  </r>
  <r>
    <n v="718"/>
    <d v="2024-08-05T15:01:43"/>
    <d v="2024-08-06T08:14:22"/>
    <s v="pchaula@lighthouse.org.mw"/>
    <s v="Pachalo Chaula"/>
    <x v="12"/>
    <s v="COE"/>
    <x v="1"/>
    <s v="COP_23"/>
    <s v="COP_23"/>
    <x v="1"/>
    <s v="Quarter4"/>
    <s v="Qtr_4"/>
    <s v="Jul"/>
    <d v="2024-07-01T00:00:00"/>
    <d v="2024-07-31T00:00:00"/>
    <x v="5"/>
    <n v="26"/>
    <n v="0"/>
    <n v="20"/>
    <n v="5"/>
    <n v="1"/>
    <n v="0"/>
    <n v="26"/>
    <n v="6"/>
    <n v="7"/>
    <n v="0"/>
    <n v="0"/>
    <n v="0"/>
    <n v="0"/>
    <n v="0"/>
    <n v="0"/>
    <n v="0"/>
    <n v="1"/>
    <n v="0"/>
    <n v="5"/>
    <n v="0"/>
    <n v="0"/>
    <n v="0"/>
    <n v="0"/>
    <n v="0"/>
    <n v="26"/>
    <m/>
  </r>
  <r>
    <n v="719"/>
    <d v="2024-08-06T08:14:26"/>
    <d v="2024-08-06T08:16:31"/>
    <s v="pchaula@lighthouse.org.mw"/>
    <s v="Pachalo Chaula"/>
    <x v="12"/>
    <s v="COE"/>
    <x v="1"/>
    <s v="COP_23"/>
    <s v="COP_23"/>
    <x v="1"/>
    <s v="Quarter4"/>
    <s v="Qtr_4"/>
    <s v="Jul"/>
    <d v="2024-07-01T00:00:00"/>
    <d v="2024-07-31T00:00:00"/>
    <x v="4"/>
    <n v="4"/>
    <n v="0"/>
    <n v="4"/>
    <n v="0"/>
    <n v="0"/>
    <n v="0"/>
    <n v="4"/>
    <n v="0"/>
    <n v="4"/>
    <n v="0"/>
    <n v="4"/>
    <n v="0"/>
    <n v="0"/>
    <n v="0"/>
    <n v="0"/>
    <n v="0"/>
    <n v="0"/>
    <n v="0"/>
    <n v="0"/>
    <n v="0"/>
    <n v="0"/>
    <n v="0"/>
    <n v="0"/>
    <n v="0"/>
    <n v="4"/>
    <m/>
  </r>
  <r>
    <n v="720"/>
    <d v="2024-08-06T08:16:57"/>
    <d v="2024-08-06T08:19:40"/>
    <s v="pchaula@lighthouse.org.mw"/>
    <s v="Pachalo Chaula"/>
    <x v="12"/>
    <s v="COE"/>
    <x v="1"/>
    <s v="COP_23"/>
    <s v="COP_23"/>
    <x v="1"/>
    <s v="Quarter4"/>
    <s v="Qtr_4"/>
    <s v="Jul"/>
    <d v="2024-07-01T00:00:00"/>
    <d v="2024-07-31T00:00:00"/>
    <x v="3"/>
    <n v="1"/>
    <n v="1"/>
    <n v="0"/>
    <n v="0"/>
    <n v="0"/>
    <n v="1"/>
    <n v="0"/>
    <n v="0"/>
    <n v="0"/>
    <n v="0"/>
    <n v="0"/>
    <n v="0"/>
    <n v="0"/>
    <n v="0"/>
    <n v="0"/>
    <n v="0"/>
    <n v="0"/>
    <n v="0"/>
    <n v="1"/>
    <n v="1"/>
    <n v="1"/>
    <n v="0"/>
    <n v="0"/>
    <n v="0"/>
    <n v="1"/>
    <m/>
  </r>
  <r>
    <n v="721"/>
    <d v="2024-08-06T08:19:52"/>
    <d v="2024-08-06T08:24:48"/>
    <s v="pchaula@lighthouse.org.mw"/>
    <s v="Pachalo Chaula"/>
    <x v="12"/>
    <s v="COE"/>
    <x v="1"/>
    <s v="COP_23"/>
    <s v="COP_23"/>
    <x v="1"/>
    <s v="Quarter4"/>
    <s v="Qtr_4"/>
    <s v="Jul"/>
    <d v="2024-07-01T00:00:00"/>
    <d v="2024-07-31T00:00:00"/>
    <x v="6"/>
    <n v="30"/>
    <n v="30"/>
    <n v="12"/>
    <n v="3"/>
    <n v="8"/>
    <n v="7"/>
    <n v="26"/>
    <n v="7"/>
    <n v="11"/>
    <n v="0"/>
    <n v="2"/>
    <n v="0"/>
    <n v="0"/>
    <n v="0"/>
    <n v="1"/>
    <n v="1"/>
    <n v="2"/>
    <n v="2"/>
    <n v="10"/>
    <n v="3"/>
    <n v="2"/>
    <n v="0"/>
    <n v="0"/>
    <n v="0"/>
    <n v="28"/>
    <m/>
  </r>
  <r>
    <n v="799"/>
    <d v="2024-09-12T08:54:16"/>
    <d v="2024-09-12T08:58:45"/>
    <s v="pchaula@lighthouse.org.mw"/>
    <s v="Pachalo Chaula"/>
    <x v="12"/>
    <s v="COE"/>
    <x v="1"/>
    <s v="COP_23"/>
    <s v="COP_23"/>
    <x v="1"/>
    <s v="Quarter4"/>
    <s v="Qtr_4"/>
    <s v="Aug"/>
    <d v="2024-08-01T00:00:00"/>
    <d v="2024-08-31T00:00:00"/>
    <x v="0"/>
    <n v="102"/>
    <n v="38"/>
    <n v="49"/>
    <n v="11"/>
    <n v="30"/>
    <n v="12"/>
    <n v="80"/>
    <n v="20"/>
    <n v="20"/>
    <n v="3"/>
    <n v="3"/>
    <n v="0"/>
    <n v="7"/>
    <n v="1"/>
    <n v="5"/>
    <n v="2"/>
    <n v="17"/>
    <n v="8"/>
    <n v="40"/>
    <n v="8"/>
    <n v="10"/>
    <n v="0"/>
    <n v="3"/>
    <n v="1"/>
    <n v="88"/>
    <m/>
  </r>
  <r>
    <n v="801"/>
    <d v="2024-09-12T09:03:53"/>
    <d v="2024-09-12T09:09:14"/>
    <s v="pchaula@lighthouse.org.mw"/>
    <s v="Pachalo Chaula"/>
    <x v="12"/>
    <s v="COE"/>
    <x v="1"/>
    <s v="COP_23"/>
    <s v="COP_23"/>
    <x v="1"/>
    <s v="Quarter4"/>
    <s v="Qtr_4"/>
    <s v="Aug"/>
    <d v="2024-08-31T00:00:00"/>
    <d v="2024-08-31T00:00:00"/>
    <x v="5"/>
    <n v="15"/>
    <n v="2"/>
    <n v="12"/>
    <n v="2"/>
    <n v="0"/>
    <n v="1"/>
    <n v="13"/>
    <n v="2"/>
    <n v="0"/>
    <n v="0"/>
    <n v="0"/>
    <n v="0"/>
    <n v="2"/>
    <n v="0"/>
    <n v="1"/>
    <n v="0"/>
    <n v="1"/>
    <n v="0"/>
    <n v="14"/>
    <n v="1"/>
    <n v="1"/>
    <n v="0"/>
    <n v="0"/>
    <n v="0"/>
    <n v="24"/>
    <m/>
  </r>
  <r>
    <n v="802"/>
    <d v="2024-09-12T09:09:28"/>
    <d v="2024-09-12T09:12:09"/>
    <s v="pchaula@lighthouse.org.mw"/>
    <s v="Pachalo Chaula"/>
    <x v="12"/>
    <s v="COE"/>
    <x v="1"/>
    <s v="COP_23"/>
    <s v="COP_23"/>
    <x v="1"/>
    <s v="Quarter4"/>
    <s v="Qtr_4"/>
    <s v="Aug"/>
    <d v="2024-08-01T00:00:00"/>
    <d v="2024-08-31T00:00:00"/>
    <x v="3"/>
    <n v="3"/>
    <n v="1"/>
    <n v="2"/>
    <n v="0"/>
    <n v="1"/>
    <n v="0"/>
    <n v="0"/>
    <n v="0"/>
    <n v="3"/>
    <n v="0"/>
    <n v="0"/>
    <n v="0"/>
    <n v="0"/>
    <n v="0"/>
    <n v="0"/>
    <n v="0"/>
    <n v="0"/>
    <n v="0"/>
    <n v="0"/>
    <n v="0"/>
    <n v="0"/>
    <n v="0"/>
    <n v="0"/>
    <n v="0"/>
    <n v="3"/>
    <m/>
  </r>
  <r>
    <n v="803"/>
    <d v="2024-09-12T09:12:20"/>
    <d v="2024-09-12T09:18:04"/>
    <s v="pchaula@lighthouse.org.mw"/>
    <s v="Pachalo Chaula"/>
    <x v="12"/>
    <s v="COE"/>
    <x v="1"/>
    <s v="COP_23"/>
    <s v="COP_23"/>
    <x v="1"/>
    <s v="Quarter4"/>
    <s v="Qtr_4"/>
    <s v="Aug"/>
    <d v="2024-08-01T00:00:00"/>
    <d v="2024-08-31T00:00:00"/>
    <x v="6"/>
    <n v="29"/>
    <n v="29"/>
    <n v="0"/>
    <n v="5"/>
    <n v="21"/>
    <n v="3"/>
    <n v="25"/>
    <n v="7"/>
    <n v="7"/>
    <n v="0"/>
    <n v="0"/>
    <n v="0"/>
    <n v="2"/>
    <n v="0"/>
    <n v="2"/>
    <n v="0"/>
    <n v="4"/>
    <n v="1"/>
    <n v="13"/>
    <n v="1"/>
    <n v="0"/>
    <n v="0"/>
    <n v="0"/>
    <n v="1"/>
    <n v="28"/>
    <m/>
  </r>
  <r>
    <n v="804"/>
    <d v="2024-09-12T09:18:15"/>
    <d v="2024-09-12T09:21:26"/>
    <s v="pchaula@lighthouse.org.mw"/>
    <s v="Pachalo Chaula"/>
    <x v="12"/>
    <s v="COE"/>
    <x v="1"/>
    <s v="COP_23"/>
    <s v="COP_23"/>
    <x v="1"/>
    <s v="Quarter4"/>
    <s v="Qtr_4"/>
    <s v="Aug"/>
    <d v="2024-08-01T00:00:00"/>
    <d v="2024-08-31T00:00:00"/>
    <x v="4"/>
    <n v="2"/>
    <n v="1"/>
    <n v="0"/>
    <n v="1"/>
    <n v="1"/>
    <n v="0"/>
    <n v="2"/>
    <n v="1"/>
    <n v="2"/>
    <n v="0"/>
    <n v="1"/>
    <n v="0"/>
    <n v="0"/>
    <n v="0"/>
    <n v="0"/>
    <n v="0"/>
    <n v="0"/>
    <n v="0"/>
    <n v="1"/>
    <n v="0"/>
    <n v="0"/>
    <n v="0"/>
    <n v="0"/>
    <n v="0"/>
    <n v="2"/>
    <m/>
  </r>
  <r>
    <n v="904"/>
    <d v="2024-10-08T15:12:18"/>
    <d v="2024-10-08T15:17:11"/>
    <s v="pchaula@lighthouse.org.mw"/>
    <s v="Pachalo Chaula"/>
    <x v="12"/>
    <s v="COE"/>
    <x v="1"/>
    <s v="COP_23"/>
    <s v="COP_23"/>
    <x v="1"/>
    <s v="Quarter4"/>
    <s v="Qtr_4"/>
    <s v="Sep"/>
    <d v="2024-09-01T00:00:00"/>
    <d v="2024-09-30T00:00:00"/>
    <x v="0"/>
    <n v="186"/>
    <n v="52"/>
    <n v="101"/>
    <n v="22"/>
    <n v="42"/>
    <n v="21"/>
    <n v="184"/>
    <n v="51"/>
    <n v="54"/>
    <n v="3"/>
    <n v="3"/>
    <n v="0"/>
    <n v="56"/>
    <n v="4"/>
    <n v="3"/>
    <n v="1"/>
    <n v="12"/>
    <n v="5"/>
    <n v="63"/>
    <n v="8"/>
    <n v="6"/>
    <n v="0"/>
    <n v="3"/>
    <n v="3"/>
    <n v="174"/>
    <m/>
  </r>
  <r>
    <n v="905"/>
    <d v="2024-10-08T15:17:20"/>
    <d v="2024-10-08T15:19:30"/>
    <s v="pchaula@lighthouse.org.mw"/>
    <s v="Pachalo Chaula"/>
    <x v="12"/>
    <s v="COE"/>
    <x v="1"/>
    <s v="COP_23"/>
    <s v="COP_23"/>
    <x v="1"/>
    <s v="Quarter4"/>
    <s v="Qtr_4"/>
    <s v="Sep"/>
    <d v="2024-09-01T00:00:00"/>
    <d v="2024-09-30T00:00:00"/>
    <x v="3"/>
    <n v="1"/>
    <n v="0"/>
    <n v="0"/>
    <n v="1"/>
    <n v="0"/>
    <n v="0"/>
    <n v="1"/>
    <n v="1"/>
    <n v="1"/>
    <n v="0"/>
    <n v="1"/>
    <n v="0"/>
    <n v="1"/>
    <n v="0"/>
    <n v="0"/>
    <n v="0"/>
    <n v="0"/>
    <n v="0"/>
    <n v="1"/>
    <n v="0"/>
    <n v="0"/>
    <n v="0"/>
    <n v="0"/>
    <n v="0"/>
    <n v="1"/>
    <m/>
  </r>
  <r>
    <n v="906"/>
    <d v="2024-10-08T15:19:37"/>
    <d v="2024-10-08T15:22:30"/>
    <s v="pchaula@lighthouse.org.mw"/>
    <s v="Pachalo Chaula"/>
    <x v="12"/>
    <s v="COE"/>
    <x v="1"/>
    <s v="COP_23"/>
    <s v="COP_23"/>
    <x v="1"/>
    <s v="Quarter4"/>
    <s v="Qtr_4"/>
    <s v="Sep"/>
    <d v="2024-09-01T00:00:00"/>
    <d v="2024-09-30T00:00:00"/>
    <x v="6"/>
    <n v="27"/>
    <n v="27"/>
    <n v="7"/>
    <n v="5"/>
    <n v="9"/>
    <n v="6"/>
    <n v="27"/>
    <n v="11"/>
    <n v="12"/>
    <n v="2"/>
    <n v="2"/>
    <n v="0"/>
    <n v="14"/>
    <n v="0"/>
    <n v="3"/>
    <n v="0"/>
    <n v="6"/>
    <n v="1"/>
    <n v="15"/>
    <n v="4"/>
    <n v="2"/>
    <n v="0"/>
    <n v="2"/>
    <n v="1"/>
    <n v="22"/>
    <m/>
  </r>
  <r>
    <n v="908"/>
    <d v="2024-10-08T15:26:49"/>
    <d v="2024-10-08T15:29:30"/>
    <s v="pchaula@lighthouse.org.mw"/>
    <s v="Pachalo Chaula"/>
    <x v="12"/>
    <s v="COE"/>
    <x v="1"/>
    <s v="COP_23"/>
    <s v="COP_23"/>
    <x v="1"/>
    <s v="Quarter4"/>
    <s v="Qtr_4"/>
    <s v="Sep"/>
    <d v="2024-09-01T00:00:00"/>
    <d v="2024-09-30T00:00:00"/>
    <x v="4"/>
    <n v="6"/>
    <n v="0"/>
    <n v="4"/>
    <n v="1"/>
    <n v="1"/>
    <n v="0"/>
    <n v="6"/>
    <n v="1"/>
    <n v="1"/>
    <n v="0"/>
    <n v="0"/>
    <n v="0"/>
    <n v="1"/>
    <n v="0"/>
    <n v="0"/>
    <n v="0"/>
    <n v="1"/>
    <n v="0"/>
    <n v="2"/>
    <n v="0"/>
    <n v="0"/>
    <n v="0"/>
    <n v="0"/>
    <n v="0"/>
    <n v="6"/>
    <m/>
  </r>
  <r>
    <n v="909"/>
    <d v="2024-10-08T15:29:43"/>
    <d v="2024-10-08T15:35:29"/>
    <s v="pchaula@lighthouse.org.mw"/>
    <s v="Pachalo Chaula"/>
    <x v="12"/>
    <s v="COE"/>
    <x v="1"/>
    <s v="COP_23"/>
    <s v="COP_23"/>
    <x v="1"/>
    <s v="Quarter4"/>
    <s v="Qtr_4"/>
    <s v="Sep"/>
    <d v="2024-09-01T00:00:00"/>
    <d v="2024-09-30T00:00:00"/>
    <x v="5"/>
    <n v="27"/>
    <n v="4"/>
    <n v="21"/>
    <n v="2"/>
    <n v="2"/>
    <n v="2"/>
    <n v="27"/>
    <n v="6"/>
    <n v="9"/>
    <n v="0"/>
    <n v="0"/>
    <n v="0"/>
    <n v="6"/>
    <n v="0"/>
    <n v="1"/>
    <n v="0"/>
    <n v="0"/>
    <n v="0"/>
    <n v="13"/>
    <n v="3"/>
    <n v="2"/>
    <n v="0"/>
    <n v="0"/>
    <n v="0"/>
    <n v="25"/>
    <m/>
  </r>
  <r>
    <n v="80"/>
    <d v="2024-01-11T15:34:00"/>
    <d v="2024-01-11T15:56:34"/>
    <s v="cdziwe@lighthouse.org.mw"/>
    <s v="Clement Dziwe"/>
    <x v="12"/>
    <s v="COE"/>
    <x v="0"/>
    <s v="COP_23"/>
    <s v="COP_23"/>
    <x v="0"/>
    <s v="Quarter1"/>
    <s v="Qtr_1"/>
    <s v="Dec"/>
    <d v="2023-12-01T00:00:00"/>
    <d v="2023-12-31T00:00:00"/>
    <x v="1"/>
    <n v="31"/>
    <n v="8"/>
    <n v="12"/>
    <n v="12"/>
    <n v="5"/>
    <n v="2"/>
    <n v="30"/>
    <n v="16"/>
    <n v="16"/>
    <n v="1"/>
    <n v="1"/>
    <n v="0"/>
    <n v="16"/>
    <n v="2"/>
    <n v="0"/>
    <n v="0"/>
    <n v="0"/>
    <n v="0"/>
    <n v="8"/>
    <n v="0"/>
    <n v="2"/>
    <n v="0"/>
    <n v="1"/>
    <n v="0"/>
    <n v="13"/>
    <m/>
  </r>
  <r>
    <n v="79"/>
    <d v="2024-01-11T15:14:34"/>
    <d v="2024-01-11T15:30:41"/>
    <s v="cdziwe@lighthouse.org.mw"/>
    <s v="Clement Dziwe"/>
    <x v="12"/>
    <s v="COE"/>
    <x v="0"/>
    <s v="COP_23"/>
    <s v="COP_23"/>
    <x v="0"/>
    <s v="Quarter1"/>
    <s v="Qtr_1"/>
    <s v="Dec"/>
    <d v="2023-12-01T00:00:00"/>
    <d v="2023-12-31T00:00:00"/>
    <x v="2"/>
    <n v="7"/>
    <n v="2"/>
    <n v="2"/>
    <n v="1"/>
    <n v="2"/>
    <n v="2"/>
    <n v="7"/>
    <n v="3"/>
    <n v="3"/>
    <n v="0"/>
    <n v="0"/>
    <n v="0"/>
    <n v="4"/>
    <n v="0"/>
    <n v="2"/>
    <n v="0"/>
    <n v="1"/>
    <n v="0"/>
    <n v="3"/>
    <n v="0"/>
    <n v="0"/>
    <n v="0"/>
    <n v="0"/>
    <n v="1"/>
    <n v="6"/>
    <m/>
  </r>
  <r>
    <n v="446"/>
    <d v="2024-05-21T12:36:10"/>
    <d v="2024-05-21T12:37:23"/>
    <s v="pchaula@lighthouse.org.mw"/>
    <s v="Pachalo Chaula"/>
    <x v="12"/>
    <s v="COE"/>
    <x v="1"/>
    <s v="COP_23"/>
    <s v="COP_23"/>
    <x v="2"/>
    <s v="Quarter2"/>
    <s v="Qtr_2"/>
    <s v="Jan"/>
    <d v="2024-02-01T00:00:00"/>
    <d v="2024-01-31T00:00:00"/>
    <x v="1"/>
    <n v="40"/>
    <n v="7"/>
    <n v="19"/>
    <n v="8"/>
    <n v="9"/>
    <n v="4"/>
    <n v="40"/>
    <n v="18"/>
    <n v="18"/>
    <n v="0"/>
    <n v="0"/>
    <n v="0"/>
    <n v="18"/>
    <n v="3"/>
    <n v="0"/>
    <n v="0"/>
    <n v="0"/>
    <n v="0"/>
    <n v="18"/>
    <n v="0"/>
    <n v="3"/>
    <n v="0"/>
    <n v="0"/>
    <n v="0"/>
    <n v="37"/>
    <m/>
  </r>
  <r>
    <n v="447"/>
    <d v="2024-05-21T12:37:35"/>
    <d v="2024-05-21T12:42:34"/>
    <s v="pchaula@lighthouse.org.mw"/>
    <s v="Pachalo Chaula"/>
    <x v="12"/>
    <s v="COE"/>
    <x v="1"/>
    <s v="COP_23"/>
    <s v="COP_23"/>
    <x v="2"/>
    <s v="Quarter2"/>
    <s v="Qtr_2"/>
    <s v="Feb"/>
    <d v="2024-02-01T00:00:00"/>
    <d v="2024-02-29T00:00:00"/>
    <x v="1"/>
    <n v="49"/>
    <n v="13"/>
    <n v="36"/>
    <n v="6"/>
    <n v="5"/>
    <n v="2"/>
    <n v="49"/>
    <n v="16"/>
    <n v="16"/>
    <n v="1"/>
    <n v="16"/>
    <n v="0"/>
    <n v="16"/>
    <n v="2"/>
    <n v="2"/>
    <n v="2"/>
    <n v="1"/>
    <n v="1"/>
    <n v="16"/>
    <n v="0"/>
    <n v="2"/>
    <n v="0"/>
    <n v="1"/>
    <n v="0"/>
    <n v="46"/>
    <m/>
  </r>
  <r>
    <n v="231"/>
    <d v="2024-04-09T09:42:35"/>
    <d v="2024-04-09T09:49:33"/>
    <s v="pchaula@lighthouse.org.mw"/>
    <s v="Pachalo Chaula"/>
    <x v="12"/>
    <s v="COE"/>
    <x v="1"/>
    <s v="COP_23"/>
    <s v="COP_23"/>
    <x v="2"/>
    <s v="Quarter2"/>
    <s v="Qtr_2"/>
    <s v="Mar"/>
    <d v="2024-03-01T00:00:00"/>
    <d v="2024-03-31T00:00:00"/>
    <x v="2"/>
    <n v="11"/>
    <n v="2"/>
    <n v="7"/>
    <n v="0"/>
    <n v="4"/>
    <n v="0"/>
    <n v="11"/>
    <n v="4"/>
    <n v="4"/>
    <n v="1"/>
    <n v="1"/>
    <n v="0"/>
    <n v="4"/>
    <n v="1"/>
    <n v="0"/>
    <n v="0"/>
    <n v="3"/>
    <n v="0"/>
    <n v="4"/>
    <n v="0"/>
    <n v="1"/>
    <n v="0"/>
    <n v="1"/>
    <n v="0"/>
    <n v="5"/>
    <m/>
  </r>
  <r>
    <n v="307"/>
    <d v="2024-04-25T08:23:09"/>
    <d v="2024-04-25T08:30:17"/>
    <s v="pchaula@lighthouse.org.mw"/>
    <s v="Pachalo Chaula"/>
    <x v="12"/>
    <s v="COE"/>
    <x v="1"/>
    <s v="COP_23"/>
    <s v="COP_23"/>
    <x v="2"/>
    <s v="Quarter2"/>
    <s v="Qtr_2"/>
    <s v="Jan"/>
    <d v="2024-01-01T00:00:00"/>
    <d v="2024-01-31T00:00:00"/>
    <x v="2"/>
    <n v="6"/>
    <n v="0"/>
    <n v="3"/>
    <n v="1"/>
    <n v="2"/>
    <n v="0"/>
    <n v="1"/>
    <n v="1"/>
    <n v="0"/>
    <n v="0"/>
    <n v="0"/>
    <n v="0"/>
    <n v="0"/>
    <n v="0"/>
    <n v="0"/>
    <n v="0"/>
    <n v="0"/>
    <n v="0"/>
    <n v="0"/>
    <n v="0"/>
    <n v="0"/>
    <n v="0"/>
    <n v="0"/>
    <n v="0"/>
    <n v="6"/>
    <m/>
  </r>
  <r>
    <n v="448"/>
    <d v="2024-05-21T12:43:03"/>
    <d v="2024-05-21T12:47:19"/>
    <s v="pchaula@lighthouse.org.mw"/>
    <s v="Pachalo Chaula"/>
    <x v="12"/>
    <s v="COE"/>
    <x v="1"/>
    <s v="COP_23"/>
    <s v="COP_23"/>
    <x v="2"/>
    <s v="Quarter2"/>
    <s v="Qtr_2"/>
    <s v="Mar"/>
    <d v="2024-03-01T00:00:00"/>
    <d v="2024-03-31T00:00:00"/>
    <x v="1"/>
    <n v="42"/>
    <n v="17"/>
    <n v="16"/>
    <n v="5"/>
    <n v="7"/>
    <n v="14"/>
    <n v="42"/>
    <n v="8"/>
    <n v="12"/>
    <n v="3"/>
    <n v="2"/>
    <n v="0"/>
    <n v="12"/>
    <n v="4"/>
    <n v="9"/>
    <n v="4"/>
    <n v="2"/>
    <n v="2"/>
    <n v="6"/>
    <n v="1"/>
    <n v="4"/>
    <n v="0"/>
    <n v="3"/>
    <n v="0"/>
    <n v="35"/>
    <m/>
  </r>
  <r>
    <n v="517"/>
    <d v="2024-06-07T10:50:30"/>
    <d v="2024-06-07T10:54:47"/>
    <s v="pchaula@lighthouse.org.mw"/>
    <s v="Pachalo Chaula"/>
    <x v="12"/>
    <s v="COE"/>
    <x v="1"/>
    <s v="COP_24"/>
    <s v="COP_23"/>
    <x v="3"/>
    <s v="Quarter3"/>
    <s v="Qtr_3"/>
    <s v="May"/>
    <d v="2024-05-01T00:00:00"/>
    <d v="2024-05-31T00:00:00"/>
    <x v="1"/>
    <n v="54"/>
    <n v="11"/>
    <n v="32"/>
    <n v="8"/>
    <n v="9"/>
    <n v="5"/>
    <n v="24"/>
    <n v="8"/>
    <n v="37"/>
    <n v="2"/>
    <n v="2"/>
    <n v="1"/>
    <n v="5"/>
    <n v="0"/>
    <n v="3"/>
    <n v="1"/>
    <n v="3"/>
    <n v="1"/>
    <n v="31"/>
    <n v="2"/>
    <n v="2"/>
    <n v="1"/>
    <n v="1"/>
    <n v="0"/>
    <n v="50"/>
    <m/>
  </r>
  <r>
    <n v="323"/>
    <d v="2024-04-29T14:46:21"/>
    <d v="2024-04-29T14:49:08"/>
    <s v="pchaula@lighthouse.org.mw"/>
    <s v="Pachalo Chaula"/>
    <x v="12"/>
    <s v="COE"/>
    <x v="1"/>
    <s v="COP_23"/>
    <s v="COP_23"/>
    <x v="2"/>
    <s v="Quarter2"/>
    <s v="Qtr_2"/>
    <s v="Feb"/>
    <d v="2024-02-02T00:00:00"/>
    <d v="2024-02-29T00:00:00"/>
    <x v="2"/>
    <n v="11"/>
    <n v="0"/>
    <n v="3"/>
    <n v="1"/>
    <n v="3"/>
    <n v="4"/>
    <n v="11"/>
    <n v="3"/>
    <n v="1"/>
    <n v="0"/>
    <n v="1"/>
    <n v="0"/>
    <n v="1"/>
    <n v="0"/>
    <n v="0"/>
    <n v="0"/>
    <n v="2"/>
    <n v="0"/>
    <n v="0"/>
    <n v="0"/>
    <n v="0"/>
    <n v="0"/>
    <n v="0"/>
    <n v="0"/>
    <n v="11"/>
    <m/>
  </r>
  <r>
    <n v="582"/>
    <d v="2024-07-04T13:33:32"/>
    <d v="2024-07-04T13:37:32"/>
    <s v="pchaula@lighthouse.org.mw"/>
    <s v="Pachalo Chaula"/>
    <x v="12"/>
    <s v="COE"/>
    <x v="1"/>
    <s v="COP_24"/>
    <s v="COP_23"/>
    <x v="3"/>
    <s v="Quarter3"/>
    <s v="Qtr_3"/>
    <s v="Jun"/>
    <d v="2024-06-01T00:00:00"/>
    <d v="2024-06-30T00:00:00"/>
    <x v="1"/>
    <n v="31"/>
    <n v="6"/>
    <n v="21"/>
    <n v="3"/>
    <n v="6"/>
    <n v="0"/>
    <n v="30"/>
    <n v="15"/>
    <n v="18"/>
    <n v="1"/>
    <n v="30"/>
    <n v="0"/>
    <n v="0"/>
    <n v="0"/>
    <n v="1"/>
    <n v="0"/>
    <n v="1"/>
    <n v="0"/>
    <n v="14"/>
    <n v="4"/>
    <n v="3"/>
    <n v="0"/>
    <n v="1"/>
    <n v="0"/>
    <n v="26"/>
    <m/>
  </r>
  <r>
    <n v="699"/>
    <d v="2024-07-31T12:46:13"/>
    <d v="2024-07-31T12:51:15"/>
    <s v="pchaula@lighthouse.org.mw"/>
    <s v="Pachalo Chaula"/>
    <x v="12"/>
    <s v="COE"/>
    <x v="1"/>
    <s v="COP_24"/>
    <s v="COP_23"/>
    <x v="3"/>
    <s v="Quarter3"/>
    <s v="Qtr_3"/>
    <s v="Apr"/>
    <d v="2024-04-01T00:00:00"/>
    <d v="2024-04-30T00:00:00"/>
    <x v="1"/>
    <n v="35"/>
    <n v="11"/>
    <n v="19"/>
    <n v="10"/>
    <n v="6"/>
    <n v="0"/>
    <n v="34"/>
    <n v="12"/>
    <n v="13"/>
    <n v="1"/>
    <n v="1"/>
    <n v="0"/>
    <n v="14"/>
    <n v="2"/>
    <n v="1"/>
    <n v="0"/>
    <n v="2"/>
    <n v="1"/>
    <n v="11"/>
    <n v="1"/>
    <n v="2"/>
    <n v="0"/>
    <n v="1"/>
    <n v="0"/>
    <n v="32"/>
    <m/>
  </r>
  <r>
    <n v="712"/>
    <d v="2024-08-05T14:03:08"/>
    <d v="2024-08-05T14:10:07"/>
    <s v="pchaula@lighthouse.org.mw"/>
    <s v="Pachalo Chaula"/>
    <x v="12"/>
    <s v="COE"/>
    <x v="1"/>
    <s v="COP_23"/>
    <s v="COP_23"/>
    <x v="1"/>
    <s v="Quarter4"/>
    <s v="Qtr_4"/>
    <s v="Jul"/>
    <d v="2024-07-01T00:00:00"/>
    <d v="2024-07-31T00:00:00"/>
    <x v="1"/>
    <n v="33"/>
    <n v="10"/>
    <n v="18"/>
    <n v="3"/>
    <n v="8"/>
    <n v="4"/>
    <n v="33"/>
    <n v="9"/>
    <n v="13"/>
    <n v="0"/>
    <n v="0"/>
    <n v="0"/>
    <n v="0"/>
    <n v="0"/>
    <n v="1"/>
    <n v="0"/>
    <n v="1"/>
    <n v="1"/>
    <n v="11"/>
    <n v="1"/>
    <n v="1"/>
    <n v="0"/>
    <n v="0"/>
    <n v="0"/>
    <n v="32"/>
    <m/>
  </r>
  <r>
    <n v="911"/>
    <d v="2024-10-08T15:37:19"/>
    <d v="2024-10-08T15:39:54"/>
    <s v="pchaula@lighthouse.org.mw"/>
    <s v="Pachalo Chaula"/>
    <x v="12"/>
    <s v="COE"/>
    <x v="1"/>
    <s v="COP_23"/>
    <s v="COP_23"/>
    <x v="1"/>
    <s v="Quarter4"/>
    <s v="Qtr_4"/>
    <s v="Sep"/>
    <d v="2024-09-01T00:00:00"/>
    <d v="2024-09-30T00:00:00"/>
    <x v="1"/>
    <n v="51"/>
    <n v="12"/>
    <n v="30"/>
    <n v="10"/>
    <n v="8"/>
    <n v="3"/>
    <n v="51"/>
    <n v="14"/>
    <n v="15"/>
    <n v="1"/>
    <n v="1"/>
    <n v="0"/>
    <n v="14"/>
    <n v="1"/>
    <n v="1"/>
    <n v="0"/>
    <n v="5"/>
    <n v="0"/>
    <n v="13"/>
    <n v="3"/>
    <n v="2"/>
    <n v="0"/>
    <n v="1"/>
    <n v="0"/>
    <n v="48"/>
    <m/>
  </r>
  <r>
    <n v="399"/>
    <d v="2024-05-09T14:53:04"/>
    <d v="2024-05-09T14:57:49"/>
    <s v="pchaula@lighthouse.org.mw"/>
    <s v="Pachalo Chaula"/>
    <x v="12"/>
    <s v="COE"/>
    <x v="1"/>
    <s v="COP_24"/>
    <s v="COP_23"/>
    <x v="3"/>
    <s v="Quarter3"/>
    <s v="Qtr_3"/>
    <s v="Apr"/>
    <d v="2024-04-01T00:00:00"/>
    <d v="2024-04-30T00:00:00"/>
    <x v="2"/>
    <n v="6"/>
    <n v="1"/>
    <n v="5"/>
    <n v="0"/>
    <n v="0"/>
    <n v="0"/>
    <n v="6"/>
    <n v="3"/>
    <n v="3"/>
    <n v="0"/>
    <n v="6"/>
    <n v="0"/>
    <n v="3"/>
    <n v="1"/>
    <n v="2"/>
    <n v="0"/>
    <n v="0"/>
    <n v="0"/>
    <n v="3"/>
    <n v="0"/>
    <n v="1"/>
    <n v="0"/>
    <n v="0"/>
    <n v="0"/>
    <n v="5"/>
    <m/>
  </r>
  <r>
    <n v="963"/>
    <d v="2024-10-18T15:39:52"/>
    <d v="2024-10-18T15:43:16"/>
    <s v="pchaula@lighthouse.org.mw"/>
    <s v="Pachalo Chaula"/>
    <x v="12"/>
    <s v="COE"/>
    <x v="1"/>
    <s v="COP_23"/>
    <s v="COP_23"/>
    <x v="1"/>
    <s v="Quarter4"/>
    <s v="Qtr_4"/>
    <s v="Aug"/>
    <d v="2024-08-01T00:00:00"/>
    <d v="2024-08-31T00:00:00"/>
    <x v="1"/>
    <n v="35"/>
    <n v="11"/>
    <n v="19"/>
    <n v="7"/>
    <n v="8"/>
    <n v="1"/>
    <n v="24"/>
    <n v="10"/>
    <n v="21"/>
    <n v="1"/>
    <n v="2"/>
    <n v="0"/>
    <n v="4"/>
    <n v="1"/>
    <n v="1"/>
    <n v="0"/>
    <n v="3"/>
    <n v="1"/>
    <n v="16"/>
    <n v="2"/>
    <n v="1"/>
    <n v="0"/>
    <n v="1"/>
    <n v="1"/>
    <n v="32"/>
    <m/>
  </r>
  <r>
    <n v="523"/>
    <d v="2024-06-07T11:10:01"/>
    <d v="2024-06-07T11:12:39"/>
    <s v="pchaula@lighthouse.org.mw"/>
    <s v="Pachalo Chaula"/>
    <x v="12"/>
    <s v="COE"/>
    <x v="1"/>
    <s v="COP_24"/>
    <s v="COP_23"/>
    <x v="3"/>
    <s v="Quarter3"/>
    <s v="Qtr_3"/>
    <s v="May"/>
    <d v="2024-05-01T00:00:00"/>
    <d v="2024-05-31T00:00:00"/>
    <x v="2"/>
    <n v="5"/>
    <n v="1"/>
    <n v="3"/>
    <n v="0"/>
    <n v="0"/>
    <n v="2"/>
    <n v="3"/>
    <n v="1"/>
    <n v="4"/>
    <n v="0"/>
    <n v="0"/>
    <n v="0"/>
    <n v="1"/>
    <n v="0"/>
    <n v="0"/>
    <n v="0"/>
    <n v="0"/>
    <n v="0"/>
    <n v="1"/>
    <n v="0"/>
    <n v="0"/>
    <n v="0"/>
    <n v="0"/>
    <n v="0"/>
    <n v="5"/>
    <m/>
  </r>
  <r>
    <n v="586"/>
    <d v="2024-07-04T14:11:55"/>
    <d v="2024-07-04T14:15:33"/>
    <s v="pchaula@lighthouse.org.mw"/>
    <s v="Pachalo Chaula"/>
    <x v="12"/>
    <s v="COE"/>
    <x v="1"/>
    <s v="COP_24"/>
    <s v="COP_23"/>
    <x v="3"/>
    <s v="Quarter3"/>
    <s v="Qtr_3"/>
    <s v="Jun"/>
    <d v="2024-06-01T00:00:00"/>
    <d v="2024-06-30T00:00:00"/>
    <x v="2"/>
    <n v="9"/>
    <n v="1"/>
    <n v="6"/>
    <n v="1"/>
    <n v="1"/>
    <n v="1"/>
    <n v="9"/>
    <n v="1"/>
    <n v="1"/>
    <n v="0"/>
    <n v="0"/>
    <n v="0"/>
    <n v="0"/>
    <n v="0"/>
    <n v="0"/>
    <n v="0"/>
    <n v="0"/>
    <n v="0"/>
    <n v="1"/>
    <n v="0"/>
    <n v="0"/>
    <n v="0"/>
    <n v="0"/>
    <n v="1"/>
    <n v="8"/>
    <m/>
  </r>
  <r>
    <n v="1034"/>
    <d v="2024-11-07T09:16:06"/>
    <d v="2024-11-07T09:37:32"/>
    <s v="pchaula@lighthouse.org.mw"/>
    <s v="Pachalo Chaula"/>
    <x v="12"/>
    <s v="COE"/>
    <x v="1"/>
    <s v="COP_24"/>
    <s v="COP_24"/>
    <x v="0"/>
    <s v="Quarter1"/>
    <s v="Qtr_1"/>
    <s v="Oct"/>
    <d v="2024-10-01T00:00:00"/>
    <d v="2024-10-31T00:00:00"/>
    <x v="1"/>
    <n v="24"/>
    <n v="7"/>
    <n v="13"/>
    <n v="5"/>
    <n v="4"/>
    <n v="2"/>
    <n v="22"/>
    <n v="7"/>
    <n v="9"/>
    <n v="1"/>
    <n v="1"/>
    <n v="0"/>
    <n v="8"/>
    <n v="0"/>
    <n v="2"/>
    <n v="0"/>
    <n v="4"/>
    <n v="2"/>
    <n v="9"/>
    <n v="0"/>
    <n v="0"/>
    <n v="0"/>
    <n v="1"/>
    <n v="0"/>
    <n v="23"/>
    <m/>
  </r>
  <r>
    <n v="713"/>
    <d v="2024-08-05T14:10:26"/>
    <d v="2024-08-05T14:16:14"/>
    <s v="pchaula@lighthouse.org.mw"/>
    <s v="Pachalo Chaula"/>
    <x v="12"/>
    <s v="COE"/>
    <x v="1"/>
    <s v="COP_23"/>
    <s v="COP_23"/>
    <x v="1"/>
    <s v="Quarter4"/>
    <s v="Qtr_4"/>
    <s v="Jul"/>
    <d v="2024-07-01T00:00:00"/>
    <d v="2024-07-31T00:00:00"/>
    <x v="2"/>
    <n v="11"/>
    <n v="5"/>
    <n v="4"/>
    <n v="2"/>
    <n v="4"/>
    <n v="1"/>
    <n v="9"/>
    <n v="5"/>
    <n v="6"/>
    <n v="0"/>
    <n v="1"/>
    <n v="0"/>
    <n v="0"/>
    <n v="0"/>
    <n v="1"/>
    <n v="0"/>
    <n v="1"/>
    <n v="1"/>
    <n v="6"/>
    <n v="1"/>
    <n v="0"/>
    <n v="0"/>
    <n v="0"/>
    <n v="0"/>
    <n v="11"/>
    <m/>
  </r>
  <r>
    <n v="800"/>
    <d v="2024-09-12T08:59:15"/>
    <d v="2024-09-12T09:03:25"/>
    <s v="pchaula@lighthouse.org.mw"/>
    <s v="Pachalo Chaula"/>
    <x v="12"/>
    <s v="COE"/>
    <x v="1"/>
    <s v="COP_23"/>
    <s v="COP_23"/>
    <x v="1"/>
    <s v="Quarter4"/>
    <s v="Qtr_4"/>
    <s v="Aug"/>
    <d v="2024-08-01T00:00:00"/>
    <d v="2024-08-31T00:00:00"/>
    <x v="2"/>
    <n v="4"/>
    <n v="2"/>
    <n v="0"/>
    <n v="0"/>
    <n v="4"/>
    <n v="0"/>
    <n v="3"/>
    <n v="0"/>
    <n v="4"/>
    <n v="0"/>
    <n v="0"/>
    <n v="0"/>
    <n v="0"/>
    <n v="0"/>
    <n v="0"/>
    <n v="0"/>
    <n v="1"/>
    <n v="1"/>
    <n v="1"/>
    <n v="0"/>
    <n v="0"/>
    <n v="0"/>
    <n v="0"/>
    <n v="0"/>
    <n v="4"/>
    <m/>
  </r>
  <r>
    <n v="907"/>
    <d v="2024-10-08T15:22:38"/>
    <d v="2024-10-08T15:25:05"/>
    <s v="pchaula@lighthouse.org.mw"/>
    <s v="Pachalo Chaula"/>
    <x v="12"/>
    <s v="COE"/>
    <x v="1"/>
    <s v="COP_23"/>
    <s v="COP_23"/>
    <x v="1"/>
    <s v="Quarter4"/>
    <s v="Qtr_4"/>
    <s v="Sep"/>
    <d v="2024-09-01T00:00:00"/>
    <d v="2024-09-30T00:00:00"/>
    <x v="2"/>
    <n v="10"/>
    <n v="4"/>
    <n v="5"/>
    <n v="0"/>
    <n v="2"/>
    <n v="3"/>
    <n v="9"/>
    <n v="5"/>
    <n v="5"/>
    <n v="1"/>
    <n v="1"/>
    <n v="0"/>
    <n v="6"/>
    <n v="0"/>
    <n v="1"/>
    <n v="1"/>
    <n v="2"/>
    <n v="0"/>
    <n v="6"/>
    <n v="2"/>
    <n v="2"/>
    <n v="0"/>
    <n v="1"/>
    <n v="0"/>
    <n v="7"/>
    <m/>
  </r>
  <r>
    <n v="1039"/>
    <d v="2024-11-07T09:53:41"/>
    <d v="2024-11-07T09:56:25"/>
    <s v="pchaula@lighthouse.org.mw"/>
    <s v="Pachalo Chaula"/>
    <x v="12"/>
    <s v="COE"/>
    <x v="1"/>
    <s v="COP_24"/>
    <s v="COP_24"/>
    <x v="0"/>
    <s v="Quarter1"/>
    <s v="Qtr_1"/>
    <s v="Oct"/>
    <d v="2024-10-01T00:00:00"/>
    <d v="2024-10-31T00:00:00"/>
    <x v="2"/>
    <n v="13"/>
    <n v="3"/>
    <n v="6"/>
    <n v="2"/>
    <n v="5"/>
    <n v="0"/>
    <n v="13"/>
    <n v="4"/>
    <n v="5"/>
    <n v="3"/>
    <n v="3"/>
    <n v="0"/>
    <n v="6"/>
    <n v="0"/>
    <n v="1"/>
    <n v="0"/>
    <n v="2"/>
    <n v="0"/>
    <n v="4"/>
    <n v="0"/>
    <n v="0"/>
    <n v="0"/>
    <n v="3"/>
    <n v="0"/>
    <n v="10"/>
    <m/>
  </r>
  <r>
    <n v="1033"/>
    <d v="2024-11-07T09:08:45"/>
    <d v="2024-11-07T09:15:44"/>
    <s v="pchaula@lighthouse.org.mw"/>
    <s v="Pachalo Chaula"/>
    <x v="12"/>
    <s v="COE"/>
    <x v="1"/>
    <s v="COP_24"/>
    <s v="COP_24"/>
    <x v="0"/>
    <s v="Quarter1"/>
    <s v="Qtr_1"/>
    <s v="Oct"/>
    <d v="2024-10-01T00:00:00"/>
    <d v="2024-10-31T00:00:00"/>
    <x v="0"/>
    <n v="147"/>
    <n v="67"/>
    <n v="71"/>
    <n v="14"/>
    <n v="47"/>
    <n v="15"/>
    <n v="132"/>
    <n v="32"/>
    <n v="53"/>
    <n v="6"/>
    <n v="6"/>
    <n v="0"/>
    <n v="68"/>
    <n v="4"/>
    <n v="10"/>
    <n v="0"/>
    <n v="14"/>
    <n v="2"/>
    <n v="48"/>
    <n v="2"/>
    <n v="5"/>
    <n v="0"/>
    <n v="6"/>
    <n v="1"/>
    <n v="125"/>
    <m/>
  </r>
  <r>
    <n v="1035"/>
    <d v="2024-11-07T09:39:47"/>
    <d v="2024-11-07T09:43:51"/>
    <s v="pchaula@lighthouse.org.mw"/>
    <s v="Pachalo Chaula"/>
    <x v="12"/>
    <s v="COE"/>
    <x v="1"/>
    <s v="COP_24"/>
    <s v="COP_24"/>
    <x v="0"/>
    <s v="Quarter1"/>
    <s v="Qtr_1"/>
    <s v="Oct"/>
    <d v="2024-10-01T00:00:00"/>
    <d v="2024-10-31T00:00:00"/>
    <x v="4"/>
    <n v="7"/>
    <n v="3"/>
    <n v="4"/>
    <n v="0"/>
    <n v="2"/>
    <n v="1"/>
    <n v="6"/>
    <n v="1"/>
    <n v="4"/>
    <n v="0"/>
    <n v="0"/>
    <n v="0"/>
    <n v="3"/>
    <n v="0"/>
    <n v="0"/>
    <n v="0"/>
    <n v="0"/>
    <n v="0"/>
    <n v="2"/>
    <n v="0"/>
    <n v="0"/>
    <n v="0"/>
    <n v="0"/>
    <n v="0"/>
    <n v="7"/>
    <m/>
  </r>
  <r>
    <n v="1036"/>
    <d v="2024-11-07T09:44:00"/>
    <d v="2024-11-07T09:46:40"/>
    <s v="pchaula@lighthouse.org.mw"/>
    <s v="Pachalo Chaula"/>
    <x v="12"/>
    <s v="COE"/>
    <x v="1"/>
    <s v="COP_24"/>
    <s v="COP_24"/>
    <x v="0"/>
    <s v="Quarter1"/>
    <s v="Qtr_1"/>
    <s v="Oct"/>
    <d v="2024-10-01T00:00:00"/>
    <d v="2024-10-31T00:00:00"/>
    <x v="3"/>
    <n v="2"/>
    <n v="1"/>
    <n v="1"/>
    <n v="0"/>
    <n v="0"/>
    <n v="1"/>
    <n v="0"/>
    <n v="0"/>
    <n v="2"/>
    <n v="0"/>
    <n v="0"/>
    <n v="0"/>
    <n v="1"/>
    <n v="1"/>
    <n v="0"/>
    <n v="0"/>
    <n v="1"/>
    <n v="0"/>
    <n v="1"/>
    <n v="0"/>
    <n v="0"/>
    <n v="0"/>
    <n v="0"/>
    <n v="0"/>
    <n v="2"/>
    <m/>
  </r>
  <r>
    <n v="1037"/>
    <d v="2024-11-07T09:46:51"/>
    <d v="2024-11-07T09:49:06"/>
    <s v="pchaula@lighthouse.org.mw"/>
    <s v="Pachalo Chaula"/>
    <x v="12"/>
    <s v="COE"/>
    <x v="1"/>
    <s v="COP_24"/>
    <s v="COP_24"/>
    <x v="0"/>
    <s v="Quarter1"/>
    <s v="Qtr_1"/>
    <s v="Oct"/>
    <d v="2024-10-01T00:00:00"/>
    <d v="2024-10-31T00:00:00"/>
    <x v="6"/>
    <n v="23"/>
    <n v="23"/>
    <n v="4"/>
    <n v="11"/>
    <n v="6"/>
    <n v="2"/>
    <n v="13"/>
    <n v="4"/>
    <n v="6"/>
    <n v="0"/>
    <n v="0"/>
    <n v="0"/>
    <n v="12"/>
    <n v="0"/>
    <n v="4"/>
    <n v="0"/>
    <n v="8"/>
    <n v="0"/>
    <n v="7"/>
    <n v="0"/>
    <n v="0"/>
    <n v="0"/>
    <n v="0"/>
    <n v="0"/>
    <n v="23"/>
    <m/>
  </r>
  <r>
    <n v="1038"/>
    <d v="2024-11-07T09:49:43"/>
    <d v="2024-11-07T09:53:19"/>
    <s v="pchaula@lighthouse.org.mw"/>
    <s v="Pachalo Chaula"/>
    <x v="12"/>
    <s v="COE"/>
    <x v="1"/>
    <s v="COP_24"/>
    <s v="COP_24"/>
    <x v="0"/>
    <s v="Quarter1"/>
    <s v="Qtr_1"/>
    <s v="Oct"/>
    <d v="2024-10-01T00:00:00"/>
    <d v="2024-10-31T00:00:00"/>
    <x v="5"/>
    <n v="18"/>
    <n v="1"/>
    <n v="17"/>
    <n v="0"/>
    <n v="0"/>
    <n v="1"/>
    <n v="16"/>
    <n v="3"/>
    <n v="7"/>
    <n v="0"/>
    <n v="0"/>
    <n v="0"/>
    <n v="6"/>
    <n v="0"/>
    <n v="1"/>
    <n v="0"/>
    <n v="1"/>
    <n v="0"/>
    <n v="7"/>
    <n v="0"/>
    <n v="0"/>
    <n v="0"/>
    <n v="0"/>
    <n v="0"/>
    <n v="18"/>
    <m/>
  </r>
  <r>
    <n v="1124"/>
    <d v="2024-12-06T10:30:11"/>
    <d v="2024-12-10T13:03:32"/>
    <s v="pchaula@lighthouse.org.mw"/>
    <s v="Pachalo Chaula"/>
    <x v="12"/>
    <s v="COE"/>
    <x v="1"/>
    <s v="COP_24"/>
    <s v="COP_24"/>
    <x v="0"/>
    <s v="Quarter1"/>
    <s v="Qtr_1"/>
    <s v="Nov"/>
    <d v="2024-11-01T00:00:00"/>
    <d v="2024-11-30T00:00:00"/>
    <x v="1"/>
    <n v="39"/>
    <n v="12"/>
    <n v="17"/>
    <n v="7"/>
    <n v="11"/>
    <n v="4"/>
    <n v="39"/>
    <n v="14"/>
    <n v="14"/>
    <n v="0"/>
    <n v="0"/>
    <n v="0"/>
    <n v="14"/>
    <n v="3"/>
    <n v="3"/>
    <n v="1"/>
    <n v="6"/>
    <n v="5"/>
    <n v="11"/>
    <n v="2"/>
    <n v="4"/>
    <n v="0"/>
    <n v="0"/>
    <n v="0"/>
    <n v="39"/>
    <m/>
  </r>
  <r>
    <n v="1125"/>
    <d v="2024-12-10T13:05:48"/>
    <d v="2024-12-10T13:09:47"/>
    <s v="pchaula@lighthouse.org.mw"/>
    <s v="Pachalo Chaula"/>
    <x v="12"/>
    <s v="COE"/>
    <x v="1"/>
    <s v="COP_24"/>
    <s v="COP_24"/>
    <x v="0"/>
    <s v="Quarter1"/>
    <s v="Qtr_1"/>
    <s v="Nov"/>
    <d v="2024-11-01T00:00:00"/>
    <d v="2024-11-30T00:00:00"/>
    <x v="5"/>
    <n v="41"/>
    <n v="3"/>
    <n v="34"/>
    <n v="3"/>
    <n v="3"/>
    <n v="1"/>
    <n v="0"/>
    <n v="8"/>
    <n v="8"/>
    <n v="0"/>
    <n v="0"/>
    <n v="0"/>
    <n v="8"/>
    <n v="0"/>
    <n v="1"/>
    <n v="0"/>
    <n v="4"/>
    <n v="0"/>
    <n v="31"/>
    <n v="0"/>
    <n v="0"/>
    <n v="0"/>
    <n v="0"/>
    <n v="0"/>
    <n v="41"/>
    <m/>
  </r>
  <r>
    <n v="1126"/>
    <d v="2024-12-10T13:10:00"/>
    <d v="2024-12-10T13:14:56"/>
    <s v="pchaula@lighthouse.org.mw"/>
    <s v="Pachalo Chaula"/>
    <x v="12"/>
    <s v="COE"/>
    <x v="1"/>
    <s v="COP_24"/>
    <s v="COP_24"/>
    <x v="0"/>
    <s v="Quarter1"/>
    <s v="Qtr_1"/>
    <s v="Nov"/>
    <d v="2024-11-01T00:00:00"/>
    <d v="2024-11-30T00:00:00"/>
    <x v="4"/>
    <n v="10"/>
    <n v="2"/>
    <n v="4"/>
    <n v="0"/>
    <n v="5"/>
    <n v="1"/>
    <n v="10"/>
    <n v="5"/>
    <n v="5"/>
    <n v="0"/>
    <n v="0"/>
    <n v="0"/>
    <n v="6"/>
    <n v="1"/>
    <n v="0"/>
    <n v="0"/>
    <n v="0"/>
    <n v="0"/>
    <n v="7"/>
    <n v="0"/>
    <n v="1"/>
    <n v="0"/>
    <n v="0"/>
    <n v="0"/>
    <n v="10"/>
    <m/>
  </r>
  <r>
    <n v="1127"/>
    <d v="2024-12-10T13:15:29"/>
    <d v="2024-12-10T13:27:50"/>
    <s v="pchaula@lighthouse.org.mw"/>
    <s v="Pachalo Chaula"/>
    <x v="12"/>
    <s v="COE"/>
    <x v="1"/>
    <s v="COP_24"/>
    <s v="COP_24"/>
    <x v="0"/>
    <s v="Quarter1"/>
    <s v="Qtr_1"/>
    <s v="Nov"/>
    <d v="2024-11-01T00:00:00"/>
    <d v="2024-11-30T00:00:00"/>
    <x v="3"/>
    <n v="1"/>
    <n v="1"/>
    <n v="0"/>
    <n v="1"/>
    <n v="0"/>
    <n v="0"/>
    <n v="1"/>
    <n v="0"/>
    <n v="1"/>
    <n v="0"/>
    <n v="0"/>
    <n v="0"/>
    <n v="1"/>
    <n v="0"/>
    <n v="0"/>
    <n v="0"/>
    <n v="0"/>
    <n v="0"/>
    <n v="1"/>
    <n v="0"/>
    <n v="0"/>
    <n v="0"/>
    <n v="0"/>
    <n v="0"/>
    <n v="1"/>
    <m/>
  </r>
  <r>
    <n v="1128"/>
    <d v="2024-12-10T13:28:05"/>
    <d v="2024-12-10T13:32:04"/>
    <s v="pchaula@lighthouse.org.mw"/>
    <s v="Pachalo Chaula"/>
    <x v="12"/>
    <s v="COE"/>
    <x v="1"/>
    <s v="COP_24"/>
    <s v="COP_24"/>
    <x v="0"/>
    <s v="Quarter1"/>
    <s v="Qtr_1"/>
    <s v="Nov"/>
    <d v="2024-11-01T00:00:00"/>
    <d v="2024-11-30T00:00:00"/>
    <x v="6"/>
    <n v="34"/>
    <n v="34"/>
    <n v="8"/>
    <n v="12"/>
    <n v="9"/>
    <n v="5"/>
    <n v="33"/>
    <n v="15"/>
    <n v="1"/>
    <n v="0"/>
    <n v="1"/>
    <n v="0"/>
    <n v="18"/>
    <n v="2"/>
    <n v="4"/>
    <n v="1"/>
    <n v="12"/>
    <n v="3"/>
    <n v="15"/>
    <n v="0"/>
    <n v="2"/>
    <n v="0"/>
    <n v="1"/>
    <n v="0"/>
    <n v="31"/>
    <m/>
  </r>
  <r>
    <n v="1129"/>
    <d v="2024-12-10T13:32:14"/>
    <d v="2024-12-10T13:35:55"/>
    <s v="pchaula@lighthouse.org.mw"/>
    <s v="Pachalo Chaula"/>
    <x v="12"/>
    <s v="COE"/>
    <x v="1"/>
    <s v="COP_24"/>
    <s v="COP_24"/>
    <x v="0"/>
    <s v="Quarter1"/>
    <s v="Qtr_1"/>
    <s v="Nov"/>
    <d v="2024-11-01T00:00:00"/>
    <d v="2024-11-30T00:00:00"/>
    <x v="2"/>
    <n v="19"/>
    <n v="2"/>
    <n v="11"/>
    <n v="5"/>
    <n v="2"/>
    <n v="1"/>
    <n v="19"/>
    <n v="5"/>
    <n v="6"/>
    <n v="2"/>
    <n v="2"/>
    <n v="0"/>
    <n v="5"/>
    <n v="0"/>
    <n v="0"/>
    <n v="0"/>
    <n v="2"/>
    <n v="0"/>
    <n v="6"/>
    <n v="0"/>
    <n v="0"/>
    <n v="0"/>
    <n v="2"/>
    <n v="0"/>
    <n v="17"/>
    <m/>
  </r>
  <r>
    <n v="1130"/>
    <d v="2024-12-12T14:05:38"/>
    <d v="2024-12-12T14:05:53"/>
    <s v="pchaula@lighthouse.org.mw"/>
    <s v="Pachalo Chaula"/>
    <x v="12"/>
    <s v="COE"/>
    <x v="1"/>
    <s v="COP_24"/>
    <s v="COP_24"/>
    <x v="0"/>
    <s v="Quarter1"/>
    <s v="Qtr_1"/>
    <s v="Nov"/>
    <d v="2024-11-01T00:00:00"/>
    <d v="2024-11-30T00:00:00"/>
    <x v="0"/>
    <n v="165"/>
    <n v="43"/>
    <n v="87"/>
    <n v="27"/>
    <n v="40"/>
    <n v="11"/>
    <n v="164"/>
    <n v="49"/>
    <n v="51"/>
    <n v="3"/>
    <n v="3"/>
    <n v="0"/>
    <n v="51"/>
    <n v="1"/>
    <n v="3"/>
    <n v="0"/>
    <n v="12"/>
    <n v="3"/>
    <n v="66"/>
    <n v="1"/>
    <n v="1"/>
    <n v="0"/>
    <n v="3"/>
    <n v="0"/>
    <n v="161"/>
    <m/>
  </r>
  <r>
    <n v="1276"/>
    <d v="2025-01-14T15:45:39"/>
    <d v="2025-01-14T15:47:07"/>
    <s v="pchaula@lighthouse.org.mw"/>
    <s v="Pachalo Chaula"/>
    <x v="12"/>
    <s v="COE"/>
    <x v="1"/>
    <s v="COP_24"/>
    <s v="COP_24"/>
    <x v="0"/>
    <s v="Quarter1"/>
    <s v="Qtr_1"/>
    <s v="Dec"/>
    <d v="2024-12-01T00:00:00"/>
    <d v="2024-12-31T00:00:00"/>
    <x v="3"/>
    <n v="0"/>
    <n v="0"/>
    <n v="0"/>
    <n v="0"/>
    <n v="0"/>
    <n v="0"/>
    <n v="0"/>
    <n v="0"/>
    <n v="0"/>
    <n v="0"/>
    <n v="0"/>
    <n v="0"/>
    <n v="0"/>
    <n v="0"/>
    <n v="0"/>
    <n v="0"/>
    <n v="0"/>
    <n v="0"/>
    <n v="0"/>
    <n v="0"/>
    <n v="0"/>
    <n v="0"/>
    <n v="0"/>
    <n v="0"/>
    <n v="0"/>
    <m/>
  </r>
  <r>
    <n v="1289"/>
    <d v="2025-01-16T10:35:44"/>
    <d v="2025-01-16T10:36:20"/>
    <s v="pchaula@lighthouse.org.mw"/>
    <s v="Pachalo Chaula"/>
    <x v="12"/>
    <s v="COE"/>
    <x v="1"/>
    <s v="COP_24"/>
    <s v="COP_24"/>
    <x v="0"/>
    <s v="Quarter1"/>
    <s v="Qtr_1"/>
    <s v="Dec"/>
    <d v="2024-12-01T00:00:00"/>
    <d v="2024-12-31T00:00:00"/>
    <x v="4"/>
    <n v="7"/>
    <n v="4"/>
    <n v="4"/>
    <n v="1"/>
    <n v="2"/>
    <n v="0"/>
    <n v="7"/>
    <n v="3"/>
    <n v="2"/>
    <n v="0"/>
    <n v="2"/>
    <n v="0"/>
    <n v="3"/>
    <n v="0"/>
    <n v="0"/>
    <n v="0"/>
    <n v="0"/>
    <n v="0"/>
    <n v="2"/>
    <n v="0"/>
    <n v="0"/>
    <n v="0"/>
    <n v="0"/>
    <n v="0"/>
    <n v="7"/>
    <m/>
  </r>
  <r>
    <n v="1292"/>
    <d v="2025-01-16T10:36:24"/>
    <d v="2025-01-16T10:40:24"/>
    <s v="pchaula@lighthouse.org.mw"/>
    <s v="Pachalo Chaula"/>
    <x v="12"/>
    <s v="COE"/>
    <x v="1"/>
    <s v="COP_24"/>
    <s v="COP_24"/>
    <x v="0"/>
    <s v="Quarter1"/>
    <s v="Qtr_1"/>
    <s v="Dec"/>
    <d v="2024-12-01T00:00:00"/>
    <d v="2024-12-31T00:00:00"/>
    <x v="0"/>
    <n v="163"/>
    <n v="78"/>
    <n v="72"/>
    <n v="10"/>
    <n v="62"/>
    <n v="19"/>
    <n v="157"/>
    <n v="43"/>
    <n v="47"/>
    <n v="2"/>
    <n v="6"/>
    <n v="0"/>
    <n v="49"/>
    <n v="4"/>
    <n v="17"/>
    <n v="0"/>
    <n v="27"/>
    <n v="14"/>
    <n v="63"/>
    <n v="9"/>
    <n v="7"/>
    <n v="0"/>
    <n v="1"/>
    <n v="5"/>
    <n v="0"/>
    <m/>
  </r>
  <r>
    <n v="1293"/>
    <d v="2025-01-16T10:40:40"/>
    <d v="2025-01-16T10:43:49"/>
    <s v="pchaula@lighthouse.org.mw"/>
    <s v="Pachalo Chaula"/>
    <x v="12"/>
    <s v="COE"/>
    <x v="1"/>
    <s v="COP_24"/>
    <s v="COP_24"/>
    <x v="0"/>
    <s v="Quarter1"/>
    <s v="Qtr_1"/>
    <s v="Dec"/>
    <d v="2024-12-01T00:00:00"/>
    <d v="2024-12-31T00:00:00"/>
    <x v="2"/>
    <n v="11"/>
    <n v="2"/>
    <n v="6"/>
    <n v="0"/>
    <n v="3"/>
    <n v="2"/>
    <n v="11"/>
    <n v="6"/>
    <n v="5"/>
    <n v="0"/>
    <n v="1"/>
    <n v="0"/>
    <n v="4"/>
    <n v="0"/>
    <n v="1"/>
    <n v="0"/>
    <n v="0"/>
    <n v="0"/>
    <n v="6"/>
    <n v="1"/>
    <n v="0"/>
    <n v="0"/>
    <n v="0"/>
    <n v="0"/>
    <n v="11"/>
    <m/>
  </r>
  <r>
    <n v="1294"/>
    <d v="2025-01-16T10:45:58"/>
    <d v="2025-01-16T11:19:12"/>
    <s v="pchaula@lighthouse.org.mw"/>
    <s v="Pachalo Chaula"/>
    <x v="12"/>
    <s v="COE"/>
    <x v="1"/>
    <s v="COP_24"/>
    <s v="COP_24"/>
    <x v="0"/>
    <s v="Quarter1"/>
    <s v="Qtr_1"/>
    <s v="Dec"/>
    <d v="2024-12-01T00:00:00"/>
    <d v="2024-12-31T00:00:00"/>
    <x v="5"/>
    <n v="24"/>
    <n v="4"/>
    <n v="21"/>
    <n v="0"/>
    <n v="2"/>
    <n v="1"/>
    <n v="23"/>
    <n v="5"/>
    <n v="4"/>
    <n v="1"/>
    <n v="1"/>
    <n v="0"/>
    <n v="4"/>
    <n v="0"/>
    <n v="0"/>
    <n v="0"/>
    <n v="0"/>
    <n v="0"/>
    <n v="6"/>
    <n v="1"/>
    <n v="1"/>
    <n v="0"/>
    <n v="1"/>
    <n v="0"/>
    <n v="22"/>
    <m/>
  </r>
  <r>
    <n v="1295"/>
    <d v="2025-01-16T12:08:42"/>
    <d v="2025-01-16T12:13:49"/>
    <s v="pchaula@lighthouse.org.mw"/>
    <s v="Pachalo Chaula"/>
    <x v="12"/>
    <s v="COE"/>
    <x v="1"/>
    <s v="COP_24"/>
    <s v="COP_24"/>
    <x v="0"/>
    <s v="Quarter1"/>
    <s v="Qtr_1"/>
    <s v="Dec"/>
    <d v="2024-12-01T00:00:00"/>
    <d v="2024-12-31T00:00:00"/>
    <x v="1"/>
    <n v="28"/>
    <n v="6"/>
    <n v="16"/>
    <n v="3"/>
    <n v="7"/>
    <n v="2"/>
    <n v="28"/>
    <n v="9"/>
    <n v="9"/>
    <n v="0"/>
    <n v="3"/>
    <n v="0"/>
    <n v="8"/>
    <n v="2"/>
    <n v="2"/>
    <n v="0"/>
    <n v="1"/>
    <n v="1"/>
    <n v="10"/>
    <n v="1"/>
    <n v="0"/>
    <n v="0"/>
    <n v="0"/>
    <n v="0"/>
    <n v="28"/>
    <m/>
  </r>
  <r>
    <n v="1309"/>
    <d v="2025-01-22T15:20:49"/>
    <d v="2025-01-22T15:20:59"/>
    <s v="pchaula@lighthouse.org.mw"/>
    <s v="Pachalo Chaula"/>
    <x v="12"/>
    <s v="COE"/>
    <x v="1"/>
    <s v="COP_24"/>
    <s v="COP_24"/>
    <x v="0"/>
    <s v="Quarter1"/>
    <s v="Qtr_1"/>
    <s v="Dec"/>
    <d v="2025-01-01T00:00:00"/>
    <d v="2024-12-31T00:00:00"/>
    <x v="6"/>
    <n v="27"/>
    <n v="23"/>
    <n v="14"/>
    <n v="0"/>
    <n v="9"/>
    <n v="4"/>
    <n v="25"/>
    <n v="8"/>
    <n v="9"/>
    <n v="1"/>
    <n v="2"/>
    <n v="0"/>
    <n v="6"/>
    <n v="1"/>
    <n v="1"/>
    <n v="0"/>
    <n v="6"/>
    <n v="3"/>
    <n v="10"/>
    <n v="0"/>
    <n v="2"/>
    <n v="0"/>
    <n v="1"/>
    <n v="1"/>
    <n v="23"/>
    <m/>
  </r>
  <r>
    <n v="1313"/>
    <d v="2025-01-22T15:21:02"/>
    <d v="2025-01-22T15:35:48"/>
    <s v="pchaula@lighthouse.org.mw"/>
    <s v="Pachalo Chaula"/>
    <x v="12"/>
    <s v="COE"/>
    <x v="1"/>
    <s v="COP_24"/>
    <s v="COP_24"/>
    <x v="0"/>
    <s v="Quarter1"/>
    <s v="Qtr_1"/>
    <s v="Dec"/>
    <d v="2024-12-01T00:00:00"/>
    <d v="2024-12-31T00:00:00"/>
    <x v="6"/>
    <n v="27"/>
    <n v="23"/>
    <n v="14"/>
    <n v="0"/>
    <n v="9"/>
    <n v="4"/>
    <n v="25"/>
    <n v="8"/>
    <n v="9"/>
    <n v="1"/>
    <n v="2"/>
    <n v="0"/>
    <n v="6"/>
    <n v="1"/>
    <n v="1"/>
    <n v="0"/>
    <n v="3"/>
    <n v="3"/>
    <n v="10"/>
    <n v="0"/>
    <n v="2"/>
    <n v="0"/>
    <n v="1"/>
    <n v="1"/>
    <n v="23"/>
    <m/>
  </r>
  <r>
    <n v="1399"/>
    <d v="2025-03-11T10:16:52"/>
    <d v="2025-03-11T10:32:17"/>
    <s v="pchaula@lighthouse.org.mw"/>
    <s v="Pachalo Chaula"/>
    <x v="12"/>
    <s v="COE"/>
    <x v="2"/>
    <s v="COP_24"/>
    <s v="COP_24"/>
    <x v="2"/>
    <s v="Quarter2"/>
    <s v="Qtr_2"/>
    <s v="Feb"/>
    <d v="2025-02-01T00:00:00"/>
    <d v="2025-02-28T00:00:00"/>
    <x v="0"/>
    <n v="104"/>
    <n v="43"/>
    <n v="44"/>
    <n v="19"/>
    <n v="32"/>
    <n v="9"/>
    <n v="101"/>
    <n v="29"/>
    <n v="0"/>
    <n v="0"/>
    <n v="0"/>
    <n v="0"/>
    <n v="27"/>
    <n v="0"/>
    <n v="0"/>
    <n v="0"/>
    <n v="3"/>
    <n v="2"/>
    <n v="33"/>
    <n v="1"/>
    <n v="1"/>
    <n v="0"/>
    <n v="0"/>
    <n v="0"/>
    <n v="10"/>
    <m/>
  </r>
  <r>
    <n v="1400"/>
    <d v="2025-03-11T10:32:30"/>
    <d v="2025-03-11T10:35:49"/>
    <s v="pchaula@lighthouse.org.mw"/>
    <s v="Pachalo Chaula"/>
    <x v="12"/>
    <s v="COE"/>
    <x v="2"/>
    <s v="COP_24"/>
    <s v="COP_24"/>
    <x v="2"/>
    <s v="Quarter2"/>
    <s v="Qtr_2"/>
    <s v="Feb"/>
    <d v="2025-02-01T00:00:00"/>
    <d v="2025-02-28T00:00:00"/>
    <x v="6"/>
    <n v="9"/>
    <n v="9"/>
    <n v="0"/>
    <n v="6"/>
    <n v="3"/>
    <n v="0"/>
    <n v="9"/>
    <n v="3"/>
    <n v="0"/>
    <n v="0"/>
    <n v="0"/>
    <n v="0"/>
    <n v="2"/>
    <n v="0"/>
    <n v="0"/>
    <n v="0"/>
    <n v="0"/>
    <n v="0"/>
    <n v="3"/>
    <n v="0"/>
    <n v="0"/>
    <n v="0"/>
    <n v="0"/>
    <n v="0"/>
    <n v="9"/>
    <m/>
  </r>
  <r>
    <n v="1401"/>
    <d v="2025-03-11T10:36:33"/>
    <d v="2025-03-11T10:42:30"/>
    <s v="pchaula@lighthouse.org.mw"/>
    <s v="Pachalo Chaula"/>
    <x v="12"/>
    <s v="COE"/>
    <x v="2"/>
    <s v="COP_24"/>
    <s v="COP_24"/>
    <x v="2"/>
    <s v="Quarter2"/>
    <s v="Qtr_2"/>
    <s v="Feb"/>
    <d v="2025-02-01T00:00:00"/>
    <d v="2025-02-28T00:00:00"/>
    <x v="5"/>
    <n v="8"/>
    <n v="2"/>
    <n v="6"/>
    <n v="2"/>
    <n v="0"/>
    <n v="0"/>
    <n v="8"/>
    <n v="4"/>
    <n v="0"/>
    <n v="0"/>
    <n v="0"/>
    <n v="0"/>
    <n v="2"/>
    <n v="0"/>
    <n v="0"/>
    <n v="0"/>
    <n v="0"/>
    <n v="0"/>
    <n v="6"/>
    <n v="0"/>
    <n v="0"/>
    <n v="0"/>
    <n v="0"/>
    <n v="0"/>
    <n v="0"/>
    <m/>
  </r>
  <r>
    <n v="1402"/>
    <d v="2025-03-11T10:42:38"/>
    <d v="2025-03-11T10:44:50"/>
    <s v="pchaula@lighthouse.org.mw"/>
    <s v="Pachalo Chaula"/>
    <x v="12"/>
    <s v="COE"/>
    <x v="2"/>
    <s v="COP_24"/>
    <s v="COP_24"/>
    <x v="2"/>
    <s v="Quarter2"/>
    <s v="Qtr_2"/>
    <s v="Feb"/>
    <d v="2025-02-01T00:00:00"/>
    <d v="2025-02-28T00:00:00"/>
    <x v="2"/>
    <n v="14"/>
    <n v="4"/>
    <n v="8"/>
    <n v="3"/>
    <n v="3"/>
    <n v="0"/>
    <n v="13"/>
    <n v="6"/>
    <n v="0"/>
    <n v="0"/>
    <n v="0"/>
    <n v="0"/>
    <n v="3"/>
    <n v="0"/>
    <n v="0"/>
    <n v="0"/>
    <n v="0"/>
    <n v="0"/>
    <n v="7"/>
    <n v="0"/>
    <n v="0"/>
    <n v="0"/>
    <n v="0"/>
    <n v="0"/>
    <n v="14"/>
    <m/>
  </r>
  <r>
    <n v="1403"/>
    <d v="2025-03-11T10:44:59"/>
    <d v="2025-03-11T10:47:49"/>
    <s v="pchaula@lighthouse.org.mw"/>
    <s v="Pachalo Chaula"/>
    <x v="12"/>
    <s v="COE"/>
    <x v="2"/>
    <s v="COP_24"/>
    <s v="COP_24"/>
    <x v="2"/>
    <s v="Quarter2"/>
    <s v="Qtr_2"/>
    <s v="Feb"/>
    <d v="2025-02-01T00:00:00"/>
    <d v="2025-02-28T00:00:00"/>
    <x v="4"/>
    <n v="2"/>
    <n v="1"/>
    <n v="0"/>
    <n v="2"/>
    <n v="0"/>
    <n v="0"/>
    <n v="2"/>
    <n v="2"/>
    <n v="0"/>
    <n v="0"/>
    <n v="0"/>
    <n v="0"/>
    <n v="1"/>
    <n v="0"/>
    <n v="0"/>
    <n v="0"/>
    <n v="0"/>
    <n v="0"/>
    <n v="2"/>
    <n v="0"/>
    <n v="0"/>
    <n v="0"/>
    <n v="0"/>
    <n v="0"/>
    <n v="2"/>
    <m/>
  </r>
  <r>
    <n v="1404"/>
    <d v="2025-03-11T10:48:01"/>
    <d v="2025-03-11T10:50:38"/>
    <s v="pchaula@lighthouse.org.mw"/>
    <s v="Pachalo Chaula"/>
    <x v="12"/>
    <s v="COE"/>
    <x v="2"/>
    <s v="COP_24"/>
    <s v="COP_24"/>
    <x v="2"/>
    <s v="Quarter2"/>
    <s v="Qtr_2"/>
    <s v="Feb"/>
    <d v="2025-03-01T00:00:00"/>
    <d v="2025-02-28T00:00:00"/>
    <x v="3"/>
    <n v="1"/>
    <n v="1"/>
    <n v="0"/>
    <n v="0"/>
    <n v="1"/>
    <n v="0"/>
    <n v="0"/>
    <n v="0"/>
    <n v="0"/>
    <n v="0"/>
    <n v="0"/>
    <n v="0"/>
    <n v="0"/>
    <n v="0"/>
    <n v="0"/>
    <n v="0"/>
    <n v="0"/>
    <n v="0"/>
    <n v="0"/>
    <n v="0"/>
    <n v="0"/>
    <n v="0"/>
    <n v="0"/>
    <n v="0"/>
    <n v="1"/>
    <m/>
  </r>
  <r>
    <n v="1405"/>
    <d v="2025-03-11T10:51:17"/>
    <d v="2025-03-11T10:56:20"/>
    <s v="pchaula@lighthouse.org.mw"/>
    <s v="Pachalo Chaula"/>
    <x v="12"/>
    <s v="COE"/>
    <x v="2"/>
    <s v="COP_24"/>
    <s v="COP_24"/>
    <x v="2"/>
    <s v="Quarter2"/>
    <s v="Qtr_2"/>
    <s v="Feb"/>
    <d v="2025-02-01T00:00:00"/>
    <d v="2025-02-28T00:00:00"/>
    <x v="1"/>
    <n v="19"/>
    <n v="6"/>
    <n v="12"/>
    <n v="7"/>
    <n v="0"/>
    <n v="0"/>
    <n v="19"/>
    <n v="8"/>
    <n v="0"/>
    <n v="0"/>
    <n v="0"/>
    <n v="0"/>
    <n v="0"/>
    <n v="0"/>
    <n v="0"/>
    <n v="0"/>
    <n v="0"/>
    <n v="0"/>
    <n v="8"/>
    <n v="0"/>
    <n v="0"/>
    <n v="0"/>
    <n v="0"/>
    <n v="0"/>
    <n v="19"/>
    <m/>
  </r>
  <r>
    <n v="1426"/>
    <d v="2025-03-14T10:49:03"/>
    <d v="2025-03-14T10:58:39"/>
    <s v="pchaula@lighthouse.org.mw"/>
    <s v="Pachalo Chaula"/>
    <x v="12"/>
    <s v="COE"/>
    <x v="2"/>
    <s v="COP_24"/>
    <s v="COP_24"/>
    <x v="2"/>
    <s v="Quarter2"/>
    <s v="Qtr_2"/>
    <s v="Jan"/>
    <d v="2025-01-01T00:00:00"/>
    <d v="2025-01-31T00:00:00"/>
    <x v="5"/>
    <n v="23"/>
    <n v="0"/>
    <n v="19"/>
    <n v="3"/>
    <n v="1"/>
    <n v="0"/>
    <n v="19"/>
    <n v="11"/>
    <n v="0"/>
    <n v="0"/>
    <n v="1"/>
    <n v="0"/>
    <n v="3"/>
    <n v="0"/>
    <n v="0"/>
    <n v="0"/>
    <n v="0"/>
    <n v="0"/>
    <n v="17"/>
    <n v="0"/>
    <n v="0"/>
    <n v="0"/>
    <n v="0"/>
    <n v="0"/>
    <n v="23"/>
    <m/>
  </r>
  <r>
    <n v="1427"/>
    <d v="2025-03-14T10:58:49"/>
    <d v="2025-03-14T11:01:23"/>
    <s v="pchaula@lighthouse.org.mw"/>
    <s v="Pachalo Chaula"/>
    <x v="12"/>
    <s v="COE"/>
    <x v="2"/>
    <s v="COP_24"/>
    <s v="COP_24"/>
    <x v="2"/>
    <s v="Quarter2"/>
    <s v="Qtr_2"/>
    <s v="Jan"/>
    <d v="2025-01-01T00:00:00"/>
    <d v="2025-01-31T00:00:00"/>
    <x v="2"/>
    <n v="8"/>
    <n v="2"/>
    <n v="2"/>
    <n v="3"/>
    <n v="2"/>
    <n v="1"/>
    <n v="7"/>
    <n v="1"/>
    <n v="0"/>
    <n v="0"/>
    <n v="0"/>
    <n v="0"/>
    <n v="2"/>
    <n v="1"/>
    <n v="1"/>
    <n v="1"/>
    <n v="1"/>
    <n v="1"/>
    <n v="4"/>
    <n v="1"/>
    <n v="1"/>
    <n v="0"/>
    <n v="0"/>
    <n v="0"/>
    <n v="7"/>
    <m/>
  </r>
  <r>
    <n v="1428"/>
    <d v="2025-03-14T11:06:54"/>
    <d v="2025-03-14T11:07:20"/>
    <s v="pchaula@lighthouse.org.mw"/>
    <s v="Pachalo Chaula"/>
    <x v="12"/>
    <s v="COE"/>
    <x v="2"/>
    <s v="COP_24"/>
    <s v="COP_24"/>
    <x v="2"/>
    <s v="Quarter2"/>
    <s v="Qtr_2"/>
    <s v="Jan"/>
    <d v="2025-01-01T00:00:00"/>
    <d v="2025-01-31T00:00:00"/>
    <x v="3"/>
    <n v="2"/>
    <n v="0"/>
    <n v="0"/>
    <n v="0"/>
    <n v="2"/>
    <n v="0"/>
    <n v="0"/>
    <n v="0"/>
    <n v="1"/>
    <n v="0"/>
    <n v="0"/>
    <n v="0"/>
    <n v="1"/>
    <n v="0"/>
    <n v="0"/>
    <n v="0"/>
    <n v="0"/>
    <n v="0"/>
    <n v="0"/>
    <n v="0"/>
    <n v="0"/>
    <n v="0"/>
    <n v="0"/>
    <n v="0"/>
    <n v="2"/>
    <m/>
  </r>
  <r>
    <n v="1429"/>
    <d v="2025-03-14T11:07:25"/>
    <d v="2025-03-14T11:26:11"/>
    <s v="pchaula@lighthouse.org.mw"/>
    <s v="Pachalo Chaula"/>
    <x v="12"/>
    <s v="COE"/>
    <x v="2"/>
    <s v="COP_24"/>
    <s v="COP_24"/>
    <x v="2"/>
    <s v="Quarter2"/>
    <s v="Qtr_2"/>
    <s v="Jan"/>
    <d v="2025-01-01T00:00:00"/>
    <d v="2025-01-31T00:00:00"/>
    <x v="4"/>
    <n v="19"/>
    <n v="7"/>
    <n v="10"/>
    <n v="4"/>
    <n v="4"/>
    <n v="1"/>
    <n v="15"/>
    <n v="2"/>
    <n v="0"/>
    <n v="0"/>
    <n v="0"/>
    <n v="0"/>
    <n v="5"/>
    <n v="0"/>
    <n v="1"/>
    <n v="0"/>
    <n v="1"/>
    <n v="0"/>
    <n v="11"/>
    <n v="0"/>
    <n v="0"/>
    <n v="0"/>
    <n v="0"/>
    <n v="0"/>
    <n v="19"/>
    <m/>
  </r>
  <r>
    <n v="1430"/>
    <d v="2025-03-14T11:26:22"/>
    <d v="2025-03-14T11:28:30"/>
    <s v="pchaula@lighthouse.org.mw"/>
    <s v="Pachalo Chaula"/>
    <x v="12"/>
    <s v="COE"/>
    <x v="2"/>
    <s v="COP_24"/>
    <s v="COP_24"/>
    <x v="2"/>
    <s v="Quarter2"/>
    <s v="Qtr_2"/>
    <s v="Jan"/>
    <d v="2025-01-01T00:00:00"/>
    <d v="2025-01-31T00:00:00"/>
    <x v="6"/>
    <n v="3"/>
    <n v="3"/>
    <n v="1"/>
    <n v="0"/>
    <n v="2"/>
    <n v="0"/>
    <n v="3"/>
    <n v="2"/>
    <n v="0"/>
    <n v="0"/>
    <n v="0"/>
    <n v="0"/>
    <n v="2"/>
    <n v="0"/>
    <n v="0"/>
    <n v="0"/>
    <n v="0"/>
    <n v="0"/>
    <n v="1"/>
    <n v="0"/>
    <n v="0"/>
    <n v="0"/>
    <n v="0"/>
    <n v="0"/>
    <n v="3"/>
    <m/>
  </r>
  <r>
    <n v="1466"/>
    <d v="2025-03-24T13:09:10"/>
    <d v="2025-03-24T13:13:33"/>
    <s v="pchaula@lighthouse.org.mw"/>
    <s v="Pachalo Chaula"/>
    <x v="12"/>
    <s v="COE"/>
    <x v="2"/>
    <s v="COP_24"/>
    <s v="COP_24"/>
    <x v="2"/>
    <s v="Quarter2"/>
    <s v="Qtr_2"/>
    <s v="Jan"/>
    <d v="2025-01-01T00:00:00"/>
    <d v="2025-01-31T00:00:00"/>
    <x v="0"/>
    <n v="171"/>
    <n v="61"/>
    <n v="96"/>
    <n v="23"/>
    <n v="44"/>
    <n v="8"/>
    <n v="152"/>
    <n v="40"/>
    <n v="16"/>
    <n v="1"/>
    <n v="4"/>
    <n v="1"/>
    <n v="59"/>
    <n v="5"/>
    <n v="9"/>
    <n v="1"/>
    <n v="10"/>
    <n v="2"/>
    <n v="69"/>
    <n v="2"/>
    <n v="5"/>
    <n v="1"/>
    <n v="0"/>
    <n v="0"/>
    <n v="165"/>
    <m/>
  </r>
  <r>
    <n v="1511"/>
    <d v="2025-04-07T14:33:43"/>
    <d v="2025-04-07T14:41:15"/>
    <s v="pchaula@lighthouse.org.mw"/>
    <s v="Pachalo Chaula"/>
    <x v="12"/>
    <s v="COE"/>
    <x v="2"/>
    <s v="COP_24"/>
    <s v="COP_24"/>
    <x v="2"/>
    <s v="Quarter2"/>
    <s v="Qtr_2"/>
    <s v="Mar"/>
    <d v="2025-03-01T00:00:00"/>
    <d v="2025-03-31T00:00:00"/>
    <x v="4"/>
    <n v="7"/>
    <n v="4"/>
    <n v="2"/>
    <n v="1"/>
    <n v="4"/>
    <n v="0"/>
    <n v="7"/>
    <n v="1"/>
    <n v="1"/>
    <n v="0"/>
    <n v="0"/>
    <n v="0"/>
    <n v="2"/>
    <n v="0"/>
    <n v="0"/>
    <n v="0"/>
    <n v="1"/>
    <n v="1"/>
    <n v="1"/>
    <n v="0"/>
    <n v="0"/>
    <n v="0"/>
    <n v="0"/>
    <n v="0"/>
    <n v="7"/>
    <m/>
  </r>
  <r>
    <n v="1512"/>
    <d v="2025-04-07T14:41:20"/>
    <d v="2025-04-07T14:44:58"/>
    <s v="pchaula@lighthouse.org.mw"/>
    <s v="Pachalo Chaula"/>
    <x v="12"/>
    <s v="COE"/>
    <x v="2"/>
    <s v="COP_24"/>
    <s v="COP_24"/>
    <x v="2"/>
    <s v="Quarter2"/>
    <s v="Qtr_2"/>
    <s v="Mar"/>
    <d v="2025-03-01T00:00:00"/>
    <d v="2025-03-31T00:00:00"/>
    <x v="6"/>
    <n v="37"/>
    <n v="37"/>
    <n v="8"/>
    <n v="10"/>
    <n v="11"/>
    <n v="8"/>
    <n v="37"/>
    <n v="20"/>
    <n v="4"/>
    <n v="0"/>
    <n v="0"/>
    <n v="0"/>
    <n v="19"/>
    <n v="2"/>
    <n v="4"/>
    <n v="1"/>
    <n v="11"/>
    <n v="3"/>
    <n v="20"/>
    <n v="3"/>
    <n v="6"/>
    <n v="0"/>
    <n v="0"/>
    <n v="0"/>
    <n v="31"/>
    <m/>
  </r>
  <r>
    <n v="1513"/>
    <d v="2025-04-07T14:45:22"/>
    <d v="2025-04-07T14:50:07"/>
    <s v="pchaula@lighthouse.org.mw"/>
    <s v="Pachalo Chaula"/>
    <x v="12"/>
    <s v="COE"/>
    <x v="2"/>
    <s v="COP_24"/>
    <s v="COP_24"/>
    <x v="2"/>
    <s v="Quarter2"/>
    <s v="Qtr_2"/>
    <s v="Mar"/>
    <d v="2025-03-01T00:00:00"/>
    <d v="2025-03-31T00:00:00"/>
    <x v="5"/>
    <n v="25"/>
    <n v="2"/>
    <n v="20"/>
    <n v="1"/>
    <n v="3"/>
    <n v="1"/>
    <n v="24"/>
    <n v="4"/>
    <n v="1"/>
    <n v="0"/>
    <n v="0"/>
    <n v="0"/>
    <n v="6"/>
    <n v="1"/>
    <n v="1"/>
    <n v="0"/>
    <n v="4"/>
    <n v="0"/>
    <n v="19"/>
    <n v="1"/>
    <n v="1"/>
    <n v="0"/>
    <n v="0"/>
    <n v="0"/>
    <n v="24"/>
    <m/>
  </r>
  <r>
    <n v="1514"/>
    <d v="2025-04-07T14:50:34"/>
    <d v="2025-04-07T14:52:47"/>
    <s v="pchaula@lighthouse.org.mw"/>
    <s v="Pachalo Chaula"/>
    <x v="12"/>
    <s v="COE"/>
    <x v="2"/>
    <s v="COP_24"/>
    <s v="COP_24"/>
    <x v="2"/>
    <s v="Quarter2"/>
    <s v="Qtr_2"/>
    <s v="Mar"/>
    <d v="2025-03-01T00:00:00"/>
    <d v="2025-03-31T00:00:00"/>
    <x v="2"/>
    <n v="12"/>
    <n v="6"/>
    <n v="5"/>
    <n v="2"/>
    <n v="3"/>
    <n v="2"/>
    <n v="12"/>
    <n v="3"/>
    <n v="0"/>
    <n v="0"/>
    <n v="0"/>
    <n v="0"/>
    <n v="3"/>
    <n v="0"/>
    <n v="0"/>
    <n v="0"/>
    <n v="4"/>
    <n v="0"/>
    <n v="4"/>
    <n v="0"/>
    <n v="0"/>
    <n v="0"/>
    <n v="0"/>
    <n v="0"/>
    <n v="12"/>
    <m/>
  </r>
  <r>
    <n v="1515"/>
    <d v="2025-04-07T14:53:08"/>
    <d v="2025-04-07T14:55:17"/>
    <s v="pchaula@lighthouse.org.mw"/>
    <s v="Pachalo Chaula"/>
    <x v="12"/>
    <s v="COE"/>
    <x v="2"/>
    <s v="COP_24"/>
    <s v="COP_24"/>
    <x v="2"/>
    <s v="Quarter2"/>
    <s v="Qtr_2"/>
    <s v="Mar"/>
    <m/>
    <d v="2025-03-31T00:00:00"/>
    <x v="3"/>
    <n v="2"/>
    <n v="1"/>
    <n v="0"/>
    <n v="0"/>
    <n v="2"/>
    <n v="0"/>
    <n v="0"/>
    <n v="0"/>
    <n v="0"/>
    <n v="0"/>
    <n v="0"/>
    <n v="0"/>
    <n v="2"/>
    <n v="1"/>
    <n v="1"/>
    <n v="0"/>
    <n v="1"/>
    <n v="0"/>
    <n v="1"/>
    <n v="1"/>
    <n v="1"/>
    <n v="0"/>
    <n v="0"/>
    <n v="0"/>
    <n v="2"/>
    <m/>
  </r>
  <r>
    <n v="1516"/>
    <d v="2025-04-07T15:24:34"/>
    <d v="2025-04-07T15:27:37"/>
    <s v="pchaula@lighthouse.org.mw"/>
    <s v="Pachalo Chaula"/>
    <x v="12"/>
    <s v="COE"/>
    <x v="2"/>
    <s v="COP_24"/>
    <s v="COP_24"/>
    <x v="2"/>
    <s v="Quarter2"/>
    <s v="Qtr_2"/>
    <s v="Mar"/>
    <d v="2025-03-01T00:00:00"/>
    <d v="2025-03-31T00:00:00"/>
    <x v="1"/>
    <n v="38"/>
    <n v="13"/>
    <n v="16"/>
    <n v="9"/>
    <n v="7"/>
    <n v="6"/>
    <n v="38"/>
    <n v="20"/>
    <n v="6"/>
    <n v="0"/>
    <n v="1"/>
    <n v="0"/>
    <n v="19"/>
    <n v="2"/>
    <n v="1"/>
    <n v="0"/>
    <n v="7"/>
    <n v="1"/>
    <n v="19"/>
    <n v="2"/>
    <n v="2"/>
    <n v="0"/>
    <n v="0"/>
    <n v="0"/>
    <n v="36"/>
    <m/>
  </r>
  <r>
    <n v="1531"/>
    <d v="2025-04-11T13:59:36"/>
    <d v="2025-04-11T14:02:51"/>
    <s v="pchaula@lighthouse.org.mw"/>
    <s v="Pachalo Chaula"/>
    <x v="12"/>
    <s v="COE"/>
    <x v="2"/>
    <s v="COP_24"/>
    <s v="COP_24"/>
    <x v="2"/>
    <s v="Quarter2"/>
    <s v="Qtr_2"/>
    <s v="Jan"/>
    <d v="2025-01-01T00:00:00"/>
    <d v="2025-01-31T00:00:00"/>
    <x v="1"/>
    <n v="37"/>
    <n v="3"/>
    <n v="24"/>
    <n v="2"/>
    <n v="10"/>
    <n v="1"/>
    <n v="31"/>
    <n v="9"/>
    <n v="6"/>
    <n v="1"/>
    <n v="1"/>
    <n v="1"/>
    <n v="14"/>
    <n v="1"/>
    <n v="3"/>
    <n v="0"/>
    <n v="4"/>
    <n v="1"/>
    <n v="16"/>
    <n v="1"/>
    <n v="0"/>
    <n v="0"/>
    <n v="1"/>
    <n v="0"/>
    <n v="37"/>
    <m/>
  </r>
  <r>
    <n v="15"/>
    <d v="2023-12-16T15:54:17"/>
    <d v="2023-12-16T16:10:46"/>
    <s v="anhlema@lighthouse.org.mw"/>
    <s v="Angelina Nhlema"/>
    <x v="13"/>
    <s v="COE"/>
    <x v="0"/>
    <s v="COP_22"/>
    <s v="COP_22"/>
    <x v="1"/>
    <s v="Quarter4"/>
    <s v="Qtr_4"/>
    <s v="Sep"/>
    <d v="2023-09-01T00:00:00"/>
    <d v="2023-09-30T00:00:00"/>
    <x v="6"/>
    <n v="16"/>
    <n v="11"/>
    <n v="1"/>
    <n v="0"/>
    <n v="7"/>
    <n v="8"/>
    <n v="16"/>
    <n v="8"/>
    <n v="14"/>
    <n v="0"/>
    <n v="14"/>
    <n v="0"/>
    <n v="12"/>
    <n v="0"/>
    <n v="0"/>
    <n v="0"/>
    <n v="1"/>
    <n v="1"/>
    <n v="2"/>
    <n v="1"/>
    <n v="3"/>
    <n v="0"/>
    <n v="0"/>
    <n v="0"/>
    <n v="13"/>
    <m/>
  </r>
  <r>
    <n v="22"/>
    <d v="2023-12-16T17:12:47"/>
    <d v="2023-12-16T17:16:18"/>
    <s v="anhlema@lighthouse.org.mw"/>
    <s v="Angelina Nhlema"/>
    <x v="13"/>
    <s v="COE"/>
    <x v="0"/>
    <s v="COP_23"/>
    <s v="COP_23"/>
    <x v="0"/>
    <s v="Quarter1"/>
    <s v="Qtr_1"/>
    <s v="Nov"/>
    <d v="2023-11-01T00:00:00"/>
    <d v="2023-11-30T00:00:00"/>
    <x v="0"/>
    <n v="239"/>
    <n v="0"/>
    <n v="154"/>
    <n v="57"/>
    <n v="14"/>
    <n v="9"/>
    <n v="239"/>
    <n v="58"/>
    <n v="63"/>
    <n v="3"/>
    <n v="3"/>
    <n v="0"/>
    <n v="61"/>
    <n v="1"/>
    <n v="0"/>
    <n v="0"/>
    <n v="0"/>
    <n v="0"/>
    <n v="21"/>
    <n v="0"/>
    <n v="3"/>
    <n v="3"/>
    <n v="0"/>
    <n v="1"/>
    <n v="232"/>
    <m/>
  </r>
  <r>
    <n v="25"/>
    <d v="2023-12-16T18:58:28"/>
    <d v="2023-12-16T19:07:43"/>
    <s v="anhlema@lighthouse.org.mw"/>
    <s v="Angelina Nhlema"/>
    <x v="13"/>
    <s v="COE"/>
    <x v="0"/>
    <s v="COP_22"/>
    <s v="COP_22"/>
    <x v="1"/>
    <s v="Quarter4"/>
    <s v="Qtr_4"/>
    <s v="Sep"/>
    <d v="2023-09-01T00:00:00"/>
    <d v="2023-09-30T00:00:00"/>
    <x v="0"/>
    <n v="68"/>
    <n v="17"/>
    <n v="44"/>
    <n v="11"/>
    <n v="9"/>
    <n v="4"/>
    <n v="68"/>
    <n v="29"/>
    <n v="32"/>
    <n v="4"/>
    <n v="4"/>
    <n v="0"/>
    <n v="36"/>
    <n v="0"/>
    <n v="0"/>
    <n v="0"/>
    <n v="0"/>
    <n v="0"/>
    <n v="2"/>
    <n v="0"/>
    <n v="2"/>
    <n v="0"/>
    <n v="2"/>
    <n v="0"/>
    <n v="64"/>
    <m/>
  </r>
  <r>
    <n v="28"/>
    <d v="2023-12-18T08:48:14"/>
    <d v="2023-12-18T09:37:49"/>
    <s v="amakweti@lighthouse.org.mw"/>
    <s v="Alphat Makweti"/>
    <x v="13"/>
    <s v="COE"/>
    <x v="0"/>
    <s v="COP_23"/>
    <s v="COP_23"/>
    <x v="0"/>
    <s v="Quarter1"/>
    <s v="Qtr_1"/>
    <s v="Oct"/>
    <d v="2023-10-01T00:00:00"/>
    <d v="2023-10-31T00:00:00"/>
    <x v="0"/>
    <n v="255"/>
    <n v="2"/>
    <n v="150"/>
    <n v="79"/>
    <n v="22"/>
    <n v="4"/>
    <n v="255"/>
    <n v="79"/>
    <n v="85"/>
    <n v="0"/>
    <n v="0"/>
    <n v="0"/>
    <n v="87"/>
    <n v="3"/>
    <n v="0"/>
    <n v="0"/>
    <n v="0"/>
    <n v="0"/>
    <n v="62"/>
    <n v="0"/>
    <n v="2"/>
    <n v="0"/>
    <n v="0"/>
    <n v="0"/>
    <n v="5"/>
    <m/>
  </r>
  <r>
    <n v="31"/>
    <d v="2023-12-18T09:51:14"/>
    <d v="2023-12-18T09:57:54"/>
    <s v="amakweti@lighthouse.org.mw"/>
    <s v="Alphat Makweti"/>
    <x v="13"/>
    <s v="COE"/>
    <x v="0"/>
    <s v="COP_23"/>
    <s v="COP_23"/>
    <x v="0"/>
    <s v="Quarter1"/>
    <s v="Qtr_1"/>
    <s v="Nov"/>
    <d v="2023-11-01T00:00:00"/>
    <d v="2023-11-30T00:00:00"/>
    <x v="6"/>
    <n v="212"/>
    <n v="136"/>
    <n v="10"/>
    <n v="22"/>
    <n v="112"/>
    <n v="68"/>
    <n v="200"/>
    <n v="76"/>
    <n v="85"/>
    <n v="3"/>
    <n v="4"/>
    <n v="2"/>
    <n v="79"/>
    <n v="14"/>
    <n v="0"/>
    <n v="0"/>
    <n v="1"/>
    <n v="0"/>
    <n v="3"/>
    <n v="0"/>
    <n v="17"/>
    <n v="3"/>
    <n v="1"/>
    <n v="0"/>
    <n v="191"/>
    <m/>
  </r>
  <r>
    <n v="32"/>
    <d v="2023-12-18T09:58:06"/>
    <d v="2023-12-18T10:02:07"/>
    <s v="amakweti@lighthouse.org.mw"/>
    <s v="Alphat Makweti"/>
    <x v="13"/>
    <s v="COE"/>
    <x v="0"/>
    <s v="COP_23"/>
    <s v="COP_23"/>
    <x v="0"/>
    <s v="Quarter1"/>
    <s v="Qtr_1"/>
    <s v="Oct"/>
    <d v="2023-10-01T00:00:00"/>
    <d v="2023-10-31T00:00:00"/>
    <x v="6"/>
    <n v="206"/>
    <n v="23"/>
    <n v="8"/>
    <n v="0"/>
    <n v="185"/>
    <n v="13"/>
    <n v="198"/>
    <n v="65"/>
    <n v="79"/>
    <n v="2"/>
    <n v="0"/>
    <n v="0"/>
    <n v="82"/>
    <n v="10"/>
    <n v="9"/>
    <n v="0"/>
    <n v="2"/>
    <n v="2"/>
    <n v="14"/>
    <n v="0"/>
    <n v="11"/>
    <n v="0"/>
    <n v="2"/>
    <n v="1"/>
    <n v="192"/>
    <m/>
  </r>
  <r>
    <n v="83"/>
    <d v="2024-01-12T15:17:39"/>
    <d v="2024-01-12T15:28:49"/>
    <s v="amakweti@lighthouse.org.mw"/>
    <s v="Alphat Makweti"/>
    <x v="13"/>
    <s v="COE"/>
    <x v="0"/>
    <s v="COP_23"/>
    <s v="COP_23"/>
    <x v="0"/>
    <s v="Quarter1"/>
    <s v="Qtr_1"/>
    <s v="Dec"/>
    <d v="2023-12-01T00:00:00"/>
    <d v="2023-12-31T00:00:00"/>
    <x v="0"/>
    <n v="228"/>
    <n v="0"/>
    <n v="142"/>
    <n v="68"/>
    <n v="10"/>
    <n v="8"/>
    <n v="228"/>
    <n v="75"/>
    <n v="81"/>
    <n v="4"/>
    <n v="0"/>
    <n v="0"/>
    <n v="75"/>
    <n v="2"/>
    <n v="0"/>
    <n v="0"/>
    <n v="0"/>
    <n v="0"/>
    <n v="65"/>
    <n v="6"/>
    <n v="10"/>
    <n v="0"/>
    <n v="4"/>
    <n v="1"/>
    <n v="9"/>
    <m/>
  </r>
  <r>
    <n v="84"/>
    <d v="2024-01-12T15:33:56"/>
    <d v="2024-01-12T15:40:06"/>
    <s v="amakweti@lighthouse.org.mw"/>
    <s v="Alphat Makweti"/>
    <x v="13"/>
    <s v="COE"/>
    <x v="0"/>
    <s v="COP_23"/>
    <s v="COP_23"/>
    <x v="0"/>
    <s v="Quarter1"/>
    <s v="Qtr_1"/>
    <s v="Dec"/>
    <d v="2023-12-01T00:00:00"/>
    <d v="2023-12-31T00:00:00"/>
    <x v="6"/>
    <n v="158"/>
    <n v="108"/>
    <n v="32"/>
    <n v="24"/>
    <n v="47"/>
    <n v="55"/>
    <n v="151"/>
    <n v="60"/>
    <n v="68"/>
    <n v="2"/>
    <n v="0"/>
    <n v="0"/>
    <n v="45"/>
    <n v="8"/>
    <n v="2"/>
    <n v="2"/>
    <n v="5"/>
    <n v="5"/>
    <n v="1"/>
    <n v="1"/>
    <n v="15"/>
    <n v="3"/>
    <n v="1"/>
    <n v="19"/>
    <n v="120"/>
    <m/>
  </r>
  <r>
    <n v="127"/>
    <d v="2024-01-26T13:19:07"/>
    <d v="2024-01-26T13:20:49"/>
    <s v="chbanda@lighthouse.org.mw"/>
    <s v="Chipiliro Banda"/>
    <x v="13"/>
    <s v="COE"/>
    <x v="0"/>
    <s v="COP_23"/>
    <s v="COP_23"/>
    <x v="0"/>
    <s v="Quarter1"/>
    <s v="Qtr_1"/>
    <s v="Oct"/>
    <d v="2023-10-01T00:00:00"/>
    <d v="2023-10-31T00:00:00"/>
    <x v="3"/>
    <n v="0"/>
    <n v="0"/>
    <n v="0"/>
    <n v="0"/>
    <n v="0"/>
    <n v="0"/>
    <n v="0"/>
    <n v="0"/>
    <n v="0"/>
    <n v="0"/>
    <n v="0"/>
    <n v="0"/>
    <n v="0"/>
    <n v="0"/>
    <n v="0"/>
    <n v="0"/>
    <n v="0"/>
    <n v="0"/>
    <n v="0"/>
    <n v="0"/>
    <n v="0"/>
    <n v="0"/>
    <n v="0"/>
    <n v="0"/>
    <n v="0"/>
    <m/>
  </r>
  <r>
    <n v="128"/>
    <d v="2024-01-26T13:21:17"/>
    <d v="2024-01-26T13:25:50"/>
    <s v="chbanda@lighthouse.org.mw"/>
    <s v="Chipiliro Banda"/>
    <x v="13"/>
    <s v="COE"/>
    <x v="0"/>
    <s v="COP_23"/>
    <s v="COP_23"/>
    <x v="0"/>
    <s v="Quarter1"/>
    <s v="Qtr_1"/>
    <s v="Oct"/>
    <d v="2023-10-01T00:00:00"/>
    <d v="2024-10-31T00:00:00"/>
    <x v="5"/>
    <n v="82"/>
    <n v="0"/>
    <n v="51"/>
    <n v="18"/>
    <n v="19"/>
    <n v="2"/>
    <n v="82"/>
    <n v="22"/>
    <n v="28"/>
    <n v="1"/>
    <n v="0"/>
    <n v="0"/>
    <n v="22"/>
    <n v="1"/>
    <n v="0"/>
    <n v="0"/>
    <n v="0"/>
    <n v="0"/>
    <n v="28"/>
    <n v="0"/>
    <n v="1"/>
    <n v="0"/>
    <n v="0"/>
    <n v="0"/>
    <n v="0"/>
    <m/>
  </r>
  <r>
    <n v="130"/>
    <d v="2024-01-26T13:29:48"/>
    <d v="2024-01-26T13:31:23"/>
    <s v="chbanda@lighthouse.org.mw"/>
    <s v="Chipiliro Banda"/>
    <x v="13"/>
    <s v="COE"/>
    <x v="0"/>
    <s v="COP_23"/>
    <s v="COP_23"/>
    <x v="0"/>
    <s v="Quarter1"/>
    <s v="Qtr_1"/>
    <s v="Nov"/>
    <d v="2024-11-01T00:00:00"/>
    <d v="2024-11-30T00:00:00"/>
    <x v="3"/>
    <n v="1"/>
    <n v="0"/>
    <n v="1"/>
    <n v="0"/>
    <n v="0"/>
    <n v="0"/>
    <n v="1"/>
    <n v="0"/>
    <n v="0"/>
    <n v="0"/>
    <n v="0"/>
    <n v="0"/>
    <n v="0"/>
    <n v="0"/>
    <n v="0"/>
    <n v="0"/>
    <n v="0"/>
    <n v="0"/>
    <n v="0"/>
    <n v="0"/>
    <n v="0"/>
    <n v="0"/>
    <n v="0"/>
    <n v="0"/>
    <n v="0"/>
    <m/>
  </r>
  <r>
    <n v="132"/>
    <d v="2024-01-26T13:34:54"/>
    <d v="2024-01-26T13:38:03"/>
    <s v="chbanda@lighthouse.org.mw"/>
    <s v="Chipiliro Banda"/>
    <x v="13"/>
    <s v="COE"/>
    <x v="0"/>
    <s v="COP_23"/>
    <s v="COP_23"/>
    <x v="0"/>
    <s v="Quarter1"/>
    <s v="Qtr_1"/>
    <s v="Nov"/>
    <d v="2024-11-01T00:00:00"/>
    <d v="2024-11-30T00:00:00"/>
    <x v="5"/>
    <n v="105"/>
    <n v="0"/>
    <n v="84"/>
    <n v="19"/>
    <n v="2"/>
    <n v="0"/>
    <n v="105"/>
    <n v="17"/>
    <n v="18"/>
    <n v="0"/>
    <n v="0"/>
    <n v="0"/>
    <n v="18"/>
    <n v="0"/>
    <n v="0"/>
    <n v="0"/>
    <n v="0"/>
    <n v="0"/>
    <n v="18"/>
    <n v="0"/>
    <n v="0"/>
    <n v="0"/>
    <n v="0"/>
    <n v="0"/>
    <n v="0"/>
    <m/>
  </r>
  <r>
    <n v="134"/>
    <d v="2024-01-26T13:40:57"/>
    <d v="2024-01-26T13:43:59"/>
    <s v="chbanda@lighthouse.org.mw"/>
    <s v="Chipiliro Banda"/>
    <x v="13"/>
    <s v="COE"/>
    <x v="0"/>
    <s v="COP_23"/>
    <s v="COP_23"/>
    <x v="0"/>
    <s v="Quarter1"/>
    <s v="Qtr_1"/>
    <s v="Dec"/>
    <d v="2024-12-01T00:00:00"/>
    <d v="2024-12-31T00:00:00"/>
    <x v="5"/>
    <n v="94"/>
    <n v="0"/>
    <n v="60"/>
    <n v="27"/>
    <n v="6"/>
    <n v="1"/>
    <n v="94"/>
    <n v="29"/>
    <n v="36"/>
    <n v="1"/>
    <n v="1"/>
    <n v="0"/>
    <n v="38"/>
    <n v="3"/>
    <n v="0"/>
    <n v="0"/>
    <n v="0"/>
    <n v="0"/>
    <n v="35"/>
    <n v="0"/>
    <n v="0"/>
    <n v="0"/>
    <n v="1"/>
    <n v="0"/>
    <n v="0"/>
    <m/>
  </r>
  <r>
    <n v="135"/>
    <d v="2024-01-26T13:44:05"/>
    <d v="2024-01-26T13:45:32"/>
    <s v="chbanda@lighthouse.org.mw"/>
    <s v="Chipiliro Banda"/>
    <x v="13"/>
    <s v="COE"/>
    <x v="0"/>
    <s v="COP_23"/>
    <s v="COP_23"/>
    <x v="0"/>
    <s v="Quarter1"/>
    <s v="Qtr_1"/>
    <s v="Dec"/>
    <d v="2024-12-01T00:00:00"/>
    <d v="2024-12-31T00:00:00"/>
    <x v="3"/>
    <n v="1"/>
    <n v="0"/>
    <n v="0"/>
    <n v="0"/>
    <n v="1"/>
    <n v="0"/>
    <n v="0"/>
    <n v="0"/>
    <n v="0"/>
    <n v="0"/>
    <n v="0"/>
    <n v="0"/>
    <n v="0"/>
    <n v="0"/>
    <n v="0"/>
    <n v="0"/>
    <n v="0"/>
    <n v="0"/>
    <n v="0"/>
    <n v="0"/>
    <n v="0"/>
    <n v="0"/>
    <n v="0"/>
    <n v="0"/>
    <n v="0"/>
    <m/>
  </r>
  <r>
    <n v="153"/>
    <d v="2024-02-13T11:55:18"/>
    <d v="2024-02-13T11:59:34"/>
    <s v="amakweti@lighthouse.org.mw"/>
    <s v="Alphat Makweti"/>
    <x v="13"/>
    <s v="COE"/>
    <x v="1"/>
    <s v="COP_23"/>
    <s v="COP_23"/>
    <x v="2"/>
    <s v="Quarter2"/>
    <s v="Qtr_2"/>
    <s v="Jan"/>
    <d v="2024-01-01T00:00:00"/>
    <d v="2024-01-31T00:00:00"/>
    <x v="6"/>
    <n v="219"/>
    <n v="168"/>
    <n v="59"/>
    <n v="39"/>
    <n v="34"/>
    <n v="87"/>
    <n v="209"/>
    <n v="79"/>
    <n v="98"/>
    <n v="2"/>
    <n v="0"/>
    <n v="0"/>
    <n v="82"/>
    <n v="8"/>
    <n v="0"/>
    <n v="0"/>
    <n v="0"/>
    <n v="0"/>
    <n v="1"/>
    <n v="1"/>
    <n v="11"/>
    <n v="3"/>
    <n v="0"/>
    <n v="5"/>
    <n v="200"/>
    <m/>
  </r>
  <r>
    <n v="154"/>
    <d v="2024-02-13T12:07:58"/>
    <d v="2024-02-13T12:13:07"/>
    <s v="amakweti@lighthouse.org.mw"/>
    <s v="Alphat Makweti"/>
    <x v="13"/>
    <s v="COE"/>
    <x v="1"/>
    <s v="COP_23"/>
    <s v="COP_23"/>
    <x v="2"/>
    <s v="Quarter2"/>
    <s v="Qtr_2"/>
    <s v="Jan"/>
    <d v="2024-01-01T00:00:00"/>
    <d v="2024-01-31T00:00:00"/>
    <x v="0"/>
    <n v="331"/>
    <n v="0"/>
    <n v="190"/>
    <n v="110"/>
    <n v="13"/>
    <n v="14"/>
    <n v="327"/>
    <n v="95"/>
    <n v="122"/>
    <n v="8"/>
    <n v="7"/>
    <n v="2"/>
    <n v="18"/>
    <n v="8"/>
    <n v="0"/>
    <n v="0"/>
    <n v="0"/>
    <n v="0"/>
    <n v="95"/>
    <n v="8"/>
    <n v="8"/>
    <n v="1"/>
    <n v="2"/>
    <n v="1"/>
    <n v="311"/>
    <m/>
  </r>
  <r>
    <n v="156"/>
    <d v="2024-02-13T12:18:40"/>
    <d v="2024-02-13T12:22:27"/>
    <s v="amakweti@lighthouse.org.mw"/>
    <s v="Alphat Makweti"/>
    <x v="13"/>
    <s v="COE"/>
    <x v="1"/>
    <s v="COP_23"/>
    <s v="COP_23"/>
    <x v="2"/>
    <s v="Quarter2"/>
    <s v="Qtr_2"/>
    <s v="Jan"/>
    <d v="2024-01-01T00:00:00"/>
    <d v="2024-01-31T00:00:00"/>
    <x v="5"/>
    <n v="103"/>
    <n v="0"/>
    <n v="70"/>
    <n v="27"/>
    <n v="1"/>
    <n v="5"/>
    <n v="102"/>
    <n v="34"/>
    <n v="34"/>
    <n v="0"/>
    <n v="0"/>
    <n v="0"/>
    <n v="34"/>
    <n v="0"/>
    <n v="0"/>
    <n v="0"/>
    <n v="0"/>
    <n v="0"/>
    <n v="34"/>
    <n v="0"/>
    <n v="0"/>
    <n v="0"/>
    <n v="0"/>
    <n v="0"/>
    <n v="0"/>
    <m/>
  </r>
  <r>
    <n v="157"/>
    <d v="2024-02-14T08:04:24"/>
    <d v="2024-02-14T08:06:37"/>
    <s v="amakweti@lighthouse.org.mw"/>
    <s v="Alphat Makweti"/>
    <x v="13"/>
    <s v="COE"/>
    <x v="1"/>
    <s v="COP_23"/>
    <s v="COP_23"/>
    <x v="2"/>
    <s v="Quarter2"/>
    <s v="Qtr_2"/>
    <s v="Jan"/>
    <d v="2024-01-01T00:00:00"/>
    <d v="2024-01-31T00:00:00"/>
    <x v="3"/>
    <n v="4"/>
    <n v="0"/>
    <n v="4"/>
    <n v="0"/>
    <n v="0"/>
    <n v="0"/>
    <n v="0"/>
    <n v="0"/>
    <n v="4"/>
    <n v="0"/>
    <n v="0"/>
    <n v="0"/>
    <n v="0"/>
    <n v="0"/>
    <n v="0"/>
    <n v="0"/>
    <n v="0"/>
    <n v="0"/>
    <n v="0"/>
    <n v="0"/>
    <n v="0"/>
    <n v="0"/>
    <n v="0"/>
    <n v="0"/>
    <n v="4"/>
    <m/>
  </r>
  <r>
    <n v="163"/>
    <d v="2024-03-08T14:13:19"/>
    <d v="2024-03-08T14:22:11"/>
    <s v="chbanda@lighthouse.org.mw"/>
    <s v="Chipiliro Banda"/>
    <x v="13"/>
    <s v="COE"/>
    <x v="1"/>
    <s v="COP_23"/>
    <s v="COP_23"/>
    <x v="2"/>
    <s v="Quarter2"/>
    <s v="Qtr_2"/>
    <s v="Feb"/>
    <d v="2024-02-01T00:00:00"/>
    <d v="2024-02-29T00:00:00"/>
    <x v="0"/>
    <n v="538"/>
    <n v="142"/>
    <n v="237"/>
    <n v="105"/>
    <n v="78"/>
    <n v="118"/>
    <n v="314"/>
    <n v="152"/>
    <n v="154"/>
    <n v="4"/>
    <n v="3"/>
    <n v="0"/>
    <n v="129"/>
    <n v="12"/>
    <n v="2"/>
    <n v="2"/>
    <n v="0"/>
    <n v="0"/>
    <n v="63"/>
    <n v="8"/>
    <n v="18"/>
    <n v="3"/>
    <n v="0"/>
    <n v="7"/>
    <n v="510"/>
    <m/>
  </r>
  <r>
    <n v="217"/>
    <d v="2024-04-08T11:30:07"/>
    <d v="2024-04-08T11:45:00"/>
    <s v="chbanda@lighthouse.org.mw"/>
    <s v="Chipiliro Banda"/>
    <x v="13"/>
    <s v="COE"/>
    <x v="1"/>
    <s v="COP_23"/>
    <s v="COP_23"/>
    <x v="2"/>
    <s v="Quarter2"/>
    <s v="Qtr_2"/>
    <s v="Mar"/>
    <d v="2024-03-01T00:00:00"/>
    <d v="2024-03-31T00:00:00"/>
    <x v="5"/>
    <n v="97"/>
    <n v="0"/>
    <n v="69"/>
    <n v="22"/>
    <n v="5"/>
    <n v="1"/>
    <n v="97"/>
    <n v="23"/>
    <n v="23"/>
    <n v="0"/>
    <n v="0"/>
    <n v="0"/>
    <n v="22"/>
    <n v="1"/>
    <n v="0"/>
    <n v="0"/>
    <n v="0"/>
    <n v="0"/>
    <n v="22"/>
    <n v="2"/>
    <n v="2"/>
    <n v="0"/>
    <n v="0"/>
    <n v="0"/>
    <n v="39"/>
    <m/>
  </r>
  <r>
    <n v="220"/>
    <d v="2024-04-08T11:52:54"/>
    <d v="2024-04-08T11:59:02"/>
    <s v="chbanda@lighthouse.org.mw"/>
    <s v="Chipiliro Banda"/>
    <x v="13"/>
    <s v="COE"/>
    <x v="1"/>
    <s v="COP_23"/>
    <s v="COP_23"/>
    <x v="2"/>
    <s v="Quarter2"/>
    <s v="Qtr_2"/>
    <s v="Mar"/>
    <d v="2024-02-29T00:00:00"/>
    <d v="2024-03-31T00:00:00"/>
    <x v="0"/>
    <n v="333"/>
    <n v="0"/>
    <n v="191"/>
    <n v="101"/>
    <n v="28"/>
    <n v="13"/>
    <n v="317"/>
    <n v="77"/>
    <n v="87"/>
    <n v="1"/>
    <n v="2"/>
    <n v="1"/>
    <n v="84"/>
    <n v="3"/>
    <n v="0"/>
    <n v="0"/>
    <n v="0"/>
    <n v="0"/>
    <n v="71"/>
    <n v="9"/>
    <n v="14"/>
    <n v="1"/>
    <n v="0"/>
    <n v="0"/>
    <n v="110"/>
    <m/>
  </r>
  <r>
    <n v="221"/>
    <d v="2024-04-08T11:59:15"/>
    <d v="2024-04-08T12:02:03"/>
    <s v="chbanda@lighthouse.org.mw"/>
    <s v="Chipiliro Banda"/>
    <x v="13"/>
    <s v="COE"/>
    <x v="1"/>
    <s v="COP_23"/>
    <s v="COP_23"/>
    <x v="2"/>
    <s v="Quarter2"/>
    <s v="Qtr_2"/>
    <s v="Mar"/>
    <d v="2024-03-01T00:00:00"/>
    <d v="2024-03-31T00:00:00"/>
    <x v="3"/>
    <n v="8"/>
    <n v="0"/>
    <n v="8"/>
    <n v="0"/>
    <n v="0"/>
    <n v="0"/>
    <n v="0"/>
    <n v="0"/>
    <n v="8"/>
    <n v="0"/>
    <n v="0"/>
    <n v="0"/>
    <n v="8"/>
    <n v="0"/>
    <n v="0"/>
    <n v="0"/>
    <n v="0"/>
    <n v="0"/>
    <n v="0"/>
    <n v="0"/>
    <n v="0"/>
    <n v="0"/>
    <n v="0"/>
    <n v="0"/>
    <n v="9"/>
    <m/>
  </r>
  <r>
    <n v="243"/>
    <d v="2024-04-12T14:33:27"/>
    <d v="2024-04-12T14:40:37"/>
    <s v="chbanda@lighthouse.org.mw"/>
    <s v="Chipiliro Banda"/>
    <x v="13"/>
    <s v="COE"/>
    <x v="1"/>
    <s v="COP_23"/>
    <s v="COP_23"/>
    <x v="2"/>
    <s v="Quarter2"/>
    <s v="Qtr_2"/>
    <s v="Mar"/>
    <d v="2024-03-01T00:00:00"/>
    <d v="2024-03-31T00:00:00"/>
    <x v="6"/>
    <n v="198"/>
    <n v="154"/>
    <n v="42"/>
    <n v="44"/>
    <n v="51"/>
    <n v="61"/>
    <n v="185"/>
    <n v="74"/>
    <n v="85"/>
    <n v="6"/>
    <n v="5"/>
    <n v="2"/>
    <n v="53"/>
    <n v="6"/>
    <n v="0"/>
    <n v="0"/>
    <n v="0"/>
    <n v="0"/>
    <n v="5"/>
    <n v="3"/>
    <n v="8"/>
    <n v="6"/>
    <n v="0"/>
    <n v="3"/>
    <n v="181"/>
    <m/>
  </r>
  <r>
    <n v="263"/>
    <d v="2024-04-22T10:01:41"/>
    <d v="2024-04-22T10:07:16"/>
    <s v="chbanda@lighthouse.org.mw"/>
    <s v="Chipiliro Banda"/>
    <x v="13"/>
    <s v="COE"/>
    <x v="1"/>
    <s v="COP_23"/>
    <s v="COP_23"/>
    <x v="2"/>
    <s v="Quarter2"/>
    <s v="Qtr_2"/>
    <s v="Feb"/>
    <d v="2024-02-01T00:00:00"/>
    <d v="2024-02-29T00:00:00"/>
    <x v="6"/>
    <n v="214"/>
    <n v="142"/>
    <n v="38"/>
    <n v="29"/>
    <n v="44"/>
    <n v="103"/>
    <n v="208"/>
    <n v="71"/>
    <n v="71"/>
    <n v="2"/>
    <n v="0"/>
    <n v="0"/>
    <n v="52"/>
    <n v="8"/>
    <n v="2"/>
    <n v="2"/>
    <n v="2"/>
    <n v="2"/>
    <n v="2"/>
    <n v="2"/>
    <n v="6"/>
    <n v="1"/>
    <n v="0"/>
    <n v="6"/>
    <n v="201"/>
    <m/>
  </r>
  <r>
    <n v="284"/>
    <d v="2024-04-24T09:20:47"/>
    <d v="2024-04-24T09:23:03"/>
    <s v="chbanda@lighthouse.org.mw"/>
    <s v="Chipiliro Banda"/>
    <x v="13"/>
    <s v="COE"/>
    <x v="1"/>
    <s v="COP_23"/>
    <s v="COP_23"/>
    <x v="2"/>
    <s v="Quarter2"/>
    <s v="Qtr_2"/>
    <s v="Feb"/>
    <d v="2024-02-01T00:00:00"/>
    <d v="2024-02-29T00:00:00"/>
    <x v="3"/>
    <n v="0"/>
    <m/>
    <n v="0"/>
    <n v="0"/>
    <n v="0"/>
    <n v="0"/>
    <n v="0"/>
    <n v="0"/>
    <n v="0"/>
    <n v="0"/>
    <n v="0"/>
    <n v="0"/>
    <n v="0"/>
    <n v="0"/>
    <n v="0"/>
    <n v="0"/>
    <n v="0"/>
    <n v="0"/>
    <n v="0"/>
    <n v="0"/>
    <n v="0"/>
    <n v="0"/>
    <n v="0"/>
    <n v="0"/>
    <n v="0"/>
    <m/>
  </r>
  <r>
    <n v="286"/>
    <d v="2024-04-24T09:30:28"/>
    <d v="2024-04-24T09:38:00"/>
    <s v="chbanda@lighthouse.org.mw"/>
    <s v="Chipiliro Banda"/>
    <x v="13"/>
    <s v="COE"/>
    <x v="1"/>
    <s v="COP_23"/>
    <s v="COP_23"/>
    <x v="2"/>
    <s v="Quarter2"/>
    <s v="Qtr_2"/>
    <s v="Feb"/>
    <d v="2024-02-01T00:00:00"/>
    <d v="2024-02-29T00:00:00"/>
    <x v="5"/>
    <n v="95"/>
    <n v="0"/>
    <n v="64"/>
    <n v="23"/>
    <n v="5"/>
    <n v="3"/>
    <n v="95"/>
    <n v="23"/>
    <n v="23"/>
    <n v="1"/>
    <n v="0"/>
    <n v="0"/>
    <n v="22"/>
    <n v="0"/>
    <n v="0"/>
    <n v="0"/>
    <n v="0"/>
    <n v="0"/>
    <n v="21"/>
    <n v="1"/>
    <n v="1"/>
    <n v="0"/>
    <n v="0"/>
    <n v="0"/>
    <n v="16"/>
    <m/>
  </r>
  <r>
    <n v="289"/>
    <d v="2024-04-24T09:55:51"/>
    <d v="2024-04-24T10:19:54"/>
    <s v="chbanda@lighthouse.org.mw"/>
    <s v="Chipiliro Banda"/>
    <x v="13"/>
    <s v="COE"/>
    <x v="1"/>
    <s v="COP_23"/>
    <s v="COP_23"/>
    <x v="2"/>
    <s v="Quarter2"/>
    <s v="Qtr_2"/>
    <s v="Mar"/>
    <d v="2024-03-01T00:00:00"/>
    <d v="2024-03-31T00:00:00"/>
    <x v="4"/>
    <n v="8"/>
    <n v="0"/>
    <n v="7"/>
    <n v="1"/>
    <n v="0"/>
    <n v="0"/>
    <n v="8"/>
    <n v="2"/>
    <n v="0"/>
    <n v="0"/>
    <n v="0"/>
    <n v="0"/>
    <n v="2"/>
    <n v="0"/>
    <n v="0"/>
    <n v="0"/>
    <n v="0"/>
    <n v="0"/>
    <n v="2"/>
    <n v="0"/>
    <n v="0"/>
    <n v="0"/>
    <n v="0"/>
    <n v="0"/>
    <n v="12"/>
    <m/>
  </r>
  <r>
    <n v="290"/>
    <d v="2024-04-24T10:21:24"/>
    <d v="2024-04-24T10:23:00"/>
    <s v="chbanda@lighthouse.org.mw"/>
    <s v="Chipiliro Banda"/>
    <x v="13"/>
    <s v="COE"/>
    <x v="1"/>
    <s v="COP_23"/>
    <s v="COP_23"/>
    <x v="2"/>
    <s v="Quarter2"/>
    <s v="Qtr_2"/>
    <s v="Jan"/>
    <d v="2024-01-01T00:00:00"/>
    <d v="2024-01-31T00:00:00"/>
    <x v="4"/>
    <n v="19"/>
    <n v="0"/>
    <n v="13"/>
    <n v="4"/>
    <n v="2"/>
    <n v="0"/>
    <n v="19"/>
    <n v="3"/>
    <n v="2"/>
    <n v="0"/>
    <n v="0"/>
    <n v="0"/>
    <n v="2"/>
    <n v="0"/>
    <n v="0"/>
    <n v="0"/>
    <n v="0"/>
    <n v="0"/>
    <n v="2"/>
    <n v="0"/>
    <n v="0"/>
    <n v="0"/>
    <n v="0"/>
    <n v="0"/>
    <n v="0"/>
    <m/>
  </r>
  <r>
    <n v="295"/>
    <d v="2024-04-24T10:52:46"/>
    <d v="2024-04-24T10:55:03"/>
    <s v="chbanda@lighthouse.org.mw"/>
    <s v="Chipiliro Banda"/>
    <x v="13"/>
    <s v="COE"/>
    <x v="1"/>
    <s v="COP_23"/>
    <s v="COP_23"/>
    <x v="2"/>
    <s v="Quarter2"/>
    <s v="Qtr_2"/>
    <s v="Feb"/>
    <d v="2024-01-01T00:00:00"/>
    <d v="2024-01-31T00:00:00"/>
    <x v="4"/>
    <n v="19"/>
    <n v="0"/>
    <n v="13"/>
    <n v="4"/>
    <n v="2"/>
    <n v="0"/>
    <n v="19"/>
    <n v="3"/>
    <n v="0"/>
    <n v="0"/>
    <n v="0"/>
    <n v="0"/>
    <n v="2"/>
    <n v="0"/>
    <n v="0"/>
    <n v="0"/>
    <n v="0"/>
    <n v="0"/>
    <n v="2"/>
    <n v="0"/>
    <n v="0"/>
    <n v="0"/>
    <n v="0"/>
    <n v="0"/>
    <n v="18"/>
    <m/>
  </r>
  <r>
    <n v="403"/>
    <d v="2024-05-15T09:47:58"/>
    <d v="2024-05-15T10:02:34"/>
    <s v="chbanda@lighthouse.org.mw"/>
    <s v="Chipiliro Banda"/>
    <x v="13"/>
    <s v="COE"/>
    <x v="1"/>
    <s v="COP_24"/>
    <s v="COP_23"/>
    <x v="3"/>
    <s v="Quarter3"/>
    <s v="Qtr_3"/>
    <s v="Apr"/>
    <d v="2024-04-01T00:00:00"/>
    <d v="2024-04-30T00:00:00"/>
    <x v="0"/>
    <n v="289"/>
    <n v="0"/>
    <n v="208"/>
    <n v="55"/>
    <n v="18"/>
    <n v="8"/>
    <n v="256"/>
    <n v="69"/>
    <n v="101"/>
    <n v="2"/>
    <n v="12"/>
    <n v="1"/>
    <n v="23"/>
    <n v="1"/>
    <n v="0"/>
    <n v="0"/>
    <n v="0"/>
    <n v="0"/>
    <n v="66"/>
    <n v="10"/>
    <n v="13"/>
    <n v="0"/>
    <n v="1"/>
    <n v="0"/>
    <n v="0"/>
    <m/>
  </r>
  <r>
    <n v="405"/>
    <d v="2024-05-15T10:13:41"/>
    <d v="2024-05-15T10:16:22"/>
    <s v="chbanda@lighthouse.org.mw"/>
    <s v="Chipiliro Banda"/>
    <x v="13"/>
    <s v="COE"/>
    <x v="1"/>
    <s v="COP_24"/>
    <s v="COP_23"/>
    <x v="3"/>
    <s v="Quarter3"/>
    <s v="Qtr_3"/>
    <s v="Apr"/>
    <d v="2024-04-01T00:00:00"/>
    <d v="2024-04-30T00:00:00"/>
    <x v="5"/>
    <n v="102"/>
    <n v="0"/>
    <n v="81"/>
    <n v="18"/>
    <n v="3"/>
    <n v="0"/>
    <n v="92"/>
    <n v="20"/>
    <n v="20"/>
    <n v="0"/>
    <n v="0"/>
    <n v="0"/>
    <n v="20"/>
    <n v="2"/>
    <n v="0"/>
    <n v="0"/>
    <n v="0"/>
    <n v="0"/>
    <n v="15"/>
    <n v="2"/>
    <n v="2"/>
    <n v="0"/>
    <n v="0"/>
    <n v="0"/>
    <n v="0"/>
    <m/>
  </r>
  <r>
    <n v="463"/>
    <d v="2024-05-27T11:14:02"/>
    <d v="2024-05-27T11:59:23"/>
    <s v="chbanda@lighthouse.org.mw"/>
    <s v="Chipiliro Banda"/>
    <x v="13"/>
    <s v="COE"/>
    <x v="1"/>
    <s v="COP_24"/>
    <s v="COP_23"/>
    <x v="3"/>
    <s v="Quarter3"/>
    <s v="Qtr_3"/>
    <s v="Apr"/>
    <d v="2024-04-01T00:00:00"/>
    <d v="2024-04-30T00:00:00"/>
    <x v="3"/>
    <n v="5"/>
    <n v="0"/>
    <n v="3"/>
    <n v="0"/>
    <n v="0"/>
    <n v="0"/>
    <n v="0"/>
    <n v="0"/>
    <n v="0"/>
    <n v="0"/>
    <n v="0"/>
    <n v="0"/>
    <n v="3"/>
    <n v="1"/>
    <n v="0"/>
    <n v="0"/>
    <n v="0"/>
    <n v="0"/>
    <n v="0"/>
    <n v="0"/>
    <n v="1"/>
    <n v="0"/>
    <n v="0"/>
    <n v="0"/>
    <n v="0"/>
    <m/>
  </r>
  <r>
    <n v="464"/>
    <d v="2024-05-27T12:02:24"/>
    <d v="2024-05-27T12:04:00"/>
    <s v="chbanda@lighthouse.org.mw"/>
    <s v="Chipiliro Banda"/>
    <x v="13"/>
    <s v="COE"/>
    <x v="1"/>
    <s v="COP_24"/>
    <s v="COP_23"/>
    <x v="3"/>
    <s v="Quarter3"/>
    <s v="Qtr_3"/>
    <s v="Apr"/>
    <d v="2024-04-01T00:00:00"/>
    <d v="2024-04-30T00:00:00"/>
    <x v="4"/>
    <n v="14"/>
    <n v="0"/>
    <n v="12"/>
    <n v="1"/>
    <n v="1"/>
    <n v="0"/>
    <n v="13"/>
    <n v="0"/>
    <n v="0"/>
    <n v="0"/>
    <n v="0"/>
    <n v="0"/>
    <n v="0"/>
    <n v="0"/>
    <n v="0"/>
    <n v="0"/>
    <n v="0"/>
    <n v="0"/>
    <n v="0"/>
    <n v="0"/>
    <n v="0"/>
    <n v="0"/>
    <n v="0"/>
    <n v="0"/>
    <n v="0"/>
    <m/>
  </r>
  <r>
    <n v="547"/>
    <d v="2024-06-12T08:27:35"/>
    <d v="2024-06-12T08:32:55"/>
    <s v="chbanda@lighthouse.org.mw"/>
    <s v="Chipiliro Banda"/>
    <x v="13"/>
    <s v="COE"/>
    <x v="1"/>
    <s v="COP_24"/>
    <s v="COP_23"/>
    <x v="3"/>
    <s v="Quarter3"/>
    <s v="Qtr_3"/>
    <s v="May"/>
    <d v="2024-05-01T00:00:00"/>
    <d v="2024-05-31T00:00:00"/>
    <x v="0"/>
    <n v="315"/>
    <n v="0"/>
    <n v="214"/>
    <n v="56"/>
    <n v="33"/>
    <n v="12"/>
    <n v="303"/>
    <n v="86"/>
    <n v="1"/>
    <n v="0"/>
    <n v="0"/>
    <n v="0"/>
    <n v="6"/>
    <n v="0"/>
    <n v="0"/>
    <n v="0"/>
    <n v="0"/>
    <n v="0"/>
    <n v="86"/>
    <n v="15"/>
    <n v="15"/>
    <n v="0"/>
    <n v="0"/>
    <n v="0"/>
    <n v="6"/>
    <m/>
  </r>
  <r>
    <n v="548"/>
    <d v="2024-06-12T08:33:45"/>
    <d v="2024-06-12T08:35:33"/>
    <s v="chbanda@lighthouse.org.mw"/>
    <s v="Chipiliro Banda"/>
    <x v="13"/>
    <s v="COE"/>
    <x v="1"/>
    <s v="COP_24"/>
    <s v="COP_23"/>
    <x v="3"/>
    <s v="Quarter3"/>
    <s v="Qtr_3"/>
    <s v="May"/>
    <d v="2024-05-01T00:00:00"/>
    <d v="2024-05-31T00:00:00"/>
    <x v="3"/>
    <n v="8"/>
    <n v="0"/>
    <n v="4"/>
    <n v="3"/>
    <n v="1"/>
    <n v="0"/>
    <n v="2"/>
    <n v="2"/>
    <n v="0"/>
    <n v="0"/>
    <n v="0"/>
    <n v="0"/>
    <n v="5"/>
    <n v="0"/>
    <n v="0"/>
    <n v="0"/>
    <n v="0"/>
    <n v="0"/>
    <n v="0"/>
    <n v="0"/>
    <n v="0"/>
    <n v="0"/>
    <n v="0"/>
    <n v="0"/>
    <n v="0"/>
    <m/>
  </r>
  <r>
    <n v="549"/>
    <d v="2024-06-12T09:06:06"/>
    <d v="2024-06-12T09:09:34"/>
    <s v="chbanda@lighthouse.org.mw"/>
    <s v="Chipiliro Banda"/>
    <x v="13"/>
    <s v="COE"/>
    <x v="1"/>
    <s v="COP_24"/>
    <s v="COP_23"/>
    <x v="3"/>
    <s v="Quarter3"/>
    <s v="Qtr_3"/>
    <s v="May"/>
    <d v="2024-05-01T00:00:00"/>
    <d v="2024-05-31T00:00:00"/>
    <x v="4"/>
    <n v="16"/>
    <n v="0"/>
    <n v="11"/>
    <n v="2"/>
    <n v="2"/>
    <n v="1"/>
    <n v="14"/>
    <n v="3"/>
    <n v="4"/>
    <n v="0"/>
    <n v="0"/>
    <n v="0"/>
    <n v="1"/>
    <n v="0"/>
    <n v="0"/>
    <n v="0"/>
    <n v="0"/>
    <n v="0"/>
    <n v="0"/>
    <n v="4"/>
    <n v="0"/>
    <n v="0"/>
    <n v="0"/>
    <n v="0"/>
    <n v="0"/>
    <m/>
  </r>
  <r>
    <n v="552"/>
    <d v="2024-06-12T09:54:22"/>
    <d v="2024-06-12T10:17:31"/>
    <s v="chbanda@lighthouse.org.mw"/>
    <s v="Chipiliro Banda"/>
    <x v="13"/>
    <s v="COE"/>
    <x v="1"/>
    <s v="COP_24"/>
    <s v="COP_23"/>
    <x v="3"/>
    <s v="Quarter3"/>
    <s v="Qtr_3"/>
    <s v="May"/>
    <d v="2024-05-01T00:00:00"/>
    <d v="2024-05-31T00:00:00"/>
    <x v="5"/>
    <n v="98"/>
    <n v="0"/>
    <n v="71"/>
    <n v="20"/>
    <n v="4"/>
    <n v="3"/>
    <n v="96"/>
    <n v="29"/>
    <n v="29"/>
    <n v="0"/>
    <n v="0"/>
    <n v="0"/>
    <n v="0"/>
    <n v="0"/>
    <n v="0"/>
    <n v="0"/>
    <n v="0"/>
    <n v="0"/>
    <n v="31"/>
    <n v="4"/>
    <n v="4"/>
    <n v="0"/>
    <n v="0"/>
    <n v="0"/>
    <n v="0"/>
    <m/>
  </r>
  <r>
    <n v="553"/>
    <d v="2024-06-14T09:54:26"/>
    <d v="2024-06-14T09:56:31"/>
    <s v="chbanda@lighthouse.org.mw"/>
    <s v="Chipiliro Banda"/>
    <x v="13"/>
    <s v="COE"/>
    <x v="1"/>
    <s v="COP_24"/>
    <s v="COP_23"/>
    <x v="3"/>
    <s v="Quarter3"/>
    <s v="Qtr_3"/>
    <s v="May"/>
    <d v="2024-05-01T00:00:00"/>
    <d v="2024-05-31T00:00:00"/>
    <x v="6"/>
    <n v="187"/>
    <n v="166"/>
    <n v="29"/>
    <n v="56"/>
    <n v="44"/>
    <n v="58"/>
    <n v="184"/>
    <n v="80"/>
    <n v="0"/>
    <n v="0"/>
    <n v="0"/>
    <n v="0"/>
    <n v="0"/>
    <n v="0"/>
    <n v="0"/>
    <n v="0"/>
    <n v="0"/>
    <n v="0"/>
    <n v="0"/>
    <n v="0"/>
    <n v="0"/>
    <n v="8"/>
    <n v="0"/>
    <n v="29"/>
    <n v="150"/>
    <m/>
  </r>
  <r>
    <n v="646"/>
    <d v="2024-07-18T09:11:19"/>
    <d v="2024-07-18T09:17:16"/>
    <s v="chbanda@lighthouse.org.mw"/>
    <s v="Chipiliro Banda"/>
    <x v="13"/>
    <s v="COE"/>
    <x v="1"/>
    <s v="COP_24"/>
    <s v="COP_23"/>
    <x v="3"/>
    <s v="Quarter3"/>
    <s v="Qtr_3"/>
    <s v="Jun"/>
    <d v="2024-06-01T00:00:00"/>
    <d v="2024-06-30T00:00:00"/>
    <x v="6"/>
    <n v="170"/>
    <n v="135"/>
    <n v="38"/>
    <n v="48"/>
    <n v="26"/>
    <n v="52"/>
    <n v="170"/>
    <n v="80"/>
    <n v="0"/>
    <n v="0"/>
    <n v="0"/>
    <n v="0"/>
    <n v="0"/>
    <n v="0"/>
    <n v="0"/>
    <n v="0"/>
    <n v="0"/>
    <n v="0"/>
    <n v="0"/>
    <n v="0"/>
    <n v="5"/>
    <n v="20"/>
    <n v="1"/>
    <n v="28"/>
    <n v="116"/>
    <m/>
  </r>
  <r>
    <n v="647"/>
    <d v="2024-07-18T12:18:03"/>
    <d v="2024-07-18T12:20:40"/>
    <s v="chbanda@lighthouse.org.mw"/>
    <s v="Chipiliro Banda"/>
    <x v="13"/>
    <s v="COE"/>
    <x v="1"/>
    <s v="COP_24"/>
    <s v="COP_23"/>
    <x v="3"/>
    <s v="Quarter3"/>
    <s v="Qtr_3"/>
    <s v="Jun"/>
    <d v="2024-06-01T00:00:00"/>
    <d v="2024-06-30T00:00:00"/>
    <x v="0"/>
    <n v="453"/>
    <n v="135"/>
    <n v="223"/>
    <n v="97"/>
    <n v="53"/>
    <n v="80"/>
    <n v="2"/>
    <n v="159"/>
    <n v="165"/>
    <n v="8"/>
    <n v="1"/>
    <n v="1"/>
    <n v="0"/>
    <n v="0"/>
    <n v="0"/>
    <n v="0"/>
    <n v="0"/>
    <n v="0"/>
    <n v="79"/>
    <n v="12"/>
    <n v="17"/>
    <n v="20"/>
    <n v="4"/>
    <n v="29"/>
    <n v="118"/>
    <m/>
  </r>
  <r>
    <n v="648"/>
    <d v="2024-07-18T13:43:22"/>
    <d v="2024-07-18T13:43:31"/>
    <s v="chbanda@lighthouse.org.mw"/>
    <s v="Chipiliro Banda"/>
    <x v="13"/>
    <s v="COE"/>
    <x v="1"/>
    <s v="COP_24"/>
    <s v="COP_23"/>
    <x v="3"/>
    <s v="Quarter3"/>
    <s v="Qtr_3"/>
    <s v="Jun"/>
    <d v="2024-06-01T00:00:00"/>
    <d v="2024-06-30T00:00:00"/>
    <x v="5"/>
    <n v="123"/>
    <n v="0"/>
    <n v="93"/>
    <n v="21"/>
    <n v="7"/>
    <n v="2"/>
    <n v="122"/>
    <n v="32"/>
    <n v="32"/>
    <n v="1"/>
    <n v="0"/>
    <n v="0"/>
    <n v="0"/>
    <n v="0"/>
    <n v="0"/>
    <n v="0"/>
    <n v="0"/>
    <n v="0"/>
    <n v="33"/>
    <n v="2"/>
    <n v="2"/>
    <n v="0"/>
    <n v="0"/>
    <n v="0"/>
    <n v="0"/>
    <m/>
  </r>
  <r>
    <n v="649"/>
    <d v="2024-07-18T13:43:36"/>
    <d v="2024-07-18T13:45:26"/>
    <s v="chbanda@lighthouse.org.mw"/>
    <s v="Chipiliro Banda"/>
    <x v="13"/>
    <s v="COE"/>
    <x v="1"/>
    <s v="COP_24"/>
    <s v="COP_23"/>
    <x v="3"/>
    <s v="Quarter3"/>
    <s v="Qtr_3"/>
    <s v="Jun"/>
    <d v="2024-06-01T00:00:00"/>
    <d v="2024-06-30T00:00:00"/>
    <x v="4"/>
    <n v="23"/>
    <n v="0"/>
    <n v="15"/>
    <n v="5"/>
    <n v="1"/>
    <n v="2"/>
    <n v="23"/>
    <n v="3"/>
    <n v="3"/>
    <n v="0"/>
    <n v="0"/>
    <n v="0"/>
    <n v="0"/>
    <n v="0"/>
    <n v="0"/>
    <n v="0"/>
    <n v="0"/>
    <n v="0"/>
    <n v="3"/>
    <n v="0"/>
    <n v="0"/>
    <n v="0"/>
    <n v="0"/>
    <n v="0"/>
    <n v="0"/>
    <m/>
  </r>
  <r>
    <n v="650"/>
    <d v="2024-07-18T13:45:29"/>
    <d v="2024-07-18T13:47:01"/>
    <s v="chbanda@lighthouse.org.mw"/>
    <s v="Chipiliro Banda"/>
    <x v="13"/>
    <s v="COE"/>
    <x v="1"/>
    <s v="COP_24"/>
    <s v="COP_23"/>
    <x v="3"/>
    <s v="Quarter3"/>
    <s v="Qtr_3"/>
    <s v="Jun"/>
    <d v="2024-06-01T00:00:00"/>
    <d v="2024-06-30T00:00:00"/>
    <x v="3"/>
    <n v="10"/>
    <n v="1"/>
    <n v="0"/>
    <n v="1"/>
    <n v="0"/>
    <n v="0"/>
    <n v="0"/>
    <n v="0"/>
    <n v="1"/>
    <n v="0"/>
    <n v="0"/>
    <n v="0"/>
    <n v="0"/>
    <n v="0"/>
    <n v="0"/>
    <n v="0"/>
    <n v="0"/>
    <n v="0"/>
    <n v="0"/>
    <n v="0"/>
    <n v="0"/>
    <n v="0"/>
    <n v="0"/>
    <n v="0"/>
    <n v="0"/>
    <m/>
  </r>
  <r>
    <n v="780"/>
    <d v="2024-08-19T18:02:29"/>
    <d v="2024-08-19T18:07:22"/>
    <s v="anhlema@lighthouse.org.mw"/>
    <s v="Angelina Nhlema"/>
    <x v="13"/>
    <s v="COE"/>
    <x v="1"/>
    <s v="COP_24"/>
    <s v="COP_23"/>
    <x v="3"/>
    <s v="Quarter3"/>
    <s v="Qtr_3"/>
    <s v="Apr"/>
    <d v="2024-04-01T00:00:00"/>
    <d v="2024-04-30T00:00:00"/>
    <x v="6"/>
    <n v="143"/>
    <n v="26"/>
    <n v="43"/>
    <n v="44"/>
    <n v="30"/>
    <n v="26"/>
    <n v="133"/>
    <n v="40"/>
    <n v="48"/>
    <n v="3"/>
    <n v="0"/>
    <n v="0"/>
    <n v="14"/>
    <n v="0"/>
    <n v="0"/>
    <n v="0"/>
    <n v="0"/>
    <n v="0"/>
    <n v="0"/>
    <n v="0"/>
    <n v="0"/>
    <n v="0"/>
    <n v="0"/>
    <n v="0"/>
    <n v="0"/>
    <m/>
  </r>
  <r>
    <n v="968"/>
    <d v="2024-10-21T11:17:06"/>
    <d v="2024-10-21T11:18:35"/>
    <s v="chbanda@lighthouse.org.mw"/>
    <s v="Chipiliro Banda"/>
    <x v="13"/>
    <s v="COE"/>
    <x v="1"/>
    <s v="COP_23"/>
    <s v="COP_23"/>
    <x v="1"/>
    <s v="Quarter4"/>
    <s v="Qtr_4"/>
    <s v="Aug"/>
    <d v="2024-08-01T00:00:00"/>
    <d v="2024-08-31T00:00:00"/>
    <x v="6"/>
    <n v="116"/>
    <n v="102"/>
    <n v="11"/>
    <n v="47"/>
    <n v="36"/>
    <n v="22"/>
    <n v="113"/>
    <n v="54"/>
    <n v="58"/>
    <n v="4"/>
    <n v="1"/>
    <n v="0"/>
    <n v="4"/>
    <n v="1"/>
    <n v="0"/>
    <n v="0"/>
    <n v="0"/>
    <n v="0"/>
    <n v="1"/>
    <n v="0"/>
    <n v="2"/>
    <n v="1"/>
    <n v="5"/>
    <n v="15"/>
    <n v="84"/>
    <m/>
  </r>
  <r>
    <n v="969"/>
    <d v="2024-10-21T11:21:06"/>
    <d v="2024-10-21T11:29:17"/>
    <s v="chbanda@lighthouse.org.mw"/>
    <s v="Chipiliro Banda"/>
    <x v="13"/>
    <s v="COE"/>
    <x v="1"/>
    <s v="COP_23"/>
    <s v="COP_23"/>
    <x v="1"/>
    <s v="Quarter4"/>
    <s v="Qtr_4"/>
    <s v="Aug"/>
    <d v="2024-08-01T00:00:00"/>
    <d v="2024-08-31T00:00:00"/>
    <x v="0"/>
    <n v="377"/>
    <n v="107"/>
    <n v="159"/>
    <n v="103"/>
    <n v="70"/>
    <n v="45"/>
    <n v="367"/>
    <n v="120"/>
    <n v="132"/>
    <n v="8"/>
    <n v="1"/>
    <n v="0"/>
    <n v="25"/>
    <n v="1"/>
    <n v="0"/>
    <n v="0"/>
    <n v="0"/>
    <n v="0"/>
    <n v="63"/>
    <n v="14"/>
    <n v="16"/>
    <n v="1"/>
    <n v="5"/>
    <n v="18"/>
    <n v="328"/>
    <m/>
  </r>
  <r>
    <n v="972"/>
    <d v="2024-10-21T11:54:58"/>
    <d v="2024-10-21T11:56:38"/>
    <s v="chbanda@lighthouse.org.mw"/>
    <s v="Chipiliro Banda"/>
    <x v="13"/>
    <s v="COE"/>
    <x v="1"/>
    <s v="COP_23"/>
    <s v="COP_23"/>
    <x v="1"/>
    <s v="Quarter4"/>
    <s v="Qtr_4"/>
    <s v="Aug"/>
    <d v="2024-08-01T00:00:00"/>
    <d v="2024-08-31T00:00:00"/>
    <x v="3"/>
    <n v="2"/>
    <n v="0"/>
    <n v="0"/>
    <n v="2"/>
    <n v="0"/>
    <n v="0"/>
    <n v="0"/>
    <n v="0"/>
    <n v="2"/>
    <n v="0"/>
    <n v="0"/>
    <n v="0"/>
    <n v="0"/>
    <n v="0"/>
    <n v="0"/>
    <n v="0"/>
    <n v="0"/>
    <n v="0"/>
    <n v="0"/>
    <n v="0"/>
    <n v="0"/>
    <n v="0"/>
    <n v="0"/>
    <n v="1"/>
    <n v="1"/>
    <m/>
  </r>
  <r>
    <n v="973"/>
    <d v="2024-10-21T12:00:06"/>
    <d v="2024-10-21T12:02:27"/>
    <s v="chbanda@lighthouse.org.mw"/>
    <s v="Chipiliro Banda"/>
    <x v="13"/>
    <s v="COE"/>
    <x v="1"/>
    <s v="COP_23"/>
    <s v="COP_23"/>
    <x v="1"/>
    <s v="Quarter4"/>
    <s v="Qtr_4"/>
    <s v="Aug"/>
    <d v="2024-08-01T00:00:00"/>
    <d v="2024-08-31T00:00:00"/>
    <x v="4"/>
    <n v="12"/>
    <n v="0"/>
    <n v="7"/>
    <n v="4"/>
    <n v="1"/>
    <n v="0"/>
    <n v="12"/>
    <n v="3"/>
    <n v="0"/>
    <n v="0"/>
    <n v="0"/>
    <n v="0"/>
    <n v="0"/>
    <n v="0"/>
    <n v="0"/>
    <n v="0"/>
    <n v="0"/>
    <n v="0"/>
    <n v="0"/>
    <n v="0"/>
    <n v="0"/>
    <n v="0"/>
    <n v="0"/>
    <n v="0"/>
    <n v="12"/>
    <m/>
  </r>
  <r>
    <n v="974"/>
    <d v="2024-10-21T12:26:11"/>
    <d v="2024-10-21T12:26:18"/>
    <s v="chbanda@lighthouse.org.mw"/>
    <s v="Chipiliro Banda"/>
    <x v="13"/>
    <s v="COE"/>
    <x v="1"/>
    <s v="COP_23"/>
    <s v="COP_23"/>
    <x v="1"/>
    <s v="Quarter4"/>
    <s v="Qtr_4"/>
    <s v="Aug"/>
    <d v="2024-08-01T00:00:00"/>
    <d v="2024-08-31T00:00:00"/>
    <x v="5"/>
    <n v="82"/>
    <n v="0"/>
    <n v="66"/>
    <n v="14"/>
    <n v="2"/>
    <n v="0"/>
    <n v="81"/>
    <n v="18"/>
    <n v="18"/>
    <n v="0"/>
    <n v="0"/>
    <n v="0"/>
    <n v="7"/>
    <n v="0"/>
    <n v="0"/>
    <n v="0"/>
    <n v="0"/>
    <n v="0"/>
    <n v="18"/>
    <n v="2"/>
    <n v="2"/>
    <n v="0"/>
    <n v="0"/>
    <n v="0"/>
    <n v="80"/>
    <m/>
  </r>
  <r>
    <n v="981"/>
    <d v="2024-10-23T13:08:08"/>
    <d v="2024-10-23T13:21:44"/>
    <s v="chbanda@lighthouse.org.mw"/>
    <s v="Chipiliro Banda"/>
    <x v="13"/>
    <s v="COE"/>
    <x v="1"/>
    <s v="COP_23"/>
    <s v="COP_23"/>
    <x v="1"/>
    <s v="Quarter4"/>
    <s v="Qtr_4"/>
    <s v="Jul"/>
    <d v="2024-07-01T00:00:00"/>
    <d v="2024-07-31T00:00:00"/>
    <x v="0"/>
    <n v="557"/>
    <n v="157"/>
    <n v="309"/>
    <n v="116"/>
    <n v="67"/>
    <n v="65"/>
    <n v="534"/>
    <n v="168"/>
    <n v="189"/>
    <n v="5"/>
    <n v="0"/>
    <n v="0"/>
    <n v="0"/>
    <n v="0"/>
    <n v="0"/>
    <n v="0"/>
    <n v="0"/>
    <n v="0"/>
    <n v="79"/>
    <n v="7"/>
    <n v="12"/>
    <n v="0"/>
    <n v="3"/>
    <n v="24"/>
    <n v="518"/>
    <m/>
  </r>
  <r>
    <n v="983"/>
    <d v="2024-10-23T14:15:47"/>
    <d v="2024-10-23T14:16:26"/>
    <s v="chbanda@lighthouse.org.mw"/>
    <s v="Chipiliro Banda"/>
    <x v="13"/>
    <s v="COE"/>
    <x v="1"/>
    <s v="COP_23"/>
    <s v="COP_23"/>
    <x v="1"/>
    <s v="Quarter4"/>
    <s v="Qtr_4"/>
    <s v="Jul"/>
    <d v="2024-07-01T00:00:00"/>
    <d v="2024-07-31T00:00:00"/>
    <x v="5"/>
    <n v="148"/>
    <n v="0"/>
    <n v="125"/>
    <n v="18"/>
    <n v="4"/>
    <n v="1"/>
    <n v="128"/>
    <n v="30"/>
    <n v="41"/>
    <n v="1"/>
    <n v="0"/>
    <n v="0"/>
    <n v="0"/>
    <n v="0"/>
    <n v="0"/>
    <n v="0"/>
    <n v="0"/>
    <n v="0"/>
    <n v="28"/>
    <n v="5"/>
    <n v="5"/>
    <n v="0"/>
    <n v="0"/>
    <n v="0"/>
    <n v="143"/>
    <m/>
  </r>
  <r>
    <n v="984"/>
    <d v="2024-10-23T14:16:32"/>
    <d v="2024-10-23T14:18:44"/>
    <s v="chbanda@lighthouse.org.mw"/>
    <s v="Chipiliro Banda"/>
    <x v="13"/>
    <s v="COE"/>
    <x v="1"/>
    <s v="COP_23"/>
    <s v="COP_23"/>
    <x v="1"/>
    <s v="Quarter4"/>
    <s v="Qtr_4"/>
    <s v="Jul"/>
    <d v="2024-07-01T00:00:00"/>
    <d v="2024-07-31T00:00:00"/>
    <x v="4"/>
    <n v="23"/>
    <n v="0"/>
    <n v="18"/>
    <n v="1"/>
    <n v="4"/>
    <n v="0"/>
    <n v="20"/>
    <n v="4"/>
    <n v="7"/>
    <n v="0"/>
    <n v="0"/>
    <n v="0"/>
    <n v="0"/>
    <n v="0"/>
    <n v="0"/>
    <n v="0"/>
    <n v="0"/>
    <n v="0"/>
    <n v="4"/>
    <n v="0"/>
    <n v="0"/>
    <n v="0"/>
    <n v="0"/>
    <n v="0"/>
    <n v="23"/>
    <m/>
  </r>
  <r>
    <n v="989"/>
    <d v="2024-10-24T15:22:21"/>
    <d v="2024-10-24T15:23:54"/>
    <s v="chbanda@lighthouse.org.mw"/>
    <s v="Chipiliro Banda"/>
    <x v="13"/>
    <s v="COE"/>
    <x v="1"/>
    <s v="COP_23"/>
    <s v="COP_23"/>
    <x v="1"/>
    <s v="Quarter4"/>
    <s v="Qtr_4"/>
    <s v="Sep"/>
    <d v="2024-09-01T00:00:00"/>
    <d v="2024-09-30T00:00:00"/>
    <x v="4"/>
    <n v="17"/>
    <n v="0"/>
    <n v="8"/>
    <n v="4"/>
    <n v="5"/>
    <n v="0"/>
    <n v="17"/>
    <n v="4"/>
    <n v="4"/>
    <n v="0"/>
    <n v="0"/>
    <n v="0"/>
    <n v="4"/>
    <n v="0"/>
    <n v="0"/>
    <n v="0"/>
    <n v="0"/>
    <n v="0"/>
    <n v="3"/>
    <n v="0"/>
    <n v="0"/>
    <n v="0"/>
    <n v="0"/>
    <n v="0"/>
    <n v="17"/>
    <m/>
  </r>
  <r>
    <n v="991"/>
    <d v="2024-10-24T15:26:15"/>
    <d v="2024-10-24T15:28:17"/>
    <s v="chbanda@lighthouse.org.mw"/>
    <s v="Chipiliro Banda"/>
    <x v="13"/>
    <s v="COE"/>
    <x v="1"/>
    <s v="COP_23"/>
    <s v="COP_23"/>
    <x v="1"/>
    <s v="Quarter4"/>
    <s v="Qtr_4"/>
    <s v="Sep"/>
    <d v="2024-09-01T00:00:00"/>
    <d v="2024-09-30T00:00:00"/>
    <x v="5"/>
    <n v="91"/>
    <n v="0"/>
    <n v="77"/>
    <n v="11"/>
    <n v="3"/>
    <n v="0"/>
    <n v="91"/>
    <n v="19"/>
    <n v="19"/>
    <n v="1"/>
    <n v="1"/>
    <n v="0"/>
    <n v="19"/>
    <n v="1"/>
    <n v="0"/>
    <n v="0"/>
    <n v="0"/>
    <n v="0"/>
    <n v="19"/>
    <n v="1"/>
    <n v="1"/>
    <n v="0"/>
    <n v="1"/>
    <n v="0"/>
    <n v="89"/>
    <m/>
  </r>
  <r>
    <n v="992"/>
    <d v="2024-10-24T15:28:47"/>
    <d v="2024-10-24T15:29:55"/>
    <s v="chbanda@lighthouse.org.mw"/>
    <s v="Chipiliro Banda"/>
    <x v="13"/>
    <s v="COE"/>
    <x v="1"/>
    <s v="COP_23"/>
    <s v="COP_23"/>
    <x v="1"/>
    <s v="Quarter4"/>
    <s v="Qtr_4"/>
    <s v="Sep"/>
    <d v="2024-09-01T00:00:00"/>
    <d v="2024-09-30T00:00:00"/>
    <x v="3"/>
    <n v="1"/>
    <n v="0"/>
    <n v="0"/>
    <n v="0"/>
    <n v="1"/>
    <n v="0"/>
    <n v="0"/>
    <n v="0"/>
    <n v="1"/>
    <n v="0"/>
    <n v="0"/>
    <n v="0"/>
    <n v="0"/>
    <n v="0"/>
    <n v="0"/>
    <n v="0"/>
    <n v="0"/>
    <n v="0"/>
    <n v="0"/>
    <n v="0"/>
    <n v="0"/>
    <n v="0"/>
    <n v="0"/>
    <n v="0"/>
    <n v="1"/>
    <m/>
  </r>
  <r>
    <n v="993"/>
    <d v="2024-10-24T15:30:44"/>
    <d v="2024-10-24T15:32:36"/>
    <s v="chbanda@lighthouse.org.mw"/>
    <s v="Chipiliro Banda"/>
    <x v="13"/>
    <s v="COE"/>
    <x v="1"/>
    <s v="COP_23"/>
    <s v="COP_23"/>
    <x v="1"/>
    <s v="Quarter4"/>
    <s v="Qtr_4"/>
    <s v="Jul"/>
    <d v="2024-07-01T00:00:00"/>
    <d v="2024-07-31T00:00:00"/>
    <x v="6"/>
    <n v="196"/>
    <n v="157"/>
    <n v="41"/>
    <n v="67"/>
    <n v="39"/>
    <n v="49"/>
    <n v="196"/>
    <n v="80"/>
    <n v="78"/>
    <n v="2"/>
    <n v="0"/>
    <n v="0"/>
    <n v="0"/>
    <n v="0"/>
    <n v="0"/>
    <n v="0"/>
    <n v="0"/>
    <n v="0"/>
    <n v="0"/>
    <n v="0"/>
    <n v="5"/>
    <n v="0"/>
    <n v="3"/>
    <n v="23"/>
    <n v="165"/>
    <m/>
  </r>
  <r>
    <n v="996"/>
    <d v="2024-10-30T13:19:25"/>
    <d v="2024-10-30T13:21:38"/>
    <s v="chbanda@lighthouse.org.mw"/>
    <s v="Chipiliro Banda"/>
    <x v="13"/>
    <s v="COE"/>
    <x v="1"/>
    <s v="COP_23"/>
    <s v="COP_23"/>
    <x v="1"/>
    <s v="Quarter4"/>
    <s v="Qtr_4"/>
    <s v="Jul"/>
    <d v="2024-07-01T00:00:00"/>
    <d v="2024-07-31T00:00:00"/>
    <x v="3"/>
    <n v="20"/>
    <n v="0"/>
    <n v="15"/>
    <n v="2"/>
    <n v="2"/>
    <n v="1"/>
    <n v="0"/>
    <n v="0"/>
    <n v="20"/>
    <n v="0"/>
    <n v="0"/>
    <n v="0"/>
    <n v="0"/>
    <n v="0"/>
    <n v="0"/>
    <n v="0"/>
    <n v="0"/>
    <n v="0"/>
    <n v="0"/>
    <n v="0"/>
    <n v="0"/>
    <n v="0"/>
    <n v="0"/>
    <n v="0"/>
    <n v="20"/>
    <m/>
  </r>
  <r>
    <n v="998"/>
    <d v="2024-10-30T13:32:22"/>
    <d v="2024-10-30T13:36:06"/>
    <s v="chbanda@lighthouse.org.mw"/>
    <s v="Chipiliro Banda"/>
    <x v="13"/>
    <s v="COE"/>
    <x v="1"/>
    <s v="COP_23"/>
    <s v="COP_23"/>
    <x v="1"/>
    <s v="Quarter4"/>
    <s v="Qtr_4"/>
    <s v="Sep"/>
    <d v="2024-09-01T00:00:00"/>
    <d v="2024-09-30T00:00:00"/>
    <x v="6"/>
    <n v="137"/>
    <n v="118"/>
    <n v="29"/>
    <n v="59"/>
    <n v="31"/>
    <n v="18"/>
    <n v="125"/>
    <n v="10"/>
    <n v="8"/>
    <n v="3"/>
    <n v="0"/>
    <n v="0"/>
    <n v="34"/>
    <n v="8"/>
    <n v="0"/>
    <n v="0"/>
    <n v="0"/>
    <n v="0"/>
    <n v="0"/>
    <n v="0"/>
    <n v="8"/>
    <n v="1"/>
    <n v="1"/>
    <n v="4"/>
    <n v="123"/>
    <m/>
  </r>
  <r>
    <n v="129"/>
    <d v="2024-01-26T13:26:08"/>
    <d v="2024-01-26T13:29:29"/>
    <s v="chbanda@lighthouse.org.mw"/>
    <s v="Chipiliro Banda"/>
    <x v="13"/>
    <s v="COE"/>
    <x v="0"/>
    <s v="COP_23"/>
    <s v="COP_23"/>
    <x v="0"/>
    <s v="Quarter1"/>
    <s v="Qtr_1"/>
    <s v="Oct"/>
    <d v="2023-10-01T00:00:00"/>
    <d v="2024-10-31T00:00:00"/>
    <x v="1"/>
    <n v="76"/>
    <n v="76"/>
    <n v="45"/>
    <n v="23"/>
    <n v="8"/>
    <n v="9"/>
    <n v="76"/>
    <n v="27"/>
    <n v="30"/>
    <n v="0"/>
    <n v="0"/>
    <n v="0"/>
    <n v="30"/>
    <n v="2"/>
    <n v="0"/>
    <n v="0"/>
    <n v="0"/>
    <n v="0"/>
    <n v="30"/>
    <n v="0"/>
    <n v="2"/>
    <n v="0"/>
    <n v="0"/>
    <n v="0"/>
    <n v="0"/>
    <m/>
  </r>
  <r>
    <n v="131"/>
    <d v="2024-01-26T13:31:28"/>
    <d v="2024-01-26T13:34:47"/>
    <s v="chbanda@lighthouse.org.mw"/>
    <s v="Chipiliro Banda"/>
    <x v="13"/>
    <s v="COE"/>
    <x v="0"/>
    <s v="COP_23"/>
    <s v="COP_23"/>
    <x v="0"/>
    <s v="Quarter1"/>
    <s v="Qtr_1"/>
    <s v="Nov"/>
    <d v="2024-11-01T00:00:00"/>
    <d v="2024-11-30T00:00:00"/>
    <x v="1"/>
    <n v="56"/>
    <n v="56"/>
    <n v="38"/>
    <n v="9"/>
    <n v="6"/>
    <n v="3"/>
    <n v="56"/>
    <n v="21"/>
    <n v="30"/>
    <n v="1"/>
    <n v="1"/>
    <n v="1"/>
    <n v="30"/>
    <n v="1"/>
    <n v="0"/>
    <n v="0"/>
    <n v="0"/>
    <n v="0"/>
    <n v="30"/>
    <n v="0"/>
    <n v="1"/>
    <n v="1"/>
    <n v="0"/>
    <n v="0"/>
    <n v="0"/>
    <m/>
  </r>
  <r>
    <n v="133"/>
    <d v="2024-01-26T13:38:15"/>
    <d v="2024-01-26T13:40:51"/>
    <s v="chbanda@lighthouse.org.mw"/>
    <s v="Chipiliro Banda"/>
    <x v="13"/>
    <s v="COE"/>
    <x v="0"/>
    <s v="COP_23"/>
    <s v="COP_23"/>
    <x v="0"/>
    <s v="Quarter1"/>
    <s v="Qtr_1"/>
    <s v="Dec"/>
    <d v="2024-12-01T00:00:00"/>
    <d v="2024-12-31T00:00:00"/>
    <x v="1"/>
    <n v="49"/>
    <n v="0"/>
    <n v="37"/>
    <n v="20"/>
    <n v="0"/>
    <n v="2"/>
    <n v="49"/>
    <n v="23"/>
    <n v="25"/>
    <n v="0"/>
    <n v="0"/>
    <n v="0"/>
    <n v="25"/>
    <n v="0"/>
    <n v="0"/>
    <n v="0"/>
    <n v="0"/>
    <n v="0"/>
    <n v="25"/>
    <n v="2"/>
    <n v="2"/>
    <n v="0"/>
    <n v="0"/>
    <n v="0"/>
    <n v="0"/>
    <m/>
  </r>
  <r>
    <n v="155"/>
    <d v="2024-02-13T12:13:50"/>
    <d v="2024-02-13T12:18:34"/>
    <s v="amakweti@lighthouse.org.mw"/>
    <s v="Alphat Makweti"/>
    <x v="13"/>
    <s v="COE"/>
    <x v="1"/>
    <s v="COP_23"/>
    <s v="COP_23"/>
    <x v="2"/>
    <s v="Quarter2"/>
    <s v="Qtr_2"/>
    <s v="Jan"/>
    <d v="2024-01-01T00:00:00"/>
    <d v="2024-01-31T00:00:00"/>
    <x v="1"/>
    <n v="74"/>
    <n v="0"/>
    <n v="46"/>
    <n v="18"/>
    <n v="4"/>
    <n v="6"/>
    <n v="74"/>
    <n v="31"/>
    <n v="34"/>
    <n v="1"/>
    <n v="0"/>
    <n v="0"/>
    <n v="34"/>
    <n v="3"/>
    <n v="0"/>
    <n v="0"/>
    <n v="0"/>
    <n v="0"/>
    <n v="34"/>
    <n v="3"/>
    <n v="3"/>
    <n v="0"/>
    <n v="1"/>
    <n v="0"/>
    <n v="0"/>
    <m/>
  </r>
  <r>
    <n v="218"/>
    <d v="2024-04-08T11:45:31"/>
    <d v="2024-04-08T11:49:46"/>
    <s v="chbanda@lighthouse.org.mw"/>
    <s v="Chipiliro Banda"/>
    <x v="13"/>
    <s v="COE"/>
    <x v="1"/>
    <s v="COP_23"/>
    <s v="COP_23"/>
    <x v="2"/>
    <s v="Quarter2"/>
    <s v="Qtr_2"/>
    <s v="Mar"/>
    <d v="2024-03-01T00:00:00"/>
    <d v="2024-03-31T00:00:00"/>
    <x v="1"/>
    <n v="77"/>
    <n v="0"/>
    <n v="46"/>
    <n v="20"/>
    <n v="7"/>
    <n v="4"/>
    <n v="74"/>
    <n v="24"/>
    <n v="22"/>
    <n v="0"/>
    <n v="0"/>
    <n v="0"/>
    <n v="22"/>
    <n v="0"/>
    <n v="0"/>
    <n v="0"/>
    <n v="0"/>
    <n v="0"/>
    <n v="77"/>
    <n v="6"/>
    <n v="7"/>
    <n v="0"/>
    <n v="0"/>
    <n v="0"/>
    <n v="86"/>
    <m/>
  </r>
  <r>
    <n v="285"/>
    <d v="2024-04-24T09:23:30"/>
    <d v="2024-04-24T09:30:09"/>
    <s v="chbanda@lighthouse.org.mw"/>
    <s v="Chipiliro Banda"/>
    <x v="13"/>
    <s v="COE"/>
    <x v="1"/>
    <s v="COP_23"/>
    <s v="COP_23"/>
    <x v="2"/>
    <s v="Quarter2"/>
    <s v="Qtr_2"/>
    <s v="Feb"/>
    <d v="2024-02-01T00:00:00"/>
    <d v="2024-02-29T00:00:00"/>
    <x v="1"/>
    <n v="81"/>
    <s v="y"/>
    <n v="56"/>
    <n v="12"/>
    <n v="8"/>
    <n v="5"/>
    <n v="81"/>
    <n v="22"/>
    <n v="22"/>
    <n v="0"/>
    <n v="0"/>
    <n v="0"/>
    <n v="20"/>
    <n v="2"/>
    <n v="0"/>
    <n v="0"/>
    <n v="0"/>
    <n v="0"/>
    <n v="23"/>
    <n v="3"/>
    <n v="5"/>
    <n v="0"/>
    <n v="0"/>
    <n v="0"/>
    <n v="56"/>
    <m/>
  </r>
  <r>
    <n v="219"/>
    <d v="2024-04-08T11:49:50"/>
    <d v="2024-04-08T11:52:50"/>
    <s v="chbanda@lighthouse.org.mw"/>
    <s v="Chipiliro Banda"/>
    <x v="13"/>
    <s v="COE"/>
    <x v="1"/>
    <s v="COP_23"/>
    <s v="COP_23"/>
    <x v="2"/>
    <s v="Quarter2"/>
    <s v="Qtr_2"/>
    <s v="Mar"/>
    <d v="2024-03-01T00:00:00"/>
    <d v="2024-03-31T00:00:00"/>
    <x v="2"/>
    <n v="44"/>
    <n v="0"/>
    <n v="31"/>
    <n v="12"/>
    <n v="1"/>
    <n v="0"/>
    <n v="44"/>
    <n v="10"/>
    <n v="11"/>
    <n v="0"/>
    <n v="0"/>
    <n v="0"/>
    <n v="11"/>
    <n v="0"/>
    <n v="0"/>
    <n v="0"/>
    <n v="0"/>
    <n v="0"/>
    <n v="11"/>
    <n v="11"/>
    <n v="0"/>
    <n v="0"/>
    <n v="0"/>
    <n v="0"/>
    <n v="14"/>
    <m/>
  </r>
  <r>
    <n v="404"/>
    <d v="2024-05-15T10:05:28"/>
    <d v="2024-05-15T10:13:33"/>
    <s v="chbanda@lighthouse.org.mw"/>
    <s v="Chipiliro Banda"/>
    <x v="13"/>
    <s v="COE"/>
    <x v="1"/>
    <s v="COP_24"/>
    <s v="COP_23"/>
    <x v="3"/>
    <s v="Quarter3"/>
    <s v="Qtr_3"/>
    <s v="Apr"/>
    <d v="2024-05-01T00:00:00"/>
    <d v="2024-04-30T00:00:00"/>
    <x v="1"/>
    <n v="118"/>
    <n v="0"/>
    <n v="50"/>
    <n v="17"/>
    <n v="11"/>
    <n v="7"/>
    <n v="75"/>
    <n v="36"/>
    <n v="42"/>
    <n v="0"/>
    <n v="30"/>
    <n v="0"/>
    <n v="32"/>
    <n v="6"/>
    <n v="0"/>
    <n v="0"/>
    <n v="0"/>
    <n v="0"/>
    <n v="30"/>
    <n v="6"/>
    <n v="6"/>
    <n v="0"/>
    <n v="0"/>
    <n v="0"/>
    <n v="0"/>
    <m/>
  </r>
  <r>
    <n v="287"/>
    <d v="2024-04-24T09:39:08"/>
    <d v="2024-04-24T09:42:59"/>
    <s v="chbanda@lighthouse.org.mw"/>
    <s v="Chipiliro Banda"/>
    <x v="13"/>
    <s v="COE"/>
    <x v="1"/>
    <s v="COP_23"/>
    <s v="COP_23"/>
    <x v="2"/>
    <s v="Quarter2"/>
    <s v="Qtr_2"/>
    <s v="Feb"/>
    <d v="2024-02-01T00:00:00"/>
    <d v="2024-02-29T00:00:00"/>
    <x v="2"/>
    <n v="36"/>
    <n v="0"/>
    <n v="23"/>
    <n v="10"/>
    <n v="2"/>
    <n v="1"/>
    <n v="36"/>
    <n v="10"/>
    <n v="10"/>
    <n v="0"/>
    <n v="0"/>
    <n v="0"/>
    <n v="10"/>
    <n v="0"/>
    <n v="0"/>
    <n v="0"/>
    <n v="0"/>
    <n v="0"/>
    <n v="10"/>
    <n v="0"/>
    <n v="0"/>
    <n v="0"/>
    <n v="0"/>
    <n v="0"/>
    <n v="30"/>
    <m/>
  </r>
  <r>
    <n v="551"/>
    <d v="2024-06-12T09:54:03"/>
    <d v="2024-06-12T09:54:13"/>
    <s v="chbanda@lighthouse.org.mw"/>
    <s v="Chipiliro Banda"/>
    <x v="13"/>
    <s v="COE"/>
    <x v="1"/>
    <s v="COP_24"/>
    <s v="COP_23"/>
    <x v="3"/>
    <s v="Quarter3"/>
    <s v="Qtr_3"/>
    <s v="May"/>
    <d v="2024-05-01T00:00:00"/>
    <d v="2024-05-31T00:00:00"/>
    <x v="1"/>
    <n v="102"/>
    <n v="0"/>
    <n v="48"/>
    <n v="27"/>
    <n v="14"/>
    <n v="3"/>
    <n v="87"/>
    <n v="37"/>
    <n v="47"/>
    <n v="1"/>
    <n v="0"/>
    <n v="0"/>
    <n v="0"/>
    <n v="0"/>
    <n v="0"/>
    <n v="0"/>
    <n v="0"/>
    <n v="0"/>
    <n v="28"/>
    <n v="5"/>
    <n v="5"/>
    <n v="0"/>
    <n v="0"/>
    <n v="0"/>
    <n v="0"/>
    <m/>
  </r>
  <r>
    <n v="294"/>
    <d v="2024-04-24T10:50:38"/>
    <d v="2024-04-24T10:52:38"/>
    <s v="chbanda@lighthouse.org.mw"/>
    <s v="Chipiliro Banda"/>
    <x v="13"/>
    <s v="COE"/>
    <x v="1"/>
    <s v="COP_23"/>
    <s v="COP_23"/>
    <x v="2"/>
    <s v="Quarter2"/>
    <s v="Qtr_2"/>
    <s v="Jan"/>
    <d v="2024-01-01T00:00:00"/>
    <d v="2024-01-31T00:00:00"/>
    <x v="2"/>
    <n v="14"/>
    <n v="0"/>
    <n v="10"/>
    <n v="4"/>
    <n v="0"/>
    <n v="0"/>
    <n v="14"/>
    <n v="3"/>
    <n v="2"/>
    <n v="0"/>
    <n v="0"/>
    <n v="0"/>
    <n v="2"/>
    <n v="0"/>
    <n v="0"/>
    <n v="0"/>
    <n v="0"/>
    <n v="0"/>
    <n v="2"/>
    <n v="0"/>
    <n v="0"/>
    <n v="0"/>
    <n v="0"/>
    <n v="0"/>
    <n v="34"/>
    <m/>
  </r>
  <r>
    <n v="777"/>
    <d v="2024-08-19T12:33:08"/>
    <d v="2024-08-19T12:35:58"/>
    <s v="chbanda@lighthouse.org.mw"/>
    <s v="Chipiliro Banda"/>
    <x v="13"/>
    <s v="COE"/>
    <x v="1"/>
    <s v="COP_24"/>
    <s v="COP_23"/>
    <x v="3"/>
    <s v="Quarter3"/>
    <s v="Qtr_3"/>
    <s v="Jun"/>
    <d v="2024-06-01T00:00:00"/>
    <d v="2024-06-30T00:00:00"/>
    <x v="1"/>
    <n v="72"/>
    <n v="15"/>
    <n v="38"/>
    <n v="16"/>
    <n v="12"/>
    <n v="6"/>
    <n v="72"/>
    <n v="38"/>
    <n v="40"/>
    <n v="2"/>
    <n v="1"/>
    <n v="1"/>
    <n v="0"/>
    <n v="0"/>
    <n v="0"/>
    <n v="0"/>
    <n v="0"/>
    <n v="0"/>
    <n v="41"/>
    <n v="6"/>
    <n v="7"/>
    <n v="1"/>
    <n v="1"/>
    <n v="0"/>
    <n v="29"/>
    <m/>
  </r>
  <r>
    <n v="970"/>
    <d v="2024-10-21T11:33:46"/>
    <d v="2024-10-21T11:38:27"/>
    <s v="chbanda@lighthouse.org.mw"/>
    <s v="Chipiliro Banda"/>
    <x v="13"/>
    <s v="COE"/>
    <x v="1"/>
    <s v="COP_23"/>
    <s v="COP_23"/>
    <x v="1"/>
    <s v="Quarter4"/>
    <s v="Qtr_4"/>
    <s v="Aug"/>
    <d v="2024-08-01T00:00:00"/>
    <d v="2024-08-31T00:00:00"/>
    <x v="1"/>
    <n v="81"/>
    <n v="14"/>
    <n v="37"/>
    <n v="24"/>
    <n v="14"/>
    <n v="6"/>
    <n v="74"/>
    <n v="30"/>
    <n v="32"/>
    <n v="2"/>
    <n v="0"/>
    <n v="0"/>
    <n v="8"/>
    <n v="0"/>
    <n v="0"/>
    <n v="0"/>
    <n v="0"/>
    <n v="0"/>
    <n v="21"/>
    <n v="5"/>
    <n v="15"/>
    <n v="0"/>
    <n v="2"/>
    <n v="0"/>
    <n v="64"/>
    <m/>
  </r>
  <r>
    <n v="465"/>
    <d v="2024-05-27T12:04:12"/>
    <d v="2024-05-27T12:12:58"/>
    <s v="chbanda@lighthouse.org.mw"/>
    <s v="Chipiliro Banda"/>
    <x v="13"/>
    <s v="COE"/>
    <x v="1"/>
    <s v="COP_24"/>
    <s v="COP_23"/>
    <x v="3"/>
    <s v="Quarter3"/>
    <s v="Qtr_3"/>
    <s v="Apr"/>
    <d v="2024-04-01T00:00:00"/>
    <d v="2024-04-30T00:00:00"/>
    <x v="2"/>
    <n v="50"/>
    <n v="0"/>
    <n v="31"/>
    <n v="6"/>
    <n v="1"/>
    <n v="0"/>
    <n v="37"/>
    <n v="7"/>
    <n v="8"/>
    <n v="1"/>
    <n v="0"/>
    <n v="0"/>
    <n v="0"/>
    <n v="0"/>
    <n v="0"/>
    <n v="0"/>
    <n v="0"/>
    <n v="0"/>
    <n v="8"/>
    <n v="0"/>
    <n v="0"/>
    <n v="0"/>
    <n v="0"/>
    <n v="0"/>
    <n v="0"/>
    <m/>
  </r>
  <r>
    <n v="994"/>
    <d v="2024-10-30T13:00:51"/>
    <d v="2024-10-30T13:01:11"/>
    <s v="chbanda@lighthouse.org.mw"/>
    <s v="Chipiliro Banda"/>
    <x v="13"/>
    <s v="COE"/>
    <x v="1"/>
    <s v="COP_23"/>
    <s v="COP_23"/>
    <x v="1"/>
    <s v="Quarter4"/>
    <s v="Qtr_4"/>
    <s v="Sep"/>
    <d v="2024-09-01T00:00:00"/>
    <d v="2024-09-30T00:00:00"/>
    <x v="1"/>
    <n v="69"/>
    <n v="13"/>
    <n v="37"/>
    <n v="17"/>
    <n v="8"/>
    <n v="6"/>
    <n v="65"/>
    <n v="36"/>
    <n v="35"/>
    <n v="3"/>
    <n v="1"/>
    <n v="0"/>
    <n v="29"/>
    <n v="5"/>
    <n v="0"/>
    <n v="0"/>
    <n v="0"/>
    <n v="0"/>
    <n v="23"/>
    <n v="6"/>
    <n v="10"/>
    <n v="1"/>
    <n v="0"/>
    <n v="0"/>
    <n v="58"/>
    <m/>
  </r>
  <r>
    <n v="550"/>
    <d v="2024-06-12T09:09:50"/>
    <d v="2024-06-12T09:18:41"/>
    <s v="chbanda@lighthouse.org.mw"/>
    <s v="Chipiliro Banda"/>
    <x v="13"/>
    <s v="COE"/>
    <x v="1"/>
    <s v="COP_24"/>
    <s v="COP_23"/>
    <x v="3"/>
    <s v="Quarter3"/>
    <s v="Qtr_3"/>
    <s v="May"/>
    <d v="2024-05-01T00:00:00"/>
    <d v="2024-05-31T00:00:00"/>
    <x v="2"/>
    <n v="67"/>
    <n v="0"/>
    <n v="35"/>
    <n v="6"/>
    <n v="1"/>
    <n v="1"/>
    <n v="42"/>
    <n v="8"/>
    <n v="11"/>
    <n v="0"/>
    <n v="0"/>
    <n v="0"/>
    <n v="0"/>
    <n v="0"/>
    <n v="0"/>
    <n v="0"/>
    <n v="0"/>
    <n v="0"/>
    <n v="12"/>
    <n v="1"/>
    <n v="1"/>
    <n v="0"/>
    <n v="0"/>
    <n v="0"/>
    <n v="0"/>
    <m/>
  </r>
  <r>
    <n v="652"/>
    <d v="2024-07-18T13:50:18"/>
    <d v="2024-07-18T14:10:56"/>
    <s v="chbanda@lighthouse.org.mw"/>
    <s v="Chipiliro Banda"/>
    <x v="13"/>
    <s v="COE"/>
    <x v="1"/>
    <s v="COP_24"/>
    <s v="COP_23"/>
    <x v="3"/>
    <s v="Quarter3"/>
    <s v="Qtr_3"/>
    <s v="Jun"/>
    <d v="2024-06-01T00:00:00"/>
    <d v="2024-06-30T00:00:00"/>
    <x v="2"/>
    <n v="45"/>
    <n v="0"/>
    <n v="34"/>
    <n v="7"/>
    <n v="4"/>
    <n v="0"/>
    <n v="45"/>
    <n v="11"/>
    <n v="0"/>
    <n v="0"/>
    <n v="0"/>
    <n v="0"/>
    <n v="0"/>
    <n v="0"/>
    <n v="0"/>
    <n v="0"/>
    <n v="0"/>
    <n v="0"/>
    <n v="11"/>
    <n v="0"/>
    <n v="0"/>
    <n v="0"/>
    <n v="0"/>
    <n v="0"/>
    <n v="0"/>
    <m/>
  </r>
  <r>
    <n v="1000"/>
    <d v="2024-10-31T10:24:05"/>
    <d v="2024-10-31T10:29:12"/>
    <s v="chbanda@lighthouse.org.mw"/>
    <s v="Chipiliro Banda"/>
    <x v="13"/>
    <s v="COE"/>
    <x v="1"/>
    <s v="COP_23"/>
    <s v="COP_23"/>
    <x v="1"/>
    <s v="Quarter4"/>
    <s v="Qtr_4"/>
    <s v="Jul"/>
    <d v="2024-07-01T00:00:00"/>
    <d v="2024-07-31T00:00:00"/>
    <x v="1"/>
    <n v="101"/>
    <n v="11"/>
    <n v="62"/>
    <n v="20"/>
    <n v="16"/>
    <n v="3"/>
    <n v="98"/>
    <n v="39"/>
    <n v="42"/>
    <n v="1"/>
    <n v="0"/>
    <n v="0"/>
    <n v="0"/>
    <n v="0"/>
    <n v="1"/>
    <n v="1"/>
    <n v="0"/>
    <n v="0"/>
    <n v="0"/>
    <n v="0"/>
    <n v="2"/>
    <n v="1"/>
    <n v="0"/>
    <n v="0"/>
    <n v="98"/>
    <m/>
  </r>
  <r>
    <n v="1066"/>
    <d v="2024-11-14T09:06:53"/>
    <d v="2024-11-14T09:13:15"/>
    <s v="chbanda@lighthouse.org.mw"/>
    <s v="Chipiliro Banda"/>
    <x v="13"/>
    <s v="COE"/>
    <x v="1"/>
    <s v="COP_24"/>
    <s v="COP_24"/>
    <x v="0"/>
    <s v="Quarter1"/>
    <s v="Qtr_1"/>
    <s v="Oct"/>
    <d v="2024-10-01T00:00:00"/>
    <d v="2024-10-31T00:00:00"/>
    <x v="6"/>
    <n v="165"/>
    <n v="134"/>
    <n v="36"/>
    <n v="44"/>
    <n v="36"/>
    <n v="49"/>
    <n v="156"/>
    <n v="58"/>
    <n v="60"/>
    <n v="6"/>
    <n v="0"/>
    <n v="0"/>
    <n v="43"/>
    <n v="4"/>
    <n v="0"/>
    <n v="0"/>
    <n v="0"/>
    <n v="0"/>
    <n v="0"/>
    <n v="0"/>
    <n v="3"/>
    <n v="1"/>
    <n v="5"/>
    <n v="11"/>
    <n v="145"/>
    <m/>
  </r>
  <r>
    <n v="971"/>
    <d v="2024-10-21T11:43:30"/>
    <d v="2024-10-21T11:50:19"/>
    <s v="chbanda@lighthouse.org.mw"/>
    <s v="Chipiliro Banda"/>
    <x v="13"/>
    <s v="COE"/>
    <x v="1"/>
    <s v="COP_23"/>
    <s v="COP_23"/>
    <x v="1"/>
    <s v="Quarter4"/>
    <s v="Qtr_4"/>
    <s v="Aug"/>
    <d v="2024-08-01T00:00:00"/>
    <d v="2024-08-31T00:00:00"/>
    <x v="2"/>
    <n v="44"/>
    <n v="0"/>
    <n v="32"/>
    <n v="9"/>
    <n v="1"/>
    <n v="2"/>
    <n v="44"/>
    <n v="11"/>
    <n v="11"/>
    <n v="0"/>
    <n v="0"/>
    <n v="0"/>
    <n v="2"/>
    <n v="0"/>
    <n v="0"/>
    <n v="0"/>
    <n v="0"/>
    <n v="0"/>
    <n v="11"/>
    <n v="2"/>
    <n v="2"/>
    <n v="0"/>
    <n v="0"/>
    <n v="0"/>
    <n v="42"/>
    <m/>
  </r>
  <r>
    <n v="988"/>
    <d v="2024-10-24T15:15:28"/>
    <d v="2024-10-24T15:21:07"/>
    <s v="chbanda@lighthouse.org.mw"/>
    <s v="Chipiliro Banda"/>
    <x v="13"/>
    <s v="COE"/>
    <x v="1"/>
    <s v="COP_23"/>
    <s v="COP_23"/>
    <x v="1"/>
    <s v="Quarter4"/>
    <s v="Qtr_4"/>
    <s v="Sep"/>
    <d v="2024-09-01T00:00:00"/>
    <d v="2024-09-30T00:00:00"/>
    <x v="2"/>
    <n v="48"/>
    <n v="0"/>
    <n v="37"/>
    <n v="7"/>
    <n v="3"/>
    <n v="1"/>
    <n v="48"/>
    <n v="20"/>
    <n v="20"/>
    <n v="2"/>
    <n v="0"/>
    <n v="0"/>
    <n v="20"/>
    <n v="2"/>
    <n v="0"/>
    <n v="0"/>
    <n v="0"/>
    <n v="0"/>
    <n v="20"/>
    <n v="2"/>
    <n v="2"/>
    <n v="0"/>
    <n v="2"/>
    <n v="0"/>
    <n v="44"/>
    <m/>
  </r>
  <r>
    <n v="995"/>
    <d v="2024-10-30T13:17:42"/>
    <d v="2024-10-30T13:19:13"/>
    <s v="chbanda@lighthouse.org.mw"/>
    <s v="Chipiliro Banda"/>
    <x v="13"/>
    <s v="COE"/>
    <x v="1"/>
    <s v="COP_23"/>
    <s v="COP_23"/>
    <x v="1"/>
    <s v="Quarter4"/>
    <s v="Qtr_4"/>
    <s v="Jul"/>
    <d v="2024-07-01T00:00:00"/>
    <d v="2024-07-31T00:00:00"/>
    <x v="2"/>
    <n v="64"/>
    <n v="0"/>
    <n v="53"/>
    <n v="8"/>
    <n v="2"/>
    <n v="1"/>
    <n v="64"/>
    <n v="17"/>
    <n v="16"/>
    <n v="1"/>
    <n v="0"/>
    <n v="0"/>
    <n v="0"/>
    <n v="0"/>
    <n v="0"/>
    <n v="0"/>
    <n v="0"/>
    <n v="0"/>
    <n v="17"/>
    <n v="0"/>
    <n v="0"/>
    <n v="0"/>
    <n v="0"/>
    <n v="0"/>
    <n v="0"/>
    <m/>
  </r>
  <r>
    <n v="1181"/>
    <d v="2025-01-06T09:12:38"/>
    <d v="2025-01-06T09:27:13"/>
    <s v="chbanda@lighthouse.org.mw"/>
    <s v="Chipiliro Banda"/>
    <x v="13"/>
    <s v="COE"/>
    <x v="1"/>
    <s v="COP_24"/>
    <s v="COP_24"/>
    <x v="0"/>
    <s v="Quarter1"/>
    <s v="Qtr_1"/>
    <s v="Oct"/>
    <d v="2024-10-01T00:00:00"/>
    <d v="2024-10-31T00:00:00"/>
    <x v="5"/>
    <n v="87"/>
    <n v="0"/>
    <n v="73"/>
    <n v="8"/>
    <n v="5"/>
    <n v="1"/>
    <n v="83"/>
    <n v="18"/>
    <n v="24"/>
    <n v="0"/>
    <n v="0"/>
    <n v="0"/>
    <n v="20"/>
    <n v="1"/>
    <n v="0"/>
    <n v="0"/>
    <n v="0"/>
    <n v="0"/>
    <n v="14"/>
    <n v="1"/>
    <n v="4"/>
    <n v="0"/>
    <n v="0"/>
    <n v="0"/>
    <n v="0"/>
    <m/>
  </r>
  <r>
    <n v="1182"/>
    <d v="2025-01-06T10:23:13"/>
    <d v="2025-01-06T10:25:23"/>
    <s v="chbanda@lighthouse.org.mw"/>
    <s v="Chipiliro Banda"/>
    <x v="13"/>
    <s v="COE"/>
    <x v="1"/>
    <s v="COP_24"/>
    <s v="COP_24"/>
    <x v="0"/>
    <s v="Quarter1"/>
    <s v="Qtr_1"/>
    <s v="Oct"/>
    <d v="2024-10-01T00:00:00"/>
    <d v="2024-10-31T00:00:00"/>
    <x v="0"/>
    <n v="440"/>
    <n v="134"/>
    <n v="228"/>
    <n v="92"/>
    <n v="64"/>
    <n v="56"/>
    <n v="419"/>
    <n v="119"/>
    <n v="127"/>
    <n v="11"/>
    <n v="3"/>
    <n v="0"/>
    <n v="102"/>
    <n v="7"/>
    <n v="0"/>
    <n v="0"/>
    <n v="0"/>
    <n v="0"/>
    <n v="67"/>
    <n v="13"/>
    <n v="16"/>
    <n v="1"/>
    <n v="10"/>
    <n v="12"/>
    <n v="401"/>
    <m/>
  </r>
  <r>
    <n v="1183"/>
    <d v="2025-01-06T10:25:28"/>
    <d v="2025-01-06T10:30:47"/>
    <s v="chbanda@lighthouse.org.mw"/>
    <s v="Chipiliro Banda"/>
    <x v="13"/>
    <s v="COE"/>
    <x v="1"/>
    <s v="COP_24"/>
    <s v="COP_24"/>
    <x v="0"/>
    <s v="Quarter1"/>
    <s v="Qtr_1"/>
    <s v="Oct"/>
    <d v="2024-10-01T00:00:00"/>
    <d v="2024-10-31T00:00:00"/>
    <x v="2"/>
    <n v="41"/>
    <n v="0"/>
    <n v="32"/>
    <n v="4"/>
    <n v="3"/>
    <n v="2"/>
    <n v="41"/>
    <n v="11"/>
    <n v="11"/>
    <n v="0"/>
    <n v="0"/>
    <n v="0"/>
    <n v="11"/>
    <n v="1"/>
    <n v="0"/>
    <n v="0"/>
    <n v="0"/>
    <n v="0"/>
    <n v="11"/>
    <n v="1"/>
    <n v="1"/>
    <n v="0"/>
    <n v="0"/>
    <n v="0"/>
    <n v="40"/>
    <m/>
  </r>
  <r>
    <n v="1184"/>
    <d v="2025-01-06T10:32:53"/>
    <d v="2025-01-06T10:35:18"/>
    <s v="chbanda@lighthouse.org.mw"/>
    <s v="Chipiliro Banda"/>
    <x v="13"/>
    <s v="COE"/>
    <x v="1"/>
    <s v="COP_24"/>
    <s v="COP_24"/>
    <x v="0"/>
    <s v="Quarter1"/>
    <s v="Qtr_1"/>
    <s v="Oct"/>
    <d v="2024-10-01T00:00:00"/>
    <d v="2024-10-31T00:00:00"/>
    <x v="3"/>
    <n v="9"/>
    <n v="0"/>
    <n v="4"/>
    <n v="0"/>
    <n v="3"/>
    <n v="2"/>
    <n v="0"/>
    <n v="0"/>
    <n v="9"/>
    <n v="0"/>
    <n v="0"/>
    <n v="0"/>
    <n v="9"/>
    <n v="1"/>
    <n v="0"/>
    <n v="0"/>
    <n v="0"/>
    <n v="0"/>
    <n v="0"/>
    <n v="0"/>
    <n v="1"/>
    <n v="0"/>
    <n v="0"/>
    <n v="0"/>
    <n v="8"/>
    <m/>
  </r>
  <r>
    <n v="1185"/>
    <d v="2025-01-06T10:37:25"/>
    <d v="2025-01-06T10:39:02"/>
    <s v="chbanda@lighthouse.org.mw"/>
    <s v="Chipiliro Banda"/>
    <x v="13"/>
    <s v="COE"/>
    <x v="1"/>
    <s v="COP_24"/>
    <s v="COP_24"/>
    <x v="0"/>
    <s v="Quarter1"/>
    <s v="Qtr_1"/>
    <s v="Oct"/>
    <d v="2024-10-01T00:00:00"/>
    <d v="2024-10-31T00:00:00"/>
    <x v="4"/>
    <n v="10"/>
    <n v="0"/>
    <n v="7"/>
    <n v="2"/>
    <n v="1"/>
    <n v="0"/>
    <n v="10"/>
    <n v="2"/>
    <n v="2"/>
    <n v="0"/>
    <n v="0"/>
    <n v="0"/>
    <n v="2"/>
    <n v="0"/>
    <n v="0"/>
    <n v="0"/>
    <n v="0"/>
    <n v="0"/>
    <n v="2"/>
    <n v="0"/>
    <n v="0"/>
    <n v="0"/>
    <n v="0"/>
    <n v="0"/>
    <n v="10"/>
    <m/>
  </r>
  <r>
    <n v="1186"/>
    <d v="2025-01-06T10:41:51"/>
    <d v="2025-01-06T11:10:13"/>
    <s v="chbanda@lighthouse.org.mw"/>
    <s v="Chipiliro Banda"/>
    <x v="13"/>
    <s v="COE"/>
    <x v="1"/>
    <s v="COP_24"/>
    <s v="COP_24"/>
    <x v="0"/>
    <s v="Quarter1"/>
    <s v="Qtr_1"/>
    <s v="Oct"/>
    <d v="2024-10-01T00:00:00"/>
    <d v="2024-10-31T00:00:00"/>
    <x v="1"/>
    <n v="86"/>
    <n v="12"/>
    <n v="49"/>
    <n v="20"/>
    <n v="13"/>
    <n v="4"/>
    <n v="82"/>
    <n v="28"/>
    <n v="30"/>
    <n v="4"/>
    <n v="3"/>
    <n v="0"/>
    <n v="24"/>
    <n v="2"/>
    <n v="0"/>
    <n v="0"/>
    <n v="0"/>
    <n v="0"/>
    <n v="21"/>
    <n v="5"/>
    <n v="6"/>
    <n v="0"/>
    <n v="4"/>
    <n v="0"/>
    <n v="76"/>
    <m/>
  </r>
  <r>
    <n v="1192"/>
    <d v="2025-01-06T13:31:31"/>
    <d v="2025-01-06T13:31:36"/>
    <s v="chbanda@lighthouse.org.mw"/>
    <s v="Chipiliro Banda"/>
    <x v="13"/>
    <s v="COE"/>
    <x v="1"/>
    <s v="COP_24"/>
    <s v="COP_24"/>
    <x v="0"/>
    <s v="Quarter1"/>
    <s v="Qtr_1"/>
    <s v="Nov"/>
    <d v="2024-11-01T00:00:00"/>
    <d v="2024-11-30T00:00:00"/>
    <x v="0"/>
    <n v="478"/>
    <n v="170"/>
    <n v="227"/>
    <n v="100"/>
    <n v="89"/>
    <n v="62"/>
    <n v="465"/>
    <n v="140"/>
    <n v="155"/>
    <n v="7"/>
    <n v="1"/>
    <n v="0"/>
    <n v="127"/>
    <n v="12"/>
    <n v="0"/>
    <n v="0"/>
    <n v="1"/>
    <n v="1"/>
    <n v="185"/>
    <n v="7"/>
    <n v="16"/>
    <n v="1"/>
    <n v="5"/>
    <n v="10"/>
    <n v="446"/>
    <m/>
  </r>
  <r>
    <n v="1195"/>
    <d v="2025-01-06T13:34:42"/>
    <d v="2025-01-06T13:38:17"/>
    <s v="chbanda@lighthouse.org.mw"/>
    <s v="Chipiliro Banda"/>
    <x v="13"/>
    <s v="COE"/>
    <x v="1"/>
    <s v="COP_24"/>
    <s v="COP_24"/>
    <x v="0"/>
    <s v="Quarter1"/>
    <s v="Qtr_1"/>
    <s v="Nov"/>
    <d v="2024-11-01T00:00:00"/>
    <d v="2024-11-30T00:00:00"/>
    <x v="6"/>
    <n v="198"/>
    <n v="170"/>
    <n v="32"/>
    <n v="51"/>
    <n v="64"/>
    <n v="51"/>
    <n v="191"/>
    <n v="65"/>
    <n v="0"/>
    <n v="0"/>
    <n v="0"/>
    <n v="0"/>
    <n v="59"/>
    <n v="9"/>
    <n v="0"/>
    <n v="0"/>
    <n v="0"/>
    <n v="0"/>
    <n v="0"/>
    <n v="0"/>
    <n v="7"/>
    <n v="1"/>
    <n v="4"/>
    <n v="7"/>
    <n v="179"/>
    <m/>
  </r>
  <r>
    <n v="1196"/>
    <d v="2025-01-06T14:21:17"/>
    <d v="2025-01-06T14:25:08"/>
    <s v="chbanda@lighthouse.org.mw"/>
    <s v="Chipiliro Banda"/>
    <x v="13"/>
    <s v="COE"/>
    <x v="1"/>
    <s v="COP_24"/>
    <s v="COP_24"/>
    <x v="0"/>
    <s v="Quarter1"/>
    <s v="Qtr_1"/>
    <s v="Nov"/>
    <d v="2024-11-01T00:00:00"/>
    <d v="2024-11-30T00:00:00"/>
    <x v="1"/>
    <n v="107"/>
    <n v="11"/>
    <n v="67"/>
    <n v="18"/>
    <n v="13"/>
    <n v="9"/>
    <n v="105"/>
    <n v="43"/>
    <n v="45"/>
    <n v="1"/>
    <n v="0"/>
    <n v="0"/>
    <n v="41"/>
    <n v="4"/>
    <n v="0"/>
    <n v="0"/>
    <n v="1"/>
    <n v="1"/>
    <n v="32"/>
    <n v="6"/>
    <n v="9"/>
    <n v="0"/>
    <n v="1"/>
    <n v="0"/>
    <n v="70"/>
    <m/>
  </r>
  <r>
    <n v="1197"/>
    <d v="2025-01-06T14:35:37"/>
    <d v="2025-01-06T14:35:44"/>
    <s v="chbanda@lighthouse.org.mw"/>
    <s v="Chipiliro Banda"/>
    <x v="13"/>
    <s v="COE"/>
    <x v="1"/>
    <s v="COP_24"/>
    <s v="COP_24"/>
    <x v="0"/>
    <s v="Quarter1"/>
    <s v="Qtr_1"/>
    <s v="Nov"/>
    <d v="2024-11-01T00:00:00"/>
    <d v="2024-11-30T00:00:00"/>
    <x v="3"/>
    <n v="1"/>
    <n v="0"/>
    <n v="0"/>
    <n v="0"/>
    <n v="0"/>
    <n v="1"/>
    <n v="0"/>
    <n v="0"/>
    <n v="0"/>
    <n v="0"/>
    <n v="0"/>
    <n v="0"/>
    <n v="0"/>
    <n v="0"/>
    <n v="0"/>
    <n v="0"/>
    <n v="0"/>
    <n v="0"/>
    <n v="0"/>
    <n v="0"/>
    <n v="0"/>
    <n v="0"/>
    <n v="0"/>
    <n v="0"/>
    <n v="1"/>
    <m/>
  </r>
  <r>
    <n v="1198"/>
    <d v="2025-01-06T14:35:48"/>
    <d v="2025-01-06T14:38:18"/>
    <s v="chbanda@lighthouse.org.mw"/>
    <s v="Chipiliro Banda"/>
    <x v="13"/>
    <s v="COE"/>
    <x v="1"/>
    <s v="COP_24"/>
    <s v="COP_24"/>
    <x v="0"/>
    <s v="Quarter1"/>
    <s v="Qtr_1"/>
    <s v="Nov"/>
    <d v="2024-11-01T00:00:00"/>
    <d v="2024-11-30T00:00:00"/>
    <x v="4"/>
    <n v="11"/>
    <n v="0"/>
    <n v="5"/>
    <n v="3"/>
    <n v="1"/>
    <n v="2"/>
    <n v="11"/>
    <n v="2"/>
    <n v="2"/>
    <n v="0"/>
    <n v="0"/>
    <n v="0"/>
    <n v="2"/>
    <n v="0"/>
    <n v="0"/>
    <n v="0"/>
    <n v="0"/>
    <n v="0"/>
    <n v="0"/>
    <n v="0"/>
    <n v="0"/>
    <n v="0"/>
    <n v="0"/>
    <n v="0"/>
    <n v="11"/>
    <m/>
  </r>
  <r>
    <n v="1199"/>
    <d v="2025-01-06T14:42:22"/>
    <d v="2025-01-06T14:48:03"/>
    <s v="chbanda@lighthouse.org.mw"/>
    <s v="Chipiliro Banda"/>
    <x v="13"/>
    <s v="COE"/>
    <x v="1"/>
    <s v="COP_24"/>
    <s v="COP_24"/>
    <x v="0"/>
    <s v="Quarter1"/>
    <s v="Qtr_1"/>
    <s v="Nov"/>
    <d v="2024-11-01T00:00:00"/>
    <d v="2024-11-30T00:00:00"/>
    <x v="2"/>
    <n v="29"/>
    <n v="0"/>
    <n v="21"/>
    <n v="6"/>
    <n v="2"/>
    <n v="0"/>
    <n v="29"/>
    <n v="5"/>
    <n v="5"/>
    <n v="0"/>
    <n v="0"/>
    <n v="0"/>
    <n v="5"/>
    <n v="0"/>
    <n v="0"/>
    <n v="0"/>
    <n v="0"/>
    <n v="0"/>
    <n v="5"/>
    <n v="0"/>
    <n v="0"/>
    <n v="0"/>
    <n v="0"/>
    <n v="0"/>
    <n v="29"/>
    <m/>
  </r>
  <r>
    <n v="1201"/>
    <d v="2025-01-06T14:49:07"/>
    <d v="2025-01-06T14:52:22"/>
    <s v="chbanda@lighthouse.org.mw"/>
    <s v="Chipiliro Banda"/>
    <x v="13"/>
    <s v="COE"/>
    <x v="1"/>
    <s v="COP_24"/>
    <s v="COP_24"/>
    <x v="0"/>
    <s v="Quarter1"/>
    <s v="Qtr_1"/>
    <s v="Nov"/>
    <d v="2024-11-01T00:00:00"/>
    <d v="2024-11-30T00:00:00"/>
    <x v="5"/>
    <n v="84"/>
    <n v="0"/>
    <n v="71"/>
    <n v="7"/>
    <n v="6"/>
    <n v="0"/>
    <n v="81"/>
    <n v="25"/>
    <n v="26"/>
    <n v="1"/>
    <n v="1"/>
    <n v="0"/>
    <n v="24"/>
    <n v="0"/>
    <n v="0"/>
    <n v="0"/>
    <n v="0"/>
    <n v="0"/>
    <n v="24"/>
    <n v="1"/>
    <n v="1"/>
    <n v="0"/>
    <n v="0"/>
    <n v="0"/>
    <n v="83"/>
    <m/>
  </r>
  <r>
    <n v="1205"/>
    <d v="2025-01-06T14:56:24"/>
    <d v="2025-01-06T14:58:51"/>
    <s v="chbanda@lighthouse.org.mw"/>
    <s v="Chipiliro Banda"/>
    <x v="13"/>
    <s v="COE"/>
    <x v="1"/>
    <s v="COP_24"/>
    <s v="COP_24"/>
    <x v="0"/>
    <s v="Quarter1"/>
    <s v="Qtr_1"/>
    <s v="Dec"/>
    <d v="2024-12-01T00:00:00"/>
    <d v="2024-12-31T00:00:00"/>
    <x v="6"/>
    <n v="135"/>
    <n v="120"/>
    <n v="25"/>
    <n v="32"/>
    <n v="49"/>
    <n v="29"/>
    <n v="127"/>
    <n v="42"/>
    <n v="47"/>
    <n v="3"/>
    <n v="0"/>
    <n v="0"/>
    <n v="36"/>
    <n v="10"/>
    <n v="0"/>
    <n v="0"/>
    <n v="0"/>
    <n v="0"/>
    <n v="0"/>
    <n v="0"/>
    <n v="6"/>
    <n v="0"/>
    <n v="3"/>
    <n v="12"/>
    <n v="114"/>
    <m/>
  </r>
  <r>
    <n v="1233"/>
    <d v="2025-01-13T09:02:19"/>
    <d v="2025-01-13T09:06:37"/>
    <s v="chbanda@lighthouse.org.mw"/>
    <s v="Chipiliro Banda"/>
    <x v="13"/>
    <s v="COE"/>
    <x v="1"/>
    <s v="COP_24"/>
    <s v="COP_24"/>
    <x v="0"/>
    <s v="Quarter1"/>
    <s v="Qtr_1"/>
    <s v="Dec"/>
    <d v="2024-12-01T00:00:00"/>
    <d v="2024-12-31T00:00:00"/>
    <x v="0"/>
    <n v="453"/>
    <n v="150"/>
    <n v="219"/>
    <n v="99"/>
    <n v="87"/>
    <n v="48"/>
    <n v="440"/>
    <n v="139"/>
    <n v="149"/>
    <n v="7"/>
    <n v="4"/>
    <n v="2"/>
    <n v="124"/>
    <n v="14"/>
    <n v="0"/>
    <n v="0"/>
    <n v="0"/>
    <n v="0"/>
    <n v="91"/>
    <n v="13"/>
    <n v="23"/>
    <n v="2"/>
    <n v="5"/>
    <n v="14"/>
    <n v="409"/>
    <s v=" "/>
  </r>
  <r>
    <n v="1234"/>
    <d v="2025-01-13T09:07:16"/>
    <d v="2025-01-13T09:13:31"/>
    <s v="chbanda@lighthouse.org.mw"/>
    <s v="Chipiliro Banda"/>
    <x v="13"/>
    <s v="COE"/>
    <x v="1"/>
    <s v="COP_24"/>
    <s v="COP_24"/>
    <x v="0"/>
    <s v="Quarter1"/>
    <s v="Qtr_1"/>
    <s v="Dec"/>
    <d v="2024-12-01T00:00:00"/>
    <d v="2024-12-31T00:00:00"/>
    <x v="4"/>
    <n v="14"/>
    <n v="0"/>
    <n v="12"/>
    <n v="1"/>
    <n v="1"/>
    <n v="0"/>
    <n v="14"/>
    <n v="2"/>
    <n v="2"/>
    <n v="0"/>
    <n v="0"/>
    <n v="0"/>
    <n v="2"/>
    <n v="0"/>
    <n v="0"/>
    <n v="0"/>
    <n v="0"/>
    <n v="0"/>
    <n v="2"/>
    <n v="0"/>
    <n v="0"/>
    <n v="0"/>
    <n v="0"/>
    <n v="0"/>
    <n v="14"/>
    <m/>
  </r>
  <r>
    <n v="1235"/>
    <d v="2025-01-13T09:13:36"/>
    <d v="2025-01-13T09:16:24"/>
    <s v="chbanda@lighthouse.org.mw"/>
    <s v="Chipiliro Banda"/>
    <x v="13"/>
    <s v="COE"/>
    <x v="1"/>
    <s v="COP_24"/>
    <s v="COP_24"/>
    <x v="0"/>
    <s v="Quarter1"/>
    <s v="Qtr_1"/>
    <s v="Dec"/>
    <d v="2024-12-01T00:00:00"/>
    <d v="2024-12-31T00:00:00"/>
    <x v="1"/>
    <n v="104"/>
    <n v="19"/>
    <n v="61"/>
    <n v="19"/>
    <n v="15"/>
    <n v="9"/>
    <n v="101"/>
    <n v="40"/>
    <n v="43"/>
    <n v="2"/>
    <n v="1"/>
    <n v="0"/>
    <n v="43"/>
    <n v="5"/>
    <n v="0"/>
    <n v="0"/>
    <n v="0"/>
    <n v="0"/>
    <n v="31"/>
    <n v="6"/>
    <n v="9"/>
    <n v="0"/>
    <n v="2"/>
    <n v="2"/>
    <n v="91"/>
    <m/>
  </r>
  <r>
    <n v="1236"/>
    <d v="2025-01-13T09:16:43"/>
    <d v="2025-01-13T09:20:21"/>
    <s v="chbanda@lighthouse.org.mw"/>
    <s v="Chipiliro Banda"/>
    <x v="13"/>
    <s v="COE"/>
    <x v="1"/>
    <s v="COP_24"/>
    <s v="COP_24"/>
    <x v="0"/>
    <s v="Quarter1"/>
    <s v="Qtr_1"/>
    <s v="Dec"/>
    <d v="2024-12-01T00:00:00"/>
    <d v="2024-12-31T00:00:00"/>
    <x v="3"/>
    <n v="3"/>
    <n v="0"/>
    <n v="1"/>
    <n v="1"/>
    <n v="1"/>
    <n v="0"/>
    <n v="1"/>
    <n v="0"/>
    <n v="2"/>
    <n v="0"/>
    <n v="0"/>
    <n v="0"/>
    <n v="1"/>
    <n v="0"/>
    <n v="0"/>
    <n v="0"/>
    <n v="0"/>
    <n v="0"/>
    <n v="0"/>
    <n v="0"/>
    <n v="0"/>
    <n v="0"/>
    <n v="0"/>
    <n v="0"/>
    <n v="3"/>
    <m/>
  </r>
  <r>
    <n v="1237"/>
    <d v="2025-01-13T09:20:35"/>
    <d v="2025-01-13T09:24:01"/>
    <s v="chbanda@lighthouse.org.mw"/>
    <s v="Chipiliro Banda"/>
    <x v="13"/>
    <s v="COE"/>
    <x v="1"/>
    <s v="COP_24"/>
    <s v="COP_24"/>
    <x v="0"/>
    <s v="Quarter1"/>
    <s v="Qtr_1"/>
    <s v="Dec"/>
    <d v="2024-12-01T00:00:00"/>
    <d v="2024-12-31T00:00:00"/>
    <x v="2"/>
    <n v="50"/>
    <n v="0"/>
    <n v="37"/>
    <n v="7"/>
    <n v="3"/>
    <n v="3"/>
    <n v="50"/>
    <n v="16"/>
    <n v="16"/>
    <n v="1"/>
    <n v="1"/>
    <n v="0"/>
    <n v="16"/>
    <n v="3"/>
    <n v="0"/>
    <n v="0"/>
    <n v="0"/>
    <n v="0"/>
    <n v="13"/>
    <n v="4"/>
    <n v="7"/>
    <n v="0"/>
    <n v="1"/>
    <n v="0"/>
    <n v="42"/>
    <m/>
  </r>
  <r>
    <n v="1238"/>
    <d v="2025-01-13T09:24:30"/>
    <d v="2025-01-13T09:48:07"/>
    <s v="chbanda@lighthouse.org.mw"/>
    <s v="Chipiliro Banda"/>
    <x v="13"/>
    <s v="COE"/>
    <x v="1"/>
    <s v="COP_24"/>
    <s v="COP_24"/>
    <x v="0"/>
    <s v="Quarter1"/>
    <s v="Qtr_1"/>
    <s v="Dec"/>
    <d v="2024-12-01T00:00:00"/>
    <d v="2024-12-31T00:00:00"/>
    <x v="5"/>
    <n v="74"/>
    <n v="0"/>
    <n v="59"/>
    <n v="10"/>
    <n v="4"/>
    <n v="1"/>
    <n v="74"/>
    <n v="23"/>
    <n v="23"/>
    <n v="2"/>
    <n v="2"/>
    <n v="1"/>
    <n v="23"/>
    <n v="1"/>
    <n v="0"/>
    <n v="0"/>
    <n v="0"/>
    <n v="0"/>
    <n v="23"/>
    <n v="0"/>
    <n v="1"/>
    <n v="1"/>
    <n v="1"/>
    <n v="0"/>
    <n v="71"/>
    <m/>
  </r>
  <r>
    <n v="1543"/>
    <d v="2025-04-23T14:14:29"/>
    <d v="2025-04-23T14:21:28"/>
    <s v="chbanda@lighthouse.org.mw"/>
    <s v="Chipiliro Banda"/>
    <x v="13"/>
    <s v="COE"/>
    <x v="2"/>
    <s v="COP_24"/>
    <s v="COP_24"/>
    <x v="2"/>
    <s v="Quarter2"/>
    <s v="Qtr_2"/>
    <s v="Feb"/>
    <d v="2025-02-01T00:00:00"/>
    <d v="2025-02-28T00:00:00"/>
    <x v="3"/>
    <n v="0"/>
    <n v="0"/>
    <n v="0"/>
    <n v="0"/>
    <n v="0"/>
    <n v="0"/>
    <n v="0"/>
    <n v="0"/>
    <n v="0"/>
    <n v="0"/>
    <n v="0"/>
    <n v="0"/>
    <n v="0"/>
    <n v="0"/>
    <n v="0"/>
    <n v="0"/>
    <n v="0"/>
    <n v="0"/>
    <n v="0"/>
    <n v="0"/>
    <n v="0"/>
    <n v="0"/>
    <n v="0"/>
    <n v="0"/>
    <n v="0"/>
    <m/>
  </r>
  <r>
    <n v="1544"/>
    <d v="2025-04-23T14:21:45"/>
    <d v="2025-04-23T14:25:22"/>
    <s v="chbanda@lighthouse.org.mw"/>
    <s v="Chipiliro Banda"/>
    <x v="13"/>
    <s v="COE"/>
    <x v="2"/>
    <s v="COP_24"/>
    <s v="COP_24"/>
    <x v="2"/>
    <s v="Quarter2"/>
    <s v="Qtr_2"/>
    <s v="Feb"/>
    <d v="2025-02-01T00:00:00"/>
    <d v="2025-02-28T00:00:00"/>
    <x v="0"/>
    <n v="170"/>
    <n v="14"/>
    <n v="89"/>
    <n v="35"/>
    <n v="28"/>
    <n v="18"/>
    <n v="164"/>
    <n v="50"/>
    <n v="51"/>
    <n v="6"/>
    <n v="6"/>
    <n v="1"/>
    <n v="46"/>
    <n v="2"/>
    <n v="0"/>
    <n v="0"/>
    <n v="0"/>
    <n v="0"/>
    <n v="50"/>
    <n v="3"/>
    <n v="5"/>
    <n v="1"/>
    <n v="5"/>
    <n v="0"/>
    <n v="159"/>
    <m/>
  </r>
  <r>
    <n v="1545"/>
    <d v="2025-04-23T14:27:32"/>
    <d v="2025-04-23T14:29:42"/>
    <s v="chbanda@lighthouse.org.mw"/>
    <s v="Chipiliro Banda"/>
    <x v="13"/>
    <s v="COE"/>
    <x v="2"/>
    <s v="COP_24"/>
    <s v="COP_24"/>
    <x v="2"/>
    <s v="Quarter2"/>
    <s v="Qtr_2"/>
    <s v="Feb"/>
    <d v="2025-02-01T00:00:00"/>
    <d v="2025-02-28T00:00:00"/>
    <x v="5"/>
    <n v="32"/>
    <n v="0"/>
    <n v="22"/>
    <n v="5"/>
    <n v="1"/>
    <n v="4"/>
    <n v="32"/>
    <n v="10"/>
    <n v="10"/>
    <n v="3"/>
    <n v="3"/>
    <n v="0"/>
    <n v="10"/>
    <n v="0"/>
    <n v="0"/>
    <n v="0"/>
    <n v="0"/>
    <n v="0"/>
    <n v="10"/>
    <n v="0"/>
    <n v="0"/>
    <n v="0"/>
    <n v="3"/>
    <n v="0"/>
    <n v="29"/>
    <m/>
  </r>
  <r>
    <n v="1546"/>
    <d v="2025-04-23T14:36:27"/>
    <d v="2025-04-23T14:38:51"/>
    <s v="chbanda@lighthouse.org.mw"/>
    <s v="Chipiliro Banda"/>
    <x v="13"/>
    <s v="COE"/>
    <x v="2"/>
    <s v="COP_24"/>
    <s v="COP_24"/>
    <x v="2"/>
    <s v="Quarter2"/>
    <s v="Qtr_2"/>
    <s v="Feb"/>
    <d v="2025-02-01T00:00:00"/>
    <d v="2025-02-28T00:00:00"/>
    <x v="4"/>
    <n v="7"/>
    <n v="0"/>
    <n v="4"/>
    <n v="1"/>
    <n v="1"/>
    <n v="1"/>
    <n v="7"/>
    <n v="2"/>
    <n v="2"/>
    <n v="0"/>
    <n v="0"/>
    <n v="0"/>
    <n v="2"/>
    <n v="0"/>
    <n v="0"/>
    <n v="0"/>
    <n v="0"/>
    <n v="0"/>
    <n v="2"/>
    <n v="0"/>
    <n v="0"/>
    <n v="0"/>
    <n v="0"/>
    <n v="0"/>
    <n v="7"/>
    <m/>
  </r>
  <r>
    <n v="1547"/>
    <d v="2025-04-23T14:39:06"/>
    <d v="2025-04-23T14:43:51"/>
    <s v="chbanda@lighthouse.org.mw"/>
    <s v="Chipiliro Banda"/>
    <x v="13"/>
    <s v="COE"/>
    <x v="2"/>
    <s v="COP_24"/>
    <s v="COP_24"/>
    <x v="2"/>
    <s v="Quarter2"/>
    <s v="Qtr_2"/>
    <s v="Feb"/>
    <d v="2025-02-01T00:00:00"/>
    <d v="2025-02-28T00:00:00"/>
    <x v="2"/>
    <n v="26"/>
    <n v="0"/>
    <n v="22"/>
    <n v="1"/>
    <n v="2"/>
    <n v="1"/>
    <n v="26"/>
    <n v="5"/>
    <n v="5"/>
    <n v="1"/>
    <n v="0"/>
    <n v="0"/>
    <n v="5"/>
    <n v="0"/>
    <n v="0"/>
    <n v="0"/>
    <n v="0"/>
    <n v="0"/>
    <n v="0"/>
    <n v="0"/>
    <n v="0"/>
    <n v="0"/>
    <n v="0"/>
    <n v="0"/>
    <n v="0"/>
    <m/>
  </r>
  <r>
    <n v="1548"/>
    <d v="2025-04-23T14:44:27"/>
    <d v="2025-04-23T14:48:10"/>
    <s v="chbanda@lighthouse.org.mw"/>
    <s v="Chipiliro Banda"/>
    <x v="13"/>
    <s v="COE"/>
    <x v="2"/>
    <s v="COP_24"/>
    <s v="COP_24"/>
    <x v="2"/>
    <s v="Quarter2"/>
    <s v="Qtr_2"/>
    <s v="Jan"/>
    <d v="2025-01-01T00:00:00"/>
    <d v="2025-01-31T00:00:00"/>
    <x v="0"/>
    <n v="247"/>
    <n v="7"/>
    <n v="161"/>
    <n v="44"/>
    <n v="29"/>
    <n v="13"/>
    <n v="233"/>
    <n v="71"/>
    <n v="93"/>
    <n v="5"/>
    <n v="4"/>
    <n v="3"/>
    <n v="74"/>
    <n v="3"/>
    <n v="0"/>
    <n v="0"/>
    <n v="0"/>
    <n v="0"/>
    <n v="74"/>
    <n v="3"/>
    <n v="6"/>
    <n v="3"/>
    <n v="2"/>
    <n v="2"/>
    <n v="234"/>
    <m/>
  </r>
  <r>
    <n v="1549"/>
    <d v="2025-04-23T14:48:19"/>
    <d v="2025-04-23T14:50:36"/>
    <s v="chbanda@lighthouse.org.mw"/>
    <s v="Chipiliro Banda"/>
    <x v="13"/>
    <s v="COE"/>
    <x v="2"/>
    <s v="COP_24"/>
    <s v="COP_24"/>
    <x v="2"/>
    <s v="Quarter2"/>
    <s v="Qtr_2"/>
    <s v="Jan"/>
    <d v="2025-01-01T00:00:00"/>
    <d v="2025-01-31T00:00:00"/>
    <x v="4"/>
    <n v="7"/>
    <n v="0"/>
    <n v="4"/>
    <n v="1"/>
    <n v="1"/>
    <n v="1"/>
    <n v="7"/>
    <n v="2"/>
    <n v="2"/>
    <n v="0"/>
    <n v="0"/>
    <n v="0"/>
    <n v="2"/>
    <n v="0"/>
    <n v="0"/>
    <n v="0"/>
    <n v="0"/>
    <n v="0"/>
    <n v="0"/>
    <n v="0"/>
    <n v="0"/>
    <n v="0"/>
    <n v="0"/>
    <n v="0"/>
    <n v="0"/>
    <m/>
  </r>
  <r>
    <n v="1550"/>
    <d v="2025-04-23T14:50:54"/>
    <d v="2025-04-23T14:53:49"/>
    <s v="chbanda@lighthouse.org.mw"/>
    <s v="Chipiliro Banda"/>
    <x v="13"/>
    <s v="COE"/>
    <x v="2"/>
    <s v="COP_24"/>
    <s v="COP_24"/>
    <x v="2"/>
    <s v="Quarter2"/>
    <s v="Qtr_2"/>
    <s v="Jan"/>
    <d v="2025-01-01T00:00:00"/>
    <d v="2025-01-31T00:00:00"/>
    <x v="3"/>
    <n v="8"/>
    <n v="0"/>
    <n v="5"/>
    <n v="0"/>
    <n v="2"/>
    <n v="1"/>
    <n v="0"/>
    <n v="0"/>
    <n v="8"/>
    <n v="0"/>
    <n v="0"/>
    <n v="0"/>
    <n v="4"/>
    <n v="1"/>
    <n v="0"/>
    <n v="0"/>
    <n v="0"/>
    <n v="0"/>
    <n v="0"/>
    <n v="0"/>
    <n v="1"/>
    <n v="0"/>
    <n v="0"/>
    <n v="0"/>
    <n v="0"/>
    <m/>
  </r>
  <r>
    <n v="1551"/>
    <d v="2025-04-23T15:08:35"/>
    <d v="2025-04-23T15:11:02"/>
    <s v="chbanda@lighthouse.org.mw"/>
    <s v="Chipiliro Banda"/>
    <x v="13"/>
    <s v="COE"/>
    <x v="2"/>
    <s v="COP_24"/>
    <s v="COP_24"/>
    <x v="2"/>
    <s v="Quarter2"/>
    <s v="Qtr_2"/>
    <s v="Jan"/>
    <d v="2025-01-01T00:00:00"/>
    <d v="2025-01-31T00:00:00"/>
    <x v="2"/>
    <n v="44"/>
    <n v="0"/>
    <n v="34"/>
    <n v="5"/>
    <n v="3"/>
    <n v="2"/>
    <n v="44"/>
    <n v="9"/>
    <n v="9"/>
    <n v="2"/>
    <n v="2"/>
    <n v="1"/>
    <n v="9"/>
    <n v="1"/>
    <n v="0"/>
    <n v="0"/>
    <n v="0"/>
    <n v="0"/>
    <n v="8"/>
    <n v="1"/>
    <n v="2"/>
    <n v="1"/>
    <n v="1"/>
    <n v="0"/>
    <n v="40"/>
    <m/>
  </r>
  <r>
    <n v="1552"/>
    <d v="2025-04-25T15:31:39"/>
    <d v="2025-04-25T15:36:23"/>
    <s v="chbanda@lighthouse.org.mw"/>
    <s v="Chipiliro Banda"/>
    <x v="13"/>
    <s v="COE"/>
    <x v="2"/>
    <s v="COP_24"/>
    <s v="COP_24"/>
    <x v="2"/>
    <s v="Quarter2"/>
    <s v="Qtr_2"/>
    <s v="Mar"/>
    <d v="2025-03-01T00:00:00"/>
    <d v="2025-03-31T00:00:00"/>
    <x v="0"/>
    <n v="429"/>
    <n v="151"/>
    <n v="204"/>
    <n v="89"/>
    <n v="96"/>
    <n v="40"/>
    <n v="423"/>
    <n v="122"/>
    <n v="116"/>
    <n v="6"/>
    <n v="6"/>
    <n v="2"/>
    <n v="111"/>
    <n v="6"/>
    <n v="0"/>
    <n v="0"/>
    <n v="0"/>
    <n v="0"/>
    <n v="0"/>
    <n v="0"/>
    <n v="2"/>
    <n v="2"/>
    <n v="4"/>
    <n v="0"/>
    <n v="421"/>
    <m/>
  </r>
  <r>
    <n v="1560"/>
    <d v="2025-05-05T09:35:02"/>
    <d v="2025-05-05T09:40:48"/>
    <s v="chbanda@lighthouse.org.mw"/>
    <s v="Chipiliro Banda"/>
    <x v="13"/>
    <s v="COE"/>
    <x v="2"/>
    <s v="COP_24"/>
    <s v="COP_24"/>
    <x v="2"/>
    <s v="Quarter2"/>
    <s v="Qtr_2"/>
    <s v="Mar"/>
    <d v="2025-03-01T00:00:00"/>
    <d v="2025-03-31T00:00:00"/>
    <x v="5"/>
    <n v="49"/>
    <n v="0"/>
    <n v="32"/>
    <n v="10"/>
    <n v="6"/>
    <n v="1"/>
    <n v="48"/>
    <n v="12"/>
    <n v="13"/>
    <n v="0"/>
    <n v="0"/>
    <n v="0"/>
    <n v="13"/>
    <n v="0"/>
    <n v="0"/>
    <n v="0"/>
    <n v="0"/>
    <n v="0"/>
    <n v="12"/>
    <n v="0"/>
    <n v="0"/>
    <n v="0"/>
    <n v="0"/>
    <n v="0"/>
    <n v="0"/>
    <m/>
  </r>
  <r>
    <n v="1561"/>
    <d v="2025-05-05T09:42:54"/>
    <d v="2025-05-05T10:03:53"/>
    <s v="chbanda@lighthouse.org.mw"/>
    <s v="Chipiliro Banda"/>
    <x v="13"/>
    <s v="COE"/>
    <x v="2"/>
    <s v="COP_24"/>
    <s v="COP_24"/>
    <x v="2"/>
    <s v="Quarter2"/>
    <s v="Qtr_2"/>
    <s v="Mar"/>
    <d v="2025-03-01T00:00:00"/>
    <d v="2025-03-31T00:00:00"/>
    <x v="4"/>
    <n v="18"/>
    <n v="0"/>
    <n v="9"/>
    <n v="5"/>
    <n v="3"/>
    <n v="1"/>
    <n v="17"/>
    <n v="2"/>
    <n v="18"/>
    <n v="2"/>
    <n v="0"/>
    <n v="0"/>
    <n v="3"/>
    <n v="0"/>
    <n v="0"/>
    <n v="0"/>
    <n v="0"/>
    <n v="0"/>
    <n v="2"/>
    <n v="0"/>
    <n v="0"/>
    <n v="0"/>
    <n v="0"/>
    <n v="0"/>
    <n v="0"/>
    <m/>
  </r>
  <r>
    <n v="1563"/>
    <d v="2025-05-05T11:05:22"/>
    <d v="2025-05-05T11:07:05"/>
    <s v="chbanda@lighthouse.org.mw"/>
    <s v="Chipiliro Banda"/>
    <x v="13"/>
    <s v="COE"/>
    <x v="2"/>
    <s v="COP_24"/>
    <s v="COP_24"/>
    <x v="2"/>
    <s v="Quarter2"/>
    <s v="Qtr_2"/>
    <s v="Mar"/>
    <d v="2025-03-01T00:00:00"/>
    <d v="2025-03-31T00:00:00"/>
    <x v="3"/>
    <n v="3"/>
    <n v="0"/>
    <n v="1"/>
    <n v="0"/>
    <n v="0"/>
    <n v="2"/>
    <n v="0"/>
    <n v="0"/>
    <n v="3"/>
    <n v="0"/>
    <n v="0"/>
    <n v="0"/>
    <n v="3"/>
    <n v="1"/>
    <n v="0"/>
    <n v="0"/>
    <n v="0"/>
    <n v="0"/>
    <n v="0"/>
    <n v="0"/>
    <n v="1"/>
    <n v="0"/>
    <n v="0"/>
    <n v="0"/>
    <n v="2"/>
    <m/>
  </r>
  <r>
    <n v="1564"/>
    <d v="2025-05-05T11:07:20"/>
    <d v="2025-05-05T11:14:53"/>
    <s v="chbanda@lighthouse.org.mw"/>
    <s v="Chipiliro Banda"/>
    <x v="13"/>
    <s v="COE"/>
    <x v="2"/>
    <s v="COP_24"/>
    <s v="COP_24"/>
    <x v="2"/>
    <s v="Quarter2"/>
    <s v="Qtr_2"/>
    <s v="Mar"/>
    <d v="2025-03-01T00:00:00"/>
    <d v="2025-03-31T00:00:00"/>
    <x v="2"/>
    <n v="24"/>
    <n v="0"/>
    <n v="14"/>
    <n v="6"/>
    <n v="4"/>
    <n v="0"/>
    <n v="24"/>
    <n v="4"/>
    <n v="4"/>
    <n v="0"/>
    <n v="0"/>
    <n v="0"/>
    <n v="4"/>
    <n v="1"/>
    <n v="0"/>
    <n v="0"/>
    <n v="0"/>
    <n v="0"/>
    <n v="3"/>
    <n v="1"/>
    <n v="2"/>
    <n v="0"/>
    <n v="0"/>
    <n v="0"/>
    <n v="0"/>
    <m/>
  </r>
  <r>
    <n v="1565"/>
    <d v="2025-05-05T11:15:42"/>
    <d v="2025-05-05T11:20:19"/>
    <s v="chbanda@lighthouse.org.mw"/>
    <s v="Chipiliro Banda"/>
    <x v="13"/>
    <s v="COE"/>
    <x v="2"/>
    <s v="COP_24"/>
    <s v="COP_24"/>
    <x v="2"/>
    <s v="Quarter2"/>
    <s v="Qtr_2"/>
    <s v="Mar"/>
    <d v="2025-03-01T00:00:00"/>
    <d v="2025-03-31T00:00:00"/>
    <x v="1"/>
    <n v="61"/>
    <n v="0"/>
    <n v="40"/>
    <n v="12"/>
    <n v="4"/>
    <n v="5"/>
    <n v="59"/>
    <n v="19"/>
    <n v="19"/>
    <n v="0"/>
    <n v="0"/>
    <n v="0"/>
    <n v="20"/>
    <n v="2"/>
    <n v="0"/>
    <n v="0"/>
    <n v="0"/>
    <n v="0"/>
    <n v="16"/>
    <n v="1"/>
    <n v="3"/>
    <n v="0"/>
    <n v="0"/>
    <n v="0"/>
    <n v="0"/>
    <m/>
  </r>
  <r>
    <n v="1566"/>
    <d v="2025-05-05T12:16:49"/>
    <d v="2025-05-05T12:16:54"/>
    <s v="chbanda@lighthouse.org.mw"/>
    <s v="Chipiliro Banda"/>
    <x v="13"/>
    <s v="COE"/>
    <x v="2"/>
    <s v="COP_24"/>
    <s v="COP_24"/>
    <x v="2"/>
    <s v="Quarter2"/>
    <s v="Qtr_2"/>
    <s v="Jan"/>
    <d v="2025-01-01T00:00:00"/>
    <d v="2025-01-31T00:00:00"/>
    <x v="6"/>
    <n v="186"/>
    <n v="168"/>
    <n v="16"/>
    <n v="42"/>
    <n v="86"/>
    <n v="42"/>
    <n v="179"/>
    <n v="68"/>
    <n v="71"/>
    <n v="6"/>
    <n v="0"/>
    <n v="0"/>
    <n v="54"/>
    <n v="10"/>
    <n v="0"/>
    <n v="0"/>
    <n v="0"/>
    <n v="0"/>
    <n v="0"/>
    <n v="0"/>
    <n v="10"/>
    <n v="0"/>
    <n v="3"/>
    <n v="16"/>
    <n v="157"/>
    <m/>
  </r>
  <r>
    <n v="1573"/>
    <d v="2025-05-06T10:44:34"/>
    <d v="2025-05-06T10:46:33"/>
    <s v="chbanda@lighthouse.org.mw"/>
    <s v="Chipiliro Banda"/>
    <x v="13"/>
    <s v="COE"/>
    <x v="2"/>
    <s v="COP_24"/>
    <s v="COP_24"/>
    <x v="2"/>
    <s v="Quarter2"/>
    <s v="Qtr_2"/>
    <s v="Jan"/>
    <d v="2025-01-01T00:00:00"/>
    <d v="2025-01-31T00:00:00"/>
    <x v="1"/>
    <n v="54"/>
    <n v="0"/>
    <n v="28"/>
    <n v="11"/>
    <n v="10"/>
    <n v="5"/>
    <n v="51"/>
    <n v="24"/>
    <n v="26"/>
    <n v="1"/>
    <n v="1"/>
    <n v="1"/>
    <n v="26"/>
    <n v="2"/>
    <n v="0"/>
    <n v="0"/>
    <n v="0"/>
    <n v="0"/>
    <n v="22"/>
    <n v="2"/>
    <n v="4"/>
    <n v="1"/>
    <n v="0"/>
    <n v="0"/>
    <n v="49"/>
    <m/>
  </r>
  <r>
    <n v="1581"/>
    <d v="2025-05-06T14:14:39"/>
    <d v="2025-05-06T14:15:08"/>
    <s v="chbanda@lighthouse.org.mw"/>
    <s v="Chipiliro Banda"/>
    <x v="13"/>
    <s v="COE"/>
    <x v="2"/>
    <s v="COP_24"/>
    <s v="COP_24"/>
    <x v="2"/>
    <s v="Quarter2"/>
    <s v="Qtr_2"/>
    <s v="Feb"/>
    <d v="2025-02-01T00:00:00"/>
    <d v="2025-02-28T00:00:00"/>
    <x v="1"/>
    <n v="42"/>
    <n v="0"/>
    <n v="23"/>
    <n v="9"/>
    <n v="7"/>
    <n v="3"/>
    <n v="42"/>
    <n v="15"/>
    <n v="15"/>
    <n v="1"/>
    <n v="1"/>
    <n v="0"/>
    <n v="14"/>
    <n v="0"/>
    <n v="0"/>
    <n v="0"/>
    <n v="0"/>
    <n v="0"/>
    <n v="14"/>
    <n v="1"/>
    <n v="0"/>
    <n v="0"/>
    <n v="0"/>
    <n v="0"/>
    <n v="0"/>
    <m/>
  </r>
  <r>
    <n v="1582"/>
    <d v="2025-05-06T16:10:56"/>
    <d v="2025-05-06T16:13:16"/>
    <s v="chbanda@lighthouse.org.mw"/>
    <s v="Chipiliro Banda"/>
    <x v="13"/>
    <s v="COE"/>
    <x v="2"/>
    <s v="COP_24"/>
    <m/>
    <x v="2"/>
    <s v="Quarter2"/>
    <m/>
    <s v="Jan"/>
    <d v="2025-01-01T00:00:00"/>
    <d v="2025-01-31T00:00:00"/>
    <x v="5"/>
    <n v="95"/>
    <n v="0"/>
    <n v="81"/>
    <n v="8"/>
    <n v="6"/>
    <n v="0"/>
    <n v="92"/>
    <n v="31"/>
    <n v="37"/>
    <n v="1"/>
    <n v="1"/>
    <n v="0"/>
    <n v="35"/>
    <n v="0"/>
    <n v="0"/>
    <n v="0"/>
    <n v="0"/>
    <n v="0"/>
    <n v="24"/>
    <n v="1"/>
    <n v="1"/>
    <n v="0"/>
    <n v="0"/>
    <n v="0"/>
    <n v="94"/>
    <m/>
  </r>
  <r>
    <n v="1597"/>
    <d v="2025-05-07T10:01:24"/>
    <d v="2025-05-07T10:02:13"/>
    <s v="chbanda@lighthouse.org.mw"/>
    <s v="Chipiliro Banda"/>
    <x v="13"/>
    <s v="COE"/>
    <x v="2"/>
    <s v="COP_24"/>
    <m/>
    <x v="2"/>
    <s v="Quarter2"/>
    <m/>
    <s v="Feb"/>
    <d v="2025-02-01T00:00:00"/>
    <d v="2025-02-28T00:00:00"/>
    <x v="6"/>
    <n v="0"/>
    <n v="0"/>
    <n v="0"/>
    <n v="0"/>
    <n v="0"/>
    <n v="0"/>
    <n v="0"/>
    <n v="0"/>
    <n v="0"/>
    <n v="0"/>
    <n v="0"/>
    <n v="0"/>
    <n v="0"/>
    <n v="0"/>
    <n v="0"/>
    <n v="0"/>
    <n v="0"/>
    <n v="0"/>
    <n v="0"/>
    <n v="0"/>
    <n v="0"/>
    <n v="0"/>
    <n v="0"/>
    <n v="0"/>
    <n v="0"/>
    <m/>
  </r>
  <r>
    <n v="1598"/>
    <d v="2025-05-07T10:02:15"/>
    <d v="2025-05-07T10:02:59"/>
    <s v="chbanda@lighthouse.org.mw"/>
    <s v="Chipiliro Banda"/>
    <x v="13"/>
    <s v="COE"/>
    <x v="2"/>
    <s v="COP_24"/>
    <m/>
    <x v="2"/>
    <s v="Quarter2"/>
    <m/>
    <s v="Mar"/>
    <d v="2025-03-01T00:00:00"/>
    <d v="2025-03-31T00:00:00"/>
    <x v="6"/>
    <n v="0"/>
    <n v="0"/>
    <n v="0"/>
    <n v="0"/>
    <n v="0"/>
    <n v="0"/>
    <n v="0"/>
    <n v="0"/>
    <n v="0"/>
    <n v="0"/>
    <n v="0"/>
    <n v="0"/>
    <n v="0"/>
    <n v="0"/>
    <n v="0"/>
    <n v="0"/>
    <n v="0"/>
    <n v="0"/>
    <n v="0"/>
    <n v="0"/>
    <n v="0"/>
    <n v="0"/>
    <n v="0"/>
    <n v="0"/>
    <n v="0"/>
    <m/>
  </r>
  <r>
    <n v="1601"/>
    <d v="2025-05-07T12:11:46"/>
    <d v="2025-05-07T12:13:15"/>
    <s v="anhlema@lighthouse.org.mw"/>
    <s v="Angelina Nhlema"/>
    <x v="13"/>
    <s v="COE"/>
    <x v="2"/>
    <s v="COP_24"/>
    <m/>
    <x v="2"/>
    <s v="Quarter2"/>
    <m/>
    <s v="Feb"/>
    <m/>
    <m/>
    <x v="6"/>
    <n v="0"/>
    <n v="0"/>
    <n v="0"/>
    <n v="0"/>
    <n v="0"/>
    <n v="0"/>
    <n v="0"/>
    <n v="0"/>
    <n v="0"/>
    <n v="0"/>
    <n v="0"/>
    <n v="0"/>
    <n v="0"/>
    <n v="0"/>
    <n v="0"/>
    <n v="0"/>
    <n v="0"/>
    <n v="0"/>
    <n v="0"/>
    <n v="0"/>
    <n v="0"/>
    <n v="0"/>
    <n v="0"/>
    <n v="0"/>
    <n v="0"/>
    <m/>
  </r>
  <r>
    <n v="1602"/>
    <d v="2025-05-07T12:15:00"/>
    <d v="2025-05-07T12:20:34"/>
    <s v="anhlema@lighthouse.org.mw"/>
    <s v="Angelina Nhlema"/>
    <x v="13"/>
    <s v="COE"/>
    <x v="2"/>
    <s v="COP_24"/>
    <m/>
    <x v="2"/>
    <s v="Quarter2"/>
    <m/>
    <s v="Mar"/>
    <m/>
    <m/>
    <x v="6"/>
    <n v="0"/>
    <n v="0"/>
    <n v="0"/>
    <n v="0"/>
    <n v="0"/>
    <n v="0"/>
    <n v="0"/>
    <n v="0"/>
    <n v="0"/>
    <n v="0"/>
    <n v="0"/>
    <n v="0"/>
    <n v="0"/>
    <n v="0"/>
    <n v="0"/>
    <n v="0"/>
    <n v="0"/>
    <n v="0"/>
    <n v="0"/>
    <n v="0"/>
    <n v="0"/>
    <n v="0"/>
    <n v="0"/>
    <n v="0"/>
    <n v="0"/>
    <m/>
  </r>
  <r>
    <n v="1665"/>
    <d v="2025-06-10T08:31:06"/>
    <d v="2025-06-10T09:02:22"/>
    <s v="chbanda@lighthouse.org.mw"/>
    <s v="Chipiliro Banda"/>
    <x v="13"/>
    <s v="COE"/>
    <x v="2"/>
    <s v="COP_24"/>
    <m/>
    <x v="3"/>
    <s v="Quarter3"/>
    <m/>
    <s v="Apr"/>
    <d v="2025-04-01T00:00:00"/>
    <d v="2025-04-30T00:00:00"/>
    <x v="0"/>
    <n v="528"/>
    <n v="216"/>
    <n v="315"/>
    <n v="69"/>
    <n v="85"/>
    <n v="59"/>
    <n v="501"/>
    <n v="160"/>
    <n v="186"/>
    <n v="9"/>
    <n v="2"/>
    <n v="0"/>
    <n v="134"/>
    <n v="20"/>
    <n v="0"/>
    <n v="0"/>
    <n v="0"/>
    <n v="0"/>
    <n v="142"/>
    <n v="6"/>
    <n v="27"/>
    <n v="2"/>
    <n v="7"/>
    <n v="29"/>
    <n v="463"/>
    <m/>
  </r>
  <r>
    <n v="1666"/>
    <d v="2025-06-10T09:03:04"/>
    <d v="2025-06-10T09:06:18"/>
    <s v="chbanda@lighthouse.org.mw"/>
    <s v="Chipiliro Banda"/>
    <x v="13"/>
    <s v="COE"/>
    <x v="2"/>
    <s v="COP_24"/>
    <m/>
    <x v="3"/>
    <s v="Quarter3"/>
    <m/>
    <s v="Apr"/>
    <d v="2025-04-01T00:00:00"/>
    <d v="2025-04-30T00:00:00"/>
    <x v="6"/>
    <n v="116"/>
    <n v="112"/>
    <n v="12"/>
    <n v="15"/>
    <n v="51"/>
    <n v="38"/>
    <n v="107"/>
    <n v="40"/>
    <n v="44"/>
    <n v="4"/>
    <n v="0"/>
    <n v="0"/>
    <n v="24"/>
    <n v="6"/>
    <n v="0"/>
    <n v="0"/>
    <n v="0"/>
    <n v="0"/>
    <n v="0"/>
    <n v="0"/>
    <n v="7"/>
    <n v="2"/>
    <n v="2"/>
    <n v="29"/>
    <n v="76"/>
    <m/>
  </r>
  <r>
    <n v="1667"/>
    <d v="2025-06-10T09:34:58"/>
    <d v="2025-06-10T09:35:13"/>
    <s v="chbanda@lighthouse.org.mw"/>
    <s v="Chipiliro Banda"/>
    <x v="13"/>
    <s v="COE"/>
    <x v="2"/>
    <s v="COP_24"/>
    <m/>
    <x v="3"/>
    <s v="Quarter3"/>
    <m/>
    <s v="Apr"/>
    <d v="2025-04-01T00:00:00"/>
    <d v="2025-04-30T00:00:00"/>
    <x v="4"/>
    <n v="11"/>
    <n v="0"/>
    <n v="8"/>
    <n v="3"/>
    <n v="0"/>
    <n v="0"/>
    <n v="11"/>
    <n v="1"/>
    <n v="1"/>
    <n v="0"/>
    <n v="0"/>
    <n v="0"/>
    <n v="1"/>
    <n v="0"/>
    <n v="0"/>
    <n v="0"/>
    <n v="0"/>
    <n v="0"/>
    <n v="1"/>
    <n v="0"/>
    <n v="0"/>
    <n v="0"/>
    <n v="0"/>
    <n v="0"/>
    <n v="11"/>
    <m/>
  </r>
  <r>
    <n v="1668"/>
    <d v="2025-06-10T09:37:00"/>
    <d v="2025-06-10T09:41:57"/>
    <s v="chbanda@lighthouse.org.mw"/>
    <s v="Chipiliro Banda"/>
    <x v="13"/>
    <s v="COE"/>
    <x v="2"/>
    <s v="COP_24"/>
    <m/>
    <x v="3"/>
    <s v="Quarter3"/>
    <m/>
    <s v="Apr"/>
    <d v="2025-04-01T00:00:00"/>
    <d v="2025-04-30T00:00:00"/>
    <x v="3"/>
    <n v="13"/>
    <n v="0"/>
    <n v="8"/>
    <n v="2"/>
    <n v="1"/>
    <n v="2"/>
    <n v="0"/>
    <n v="0"/>
    <n v="12"/>
    <n v="0"/>
    <n v="0"/>
    <n v="0"/>
    <n v="11"/>
    <n v="0"/>
    <n v="0"/>
    <n v="0"/>
    <n v="0"/>
    <n v="0"/>
    <n v="0"/>
    <n v="0"/>
    <n v="1"/>
    <n v="0"/>
    <n v="0"/>
    <n v="0"/>
    <n v="12"/>
    <m/>
  </r>
  <r>
    <n v="1669"/>
    <d v="2025-06-10T09:42:17"/>
    <d v="2025-06-10T09:44:44"/>
    <s v="chbanda@lighthouse.org.mw"/>
    <s v="Chipiliro Banda"/>
    <x v="13"/>
    <s v="COE"/>
    <x v="2"/>
    <s v="COP_24"/>
    <m/>
    <x v="3"/>
    <s v="Quarter3"/>
    <m/>
    <s v="Apr"/>
    <d v="2025-04-01T00:00:00"/>
    <d v="2025-04-30T00:00:00"/>
    <x v="2"/>
    <n v="35"/>
    <n v="0"/>
    <n v="30"/>
    <n v="1"/>
    <n v="4"/>
    <n v="0"/>
    <n v="34"/>
    <n v="6"/>
    <n v="6"/>
    <n v="0"/>
    <n v="0"/>
    <n v="0"/>
    <n v="6"/>
    <n v="0"/>
    <n v="0"/>
    <n v="0"/>
    <n v="0"/>
    <n v="0"/>
    <n v="6"/>
    <n v="0"/>
    <n v="1"/>
    <n v="0"/>
    <n v="0"/>
    <n v="0"/>
    <n v="34"/>
    <m/>
  </r>
  <r>
    <n v="1670"/>
    <d v="2025-06-10T09:44:58"/>
    <d v="2025-06-10T09:48:13"/>
    <s v="chbanda@lighthouse.org.mw"/>
    <s v="Chipiliro Banda"/>
    <x v="13"/>
    <s v="COE"/>
    <x v="2"/>
    <s v="COP_24"/>
    <m/>
    <x v="3"/>
    <s v="Quarter3"/>
    <m/>
    <s v="Apr"/>
    <d v="2025-04-01T00:00:00"/>
    <d v="2025-04-30T00:00:00"/>
    <x v="5"/>
    <n v="94"/>
    <n v="0"/>
    <n v="69"/>
    <n v="7"/>
    <n v="4"/>
    <n v="2"/>
    <n v="68"/>
    <n v="16"/>
    <n v="20"/>
    <n v="1"/>
    <n v="0"/>
    <n v="0"/>
    <n v="16"/>
    <n v="0"/>
    <n v="0"/>
    <n v="0"/>
    <n v="0"/>
    <n v="0"/>
    <n v="14"/>
    <n v="1"/>
    <n v="1"/>
    <n v="0"/>
    <n v="0"/>
    <n v="0"/>
    <n v="81"/>
    <m/>
  </r>
  <r>
    <n v="1677"/>
    <d v="2025-06-17T08:44:39"/>
    <d v="2025-06-17T08:48:59"/>
    <s v="chbanda@lighthouse.org.mw"/>
    <s v="Chipiliro Banda"/>
    <x v="13"/>
    <s v="COE"/>
    <x v="2"/>
    <s v="COP_24"/>
    <m/>
    <x v="3"/>
    <s v="Quarter3"/>
    <m/>
    <s v="Apr"/>
    <d v="2025-04-01T00:00:00"/>
    <d v="2025-04-30T00:00:00"/>
    <x v="1"/>
    <n v="88"/>
    <n v="4"/>
    <n v="59"/>
    <n v="15"/>
    <n v="5"/>
    <n v="2"/>
    <n v="77"/>
    <n v="31"/>
    <n v="35"/>
    <n v="1"/>
    <n v="1"/>
    <n v="0"/>
    <n v="35"/>
    <n v="4"/>
    <n v="0"/>
    <n v="0"/>
    <n v="0"/>
    <n v="0"/>
    <n v="33"/>
    <n v="4"/>
    <n v="8"/>
    <n v="0"/>
    <n v="1"/>
    <n v="0"/>
    <n v="72"/>
    <m/>
  </r>
  <r>
    <n v="1678"/>
    <d v="2025-06-17T08:51:44"/>
    <d v="2025-06-17T09:00:18"/>
    <s v="chbanda@lighthouse.org.mw"/>
    <s v="Chipiliro Banda"/>
    <x v="13"/>
    <s v="COE"/>
    <x v="2"/>
    <s v="COP_24"/>
    <m/>
    <x v="3"/>
    <s v="Quarter3"/>
    <m/>
    <s v="May"/>
    <d v="2025-05-01T00:00:00"/>
    <d v="2025-05-31T00:00:00"/>
    <x v="6"/>
    <n v="182"/>
    <n v="136"/>
    <n v="31"/>
    <n v="44"/>
    <n v="49"/>
    <n v="58"/>
    <n v="174"/>
    <n v="70"/>
    <n v="0"/>
    <n v="0"/>
    <n v="0"/>
    <n v="0"/>
    <n v="22"/>
    <n v="2"/>
    <n v="0"/>
    <n v="0"/>
    <n v="0"/>
    <n v="0"/>
    <n v="0"/>
    <n v="0"/>
    <n v="5"/>
    <n v="0"/>
    <n v="0"/>
    <n v="8"/>
    <n v="169"/>
    <m/>
  </r>
  <r>
    <n v="1679"/>
    <d v="2025-06-17T09:11:34"/>
    <d v="2025-06-17T09:14:07"/>
    <s v="chbanda@lighthouse.org.mw"/>
    <s v="Chipiliro Banda"/>
    <x v="13"/>
    <s v="COE"/>
    <x v="2"/>
    <s v="COP_24"/>
    <m/>
    <x v="3"/>
    <s v="Quarter3"/>
    <m/>
    <s v="May"/>
    <d v="2025-05-01T00:00:00"/>
    <d v="2025-05-31T00:00:00"/>
    <x v="3"/>
    <n v="7"/>
    <n v="0"/>
    <n v="2"/>
    <n v="1"/>
    <n v="2"/>
    <n v="2"/>
    <n v="0"/>
    <n v="0"/>
    <n v="7"/>
    <n v="1"/>
    <n v="0"/>
    <n v="0"/>
    <n v="4"/>
    <n v="0"/>
    <n v="0"/>
    <n v="0"/>
    <n v="0"/>
    <n v="0"/>
    <n v="0"/>
    <n v="0"/>
    <n v="0"/>
    <n v="0"/>
    <n v="1"/>
    <n v="0"/>
    <n v="6"/>
    <m/>
  </r>
  <r>
    <n v="1680"/>
    <d v="2025-06-17T11:02:30"/>
    <d v="2025-06-17T11:02:36"/>
    <s v="chbanda@lighthouse.org.mw"/>
    <s v="Chipiliro Banda"/>
    <x v="13"/>
    <s v="COE"/>
    <x v="2"/>
    <s v="COP_24"/>
    <m/>
    <x v="3"/>
    <s v="Quarter3"/>
    <m/>
    <s v="May"/>
    <d v="2025-05-01T00:00:00"/>
    <d v="2025-05-31T00:00:00"/>
    <x v="4"/>
    <n v="13"/>
    <n v="0"/>
    <n v="12"/>
    <n v="1"/>
    <n v="0"/>
    <n v="0"/>
    <n v="13"/>
    <n v="2"/>
    <n v="2"/>
    <n v="0"/>
    <n v="0"/>
    <n v="0"/>
    <n v="2"/>
    <n v="0"/>
    <n v="0"/>
    <n v="0"/>
    <n v="0"/>
    <n v="0"/>
    <n v="2"/>
    <n v="0"/>
    <n v="0"/>
    <n v="0"/>
    <n v="0"/>
    <n v="0"/>
    <n v="13"/>
    <m/>
  </r>
  <r>
    <n v="1681"/>
    <d v="2025-06-17T11:04:09"/>
    <d v="2025-06-17T11:08:46"/>
    <s v="chbanda@lighthouse.org.mw"/>
    <s v="Chipiliro Banda"/>
    <x v="13"/>
    <s v="COE"/>
    <x v="2"/>
    <s v="COP_24"/>
    <m/>
    <x v="3"/>
    <s v="Quarter3"/>
    <m/>
    <s v="May"/>
    <d v="2025-05-01T00:00:00"/>
    <d v="2025-05-31T00:00:00"/>
    <x v="2"/>
    <n v="69"/>
    <n v="0"/>
    <n v="30"/>
    <n v="4"/>
    <n v="2"/>
    <n v="0"/>
    <n v="35"/>
    <n v="2"/>
    <n v="3"/>
    <n v="0"/>
    <n v="0"/>
    <n v="0"/>
    <n v="3"/>
    <n v="0"/>
    <n v="0"/>
    <n v="0"/>
    <n v="0"/>
    <n v="0"/>
    <n v="2"/>
    <n v="0"/>
    <n v="0"/>
    <n v="0"/>
    <n v="0"/>
    <n v="0"/>
    <n v="36"/>
    <m/>
  </r>
  <r>
    <n v="1682"/>
    <d v="2025-06-17T13:11:20"/>
    <d v="2025-06-17T13:11:25"/>
    <s v="chbanda@lighthouse.org.mw"/>
    <s v="Chipiliro Banda"/>
    <x v="13"/>
    <s v="COE"/>
    <x v="2"/>
    <s v="COP_24"/>
    <m/>
    <x v="3"/>
    <s v="Quarter3"/>
    <m/>
    <s v="May"/>
    <d v="2025-05-01T00:00:00"/>
    <d v="2025-05-31T00:00:00"/>
    <x v="5"/>
    <n v="88"/>
    <n v="0"/>
    <n v="62"/>
    <n v="3"/>
    <n v="6"/>
    <n v="1"/>
    <n v="71"/>
    <n v="24"/>
    <n v="22"/>
    <n v="0"/>
    <n v="0"/>
    <n v="0"/>
    <n v="23"/>
    <n v="2"/>
    <n v="0"/>
    <n v="0"/>
    <n v="0"/>
    <n v="0"/>
    <n v="20"/>
    <n v="1"/>
    <n v="3"/>
    <n v="0"/>
    <n v="0"/>
    <n v="0"/>
    <n v="69"/>
    <m/>
  </r>
  <r>
    <n v="1684"/>
    <d v="2025-06-17T14:01:12"/>
    <d v="2025-06-17T14:03:57"/>
    <s v="chbanda@lighthouse.org.mw"/>
    <s v="Chipiliro Banda"/>
    <x v="13"/>
    <s v="COE"/>
    <x v="2"/>
    <s v="COP_24"/>
    <m/>
    <x v="3"/>
    <s v="Quarter3"/>
    <m/>
    <s v="May"/>
    <d v="2025-05-01T00:00:00"/>
    <d v="2025-05-31T00:00:00"/>
    <x v="0"/>
    <n v="471"/>
    <n v="173"/>
    <n v="236"/>
    <n v="74"/>
    <n v="85"/>
    <n v="76"/>
    <n v="449"/>
    <n v="147"/>
    <n v="86"/>
    <n v="5"/>
    <n v="1"/>
    <n v="0"/>
    <n v="106"/>
    <n v="8"/>
    <n v="0"/>
    <n v="0"/>
    <n v="0"/>
    <n v="0"/>
    <n v="54"/>
    <n v="2"/>
    <n v="14"/>
    <n v="0"/>
    <n v="1"/>
    <n v="9"/>
    <n v="447"/>
    <m/>
  </r>
  <r>
    <n v="1685"/>
    <d v="2025-06-17T14:24:27"/>
    <d v="2025-06-17T14:24:33"/>
    <s v="chbanda@lighthouse.org.mw"/>
    <s v="Chipiliro Banda"/>
    <x v="13"/>
    <s v="COE"/>
    <x v="2"/>
    <s v="COP_24"/>
    <m/>
    <x v="3"/>
    <s v="Quarter3"/>
    <m/>
    <s v="May"/>
    <d v="2025-05-01T00:00:00"/>
    <d v="2025-05-31T00:00:00"/>
    <x v="1"/>
    <n v="93"/>
    <n v="0"/>
    <n v="47"/>
    <n v="23"/>
    <n v="20"/>
    <n v="9"/>
    <n v="93"/>
    <n v="46"/>
    <n v="51"/>
    <n v="3"/>
    <n v="1"/>
    <n v="0"/>
    <n v="37"/>
    <n v="3"/>
    <n v="0"/>
    <n v="0"/>
    <n v="0"/>
    <n v="0"/>
    <n v="0"/>
    <n v="0"/>
    <n v="5"/>
    <n v="0"/>
    <n v="3"/>
    <n v="0"/>
    <n v="91"/>
    <m/>
  </r>
  <r>
    <n v="1777"/>
    <d v="2025-07-09T14:41:02"/>
    <d v="2025-07-09T14:44:40"/>
    <s v="chbanda@lighthouse.org.mw"/>
    <s v="Chipiliro Banda"/>
    <x v="13"/>
    <s v="COE"/>
    <x v="2"/>
    <s v="COP_24"/>
    <m/>
    <x v="3"/>
    <s v="Quarter3"/>
    <m/>
    <s v="Jun"/>
    <d v="2025-06-01T00:00:00"/>
    <d v="2025-06-30T00:00:00"/>
    <x v="6"/>
    <n v="163"/>
    <n v="136"/>
    <n v="16"/>
    <n v="33"/>
    <n v="56"/>
    <n v="58"/>
    <n v="156"/>
    <n v="58"/>
    <n v="62"/>
    <n v="2"/>
    <n v="0"/>
    <n v="0"/>
    <n v="43"/>
    <n v="10"/>
    <n v="0"/>
    <n v="0"/>
    <n v="0"/>
    <n v="0"/>
    <n v="0"/>
    <n v="0"/>
    <n v="6"/>
    <n v="0"/>
    <n v="1"/>
    <n v="21"/>
    <n v="135"/>
    <m/>
  </r>
  <r>
    <n v="1805"/>
    <d v="2025-07-14T12:37:58"/>
    <d v="2025-07-14T12:59:36"/>
    <s v="tsatumba@lighthouse.org.mw"/>
    <s v="Thomas Satumba"/>
    <x v="4"/>
    <s v="Prototype"/>
    <x v="2"/>
    <s v="COP_24"/>
    <m/>
    <x v="3"/>
    <s v="Quarter3"/>
    <m/>
    <s v="Apr"/>
    <d v="2025-04-01T00:00:00"/>
    <d v="2025-04-30T00:00:00"/>
    <x v="1"/>
    <n v="5"/>
    <n v="0"/>
    <n v="4"/>
    <n v="0"/>
    <n v="0"/>
    <n v="0"/>
    <n v="4"/>
    <n v="1"/>
    <n v="1"/>
    <n v="0"/>
    <n v="0"/>
    <n v="0"/>
    <n v="0"/>
    <n v="0"/>
    <n v="0"/>
    <n v="0"/>
    <n v="0"/>
    <n v="0"/>
    <n v="0"/>
    <n v="0"/>
    <n v="0"/>
    <n v="0"/>
    <n v="0"/>
    <n v="0"/>
    <n v="0"/>
    <m/>
  </r>
  <r>
    <n v="1806"/>
    <d v="2025-07-14T12:59:41"/>
    <d v="2025-07-14T13:01:28"/>
    <s v="tsatumba@lighthouse.org.mw"/>
    <s v="Thomas Satumba"/>
    <x v="4"/>
    <s v="Prototype"/>
    <x v="2"/>
    <s v="COP_24"/>
    <m/>
    <x v="3"/>
    <s v="Quarter3"/>
    <m/>
    <s v="Apr"/>
    <d v="2025-04-01T00:00:00"/>
    <d v="2025-04-30T00:00:00"/>
    <x v="3"/>
    <n v="0"/>
    <n v="0"/>
    <n v="0"/>
    <n v="0"/>
    <n v="0"/>
    <n v="0"/>
    <n v="0"/>
    <n v="0"/>
    <n v="0"/>
    <n v="0"/>
    <n v="0"/>
    <n v="0"/>
    <n v="0"/>
    <n v="0"/>
    <n v="0"/>
    <n v="0"/>
    <n v="0"/>
    <n v="0"/>
    <n v="0"/>
    <n v="0"/>
    <n v="0"/>
    <n v="0"/>
    <n v="0"/>
    <n v="0"/>
    <n v="0"/>
    <m/>
  </r>
  <r>
    <n v="1807"/>
    <d v="2025-07-14T13:01:30"/>
    <d v="2025-07-14T13:02:42"/>
    <s v="tsatumba@lighthouse.org.mw"/>
    <s v="Thomas Satumba"/>
    <x v="4"/>
    <s v="Prototype"/>
    <x v="2"/>
    <s v="COP_24"/>
    <m/>
    <x v="3"/>
    <s v="Quarter3"/>
    <m/>
    <s v="Apr"/>
    <d v="2025-04-01T00:00:00"/>
    <d v="2025-04-30T00:00:00"/>
    <x v="4"/>
    <n v="0"/>
    <n v="0"/>
    <n v="0"/>
    <n v="0"/>
    <n v="0"/>
    <n v="0"/>
    <n v="0"/>
    <n v="0"/>
    <n v="0"/>
    <n v="0"/>
    <n v="0"/>
    <n v="0"/>
    <n v="0"/>
    <n v="0"/>
    <n v="0"/>
    <n v="0"/>
    <n v="0"/>
    <n v="0"/>
    <n v="0"/>
    <n v="0"/>
    <n v="0"/>
    <n v="0"/>
    <n v="0"/>
    <n v="0"/>
    <n v="0"/>
    <m/>
  </r>
  <r>
    <n v="1808"/>
    <d v="2025-07-14T13:02:45"/>
    <d v="2025-07-14T13:04:57"/>
    <s v="tsatumba@lighthouse.org.mw"/>
    <s v="Thomas Satumba"/>
    <x v="4"/>
    <s v="Prototype"/>
    <x v="2"/>
    <s v="COP_24"/>
    <m/>
    <x v="3"/>
    <s v="Quarter3"/>
    <m/>
    <s v="Apr"/>
    <d v="2025-04-01T00:00:00"/>
    <d v="2025-04-30T00:00:00"/>
    <x v="2"/>
    <n v="0"/>
    <n v="0"/>
    <n v="0"/>
    <n v="0"/>
    <n v="0"/>
    <n v="0"/>
    <n v="0"/>
    <n v="0"/>
    <n v="0"/>
    <n v="0"/>
    <n v="0"/>
    <n v="0"/>
    <n v="0"/>
    <n v="0"/>
    <n v="0"/>
    <n v="0"/>
    <n v="0"/>
    <n v="0"/>
    <n v="0"/>
    <n v="0"/>
    <n v="0"/>
    <n v="0"/>
    <n v="0"/>
    <n v="0"/>
    <n v="0"/>
    <m/>
  </r>
  <r>
    <n v="1809"/>
    <d v="2025-07-14T13:05:01"/>
    <d v="2025-07-14T13:07:16"/>
    <s v="tsatumba@lighthouse.org.mw"/>
    <s v="Thomas Satumba"/>
    <x v="4"/>
    <s v="Prototype"/>
    <x v="2"/>
    <s v="COP_24"/>
    <m/>
    <x v="3"/>
    <s v="Quarter3"/>
    <m/>
    <s v="Apr"/>
    <d v="2025-04-01T00:00:00"/>
    <d v="2025-04-30T00:00:00"/>
    <x v="6"/>
    <n v="0"/>
    <n v="0"/>
    <n v="0"/>
    <n v="0"/>
    <n v="0"/>
    <n v="0"/>
    <n v="0"/>
    <n v="0"/>
    <n v="0"/>
    <n v="0"/>
    <n v="0"/>
    <n v="0"/>
    <n v="0"/>
    <n v="0"/>
    <n v="0"/>
    <n v="0"/>
    <n v="0"/>
    <n v="0"/>
    <n v="0"/>
    <n v="0"/>
    <n v="0"/>
    <n v="0"/>
    <n v="0"/>
    <n v="0"/>
    <n v="0"/>
    <m/>
  </r>
  <r>
    <n v="1810"/>
    <d v="2025-07-14T13:07:22"/>
    <d v="2025-07-14T13:12:22"/>
    <s v="tsatumba@lighthouse.org.mw"/>
    <s v="Thomas Satumba"/>
    <x v="4"/>
    <s v="Prototype"/>
    <x v="2"/>
    <s v="COP_24"/>
    <m/>
    <x v="3"/>
    <s v="Quarter3"/>
    <m/>
    <s v="Apr"/>
    <d v="2025-04-01T00:00:00"/>
    <d v="2025-04-30T00:00:00"/>
    <x v="0"/>
    <n v="5"/>
    <n v="1"/>
    <n v="4"/>
    <n v="0"/>
    <n v="0"/>
    <n v="1"/>
    <n v="5"/>
    <n v="2"/>
    <n v="2"/>
    <n v="0"/>
    <n v="0"/>
    <n v="0"/>
    <n v="2"/>
    <n v="1"/>
    <n v="0"/>
    <n v="0"/>
    <n v="0"/>
    <n v="0"/>
    <n v="1"/>
    <n v="0"/>
    <n v="1"/>
    <n v="0"/>
    <n v="0"/>
    <n v="0"/>
    <n v="0"/>
    <m/>
  </r>
  <r>
    <n v="1811"/>
    <d v="2025-07-14T13:14:09"/>
    <d v="2025-07-14T13:16:51"/>
    <s v="tsatumba@lighthouse.org.mw"/>
    <s v="Thomas Satumba"/>
    <x v="4"/>
    <s v="Prototype"/>
    <x v="2"/>
    <s v="COP_24"/>
    <m/>
    <x v="3"/>
    <s v="Quarter3"/>
    <m/>
    <s v="May"/>
    <d v="2025-05-01T00:00:00"/>
    <d v="2025-05-31T00:00:00"/>
    <x v="1"/>
    <n v="12"/>
    <n v="1"/>
    <n v="2"/>
    <n v="0"/>
    <n v="4"/>
    <n v="0"/>
    <n v="6"/>
    <n v="3"/>
    <n v="3"/>
    <n v="1"/>
    <n v="1"/>
    <n v="1"/>
    <n v="3"/>
    <n v="0"/>
    <n v="0"/>
    <n v="0"/>
    <n v="0"/>
    <n v="0"/>
    <n v="1"/>
    <n v="0"/>
    <n v="0"/>
    <n v="1"/>
    <n v="0"/>
    <n v="0"/>
    <n v="0"/>
    <m/>
  </r>
  <r>
    <n v="1812"/>
    <d v="2025-07-14T13:21:09"/>
    <d v="2025-07-14T13:22:32"/>
    <s v="tsatumba@lighthouse.org.mw"/>
    <s v="Thomas Satumba"/>
    <x v="4"/>
    <s v="Prototype"/>
    <x v="2"/>
    <s v="COP_24"/>
    <m/>
    <x v="3"/>
    <s v="Quarter3"/>
    <m/>
    <s v="May"/>
    <d v="2025-05-01T00:00:00"/>
    <d v="2025-05-31T00:00:00"/>
    <x v="3"/>
    <n v="0"/>
    <n v="0"/>
    <n v="0"/>
    <n v="0"/>
    <n v="0"/>
    <n v="0"/>
    <n v="0"/>
    <n v="0"/>
    <n v="0"/>
    <n v="0"/>
    <n v="0"/>
    <n v="0"/>
    <n v="0"/>
    <n v="0"/>
    <n v="0"/>
    <n v="0"/>
    <n v="0"/>
    <n v="0"/>
    <n v="0"/>
    <n v="0"/>
    <n v="0"/>
    <n v="0"/>
    <n v="0"/>
    <n v="0"/>
    <n v="0"/>
    <m/>
  </r>
  <r>
    <n v="1813"/>
    <d v="2025-07-14T13:22:35"/>
    <d v="2025-07-14T13:23:40"/>
    <s v="tsatumba@lighthouse.org.mw"/>
    <s v="Thomas Satumba"/>
    <x v="4"/>
    <s v="Prototype"/>
    <x v="2"/>
    <s v="COP_24"/>
    <m/>
    <x v="3"/>
    <s v="Quarter3"/>
    <m/>
    <s v="May"/>
    <d v="2025-05-01T00:00:00"/>
    <d v="2025-05-31T00:00:00"/>
    <x v="4"/>
    <n v="0"/>
    <n v="0"/>
    <n v="0"/>
    <n v="0"/>
    <n v="0"/>
    <n v="0"/>
    <n v="0"/>
    <n v="0"/>
    <n v="0"/>
    <n v="0"/>
    <n v="0"/>
    <n v="0"/>
    <n v="0"/>
    <n v="0"/>
    <n v="0"/>
    <n v="0"/>
    <n v="0"/>
    <n v="0"/>
    <n v="0"/>
    <n v="0"/>
    <n v="0"/>
    <n v="0"/>
    <n v="0"/>
    <n v="0"/>
    <n v="0"/>
    <m/>
  </r>
  <r>
    <n v="1814"/>
    <d v="2025-07-14T13:23:46"/>
    <d v="2025-07-14T13:25:05"/>
    <s v="tsatumba@lighthouse.org.mw"/>
    <s v="Thomas Satumba"/>
    <x v="4"/>
    <s v="Prototype"/>
    <x v="2"/>
    <s v="COP_24"/>
    <m/>
    <x v="3"/>
    <s v="Quarter3"/>
    <m/>
    <s v="May"/>
    <d v="2025-05-01T00:00:00"/>
    <d v="2025-05-31T00:00:00"/>
    <x v="5"/>
    <n v="0"/>
    <n v="0"/>
    <n v="0"/>
    <n v="0"/>
    <n v="0"/>
    <n v="0"/>
    <n v="0"/>
    <n v="0"/>
    <n v="0"/>
    <n v="0"/>
    <n v="0"/>
    <n v="0"/>
    <n v="0"/>
    <n v="0"/>
    <n v="0"/>
    <n v="0"/>
    <n v="0"/>
    <n v="0"/>
    <n v="0"/>
    <n v="0"/>
    <n v="0"/>
    <n v="0"/>
    <n v="0"/>
    <n v="0"/>
    <n v="0"/>
    <m/>
  </r>
  <r>
    <n v="1815"/>
    <d v="2025-07-14T13:25:10"/>
    <d v="2025-07-14T13:26:33"/>
    <s v="tsatumba@lighthouse.org.mw"/>
    <s v="Thomas Satumba"/>
    <x v="4"/>
    <s v="Prototype"/>
    <x v="2"/>
    <s v="COP_24"/>
    <m/>
    <x v="3"/>
    <s v="Quarter3"/>
    <m/>
    <s v="May"/>
    <d v="2025-05-01T00:00:00"/>
    <d v="2025-05-31T00:00:00"/>
    <x v="2"/>
    <n v="0"/>
    <n v="0"/>
    <n v="0"/>
    <n v="0"/>
    <n v="0"/>
    <n v="0"/>
    <n v="0"/>
    <n v="0"/>
    <n v="0"/>
    <n v="0"/>
    <n v="0"/>
    <n v="0"/>
    <n v="0"/>
    <n v="0"/>
    <n v="0"/>
    <n v="0"/>
    <n v="0"/>
    <n v="0"/>
    <n v="0"/>
    <n v="0"/>
    <n v="0"/>
    <n v="0"/>
    <n v="0"/>
    <n v="0"/>
    <n v="0"/>
    <m/>
  </r>
  <r>
    <n v="1816"/>
    <d v="2025-07-14T13:26:35"/>
    <d v="2025-07-14T13:27:58"/>
    <s v="tsatumba@lighthouse.org.mw"/>
    <s v="Thomas Satumba"/>
    <x v="4"/>
    <s v="Prototype"/>
    <x v="2"/>
    <s v="COP_24"/>
    <m/>
    <x v="3"/>
    <s v="Quarter3"/>
    <m/>
    <s v="May"/>
    <d v="2025-05-01T00:00:00"/>
    <d v="2025-05-31T00:00:00"/>
    <x v="6"/>
    <n v="0"/>
    <n v="0"/>
    <n v="0"/>
    <n v="0"/>
    <n v="0"/>
    <n v="0"/>
    <n v="0"/>
    <n v="0"/>
    <n v="0"/>
    <n v="0"/>
    <n v="0"/>
    <n v="0"/>
    <n v="0"/>
    <n v="0"/>
    <n v="0"/>
    <n v="0"/>
    <n v="0"/>
    <n v="0"/>
    <n v="0"/>
    <n v="0"/>
    <n v="0"/>
    <n v="0"/>
    <n v="0"/>
    <n v="0"/>
    <n v="0"/>
    <m/>
  </r>
  <r>
    <n v="1817"/>
    <d v="2025-07-14T13:28:02"/>
    <d v="2025-07-14T13:34:39"/>
    <s v="tsatumba@lighthouse.org.mw"/>
    <s v="Thomas Satumba"/>
    <x v="4"/>
    <s v="Prototype"/>
    <x v="2"/>
    <s v="COP_24"/>
    <m/>
    <x v="3"/>
    <s v="Quarter3"/>
    <m/>
    <s v="May"/>
    <d v="2025-05-01T00:00:00"/>
    <d v="2025-05-31T00:00:00"/>
    <x v="0"/>
    <n v="6"/>
    <n v="1"/>
    <n v="2"/>
    <n v="0"/>
    <n v="4"/>
    <n v="0"/>
    <n v="6"/>
    <n v="3"/>
    <n v="3"/>
    <n v="1"/>
    <n v="1"/>
    <n v="1"/>
    <n v="3"/>
    <n v="0"/>
    <n v="0"/>
    <n v="0"/>
    <n v="0"/>
    <n v="0"/>
    <n v="1"/>
    <n v="0"/>
    <n v="0"/>
    <n v="1"/>
    <n v="0"/>
    <n v="0"/>
    <n v="0"/>
    <m/>
  </r>
  <r>
    <n v="1818"/>
    <d v="2025-07-14T13:38:27"/>
    <d v="2025-07-14T13:43:09"/>
    <s v="tsatumba@lighthouse.org.mw"/>
    <s v="Thomas Satumba"/>
    <x v="4"/>
    <s v="Prototype"/>
    <x v="2"/>
    <s v="COP_24"/>
    <m/>
    <x v="3"/>
    <s v="Quarter3"/>
    <m/>
    <s v="Jun"/>
    <d v="2025-06-01T00:00:00"/>
    <d v="2025-06-30T00:00:00"/>
    <x v="0"/>
    <n v="7"/>
    <n v="4"/>
    <n v="2"/>
    <n v="1"/>
    <n v="2"/>
    <n v="2"/>
    <n v="7"/>
    <n v="5"/>
    <n v="6"/>
    <n v="1"/>
    <n v="1"/>
    <n v="0"/>
    <n v="6"/>
    <n v="1"/>
    <n v="0"/>
    <n v="0"/>
    <n v="0"/>
    <n v="0"/>
    <n v="6"/>
    <n v="0"/>
    <n v="1"/>
    <n v="0"/>
    <n v="1"/>
    <n v="1"/>
    <n v="2"/>
    <m/>
  </r>
  <r>
    <n v="1819"/>
    <d v="2025-07-14T13:43:12"/>
    <d v="2025-07-14T13:46:39"/>
    <s v="tsatumba@lighthouse.org.mw"/>
    <s v="Thomas Satumba"/>
    <x v="4"/>
    <s v="Prototype"/>
    <x v="2"/>
    <s v="COP_24"/>
    <m/>
    <x v="3"/>
    <s v="Quarter3"/>
    <m/>
    <s v="Jun"/>
    <d v="2025-06-01T00:00:00"/>
    <d v="2025-06-30T00:00:00"/>
    <x v="1"/>
    <n v="15"/>
    <n v="3"/>
    <n v="1"/>
    <n v="1"/>
    <n v="1"/>
    <n v="2"/>
    <n v="5"/>
    <n v="4"/>
    <n v="5"/>
    <n v="1"/>
    <n v="1"/>
    <n v="0"/>
    <n v="5"/>
    <n v="1"/>
    <n v="0"/>
    <n v="0"/>
    <n v="0"/>
    <n v="0"/>
    <n v="5"/>
    <n v="0"/>
    <n v="1"/>
    <n v="0"/>
    <n v="1"/>
    <n v="1"/>
    <n v="1"/>
    <m/>
  </r>
  <r>
    <n v="1820"/>
    <d v="2025-07-14T13:47:28"/>
    <d v="2025-07-14T13:48:39"/>
    <s v="tsatumba@lighthouse.org.mw"/>
    <s v="Thomas Satumba"/>
    <x v="4"/>
    <s v="Prototype"/>
    <x v="2"/>
    <s v="COP_24"/>
    <m/>
    <x v="3"/>
    <s v="Quarter3"/>
    <m/>
    <s v="Jun"/>
    <d v="2025-06-01T00:00:00"/>
    <d v="2025-06-30T00:00:00"/>
    <x v="3"/>
    <n v="0"/>
    <n v="0"/>
    <n v="0"/>
    <n v="0"/>
    <n v="0"/>
    <n v="0"/>
    <n v="0"/>
    <n v="0"/>
    <n v="0"/>
    <n v="0"/>
    <n v="0"/>
    <n v="0"/>
    <n v="0"/>
    <n v="0"/>
    <n v="0"/>
    <n v="0"/>
    <n v="0"/>
    <n v="0"/>
    <n v="0"/>
    <n v="0"/>
    <n v="0"/>
    <n v="0"/>
    <n v="0"/>
    <n v="0"/>
    <n v="0"/>
    <m/>
  </r>
  <r>
    <n v="1821"/>
    <d v="2025-07-14T13:48:42"/>
    <d v="2025-07-14T13:49:53"/>
    <s v="tsatumba@lighthouse.org.mw"/>
    <s v="Thomas Satumba"/>
    <x v="4"/>
    <s v="Prototype"/>
    <x v="2"/>
    <s v="COP_24"/>
    <m/>
    <x v="3"/>
    <s v="Quarter3"/>
    <m/>
    <s v="Jun"/>
    <d v="2025-06-01T00:00:00"/>
    <d v="2025-06-30T00:00:00"/>
    <x v="4"/>
    <n v="0"/>
    <n v="0"/>
    <n v="0"/>
    <n v="0"/>
    <n v="0"/>
    <n v="0"/>
    <n v="0"/>
    <n v="0"/>
    <n v="0"/>
    <n v="0"/>
    <n v="0"/>
    <n v="0"/>
    <n v="0"/>
    <n v="0"/>
    <n v="0"/>
    <n v="0"/>
    <n v="0"/>
    <n v="0"/>
    <n v="0"/>
    <n v="0"/>
    <n v="0"/>
    <n v="0"/>
    <n v="0"/>
    <n v="0"/>
    <n v="0"/>
    <m/>
  </r>
  <r>
    <n v="1822"/>
    <d v="2025-07-14T13:49:58"/>
    <d v="2025-07-14T13:52:11"/>
    <s v="tsatumba@lighthouse.org.mw"/>
    <s v="Thomas Satumba"/>
    <x v="4"/>
    <s v="Prototype"/>
    <x v="2"/>
    <s v="COP_24"/>
    <m/>
    <x v="3"/>
    <s v="Quarter3"/>
    <m/>
    <s v="Jun"/>
    <d v="2025-06-01T00:00:00"/>
    <d v="2025-06-30T00:00:00"/>
    <x v="2"/>
    <n v="0"/>
    <n v="0"/>
    <n v="0"/>
    <n v="0"/>
    <n v="0"/>
    <n v="0"/>
    <n v="0"/>
    <n v="0"/>
    <n v="0"/>
    <n v="0"/>
    <n v="0"/>
    <n v="0"/>
    <n v="0"/>
    <n v="0"/>
    <n v="0"/>
    <n v="0"/>
    <n v="0"/>
    <n v="0"/>
    <n v="0"/>
    <n v="0"/>
    <n v="0"/>
    <n v="0"/>
    <n v="0"/>
    <n v="0"/>
    <n v="0"/>
    <m/>
  </r>
  <r>
    <n v="1823"/>
    <d v="2025-07-14T13:52:14"/>
    <d v="2025-07-14T13:53:41"/>
    <s v="tsatumba@lighthouse.org.mw"/>
    <s v="Thomas Satumba"/>
    <x v="4"/>
    <s v="Prototype"/>
    <x v="2"/>
    <s v="COP_24"/>
    <m/>
    <x v="3"/>
    <s v="Quarter3"/>
    <m/>
    <s v="Jun"/>
    <d v="2025-06-01T00:00:00"/>
    <d v="2025-06-30T00:00:00"/>
    <x v="6"/>
    <n v="0"/>
    <n v="0"/>
    <n v="0"/>
    <n v="0"/>
    <n v="0"/>
    <n v="0"/>
    <n v="0"/>
    <n v="0"/>
    <n v="0"/>
    <n v="0"/>
    <n v="0"/>
    <n v="0"/>
    <n v="0"/>
    <n v="0"/>
    <n v="0"/>
    <n v="0"/>
    <n v="0"/>
    <n v="0"/>
    <n v="0"/>
    <n v="0"/>
    <n v="0"/>
    <n v="0"/>
    <n v="0"/>
    <n v="0"/>
    <n v="0"/>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20">
  <r>
    <n v="5"/>
    <d v="2023-12-15T12:13:28"/>
    <d v="2023-12-15T12:31:37"/>
    <s v="mchirwa@lighthouse.org.mw"/>
    <s v="Margaret Chirwa"/>
    <s v="Area_18"/>
    <s v="Prototype"/>
    <x v="0"/>
    <x v="0"/>
    <s v="COP_23"/>
    <s v="Quarter4"/>
    <x v="0"/>
    <s v="Qtr_1"/>
    <x v="0"/>
    <d v="2023-10-01T00:00:00"/>
    <d v="2023-10-31T00:00:00"/>
    <x v="0"/>
    <n v="35"/>
    <n v="0"/>
    <n v="12"/>
    <n v="2"/>
    <n v="1"/>
    <n v="1"/>
    <n v="16"/>
    <n v="3"/>
    <n v="1"/>
    <n v="0"/>
    <n v="0"/>
    <n v="0"/>
    <n v="2"/>
    <n v="0"/>
    <n v="0"/>
    <n v="0"/>
    <n v="0"/>
    <n v="0"/>
    <n v="1"/>
    <n v="0"/>
    <n v="1"/>
    <n v="0"/>
    <n v="0"/>
    <n v="0"/>
    <n v="0"/>
    <m/>
  </r>
  <r>
    <n v="7"/>
    <d v="2023-12-15T12:31:51"/>
    <d v="2023-12-15T12:39:44"/>
    <s v="mchirwa@lighthouse.org.mw"/>
    <s v="Margaret Chirwa"/>
    <s v="Area_18"/>
    <s v="Prototype"/>
    <x v="0"/>
    <x v="0"/>
    <s v="COP_23"/>
    <s v="Quarter4"/>
    <x v="0"/>
    <s v="Qtr_1"/>
    <x v="1"/>
    <d v="2023-11-01T00:00:00"/>
    <d v="2023-11-30T00:00:00"/>
    <x v="0"/>
    <n v="55"/>
    <n v="0"/>
    <n v="38"/>
    <n v="1"/>
    <n v="1"/>
    <n v="1"/>
    <n v="41"/>
    <n v="7"/>
    <n v="6"/>
    <n v="0"/>
    <n v="0"/>
    <n v="0"/>
    <n v="1"/>
    <n v="0"/>
    <n v="0"/>
    <n v="0"/>
    <n v="0"/>
    <n v="0"/>
    <n v="0"/>
    <n v="0"/>
    <n v="0"/>
    <n v="0"/>
    <n v="0"/>
    <n v="1"/>
    <n v="0"/>
    <m/>
  </r>
  <r>
    <n v="8"/>
    <d v="2023-12-15T13:15:02"/>
    <d v="2023-12-15T13:15:53"/>
    <s v="mchirwa@lighthouse.org.mw"/>
    <s v="Margaret Chirwa"/>
    <s v="Area_18"/>
    <s v="Prototype"/>
    <x v="0"/>
    <x v="1"/>
    <s v="COP_22"/>
    <s v="Quarter3"/>
    <x v="1"/>
    <s v="Qtr_4"/>
    <x v="2"/>
    <d v="2023-09-01T00:00:00"/>
    <d v="2023-09-30T00:00:00"/>
    <x v="0"/>
    <n v="35"/>
    <n v="1"/>
    <n v="35"/>
    <n v="2"/>
    <n v="1"/>
    <n v="1"/>
    <n v="39"/>
    <n v="8"/>
    <n v="10"/>
    <n v="0"/>
    <n v="8"/>
    <n v="0"/>
    <n v="8"/>
    <n v="0"/>
    <n v="1"/>
    <n v="1"/>
    <n v="0"/>
    <n v="0"/>
    <n v="0"/>
    <n v="0"/>
    <n v="2"/>
    <n v="0"/>
    <n v="0"/>
    <n v="1"/>
    <n v="0"/>
    <m/>
  </r>
  <r>
    <n v="232"/>
    <d v="2024-04-09T13:21:04"/>
    <d v="2024-04-09T13:33:06"/>
    <s v="mchirwa@lighthouse.org.mw"/>
    <s v="Margaret Chirwa"/>
    <s v="Area_18"/>
    <s v="Prototype"/>
    <x v="1"/>
    <x v="0"/>
    <s v="COP_23"/>
    <s v="Quarter1"/>
    <x v="2"/>
    <s v="Qtr_2"/>
    <x v="3"/>
    <d v="2024-03-01T00:00:00"/>
    <d v="2024-03-31T00:00:00"/>
    <x v="1"/>
    <n v="30"/>
    <n v="0"/>
    <n v="17"/>
    <n v="0"/>
    <n v="1"/>
    <n v="0"/>
    <n v="3"/>
    <n v="0"/>
    <n v="1"/>
    <n v="0"/>
    <n v="0"/>
    <n v="0"/>
    <n v="1"/>
    <n v="1"/>
    <n v="0"/>
    <n v="0"/>
    <n v="0"/>
    <n v="0"/>
    <n v="0"/>
    <n v="0"/>
    <n v="1"/>
    <n v="0"/>
    <n v="0"/>
    <n v="0"/>
    <n v="1"/>
    <m/>
  </r>
  <r>
    <n v="280"/>
    <d v="2024-04-24T08:10:55"/>
    <d v="2024-04-24T08:31:59"/>
    <s v="mchirwa@lighthouse.org.mw"/>
    <s v="Margaret Chirwa"/>
    <s v="Area_18"/>
    <s v="Prototype"/>
    <x v="1"/>
    <x v="0"/>
    <s v="COP_23"/>
    <s v="Quarter1"/>
    <x v="2"/>
    <s v="Qtr_2"/>
    <x v="4"/>
    <d v="2024-01-01T00:00:00"/>
    <d v="2024-01-31T00:00:00"/>
    <x v="1"/>
    <n v="53"/>
    <n v="0"/>
    <n v="39"/>
    <n v="2"/>
    <n v="0"/>
    <n v="0"/>
    <n v="11"/>
    <n v="3"/>
    <n v="0"/>
    <n v="0"/>
    <n v="0"/>
    <n v="0"/>
    <n v="1"/>
    <n v="0"/>
    <n v="0"/>
    <n v="0"/>
    <n v="0"/>
    <n v="0"/>
    <n v="0"/>
    <n v="0"/>
    <n v="0"/>
    <n v="0"/>
    <n v="0"/>
    <n v="0"/>
    <n v="1"/>
    <m/>
  </r>
  <r>
    <n v="328"/>
    <d v="2024-04-30T08:55:55"/>
    <d v="2024-04-30T09:18:36"/>
    <s v="mchirwa@lighthouse.org.mw"/>
    <s v="Margaret Chirwa"/>
    <s v="Area_18"/>
    <s v="Prototype"/>
    <x v="1"/>
    <x v="0"/>
    <s v="COP_23"/>
    <s v="Quarter1"/>
    <x v="2"/>
    <s v="Qtr_2"/>
    <x v="5"/>
    <d v="2024-02-01T00:00:00"/>
    <d v="2024-02-29T00:00:00"/>
    <x v="1"/>
    <n v="48"/>
    <n v="0"/>
    <n v="47"/>
    <n v="24"/>
    <n v="0"/>
    <n v="0"/>
    <n v="24"/>
    <n v="3"/>
    <n v="2"/>
    <n v="0"/>
    <n v="0"/>
    <n v="0"/>
    <n v="2"/>
    <n v="0"/>
    <n v="0"/>
    <n v="0"/>
    <n v="0"/>
    <n v="0"/>
    <n v="0"/>
    <n v="0"/>
    <n v="0"/>
    <n v="0"/>
    <n v="0"/>
    <n v="0"/>
    <n v="0"/>
    <m/>
  </r>
  <r>
    <n v="599"/>
    <d v="2024-07-12T08:34:30"/>
    <d v="2024-07-12T09:07:02"/>
    <s v="mchirwa@lighthouse.org.mw"/>
    <s v="Margaret Chirwa"/>
    <s v="Area_18"/>
    <s v="Prototype"/>
    <x v="1"/>
    <x v="0"/>
    <s v="COP_23"/>
    <s v="Quarter2"/>
    <x v="3"/>
    <s v="Qtr_3"/>
    <x v="6"/>
    <d v="2024-05-01T00:00:00"/>
    <d v="2024-05-31T00:00:00"/>
    <x v="1"/>
    <n v="44"/>
    <n v="0"/>
    <n v="37"/>
    <n v="0"/>
    <n v="0"/>
    <n v="0"/>
    <n v="18"/>
    <n v="0"/>
    <n v="0"/>
    <n v="0"/>
    <n v="0"/>
    <n v="0"/>
    <n v="0"/>
    <n v="0"/>
    <n v="0"/>
    <n v="0"/>
    <n v="0"/>
    <n v="0"/>
    <n v="0"/>
    <n v="0"/>
    <n v="0"/>
    <n v="0"/>
    <n v="0"/>
    <n v="0"/>
    <n v="0"/>
    <m/>
  </r>
  <r>
    <n v="606"/>
    <d v="2024-07-12T09:24:45"/>
    <d v="2024-07-12T09:27:40"/>
    <s v="mchirwa@lighthouse.org.mw"/>
    <s v="Margaret Chirwa"/>
    <s v="Area_18"/>
    <s v="Prototype"/>
    <x v="1"/>
    <x v="0"/>
    <s v="COP_23"/>
    <s v="Quarter2"/>
    <x v="3"/>
    <s v="Qtr_3"/>
    <x v="7"/>
    <d v="2024-04-01T00:00:00"/>
    <d v="2024-04-30T00:00:00"/>
    <x v="1"/>
    <n v="70"/>
    <n v="0"/>
    <n v="57"/>
    <n v="0"/>
    <n v="0"/>
    <n v="0"/>
    <n v="29"/>
    <n v="9"/>
    <n v="9"/>
    <n v="0"/>
    <n v="0"/>
    <n v="0"/>
    <n v="0"/>
    <n v="0"/>
    <n v="0"/>
    <n v="0"/>
    <n v="0"/>
    <n v="0"/>
    <n v="0"/>
    <n v="0"/>
    <n v="0"/>
    <n v="0"/>
    <n v="0"/>
    <n v="0"/>
    <n v="0"/>
    <m/>
  </r>
  <r>
    <n v="709"/>
    <d v="2024-08-05T13:37:37"/>
    <d v="2024-08-05T13:42:43"/>
    <s v="mchirwa@lighthouse.org.mw"/>
    <s v="Margaret Chirwa"/>
    <s v="Area_18"/>
    <s v="Prototype"/>
    <x v="1"/>
    <x v="0"/>
    <s v="COP_23"/>
    <s v="Quarter2"/>
    <x v="3"/>
    <s v="Qtr_3"/>
    <x v="8"/>
    <d v="2024-06-01T00:00:00"/>
    <d v="2024-06-30T00:00:00"/>
    <x v="1"/>
    <n v="30"/>
    <n v="0"/>
    <n v="27"/>
    <n v="2"/>
    <n v="0"/>
    <n v="0"/>
    <n v="27"/>
    <n v="3"/>
    <n v="3"/>
    <n v="0"/>
    <n v="0"/>
    <n v="0"/>
    <n v="1"/>
    <n v="0"/>
    <n v="0"/>
    <n v="0"/>
    <n v="0"/>
    <n v="0"/>
    <n v="0"/>
    <n v="0"/>
    <n v="0"/>
    <n v="0"/>
    <n v="0"/>
    <n v="0"/>
    <n v="0"/>
    <m/>
  </r>
  <r>
    <n v="926"/>
    <d v="2024-10-16T09:49:01"/>
    <d v="2024-10-16T09:53:51"/>
    <s v="mchirwa@lighthouse.org.mw"/>
    <s v="Margaret Chirwa"/>
    <s v="Area_18"/>
    <s v="Prototype"/>
    <x v="1"/>
    <x v="0"/>
    <s v="COP_23"/>
    <s v="Quarter3"/>
    <x v="1"/>
    <s v="Qtr_4"/>
    <x v="9"/>
    <d v="2024-07-01T00:00:00"/>
    <d v="2024-08-31T00:00:00"/>
    <x v="1"/>
    <n v="56"/>
    <n v="1"/>
    <n v="46"/>
    <n v="2"/>
    <n v="1"/>
    <n v="0"/>
    <n v="35"/>
    <n v="2"/>
    <n v="3"/>
    <n v="0"/>
    <n v="0"/>
    <n v="0"/>
    <n v="1"/>
    <n v="0"/>
    <n v="1"/>
    <n v="0"/>
    <n v="0"/>
    <n v="0"/>
    <n v="0"/>
    <n v="0"/>
    <n v="0"/>
    <n v="0"/>
    <n v="0"/>
    <n v="0"/>
    <n v="0"/>
    <m/>
  </r>
  <r>
    <n v="933"/>
    <d v="2024-10-16T10:06:15"/>
    <d v="2024-10-16T10:08:19"/>
    <s v="mchirwa@lighthouse.org.mw"/>
    <s v="Margaret Chirwa"/>
    <s v="Area_18"/>
    <s v="Prototype"/>
    <x v="1"/>
    <x v="0"/>
    <s v="COP_23"/>
    <s v="Quarter3"/>
    <x v="1"/>
    <s v="Qtr_4"/>
    <x v="10"/>
    <d v="2024-08-01T00:00:00"/>
    <d v="2024-08-31T00:00:00"/>
    <x v="1"/>
    <n v="45"/>
    <n v="0"/>
    <n v="41"/>
    <n v="0"/>
    <n v="0"/>
    <n v="1"/>
    <n v="38"/>
    <n v="9"/>
    <n v="5"/>
    <n v="0"/>
    <n v="0"/>
    <n v="0"/>
    <n v="1"/>
    <n v="0"/>
    <n v="0"/>
    <n v="0"/>
    <n v="0"/>
    <n v="0"/>
    <n v="0"/>
    <n v="0"/>
    <n v="0"/>
    <n v="0"/>
    <n v="0"/>
    <n v="0"/>
    <n v="0"/>
    <m/>
  </r>
  <r>
    <n v="64"/>
    <d v="2024-01-10T09:05:40"/>
    <d v="2024-01-10T09:20:16"/>
    <s v="mchirwa@lighthouse.org.mw"/>
    <s v="Margaret Chirwa"/>
    <s v="Area_18"/>
    <s v="Prototype"/>
    <x v="0"/>
    <x v="0"/>
    <s v="COP_23"/>
    <s v="Quarter4"/>
    <x v="0"/>
    <s v="Qtr_1"/>
    <x v="11"/>
    <d v="2023-12-01T00:00:00"/>
    <d v="2023-12-31T00:00:00"/>
    <x v="0"/>
    <n v="25"/>
    <n v="1"/>
    <n v="23"/>
    <n v="0"/>
    <n v="0"/>
    <n v="2"/>
    <n v="21"/>
    <n v="1"/>
    <n v="1"/>
    <n v="0"/>
    <n v="0"/>
    <n v="0"/>
    <n v="1"/>
    <n v="1"/>
    <n v="0"/>
    <n v="0"/>
    <n v="0"/>
    <n v="0"/>
    <n v="0"/>
    <n v="0"/>
    <n v="1"/>
    <n v="0"/>
    <n v="0"/>
    <n v="1"/>
    <n v="0"/>
    <m/>
  </r>
  <r>
    <n v="332"/>
    <d v="2024-04-30T10:35:18"/>
    <d v="2024-04-30T10:44:18"/>
    <s v="mchirwa@lighthouse.org.mw"/>
    <s v="Margaret Chirwa"/>
    <s v="Area_18"/>
    <s v="Prototype"/>
    <x v="1"/>
    <x v="0"/>
    <s v="COP_23"/>
    <s v="Quarter1"/>
    <x v="2"/>
    <s v="Qtr_2"/>
    <x v="5"/>
    <d v="2024-02-01T00:00:00"/>
    <d v="2024-02-29T00:00:00"/>
    <x v="2"/>
    <n v="53"/>
    <n v="2"/>
    <n v="0"/>
    <n v="1"/>
    <n v="0"/>
    <n v="1"/>
    <n v="0"/>
    <n v="0"/>
    <n v="1"/>
    <n v="0"/>
    <n v="0"/>
    <n v="0"/>
    <n v="1"/>
    <n v="1"/>
    <n v="0"/>
    <n v="0"/>
    <n v="0"/>
    <n v="0"/>
    <n v="0"/>
    <n v="0"/>
    <n v="1"/>
    <n v="0"/>
    <n v="0"/>
    <n v="0"/>
    <n v="0"/>
    <m/>
  </r>
  <r>
    <n v="335"/>
    <d v="2024-04-30T10:56:07"/>
    <d v="2024-04-30T10:57:28"/>
    <s v="mchirwa@lighthouse.org.mw"/>
    <s v="Margaret Chirwa"/>
    <s v="Area_18"/>
    <s v="Prototype"/>
    <x v="1"/>
    <x v="0"/>
    <s v="COP_23"/>
    <s v="Quarter1"/>
    <x v="2"/>
    <s v="Qtr_2"/>
    <x v="4"/>
    <d v="2024-01-01T00:00:00"/>
    <d v="2024-01-31T00:00:00"/>
    <x v="2"/>
    <n v="51"/>
    <n v="0"/>
    <n v="0"/>
    <n v="0"/>
    <n v="0"/>
    <n v="0"/>
    <n v="0"/>
    <n v="0"/>
    <n v="0"/>
    <n v="0"/>
    <n v="0"/>
    <n v="0"/>
    <n v="0"/>
    <n v="0"/>
    <n v="0"/>
    <n v="0"/>
    <n v="0"/>
    <n v="0"/>
    <n v="0"/>
    <n v="0"/>
    <n v="0"/>
    <n v="0"/>
    <n v="0"/>
    <n v="0"/>
    <n v="0"/>
    <m/>
  </r>
  <r>
    <n v="342"/>
    <d v="2024-04-30T11:34:52"/>
    <d v="2024-04-30T11:36:07"/>
    <s v="mchirwa@lighthouse.org.mw"/>
    <s v="Margaret Chirwa"/>
    <s v="Area_18"/>
    <s v="Prototype"/>
    <x v="1"/>
    <x v="0"/>
    <s v="COP_23"/>
    <s v="Quarter1"/>
    <x v="2"/>
    <s v="Qtr_2"/>
    <x v="3"/>
    <d v="2024-03-01T00:00:00"/>
    <d v="2024-03-31T00:00:00"/>
    <x v="2"/>
    <n v="50"/>
    <n v="1"/>
    <n v="4"/>
    <n v="0"/>
    <n v="0"/>
    <n v="0"/>
    <n v="0"/>
    <n v="0"/>
    <n v="1"/>
    <n v="0"/>
    <n v="0"/>
    <n v="0"/>
    <n v="1"/>
    <n v="0"/>
    <n v="0"/>
    <n v="0"/>
    <n v="0"/>
    <n v="0"/>
    <n v="0"/>
    <n v="0"/>
    <n v="0"/>
    <n v="0"/>
    <n v="0"/>
    <n v="0"/>
    <n v="0"/>
    <m/>
  </r>
  <r>
    <n v="594"/>
    <d v="2024-07-11T10:21:59"/>
    <d v="2024-07-11T10:23:33"/>
    <s v="mchirwa@lighthouse.org.mw"/>
    <s v="Margaret Chirwa"/>
    <s v="Area_18"/>
    <s v="Prototype"/>
    <x v="1"/>
    <x v="0"/>
    <s v="COP_23"/>
    <s v="Quarter2"/>
    <x v="3"/>
    <s v="Qtr_3"/>
    <x v="8"/>
    <d v="2024-06-01T00:00:00"/>
    <d v="2024-06-30T00:00:00"/>
    <x v="2"/>
    <n v="62"/>
    <n v="0"/>
    <n v="1"/>
    <n v="1"/>
    <n v="0"/>
    <n v="0"/>
    <n v="2"/>
    <n v="1"/>
    <n v="1"/>
    <n v="0"/>
    <n v="0"/>
    <n v="0"/>
    <n v="0"/>
    <n v="0"/>
    <n v="0"/>
    <n v="0"/>
    <n v="0"/>
    <n v="0"/>
    <n v="0"/>
    <n v="0"/>
    <n v="0"/>
    <n v="0"/>
    <n v="0"/>
    <n v="0"/>
    <n v="0"/>
    <m/>
  </r>
  <r>
    <n v="940"/>
    <d v="2024-10-16T10:19:52"/>
    <d v="2024-10-16T10:29:57"/>
    <s v="mchirwa@lighthouse.org.mw"/>
    <s v="Margaret Chirwa"/>
    <s v="Area_18"/>
    <s v="Prototype"/>
    <x v="1"/>
    <x v="0"/>
    <s v="COP_23"/>
    <s v="Quarter3"/>
    <x v="1"/>
    <s v="Qtr_4"/>
    <x v="2"/>
    <d v="2024-09-01T00:00:00"/>
    <d v="2024-09-30T00:00:00"/>
    <x v="1"/>
    <n v="52"/>
    <n v="0"/>
    <n v="42"/>
    <n v="0"/>
    <n v="0"/>
    <n v="0"/>
    <n v="35"/>
    <n v="8"/>
    <n v="8"/>
    <n v="0"/>
    <n v="0"/>
    <n v="0"/>
    <n v="7"/>
    <n v="0"/>
    <n v="0"/>
    <n v="0"/>
    <n v="0"/>
    <n v="0"/>
    <n v="0"/>
    <n v="0"/>
    <n v="0"/>
    <n v="0"/>
    <n v="0"/>
    <n v="0"/>
    <n v="0"/>
    <m/>
  </r>
  <r>
    <n v="603"/>
    <d v="2024-07-12T09:20:33"/>
    <d v="2024-07-12T09:21:20"/>
    <s v="mchirwa@lighthouse.org.mw"/>
    <s v="Margaret Chirwa"/>
    <s v="Area_18"/>
    <s v="Prototype"/>
    <x v="1"/>
    <x v="0"/>
    <s v="COP_23"/>
    <s v="Quarter2"/>
    <x v="3"/>
    <s v="Qtr_3"/>
    <x v="6"/>
    <d v="2024-05-01T00:00:00"/>
    <d v="2024-05-31T00:00:00"/>
    <x v="2"/>
    <n v="58"/>
    <n v="0"/>
    <n v="5"/>
    <n v="0"/>
    <n v="0"/>
    <n v="0"/>
    <n v="5"/>
    <n v="2"/>
    <n v="1"/>
    <n v="0"/>
    <n v="0"/>
    <n v="0"/>
    <n v="0"/>
    <n v="0"/>
    <n v="0"/>
    <n v="0"/>
    <n v="0"/>
    <n v="0"/>
    <n v="0"/>
    <n v="0"/>
    <n v="0"/>
    <n v="0"/>
    <n v="0"/>
    <n v="0"/>
    <n v="0"/>
    <m/>
  </r>
  <r>
    <n v="611"/>
    <d v="2024-07-12T10:16:00"/>
    <d v="2024-07-12T10:18:14"/>
    <s v="mchirwa@lighthouse.org.mw"/>
    <s v="Margaret Chirwa"/>
    <s v="Area_18"/>
    <s v="Prototype"/>
    <x v="1"/>
    <x v="0"/>
    <s v="COP_23"/>
    <s v="Quarter2"/>
    <x v="3"/>
    <s v="Qtr_3"/>
    <x v="7"/>
    <d v="2024-04-01T00:00:00"/>
    <d v="2024-04-30T00:00:00"/>
    <x v="2"/>
    <n v="66"/>
    <n v="0"/>
    <n v="2"/>
    <n v="0"/>
    <n v="2"/>
    <n v="0"/>
    <n v="4"/>
    <n v="1"/>
    <n v="2"/>
    <n v="0"/>
    <n v="0"/>
    <n v="0"/>
    <n v="2"/>
    <n v="1"/>
    <n v="0"/>
    <n v="0"/>
    <n v="0"/>
    <n v="0"/>
    <n v="0"/>
    <n v="0"/>
    <n v="1"/>
    <n v="0"/>
    <n v="0"/>
    <n v="0"/>
    <n v="0"/>
    <m/>
  </r>
  <r>
    <n v="930"/>
    <d v="2024-10-16T09:58:22"/>
    <d v="2024-10-16T10:02:04"/>
    <s v="mchirwa@lighthouse.org.mw"/>
    <s v="Margaret Chirwa"/>
    <s v="Area_18"/>
    <s v="Prototype"/>
    <x v="1"/>
    <x v="0"/>
    <s v="COP_23"/>
    <s v="Quarter3"/>
    <x v="1"/>
    <s v="Qtr_4"/>
    <x v="9"/>
    <d v="2024-07-01T00:00:00"/>
    <d v="2024-07-31T00:00:00"/>
    <x v="2"/>
    <n v="21"/>
    <n v="1"/>
    <n v="15"/>
    <n v="0"/>
    <n v="0"/>
    <n v="0"/>
    <n v="7"/>
    <n v="3"/>
    <n v="4"/>
    <n v="0"/>
    <n v="0"/>
    <n v="0"/>
    <n v="0"/>
    <n v="0"/>
    <n v="0"/>
    <n v="0"/>
    <n v="0"/>
    <n v="0"/>
    <n v="0"/>
    <n v="0"/>
    <n v="0"/>
    <n v="0"/>
    <n v="0"/>
    <n v="0"/>
    <n v="0"/>
    <m/>
  </r>
  <r>
    <n v="944"/>
    <d v="2024-10-16T10:50:30"/>
    <d v="2024-10-16T10:51:08"/>
    <s v="mchirwa@lighthouse.org.mw"/>
    <s v="Margaret Chirwa"/>
    <s v="Area_18"/>
    <s v="Prototype"/>
    <x v="1"/>
    <x v="0"/>
    <s v="COP_23"/>
    <s v="Quarter3"/>
    <x v="1"/>
    <s v="Qtr_4"/>
    <x v="2"/>
    <d v="2024-09-01T00:00:00"/>
    <d v="2024-09-30T00:00:00"/>
    <x v="2"/>
    <n v="23"/>
    <n v="0"/>
    <n v="23"/>
    <n v="0"/>
    <n v="0"/>
    <n v="0"/>
    <n v="3"/>
    <n v="0"/>
    <n v="0"/>
    <n v="0"/>
    <n v="0"/>
    <n v="0"/>
    <n v="0"/>
    <n v="0"/>
    <n v="0"/>
    <n v="0"/>
    <n v="0"/>
    <n v="0"/>
    <n v="0"/>
    <n v="0"/>
    <n v="0"/>
    <n v="0"/>
    <n v="0"/>
    <n v="0"/>
    <n v="0"/>
    <m/>
  </r>
  <r>
    <n v="281"/>
    <d v="2024-04-24T08:32:56"/>
    <d v="2024-04-24T08:34:17"/>
    <s v="mchirwa@lighthouse.org.mw"/>
    <s v="Margaret Chirwa"/>
    <s v="Area_18"/>
    <s v="Prototype"/>
    <x v="1"/>
    <x v="0"/>
    <s v="COP_23"/>
    <s v="Quarter1"/>
    <x v="2"/>
    <s v="Qtr_2"/>
    <x v="4"/>
    <d v="2024-01-01T00:00:00"/>
    <d v="2024-01-31T00:00:00"/>
    <x v="3"/>
    <n v="1"/>
    <n v="0"/>
    <n v="0"/>
    <n v="1"/>
    <n v="0"/>
    <n v="0"/>
    <n v="0"/>
    <n v="0"/>
    <n v="0"/>
    <n v="0"/>
    <n v="0"/>
    <n v="0"/>
    <n v="0"/>
    <n v="0"/>
    <n v="0"/>
    <n v="0"/>
    <n v="0"/>
    <n v="0"/>
    <n v="0"/>
    <n v="0"/>
    <n v="0"/>
    <n v="0"/>
    <n v="0"/>
    <n v="0"/>
    <n v="0"/>
    <m/>
  </r>
  <r>
    <n v="282"/>
    <d v="2024-04-24T08:34:28"/>
    <d v="2024-04-24T08:45:07"/>
    <s v="mchirwa@lighthouse.org.mw"/>
    <s v="Margaret Chirwa"/>
    <s v="Area_18"/>
    <s v="Prototype"/>
    <x v="1"/>
    <x v="0"/>
    <s v="COP_23"/>
    <s v="Quarter1"/>
    <x v="2"/>
    <s v="Qtr_2"/>
    <x v="4"/>
    <d v="2024-01-01T00:00:00"/>
    <d v="2024-01-31T00:00:00"/>
    <x v="4"/>
    <n v="1"/>
    <n v="0"/>
    <n v="0"/>
    <n v="0"/>
    <n v="0"/>
    <n v="1"/>
    <n v="1"/>
    <n v="1"/>
    <n v="1"/>
    <n v="0"/>
    <n v="0"/>
    <n v="0"/>
    <n v="1"/>
    <n v="1"/>
    <n v="0"/>
    <n v="0"/>
    <n v="0"/>
    <n v="0"/>
    <n v="0"/>
    <n v="0"/>
    <n v="1"/>
    <n v="0"/>
    <n v="0"/>
    <n v="0"/>
    <n v="0"/>
    <m/>
  </r>
  <r>
    <n v="283"/>
    <d v="2024-04-24T08:45:13"/>
    <d v="2024-04-24T08:56:35"/>
    <s v="mchirwa@lighthouse.org.mw"/>
    <s v="Margaret Chirwa"/>
    <s v="Area_18"/>
    <s v="Prototype"/>
    <x v="1"/>
    <x v="0"/>
    <s v="COP_23"/>
    <s v="Quarter1"/>
    <x v="2"/>
    <s v="Qtr_2"/>
    <x v="4"/>
    <d v="2024-01-01T00:00:00"/>
    <d v="2024-01-31T00:00:00"/>
    <x v="0"/>
    <n v="43"/>
    <n v="39"/>
    <n v="3"/>
    <n v="0"/>
    <n v="1"/>
    <n v="12"/>
    <n v="4"/>
    <n v="1"/>
    <n v="0"/>
    <n v="0"/>
    <n v="0"/>
    <n v="0"/>
    <n v="2"/>
    <n v="1"/>
    <n v="0"/>
    <n v="0"/>
    <n v="0"/>
    <n v="0"/>
    <n v="0"/>
    <n v="0"/>
    <n v="1"/>
    <n v="0"/>
    <n v="0"/>
    <n v="0"/>
    <n v="1"/>
    <m/>
  </r>
  <r>
    <n v="329"/>
    <d v="2024-04-30T10:22:37"/>
    <d v="2024-04-30T10:22:58"/>
    <s v="mchirwa@lighthouse.org.mw"/>
    <s v="Margaret Chirwa"/>
    <s v="Area_18"/>
    <s v="Prototype"/>
    <x v="1"/>
    <x v="0"/>
    <s v="COP_23"/>
    <s v="Quarter1"/>
    <x v="2"/>
    <s v="Qtr_2"/>
    <x v="5"/>
    <d v="2024-01-01T00:00:00"/>
    <d v="2024-02-29T00:00:00"/>
    <x v="3"/>
    <n v="2"/>
    <n v="0"/>
    <n v="0"/>
    <n v="0"/>
    <n v="0"/>
    <n v="0"/>
    <n v="0"/>
    <n v="0"/>
    <n v="0"/>
    <n v="0"/>
    <n v="0"/>
    <n v="0"/>
    <n v="0"/>
    <n v="0"/>
    <n v="0"/>
    <n v="0"/>
    <n v="0"/>
    <n v="0"/>
    <n v="0"/>
    <n v="0"/>
    <n v="0"/>
    <n v="0"/>
    <n v="0"/>
    <n v="0"/>
    <n v="0"/>
    <m/>
  </r>
  <r>
    <n v="330"/>
    <d v="2024-04-30T10:23:03"/>
    <d v="2024-04-30T10:24:55"/>
    <s v="mchirwa@lighthouse.org.mw"/>
    <s v="Margaret Chirwa"/>
    <s v="Area_18"/>
    <s v="Prototype"/>
    <x v="1"/>
    <x v="0"/>
    <s v="COP_23"/>
    <s v="Quarter1"/>
    <x v="2"/>
    <s v="Qtr_2"/>
    <x v="5"/>
    <d v="2024-02-01T00:00:00"/>
    <d v="2024-02-29T00:00:00"/>
    <x v="4"/>
    <n v="2"/>
    <n v="0"/>
    <n v="1"/>
    <n v="0"/>
    <n v="0"/>
    <n v="0"/>
    <n v="0"/>
    <n v="0"/>
    <n v="0"/>
    <n v="0"/>
    <n v="0"/>
    <n v="0"/>
    <n v="0"/>
    <n v="0"/>
    <n v="0"/>
    <n v="0"/>
    <n v="0"/>
    <n v="0"/>
    <n v="0"/>
    <n v="0"/>
    <n v="0"/>
    <n v="0"/>
    <n v="0"/>
    <n v="0"/>
    <n v="0"/>
    <m/>
  </r>
  <r>
    <n v="331"/>
    <d v="2024-04-30T10:25:03"/>
    <d v="2024-04-30T10:35:15"/>
    <s v="mchirwa@lighthouse.org.mw"/>
    <s v="Margaret Chirwa"/>
    <s v="Area_18"/>
    <s v="Prototype"/>
    <x v="1"/>
    <x v="0"/>
    <s v="COP_23"/>
    <s v="Quarter1"/>
    <x v="2"/>
    <s v="Qtr_2"/>
    <x v="5"/>
    <d v="2024-02-01T00:00:00"/>
    <d v="2024-02-29T00:00:00"/>
    <x v="5"/>
    <n v="0"/>
    <n v="0"/>
    <n v="0"/>
    <n v="0"/>
    <n v="0"/>
    <n v="0"/>
    <n v="0"/>
    <n v="0"/>
    <n v="0"/>
    <n v="0"/>
    <n v="0"/>
    <n v="0"/>
    <n v="0"/>
    <n v="0"/>
    <n v="0"/>
    <n v="0"/>
    <n v="0"/>
    <n v="0"/>
    <n v="0"/>
    <n v="0"/>
    <n v="0"/>
    <n v="0"/>
    <n v="0"/>
    <n v="0"/>
    <n v="0"/>
    <m/>
  </r>
  <r>
    <n v="333"/>
    <d v="2024-04-30T10:44:37"/>
    <d v="2024-04-30T10:54:10"/>
    <s v="mchirwa@lighthouse.org.mw"/>
    <s v="Margaret Chirwa"/>
    <s v="Area_18"/>
    <s v="Prototype"/>
    <x v="1"/>
    <x v="0"/>
    <s v="COP_23"/>
    <s v="Quarter1"/>
    <x v="2"/>
    <s v="Qtr_2"/>
    <x v="5"/>
    <d v="2024-02-01T00:00:00"/>
    <d v="2024-02-29T00:00:00"/>
    <x v="0"/>
    <n v="123"/>
    <n v="2"/>
    <n v="48"/>
    <n v="1"/>
    <n v="0"/>
    <n v="1"/>
    <n v="24"/>
    <n v="3"/>
    <n v="3"/>
    <n v="0"/>
    <n v="0"/>
    <n v="0"/>
    <n v="3"/>
    <n v="1"/>
    <n v="0"/>
    <n v="0"/>
    <n v="0"/>
    <n v="0"/>
    <n v="0"/>
    <n v="0"/>
    <n v="1"/>
    <n v="0"/>
    <n v="0"/>
    <n v="0"/>
    <n v="0"/>
    <m/>
  </r>
  <r>
    <n v="334"/>
    <d v="2024-04-30T10:54:28"/>
    <d v="2024-04-30T10:56:03"/>
    <s v="mchirwa@lighthouse.org.mw"/>
    <s v="Margaret Chirwa"/>
    <s v="Area_18"/>
    <s v="Prototype"/>
    <x v="1"/>
    <x v="0"/>
    <s v="COP_23"/>
    <s v="Quarter1"/>
    <x v="2"/>
    <s v="Qtr_2"/>
    <x v="4"/>
    <d v="2024-01-01T00:00:00"/>
    <d v="2024-01-31T00:00:00"/>
    <x v="5"/>
    <n v="13"/>
    <n v="0"/>
    <n v="0"/>
    <n v="0"/>
    <n v="0"/>
    <n v="0"/>
    <n v="0"/>
    <n v="0"/>
    <n v="0"/>
    <n v="0"/>
    <n v="0"/>
    <n v="0"/>
    <n v="0"/>
    <n v="0"/>
    <n v="0"/>
    <n v="0"/>
    <n v="0"/>
    <n v="0"/>
    <n v="0"/>
    <n v="0"/>
    <n v="0"/>
    <n v="0"/>
    <n v="0"/>
    <n v="0"/>
    <n v="0"/>
    <m/>
  </r>
  <r>
    <n v="336"/>
    <d v="2024-04-30T10:57:31"/>
    <d v="2024-04-30T10:59:25"/>
    <s v="mchirwa@lighthouse.org.mw"/>
    <s v="Margaret Chirwa"/>
    <s v="Area_18"/>
    <s v="Prototype"/>
    <x v="1"/>
    <x v="0"/>
    <s v="COP_23"/>
    <s v="Quarter1"/>
    <x v="2"/>
    <s v="Qtr_2"/>
    <x v="4"/>
    <d v="2024-01-01T00:00:00"/>
    <d v="2024-01-31T00:00:00"/>
    <x v="0"/>
    <n v="120"/>
    <n v="0"/>
    <n v="39"/>
    <n v="3"/>
    <n v="0"/>
    <n v="1"/>
    <n v="12"/>
    <n v="4"/>
    <n v="1"/>
    <n v="0"/>
    <n v="0"/>
    <n v="0"/>
    <n v="2"/>
    <n v="1"/>
    <n v="0"/>
    <n v="0"/>
    <n v="0"/>
    <n v="0"/>
    <n v="0"/>
    <n v="0"/>
    <n v="1"/>
    <n v="0"/>
    <n v="0"/>
    <n v="0"/>
    <n v="1"/>
    <m/>
  </r>
  <r>
    <n v="337"/>
    <d v="2024-04-30T11:25:38"/>
    <d v="2024-04-30T11:26:26"/>
    <s v="mchirwa@lighthouse.org.mw"/>
    <s v="Margaret Chirwa"/>
    <s v="Area_18"/>
    <s v="Prototype"/>
    <x v="1"/>
    <x v="0"/>
    <s v="COP_23"/>
    <s v="Quarter1"/>
    <x v="2"/>
    <s v="Qtr_2"/>
    <x v="3"/>
    <d v="2024-03-01T00:00:00"/>
    <d v="2024-03-31T00:00:00"/>
    <x v="3"/>
    <n v="2"/>
    <n v="0"/>
    <n v="0"/>
    <n v="0"/>
    <n v="0"/>
    <n v="0"/>
    <n v="0"/>
    <n v="0"/>
    <n v="0"/>
    <n v="0"/>
    <n v="0"/>
    <n v="0"/>
    <n v="0"/>
    <n v="0"/>
    <n v="0"/>
    <n v="0"/>
    <n v="0"/>
    <n v="0"/>
    <n v="0"/>
    <n v="0"/>
    <n v="0"/>
    <n v="0"/>
    <n v="0"/>
    <n v="0"/>
    <n v="0"/>
    <m/>
  </r>
  <r>
    <n v="338"/>
    <d v="2024-04-30T11:26:30"/>
    <d v="2024-04-30T11:28:40"/>
    <s v="mchirwa@lighthouse.org.mw"/>
    <s v="Margaret Chirwa"/>
    <s v="Area_18"/>
    <s v="Prototype"/>
    <x v="1"/>
    <x v="0"/>
    <s v="COP_23"/>
    <s v="Quarter1"/>
    <x v="2"/>
    <s v="Qtr_2"/>
    <x v="3"/>
    <d v="2024-03-01T00:00:00"/>
    <d v="2024-03-31T00:00:00"/>
    <x v="4"/>
    <n v="9"/>
    <n v="0"/>
    <n v="0"/>
    <n v="0"/>
    <n v="0"/>
    <n v="0"/>
    <n v="0"/>
    <n v="0"/>
    <n v="0"/>
    <n v="0"/>
    <n v="0"/>
    <n v="0"/>
    <n v="0"/>
    <n v="0"/>
    <n v="0"/>
    <n v="0"/>
    <n v="0"/>
    <n v="0"/>
    <n v="0"/>
    <n v="0"/>
    <n v="0"/>
    <n v="0"/>
    <n v="0"/>
    <n v="0"/>
    <n v="0"/>
    <m/>
  </r>
  <r>
    <n v="339"/>
    <d v="2024-04-30T11:28:43"/>
    <d v="2024-04-30T11:30:51"/>
    <s v="mchirwa@lighthouse.org.mw"/>
    <s v="Margaret Chirwa"/>
    <s v="Area_18"/>
    <s v="Prototype"/>
    <x v="1"/>
    <x v="0"/>
    <s v="COP_23"/>
    <s v="Quarter1"/>
    <x v="2"/>
    <s v="Qtr_2"/>
    <x v="3"/>
    <d v="2024-03-01T00:00:00"/>
    <d v="2024-03-31T00:00:00"/>
    <x v="5"/>
    <n v="22"/>
    <n v="0"/>
    <n v="0"/>
    <n v="0"/>
    <n v="0"/>
    <n v="0"/>
    <n v="0"/>
    <n v="0"/>
    <n v="0"/>
    <n v="0"/>
    <n v="0"/>
    <n v="0"/>
    <n v="0"/>
    <n v="0"/>
    <n v="0"/>
    <n v="0"/>
    <n v="0"/>
    <n v="0"/>
    <n v="0"/>
    <n v="0"/>
    <n v="0"/>
    <n v="0"/>
    <n v="0"/>
    <n v="0"/>
    <n v="0"/>
    <m/>
  </r>
  <r>
    <n v="340"/>
    <d v="2024-04-30T11:31:11"/>
    <d v="2024-04-30T11:32:38"/>
    <s v="mchirwa@lighthouse.org.mw"/>
    <s v="Margaret Chirwa"/>
    <s v="Area_18"/>
    <s v="Prototype"/>
    <x v="1"/>
    <x v="0"/>
    <s v="COP_23"/>
    <s v="Quarter1"/>
    <x v="2"/>
    <s v="Qtr_2"/>
    <x v="3"/>
    <d v="2024-03-01T00:00:00"/>
    <d v="2024-03-31T00:00:00"/>
    <x v="0"/>
    <n v="113"/>
    <n v="1"/>
    <n v="21"/>
    <n v="0"/>
    <n v="1"/>
    <n v="0"/>
    <n v="3"/>
    <n v="0"/>
    <n v="2"/>
    <n v="0"/>
    <n v="0"/>
    <n v="0"/>
    <n v="2"/>
    <n v="0"/>
    <n v="0"/>
    <n v="0"/>
    <n v="2"/>
    <n v="1"/>
    <n v="0"/>
    <n v="0"/>
    <n v="1"/>
    <n v="0"/>
    <n v="0"/>
    <n v="0"/>
    <n v="1"/>
    <m/>
  </r>
  <r>
    <n v="595"/>
    <d v="2024-07-11T10:23:46"/>
    <d v="2024-07-11T10:25:56"/>
    <s v="mchirwa@lighthouse.org.mw"/>
    <s v="Margaret Chirwa"/>
    <s v="Area_18"/>
    <s v="Prototype"/>
    <x v="1"/>
    <x v="0"/>
    <s v="COP_23"/>
    <s v="Quarter2"/>
    <x v="3"/>
    <s v="Qtr_3"/>
    <x v="8"/>
    <d v="2024-07-01T00:00:00"/>
    <d v="2024-06-30T00:00:00"/>
    <x v="0"/>
    <n v="31"/>
    <n v="0"/>
    <n v="28"/>
    <n v="3"/>
    <n v="0"/>
    <n v="0"/>
    <n v="29"/>
    <n v="4"/>
    <n v="4"/>
    <n v="0"/>
    <n v="0"/>
    <n v="0"/>
    <n v="1"/>
    <n v="0"/>
    <n v="0"/>
    <n v="0"/>
    <n v="0"/>
    <n v="0"/>
    <n v="0"/>
    <n v="0"/>
    <n v="0"/>
    <n v="0"/>
    <n v="0"/>
    <n v="0"/>
    <n v="0"/>
    <m/>
  </r>
  <r>
    <n v="596"/>
    <d v="2024-07-12T08:19:26"/>
    <d v="2024-07-12T08:30:34"/>
    <s v="mchirwa@lighthouse.org.mw"/>
    <s v="Margaret Chirwa"/>
    <s v="Area_18"/>
    <s v="Prototype"/>
    <x v="1"/>
    <x v="0"/>
    <s v="COP_23"/>
    <s v="Quarter2"/>
    <x v="3"/>
    <s v="Qtr_3"/>
    <x v="8"/>
    <d v="2024-06-01T00:00:00"/>
    <d v="2024-06-30T00:00:00"/>
    <x v="5"/>
    <n v="12"/>
    <n v="0"/>
    <n v="0"/>
    <n v="0"/>
    <n v="0"/>
    <n v="0"/>
    <n v="0"/>
    <n v="0"/>
    <n v="0"/>
    <n v="0"/>
    <n v="0"/>
    <n v="0"/>
    <n v="0"/>
    <n v="0"/>
    <n v="0"/>
    <n v="0"/>
    <n v="0"/>
    <n v="0"/>
    <n v="0"/>
    <n v="0"/>
    <n v="0"/>
    <n v="0"/>
    <n v="0"/>
    <n v="0"/>
    <n v="0"/>
    <m/>
  </r>
  <r>
    <n v="597"/>
    <d v="2024-07-12T08:31:19"/>
    <d v="2024-07-12T08:33:14"/>
    <s v="mchirwa@lighthouse.org.mw"/>
    <s v="Margaret Chirwa"/>
    <s v="Area_18"/>
    <s v="Prototype"/>
    <x v="1"/>
    <x v="0"/>
    <s v="COP_23"/>
    <s v="Quarter2"/>
    <x v="3"/>
    <s v="Qtr_3"/>
    <x v="8"/>
    <d v="2024-06-01T00:00:00"/>
    <d v="2024-06-30T00:00:00"/>
    <x v="4"/>
    <n v="3"/>
    <n v="0"/>
    <n v="0"/>
    <n v="0"/>
    <n v="0"/>
    <n v="0"/>
    <n v="0"/>
    <n v="0"/>
    <n v="0"/>
    <n v="0"/>
    <n v="0"/>
    <n v="0"/>
    <n v="0"/>
    <n v="0"/>
    <n v="0"/>
    <n v="0"/>
    <n v="0"/>
    <n v="0"/>
    <n v="0"/>
    <n v="0"/>
    <n v="0"/>
    <n v="0"/>
    <n v="0"/>
    <n v="0"/>
    <n v="0"/>
    <m/>
  </r>
  <r>
    <n v="598"/>
    <d v="2024-07-12T08:33:18"/>
    <d v="2024-07-12T08:34:16"/>
    <s v="mchirwa@lighthouse.org.mw"/>
    <s v="Margaret Chirwa"/>
    <s v="Area_18"/>
    <s v="Prototype"/>
    <x v="1"/>
    <x v="0"/>
    <s v="COP_23"/>
    <s v="Quarter2"/>
    <x v="3"/>
    <s v="Qtr_3"/>
    <x v="8"/>
    <d v="2024-06-01T00:00:00"/>
    <d v="2024-06-30T00:00:00"/>
    <x v="3"/>
    <n v="2"/>
    <n v="0"/>
    <n v="0"/>
    <n v="2"/>
    <n v="0"/>
    <n v="0"/>
    <n v="0"/>
    <n v="0"/>
    <n v="0"/>
    <n v="0"/>
    <n v="0"/>
    <n v="0"/>
    <n v="0"/>
    <n v="0"/>
    <n v="0"/>
    <n v="0"/>
    <n v="0"/>
    <n v="0"/>
    <n v="0"/>
    <n v="0"/>
    <n v="0"/>
    <n v="0"/>
    <n v="0"/>
    <n v="0"/>
    <n v="0"/>
    <m/>
  </r>
  <r>
    <n v="600"/>
    <d v="2024-07-12T09:07:11"/>
    <d v="2024-07-12T09:11:37"/>
    <s v="mchirwa@lighthouse.org.mw"/>
    <s v="Margaret Chirwa"/>
    <s v="Area_18"/>
    <s v="Prototype"/>
    <x v="1"/>
    <x v="0"/>
    <s v="COP_23"/>
    <s v="Quarter2"/>
    <x v="3"/>
    <s v="Qtr_3"/>
    <x v="6"/>
    <d v="2024-05-01T00:00:00"/>
    <d v="2024-05-31T00:00:00"/>
    <x v="3"/>
    <n v="1"/>
    <n v="0"/>
    <n v="0"/>
    <n v="0"/>
    <n v="0"/>
    <n v="0"/>
    <n v="0"/>
    <n v="0"/>
    <n v="0"/>
    <n v="0"/>
    <n v="0"/>
    <n v="0"/>
    <n v="0"/>
    <n v="0"/>
    <n v="0"/>
    <n v="0"/>
    <n v="0"/>
    <n v="0"/>
    <n v="0"/>
    <n v="0"/>
    <n v="0"/>
    <n v="0"/>
    <n v="0"/>
    <n v="0"/>
    <n v="0"/>
    <m/>
  </r>
  <r>
    <n v="601"/>
    <d v="2024-07-12T09:11:44"/>
    <d v="2024-07-12T09:13:50"/>
    <s v="mchirwa@lighthouse.org.mw"/>
    <s v="Margaret Chirwa"/>
    <s v="Area_18"/>
    <s v="Prototype"/>
    <x v="1"/>
    <x v="0"/>
    <s v="COP_23"/>
    <s v="Quarter2"/>
    <x v="3"/>
    <s v="Qtr_3"/>
    <x v="6"/>
    <d v="2024-05-01T00:00:00"/>
    <d v="2024-05-31T00:00:00"/>
    <x v="4"/>
    <n v="2"/>
    <n v="0"/>
    <n v="0"/>
    <n v="0"/>
    <n v="0"/>
    <n v="0"/>
    <n v="0"/>
    <n v="0"/>
    <n v="0"/>
    <n v="0"/>
    <n v="0"/>
    <n v="0"/>
    <n v="0"/>
    <n v="0"/>
    <n v="0"/>
    <n v="0"/>
    <n v="0"/>
    <n v="0"/>
    <n v="0"/>
    <n v="0"/>
    <n v="0"/>
    <n v="0"/>
    <n v="0"/>
    <n v="0"/>
    <n v="0"/>
    <m/>
  </r>
  <r>
    <n v="602"/>
    <d v="2024-07-12T09:14:06"/>
    <d v="2024-07-12T09:16:46"/>
    <s v="mchirwa@lighthouse.org.mw"/>
    <s v="Margaret Chirwa"/>
    <s v="Area_18"/>
    <s v="Prototype"/>
    <x v="1"/>
    <x v="0"/>
    <s v="COP_23"/>
    <s v="Quarter2"/>
    <x v="3"/>
    <s v="Qtr_3"/>
    <x v="6"/>
    <d v="2024-05-01T00:00:00"/>
    <d v="2024-05-31T00:00:00"/>
    <x v="5"/>
    <n v="7"/>
    <n v="0"/>
    <n v="0"/>
    <n v="0"/>
    <n v="0"/>
    <n v="0"/>
    <n v="0"/>
    <n v="0"/>
    <n v="0"/>
    <n v="0"/>
    <n v="0"/>
    <n v="0"/>
    <n v="0"/>
    <n v="0"/>
    <n v="0"/>
    <n v="0"/>
    <n v="0"/>
    <n v="0"/>
    <n v="0"/>
    <n v="0"/>
    <n v="0"/>
    <n v="0"/>
    <n v="0"/>
    <n v="0"/>
    <n v="0"/>
    <m/>
  </r>
  <r>
    <n v="604"/>
    <d v="2024-07-12T09:21:26"/>
    <d v="2024-07-12T09:22:21"/>
    <s v="mchirwa@lighthouse.org.mw"/>
    <s v="Margaret Chirwa"/>
    <s v="Area_18"/>
    <s v="Prototype"/>
    <x v="1"/>
    <x v="0"/>
    <s v="COP_23"/>
    <s v="Quarter2"/>
    <x v="3"/>
    <s v="Qtr_3"/>
    <x v="6"/>
    <d v="2024-05-01T00:00:00"/>
    <d v="2024-05-31T00:00:00"/>
    <x v="6"/>
    <n v="0"/>
    <n v="0"/>
    <n v="0"/>
    <n v="0"/>
    <n v="0"/>
    <n v="0"/>
    <n v="0"/>
    <n v="0"/>
    <n v="0"/>
    <n v="0"/>
    <n v="0"/>
    <n v="0"/>
    <n v="0"/>
    <n v="0"/>
    <n v="0"/>
    <n v="0"/>
    <n v="0"/>
    <n v="0"/>
    <n v="0"/>
    <n v="0"/>
    <n v="0"/>
    <n v="0"/>
    <n v="0"/>
    <n v="0"/>
    <n v="0"/>
    <m/>
  </r>
  <r>
    <n v="605"/>
    <d v="2024-07-12T09:23:19"/>
    <d v="2024-07-12T09:24:20"/>
    <s v="mchirwa@lighthouse.org.mw"/>
    <s v="Margaret Chirwa"/>
    <s v="Area_18"/>
    <s v="Prototype"/>
    <x v="1"/>
    <x v="0"/>
    <s v="COP_23"/>
    <s v="Quarter2"/>
    <x v="3"/>
    <s v="Qtr_3"/>
    <x v="6"/>
    <d v="2024-05-01T00:00:00"/>
    <d v="2024-05-31T00:00:00"/>
    <x v="0"/>
    <n v="42"/>
    <n v="0"/>
    <n v="42"/>
    <n v="0"/>
    <n v="0"/>
    <n v="0"/>
    <n v="23"/>
    <n v="2"/>
    <n v="1"/>
    <n v="0"/>
    <n v="0"/>
    <n v="0"/>
    <n v="0"/>
    <n v="0"/>
    <n v="0"/>
    <n v="0"/>
    <n v="0"/>
    <n v="0"/>
    <n v="0"/>
    <n v="0"/>
    <n v="0"/>
    <n v="0"/>
    <n v="0"/>
    <n v="0"/>
    <n v="0"/>
    <m/>
  </r>
  <r>
    <n v="607"/>
    <d v="2024-07-12T09:28:21"/>
    <d v="2024-07-12T10:03:39"/>
    <s v="mchirwa@lighthouse.org.mw"/>
    <s v="Margaret Chirwa"/>
    <s v="Area_18"/>
    <s v="Prototype"/>
    <x v="1"/>
    <x v="0"/>
    <s v="COP_23"/>
    <s v="Quarter2"/>
    <x v="3"/>
    <s v="Qtr_3"/>
    <x v="7"/>
    <d v="2024-05-01T00:00:00"/>
    <d v="2024-05-31T00:00:00"/>
    <x v="3"/>
    <n v="1"/>
    <n v="0"/>
    <n v="0"/>
    <n v="0"/>
    <n v="1"/>
    <n v="0"/>
    <n v="0"/>
    <n v="0"/>
    <n v="0"/>
    <n v="0"/>
    <n v="0"/>
    <n v="0"/>
    <n v="0"/>
    <n v="0"/>
    <n v="0"/>
    <n v="0"/>
    <n v="0"/>
    <n v="0"/>
    <n v="0"/>
    <n v="0"/>
    <n v="0"/>
    <n v="0"/>
    <n v="0"/>
    <n v="0"/>
    <n v="0"/>
    <m/>
  </r>
  <r>
    <n v="608"/>
    <d v="2024-07-12T10:03:50"/>
    <d v="2024-07-12T10:06:31"/>
    <s v="mchirwa@lighthouse.org.mw"/>
    <s v="Margaret Chirwa"/>
    <s v="Area_18"/>
    <s v="Prototype"/>
    <x v="1"/>
    <x v="0"/>
    <s v="COP_23"/>
    <s v="Quarter2"/>
    <x v="3"/>
    <s v="Qtr_3"/>
    <x v="7"/>
    <d v="2024-04-01T00:00:00"/>
    <d v="2024-04-30T00:00:00"/>
    <x v="4"/>
    <n v="3"/>
    <n v="0"/>
    <n v="0"/>
    <n v="0"/>
    <n v="0"/>
    <n v="0"/>
    <n v="0"/>
    <n v="0"/>
    <n v="0"/>
    <n v="0"/>
    <n v="0"/>
    <n v="0"/>
    <n v="0"/>
    <n v="0"/>
    <n v="0"/>
    <n v="0"/>
    <n v="0"/>
    <n v="0"/>
    <n v="0"/>
    <n v="0"/>
    <n v="0"/>
    <n v="0"/>
    <n v="0"/>
    <n v="0"/>
    <n v="0"/>
    <m/>
  </r>
  <r>
    <n v="610"/>
    <d v="2024-07-12T10:13:55"/>
    <d v="2024-07-12T10:15:56"/>
    <s v="mchirwa@lighthouse.org.mw"/>
    <s v="Margaret Chirwa"/>
    <s v="Area_18"/>
    <s v="Prototype"/>
    <x v="1"/>
    <x v="0"/>
    <s v="COP_23"/>
    <s v="Quarter2"/>
    <x v="3"/>
    <s v="Qtr_3"/>
    <x v="7"/>
    <d v="2024-04-01T00:00:00"/>
    <d v="2024-04-30T00:00:00"/>
    <x v="5"/>
    <n v="4"/>
    <n v="0"/>
    <n v="1"/>
    <n v="0"/>
    <n v="1"/>
    <n v="0"/>
    <n v="2"/>
    <n v="1"/>
    <n v="2"/>
    <n v="1"/>
    <n v="0"/>
    <n v="0"/>
    <n v="2"/>
    <n v="1"/>
    <n v="0"/>
    <n v="0"/>
    <n v="0"/>
    <n v="0"/>
    <n v="0"/>
    <n v="0"/>
    <n v="1"/>
    <n v="0"/>
    <n v="0"/>
    <n v="0"/>
    <n v="0"/>
    <m/>
  </r>
  <r>
    <n v="612"/>
    <d v="2024-07-12T10:18:56"/>
    <d v="2024-07-12T10:19:45"/>
    <s v="mchirwa@lighthouse.org.mw"/>
    <s v="Margaret Chirwa"/>
    <s v="Area_18"/>
    <s v="Prototype"/>
    <x v="1"/>
    <x v="0"/>
    <s v="COP_23"/>
    <s v="Quarter2"/>
    <x v="3"/>
    <s v="Qtr_3"/>
    <x v="7"/>
    <d v="2024-04-01T00:00:00"/>
    <d v="2024-04-30T00:00:00"/>
    <x v="6"/>
    <n v="0"/>
    <n v="0"/>
    <n v="0"/>
    <n v="0"/>
    <n v="0"/>
    <n v="0"/>
    <n v="0"/>
    <n v="0"/>
    <n v="0"/>
    <n v="0"/>
    <n v="0"/>
    <n v="0"/>
    <n v="0"/>
    <n v="0"/>
    <n v="0"/>
    <n v="0"/>
    <n v="0"/>
    <n v="0"/>
    <n v="0"/>
    <n v="0"/>
    <n v="0"/>
    <n v="0"/>
    <n v="0"/>
    <n v="0"/>
    <n v="0"/>
    <m/>
  </r>
  <r>
    <n v="769"/>
    <d v="2024-08-19T10:24:28"/>
    <d v="2024-08-19T10:33:16"/>
    <s v="mchirwa@lighthouse.org.mw"/>
    <s v="Margaret Chirwa"/>
    <s v="Area_18"/>
    <s v="Prototype"/>
    <x v="1"/>
    <x v="0"/>
    <s v="COP_23"/>
    <s v="Quarter2"/>
    <x v="3"/>
    <s v="Qtr_3"/>
    <x v="7"/>
    <d v="2024-04-01T00:00:00"/>
    <d v="2024-04-30T00:00:00"/>
    <x v="0"/>
    <n v="62"/>
    <n v="0"/>
    <n v="59"/>
    <n v="0"/>
    <n v="3"/>
    <n v="0"/>
    <n v="34"/>
    <n v="10"/>
    <n v="0"/>
    <n v="12"/>
    <n v="0"/>
    <n v="0"/>
    <n v="15"/>
    <n v="3"/>
    <n v="0"/>
    <n v="0"/>
    <n v="0"/>
    <n v="0"/>
    <n v="0"/>
    <n v="0"/>
    <n v="3"/>
    <n v="0"/>
    <n v="0"/>
    <n v="0"/>
    <n v="0"/>
    <m/>
  </r>
  <r>
    <n v="927"/>
    <d v="2024-10-16T09:53:57"/>
    <d v="2024-10-16T09:55:15"/>
    <s v="mchirwa@lighthouse.org.mw"/>
    <s v="Margaret Chirwa"/>
    <s v="Area_18"/>
    <s v="Prototype"/>
    <x v="1"/>
    <x v="0"/>
    <s v="COP_23"/>
    <s v="Quarter3"/>
    <x v="1"/>
    <s v="Qtr_4"/>
    <x v="9"/>
    <d v="2024-07-01T00:00:00"/>
    <d v="2024-07-31T00:00:00"/>
    <x v="3"/>
    <n v="0"/>
    <n v="0"/>
    <n v="0"/>
    <n v="0"/>
    <n v="0"/>
    <n v="0"/>
    <n v="0"/>
    <n v="0"/>
    <n v="0"/>
    <n v="0"/>
    <n v="0"/>
    <n v="0"/>
    <n v="0"/>
    <n v="0"/>
    <n v="0"/>
    <n v="0"/>
    <n v="0"/>
    <n v="0"/>
    <n v="0"/>
    <n v="0"/>
    <n v="0"/>
    <n v="0"/>
    <n v="0"/>
    <n v="0"/>
    <n v="0"/>
    <m/>
  </r>
  <r>
    <n v="928"/>
    <d v="2024-10-16T09:55:18"/>
    <d v="2024-10-16T09:56:27"/>
    <s v="mchirwa@lighthouse.org.mw"/>
    <s v="Margaret Chirwa"/>
    <s v="Area_18"/>
    <s v="Prototype"/>
    <x v="1"/>
    <x v="0"/>
    <s v="COP_23"/>
    <s v="Quarter3"/>
    <x v="1"/>
    <s v="Qtr_4"/>
    <x v="9"/>
    <d v="2024-07-01T00:00:00"/>
    <d v="2024-07-31T00:00:00"/>
    <x v="4"/>
    <n v="3"/>
    <n v="0"/>
    <n v="0"/>
    <n v="0"/>
    <n v="0"/>
    <n v="0"/>
    <n v="0"/>
    <n v="0"/>
    <n v="0"/>
    <n v="0"/>
    <n v="0"/>
    <n v="0"/>
    <n v="0"/>
    <n v="0"/>
    <n v="0"/>
    <n v="0"/>
    <n v="0"/>
    <n v="0"/>
    <n v="0"/>
    <n v="0"/>
    <n v="0"/>
    <n v="0"/>
    <n v="0"/>
    <n v="0"/>
    <n v="0"/>
    <m/>
  </r>
  <r>
    <n v="929"/>
    <d v="2024-10-16T09:56:34"/>
    <d v="2024-10-16T09:58:10"/>
    <s v="mchirwa@lighthouse.org.mw"/>
    <s v="Margaret Chirwa"/>
    <s v="Area_18"/>
    <s v="Prototype"/>
    <x v="1"/>
    <x v="0"/>
    <s v="COP_23"/>
    <s v="Quarter3"/>
    <x v="1"/>
    <s v="Qtr_4"/>
    <x v="9"/>
    <d v="2024-07-01T00:00:00"/>
    <d v="2024-07-31T00:00:00"/>
    <x v="5"/>
    <n v="29"/>
    <n v="0"/>
    <n v="4"/>
    <n v="0"/>
    <n v="0"/>
    <n v="0"/>
    <n v="1"/>
    <n v="0"/>
    <n v="1"/>
    <n v="0"/>
    <n v="0"/>
    <n v="0"/>
    <n v="0"/>
    <n v="0"/>
    <n v="0"/>
    <n v="0"/>
    <n v="0"/>
    <n v="0"/>
    <n v="0"/>
    <n v="0"/>
    <n v="0"/>
    <n v="0"/>
    <n v="0"/>
    <n v="0"/>
    <n v="0"/>
    <m/>
  </r>
  <r>
    <n v="931"/>
    <d v="2024-10-16T10:02:10"/>
    <d v="2024-10-16T10:03:03"/>
    <s v="mchirwa@lighthouse.org.mw"/>
    <s v="Margaret Chirwa"/>
    <s v="Area_18"/>
    <s v="Prototype"/>
    <x v="1"/>
    <x v="0"/>
    <s v="COP_23"/>
    <s v="Quarter3"/>
    <x v="1"/>
    <s v="Qtr_4"/>
    <x v="9"/>
    <d v="2024-07-01T00:00:00"/>
    <d v="2024-07-31T00:00:00"/>
    <x v="6"/>
    <n v="0"/>
    <n v="0"/>
    <n v="0"/>
    <n v="0"/>
    <n v="0"/>
    <n v="0"/>
    <n v="0"/>
    <n v="0"/>
    <n v="0"/>
    <n v="0"/>
    <n v="0"/>
    <n v="0"/>
    <n v="0"/>
    <n v="0"/>
    <n v="0"/>
    <n v="0"/>
    <n v="0"/>
    <n v="0"/>
    <n v="0"/>
    <n v="0"/>
    <n v="0"/>
    <n v="0"/>
    <n v="0"/>
    <n v="0"/>
    <n v="0"/>
    <m/>
  </r>
  <r>
    <n v="932"/>
    <d v="2024-10-16T10:03:13"/>
    <d v="2024-10-16T10:06:06"/>
    <s v="mchirwa@lighthouse.org.mw"/>
    <s v="Margaret Chirwa"/>
    <s v="Area_18"/>
    <s v="Prototype"/>
    <x v="1"/>
    <x v="0"/>
    <s v="COP_23"/>
    <s v="Quarter3"/>
    <x v="1"/>
    <s v="Qtr_4"/>
    <x v="9"/>
    <d v="2024-07-01T00:00:00"/>
    <d v="2024-07-31T00:00:00"/>
    <x v="0"/>
    <n v="67"/>
    <n v="3"/>
    <n v="63"/>
    <n v="2"/>
    <n v="2"/>
    <n v="0"/>
    <n v="42"/>
    <n v="5"/>
    <n v="7"/>
    <n v="0"/>
    <n v="1"/>
    <n v="0"/>
    <n v="1"/>
    <n v="0"/>
    <n v="0"/>
    <n v="0"/>
    <n v="0"/>
    <n v="0"/>
    <n v="0"/>
    <n v="0"/>
    <n v="0"/>
    <n v="0"/>
    <n v="0"/>
    <n v="0"/>
    <n v="0"/>
    <m/>
  </r>
  <r>
    <n v="934"/>
    <d v="2024-10-16T10:08:22"/>
    <d v="2024-10-16T10:09:29"/>
    <s v="mchirwa@lighthouse.org.mw"/>
    <s v="Margaret Chirwa"/>
    <s v="Area_18"/>
    <s v="Prototype"/>
    <x v="1"/>
    <x v="0"/>
    <s v="COP_23"/>
    <s v="Quarter3"/>
    <x v="1"/>
    <s v="Qtr_4"/>
    <x v="10"/>
    <d v="2024-08-01T00:00:00"/>
    <d v="2024-08-31T00:00:00"/>
    <x v="3"/>
    <n v="2"/>
    <n v="0"/>
    <n v="1"/>
    <n v="0"/>
    <n v="0"/>
    <n v="0"/>
    <n v="0"/>
    <n v="0"/>
    <n v="0"/>
    <n v="0"/>
    <n v="0"/>
    <n v="0"/>
    <n v="0"/>
    <n v="0"/>
    <n v="0"/>
    <n v="0"/>
    <n v="0"/>
    <n v="0"/>
    <n v="0"/>
    <n v="0"/>
    <n v="0"/>
    <n v="0"/>
    <n v="0"/>
    <n v="0"/>
    <n v="0"/>
    <m/>
  </r>
  <r>
    <n v="935"/>
    <d v="2024-10-16T10:09:31"/>
    <d v="2024-10-16T10:10:41"/>
    <s v="mchirwa@lighthouse.org.mw"/>
    <s v="Margaret Chirwa"/>
    <s v="Area_18"/>
    <s v="Prototype"/>
    <x v="1"/>
    <x v="0"/>
    <s v="COP_23"/>
    <s v="Quarter3"/>
    <x v="1"/>
    <s v="Qtr_4"/>
    <x v="10"/>
    <d v="2024-08-01T00:00:00"/>
    <d v="2024-08-31T00:00:00"/>
    <x v="4"/>
    <n v="2"/>
    <n v="0"/>
    <n v="0"/>
    <n v="0"/>
    <n v="0"/>
    <n v="0"/>
    <n v="0"/>
    <n v="0"/>
    <n v="0"/>
    <n v="0"/>
    <n v="0"/>
    <n v="0"/>
    <n v="0"/>
    <n v="0"/>
    <n v="0"/>
    <n v="0"/>
    <n v="0"/>
    <n v="0"/>
    <n v="0"/>
    <n v="0"/>
    <n v="0"/>
    <n v="0"/>
    <n v="0"/>
    <n v="0"/>
    <n v="0"/>
    <m/>
  </r>
  <r>
    <n v="936"/>
    <d v="2024-10-16T10:11:26"/>
    <d v="2024-10-16T10:14:05"/>
    <s v="mchirwa@lighthouse.org.mw"/>
    <s v="Margaret Chirwa"/>
    <s v="Area_18"/>
    <s v="Prototype"/>
    <x v="1"/>
    <x v="0"/>
    <s v="COP_23"/>
    <s v="Quarter3"/>
    <x v="1"/>
    <s v="Qtr_4"/>
    <x v="10"/>
    <d v="2024-08-01T00:00:00"/>
    <d v="2024-08-31T00:00:00"/>
    <x v="5"/>
    <n v="23"/>
    <n v="1"/>
    <n v="7"/>
    <n v="0"/>
    <n v="1"/>
    <n v="0"/>
    <n v="8"/>
    <n v="2"/>
    <n v="2"/>
    <n v="0"/>
    <n v="0"/>
    <n v="0"/>
    <n v="0"/>
    <n v="0"/>
    <n v="0"/>
    <n v="0"/>
    <n v="0"/>
    <n v="0"/>
    <n v="0"/>
    <n v="0"/>
    <n v="0"/>
    <n v="0"/>
    <n v="0"/>
    <n v="0"/>
    <n v="0"/>
    <m/>
  </r>
  <r>
    <n v="937"/>
    <d v="2024-10-16T10:14:08"/>
    <d v="2024-10-16T10:16:10"/>
    <s v="mchirwa@lighthouse.org.mw"/>
    <s v="Margaret Chirwa"/>
    <s v="Area_18"/>
    <s v="Prototype"/>
    <x v="1"/>
    <x v="0"/>
    <s v="COP_23"/>
    <s v="Quarter3"/>
    <x v="1"/>
    <s v="Qtr_4"/>
    <x v="10"/>
    <d v="2024-08-01T00:00:00"/>
    <d v="2024-08-31T00:00:00"/>
    <x v="6"/>
    <n v="11"/>
    <n v="0"/>
    <n v="3"/>
    <n v="0"/>
    <n v="0"/>
    <n v="0"/>
    <n v="3"/>
    <n v="0"/>
    <n v="0"/>
    <n v="0"/>
    <n v="0"/>
    <n v="0"/>
    <n v="1"/>
    <n v="0"/>
    <n v="0"/>
    <n v="0"/>
    <n v="0"/>
    <n v="0"/>
    <n v="0"/>
    <n v="0"/>
    <n v="0"/>
    <n v="0"/>
    <n v="0"/>
    <n v="0"/>
    <n v="0"/>
    <m/>
  </r>
  <r>
    <n v="938"/>
    <d v="2024-10-16T10:16:43"/>
    <d v="2024-10-16T10:17:47"/>
    <s v="mchirwa@lighthouse.org.mw"/>
    <s v="Margaret Chirwa"/>
    <s v="Area_18"/>
    <s v="Prototype"/>
    <x v="1"/>
    <x v="0"/>
    <s v="COP_23"/>
    <s v="Quarter3"/>
    <x v="1"/>
    <s v="Qtr_4"/>
    <x v="10"/>
    <d v="2024-08-01T00:00:00"/>
    <d v="2024-08-31T00:00:00"/>
    <x v="6"/>
    <n v="0"/>
    <n v="0"/>
    <n v="0"/>
    <n v="0"/>
    <n v="0"/>
    <n v="0"/>
    <n v="0"/>
    <n v="0"/>
    <n v="0"/>
    <n v="0"/>
    <n v="0"/>
    <n v="0"/>
    <n v="0"/>
    <n v="0"/>
    <n v="0"/>
    <n v="0"/>
    <n v="0"/>
    <n v="0"/>
    <n v="0"/>
    <n v="0"/>
    <n v="0"/>
    <n v="0"/>
    <n v="0"/>
    <n v="0"/>
    <n v="0"/>
    <m/>
  </r>
  <r>
    <n v="939"/>
    <d v="2024-10-16T10:17:55"/>
    <d v="2024-10-16T10:19:07"/>
    <s v="mchirwa@lighthouse.org.mw"/>
    <s v="Margaret Chirwa"/>
    <s v="Area_18"/>
    <s v="Prototype"/>
    <x v="1"/>
    <x v="0"/>
    <s v="COP_23"/>
    <s v="Quarter3"/>
    <x v="1"/>
    <s v="Qtr_4"/>
    <x v="10"/>
    <d v="2024-08-01T00:00:00"/>
    <d v="2024-08-31T00:00:00"/>
    <x v="0"/>
    <n v="55"/>
    <n v="1"/>
    <n v="53"/>
    <n v="0"/>
    <n v="1"/>
    <n v="1"/>
    <n v="51"/>
    <n v="11"/>
    <n v="7"/>
    <n v="0"/>
    <n v="0"/>
    <n v="0"/>
    <n v="1"/>
    <n v="0"/>
    <n v="0"/>
    <n v="0"/>
    <n v="0"/>
    <n v="0"/>
    <n v="0"/>
    <n v="0"/>
    <n v="0"/>
    <n v="0"/>
    <n v="0"/>
    <n v="0"/>
    <n v="0"/>
    <m/>
  </r>
  <r>
    <n v="941"/>
    <d v="2024-10-16T10:30:05"/>
    <d v="2024-10-16T10:38:08"/>
    <s v="mchirwa@lighthouse.org.mw"/>
    <s v="Margaret Chirwa"/>
    <s v="Area_18"/>
    <s v="Prototype"/>
    <x v="1"/>
    <x v="0"/>
    <s v="COP_23"/>
    <s v="Quarter3"/>
    <x v="1"/>
    <s v="Qtr_4"/>
    <x v="2"/>
    <d v="2024-09-01T00:00:00"/>
    <d v="2024-09-30T00:00:00"/>
    <x v="3"/>
    <n v="1"/>
    <n v="0"/>
    <n v="1"/>
    <n v="0"/>
    <n v="0"/>
    <n v="0"/>
    <n v="0"/>
    <n v="0"/>
    <n v="0"/>
    <n v="0"/>
    <n v="0"/>
    <n v="0"/>
    <n v="0"/>
    <n v="0"/>
    <n v="0"/>
    <n v="0"/>
    <n v="0"/>
    <n v="0"/>
    <n v="0"/>
    <n v="0"/>
    <n v="0"/>
    <n v="0"/>
    <n v="0"/>
    <n v="0"/>
    <n v="0"/>
    <m/>
  </r>
  <r>
    <n v="942"/>
    <d v="2024-10-16T10:38:12"/>
    <d v="2024-10-16T10:41:08"/>
    <s v="mchirwa@lighthouse.org.mw"/>
    <s v="Margaret Chirwa"/>
    <s v="Area_18"/>
    <s v="Prototype"/>
    <x v="1"/>
    <x v="0"/>
    <s v="COP_23"/>
    <s v="Quarter3"/>
    <x v="1"/>
    <s v="Qtr_4"/>
    <x v="2"/>
    <d v="2024-09-01T00:00:00"/>
    <d v="2024-09-30T00:00:00"/>
    <x v="4"/>
    <n v="2"/>
    <n v="0"/>
    <n v="2"/>
    <n v="0"/>
    <n v="0"/>
    <n v="0"/>
    <n v="2"/>
    <n v="0"/>
    <n v="1"/>
    <n v="0"/>
    <n v="0"/>
    <n v="0"/>
    <n v="1"/>
    <n v="0"/>
    <n v="0"/>
    <n v="0"/>
    <n v="0"/>
    <n v="0"/>
    <n v="0"/>
    <n v="0"/>
    <n v="0"/>
    <n v="0"/>
    <n v="0"/>
    <n v="0"/>
    <n v="0"/>
    <m/>
  </r>
  <r>
    <n v="943"/>
    <d v="2024-10-16T10:41:31"/>
    <d v="2024-10-16T10:42:34"/>
    <s v="mchirwa@lighthouse.org.mw"/>
    <s v="Margaret Chirwa"/>
    <s v="Area_18"/>
    <s v="Prototype"/>
    <x v="1"/>
    <x v="0"/>
    <s v="COP_23"/>
    <s v="Quarter3"/>
    <x v="1"/>
    <s v="Qtr_4"/>
    <x v="2"/>
    <d v="2024-09-01T00:00:00"/>
    <d v="2024-09-30T00:00:00"/>
    <x v="5"/>
    <n v="6"/>
    <n v="0"/>
    <n v="1"/>
    <n v="0"/>
    <n v="0"/>
    <n v="0"/>
    <n v="1"/>
    <n v="0"/>
    <n v="0"/>
    <n v="0"/>
    <n v="0"/>
    <n v="0"/>
    <n v="0"/>
    <n v="0"/>
    <n v="0"/>
    <n v="0"/>
    <n v="0"/>
    <n v="0"/>
    <n v="0"/>
    <n v="0"/>
    <n v="0"/>
    <n v="0"/>
    <n v="0"/>
    <n v="0"/>
    <n v="0"/>
    <m/>
  </r>
  <r>
    <n v="945"/>
    <d v="2024-10-16T10:51:11"/>
    <d v="2024-10-16T10:52:17"/>
    <s v="mchirwa@lighthouse.org.mw"/>
    <s v="Margaret Chirwa"/>
    <s v="Area_18"/>
    <s v="Prototype"/>
    <x v="1"/>
    <x v="0"/>
    <s v="COP_23"/>
    <s v="Quarter3"/>
    <x v="1"/>
    <s v="Qtr_4"/>
    <x v="2"/>
    <d v="2024-09-01T00:00:00"/>
    <d v="2024-09-30T00:00:00"/>
    <x v="6"/>
    <n v="0"/>
    <n v="0"/>
    <n v="0"/>
    <n v="0"/>
    <n v="0"/>
    <n v="0"/>
    <n v="0"/>
    <n v="0"/>
    <n v="0"/>
    <n v="0"/>
    <n v="0"/>
    <n v="0"/>
    <n v="0"/>
    <n v="0"/>
    <n v="0"/>
    <n v="0"/>
    <n v="0"/>
    <n v="0"/>
    <n v="0"/>
    <n v="0"/>
    <n v="0"/>
    <n v="0"/>
    <n v="0"/>
    <n v="0"/>
    <n v="0"/>
    <m/>
  </r>
  <r>
    <n v="946"/>
    <d v="2024-10-16T10:52:34"/>
    <d v="2024-10-16T10:56:48"/>
    <s v="mchirwa@lighthouse.org.mw"/>
    <s v="Margaret Chirwa"/>
    <s v="Area_18"/>
    <s v="Prototype"/>
    <x v="1"/>
    <x v="0"/>
    <s v="COP_23"/>
    <s v="Quarter3"/>
    <x v="1"/>
    <s v="Qtr_4"/>
    <x v="2"/>
    <d v="2024-09-01T00:00:00"/>
    <d v="2024-09-30T00:00:00"/>
    <x v="0"/>
    <n v="66"/>
    <n v="0"/>
    <n v="66"/>
    <n v="0"/>
    <n v="0"/>
    <n v="0"/>
    <n v="59"/>
    <n v="11"/>
    <n v="11"/>
    <n v="0"/>
    <n v="0"/>
    <n v="0"/>
    <n v="10"/>
    <n v="0"/>
    <n v="0"/>
    <n v="0"/>
    <n v="0"/>
    <n v="0"/>
    <n v="0"/>
    <n v="0"/>
    <n v="0"/>
    <n v="0"/>
    <n v="0"/>
    <n v="0"/>
    <n v="0"/>
    <m/>
  </r>
  <r>
    <n v="1169"/>
    <d v="2025-01-02T14:20:19"/>
    <d v="2025-01-02T14:33:56"/>
    <s v="mchirwa@lighthouse.org.mw"/>
    <s v="Margaret Chirwa"/>
    <s v="Area_18"/>
    <s v="Prototype"/>
    <x v="1"/>
    <x v="2"/>
    <s v="COP_24"/>
    <s v="Quarter4"/>
    <x v="0"/>
    <s v="Qtr_1"/>
    <x v="0"/>
    <d v="2024-10-01T00:00:00"/>
    <d v="2024-10-31T00:00:00"/>
    <x v="1"/>
    <n v="36"/>
    <n v="0"/>
    <n v="28"/>
    <n v="0"/>
    <n v="0"/>
    <n v="0"/>
    <n v="9"/>
    <n v="2"/>
    <n v="0"/>
    <n v="0"/>
    <n v="0"/>
    <n v="0"/>
    <n v="1"/>
    <n v="0"/>
    <n v="0"/>
    <n v="0"/>
    <n v="0"/>
    <n v="0"/>
    <n v="0"/>
    <n v="0"/>
    <n v="0"/>
    <n v="0"/>
    <n v="0"/>
    <n v="0"/>
    <n v="0"/>
    <m/>
  </r>
  <r>
    <n v="1170"/>
    <d v="2025-01-02T14:34:17"/>
    <d v="2025-01-02T14:37:00"/>
    <s v="mchirwa@lighthouse.org.mw"/>
    <s v="Margaret Chirwa"/>
    <s v="Area_18"/>
    <s v="Prototype"/>
    <x v="1"/>
    <x v="2"/>
    <s v="COP_24"/>
    <s v="Quarter4"/>
    <x v="0"/>
    <s v="Qtr_1"/>
    <x v="0"/>
    <d v="2024-10-01T00:00:00"/>
    <d v="2024-10-31T00:00:00"/>
    <x v="3"/>
    <n v="0"/>
    <n v="0"/>
    <n v="0"/>
    <n v="0"/>
    <n v="0"/>
    <n v="0"/>
    <n v="0"/>
    <n v="0"/>
    <n v="0"/>
    <n v="0"/>
    <n v="0"/>
    <n v="0"/>
    <n v="0"/>
    <n v="0"/>
    <n v="0"/>
    <n v="0"/>
    <n v="0"/>
    <n v="0"/>
    <n v="0"/>
    <n v="0"/>
    <n v="0"/>
    <n v="0"/>
    <n v="0"/>
    <n v="0"/>
    <n v="0"/>
    <m/>
  </r>
  <r>
    <n v="1171"/>
    <d v="2025-01-02T14:37:09"/>
    <d v="2025-01-02T14:38:43"/>
    <s v="mchirwa@lighthouse.org.mw"/>
    <s v="Margaret Chirwa"/>
    <s v="Area_18"/>
    <s v="Prototype"/>
    <x v="1"/>
    <x v="2"/>
    <s v="COP_24"/>
    <s v="Quarter4"/>
    <x v="0"/>
    <s v="Qtr_1"/>
    <x v="0"/>
    <d v="2024-10-01T00:00:00"/>
    <d v="2024-10-31T00:00:00"/>
    <x v="4"/>
    <n v="1"/>
    <n v="0"/>
    <n v="1"/>
    <n v="0"/>
    <n v="0"/>
    <n v="0"/>
    <n v="0"/>
    <n v="0"/>
    <n v="0"/>
    <n v="0"/>
    <n v="0"/>
    <n v="0"/>
    <n v="0"/>
    <n v="0"/>
    <n v="0"/>
    <n v="0"/>
    <n v="0"/>
    <n v="0"/>
    <n v="0"/>
    <n v="0"/>
    <n v="0"/>
    <n v="0"/>
    <n v="0"/>
    <n v="0"/>
    <n v="0"/>
    <m/>
  </r>
  <r>
    <n v="1172"/>
    <d v="2025-01-02T14:38:50"/>
    <d v="2025-01-02T14:44:14"/>
    <s v="mchirwa@lighthouse.org.mw"/>
    <s v="Margaret Chirwa"/>
    <s v="Area_18"/>
    <s v="Prototype"/>
    <x v="1"/>
    <x v="2"/>
    <s v="COP_24"/>
    <s v="Quarter4"/>
    <x v="0"/>
    <s v="Qtr_1"/>
    <x v="0"/>
    <d v="2024-10-01T00:00:00"/>
    <d v="2024-10-31T00:00:00"/>
    <x v="5"/>
    <n v="0"/>
    <n v="0"/>
    <n v="0"/>
    <n v="0"/>
    <n v="0"/>
    <n v="0"/>
    <n v="0"/>
    <n v="0"/>
    <n v="0"/>
    <n v="0"/>
    <n v="0"/>
    <n v="0"/>
    <n v="0"/>
    <n v="0"/>
    <n v="0"/>
    <n v="0"/>
    <n v="0"/>
    <n v="0"/>
    <n v="0"/>
    <n v="0"/>
    <n v="0"/>
    <n v="0"/>
    <n v="0"/>
    <n v="0"/>
    <n v="0"/>
    <m/>
  </r>
  <r>
    <n v="1173"/>
    <d v="2025-01-02T14:44:17"/>
    <d v="2025-01-02T14:51:02"/>
    <s v="mchirwa@lighthouse.org.mw"/>
    <s v="Margaret Chirwa"/>
    <s v="Area_18"/>
    <s v="Prototype"/>
    <x v="1"/>
    <x v="2"/>
    <s v="COP_24"/>
    <s v="Quarter4"/>
    <x v="0"/>
    <s v="Qtr_1"/>
    <x v="0"/>
    <d v="2024-10-01T00:00:00"/>
    <d v="2024-10-31T00:00:00"/>
    <x v="2"/>
    <n v="8"/>
    <n v="0"/>
    <n v="8"/>
    <n v="0"/>
    <n v="0"/>
    <n v="0"/>
    <n v="8"/>
    <n v="0"/>
    <n v="1"/>
    <n v="0"/>
    <n v="0"/>
    <n v="0"/>
    <n v="0"/>
    <n v="0"/>
    <n v="0"/>
    <n v="0"/>
    <n v="0"/>
    <n v="0"/>
    <n v="0"/>
    <n v="0"/>
    <n v="0"/>
    <n v="0"/>
    <n v="0"/>
    <n v="0"/>
    <n v="0"/>
    <m/>
  </r>
  <r>
    <n v="1174"/>
    <d v="2025-01-02T14:51:15"/>
    <d v="2025-01-02T14:54:08"/>
    <s v="mchirwa@lighthouse.org.mw"/>
    <s v="Margaret Chirwa"/>
    <s v="Area_18"/>
    <s v="Prototype"/>
    <x v="1"/>
    <x v="2"/>
    <s v="COP_24"/>
    <s v="Quarter4"/>
    <x v="0"/>
    <s v="Qtr_1"/>
    <x v="0"/>
    <d v="2024-10-01T00:00:00"/>
    <d v="2024-10-31T00:00:00"/>
    <x v="0"/>
    <n v="37"/>
    <n v="0"/>
    <n v="37"/>
    <n v="0"/>
    <n v="0"/>
    <n v="0"/>
    <n v="17"/>
    <n v="2"/>
    <n v="1"/>
    <n v="0"/>
    <n v="0"/>
    <n v="0"/>
    <n v="1"/>
    <n v="0"/>
    <n v="0"/>
    <n v="0"/>
    <n v="0"/>
    <n v="0"/>
    <n v="0"/>
    <n v="0"/>
    <n v="0"/>
    <n v="0"/>
    <n v="0"/>
    <n v="0"/>
    <n v="0"/>
    <m/>
  </r>
  <r>
    <n v="1175"/>
    <d v="2025-01-02T14:55:54"/>
    <d v="2025-01-02T14:58:23"/>
    <s v="mchirwa@lighthouse.org.mw"/>
    <s v="Margaret Chirwa"/>
    <s v="Area_18"/>
    <s v="Prototype"/>
    <x v="1"/>
    <x v="2"/>
    <s v="COP_24"/>
    <s v="Quarter4"/>
    <x v="0"/>
    <s v="Qtr_1"/>
    <x v="1"/>
    <d v="2024-11-01T00:00:00"/>
    <d v="2024-11-30T00:00:00"/>
    <x v="1"/>
    <n v="35"/>
    <n v="0"/>
    <n v="32"/>
    <n v="1"/>
    <n v="1"/>
    <n v="0"/>
    <n v="24"/>
    <n v="4"/>
    <n v="4"/>
    <n v="0"/>
    <n v="0"/>
    <n v="0"/>
    <n v="4"/>
    <n v="0"/>
    <n v="0"/>
    <n v="0"/>
    <n v="0"/>
    <n v="0"/>
    <n v="0"/>
    <n v="0"/>
    <n v="0"/>
    <n v="0"/>
    <n v="0"/>
    <n v="0"/>
    <n v="0"/>
    <m/>
  </r>
  <r>
    <n v="1176"/>
    <d v="2025-01-02T14:58:26"/>
    <d v="2025-01-02T14:59:43"/>
    <s v="mchirwa@lighthouse.org.mw"/>
    <s v="Margaret Chirwa"/>
    <s v="Area_18"/>
    <s v="Prototype"/>
    <x v="1"/>
    <x v="2"/>
    <s v="COP_24"/>
    <s v="Quarter4"/>
    <x v="0"/>
    <s v="Qtr_1"/>
    <x v="1"/>
    <d v="2024-11-01T00:00:00"/>
    <d v="2024-11-30T00:00:00"/>
    <x v="3"/>
    <n v="0"/>
    <n v="0"/>
    <n v="0"/>
    <n v="0"/>
    <n v="0"/>
    <n v="0"/>
    <n v="0"/>
    <n v="0"/>
    <n v="0"/>
    <n v="0"/>
    <n v="0"/>
    <n v="0"/>
    <n v="0"/>
    <n v="0"/>
    <n v="0"/>
    <n v="0"/>
    <n v="0"/>
    <n v="0"/>
    <n v="0"/>
    <n v="0"/>
    <n v="0"/>
    <n v="0"/>
    <n v="0"/>
    <n v="0"/>
    <n v="0"/>
    <m/>
  </r>
  <r>
    <n v="1177"/>
    <d v="2025-01-02T14:59:54"/>
    <d v="2025-01-02T15:00:52"/>
    <s v="mchirwa@lighthouse.org.mw"/>
    <s v="Margaret Chirwa"/>
    <s v="Area_18"/>
    <s v="Prototype"/>
    <x v="1"/>
    <x v="2"/>
    <s v="COP_24"/>
    <s v="Quarter4"/>
    <x v="0"/>
    <s v="Qtr_1"/>
    <x v="1"/>
    <d v="2024-11-01T00:00:00"/>
    <d v="2024-11-30T00:00:00"/>
    <x v="4"/>
    <n v="1"/>
    <n v="0"/>
    <n v="1"/>
    <n v="0"/>
    <n v="0"/>
    <n v="0"/>
    <n v="0"/>
    <n v="0"/>
    <n v="0"/>
    <n v="0"/>
    <n v="0"/>
    <n v="0"/>
    <n v="0"/>
    <n v="0"/>
    <n v="0"/>
    <n v="0"/>
    <n v="0"/>
    <n v="0"/>
    <n v="0"/>
    <n v="0"/>
    <n v="0"/>
    <n v="0"/>
    <n v="0"/>
    <n v="0"/>
    <n v="0"/>
    <m/>
  </r>
  <r>
    <n v="1178"/>
    <d v="2025-01-02T15:00:56"/>
    <d v="2025-01-02T15:04:13"/>
    <s v="mchirwa@lighthouse.org.mw"/>
    <s v="Margaret Chirwa"/>
    <s v="Area_18"/>
    <s v="Prototype"/>
    <x v="1"/>
    <x v="2"/>
    <s v="COP_24"/>
    <s v="Quarter4"/>
    <x v="0"/>
    <s v="Qtr_1"/>
    <x v="1"/>
    <d v="2024-11-01T00:00:00"/>
    <d v="2024-11-30T00:00:00"/>
    <x v="5"/>
    <n v="0"/>
    <n v="0"/>
    <n v="0"/>
    <n v="0"/>
    <n v="0"/>
    <n v="0"/>
    <n v="0"/>
    <n v="0"/>
    <n v="0"/>
    <n v="0"/>
    <n v="0"/>
    <n v="0"/>
    <n v="0"/>
    <n v="0"/>
    <n v="0"/>
    <n v="0"/>
    <n v="0"/>
    <n v="0"/>
    <n v="0"/>
    <n v="0"/>
    <n v="0"/>
    <n v="0"/>
    <n v="0"/>
    <n v="0"/>
    <n v="0"/>
    <m/>
  </r>
  <r>
    <n v="1179"/>
    <d v="2025-01-02T15:04:17"/>
    <d v="2025-01-02T15:06:25"/>
    <s v="mchirwa@lighthouse.org.mw"/>
    <s v="Margaret Chirwa"/>
    <s v="Area_18"/>
    <s v="Prototype"/>
    <x v="1"/>
    <x v="2"/>
    <s v="COP_24"/>
    <s v="Quarter4"/>
    <x v="0"/>
    <s v="Qtr_1"/>
    <x v="1"/>
    <d v="2024-11-01T00:00:00"/>
    <d v="2024-11-30T00:00:00"/>
    <x v="2"/>
    <n v="11"/>
    <n v="0"/>
    <n v="9"/>
    <n v="2"/>
    <n v="0"/>
    <n v="0"/>
    <n v="11"/>
    <n v="6"/>
    <n v="6"/>
    <n v="0"/>
    <n v="0"/>
    <n v="0"/>
    <n v="6"/>
    <n v="0"/>
    <n v="0"/>
    <n v="0"/>
    <n v="0"/>
    <n v="0"/>
    <n v="0"/>
    <n v="0"/>
    <n v="0"/>
    <n v="0"/>
    <n v="0"/>
    <n v="0"/>
    <n v="0"/>
    <m/>
  </r>
  <r>
    <n v="1180"/>
    <d v="2025-01-02T15:22:07"/>
    <d v="2025-01-02T15:22:39"/>
    <s v="mchirwa@lighthouse.org.mw"/>
    <s v="Margaret Chirwa"/>
    <s v="Area_18"/>
    <s v="Prototype"/>
    <x v="1"/>
    <x v="2"/>
    <s v="COP_24"/>
    <s v="Quarter4"/>
    <x v="0"/>
    <s v="Qtr_1"/>
    <x v="1"/>
    <d v="2024-11-01T00:00:00"/>
    <d v="2024-11-30T00:00:00"/>
    <x v="0"/>
    <n v="45"/>
    <n v="0"/>
    <n v="41"/>
    <n v="3"/>
    <n v="1"/>
    <n v="0"/>
    <n v="35"/>
    <n v="10"/>
    <n v="10"/>
    <n v="0"/>
    <n v="0"/>
    <n v="0"/>
    <n v="10"/>
    <n v="0"/>
    <n v="0"/>
    <n v="0"/>
    <n v="0"/>
    <n v="0"/>
    <n v="0"/>
    <n v="0"/>
    <n v="0"/>
    <n v="0"/>
    <n v="0"/>
    <n v="0"/>
    <n v="0"/>
    <m/>
  </r>
  <r>
    <n v="1261"/>
    <d v="2025-01-14T11:47:53"/>
    <d v="2025-01-14T11:51:28"/>
    <s v="mchirwa@lighthouse.org.mw"/>
    <s v="Margaret Chirwa"/>
    <s v="Area_18"/>
    <s v="Prototype"/>
    <x v="1"/>
    <x v="2"/>
    <s v="COP_24"/>
    <s v="Quarter4"/>
    <x v="0"/>
    <s v="Qtr_1"/>
    <x v="11"/>
    <d v="2024-12-01T00:00:00"/>
    <d v="2023-12-31T00:00:00"/>
    <x v="1"/>
    <n v="36"/>
    <n v="0"/>
    <n v="33"/>
    <n v="1"/>
    <n v="2"/>
    <n v="0"/>
    <n v="17"/>
    <n v="1"/>
    <n v="1"/>
    <n v="0"/>
    <n v="0"/>
    <n v="0"/>
    <n v="1"/>
    <n v="0"/>
    <n v="0"/>
    <n v="0"/>
    <n v="0"/>
    <n v="0"/>
    <n v="0"/>
    <n v="0"/>
    <n v="0"/>
    <n v="0"/>
    <n v="0"/>
    <n v="0"/>
    <n v="0"/>
    <m/>
  </r>
  <r>
    <n v="1263"/>
    <d v="2025-01-14T11:51:35"/>
    <d v="2025-01-14T11:53:58"/>
    <s v="mchirwa@lighthouse.org.mw"/>
    <s v="Margaret Chirwa"/>
    <s v="Area_18"/>
    <s v="Prototype"/>
    <x v="1"/>
    <x v="2"/>
    <s v="COP_24"/>
    <s v="Quarter4"/>
    <x v="0"/>
    <s v="Qtr_1"/>
    <x v="11"/>
    <d v="2024-12-01T00:00:00"/>
    <d v="2024-12-31T00:00:00"/>
    <x v="3"/>
    <n v="1"/>
    <n v="0"/>
    <n v="0"/>
    <n v="0"/>
    <n v="1"/>
    <n v="0"/>
    <n v="0"/>
    <n v="0"/>
    <n v="0"/>
    <n v="0"/>
    <n v="0"/>
    <n v="0"/>
    <n v="0"/>
    <n v="0"/>
    <n v="0"/>
    <n v="0"/>
    <n v="0"/>
    <n v="0"/>
    <n v="0"/>
    <n v="0"/>
    <n v="0"/>
    <n v="0"/>
    <n v="0"/>
    <n v="0"/>
    <n v="0"/>
    <m/>
  </r>
  <r>
    <n v="1265"/>
    <d v="2025-01-14T11:54:02"/>
    <d v="2025-01-14T11:58:51"/>
    <s v="mchirwa@lighthouse.org.mw"/>
    <s v="Margaret Chirwa"/>
    <s v="Area_18"/>
    <s v="Prototype"/>
    <x v="1"/>
    <x v="2"/>
    <s v="COP_24"/>
    <s v="Quarter4"/>
    <x v="0"/>
    <s v="Qtr_1"/>
    <x v="11"/>
    <d v="2024-12-01T00:00:00"/>
    <d v="2024-12-31T00:00:00"/>
    <x v="4"/>
    <n v="0"/>
    <n v="0"/>
    <n v="0"/>
    <n v="0"/>
    <n v="0"/>
    <n v="0"/>
    <n v="0"/>
    <n v="0"/>
    <n v="0"/>
    <n v="0"/>
    <n v="0"/>
    <n v="0"/>
    <n v="0"/>
    <n v="0"/>
    <n v="0"/>
    <n v="0"/>
    <n v="0"/>
    <n v="0"/>
    <n v="0"/>
    <n v="0"/>
    <n v="0"/>
    <n v="0"/>
    <n v="0"/>
    <n v="0"/>
    <n v="0"/>
    <m/>
  </r>
  <r>
    <n v="1266"/>
    <d v="2025-01-14T11:58:55"/>
    <d v="2025-01-14T12:11:47"/>
    <s v="mchirwa@lighthouse.org.mw"/>
    <s v="Margaret Chirwa"/>
    <s v="Area_18"/>
    <s v="Prototype"/>
    <x v="1"/>
    <x v="2"/>
    <s v="COP_24"/>
    <s v="Quarter4"/>
    <x v="0"/>
    <s v="Qtr_1"/>
    <x v="11"/>
    <d v="2024-12-01T00:00:00"/>
    <d v="2024-12-31T00:00:00"/>
    <x v="5"/>
    <n v="1"/>
    <n v="0"/>
    <n v="0"/>
    <n v="0"/>
    <n v="1"/>
    <n v="0"/>
    <n v="0"/>
    <n v="0"/>
    <n v="0"/>
    <n v="0"/>
    <n v="0"/>
    <n v="0"/>
    <n v="0"/>
    <n v="0"/>
    <n v="0"/>
    <n v="0"/>
    <n v="0"/>
    <n v="0"/>
    <n v="0"/>
    <n v="0"/>
    <n v="0"/>
    <n v="0"/>
    <n v="0"/>
    <n v="0"/>
    <n v="0"/>
    <m/>
  </r>
  <r>
    <n v="1267"/>
    <d v="2025-01-14T12:11:51"/>
    <d v="2025-01-14T12:19:52"/>
    <s v="mchirwa@lighthouse.org.mw"/>
    <s v="Margaret Chirwa"/>
    <s v="Area_18"/>
    <s v="Prototype"/>
    <x v="1"/>
    <x v="2"/>
    <s v="COP_24"/>
    <s v="Quarter4"/>
    <x v="0"/>
    <s v="Qtr_1"/>
    <x v="11"/>
    <d v="2024-12-01T00:00:00"/>
    <d v="2024-12-31T00:00:00"/>
    <x v="2"/>
    <n v="2"/>
    <n v="0"/>
    <n v="1"/>
    <n v="1"/>
    <n v="0"/>
    <n v="0"/>
    <n v="0"/>
    <n v="0"/>
    <n v="2"/>
    <n v="0"/>
    <n v="0"/>
    <n v="0"/>
    <n v="2"/>
    <n v="0"/>
    <n v="0"/>
    <n v="0"/>
    <n v="0"/>
    <n v="0"/>
    <n v="0"/>
    <n v="0"/>
    <n v="0"/>
    <n v="0"/>
    <n v="0"/>
    <n v="0"/>
    <n v="0"/>
    <m/>
  </r>
  <r>
    <n v="1268"/>
    <d v="2025-01-14T12:19:57"/>
    <d v="2025-01-14T12:27:10"/>
    <s v="mchirwa@lighthouse.org.mw"/>
    <s v="Margaret Chirwa"/>
    <s v="Area_18"/>
    <s v="Prototype"/>
    <x v="1"/>
    <x v="2"/>
    <s v="COP_24"/>
    <s v="Quarter4"/>
    <x v="0"/>
    <s v="Qtr_1"/>
    <x v="11"/>
    <d v="2024-12-01T00:00:00"/>
    <d v="2024-12-31T00:00:00"/>
    <x v="0"/>
    <n v="36"/>
    <n v="0"/>
    <n v="0"/>
    <n v="33"/>
    <n v="1"/>
    <n v="2"/>
    <n v="18"/>
    <n v="1"/>
    <n v="3"/>
    <n v="0"/>
    <n v="0"/>
    <n v="0"/>
    <n v="3"/>
    <n v="0"/>
    <n v="0"/>
    <n v="0"/>
    <n v="0"/>
    <n v="0"/>
    <n v="0"/>
    <n v="0"/>
    <n v="0"/>
    <n v="0"/>
    <n v="0"/>
    <n v="0"/>
    <n v="0"/>
    <m/>
  </r>
  <r>
    <n v="1269"/>
    <d v="2025-01-14T12:27:58"/>
    <d v="2025-01-14T12:30:49"/>
    <s v="mchirwa@lighthouse.org.mw"/>
    <s v="Margaret Chirwa"/>
    <s v="Area_18"/>
    <s v="Prototype"/>
    <x v="1"/>
    <x v="2"/>
    <s v="COP_24"/>
    <s v="Quarter4"/>
    <x v="0"/>
    <s v="Qtr_1"/>
    <x v="11"/>
    <d v="2024-12-01T00:00:00"/>
    <d v="2024-12-31T00:00:00"/>
    <x v="2"/>
    <n v="2"/>
    <n v="0"/>
    <n v="1"/>
    <n v="1"/>
    <n v="0"/>
    <n v="0"/>
    <n v="0"/>
    <n v="0"/>
    <n v="2"/>
    <n v="0"/>
    <n v="0"/>
    <n v="0"/>
    <n v="2"/>
    <n v="0"/>
    <n v="0"/>
    <n v="0"/>
    <n v="0"/>
    <n v="0"/>
    <n v="0"/>
    <n v="0"/>
    <n v="0"/>
    <n v="0"/>
    <n v="0"/>
    <n v="0"/>
    <n v="0"/>
    <m/>
  </r>
  <r>
    <n v="1432"/>
    <d v="2025-03-19T08:14:19"/>
    <d v="2025-03-19T08:25:42"/>
    <s v="mchirwa@lighthouse.org.mw"/>
    <s v="Margaret Chirwa"/>
    <s v="Area_18"/>
    <s v="Prototype"/>
    <x v="2"/>
    <x v="1"/>
    <s v="COP_24"/>
    <s v="Quarter1"/>
    <x v="2"/>
    <s v="Qtr_2"/>
    <x v="4"/>
    <d v="2025-01-01T00:00:00"/>
    <d v="2025-01-31T00:00:00"/>
    <x v="1"/>
    <n v="35"/>
    <n v="1"/>
    <n v="26"/>
    <n v="2"/>
    <n v="0"/>
    <n v="1"/>
    <n v="0"/>
    <n v="0"/>
    <n v="1"/>
    <n v="0"/>
    <n v="0"/>
    <n v="0"/>
    <n v="1"/>
    <n v="0"/>
    <n v="0"/>
    <n v="0"/>
    <n v="0"/>
    <n v="0"/>
    <n v="0"/>
    <n v="0"/>
    <n v="0"/>
    <n v="0"/>
    <n v="0"/>
    <n v="0"/>
    <n v="0"/>
    <m/>
  </r>
  <r>
    <n v="1433"/>
    <d v="2025-03-19T08:25:45"/>
    <d v="2025-03-19T08:27:38"/>
    <s v="mchirwa@lighthouse.org.mw"/>
    <s v="Margaret Chirwa"/>
    <s v="Area_18"/>
    <s v="Prototype"/>
    <x v="2"/>
    <x v="0"/>
    <s v="COP_24"/>
    <s v="Quarter1"/>
    <x v="2"/>
    <s v="Qtr_2"/>
    <x v="4"/>
    <d v="2025-01-01T00:00:00"/>
    <d v="2025-01-31T00:00:00"/>
    <x v="3"/>
    <n v="3"/>
    <n v="0"/>
    <n v="2"/>
    <n v="0"/>
    <n v="0"/>
    <n v="1"/>
    <n v="0"/>
    <n v="0"/>
    <n v="0"/>
    <n v="0"/>
    <n v="0"/>
    <n v="0"/>
    <n v="0"/>
    <n v="0"/>
    <n v="0"/>
    <n v="0"/>
    <n v="0"/>
    <n v="0"/>
    <n v="0"/>
    <n v="0"/>
    <n v="0"/>
    <n v="0"/>
    <n v="0"/>
    <n v="0"/>
    <n v="0"/>
    <m/>
  </r>
  <r>
    <n v="1434"/>
    <d v="2025-03-19T08:27:48"/>
    <d v="2025-03-19T08:30:46"/>
    <s v="mchirwa@lighthouse.org.mw"/>
    <s v="Margaret Chirwa"/>
    <s v="Area_18"/>
    <s v="Prototype"/>
    <x v="2"/>
    <x v="0"/>
    <s v="COP_24"/>
    <s v="Quarter1"/>
    <x v="2"/>
    <s v="Qtr_2"/>
    <x v="4"/>
    <d v="2025-01-01T00:00:00"/>
    <d v="2025-01-31T00:00:00"/>
    <x v="4"/>
    <n v="0"/>
    <n v="0"/>
    <n v="0"/>
    <n v="0"/>
    <n v="0"/>
    <n v="0"/>
    <n v="0"/>
    <n v="0"/>
    <n v="0"/>
    <n v="0"/>
    <n v="0"/>
    <n v="0"/>
    <n v="0"/>
    <n v="0"/>
    <n v="0"/>
    <n v="0"/>
    <n v="0"/>
    <n v="0"/>
    <n v="0"/>
    <n v="0"/>
    <n v="0"/>
    <n v="0"/>
    <n v="0"/>
    <n v="0"/>
    <n v="0"/>
    <m/>
  </r>
  <r>
    <n v="1435"/>
    <d v="2025-03-19T08:31:04"/>
    <d v="2025-03-19T08:31:58"/>
    <s v="mchirwa@lighthouse.org.mw"/>
    <s v="Margaret Chirwa"/>
    <s v="Area_18"/>
    <s v="Prototype"/>
    <x v="2"/>
    <x v="0"/>
    <s v="COP_24"/>
    <s v="Quarter1"/>
    <x v="2"/>
    <s v="Qtr_2"/>
    <x v="4"/>
    <d v="2025-01-01T00:00:00"/>
    <d v="2025-01-31T00:00:00"/>
    <x v="5"/>
    <n v="0"/>
    <n v="0"/>
    <n v="0"/>
    <n v="0"/>
    <n v="0"/>
    <n v="0"/>
    <n v="0"/>
    <n v="0"/>
    <n v="0"/>
    <n v="0"/>
    <n v="0"/>
    <n v="0"/>
    <n v="0"/>
    <n v="0"/>
    <n v="0"/>
    <n v="0"/>
    <n v="0"/>
    <n v="0"/>
    <n v="0"/>
    <n v="0"/>
    <n v="0"/>
    <n v="0"/>
    <n v="0"/>
    <n v="0"/>
    <n v="0"/>
    <m/>
  </r>
  <r>
    <n v="1436"/>
    <d v="2025-03-19T08:33:35"/>
    <d v="2025-03-19T08:36:52"/>
    <s v="mchirwa@lighthouse.org.mw"/>
    <s v="Margaret Chirwa"/>
    <s v="Area_18"/>
    <s v="Prototype"/>
    <x v="2"/>
    <x v="0"/>
    <s v="COP_24"/>
    <s v="Quarter1"/>
    <x v="2"/>
    <s v="Qtr_2"/>
    <x v="4"/>
    <d v="2025-01-01T00:00:00"/>
    <d v="2025-01-31T00:00:00"/>
    <x v="6"/>
    <n v="0"/>
    <n v="0"/>
    <n v="0"/>
    <n v="0"/>
    <n v="0"/>
    <n v="0"/>
    <n v="0"/>
    <n v="0"/>
    <n v="0"/>
    <n v="0"/>
    <n v="0"/>
    <n v="0"/>
    <n v="0"/>
    <n v="0"/>
    <n v="0"/>
    <n v="0"/>
    <n v="0"/>
    <n v="0"/>
    <n v="0"/>
    <n v="0"/>
    <n v="0"/>
    <n v="0"/>
    <n v="0"/>
    <n v="0"/>
    <n v="0"/>
    <m/>
  </r>
  <r>
    <n v="1437"/>
    <d v="2025-03-19T08:37:24"/>
    <d v="2025-03-19T08:42:54"/>
    <s v="mchirwa@lighthouse.org.mw"/>
    <s v="Margaret Chirwa"/>
    <s v="Area_18"/>
    <s v="Prototype"/>
    <x v="2"/>
    <x v="0"/>
    <s v="COP_24"/>
    <s v="Quarter1"/>
    <x v="2"/>
    <s v="Qtr_2"/>
    <x v="4"/>
    <d v="2025-01-01T00:00:00"/>
    <d v="2025-01-31T00:00:00"/>
    <x v="0"/>
    <n v="30"/>
    <n v="1"/>
    <n v="27"/>
    <n v="2"/>
    <n v="0"/>
    <n v="1"/>
    <n v="0"/>
    <n v="0"/>
    <n v="1"/>
    <n v="0"/>
    <n v="0"/>
    <n v="0"/>
    <n v="1"/>
    <n v="0"/>
    <n v="0"/>
    <n v="0"/>
    <n v="0"/>
    <n v="0"/>
    <n v="0"/>
    <n v="0"/>
    <n v="0"/>
    <n v="0"/>
    <n v="0"/>
    <n v="0"/>
    <n v="0"/>
    <m/>
  </r>
  <r>
    <n v="1438"/>
    <d v="2025-03-19T08:43:08"/>
    <d v="2025-03-19T08:49:56"/>
    <s v="mchirwa@lighthouse.org.mw"/>
    <s v="Margaret Chirwa"/>
    <s v="Area_18"/>
    <s v="Prototype"/>
    <x v="2"/>
    <x v="0"/>
    <s v="COP_24"/>
    <s v="Quarter1"/>
    <x v="2"/>
    <s v="Qtr_2"/>
    <x v="5"/>
    <d v="2025-02-01T00:00:00"/>
    <d v="2025-02-28T00:00:00"/>
    <x v="1"/>
    <n v="34"/>
    <n v="0"/>
    <n v="13"/>
    <n v="1"/>
    <n v="0"/>
    <n v="0"/>
    <n v="0"/>
    <n v="0"/>
    <n v="0"/>
    <n v="0"/>
    <n v="0"/>
    <n v="0"/>
    <n v="0"/>
    <n v="0"/>
    <n v="0"/>
    <n v="0"/>
    <n v="0"/>
    <n v="0"/>
    <n v="0"/>
    <n v="0"/>
    <n v="0"/>
    <n v="0"/>
    <n v="0"/>
    <n v="0"/>
    <n v="0"/>
    <m/>
  </r>
  <r>
    <n v="1439"/>
    <d v="2025-03-19T08:50:50"/>
    <d v="2025-03-19T08:53:12"/>
    <s v="mchirwa@lighthouse.org.mw"/>
    <s v="Margaret Chirwa"/>
    <s v="Area_18"/>
    <s v="Prototype"/>
    <x v="2"/>
    <x v="0"/>
    <s v="COP_24"/>
    <s v="Quarter1"/>
    <x v="2"/>
    <s v="Qtr_2"/>
    <x v="5"/>
    <d v="2025-02-01T00:00:00"/>
    <d v="2025-02-28T00:00:00"/>
    <x v="3"/>
    <n v="0"/>
    <n v="0"/>
    <n v="0"/>
    <n v="0"/>
    <n v="0"/>
    <n v="0"/>
    <n v="0"/>
    <n v="0"/>
    <n v="0"/>
    <n v="0"/>
    <n v="0"/>
    <n v="0"/>
    <n v="0"/>
    <n v="0"/>
    <n v="0"/>
    <n v="0"/>
    <n v="0"/>
    <n v="0"/>
    <n v="0"/>
    <n v="0"/>
    <n v="0"/>
    <n v="0"/>
    <n v="0"/>
    <n v="0"/>
    <n v="0"/>
    <m/>
  </r>
  <r>
    <n v="1440"/>
    <d v="2025-03-19T08:53:25"/>
    <d v="2025-03-19T08:55:16"/>
    <s v="mchirwa@lighthouse.org.mw"/>
    <s v="Margaret Chirwa"/>
    <s v="Area_18"/>
    <s v="Prototype"/>
    <x v="2"/>
    <x v="0"/>
    <s v="COP_24"/>
    <s v="Quarter1"/>
    <x v="2"/>
    <s v="Qtr_2"/>
    <x v="5"/>
    <d v="2025-02-01T00:00:00"/>
    <d v="2025-02-28T00:00:00"/>
    <x v="4"/>
    <n v="0"/>
    <n v="0"/>
    <n v="0"/>
    <n v="0"/>
    <n v="0"/>
    <n v="0"/>
    <n v="0"/>
    <n v="0"/>
    <n v="0"/>
    <n v="0"/>
    <n v="0"/>
    <n v="0"/>
    <n v="0"/>
    <n v="0"/>
    <n v="0"/>
    <n v="0"/>
    <n v="0"/>
    <n v="0"/>
    <n v="0"/>
    <n v="0"/>
    <n v="0"/>
    <n v="0"/>
    <n v="0"/>
    <n v="0"/>
    <n v="0"/>
    <m/>
  </r>
  <r>
    <n v="1441"/>
    <d v="2025-03-19T08:55:21"/>
    <d v="2025-03-19T08:56:16"/>
    <s v="mchirwa@lighthouse.org.mw"/>
    <s v="Margaret Chirwa"/>
    <s v="Area_18"/>
    <s v="Prototype"/>
    <x v="2"/>
    <x v="0"/>
    <s v="COP_24"/>
    <s v="Quarter1"/>
    <x v="2"/>
    <s v="Qtr_2"/>
    <x v="5"/>
    <d v="2025-02-01T00:00:00"/>
    <d v="2025-02-28T00:00:00"/>
    <x v="5"/>
    <n v="0"/>
    <n v="0"/>
    <n v="0"/>
    <n v="0"/>
    <n v="0"/>
    <n v="0"/>
    <n v="0"/>
    <n v="0"/>
    <n v="0"/>
    <n v="0"/>
    <n v="0"/>
    <n v="0"/>
    <n v="0"/>
    <n v="0"/>
    <n v="0"/>
    <n v="0"/>
    <n v="0"/>
    <n v="0"/>
    <n v="0"/>
    <n v="0"/>
    <n v="0"/>
    <n v="0"/>
    <n v="0"/>
    <n v="0"/>
    <n v="0"/>
    <m/>
  </r>
  <r>
    <n v="1442"/>
    <d v="2025-03-19T08:56:46"/>
    <d v="2025-03-19T08:57:31"/>
    <s v="mchirwa@lighthouse.org.mw"/>
    <s v="Margaret Chirwa"/>
    <s v="Area_18"/>
    <s v="Prototype"/>
    <x v="2"/>
    <x v="0"/>
    <s v="COP_24"/>
    <s v="Quarter1"/>
    <x v="2"/>
    <s v="Qtr_2"/>
    <x v="5"/>
    <d v="2025-02-01T00:00:00"/>
    <d v="2025-02-28T00:00:00"/>
    <x v="2"/>
    <n v="0"/>
    <n v="0"/>
    <n v="0"/>
    <n v="0"/>
    <n v="0"/>
    <n v="0"/>
    <n v="0"/>
    <n v="0"/>
    <n v="0"/>
    <n v="0"/>
    <n v="0"/>
    <n v="0"/>
    <n v="0"/>
    <n v="0"/>
    <n v="0"/>
    <n v="0"/>
    <n v="0"/>
    <n v="0"/>
    <n v="0"/>
    <n v="0"/>
    <n v="0"/>
    <n v="0"/>
    <n v="0"/>
    <n v="0"/>
    <n v="0"/>
    <m/>
  </r>
  <r>
    <n v="1443"/>
    <d v="2025-03-19T08:57:33"/>
    <d v="2025-03-19T08:58:40"/>
    <s v="mchirwa@lighthouse.org.mw"/>
    <s v="Margaret Chirwa"/>
    <s v="Area_18"/>
    <s v="Prototype"/>
    <x v="2"/>
    <x v="0"/>
    <s v="COP_24"/>
    <s v="Quarter1"/>
    <x v="2"/>
    <s v="Qtr_2"/>
    <x v="5"/>
    <d v="2025-02-01T00:00:00"/>
    <d v="2025-02-28T00:00:00"/>
    <x v="6"/>
    <n v="0"/>
    <n v="0"/>
    <n v="0"/>
    <n v="0"/>
    <n v="0"/>
    <n v="0"/>
    <n v="0"/>
    <n v="0"/>
    <n v="0"/>
    <n v="0"/>
    <n v="0"/>
    <n v="0"/>
    <n v="0"/>
    <n v="0"/>
    <n v="0"/>
    <n v="0"/>
    <n v="0"/>
    <n v="0"/>
    <n v="0"/>
    <n v="0"/>
    <n v="0"/>
    <n v="0"/>
    <n v="0"/>
    <n v="0"/>
    <n v="0"/>
    <m/>
  </r>
  <r>
    <n v="1444"/>
    <d v="2025-03-19T08:59:02"/>
    <d v="2025-03-19T09:00:36"/>
    <s v="mchirwa@lighthouse.org.mw"/>
    <s v="Margaret Chirwa"/>
    <s v="Area_18"/>
    <s v="Prototype"/>
    <x v="2"/>
    <x v="0"/>
    <s v="COP_24"/>
    <s v="Quarter1"/>
    <x v="2"/>
    <s v="Qtr_2"/>
    <x v="5"/>
    <d v="2025-02-01T00:00:00"/>
    <d v="2025-02-28T00:00:00"/>
    <x v="0"/>
    <n v="14"/>
    <n v="0"/>
    <n v="13"/>
    <n v="1"/>
    <n v="0"/>
    <n v="0"/>
    <n v="0"/>
    <n v="0"/>
    <n v="0"/>
    <n v="0"/>
    <n v="0"/>
    <n v="0"/>
    <n v="0"/>
    <n v="0"/>
    <n v="0"/>
    <n v="0"/>
    <n v="0"/>
    <n v="0"/>
    <n v="0"/>
    <n v="0"/>
    <n v="0"/>
    <n v="0"/>
    <n v="0"/>
    <n v="0"/>
    <n v="0"/>
    <m/>
  </r>
  <r>
    <n v="1504"/>
    <d v="2025-04-04T10:38:39"/>
    <d v="2025-04-04T10:45:55"/>
    <s v="mchirwa@lighthouse.org.mw"/>
    <s v="Margaret Chirwa"/>
    <s v="Area_18"/>
    <s v="Prototype"/>
    <x v="2"/>
    <x v="0"/>
    <s v="COP_24"/>
    <s v="Quarter1"/>
    <x v="2"/>
    <s v="Qtr_2"/>
    <x v="3"/>
    <d v="2025-03-01T00:00:00"/>
    <d v="2025-03-31T00:00:00"/>
    <x v="1"/>
    <n v="32"/>
    <n v="0"/>
    <n v="32"/>
    <n v="0"/>
    <n v="0"/>
    <n v="0"/>
    <n v="17"/>
    <n v="3"/>
    <n v="0"/>
    <n v="0"/>
    <n v="0"/>
    <n v="0"/>
    <n v="3"/>
    <n v="0"/>
    <n v="0"/>
    <n v="0"/>
    <n v="0"/>
    <n v="0"/>
    <n v="0"/>
    <n v="0"/>
    <n v="0"/>
    <n v="0"/>
    <n v="0"/>
    <n v="0"/>
    <n v="0"/>
    <m/>
  </r>
  <r>
    <n v="1505"/>
    <d v="2025-04-04T10:46:00"/>
    <d v="2025-04-04T10:52:56"/>
    <s v="mchirwa@lighthouse.org.mw"/>
    <s v="Margaret Chirwa"/>
    <s v="Area_18"/>
    <s v="Prototype"/>
    <x v="2"/>
    <x v="0"/>
    <s v="COP_24"/>
    <s v="Quarter1"/>
    <x v="2"/>
    <s v="Qtr_2"/>
    <x v="3"/>
    <d v="2025-03-01T00:00:00"/>
    <d v="2025-03-31T00:00:00"/>
    <x v="3"/>
    <n v="3"/>
    <n v="0"/>
    <n v="3"/>
    <n v="0"/>
    <n v="0"/>
    <n v="0"/>
    <n v="0"/>
    <n v="0"/>
    <n v="0"/>
    <n v="0"/>
    <n v="0"/>
    <n v="0"/>
    <n v="0"/>
    <n v="0"/>
    <n v="0"/>
    <n v="0"/>
    <n v="0"/>
    <n v="0"/>
    <n v="0"/>
    <n v="0"/>
    <n v="0"/>
    <n v="0"/>
    <n v="0"/>
    <n v="0"/>
    <n v="0"/>
    <m/>
  </r>
  <r>
    <n v="1506"/>
    <d v="2025-04-04T10:53:00"/>
    <d v="2025-04-04T10:55:21"/>
    <s v="mchirwa@lighthouse.org.mw"/>
    <s v="Margaret Chirwa"/>
    <s v="Area_18"/>
    <s v="Prototype"/>
    <x v="2"/>
    <x v="0"/>
    <s v="COP_24"/>
    <s v="Quarter1"/>
    <x v="2"/>
    <s v="Qtr_2"/>
    <x v="3"/>
    <d v="2025-03-01T00:00:00"/>
    <d v="2025-03-31T00:00:00"/>
    <x v="4"/>
    <n v="0"/>
    <n v="0"/>
    <n v="0"/>
    <n v="0"/>
    <n v="0"/>
    <n v="0"/>
    <n v="0"/>
    <n v="0"/>
    <n v="0"/>
    <n v="0"/>
    <n v="0"/>
    <n v="0"/>
    <n v="0"/>
    <n v="0"/>
    <n v="0"/>
    <n v="0"/>
    <n v="0"/>
    <n v="0"/>
    <n v="0"/>
    <n v="0"/>
    <n v="0"/>
    <n v="0"/>
    <n v="0"/>
    <n v="0"/>
    <n v="0"/>
    <m/>
  </r>
  <r>
    <n v="1507"/>
    <d v="2025-04-04T10:55:31"/>
    <d v="2025-04-04T10:58:34"/>
    <s v="mchirwa@lighthouse.org.mw"/>
    <s v="Margaret Chirwa"/>
    <s v="Area_18"/>
    <s v="Prototype"/>
    <x v="2"/>
    <x v="0"/>
    <s v="COP_24"/>
    <s v="Quarter1"/>
    <x v="2"/>
    <s v="Qtr_2"/>
    <x v="3"/>
    <d v="2025-03-01T00:00:00"/>
    <d v="2025-03-31T00:00:00"/>
    <x v="5"/>
    <n v="1"/>
    <n v="0"/>
    <n v="1"/>
    <n v="0"/>
    <n v="0"/>
    <n v="0"/>
    <n v="0"/>
    <n v="1"/>
    <n v="0"/>
    <n v="0"/>
    <n v="0"/>
    <n v="0"/>
    <n v="1"/>
    <n v="0"/>
    <n v="0"/>
    <n v="0"/>
    <n v="0"/>
    <n v="0"/>
    <n v="0"/>
    <n v="0"/>
    <n v="0"/>
    <n v="0"/>
    <n v="0"/>
    <n v="0"/>
    <n v="0"/>
    <m/>
  </r>
  <r>
    <n v="1508"/>
    <d v="2025-04-04T11:11:58"/>
    <d v="2025-04-04T11:25:58"/>
    <s v="mchirwa@lighthouse.org.mw"/>
    <s v="Margaret Chirwa"/>
    <s v="Area_18"/>
    <s v="Prototype"/>
    <x v="2"/>
    <x v="0"/>
    <s v="COP_24"/>
    <s v="Quarter1"/>
    <x v="2"/>
    <s v="Qtr_2"/>
    <x v="3"/>
    <d v="2025-03-01T00:00:00"/>
    <d v="2025-03-31T00:00:00"/>
    <x v="2"/>
    <n v="9"/>
    <n v="0"/>
    <n v="7"/>
    <n v="1"/>
    <n v="0"/>
    <n v="1"/>
    <n v="7"/>
    <n v="1"/>
    <n v="0"/>
    <n v="0"/>
    <n v="0"/>
    <n v="0"/>
    <n v="1"/>
    <n v="1"/>
    <n v="0"/>
    <n v="0"/>
    <n v="0"/>
    <n v="0"/>
    <n v="0"/>
    <n v="0"/>
    <n v="1"/>
    <n v="0"/>
    <n v="0"/>
    <n v="0"/>
    <n v="0"/>
    <m/>
  </r>
  <r>
    <n v="1509"/>
    <d v="2025-04-04T11:27:05"/>
    <d v="2025-04-04T11:30:09"/>
    <s v="mchirwa@lighthouse.org.mw"/>
    <s v="Margaret Chirwa"/>
    <s v="Area_18"/>
    <s v="Prototype"/>
    <x v="2"/>
    <x v="0"/>
    <s v="COP_24"/>
    <s v="Quarter1"/>
    <x v="2"/>
    <s v="Qtr_2"/>
    <x v="3"/>
    <d v="2025-03-01T00:00:00"/>
    <d v="2025-03-31T00:00:00"/>
    <x v="6"/>
    <n v="0"/>
    <n v="0"/>
    <n v="0"/>
    <n v="0"/>
    <n v="0"/>
    <n v="0"/>
    <n v="0"/>
    <n v="0"/>
    <n v="0"/>
    <n v="0"/>
    <n v="0"/>
    <n v="0"/>
    <n v="0"/>
    <n v="0"/>
    <n v="0"/>
    <n v="0"/>
    <n v="0"/>
    <n v="0"/>
    <n v="0"/>
    <n v="0"/>
    <n v="0"/>
    <n v="0"/>
    <n v="0"/>
    <n v="0"/>
    <n v="0"/>
    <m/>
  </r>
  <r>
    <n v="1510"/>
    <d v="2025-04-04T11:30:30"/>
    <d v="2025-04-04T11:31:36"/>
    <s v="mchirwa@lighthouse.org.mw"/>
    <s v="Margaret Chirwa"/>
    <s v="Area_18"/>
    <s v="Prototype"/>
    <x v="2"/>
    <x v="0"/>
    <s v="COP_24"/>
    <s v="Quarter1"/>
    <x v="2"/>
    <s v="Qtr_2"/>
    <x v="3"/>
    <d v="2025-03-01T00:00:00"/>
    <d v="2025-03-31T00:00:00"/>
    <x v="0"/>
    <n v="44"/>
    <n v="1"/>
    <n v="41"/>
    <n v="1"/>
    <n v="0"/>
    <n v="1"/>
    <n v="27"/>
    <n v="5"/>
    <n v="0"/>
    <n v="0"/>
    <n v="0"/>
    <n v="0"/>
    <n v="5"/>
    <n v="1"/>
    <n v="0"/>
    <n v="0"/>
    <n v="0"/>
    <n v="0"/>
    <n v="0"/>
    <n v="0"/>
    <n v="1"/>
    <n v="0"/>
    <n v="0"/>
    <n v="0"/>
    <n v="0"/>
    <m/>
  </r>
  <r>
    <n v="1583"/>
    <d v="2025-05-07T08:22:33"/>
    <d v="2025-05-07T08:42:57"/>
    <s v="mchirwa@lighthouse.org.mw"/>
    <s v="Margaret Chirwa"/>
    <s v="Area_18"/>
    <s v="Prototype"/>
    <x v="2"/>
    <x v="0"/>
    <m/>
    <s v="Quarter3"/>
    <x v="3"/>
    <m/>
    <x v="7"/>
    <d v="2025-04-01T00:00:00"/>
    <d v="2025-04-30T00:00:00"/>
    <x v="1"/>
    <n v="32"/>
    <n v="32"/>
    <n v="31"/>
    <n v="1"/>
    <n v="0"/>
    <n v="0"/>
    <n v="32"/>
    <n v="6"/>
    <n v="8"/>
    <n v="0"/>
    <n v="0"/>
    <n v="0"/>
    <n v="8"/>
    <n v="0"/>
    <n v="0"/>
    <n v="0"/>
    <n v="0"/>
    <n v="0"/>
    <n v="0"/>
    <n v="0"/>
    <n v="0"/>
    <n v="0"/>
    <n v="0"/>
    <n v="0"/>
    <n v="0"/>
    <m/>
  </r>
  <r>
    <n v="1584"/>
    <d v="2025-05-07T08:43:36"/>
    <d v="2025-05-07T08:45:57"/>
    <s v="mchirwa@lighthouse.org.mw"/>
    <s v="Margaret Chirwa"/>
    <s v="Area_18"/>
    <s v="Prototype"/>
    <x v="2"/>
    <x v="0"/>
    <m/>
    <s v="Quarter3"/>
    <x v="3"/>
    <m/>
    <x v="7"/>
    <d v="2025-04-01T00:00:00"/>
    <d v="2025-04-30T00:00:00"/>
    <x v="3"/>
    <n v="0"/>
    <n v="0"/>
    <n v="0"/>
    <n v="0"/>
    <n v="0"/>
    <n v="0"/>
    <n v="0"/>
    <n v="0"/>
    <n v="0"/>
    <n v="0"/>
    <n v="0"/>
    <n v="0"/>
    <n v="0"/>
    <n v="0"/>
    <n v="0"/>
    <n v="0"/>
    <n v="0"/>
    <n v="0"/>
    <n v="0"/>
    <n v="0"/>
    <n v="0"/>
    <n v="0"/>
    <n v="0"/>
    <n v="0"/>
    <n v="0"/>
    <m/>
  </r>
  <r>
    <n v="1585"/>
    <d v="2025-05-07T08:46:02"/>
    <d v="2025-05-07T08:48:04"/>
    <s v="mchirwa@lighthouse.org.mw"/>
    <s v="Margaret Chirwa"/>
    <s v="Area_18"/>
    <s v="Prototype"/>
    <x v="2"/>
    <x v="0"/>
    <m/>
    <s v="Quarter2"/>
    <x v="3"/>
    <m/>
    <x v="7"/>
    <d v="2025-04-01T00:00:00"/>
    <d v="2025-04-30T00:00:00"/>
    <x v="4"/>
    <n v="2"/>
    <n v="0"/>
    <n v="2"/>
    <n v="0"/>
    <n v="0"/>
    <n v="0"/>
    <n v="2"/>
    <n v="0"/>
    <n v="0"/>
    <n v="0"/>
    <n v="0"/>
    <n v="0"/>
    <n v="0"/>
    <n v="0"/>
    <n v="0"/>
    <n v="0"/>
    <n v="0"/>
    <n v="0"/>
    <n v="0"/>
    <n v="0"/>
    <n v="0"/>
    <n v="0"/>
    <n v="0"/>
    <n v="0"/>
    <n v="0"/>
    <m/>
  </r>
  <r>
    <n v="1586"/>
    <d v="2025-05-07T08:48:09"/>
    <d v="2025-05-07T08:56:40"/>
    <s v="mchirwa@lighthouse.org.mw"/>
    <s v="Margaret Chirwa"/>
    <s v="Area_18"/>
    <s v="Prototype"/>
    <x v="2"/>
    <x v="0"/>
    <m/>
    <s v="Quarter2"/>
    <x v="3"/>
    <m/>
    <x v="7"/>
    <d v="2025-04-01T00:00:00"/>
    <d v="2025-04-30T00:00:00"/>
    <x v="5"/>
    <n v="16"/>
    <n v="0"/>
    <n v="1"/>
    <n v="0"/>
    <n v="0"/>
    <n v="0"/>
    <n v="1"/>
    <n v="0"/>
    <n v="0"/>
    <n v="0"/>
    <n v="0"/>
    <n v="0"/>
    <n v="0"/>
    <n v="0"/>
    <n v="0"/>
    <n v="0"/>
    <n v="0"/>
    <n v="0"/>
    <n v="0"/>
    <n v="0"/>
    <n v="0"/>
    <n v="0"/>
    <n v="0"/>
    <n v="0"/>
    <n v="0"/>
    <m/>
  </r>
  <r>
    <n v="1588"/>
    <d v="2025-05-07T09:02:49"/>
    <d v="2025-05-07T09:13:02"/>
    <s v="mchirwa@lighthouse.org.mw"/>
    <s v="Margaret Chirwa"/>
    <s v="Area_18"/>
    <s v="Prototype"/>
    <x v="2"/>
    <x v="0"/>
    <m/>
    <s v="Quarter2"/>
    <x v="3"/>
    <m/>
    <x v="7"/>
    <d v="2025-04-01T00:00:00"/>
    <d v="2025-04-30T00:00:00"/>
    <x v="0"/>
    <n v="42"/>
    <n v="0"/>
    <n v="40"/>
    <n v="2"/>
    <n v="0"/>
    <n v="0"/>
    <n v="42"/>
    <n v="9"/>
    <n v="10"/>
    <n v="0"/>
    <n v="0"/>
    <n v="0"/>
    <n v="10"/>
    <n v="0"/>
    <n v="0"/>
    <n v="0"/>
    <n v="0"/>
    <n v="0"/>
    <n v="0"/>
    <n v="0"/>
    <n v="0"/>
    <n v="0"/>
    <n v="0"/>
    <n v="0"/>
    <n v="0"/>
    <m/>
  </r>
  <r>
    <n v="1671"/>
    <d v="2025-06-11T08:23:40"/>
    <d v="2025-06-11T09:08:00"/>
    <s v="mchirwa@lighthouse.org.mw"/>
    <s v="Margaret Chirwa"/>
    <s v="Area_18"/>
    <s v="Prototype"/>
    <x v="2"/>
    <x v="0"/>
    <m/>
    <s v="Quarter2"/>
    <x v="3"/>
    <m/>
    <x v="6"/>
    <d v="2025-05-01T00:00:00"/>
    <d v="2025-05-31T00:00:00"/>
    <x v="1"/>
    <n v="55"/>
    <n v="1"/>
    <n v="48"/>
    <n v="5"/>
    <n v="1"/>
    <n v="0"/>
    <n v="53"/>
    <n v="8"/>
    <n v="8"/>
    <n v="0"/>
    <n v="0"/>
    <n v="0"/>
    <n v="8"/>
    <n v="0"/>
    <n v="0"/>
    <n v="0"/>
    <n v="0"/>
    <n v="0"/>
    <n v="0"/>
    <n v="0"/>
    <n v="1"/>
    <n v="0"/>
    <n v="0"/>
    <n v="0"/>
    <n v="0"/>
    <m/>
  </r>
  <r>
    <n v="1672"/>
    <d v="2025-06-11T09:08:07"/>
    <d v="2025-06-11T09:10:14"/>
    <s v="mchirwa@lighthouse.org.mw"/>
    <s v="Margaret Chirwa"/>
    <s v="Area_18"/>
    <s v="Prototype"/>
    <x v="2"/>
    <x v="0"/>
    <m/>
    <s v="Quarter2"/>
    <x v="3"/>
    <m/>
    <x v="6"/>
    <d v="2025-05-01T00:00:00"/>
    <d v="2025-05-31T00:00:00"/>
    <x v="3"/>
    <n v="1"/>
    <n v="0"/>
    <n v="1"/>
    <n v="0"/>
    <n v="0"/>
    <n v="0"/>
    <n v="0"/>
    <n v="0"/>
    <n v="0"/>
    <n v="0"/>
    <n v="0"/>
    <n v="0"/>
    <n v="0"/>
    <n v="0"/>
    <n v="0"/>
    <n v="0"/>
    <n v="0"/>
    <n v="0"/>
    <n v="0"/>
    <n v="0"/>
    <n v="0"/>
    <n v="0"/>
    <n v="0"/>
    <n v="0"/>
    <n v="0"/>
    <m/>
  </r>
  <r>
    <n v="1673"/>
    <d v="2025-06-11T09:10:34"/>
    <d v="2025-06-11T09:12:47"/>
    <s v="mchirwa@lighthouse.org.mw"/>
    <s v="Margaret Chirwa"/>
    <s v="Area_18"/>
    <s v="Prototype"/>
    <x v="1"/>
    <x v="0"/>
    <m/>
    <s v="Quarter2"/>
    <x v="3"/>
    <m/>
    <x v="6"/>
    <d v="2025-05-01T00:00:00"/>
    <d v="2025-05-31T00:00:00"/>
    <x v="4"/>
    <n v="2"/>
    <n v="0"/>
    <n v="0"/>
    <n v="0"/>
    <n v="0"/>
    <n v="0"/>
    <n v="0"/>
    <n v="0"/>
    <n v="0"/>
    <n v="0"/>
    <n v="0"/>
    <n v="0"/>
    <n v="0"/>
    <n v="0"/>
    <n v="0"/>
    <n v="0"/>
    <n v="0"/>
    <n v="0"/>
    <n v="0"/>
    <n v="0"/>
    <n v="0"/>
    <n v="0"/>
    <n v="0"/>
    <n v="0"/>
    <n v="0"/>
    <m/>
  </r>
  <r>
    <n v="1674"/>
    <d v="2025-06-11T09:13:33"/>
    <d v="2025-06-11T09:14:49"/>
    <s v="mchirwa@lighthouse.org.mw"/>
    <s v="Margaret Chirwa"/>
    <s v="Area_18"/>
    <s v="Prototype"/>
    <x v="2"/>
    <x v="0"/>
    <m/>
    <s v="Quarter2"/>
    <x v="3"/>
    <m/>
    <x v="6"/>
    <d v="2025-05-01T00:00:00"/>
    <d v="2025-05-31T00:00:00"/>
    <x v="5"/>
    <n v="6"/>
    <n v="0"/>
    <n v="0"/>
    <n v="0"/>
    <n v="0"/>
    <n v="0"/>
    <n v="0"/>
    <n v="0"/>
    <n v="0"/>
    <n v="0"/>
    <n v="0"/>
    <n v="0"/>
    <n v="0"/>
    <n v="0"/>
    <n v="0"/>
    <n v="0"/>
    <n v="0"/>
    <n v="0"/>
    <n v="0"/>
    <n v="0"/>
    <n v="0"/>
    <n v="0"/>
    <n v="0"/>
    <n v="0"/>
    <n v="0"/>
    <m/>
  </r>
  <r>
    <n v="1675"/>
    <d v="2025-06-11T09:15:08"/>
    <d v="2025-06-11T09:16:39"/>
    <s v="mchirwa@lighthouse.org.mw"/>
    <s v="Margaret Chirwa"/>
    <s v="Area_18"/>
    <s v="Prototype"/>
    <x v="2"/>
    <x v="0"/>
    <m/>
    <s v="Quarter2"/>
    <x v="3"/>
    <m/>
    <x v="6"/>
    <d v="2025-05-01T00:00:00"/>
    <d v="2025-05-31T00:00:00"/>
    <x v="2"/>
    <n v="88"/>
    <n v="0"/>
    <n v="8"/>
    <n v="0"/>
    <n v="0"/>
    <n v="0"/>
    <n v="8"/>
    <n v="3"/>
    <n v="3"/>
    <n v="0"/>
    <n v="0"/>
    <n v="0"/>
    <n v="3"/>
    <n v="0"/>
    <n v="0"/>
    <n v="0"/>
    <n v="0"/>
    <n v="0"/>
    <n v="0"/>
    <n v="0"/>
    <n v="0"/>
    <n v="0"/>
    <n v="0"/>
    <n v="0"/>
    <n v="0"/>
    <m/>
  </r>
  <r>
    <n v="1676"/>
    <d v="2025-06-11T09:16:53"/>
    <d v="2025-06-11T09:19:06"/>
    <s v="mchirwa@lighthouse.org.mw"/>
    <s v="Margaret Chirwa"/>
    <s v="Area_18"/>
    <s v="Prototype"/>
    <x v="2"/>
    <x v="0"/>
    <m/>
    <s v="Quarter2"/>
    <x v="3"/>
    <m/>
    <x v="6"/>
    <d v="2025-05-01T00:00:00"/>
    <d v="2025-05-31T00:00:00"/>
    <x v="0"/>
    <n v="64"/>
    <n v="1"/>
    <n v="58"/>
    <n v="5"/>
    <n v="1"/>
    <n v="0"/>
    <n v="63"/>
    <n v="10"/>
    <n v="10"/>
    <n v="0"/>
    <n v="0"/>
    <n v="0"/>
    <n v="10"/>
    <n v="0"/>
    <n v="0"/>
    <n v="0"/>
    <n v="0"/>
    <n v="0"/>
    <n v="0"/>
    <n v="0"/>
    <n v="1"/>
    <n v="0"/>
    <n v="0"/>
    <n v="0"/>
    <n v="0"/>
    <m/>
  </r>
  <r>
    <n v="1770"/>
    <d v="2025-07-09T14:15:25"/>
    <d v="2025-07-09T14:19:13"/>
    <s v="mchirwa@lighthouse.org.mw"/>
    <s v="Margaret Chirwa"/>
    <s v="Area_18"/>
    <s v="Prototype"/>
    <x v="2"/>
    <x v="0"/>
    <m/>
    <s v="Quarter3"/>
    <x v="2"/>
    <m/>
    <x v="8"/>
    <d v="2025-06-01T00:00:00"/>
    <d v="2025-06-30T00:00:00"/>
    <x v="1"/>
    <n v="37"/>
    <n v="0"/>
    <n v="32"/>
    <n v="3"/>
    <n v="2"/>
    <n v="0"/>
    <n v="37"/>
    <n v="8"/>
    <n v="8"/>
    <n v="1"/>
    <n v="0"/>
    <n v="0"/>
    <n v="8"/>
    <n v="2"/>
    <n v="0"/>
    <n v="0"/>
    <n v="0"/>
    <n v="0"/>
    <n v="0"/>
    <n v="0"/>
    <n v="2"/>
    <n v="0"/>
    <n v="0"/>
    <n v="0"/>
    <n v="0"/>
    <m/>
  </r>
  <r>
    <n v="1771"/>
    <d v="2025-07-09T14:19:23"/>
    <d v="2025-07-09T14:20:47"/>
    <s v="mchirwa@lighthouse.org.mw"/>
    <s v="Margaret Chirwa"/>
    <s v="Area_18"/>
    <s v="Prototype"/>
    <x v="2"/>
    <x v="0"/>
    <m/>
    <s v="Quarter2"/>
    <x v="3"/>
    <m/>
    <x v="8"/>
    <d v="2025-06-01T00:00:00"/>
    <d v="2025-06-30T00:00:00"/>
    <x v="3"/>
    <n v="0"/>
    <n v="0"/>
    <n v="0"/>
    <n v="0"/>
    <n v="0"/>
    <n v="0"/>
    <n v="0"/>
    <n v="0"/>
    <n v="0"/>
    <n v="0"/>
    <n v="0"/>
    <n v="0"/>
    <n v="0"/>
    <n v="0"/>
    <n v="0"/>
    <n v="0"/>
    <n v="0"/>
    <n v="0"/>
    <n v="0"/>
    <n v="0"/>
    <n v="0"/>
    <n v="0"/>
    <n v="0"/>
    <n v="0"/>
    <n v="0"/>
    <m/>
  </r>
  <r>
    <n v="1772"/>
    <d v="2025-07-09T14:20:56"/>
    <d v="2025-07-09T14:21:56"/>
    <s v="mchirwa@lighthouse.org.mw"/>
    <s v="Margaret Chirwa"/>
    <s v="Area_18"/>
    <s v="Prototype"/>
    <x v="2"/>
    <x v="0"/>
    <m/>
    <s v="Quarter2"/>
    <x v="3"/>
    <m/>
    <x v="8"/>
    <d v="2025-06-01T00:00:00"/>
    <d v="2025-06-30T00:00:00"/>
    <x v="4"/>
    <n v="2"/>
    <n v="0"/>
    <n v="0"/>
    <n v="0"/>
    <n v="0"/>
    <n v="0"/>
    <n v="0"/>
    <n v="0"/>
    <n v="0"/>
    <n v="0"/>
    <n v="0"/>
    <n v="0"/>
    <n v="0"/>
    <n v="0"/>
    <n v="0"/>
    <n v="0"/>
    <n v="0"/>
    <n v="0"/>
    <n v="0"/>
    <n v="0"/>
    <n v="0"/>
    <n v="0"/>
    <n v="0"/>
    <n v="0"/>
    <n v="0"/>
    <m/>
  </r>
  <r>
    <n v="1773"/>
    <d v="2025-07-09T14:22:01"/>
    <d v="2025-07-09T14:24:10"/>
    <s v="mchirwa@lighthouse.org.mw"/>
    <s v="Margaret Chirwa"/>
    <s v="Area_18"/>
    <s v="Prototype"/>
    <x v="2"/>
    <x v="0"/>
    <m/>
    <s v="Quarter2"/>
    <x v="3"/>
    <m/>
    <x v="8"/>
    <d v="2025-06-01T00:00:00"/>
    <d v="2025-06-30T00:00:00"/>
    <x v="4"/>
    <n v="2"/>
    <n v="0"/>
    <n v="2"/>
    <n v="0"/>
    <n v="0"/>
    <n v="0"/>
    <n v="2"/>
    <n v="0"/>
    <n v="0"/>
    <n v="0"/>
    <n v="0"/>
    <n v="0"/>
    <n v="2"/>
    <n v="0"/>
    <n v="0"/>
    <n v="0"/>
    <n v="0"/>
    <n v="0"/>
    <n v="0"/>
    <n v="0"/>
    <n v="0"/>
    <n v="0"/>
    <n v="0"/>
    <n v="0"/>
    <n v="0"/>
    <m/>
  </r>
  <r>
    <n v="1774"/>
    <d v="2025-07-09T14:24:20"/>
    <d v="2025-07-09T14:25:26"/>
    <s v="mchirwa@lighthouse.org.mw"/>
    <s v="Margaret Chirwa"/>
    <s v="Area_18"/>
    <s v="Prototype"/>
    <x v="2"/>
    <x v="0"/>
    <m/>
    <s v="Quarter2"/>
    <x v="3"/>
    <m/>
    <x v="8"/>
    <d v="2025-06-01T00:00:00"/>
    <d v="2025-06-30T00:00:00"/>
    <x v="5"/>
    <n v="6"/>
    <n v="0"/>
    <n v="0"/>
    <n v="0"/>
    <n v="0"/>
    <n v="0"/>
    <n v="0"/>
    <n v="0"/>
    <n v="0"/>
    <n v="0"/>
    <n v="0"/>
    <n v="0"/>
    <n v="0"/>
    <n v="0"/>
    <n v="0"/>
    <n v="0"/>
    <n v="0"/>
    <n v="0"/>
    <n v="0"/>
    <n v="0"/>
    <n v="0"/>
    <n v="0"/>
    <n v="0"/>
    <n v="0"/>
    <n v="0"/>
    <m/>
  </r>
  <r>
    <n v="1775"/>
    <d v="2025-07-09T14:25:36"/>
    <d v="2025-07-09T14:30:45"/>
    <s v="mchirwa@lighthouse.org.mw"/>
    <s v="Margaret Chirwa"/>
    <s v="Area_18"/>
    <s v="Prototype"/>
    <x v="2"/>
    <x v="0"/>
    <m/>
    <s v="Quarter2"/>
    <x v="3"/>
    <m/>
    <x v="8"/>
    <d v="2025-06-01T00:00:00"/>
    <d v="2025-06-30T00:00:00"/>
    <x v="2"/>
    <n v="74"/>
    <n v="0"/>
    <n v="16"/>
    <n v="0"/>
    <n v="1"/>
    <n v="16"/>
    <n v="3"/>
    <n v="4"/>
    <n v="0"/>
    <n v="0"/>
    <n v="0"/>
    <n v="0"/>
    <n v="4"/>
    <n v="0"/>
    <n v="0"/>
    <n v="0"/>
    <n v="0"/>
    <n v="0"/>
    <n v="0"/>
    <n v="0"/>
    <n v="0"/>
    <n v="0"/>
    <n v="0"/>
    <n v="0"/>
    <n v="0"/>
    <m/>
  </r>
  <r>
    <n v="1776"/>
    <d v="2025-07-09T14:30:52"/>
    <d v="2025-07-09T14:33:07"/>
    <s v="mchirwa@lighthouse.org.mw"/>
    <s v="Margaret Chirwa"/>
    <s v="Area_18"/>
    <s v="Prototype"/>
    <x v="2"/>
    <x v="0"/>
    <m/>
    <s v="Quarter2"/>
    <x v="3"/>
    <m/>
    <x v="8"/>
    <d v="2025-06-01T00:00:00"/>
    <d v="2025-06-30T00:00:00"/>
    <x v="0"/>
    <n v="54"/>
    <n v="1"/>
    <n v="48"/>
    <n v="3"/>
    <n v="3"/>
    <n v="0"/>
    <n v="53"/>
    <n v="10"/>
    <n v="11"/>
    <n v="1"/>
    <n v="0"/>
    <n v="0"/>
    <n v="11"/>
    <n v="2"/>
    <n v="0"/>
    <n v="0"/>
    <n v="0"/>
    <n v="0"/>
    <n v="0"/>
    <n v="0"/>
    <n v="2"/>
    <n v="0"/>
    <n v="0"/>
    <n v="0"/>
    <n v="0"/>
    <m/>
  </r>
  <r>
    <n v="43"/>
    <d v="2023-12-20T11:23:15"/>
    <d v="2023-12-20T11:36:38"/>
    <s v="bchirwa@lighthouse.org.mw"/>
    <s v="Bethsheba Chirwa"/>
    <s v="Chileka"/>
    <s v="Prototype"/>
    <x v="0"/>
    <x v="0"/>
    <s v="COP_22"/>
    <s v="Quarter3"/>
    <x v="1"/>
    <s v="Qtr_4"/>
    <x v="2"/>
    <d v="2023-09-01T00:00:00"/>
    <d v="2023-09-30T00:00:00"/>
    <x v="0"/>
    <n v="21"/>
    <n v="0"/>
    <n v="1"/>
    <n v="1"/>
    <n v="0"/>
    <n v="0"/>
    <n v="2"/>
    <n v="0"/>
    <n v="0"/>
    <n v="0"/>
    <n v="0"/>
    <n v="0"/>
    <n v="0"/>
    <n v="0"/>
    <n v="0"/>
    <n v="0"/>
    <n v="0"/>
    <n v="0"/>
    <n v="0"/>
    <n v="0"/>
    <n v="0"/>
    <n v="0"/>
    <n v="0"/>
    <n v="0"/>
    <n v="0"/>
    <m/>
  </r>
  <r>
    <n v="45"/>
    <d v="2023-12-20T11:36:46"/>
    <d v="2023-12-20T11:43:52"/>
    <s v="bchirwa@lighthouse.org.mw"/>
    <s v="Bethsheba Chirwa"/>
    <s v="Chileka"/>
    <s v="Prototype"/>
    <x v="0"/>
    <x v="0"/>
    <s v="COP_23"/>
    <s v="Quarter4"/>
    <x v="0"/>
    <s v="Qtr_1"/>
    <x v="0"/>
    <d v="2023-10-01T00:00:00"/>
    <d v="2023-10-31T00:00:00"/>
    <x v="0"/>
    <n v="10"/>
    <n v="0"/>
    <n v="10"/>
    <n v="0"/>
    <n v="0"/>
    <n v="0"/>
    <n v="0"/>
    <n v="2"/>
    <n v="2"/>
    <n v="0"/>
    <n v="0"/>
    <n v="0"/>
    <n v="2"/>
    <n v="0"/>
    <n v="0"/>
    <n v="0"/>
    <n v="0"/>
    <n v="0"/>
    <n v="0"/>
    <n v="0"/>
    <n v="0"/>
    <n v="0"/>
    <n v="0"/>
    <n v="0"/>
    <n v="0"/>
    <m/>
  </r>
  <r>
    <n v="48"/>
    <d v="2023-12-20T11:44:15"/>
    <d v="2023-12-20T11:56:48"/>
    <s v="bchirwa@lighthouse.org.mw"/>
    <s v="Bethsheba Chirwa"/>
    <s v="Chileka"/>
    <s v="Prototype"/>
    <x v="0"/>
    <x v="0"/>
    <s v="COP_23"/>
    <s v="Quarter4"/>
    <x v="0"/>
    <s v="Qtr_1"/>
    <x v="1"/>
    <d v="2023-11-01T00:00:00"/>
    <d v="2023-11-30T00:00:00"/>
    <x v="0"/>
    <n v="13"/>
    <n v="0"/>
    <n v="9"/>
    <n v="0"/>
    <n v="0"/>
    <n v="0"/>
    <n v="0"/>
    <n v="0"/>
    <n v="0"/>
    <n v="0"/>
    <n v="0"/>
    <n v="0"/>
    <n v="0"/>
    <n v="0"/>
    <n v="0"/>
    <n v="0"/>
    <n v="0"/>
    <n v="0"/>
    <n v="0"/>
    <n v="0"/>
    <n v="0"/>
    <n v="0"/>
    <n v="0"/>
    <n v="0"/>
    <n v="0"/>
    <m/>
  </r>
  <r>
    <n v="63"/>
    <d v="2024-01-09T10:50:23"/>
    <d v="2024-01-09T11:52:20"/>
    <s v="bchirwa@lighthouse.org.mw"/>
    <s v="Bethsheba Chirwa"/>
    <s v="Chileka"/>
    <s v="Prototype"/>
    <x v="0"/>
    <x v="0"/>
    <s v="COP_23"/>
    <s v="Quarter4"/>
    <x v="0"/>
    <s v="Qtr_1"/>
    <x v="11"/>
    <d v="2023-12-01T00:00:00"/>
    <d v="2023-12-31T00:00:00"/>
    <x v="0"/>
    <n v="13"/>
    <n v="0"/>
    <n v="7"/>
    <n v="4"/>
    <n v="0"/>
    <n v="0"/>
    <n v="8"/>
    <n v="0"/>
    <n v="0"/>
    <n v="0"/>
    <n v="0"/>
    <n v="0"/>
    <n v="0"/>
    <n v="0"/>
    <n v="0"/>
    <n v="0"/>
    <n v="0"/>
    <n v="0"/>
    <n v="0"/>
    <n v="0"/>
    <n v="0"/>
    <n v="0"/>
    <n v="0"/>
    <n v="0"/>
    <n v="0"/>
    <m/>
  </r>
  <r>
    <n v="109"/>
    <d v="2024-01-23T10:27:28"/>
    <d v="2024-01-23T10:31:57"/>
    <s v="bchirwa@lighthouse.org.mw"/>
    <s v="Bethsheba Chirwa"/>
    <s v="Chileka"/>
    <s v="Prototype"/>
    <x v="0"/>
    <x v="0"/>
    <s v="COP_23"/>
    <s v="Quarter4"/>
    <x v="0"/>
    <s v="Qtr_1"/>
    <x v="11"/>
    <d v="2023-12-01T00:00:00"/>
    <d v="2023-12-31T00:00:00"/>
    <x v="1"/>
    <n v="11"/>
    <n v="0"/>
    <n v="7"/>
    <n v="4"/>
    <n v="0"/>
    <n v="0"/>
    <n v="11"/>
    <n v="0"/>
    <n v="0"/>
    <n v="0"/>
    <n v="0"/>
    <n v="0"/>
    <n v="0"/>
    <n v="0"/>
    <n v="0"/>
    <n v="0"/>
    <n v="0"/>
    <n v="0"/>
    <n v="0"/>
    <n v="0"/>
    <n v="0"/>
    <n v="0"/>
    <n v="0"/>
    <n v="0"/>
    <n v="0"/>
    <m/>
  </r>
  <r>
    <n v="188"/>
    <d v="2024-04-04T12:26:15"/>
    <d v="2024-04-04T12:41:39"/>
    <s v="bchirwa@lighthouse.org.mw"/>
    <s v="Bethsheba Chirwa"/>
    <s v="Chileka"/>
    <s v="Prototype"/>
    <x v="1"/>
    <x v="0"/>
    <s v="COP_23"/>
    <s v="Quarter1"/>
    <x v="2"/>
    <s v="Qtr_2"/>
    <x v="4"/>
    <d v="2024-01-01T00:00:00"/>
    <d v="2024-01-31T00:00:00"/>
    <x v="1"/>
    <n v="46"/>
    <n v="1"/>
    <n v="9"/>
    <n v="2"/>
    <n v="1"/>
    <n v="0"/>
    <n v="12"/>
    <n v="2"/>
    <n v="2"/>
    <n v="0"/>
    <n v="0"/>
    <n v="0"/>
    <n v="2"/>
    <n v="0"/>
    <n v="0"/>
    <n v="0"/>
    <n v="0"/>
    <n v="0"/>
    <n v="0"/>
    <n v="0"/>
    <n v="0"/>
    <n v="0"/>
    <n v="0"/>
    <n v="0"/>
    <n v="0"/>
    <m/>
  </r>
  <r>
    <n v="190"/>
    <d v="2024-04-04T12:55:07"/>
    <d v="2024-04-04T13:01:30"/>
    <s v="bchirwa@lighthouse.org.mw"/>
    <s v="Bethsheba Chirwa"/>
    <s v="Chileka"/>
    <s v="Prototype"/>
    <x v="1"/>
    <x v="0"/>
    <s v="COP_23"/>
    <s v="Quarter1"/>
    <x v="2"/>
    <s v="Qtr_2"/>
    <x v="5"/>
    <d v="2024-02-01T00:00:00"/>
    <d v="2024-02-29T00:00:00"/>
    <x v="1"/>
    <n v="17"/>
    <n v="0"/>
    <n v="15"/>
    <n v="2"/>
    <n v="0"/>
    <n v="0"/>
    <n v="17"/>
    <n v="5"/>
    <n v="5"/>
    <n v="0"/>
    <n v="0"/>
    <n v="0"/>
    <n v="5"/>
    <n v="0"/>
    <n v="0"/>
    <n v="0"/>
    <n v="0"/>
    <n v="0"/>
    <n v="0"/>
    <n v="0"/>
    <n v="0"/>
    <n v="0"/>
    <n v="0"/>
    <n v="0"/>
    <n v="0"/>
    <m/>
  </r>
  <r>
    <n v="195"/>
    <d v="2024-04-04T13:21:37"/>
    <d v="2024-04-04T13:30:59"/>
    <s v="bchirwa@lighthouse.org.mw"/>
    <s v="Bethsheba Chirwa"/>
    <s v="Chileka"/>
    <s v="Prototype"/>
    <x v="1"/>
    <x v="0"/>
    <s v="COP_23"/>
    <s v="Quarter1"/>
    <x v="2"/>
    <s v="Qtr_2"/>
    <x v="3"/>
    <d v="2024-03-01T00:00:00"/>
    <d v="2024-03-31T00:00:00"/>
    <x v="1"/>
    <n v="17"/>
    <n v="0"/>
    <n v="5"/>
    <n v="0"/>
    <n v="0"/>
    <n v="0"/>
    <n v="5"/>
    <n v="2"/>
    <n v="2"/>
    <n v="0"/>
    <n v="0"/>
    <n v="0"/>
    <n v="2"/>
    <n v="0"/>
    <n v="0"/>
    <n v="0"/>
    <n v="0"/>
    <n v="0"/>
    <n v="0"/>
    <n v="0"/>
    <n v="0"/>
    <n v="0"/>
    <n v="0"/>
    <n v="0"/>
    <n v="0"/>
    <m/>
  </r>
  <r>
    <n v="352"/>
    <d v="2024-05-07T14:24:28"/>
    <d v="2024-05-07T14:42:47"/>
    <s v="bchirwa@lighthouse.org.mw"/>
    <s v="Bethsheba Chirwa"/>
    <s v="Chileka"/>
    <s v="Prototype"/>
    <x v="1"/>
    <x v="0"/>
    <s v="COP_23"/>
    <s v="Quarter2"/>
    <x v="3"/>
    <s v="Qtr_3"/>
    <x v="7"/>
    <d v="2024-04-01T00:00:00"/>
    <d v="2024-04-30T00:00:00"/>
    <x v="1"/>
    <n v="8"/>
    <n v="0"/>
    <n v="8"/>
    <n v="0"/>
    <n v="0"/>
    <n v="0"/>
    <n v="8"/>
    <n v="1"/>
    <n v="2"/>
    <n v="0"/>
    <n v="0"/>
    <n v="0"/>
    <n v="2"/>
    <n v="1"/>
    <n v="0"/>
    <n v="0"/>
    <n v="0"/>
    <n v="0"/>
    <n v="0"/>
    <n v="0"/>
    <n v="0"/>
    <n v="0"/>
    <n v="0"/>
    <n v="0"/>
    <n v="0"/>
    <m/>
  </r>
  <r>
    <n v="490"/>
    <d v="2024-06-05T15:02:41"/>
    <d v="2024-06-05T15:41:54"/>
    <s v="bchirwa@lighthouse.org.mw"/>
    <s v="Bethsheba Chirwa"/>
    <s v="Chileka"/>
    <s v="Prototype"/>
    <x v="1"/>
    <x v="0"/>
    <s v="COP_23"/>
    <s v="Quarter2"/>
    <x v="3"/>
    <s v="Qtr_3"/>
    <x v="6"/>
    <d v="2024-05-01T00:00:00"/>
    <d v="2024-05-31T00:00:00"/>
    <x v="1"/>
    <n v="17"/>
    <n v="0"/>
    <n v="17"/>
    <n v="0"/>
    <n v="0"/>
    <n v="0"/>
    <n v="17"/>
    <n v="2"/>
    <n v="2"/>
    <n v="0"/>
    <n v="0"/>
    <n v="0"/>
    <n v="0"/>
    <n v="0"/>
    <n v="0"/>
    <n v="0"/>
    <n v="0"/>
    <n v="0"/>
    <n v="0"/>
    <n v="0"/>
    <n v="0"/>
    <n v="0"/>
    <n v="0"/>
    <n v="0"/>
    <n v="0"/>
    <m/>
  </r>
  <r>
    <n v="554"/>
    <d v="2024-07-02T10:07:57"/>
    <d v="2024-07-02T10:36:58"/>
    <s v="bchirwa@lighthouse.org.mw"/>
    <s v="Bethsheba Chirwa"/>
    <s v="Chileka"/>
    <s v="Prototype"/>
    <x v="1"/>
    <x v="0"/>
    <s v="COP_23"/>
    <s v="Quarter2"/>
    <x v="3"/>
    <s v="Qtr_3"/>
    <x v="8"/>
    <d v="2024-06-01T00:00:00"/>
    <d v="2024-06-30T00:00:00"/>
    <x v="1"/>
    <n v="12"/>
    <n v="1"/>
    <n v="10"/>
    <n v="1"/>
    <n v="1"/>
    <n v="0"/>
    <n v="12"/>
    <n v="1"/>
    <n v="1"/>
    <n v="0"/>
    <n v="0"/>
    <n v="0"/>
    <n v="0"/>
    <n v="0"/>
    <n v="0"/>
    <n v="0"/>
    <n v="0"/>
    <n v="0"/>
    <n v="0"/>
    <n v="0"/>
    <n v="0"/>
    <n v="0"/>
    <n v="0"/>
    <n v="0"/>
    <n v="0"/>
    <m/>
  </r>
  <r>
    <n v="791"/>
    <d v="2024-09-10T10:19:21"/>
    <d v="2024-09-10T10:49:54"/>
    <s v="bchirwa@lighthouse.org.mw"/>
    <s v="Bethsheba Chirwa"/>
    <s v="Chileka"/>
    <s v="Prototype"/>
    <x v="1"/>
    <x v="0"/>
    <s v="COP_23"/>
    <s v="Quarter3"/>
    <x v="1"/>
    <s v="Qtr_4"/>
    <x v="9"/>
    <d v="2024-07-01T00:00:00"/>
    <d v="2024-07-31T00:00:00"/>
    <x v="1"/>
    <n v="17"/>
    <n v="0"/>
    <n v="14"/>
    <n v="2"/>
    <n v="1"/>
    <n v="0"/>
    <n v="15"/>
    <n v="1"/>
    <n v="1"/>
    <n v="0"/>
    <n v="0"/>
    <n v="0"/>
    <n v="0"/>
    <n v="0"/>
    <n v="0"/>
    <n v="0"/>
    <n v="0"/>
    <n v="0"/>
    <n v="0"/>
    <n v="0"/>
    <n v="0"/>
    <n v="0"/>
    <n v="0"/>
    <n v="0"/>
    <n v="0"/>
    <m/>
  </r>
  <r>
    <n v="792"/>
    <d v="2024-09-10T10:50:12"/>
    <d v="2024-09-10T11:04:46"/>
    <s v="bchirwa@lighthouse.org.mw"/>
    <s v="Bethsheba Chirwa"/>
    <s v="Chileka"/>
    <s v="Prototype"/>
    <x v="1"/>
    <x v="0"/>
    <s v="COP_23"/>
    <s v="Quarter3"/>
    <x v="1"/>
    <s v="Qtr_4"/>
    <x v="10"/>
    <d v="2024-08-01T00:00:00"/>
    <d v="2024-08-31T00:00:00"/>
    <x v="1"/>
    <n v="13"/>
    <n v="0"/>
    <n v="5"/>
    <n v="0"/>
    <n v="0"/>
    <n v="0"/>
    <n v="5"/>
    <n v="0"/>
    <n v="0"/>
    <n v="0"/>
    <n v="0"/>
    <n v="0"/>
    <n v="0"/>
    <n v="0"/>
    <n v="0"/>
    <n v="0"/>
    <n v="0"/>
    <n v="0"/>
    <n v="0"/>
    <n v="0"/>
    <n v="0"/>
    <n v="0"/>
    <n v="0"/>
    <n v="0"/>
    <n v="0"/>
    <m/>
  </r>
  <r>
    <n v="898"/>
    <d v="2024-10-07T09:31:25"/>
    <d v="2024-10-07T09:50:10"/>
    <s v="bchirwa@lighthouse.org.mw"/>
    <s v="Bethsheba Chirwa"/>
    <s v="Chileka"/>
    <s v="Prototype"/>
    <x v="1"/>
    <x v="0"/>
    <s v="COP_23"/>
    <s v="Quarter3"/>
    <x v="1"/>
    <s v="Qtr_4"/>
    <x v="2"/>
    <d v="2024-09-01T00:00:00"/>
    <d v="2024-09-30T00:00:00"/>
    <x v="1"/>
    <n v="24"/>
    <n v="0"/>
    <n v="5"/>
    <n v="0"/>
    <n v="1"/>
    <n v="0"/>
    <n v="6"/>
    <n v="0"/>
    <n v="6"/>
    <n v="0"/>
    <n v="0"/>
    <n v="0"/>
    <n v="6"/>
    <n v="1"/>
    <n v="0"/>
    <n v="0"/>
    <n v="0"/>
    <n v="0"/>
    <n v="0"/>
    <n v="0"/>
    <n v="0"/>
    <n v="0"/>
    <n v="0"/>
    <n v="0"/>
    <n v="0"/>
    <m/>
  </r>
  <r>
    <n v="191"/>
    <d v="2024-04-04T13:01:42"/>
    <d v="2024-04-04T13:04:53"/>
    <s v="bchirwa@lighthouse.org.mw"/>
    <s v="Bethsheba Chirwa"/>
    <s v="Chileka"/>
    <s v="Prototype"/>
    <x v="1"/>
    <x v="0"/>
    <s v="COP_23"/>
    <s v="Quarter1"/>
    <x v="2"/>
    <s v="Qtr_2"/>
    <x v="5"/>
    <d v="2024-02-01T00:00:00"/>
    <d v="2024-02-29T00:00:00"/>
    <x v="3"/>
    <n v="1"/>
    <n v="0"/>
    <n v="0"/>
    <n v="1"/>
    <n v="0"/>
    <n v="0"/>
    <n v="1"/>
    <n v="1"/>
    <n v="1"/>
    <n v="0"/>
    <n v="0"/>
    <n v="0"/>
    <n v="1"/>
    <n v="0"/>
    <n v="0"/>
    <n v="0"/>
    <n v="0"/>
    <n v="0"/>
    <n v="0"/>
    <n v="0"/>
    <n v="0"/>
    <n v="0"/>
    <n v="0"/>
    <n v="0"/>
    <n v="0"/>
    <m/>
  </r>
  <r>
    <n v="193"/>
    <d v="2024-04-04T13:13:27"/>
    <d v="2024-04-04T13:17:35"/>
    <s v="bchirwa@lighthouse.org.mw"/>
    <s v="Bethsheba Chirwa"/>
    <s v="Chileka"/>
    <s v="Prototype"/>
    <x v="1"/>
    <x v="0"/>
    <s v="COP_23"/>
    <s v="Quarter1"/>
    <x v="2"/>
    <s v="Qtr_2"/>
    <x v="5"/>
    <d v="2024-02-01T00:00:00"/>
    <d v="2024-02-29T00:00:00"/>
    <x v="0"/>
    <n v="21"/>
    <n v="0"/>
    <n v="18"/>
    <n v="3"/>
    <n v="0"/>
    <n v="0"/>
    <n v="21"/>
    <n v="5"/>
    <n v="5"/>
    <n v="0"/>
    <n v="0"/>
    <n v="0"/>
    <n v="5"/>
    <n v="0"/>
    <n v="0"/>
    <n v="0"/>
    <n v="0"/>
    <n v="0"/>
    <n v="0"/>
    <n v="0"/>
    <n v="0"/>
    <n v="0"/>
    <n v="0"/>
    <n v="0"/>
    <n v="0"/>
    <m/>
  </r>
  <r>
    <n v="194"/>
    <d v="2024-04-04T13:17:52"/>
    <d v="2024-04-04T13:20:24"/>
    <s v="bchirwa@lighthouse.org.mw"/>
    <s v="Bethsheba Chirwa"/>
    <s v="Chileka"/>
    <s v="Prototype"/>
    <x v="1"/>
    <x v="0"/>
    <s v="COP_23"/>
    <s v="Quarter1"/>
    <x v="2"/>
    <s v="Qtr_2"/>
    <x v="4"/>
    <d v="2024-01-01T00:00:00"/>
    <d v="2024-01-31T00:00:00"/>
    <x v="5"/>
    <n v="3"/>
    <n v="0"/>
    <n v="1"/>
    <n v="0"/>
    <n v="0"/>
    <n v="0"/>
    <n v="3"/>
    <n v="0"/>
    <n v="0"/>
    <n v="0"/>
    <n v="0"/>
    <n v="0"/>
    <n v="0"/>
    <n v="0"/>
    <n v="0"/>
    <n v="0"/>
    <n v="0"/>
    <n v="0"/>
    <n v="0"/>
    <n v="0"/>
    <n v="0"/>
    <n v="0"/>
    <n v="0"/>
    <n v="0"/>
    <n v="0"/>
    <m/>
  </r>
  <r>
    <n v="192"/>
    <d v="2024-04-04T13:08:19"/>
    <d v="2024-04-04T13:13:25"/>
    <s v="bchirwa@lighthouse.org.mw"/>
    <s v="Bethsheba Chirwa"/>
    <s v="Chileka"/>
    <s v="Prototype"/>
    <x v="1"/>
    <x v="0"/>
    <s v="COP_23"/>
    <s v="Quarter1"/>
    <x v="2"/>
    <s v="Qtr_2"/>
    <x v="5"/>
    <d v="2024-02-01T00:00:00"/>
    <d v="2024-02-29T00:00:00"/>
    <x v="2"/>
    <n v="4"/>
    <n v="0"/>
    <n v="4"/>
    <n v="0"/>
    <n v="0"/>
    <n v="0"/>
    <n v="4"/>
    <n v="0"/>
    <n v="0"/>
    <n v="0"/>
    <n v="0"/>
    <n v="0"/>
    <n v="0"/>
    <n v="0"/>
    <n v="0"/>
    <n v="0"/>
    <n v="0"/>
    <n v="0"/>
    <n v="0"/>
    <n v="0"/>
    <n v="0"/>
    <n v="0"/>
    <n v="0"/>
    <n v="0"/>
    <n v="0"/>
    <m/>
  </r>
  <r>
    <n v="197"/>
    <d v="2024-04-04T14:18:35"/>
    <d v="2024-04-04T14:24:16"/>
    <s v="bchirwa@lighthouse.org.mw"/>
    <s v="Bethsheba Chirwa"/>
    <s v="Chileka"/>
    <s v="Prototype"/>
    <x v="1"/>
    <x v="0"/>
    <s v="COP_23"/>
    <s v="Quarter1"/>
    <x v="2"/>
    <s v="Qtr_2"/>
    <x v="3"/>
    <d v="2024-03-01T00:00:00"/>
    <d v="2024-03-31T00:00:00"/>
    <x v="3"/>
    <n v="0"/>
    <n v="0"/>
    <n v="1"/>
    <n v="0"/>
    <n v="0"/>
    <n v="0"/>
    <n v="0"/>
    <n v="0"/>
    <n v="1"/>
    <n v="0"/>
    <n v="0"/>
    <n v="0"/>
    <n v="1"/>
    <n v="0"/>
    <n v="0"/>
    <n v="0"/>
    <n v="0"/>
    <n v="0"/>
    <n v="0"/>
    <n v="0"/>
    <n v="0"/>
    <n v="0"/>
    <n v="0"/>
    <n v="0"/>
    <n v="0"/>
    <m/>
  </r>
  <r>
    <n v="198"/>
    <d v="2024-04-04T14:24:25"/>
    <d v="2024-04-04T14:25:57"/>
    <s v="bchirwa@lighthouse.org.mw"/>
    <s v="Bethsheba Chirwa"/>
    <s v="Chileka"/>
    <s v="Prototype"/>
    <x v="1"/>
    <x v="0"/>
    <s v="COP_23"/>
    <s v="Quarter1"/>
    <x v="2"/>
    <s v="Qtr_2"/>
    <x v="5"/>
    <d v="2024-02-01T00:00:00"/>
    <d v="2024-02-29T00:00:00"/>
    <x v="4"/>
    <n v="1"/>
    <n v="0"/>
    <n v="0"/>
    <n v="1"/>
    <n v="0"/>
    <n v="0"/>
    <n v="1"/>
    <n v="0"/>
    <n v="0"/>
    <n v="0"/>
    <n v="0"/>
    <n v="0"/>
    <n v="1"/>
    <n v="0"/>
    <n v="0"/>
    <n v="0"/>
    <n v="0"/>
    <n v="0"/>
    <n v="0"/>
    <n v="0"/>
    <n v="0"/>
    <n v="0"/>
    <n v="0"/>
    <n v="0"/>
    <n v="0"/>
    <m/>
  </r>
  <r>
    <n v="196"/>
    <d v="2024-04-04T13:31:15"/>
    <d v="2024-04-04T13:35:05"/>
    <s v="bchirwa@lighthouse.org.mw"/>
    <s v="Bethsheba Chirwa"/>
    <s v="Chileka"/>
    <s v="Prototype"/>
    <x v="1"/>
    <x v="0"/>
    <s v="COP_23"/>
    <s v="Quarter1"/>
    <x v="2"/>
    <s v="Qtr_2"/>
    <x v="3"/>
    <d v="2024-03-01T00:00:00"/>
    <d v="2024-03-31T00:00:00"/>
    <x v="2"/>
    <n v="2"/>
    <n v="0"/>
    <n v="2"/>
    <n v="0"/>
    <n v="0"/>
    <n v="0"/>
    <n v="2"/>
    <n v="1"/>
    <n v="1"/>
    <n v="0"/>
    <n v="0"/>
    <n v="0"/>
    <n v="1"/>
    <n v="0"/>
    <n v="0"/>
    <n v="0"/>
    <n v="0"/>
    <n v="0"/>
    <n v="0"/>
    <n v="0"/>
    <n v="0"/>
    <n v="0"/>
    <n v="0"/>
    <n v="0"/>
    <n v="0"/>
    <m/>
  </r>
  <r>
    <n v="271"/>
    <d v="2024-04-23T11:00:57"/>
    <d v="2024-04-23T11:09:14"/>
    <s v="bchirwa@lighthouse.org.mw"/>
    <s v="Bethsheba Chirwa"/>
    <s v="Chileka"/>
    <s v="Prototype"/>
    <x v="1"/>
    <x v="0"/>
    <s v="COP_23"/>
    <s v="Quarter1"/>
    <x v="2"/>
    <s v="Qtr_2"/>
    <x v="4"/>
    <d v="2024-01-01T00:00:00"/>
    <d v="2024-01-31T00:00:00"/>
    <x v="2"/>
    <n v="2"/>
    <n v="0"/>
    <n v="2"/>
    <n v="0"/>
    <n v="0"/>
    <n v="0"/>
    <n v="0"/>
    <n v="0"/>
    <n v="0"/>
    <n v="0"/>
    <n v="0"/>
    <n v="0"/>
    <n v="0"/>
    <n v="0"/>
    <n v="0"/>
    <n v="0"/>
    <n v="0"/>
    <n v="0"/>
    <n v="0"/>
    <n v="0"/>
    <n v="0"/>
    <n v="0"/>
    <n v="0"/>
    <n v="0"/>
    <n v="0"/>
    <m/>
  </r>
  <r>
    <n v="356"/>
    <d v="2024-05-07T14:57:00"/>
    <d v="2024-05-07T15:13:03"/>
    <s v="bchirwa@lighthouse.org.mw"/>
    <s v="Bethsheba Chirwa"/>
    <s v="Chileka"/>
    <s v="Prototype"/>
    <x v="1"/>
    <x v="2"/>
    <s v="COP_23"/>
    <s v="Quarter2"/>
    <x v="3"/>
    <s v="Qtr_3"/>
    <x v="7"/>
    <d v="2024-04-01T00:00:00"/>
    <d v="2024-04-30T00:00:00"/>
    <x v="2"/>
    <n v="6"/>
    <n v="0"/>
    <n v="6"/>
    <n v="0"/>
    <n v="0"/>
    <n v="0"/>
    <n v="4"/>
    <n v="1"/>
    <n v="1"/>
    <n v="0"/>
    <n v="0"/>
    <n v="0"/>
    <n v="1"/>
    <n v="0"/>
    <n v="0"/>
    <n v="0"/>
    <n v="0"/>
    <n v="0"/>
    <n v="0"/>
    <n v="0"/>
    <n v="0"/>
    <n v="0"/>
    <n v="0"/>
    <n v="0"/>
    <n v="0"/>
    <m/>
  </r>
  <r>
    <n v="498"/>
    <d v="2024-06-06T08:48:17"/>
    <d v="2024-06-06T09:04:13"/>
    <s v="bchirwa@lighthouse.org.mw"/>
    <s v="Bethsheba Chirwa"/>
    <s v="Chileka"/>
    <s v="Prototype"/>
    <x v="1"/>
    <x v="2"/>
    <s v="COP_23"/>
    <s v="Quarter2"/>
    <x v="3"/>
    <s v="Qtr_3"/>
    <x v="6"/>
    <d v="2024-05-01T00:00:00"/>
    <d v="2024-05-31T00:00:00"/>
    <x v="2"/>
    <n v="9"/>
    <n v="0"/>
    <n v="9"/>
    <n v="0"/>
    <n v="0"/>
    <n v="0"/>
    <n v="9"/>
    <n v="0"/>
    <n v="0"/>
    <n v="0"/>
    <n v="0"/>
    <n v="0"/>
    <n v="0"/>
    <n v="0"/>
    <n v="0"/>
    <n v="0"/>
    <n v="0"/>
    <n v="0"/>
    <n v="0"/>
    <n v="0"/>
    <n v="0"/>
    <n v="0"/>
    <n v="0"/>
    <n v="0"/>
    <n v="0"/>
    <m/>
  </r>
  <r>
    <n v="558"/>
    <d v="2024-07-02T11:18:58"/>
    <d v="2024-07-02T11:28:38"/>
    <s v="bchirwa@lighthouse.org.mw"/>
    <s v="Bethsheba Chirwa"/>
    <s v="Chileka"/>
    <s v="Prototype"/>
    <x v="1"/>
    <x v="2"/>
    <s v="COP_23"/>
    <s v="Quarter2"/>
    <x v="3"/>
    <s v="Qtr_3"/>
    <x v="8"/>
    <d v="2024-06-01T00:00:00"/>
    <d v="2024-06-30T00:00:00"/>
    <x v="2"/>
    <n v="13"/>
    <n v="0"/>
    <n v="8"/>
    <n v="0"/>
    <n v="0"/>
    <n v="0"/>
    <n v="8"/>
    <n v="2"/>
    <n v="2"/>
    <n v="0"/>
    <n v="0"/>
    <n v="0"/>
    <n v="0"/>
    <n v="0"/>
    <n v="0"/>
    <n v="0"/>
    <n v="0"/>
    <n v="0"/>
    <n v="0"/>
    <n v="0"/>
    <n v="0"/>
    <n v="0"/>
    <n v="0"/>
    <n v="0"/>
    <n v="0"/>
    <m/>
  </r>
  <r>
    <n v="786"/>
    <d v="2024-09-10T10:00:30"/>
    <d v="2024-09-10T10:07:19"/>
    <s v="bchirwa@lighthouse.org.mw"/>
    <s v="Bethsheba Chirwa"/>
    <s v="Chileka"/>
    <s v="Prototype"/>
    <x v="1"/>
    <x v="1"/>
    <s v="COP_23"/>
    <s v="Quarter3"/>
    <x v="1"/>
    <s v="Qtr_4"/>
    <x v="9"/>
    <d v="2024-07-01T00:00:00"/>
    <d v="2024-07-31T00:00:00"/>
    <x v="2"/>
    <n v="7"/>
    <n v="0"/>
    <n v="7"/>
    <n v="0"/>
    <n v="0"/>
    <n v="0"/>
    <n v="0"/>
    <n v="0"/>
    <n v="0"/>
    <n v="0"/>
    <n v="0"/>
    <n v="0"/>
    <n v="0"/>
    <n v="0"/>
    <n v="0"/>
    <n v="0"/>
    <n v="0"/>
    <n v="0"/>
    <n v="0"/>
    <n v="0"/>
    <n v="0"/>
    <n v="0"/>
    <n v="0"/>
    <n v="0"/>
    <n v="0"/>
    <m/>
  </r>
  <r>
    <n v="797"/>
    <d v="2024-09-10T11:39:32"/>
    <d v="2024-09-10T11:48:32"/>
    <s v="bchirwa@lighthouse.org.mw"/>
    <s v="Bethsheba Chirwa"/>
    <s v="Chileka"/>
    <s v="Prototype"/>
    <x v="1"/>
    <x v="1"/>
    <s v="COP_23"/>
    <s v="Quarter3"/>
    <x v="1"/>
    <s v="Qtr_4"/>
    <x v="10"/>
    <d v="2024-08-01T00:00:00"/>
    <d v="2024-08-31T00:00:00"/>
    <x v="2"/>
    <n v="24"/>
    <n v="0"/>
    <n v="0"/>
    <n v="0"/>
    <n v="0"/>
    <n v="0"/>
    <n v="0"/>
    <n v="0"/>
    <n v="0"/>
    <n v="0"/>
    <n v="0"/>
    <n v="0"/>
    <n v="0"/>
    <n v="0"/>
    <n v="0"/>
    <n v="0"/>
    <n v="0"/>
    <n v="0"/>
    <n v="0"/>
    <n v="0"/>
    <n v="0"/>
    <n v="0"/>
    <n v="0"/>
    <n v="0"/>
    <n v="0"/>
    <m/>
  </r>
  <r>
    <n v="902"/>
    <d v="2024-10-07T10:08:01"/>
    <d v="2024-10-07T10:20:37"/>
    <s v="bchirwa@lighthouse.org.mw"/>
    <s v="Bethsheba Chirwa"/>
    <s v="Chileka"/>
    <s v="Prototype"/>
    <x v="1"/>
    <x v="1"/>
    <s v="COP_23"/>
    <s v="Quarter3"/>
    <x v="1"/>
    <s v="Qtr_4"/>
    <x v="2"/>
    <d v="2024-09-01T00:00:00"/>
    <d v="2024-09-30T00:00:00"/>
    <x v="2"/>
    <n v="16"/>
    <n v="0"/>
    <n v="0"/>
    <n v="0"/>
    <n v="0"/>
    <n v="0"/>
    <n v="0"/>
    <n v="0"/>
    <n v="0"/>
    <n v="0"/>
    <n v="0"/>
    <n v="0"/>
    <n v="0"/>
    <n v="0"/>
    <n v="0"/>
    <n v="0"/>
    <n v="0"/>
    <n v="0"/>
    <n v="0"/>
    <n v="0"/>
    <n v="0"/>
    <n v="0"/>
    <n v="0"/>
    <n v="0"/>
    <n v="0"/>
    <m/>
  </r>
  <r>
    <n v="270"/>
    <d v="2024-04-23T10:45:57"/>
    <d v="2024-04-23T11:00:34"/>
    <s v="bchirwa@lighthouse.org.mw"/>
    <s v="Bethsheba Chirwa"/>
    <s v="Chileka"/>
    <s v="Prototype"/>
    <x v="1"/>
    <x v="2"/>
    <s v="COP_23"/>
    <s v="Quarter1"/>
    <x v="2"/>
    <s v="Qtr_2"/>
    <x v="4"/>
    <d v="2024-01-01T00:00:00"/>
    <d v="2024-01-31T00:00:00"/>
    <x v="4"/>
    <n v="0"/>
    <n v="0"/>
    <n v="0"/>
    <n v="0"/>
    <n v="0"/>
    <n v="0"/>
    <n v="0"/>
    <n v="0"/>
    <n v="0"/>
    <n v="0"/>
    <n v="0"/>
    <n v="0"/>
    <n v="0"/>
    <n v="0"/>
    <n v="0"/>
    <n v="0"/>
    <n v="0"/>
    <n v="0"/>
    <n v="0"/>
    <n v="0"/>
    <n v="0"/>
    <n v="0"/>
    <n v="0"/>
    <n v="0"/>
    <n v="0"/>
    <m/>
  </r>
  <r>
    <n v="274"/>
    <d v="2024-04-23T11:18:06"/>
    <d v="2024-04-23T11:21:55"/>
    <s v="bchirwa@lighthouse.org.mw"/>
    <s v="Bethsheba Chirwa"/>
    <s v="Chileka"/>
    <s v="Prototype"/>
    <x v="1"/>
    <x v="2"/>
    <s v="COP_23"/>
    <s v="Quarter1"/>
    <x v="2"/>
    <s v="Qtr_2"/>
    <x v="5"/>
    <d v="2024-02-01T00:00:00"/>
    <d v="2024-02-29T00:00:00"/>
    <x v="5"/>
    <n v="2"/>
    <n v="0"/>
    <n v="2"/>
    <n v="0"/>
    <n v="0"/>
    <n v="0"/>
    <n v="2"/>
    <n v="0"/>
    <n v="0"/>
    <n v="0"/>
    <n v="0"/>
    <n v="0"/>
    <n v="0"/>
    <n v="0"/>
    <n v="0"/>
    <n v="0"/>
    <n v="0"/>
    <n v="0"/>
    <n v="0"/>
    <n v="0"/>
    <n v="0"/>
    <n v="0"/>
    <n v="0"/>
    <n v="0"/>
    <n v="0"/>
    <m/>
  </r>
  <r>
    <n v="276"/>
    <d v="2024-04-23T11:25:27"/>
    <d v="2024-04-23T11:27:30"/>
    <s v="bchirwa@lighthouse.org.mw"/>
    <s v="Bethsheba Chirwa"/>
    <s v="Chileka"/>
    <s v="Prototype"/>
    <x v="1"/>
    <x v="2"/>
    <s v="COP_23"/>
    <s v="Quarter1"/>
    <x v="2"/>
    <s v="Qtr_2"/>
    <x v="3"/>
    <d v="2024-03-08T00:00:00"/>
    <d v="2024-03-31T00:00:00"/>
    <x v="4"/>
    <n v="0"/>
    <n v="0"/>
    <n v="0"/>
    <n v="0"/>
    <n v="0"/>
    <n v="0"/>
    <n v="0"/>
    <n v="0"/>
    <n v="0"/>
    <n v="0"/>
    <n v="0"/>
    <n v="0"/>
    <n v="0"/>
    <n v="0"/>
    <n v="0"/>
    <n v="0"/>
    <n v="0"/>
    <n v="0"/>
    <n v="0"/>
    <n v="0"/>
    <n v="0"/>
    <n v="0"/>
    <n v="0"/>
    <n v="0"/>
    <n v="0"/>
    <m/>
  </r>
  <r>
    <n v="277"/>
    <d v="2024-04-23T11:27:51"/>
    <d v="2024-04-23T11:30:00"/>
    <s v="bchirwa@lighthouse.org.mw"/>
    <s v="Bethsheba Chirwa"/>
    <s v="Chileka"/>
    <s v="Prototype"/>
    <x v="1"/>
    <x v="2"/>
    <s v="COP_23"/>
    <s v="Quarter1"/>
    <x v="2"/>
    <s v="Qtr_2"/>
    <x v="3"/>
    <d v="2024-04-01T00:00:00"/>
    <d v="2024-03-31T00:00:00"/>
    <x v="5"/>
    <n v="2"/>
    <n v="0"/>
    <n v="2"/>
    <n v="0"/>
    <n v="0"/>
    <n v="0"/>
    <n v="0"/>
    <n v="0"/>
    <n v="0"/>
    <n v="0"/>
    <n v="0"/>
    <n v="0"/>
    <n v="0"/>
    <n v="0"/>
    <n v="0"/>
    <n v="0"/>
    <n v="0"/>
    <n v="0"/>
    <n v="0"/>
    <n v="0"/>
    <n v="0"/>
    <n v="0"/>
    <n v="0"/>
    <n v="0"/>
    <n v="0"/>
    <m/>
  </r>
  <r>
    <n v="279"/>
    <d v="2024-04-23T11:33:11"/>
    <d v="2024-04-23T11:36:01"/>
    <s v="bchirwa@lighthouse.org.mw"/>
    <s v="Bethsheba Chirwa"/>
    <s v="Chileka"/>
    <s v="Prototype"/>
    <x v="1"/>
    <x v="2"/>
    <s v="COP_23"/>
    <s v="Quarter1"/>
    <x v="2"/>
    <s v="Qtr_2"/>
    <x v="3"/>
    <d v="2024-03-01T00:00:00"/>
    <d v="2024-03-31T00:00:00"/>
    <x v="0"/>
    <n v="7"/>
    <n v="0"/>
    <n v="7"/>
    <n v="0"/>
    <n v="0"/>
    <n v="0"/>
    <n v="7"/>
    <n v="3"/>
    <n v="3"/>
    <n v="0"/>
    <n v="0"/>
    <n v="0"/>
    <n v="3"/>
    <n v="0"/>
    <n v="0"/>
    <n v="0"/>
    <n v="0"/>
    <n v="0"/>
    <n v="0"/>
    <n v="0"/>
    <n v="0"/>
    <n v="0"/>
    <n v="0"/>
    <n v="0"/>
    <n v="0"/>
    <m/>
  </r>
  <r>
    <n v="353"/>
    <d v="2024-05-07T14:42:54"/>
    <d v="2024-05-07T14:45:19"/>
    <s v="bchirwa@lighthouse.org.mw"/>
    <s v="Bethsheba Chirwa"/>
    <s v="Chileka"/>
    <s v="Prototype"/>
    <x v="1"/>
    <x v="2"/>
    <s v="COP_23"/>
    <s v="Quarter2"/>
    <x v="3"/>
    <s v="Qtr_3"/>
    <x v="7"/>
    <d v="2024-05-01T00:00:00"/>
    <d v="2024-04-30T00:00:00"/>
    <x v="3"/>
    <n v="1"/>
    <n v="0"/>
    <n v="1"/>
    <n v="0"/>
    <n v="0"/>
    <n v="0"/>
    <n v="0"/>
    <n v="0"/>
    <n v="1"/>
    <n v="0"/>
    <n v="0"/>
    <n v="0"/>
    <n v="1"/>
    <n v="0"/>
    <n v="0"/>
    <n v="0"/>
    <n v="0"/>
    <n v="0"/>
    <n v="0"/>
    <n v="0"/>
    <n v="0"/>
    <n v="0"/>
    <n v="0"/>
    <n v="0"/>
    <n v="0"/>
    <m/>
  </r>
  <r>
    <n v="354"/>
    <d v="2024-05-07T14:45:42"/>
    <d v="2024-05-07T14:48:32"/>
    <s v="bchirwa@lighthouse.org.mw"/>
    <s v="Bethsheba Chirwa"/>
    <s v="Chileka"/>
    <s v="Prototype"/>
    <x v="1"/>
    <x v="2"/>
    <s v="COP_23"/>
    <s v="Quarter2"/>
    <x v="3"/>
    <s v="Qtr_3"/>
    <x v="7"/>
    <d v="2024-04-01T00:00:00"/>
    <d v="2024-04-30T00:00:00"/>
    <x v="4"/>
    <n v="1"/>
    <n v="0"/>
    <n v="1"/>
    <n v="0"/>
    <n v="0"/>
    <n v="0"/>
    <n v="1"/>
    <n v="0"/>
    <n v="1"/>
    <n v="0"/>
    <n v="0"/>
    <n v="0"/>
    <n v="1"/>
    <n v="0"/>
    <n v="0"/>
    <n v="0"/>
    <n v="0"/>
    <n v="0"/>
    <n v="0"/>
    <n v="0"/>
    <n v="0"/>
    <n v="0"/>
    <n v="0"/>
    <n v="0"/>
    <n v="0"/>
    <m/>
  </r>
  <r>
    <n v="355"/>
    <d v="2024-05-07T14:49:09"/>
    <d v="2024-05-07T14:56:19"/>
    <s v="bchirwa@lighthouse.org.mw"/>
    <s v="Bethsheba Chirwa"/>
    <s v="Chileka"/>
    <s v="Prototype"/>
    <x v="1"/>
    <x v="2"/>
    <s v="COP_23"/>
    <s v="Quarter2"/>
    <x v="3"/>
    <s v="Qtr_3"/>
    <x v="7"/>
    <d v="2024-04-01T00:00:00"/>
    <d v="2024-04-30T00:00:00"/>
    <x v="5"/>
    <n v="1"/>
    <n v="0"/>
    <n v="1"/>
    <n v="0"/>
    <n v="0"/>
    <n v="0"/>
    <n v="1"/>
    <n v="0"/>
    <n v="0"/>
    <n v="0"/>
    <n v="0"/>
    <n v="0"/>
    <n v="0"/>
    <n v="0"/>
    <n v="0"/>
    <n v="0"/>
    <n v="0"/>
    <n v="0"/>
    <n v="0"/>
    <n v="0"/>
    <n v="0"/>
    <n v="0"/>
    <n v="0"/>
    <n v="0"/>
    <n v="0"/>
    <m/>
  </r>
  <r>
    <n v="357"/>
    <d v="2024-05-07T15:13:21"/>
    <d v="2024-05-07T15:16:10"/>
    <s v="bchirwa@lighthouse.org.mw"/>
    <s v="Bethsheba Chirwa"/>
    <s v="Chileka"/>
    <s v="Prototype"/>
    <x v="1"/>
    <x v="2"/>
    <s v="COP_23"/>
    <s v="Quarter2"/>
    <x v="3"/>
    <s v="Qtr_3"/>
    <x v="7"/>
    <d v="2024-04-01T00:00:00"/>
    <d v="2024-04-30T00:00:00"/>
    <x v="5"/>
    <n v="1"/>
    <n v="0"/>
    <n v="1"/>
    <n v="0"/>
    <n v="0"/>
    <n v="0"/>
    <n v="1"/>
    <n v="0"/>
    <n v="0"/>
    <n v="0"/>
    <n v="0"/>
    <n v="0"/>
    <n v="0"/>
    <n v="0"/>
    <n v="0"/>
    <n v="0"/>
    <n v="0"/>
    <n v="0"/>
    <n v="0"/>
    <n v="0"/>
    <n v="0"/>
    <n v="0"/>
    <n v="0"/>
    <n v="0"/>
    <n v="0"/>
    <m/>
  </r>
  <r>
    <n v="360"/>
    <d v="2024-05-07T15:18:21"/>
    <d v="2024-05-07T15:20:57"/>
    <s v="bchirwa@lighthouse.org.mw"/>
    <s v="Bethsheba Chirwa"/>
    <s v="Chileka"/>
    <s v="Prototype"/>
    <x v="1"/>
    <x v="2"/>
    <s v="COP_23"/>
    <s v="Quarter2"/>
    <x v="3"/>
    <s v="Qtr_3"/>
    <x v="7"/>
    <d v="2024-04-01T00:00:00"/>
    <d v="2024-04-30T00:00:00"/>
    <x v="0"/>
    <n v="20"/>
    <n v="0"/>
    <n v="20"/>
    <n v="0"/>
    <n v="0"/>
    <n v="0"/>
    <n v="4"/>
    <n v="4"/>
    <n v="4"/>
    <n v="0"/>
    <n v="0"/>
    <n v="0"/>
    <n v="4"/>
    <n v="1"/>
    <n v="0"/>
    <n v="0"/>
    <n v="0"/>
    <n v="0"/>
    <n v="0"/>
    <n v="0"/>
    <n v="0"/>
    <n v="0"/>
    <n v="0"/>
    <n v="0"/>
    <n v="0"/>
    <m/>
  </r>
  <r>
    <n v="363"/>
    <d v="2024-05-07T15:24:58"/>
    <d v="2024-05-07T15:26:15"/>
    <s v="bchirwa@lighthouse.org.mw"/>
    <s v="Bethsheba Chirwa"/>
    <s v="Chileka"/>
    <s v="Prototype"/>
    <x v="1"/>
    <x v="2"/>
    <s v="COP_23"/>
    <s v="Quarter1"/>
    <x v="2"/>
    <s v="Qtr_2"/>
    <x v="4"/>
    <d v="2024-01-01T00:00:00"/>
    <d v="2024-01-31T00:00:00"/>
    <x v="3"/>
    <n v="0"/>
    <n v="0"/>
    <n v="0"/>
    <n v="0"/>
    <n v="0"/>
    <n v="0"/>
    <n v="0"/>
    <n v="0"/>
    <n v="0"/>
    <n v="0"/>
    <n v="0"/>
    <n v="0"/>
    <n v="0"/>
    <n v="0"/>
    <n v="0"/>
    <n v="0"/>
    <n v="0"/>
    <n v="0"/>
    <n v="0"/>
    <n v="0"/>
    <n v="0"/>
    <n v="0"/>
    <n v="0"/>
    <n v="0"/>
    <n v="0"/>
    <m/>
  </r>
  <r>
    <n v="364"/>
    <d v="2024-05-07T15:26:17"/>
    <d v="2024-05-07T15:28:07"/>
    <s v="bchirwa@lighthouse.org.mw"/>
    <s v="Bethsheba Chirwa"/>
    <s v="Chileka"/>
    <s v="Prototype"/>
    <x v="1"/>
    <x v="2"/>
    <s v="COP_23"/>
    <s v="Quarter1"/>
    <x v="2"/>
    <s v="Qtr_2"/>
    <x v="4"/>
    <d v="2024-01-01T00:00:00"/>
    <d v="2024-01-31T00:00:00"/>
    <x v="0"/>
    <n v="13"/>
    <n v="0"/>
    <n v="13"/>
    <n v="0"/>
    <n v="0"/>
    <n v="0"/>
    <n v="13"/>
    <n v="2"/>
    <n v="2"/>
    <n v="0"/>
    <n v="0"/>
    <n v="0"/>
    <n v="2"/>
    <n v="0"/>
    <n v="0"/>
    <n v="0"/>
    <n v="0"/>
    <n v="0"/>
    <n v="0"/>
    <n v="0"/>
    <n v="0"/>
    <n v="0"/>
    <n v="0"/>
    <n v="0"/>
    <n v="0"/>
    <m/>
  </r>
  <r>
    <n v="493"/>
    <d v="2024-06-05T15:42:11"/>
    <d v="2024-06-05T15:48:08"/>
    <s v="bchirwa@lighthouse.org.mw"/>
    <s v="Bethsheba Chirwa"/>
    <s v="Chileka"/>
    <s v="Prototype"/>
    <x v="1"/>
    <x v="1"/>
    <s v="COP_23"/>
    <s v="Quarter2"/>
    <x v="3"/>
    <s v="Qtr_3"/>
    <x v="6"/>
    <d v="2024-05-01T00:00:00"/>
    <d v="2024-05-31T00:00:00"/>
    <x v="3"/>
    <n v="1"/>
    <n v="0"/>
    <n v="1"/>
    <n v="0"/>
    <n v="0"/>
    <n v="0"/>
    <n v="0"/>
    <n v="0"/>
    <n v="1"/>
    <n v="0"/>
    <n v="0"/>
    <n v="0"/>
    <n v="0"/>
    <n v="0"/>
    <n v="0"/>
    <n v="0"/>
    <n v="0"/>
    <n v="0"/>
    <n v="0"/>
    <n v="0"/>
    <n v="0"/>
    <n v="0"/>
    <n v="0"/>
    <n v="0"/>
    <n v="0"/>
    <m/>
  </r>
  <r>
    <n v="495"/>
    <d v="2024-06-05T15:48:36"/>
    <d v="2024-06-05T15:53:59"/>
    <s v="bchirwa@lighthouse.org.mw"/>
    <s v="Bethsheba Chirwa"/>
    <s v="Chileka"/>
    <s v="Prototype"/>
    <x v="1"/>
    <x v="0"/>
    <s v="COP_23"/>
    <s v="Quarter2"/>
    <x v="3"/>
    <s v="Qtr_3"/>
    <x v="6"/>
    <d v="2024-05-01T00:00:00"/>
    <d v="2024-05-31T00:00:00"/>
    <x v="4"/>
    <n v="3"/>
    <n v="0"/>
    <n v="1"/>
    <n v="0"/>
    <n v="0"/>
    <n v="0"/>
    <n v="3"/>
    <n v="0"/>
    <n v="0"/>
    <n v="0"/>
    <n v="0"/>
    <n v="0"/>
    <n v="0"/>
    <n v="0"/>
    <n v="0"/>
    <n v="0"/>
    <n v="0"/>
    <n v="0"/>
    <n v="0"/>
    <n v="0"/>
    <n v="0"/>
    <n v="0"/>
    <n v="0"/>
    <n v="0"/>
    <n v="0"/>
    <m/>
  </r>
  <r>
    <n v="497"/>
    <d v="2024-06-06T08:46:07"/>
    <d v="2024-06-06T08:48:06"/>
    <s v="bchirwa@lighthouse.org.mw"/>
    <s v="Bethsheba Chirwa"/>
    <s v="Chileka"/>
    <s v="Prototype"/>
    <x v="1"/>
    <x v="0"/>
    <s v="COP_23"/>
    <s v="Quarter2"/>
    <x v="3"/>
    <s v="Qtr_3"/>
    <x v="6"/>
    <d v="2024-05-01T00:00:00"/>
    <d v="2024-05-31T00:00:00"/>
    <x v="5"/>
    <n v="4"/>
    <n v="0"/>
    <n v="4"/>
    <n v="0"/>
    <n v="0"/>
    <n v="0"/>
    <n v="4"/>
    <n v="1"/>
    <n v="0"/>
    <n v="0"/>
    <n v="0"/>
    <n v="0"/>
    <n v="0"/>
    <n v="0"/>
    <n v="0"/>
    <n v="0"/>
    <n v="0"/>
    <n v="0"/>
    <n v="0"/>
    <n v="0"/>
    <n v="0"/>
    <n v="0"/>
    <n v="0"/>
    <n v="0"/>
    <n v="0"/>
    <m/>
  </r>
  <r>
    <n v="503"/>
    <d v="2024-06-06T09:14:15"/>
    <d v="2024-06-06T09:41:59"/>
    <s v="bchirwa@lighthouse.org.mw"/>
    <s v="Bethsheba Chirwa"/>
    <s v="Chileka"/>
    <s v="Prototype"/>
    <x v="1"/>
    <x v="0"/>
    <s v="COP_23"/>
    <s v="Quarter2"/>
    <x v="3"/>
    <s v="Qtr_3"/>
    <x v="6"/>
    <d v="2024-05-01T00:00:00"/>
    <d v="2024-05-31T00:00:00"/>
    <x v="0"/>
    <n v="30"/>
    <n v="0"/>
    <n v="28"/>
    <n v="2"/>
    <n v="0"/>
    <n v="0"/>
    <n v="30"/>
    <n v="6"/>
    <n v="6"/>
    <n v="0"/>
    <n v="0"/>
    <n v="0"/>
    <n v="0"/>
    <n v="0"/>
    <n v="0"/>
    <n v="0"/>
    <n v="0"/>
    <n v="0"/>
    <n v="0"/>
    <n v="0"/>
    <n v="0"/>
    <n v="0"/>
    <n v="0"/>
    <n v="0"/>
    <n v="0"/>
    <m/>
  </r>
  <r>
    <n v="555"/>
    <d v="2024-07-02T10:49:07"/>
    <d v="2024-07-02T10:58:05"/>
    <s v="bchirwa@lighthouse.org.mw"/>
    <s v="Bethsheba Chirwa"/>
    <s v="Chileka"/>
    <s v="Prototype"/>
    <x v="1"/>
    <x v="0"/>
    <s v="COP_23"/>
    <s v="Quarter2"/>
    <x v="3"/>
    <s v="Qtr_3"/>
    <x v="8"/>
    <d v="2024-06-01T00:00:00"/>
    <d v="2024-06-30T00:00:00"/>
    <x v="3"/>
    <n v="0"/>
    <n v="0"/>
    <n v="0"/>
    <n v="0"/>
    <n v="0"/>
    <n v="0"/>
    <n v="0"/>
    <n v="0"/>
    <n v="0"/>
    <n v="0"/>
    <n v="0"/>
    <n v="0"/>
    <n v="0"/>
    <n v="0"/>
    <n v="0"/>
    <n v="0"/>
    <n v="0"/>
    <n v="0"/>
    <n v="0"/>
    <n v="0"/>
    <n v="0"/>
    <n v="0"/>
    <n v="0"/>
    <n v="0"/>
    <n v="0"/>
    <m/>
  </r>
  <r>
    <n v="556"/>
    <d v="2024-07-02T10:58:20"/>
    <d v="2024-07-02T11:01:46"/>
    <s v="bchirwa@lighthouse.org.mw"/>
    <s v="Bethsheba Chirwa"/>
    <s v="Chileka"/>
    <s v="Prototype"/>
    <x v="1"/>
    <x v="0"/>
    <s v="COP_23"/>
    <s v="Quarter2"/>
    <x v="3"/>
    <s v="Qtr_3"/>
    <x v="8"/>
    <d v="2024-06-01T00:00:00"/>
    <d v="2024-06-30T00:00:00"/>
    <x v="4"/>
    <n v="0"/>
    <n v="0"/>
    <n v="0"/>
    <n v="0"/>
    <n v="0"/>
    <n v="0"/>
    <n v="0"/>
    <n v="0"/>
    <n v="0"/>
    <n v="0"/>
    <n v="0"/>
    <n v="0"/>
    <n v="0"/>
    <n v="0"/>
    <n v="0"/>
    <n v="0"/>
    <n v="0"/>
    <n v="0"/>
    <n v="0"/>
    <n v="0"/>
    <n v="0"/>
    <n v="0"/>
    <n v="0"/>
    <n v="0"/>
    <n v="0"/>
    <m/>
  </r>
  <r>
    <n v="557"/>
    <d v="2024-07-02T11:01:55"/>
    <d v="2024-07-02T11:16:26"/>
    <s v="bchirwa@lighthouse.org.mw"/>
    <s v="Bethsheba Chirwa"/>
    <s v="Chileka"/>
    <s v="Prototype"/>
    <x v="1"/>
    <x v="0"/>
    <s v="COP_23"/>
    <s v="Quarter2"/>
    <x v="3"/>
    <s v="Qtr_3"/>
    <x v="8"/>
    <d v="2024-06-01T00:00:00"/>
    <d v="2024-06-30T00:00:00"/>
    <x v="5"/>
    <n v="0"/>
    <n v="0"/>
    <n v="0"/>
    <n v="0"/>
    <n v="0"/>
    <n v="0"/>
    <n v="0"/>
    <n v="0"/>
    <n v="0"/>
    <n v="0"/>
    <n v="0"/>
    <n v="0"/>
    <n v="0"/>
    <n v="0"/>
    <n v="0"/>
    <n v="0"/>
    <n v="0"/>
    <n v="0"/>
    <n v="0"/>
    <n v="0"/>
    <n v="0"/>
    <n v="0"/>
    <n v="0"/>
    <n v="0"/>
    <n v="0"/>
    <m/>
  </r>
  <r>
    <n v="560"/>
    <d v="2024-07-02T11:32:29"/>
    <d v="2024-07-02T11:37:20"/>
    <s v="bchirwa@lighthouse.org.mw"/>
    <s v="Bethsheba Chirwa"/>
    <s v="Chileka"/>
    <s v="Prototype"/>
    <x v="1"/>
    <x v="0"/>
    <s v="COP_23"/>
    <s v="Quarter2"/>
    <x v="3"/>
    <s v="Qtr_3"/>
    <x v="8"/>
    <d v="2024-06-01T00:00:00"/>
    <d v="2024-06-30T00:00:00"/>
    <x v="0"/>
    <n v="23"/>
    <n v="1"/>
    <n v="20"/>
    <n v="2"/>
    <n v="1"/>
    <n v="0"/>
    <n v="23"/>
    <n v="3"/>
    <n v="3"/>
    <n v="0"/>
    <n v="0"/>
    <n v="0"/>
    <n v="0"/>
    <n v="0"/>
    <n v="0"/>
    <n v="0"/>
    <n v="0"/>
    <n v="0"/>
    <n v="0"/>
    <n v="0"/>
    <n v="0"/>
    <n v="0"/>
    <n v="0"/>
    <n v="0"/>
    <n v="0"/>
    <m/>
  </r>
  <r>
    <n v="785"/>
    <d v="2024-09-10T09:50:32"/>
    <d v="2024-09-10T10:00:24"/>
    <s v="bchirwa@lighthouse.org.mw"/>
    <s v="Bethsheba Chirwa"/>
    <s v="Chileka"/>
    <s v="Prototype"/>
    <x v="1"/>
    <x v="0"/>
    <s v="COP_23"/>
    <s v="Quarter3"/>
    <x v="1"/>
    <s v="Qtr_4"/>
    <x v="9"/>
    <d v="2024-07-01T00:00:00"/>
    <d v="2024-07-31T00:00:00"/>
    <x v="0"/>
    <n v="25"/>
    <n v="0"/>
    <n v="22"/>
    <n v="2"/>
    <n v="1"/>
    <n v="0"/>
    <n v="23"/>
    <n v="1"/>
    <n v="1"/>
    <n v="0"/>
    <n v="0"/>
    <n v="0"/>
    <n v="0"/>
    <n v="0"/>
    <n v="0"/>
    <n v="0"/>
    <n v="0"/>
    <n v="0"/>
    <n v="0"/>
    <n v="0"/>
    <n v="0"/>
    <n v="0"/>
    <n v="0"/>
    <n v="0"/>
    <n v="0"/>
    <m/>
  </r>
  <r>
    <n v="787"/>
    <d v="2024-09-10T10:07:24"/>
    <d v="2024-09-10T10:10:57"/>
    <s v="bchirwa@lighthouse.org.mw"/>
    <s v="Bethsheba Chirwa"/>
    <s v="Chileka"/>
    <s v="Prototype"/>
    <x v="1"/>
    <x v="0"/>
    <s v="COP_23"/>
    <s v="Quarter3"/>
    <x v="1"/>
    <s v="Qtr_4"/>
    <x v="9"/>
    <d v="2024-07-01T00:00:00"/>
    <d v="2024-07-31T00:00:00"/>
    <x v="5"/>
    <n v="1"/>
    <n v="0"/>
    <n v="1"/>
    <n v="0"/>
    <n v="0"/>
    <n v="0"/>
    <n v="1"/>
    <n v="0"/>
    <n v="0"/>
    <n v="0"/>
    <n v="0"/>
    <n v="0"/>
    <n v="0"/>
    <n v="0"/>
    <n v="0"/>
    <n v="0"/>
    <n v="0"/>
    <n v="0"/>
    <n v="0"/>
    <n v="0"/>
    <n v="0"/>
    <n v="0"/>
    <n v="0"/>
    <n v="0"/>
    <n v="0"/>
    <m/>
  </r>
  <r>
    <n v="788"/>
    <d v="2024-09-10T10:11:02"/>
    <d v="2024-09-10T10:13:12"/>
    <s v="bchirwa@lighthouse.org.mw"/>
    <s v="Bethsheba Chirwa"/>
    <s v="Chileka"/>
    <s v="Prototype"/>
    <x v="1"/>
    <x v="0"/>
    <s v="COP_23"/>
    <s v="Quarter3"/>
    <x v="1"/>
    <s v="Qtr_4"/>
    <x v="9"/>
    <d v="2024-07-01T00:00:00"/>
    <d v="2024-07-31T00:00:00"/>
    <x v="4"/>
    <n v="0"/>
    <n v="0"/>
    <n v="0"/>
    <n v="0"/>
    <n v="0"/>
    <n v="0"/>
    <n v="0"/>
    <n v="0"/>
    <n v="0"/>
    <n v="0"/>
    <n v="0"/>
    <n v="0"/>
    <n v="0"/>
    <n v="0"/>
    <n v="0"/>
    <n v="0"/>
    <n v="0"/>
    <n v="0"/>
    <n v="0"/>
    <n v="0"/>
    <n v="0"/>
    <n v="0"/>
    <n v="0"/>
    <n v="0"/>
    <n v="0"/>
    <m/>
  </r>
  <r>
    <n v="789"/>
    <d v="2024-09-10T10:13:34"/>
    <d v="2024-09-10T10:15:46"/>
    <s v="bchirwa@lighthouse.org.mw"/>
    <s v="Bethsheba Chirwa"/>
    <s v="Chileka"/>
    <s v="Prototype"/>
    <x v="1"/>
    <x v="0"/>
    <s v="COP_23"/>
    <s v="Quarter3"/>
    <x v="1"/>
    <s v="Qtr_4"/>
    <x v="9"/>
    <d v="2024-07-01T00:00:00"/>
    <d v="2024-07-31T00:00:00"/>
    <x v="3"/>
    <n v="0"/>
    <n v="0"/>
    <n v="0"/>
    <n v="0"/>
    <n v="0"/>
    <n v="0"/>
    <n v="0"/>
    <n v="0"/>
    <n v="0"/>
    <n v="0"/>
    <n v="0"/>
    <n v="0"/>
    <n v="0"/>
    <n v="0"/>
    <n v="0"/>
    <n v="0"/>
    <n v="0"/>
    <n v="0"/>
    <n v="0"/>
    <n v="0"/>
    <n v="0"/>
    <n v="0"/>
    <n v="0"/>
    <n v="0"/>
    <n v="0"/>
    <m/>
  </r>
  <r>
    <n v="793"/>
    <d v="2024-09-10T11:07:04"/>
    <d v="2024-09-10T11:11:11"/>
    <s v="bchirwa@lighthouse.org.mw"/>
    <s v="Bethsheba Chirwa"/>
    <s v="Chileka"/>
    <s v="Prototype"/>
    <x v="1"/>
    <x v="0"/>
    <s v="COP_23"/>
    <s v="Quarter3"/>
    <x v="1"/>
    <s v="Qtr_4"/>
    <x v="10"/>
    <d v="2024-08-01T00:00:00"/>
    <d v="2024-08-31T00:00:00"/>
    <x v="3"/>
    <n v="0"/>
    <n v="0"/>
    <n v="0"/>
    <n v="0"/>
    <n v="0"/>
    <n v="0"/>
    <n v="0"/>
    <n v="0"/>
    <n v="0"/>
    <n v="0"/>
    <n v="0"/>
    <n v="0"/>
    <n v="0"/>
    <n v="0"/>
    <n v="0"/>
    <n v="0"/>
    <n v="0"/>
    <n v="0"/>
    <n v="0"/>
    <n v="0"/>
    <n v="0"/>
    <n v="0"/>
    <n v="0"/>
    <n v="0"/>
    <n v="0"/>
    <m/>
  </r>
  <r>
    <n v="795"/>
    <d v="2024-09-10T11:15:16"/>
    <d v="2024-09-10T11:28:02"/>
    <s v="bchirwa@lighthouse.org.mw"/>
    <s v="Bethsheba Chirwa"/>
    <s v="Chileka"/>
    <s v="Prototype"/>
    <x v="1"/>
    <x v="0"/>
    <s v="COP_23"/>
    <s v="Quarter3"/>
    <x v="1"/>
    <s v="Qtr_4"/>
    <x v="10"/>
    <d v="2024-08-01T00:00:00"/>
    <d v="2024-08-31T00:00:00"/>
    <x v="4"/>
    <n v="1"/>
    <n v="0"/>
    <n v="1"/>
    <n v="0"/>
    <n v="0"/>
    <n v="0"/>
    <n v="0"/>
    <n v="0"/>
    <n v="0"/>
    <n v="0"/>
    <n v="0"/>
    <n v="0"/>
    <n v="0"/>
    <n v="0"/>
    <n v="0"/>
    <n v="0"/>
    <n v="0"/>
    <n v="0"/>
    <n v="0"/>
    <n v="0"/>
    <n v="0"/>
    <n v="0"/>
    <n v="0"/>
    <n v="0"/>
    <n v="0"/>
    <m/>
  </r>
  <r>
    <n v="796"/>
    <d v="2024-09-10T11:28:09"/>
    <d v="2024-09-10T11:39:27"/>
    <s v="bchirwa@lighthouse.org.mw"/>
    <s v="Bethsheba Chirwa"/>
    <s v="Chileka"/>
    <s v="Prototype"/>
    <x v="1"/>
    <x v="0"/>
    <s v="COP_23"/>
    <s v="Quarter3"/>
    <x v="1"/>
    <s v="Qtr_4"/>
    <x v="10"/>
    <d v="2024-08-01T00:00:00"/>
    <d v="2024-08-31T00:00:00"/>
    <x v="5"/>
    <n v="5"/>
    <n v="0"/>
    <n v="0"/>
    <n v="0"/>
    <n v="0"/>
    <n v="0"/>
    <n v="0"/>
    <n v="0"/>
    <n v="0"/>
    <n v="0"/>
    <n v="0"/>
    <n v="0"/>
    <n v="0"/>
    <n v="0"/>
    <n v="0"/>
    <n v="0"/>
    <n v="0"/>
    <n v="0"/>
    <n v="0"/>
    <n v="0"/>
    <n v="0"/>
    <n v="0"/>
    <n v="0"/>
    <n v="0"/>
    <n v="0"/>
    <m/>
  </r>
  <r>
    <n v="798"/>
    <d v="2024-09-10T11:49:23"/>
    <d v="2024-09-10T11:54:28"/>
    <s v="bchirwa@lighthouse.org.mw"/>
    <s v="Bethsheba Chirwa"/>
    <s v="Chileka"/>
    <s v="Prototype"/>
    <x v="1"/>
    <x v="0"/>
    <s v="COP_23"/>
    <s v="Quarter3"/>
    <x v="1"/>
    <s v="Qtr_4"/>
    <x v="10"/>
    <d v="2024-08-01T00:00:00"/>
    <d v="2024-08-31T00:00:00"/>
    <x v="0"/>
    <n v="41"/>
    <n v="0"/>
    <n v="5"/>
    <n v="0"/>
    <n v="0"/>
    <n v="0"/>
    <n v="5"/>
    <n v="0"/>
    <n v="0"/>
    <n v="0"/>
    <n v="0"/>
    <n v="0"/>
    <n v="0"/>
    <n v="0"/>
    <n v="0"/>
    <n v="0"/>
    <n v="0"/>
    <n v="0"/>
    <n v="0"/>
    <n v="0"/>
    <n v="0"/>
    <n v="0"/>
    <n v="0"/>
    <n v="0"/>
    <n v="0"/>
    <m/>
  </r>
  <r>
    <n v="899"/>
    <d v="2024-10-07T09:50:21"/>
    <d v="2024-10-07T09:56:56"/>
    <s v="bchirwa@lighthouse.org.mw"/>
    <s v="Bethsheba Chirwa"/>
    <s v="Chileka"/>
    <s v="Prototype"/>
    <x v="1"/>
    <x v="0"/>
    <s v="COP_23"/>
    <s v="Quarter3"/>
    <x v="1"/>
    <s v="Qtr_4"/>
    <x v="2"/>
    <d v="2024-09-01T00:00:00"/>
    <d v="2024-09-30T00:00:00"/>
    <x v="3"/>
    <n v="1"/>
    <n v="0"/>
    <n v="1"/>
    <n v="0"/>
    <n v="0"/>
    <n v="0"/>
    <n v="0"/>
    <n v="0"/>
    <n v="1"/>
    <n v="0"/>
    <n v="0"/>
    <n v="0"/>
    <n v="1"/>
    <n v="0"/>
    <n v="0"/>
    <n v="0"/>
    <n v="0"/>
    <n v="0"/>
    <n v="0"/>
    <n v="0"/>
    <n v="0"/>
    <n v="0"/>
    <n v="0"/>
    <n v="0"/>
    <n v="0"/>
    <m/>
  </r>
  <r>
    <n v="900"/>
    <d v="2024-10-07T09:57:00"/>
    <d v="2024-10-07T09:59:17"/>
    <s v="bchirwa@lighthouse.org.mw"/>
    <s v="Bethsheba Chirwa"/>
    <s v="Chileka"/>
    <s v="Prototype"/>
    <x v="1"/>
    <x v="0"/>
    <s v="COP_23"/>
    <s v="Quarter3"/>
    <x v="1"/>
    <s v="Qtr_4"/>
    <x v="2"/>
    <d v="2024-09-01T00:00:00"/>
    <d v="2024-09-30T00:00:00"/>
    <x v="4"/>
    <n v="0"/>
    <n v="0"/>
    <n v="0"/>
    <n v="0"/>
    <n v="0"/>
    <n v="0"/>
    <n v="0"/>
    <n v="0"/>
    <n v="0"/>
    <n v="0"/>
    <n v="0"/>
    <n v="0"/>
    <n v="0"/>
    <n v="0"/>
    <n v="0"/>
    <n v="0"/>
    <n v="0"/>
    <n v="0"/>
    <n v="0"/>
    <n v="0"/>
    <n v="0"/>
    <n v="0"/>
    <n v="0"/>
    <n v="0"/>
    <n v="0"/>
    <m/>
  </r>
  <r>
    <n v="901"/>
    <d v="2024-10-07T09:59:41"/>
    <d v="2024-10-07T10:07:52"/>
    <s v="bchirwa@lighthouse.org.mw"/>
    <s v="Bethsheba Chirwa"/>
    <s v="Chileka"/>
    <s v="Prototype"/>
    <x v="1"/>
    <x v="0"/>
    <s v="COP_23"/>
    <s v="Quarter3"/>
    <x v="1"/>
    <s v="Qtr_4"/>
    <x v="2"/>
    <d v="2024-09-01T00:00:00"/>
    <d v="2024-09-30T00:00:00"/>
    <x v="5"/>
    <n v="6"/>
    <n v="0"/>
    <n v="6"/>
    <n v="0"/>
    <n v="0"/>
    <n v="0"/>
    <n v="0"/>
    <n v="0"/>
    <n v="0"/>
    <n v="0"/>
    <n v="0"/>
    <n v="0"/>
    <n v="0"/>
    <n v="0"/>
    <n v="0"/>
    <n v="0"/>
    <n v="0"/>
    <n v="0"/>
    <n v="0"/>
    <n v="0"/>
    <n v="0"/>
    <n v="0"/>
    <n v="0"/>
    <n v="0"/>
    <n v="0"/>
    <m/>
  </r>
  <r>
    <n v="903"/>
    <d v="2024-10-07T10:20:49"/>
    <d v="2024-10-07T10:39:13"/>
    <s v="bchirwa@lighthouse.org.mw"/>
    <s v="Bethsheba Chirwa"/>
    <s v="Chileka"/>
    <s v="Prototype"/>
    <x v="1"/>
    <x v="0"/>
    <s v="COP_23"/>
    <s v="Quarter3"/>
    <x v="1"/>
    <s v="Qtr_4"/>
    <x v="2"/>
    <d v="2024-09-01T00:00:00"/>
    <d v="2024-09-30T00:00:00"/>
    <x v="0"/>
    <n v="28"/>
    <n v="0"/>
    <n v="27"/>
    <n v="0"/>
    <n v="1"/>
    <n v="0"/>
    <n v="0"/>
    <n v="0"/>
    <n v="6"/>
    <n v="0"/>
    <n v="0"/>
    <n v="0"/>
    <n v="6"/>
    <n v="0"/>
    <n v="0"/>
    <n v="0"/>
    <n v="0"/>
    <n v="0"/>
    <n v="0"/>
    <n v="0"/>
    <n v="0"/>
    <n v="0"/>
    <n v="0"/>
    <n v="0"/>
    <n v="0"/>
    <m/>
  </r>
  <r>
    <n v="1089"/>
    <d v="2024-11-26T10:38:24"/>
    <d v="2024-11-26T10:53:29"/>
    <s v="bchirwa@lighthouse.org.mw"/>
    <s v="Bethsheba Chirwa"/>
    <s v="Chileka"/>
    <s v="Prototype"/>
    <x v="1"/>
    <x v="0"/>
    <s v="COP_24"/>
    <s v="Quarter4"/>
    <x v="0"/>
    <s v="Qtr_1"/>
    <x v="0"/>
    <d v="2024-10-01T00:00:00"/>
    <d v="2024-10-31T00:00:00"/>
    <x v="1"/>
    <n v="13"/>
    <n v="0"/>
    <n v="12"/>
    <n v="1"/>
    <n v="0"/>
    <n v="0"/>
    <n v="0"/>
    <n v="0"/>
    <n v="0"/>
    <n v="0"/>
    <n v="0"/>
    <n v="0"/>
    <n v="1"/>
    <n v="0"/>
    <n v="0"/>
    <n v="0"/>
    <n v="0"/>
    <n v="0"/>
    <n v="0"/>
    <n v="0"/>
    <n v="0"/>
    <n v="0"/>
    <n v="0"/>
    <n v="0"/>
    <n v="0"/>
    <m/>
  </r>
  <r>
    <n v="1090"/>
    <d v="2024-11-26T10:53:47"/>
    <d v="2024-11-26T10:57:59"/>
    <s v="bchirwa@lighthouse.org.mw"/>
    <s v="Bethsheba Chirwa"/>
    <s v="Chileka"/>
    <s v="Prototype"/>
    <x v="1"/>
    <x v="0"/>
    <s v="COP_24"/>
    <s v="Quarter4"/>
    <x v="0"/>
    <s v="Qtr_1"/>
    <x v="0"/>
    <d v="2024-10-01T00:00:00"/>
    <d v="2024-10-31T00:00:00"/>
    <x v="3"/>
    <n v="0"/>
    <n v="0"/>
    <n v="0"/>
    <n v="0"/>
    <n v="0"/>
    <n v="0"/>
    <n v="0"/>
    <n v="0"/>
    <n v="0"/>
    <n v="0"/>
    <n v="0"/>
    <n v="0"/>
    <n v="0"/>
    <n v="0"/>
    <n v="0"/>
    <n v="0"/>
    <n v="0"/>
    <n v="0"/>
    <n v="0"/>
    <n v="0"/>
    <n v="0"/>
    <n v="0"/>
    <n v="0"/>
    <n v="0"/>
    <n v="0"/>
    <m/>
  </r>
  <r>
    <n v="1091"/>
    <d v="2024-11-26T10:59:18"/>
    <d v="2024-11-26T11:05:07"/>
    <s v="bchirwa@lighthouse.org.mw"/>
    <s v="Bethsheba Chirwa"/>
    <s v="Chileka"/>
    <s v="Prototype"/>
    <x v="1"/>
    <x v="0"/>
    <s v="COP_24"/>
    <s v="Quarter4"/>
    <x v="0"/>
    <s v="Qtr_1"/>
    <x v="0"/>
    <d v="2024-10-01T00:00:00"/>
    <d v="2024-10-31T00:00:00"/>
    <x v="4"/>
    <n v="0"/>
    <n v="0"/>
    <n v="0"/>
    <n v="0"/>
    <n v="0"/>
    <n v="0"/>
    <n v="0"/>
    <n v="0"/>
    <n v="0"/>
    <n v="0"/>
    <n v="0"/>
    <n v="0"/>
    <n v="0"/>
    <n v="0"/>
    <n v="0"/>
    <n v="0"/>
    <n v="0"/>
    <n v="0"/>
    <n v="0"/>
    <n v="0"/>
    <n v="0"/>
    <n v="0"/>
    <n v="0"/>
    <n v="0"/>
    <n v="0"/>
    <m/>
  </r>
  <r>
    <n v="1092"/>
    <d v="2024-11-26T11:06:16"/>
    <d v="2024-11-26T11:14:52"/>
    <s v="bchirwa@lighthouse.org.mw"/>
    <s v="Bethsheba Chirwa"/>
    <s v="Chileka"/>
    <s v="Prototype"/>
    <x v="1"/>
    <x v="0"/>
    <s v="COP_24"/>
    <s v="Quarter4"/>
    <x v="0"/>
    <s v="Qtr_1"/>
    <x v="0"/>
    <d v="2024-10-01T00:00:00"/>
    <d v="2024-10-31T00:00:00"/>
    <x v="5"/>
    <n v="1"/>
    <n v="0"/>
    <n v="0"/>
    <n v="0"/>
    <n v="0"/>
    <n v="0"/>
    <n v="0"/>
    <n v="0"/>
    <n v="0"/>
    <n v="0"/>
    <n v="0"/>
    <n v="0"/>
    <n v="0"/>
    <n v="0"/>
    <n v="0"/>
    <n v="0"/>
    <n v="0"/>
    <n v="0"/>
    <n v="0"/>
    <n v="0"/>
    <n v="0"/>
    <n v="0"/>
    <n v="0"/>
    <n v="0"/>
    <n v="0"/>
    <m/>
  </r>
  <r>
    <n v="1093"/>
    <d v="2024-11-26T11:15:19"/>
    <d v="2024-11-26T11:18:13"/>
    <s v="bchirwa@lighthouse.org.mw"/>
    <s v="Bethsheba Chirwa"/>
    <s v="Chileka"/>
    <s v="Prototype"/>
    <x v="1"/>
    <x v="0"/>
    <s v="COP_24"/>
    <s v="Quarter4"/>
    <x v="0"/>
    <s v="Qtr_1"/>
    <x v="0"/>
    <d v="2024-10-01T00:00:00"/>
    <d v="2024-10-31T00:00:00"/>
    <x v="2"/>
    <n v="1"/>
    <n v="1"/>
    <n v="1"/>
    <n v="0"/>
    <n v="0"/>
    <n v="0"/>
    <n v="0"/>
    <n v="0"/>
    <n v="0"/>
    <n v="0"/>
    <n v="0"/>
    <n v="0"/>
    <n v="1"/>
    <n v="0"/>
    <n v="0"/>
    <n v="0"/>
    <n v="0"/>
    <n v="0"/>
    <n v="0"/>
    <n v="0"/>
    <n v="0"/>
    <n v="0"/>
    <n v="0"/>
    <n v="0"/>
    <n v="0"/>
    <m/>
  </r>
  <r>
    <n v="1094"/>
    <d v="2024-11-26T11:19:24"/>
    <d v="2024-11-26T11:22:12"/>
    <s v="bchirwa@lighthouse.org.mw"/>
    <s v="Bethsheba Chirwa"/>
    <s v="Chileka"/>
    <s v="Prototype"/>
    <x v="1"/>
    <x v="2"/>
    <s v="COP_24"/>
    <s v="Quarter4"/>
    <x v="0"/>
    <s v="Qtr_1"/>
    <x v="0"/>
    <d v="2024-10-01T00:00:00"/>
    <d v="2024-10-31T00:00:00"/>
    <x v="0"/>
    <n v="15"/>
    <n v="0"/>
    <n v="14"/>
    <n v="1"/>
    <n v="0"/>
    <n v="0"/>
    <n v="0"/>
    <n v="0"/>
    <n v="0"/>
    <n v="0"/>
    <n v="0"/>
    <n v="0"/>
    <n v="2"/>
    <n v="0"/>
    <n v="0"/>
    <n v="0"/>
    <n v="0"/>
    <n v="0"/>
    <n v="0"/>
    <n v="0"/>
    <n v="0"/>
    <n v="0"/>
    <n v="0"/>
    <n v="0"/>
    <n v="0"/>
    <m/>
  </r>
  <r>
    <n v="1215"/>
    <d v="2025-01-08T14:05:55"/>
    <d v="2025-01-08T14:14:23"/>
    <s v="bchirwa@lighthouse.org.mw"/>
    <s v="Bethsheba Chirwa"/>
    <s v="Chileka"/>
    <s v="Prototype"/>
    <x v="1"/>
    <x v="0"/>
    <s v="COP_24"/>
    <s v="Quarter4"/>
    <x v="0"/>
    <s v="Qtr_1"/>
    <x v="1"/>
    <d v="2024-11-01T00:00:00"/>
    <d v="2024-11-30T00:00:00"/>
    <x v="1"/>
    <n v="4"/>
    <n v="0"/>
    <n v="4"/>
    <n v="0"/>
    <n v="0"/>
    <n v="0"/>
    <n v="0"/>
    <n v="0"/>
    <n v="0"/>
    <n v="0"/>
    <n v="0"/>
    <n v="0"/>
    <n v="0"/>
    <n v="0"/>
    <n v="0"/>
    <n v="0"/>
    <n v="0"/>
    <n v="0"/>
    <n v="0"/>
    <n v="0"/>
    <n v="0"/>
    <n v="0"/>
    <n v="0"/>
    <n v="0"/>
    <n v="0"/>
    <m/>
  </r>
  <r>
    <n v="1216"/>
    <d v="2025-01-08T14:14:31"/>
    <d v="2025-01-08T14:16:18"/>
    <s v="bchirwa@lighthouse.org.mw"/>
    <s v="Bethsheba Chirwa"/>
    <s v="Chileka"/>
    <s v="Prototype"/>
    <x v="1"/>
    <x v="0"/>
    <s v="COP_24"/>
    <s v="Quarter4"/>
    <x v="0"/>
    <s v="Qtr_1"/>
    <x v="1"/>
    <d v="2024-11-01T00:00:00"/>
    <d v="2024-11-30T00:00:00"/>
    <x v="3"/>
    <n v="0"/>
    <n v="0"/>
    <n v="0"/>
    <n v="0"/>
    <n v="0"/>
    <n v="0"/>
    <n v="0"/>
    <n v="0"/>
    <n v="0"/>
    <n v="0"/>
    <n v="0"/>
    <n v="0"/>
    <n v="0"/>
    <n v="0"/>
    <n v="0"/>
    <n v="0"/>
    <n v="0"/>
    <n v="0"/>
    <n v="0"/>
    <n v="0"/>
    <n v="0"/>
    <n v="0"/>
    <n v="0"/>
    <n v="0"/>
    <n v="0"/>
    <m/>
  </r>
  <r>
    <n v="1217"/>
    <d v="2025-01-08T14:16:20"/>
    <d v="2025-01-08T14:17:39"/>
    <s v="bchirwa@lighthouse.org.mw"/>
    <s v="Bethsheba Chirwa"/>
    <s v="Chileka"/>
    <s v="Prototype"/>
    <x v="1"/>
    <x v="0"/>
    <s v="COP_24"/>
    <s v="Quarter4"/>
    <x v="0"/>
    <s v="Qtr_1"/>
    <x v="1"/>
    <d v="2024-11-01T00:00:00"/>
    <d v="2024-11-30T00:00:00"/>
    <x v="4"/>
    <n v="0"/>
    <n v="0"/>
    <n v="0"/>
    <n v="0"/>
    <n v="0"/>
    <n v="0"/>
    <n v="0"/>
    <n v="0"/>
    <n v="0"/>
    <n v="0"/>
    <n v="0"/>
    <n v="0"/>
    <n v="0"/>
    <n v="0"/>
    <n v="0"/>
    <n v="0"/>
    <n v="0"/>
    <n v="0"/>
    <n v="0"/>
    <n v="0"/>
    <n v="0"/>
    <n v="0"/>
    <n v="0"/>
    <n v="0"/>
    <n v="0"/>
    <m/>
  </r>
  <r>
    <n v="1218"/>
    <d v="2025-01-08T14:17:46"/>
    <d v="2025-01-08T14:20:24"/>
    <s v="bchirwa@lighthouse.org.mw"/>
    <s v="Bethsheba Chirwa"/>
    <s v="Chileka"/>
    <s v="Prototype"/>
    <x v="1"/>
    <x v="0"/>
    <s v="COP_24"/>
    <s v="Quarter4"/>
    <x v="0"/>
    <s v="Qtr_1"/>
    <x v="1"/>
    <d v="2024-11-01T00:00:00"/>
    <d v="2024-11-30T00:00:00"/>
    <x v="5"/>
    <n v="2"/>
    <n v="0"/>
    <n v="2"/>
    <n v="0"/>
    <n v="0"/>
    <n v="0"/>
    <n v="0"/>
    <n v="0"/>
    <n v="0"/>
    <n v="0"/>
    <n v="0"/>
    <n v="0"/>
    <n v="0"/>
    <n v="0"/>
    <n v="0"/>
    <n v="0"/>
    <n v="0"/>
    <n v="0"/>
    <n v="0"/>
    <n v="0"/>
    <n v="0"/>
    <n v="0"/>
    <n v="0"/>
    <n v="0"/>
    <n v="0"/>
    <m/>
  </r>
  <r>
    <n v="1219"/>
    <d v="2025-01-08T14:20:27"/>
    <d v="2025-01-08T14:22:11"/>
    <s v="bchirwa@lighthouse.org.mw"/>
    <s v="Bethsheba Chirwa"/>
    <s v="Chileka"/>
    <s v="Prototype"/>
    <x v="1"/>
    <x v="0"/>
    <s v="COP_24"/>
    <s v="Quarter4"/>
    <x v="0"/>
    <s v="Qtr_1"/>
    <x v="1"/>
    <d v="2024-11-01T00:00:00"/>
    <d v="2024-11-30T00:00:00"/>
    <x v="0"/>
    <n v="6"/>
    <n v="0"/>
    <n v="6"/>
    <n v="0"/>
    <n v="0"/>
    <n v="0"/>
    <n v="0"/>
    <n v="0"/>
    <n v="0"/>
    <n v="0"/>
    <n v="0"/>
    <n v="0"/>
    <n v="0"/>
    <n v="0"/>
    <n v="0"/>
    <n v="0"/>
    <n v="0"/>
    <n v="0"/>
    <n v="0"/>
    <n v="0"/>
    <n v="0"/>
    <n v="0"/>
    <n v="0"/>
    <n v="0"/>
    <n v="0"/>
    <m/>
  </r>
  <r>
    <n v="1220"/>
    <d v="2025-01-08T14:22:17"/>
    <d v="2025-01-08T14:26:24"/>
    <s v="bchirwa@lighthouse.org.mw"/>
    <s v="Bethsheba Chirwa"/>
    <s v="Chileka"/>
    <s v="Prototype"/>
    <x v="1"/>
    <x v="0"/>
    <s v="COP_24"/>
    <s v="Quarter4"/>
    <x v="0"/>
    <s v="Qtr_1"/>
    <x v="11"/>
    <d v="2024-12-01T00:00:00"/>
    <d v="2024-12-31T00:00:00"/>
    <x v="1"/>
    <n v="4"/>
    <n v="0"/>
    <n v="3"/>
    <n v="1"/>
    <n v="0"/>
    <n v="0"/>
    <n v="0"/>
    <n v="0"/>
    <n v="0"/>
    <n v="0"/>
    <n v="0"/>
    <n v="0"/>
    <n v="0"/>
    <n v="0"/>
    <n v="0"/>
    <n v="0"/>
    <n v="0"/>
    <n v="0"/>
    <n v="0"/>
    <n v="0"/>
    <n v="0"/>
    <n v="0"/>
    <n v="0"/>
    <n v="0"/>
    <n v="0"/>
    <m/>
  </r>
  <r>
    <n v="1221"/>
    <d v="2025-01-08T14:26:32"/>
    <d v="2025-01-08T14:29:03"/>
    <s v="bchirwa@lighthouse.org.mw"/>
    <s v="Bethsheba Chirwa"/>
    <s v="Chileka"/>
    <s v="Prototype"/>
    <x v="1"/>
    <x v="0"/>
    <s v="COP_24"/>
    <s v="Quarter4"/>
    <x v="0"/>
    <s v="Qtr_1"/>
    <x v="11"/>
    <d v="2024-12-01T00:00:00"/>
    <d v="2024-12-31T00:00:00"/>
    <x v="3"/>
    <n v="0"/>
    <n v="0"/>
    <n v="0"/>
    <n v="0"/>
    <n v="0"/>
    <n v="0"/>
    <n v="0"/>
    <n v="0"/>
    <n v="0"/>
    <n v="0"/>
    <n v="0"/>
    <n v="0"/>
    <n v="0"/>
    <n v="0"/>
    <n v="0"/>
    <n v="0"/>
    <n v="0"/>
    <n v="0"/>
    <n v="0"/>
    <n v="0"/>
    <n v="0"/>
    <n v="0"/>
    <n v="0"/>
    <n v="0"/>
    <n v="0"/>
    <m/>
  </r>
  <r>
    <n v="1222"/>
    <d v="2025-01-08T14:29:13"/>
    <d v="2025-01-08T14:30:15"/>
    <s v="bchirwa@lighthouse.org.mw"/>
    <s v="Bethsheba Chirwa"/>
    <s v="Chileka"/>
    <s v="Prototype"/>
    <x v="1"/>
    <x v="0"/>
    <s v="COP_24"/>
    <s v="Quarter4"/>
    <x v="0"/>
    <s v="Qtr_1"/>
    <x v="11"/>
    <d v="2024-12-01T00:00:00"/>
    <d v="2024-12-31T00:00:00"/>
    <x v="4"/>
    <n v="0"/>
    <n v="0"/>
    <n v="0"/>
    <n v="0"/>
    <n v="0"/>
    <n v="0"/>
    <n v="0"/>
    <n v="0"/>
    <n v="0"/>
    <n v="0"/>
    <n v="0"/>
    <n v="0"/>
    <n v="0"/>
    <n v="0"/>
    <n v="0"/>
    <n v="0"/>
    <n v="0"/>
    <n v="0"/>
    <n v="0"/>
    <n v="0"/>
    <n v="0"/>
    <n v="0"/>
    <n v="0"/>
    <n v="0"/>
    <n v="0"/>
    <m/>
  </r>
  <r>
    <n v="1223"/>
    <d v="2025-01-08T14:30:20"/>
    <d v="2025-01-08T14:33:56"/>
    <s v="bchirwa@lighthouse.org.mw"/>
    <s v="Bethsheba Chirwa"/>
    <s v="Chileka"/>
    <s v="Prototype"/>
    <x v="1"/>
    <x v="0"/>
    <s v="COP_24"/>
    <s v="Quarter4"/>
    <x v="0"/>
    <s v="Qtr_1"/>
    <x v="11"/>
    <d v="2024-12-01T00:00:00"/>
    <d v="2024-12-31T00:00:00"/>
    <x v="5"/>
    <n v="1"/>
    <n v="0"/>
    <n v="0"/>
    <n v="0"/>
    <n v="0"/>
    <n v="0"/>
    <n v="0"/>
    <n v="0"/>
    <n v="0"/>
    <n v="0"/>
    <n v="0"/>
    <n v="0"/>
    <n v="0"/>
    <n v="0"/>
    <n v="0"/>
    <n v="0"/>
    <n v="0"/>
    <n v="0"/>
    <n v="0"/>
    <n v="0"/>
    <n v="0"/>
    <n v="0"/>
    <n v="0"/>
    <n v="0"/>
    <n v="0"/>
    <m/>
  </r>
  <r>
    <n v="1224"/>
    <d v="2025-01-08T14:34:12"/>
    <d v="2025-01-08T14:40:28"/>
    <s v="bchirwa@lighthouse.org.mw"/>
    <s v="Bethsheba Chirwa"/>
    <s v="Chileka"/>
    <s v="Prototype"/>
    <x v="1"/>
    <x v="0"/>
    <s v="COP_24"/>
    <s v="Quarter4"/>
    <x v="0"/>
    <s v="Qtr_1"/>
    <x v="11"/>
    <d v="2024-12-01T00:00:00"/>
    <d v="2024-12-31T00:00:00"/>
    <x v="0"/>
    <n v="6"/>
    <n v="0"/>
    <n v="5"/>
    <n v="1"/>
    <n v="0"/>
    <n v="0"/>
    <n v="0"/>
    <n v="0"/>
    <n v="0"/>
    <n v="0"/>
    <n v="0"/>
    <n v="0"/>
    <n v="0"/>
    <n v="0"/>
    <n v="0"/>
    <n v="0"/>
    <n v="0"/>
    <n v="0"/>
    <n v="0"/>
    <n v="0"/>
    <n v="0"/>
    <n v="0"/>
    <n v="0"/>
    <n v="0"/>
    <n v="0"/>
    <m/>
  </r>
  <r>
    <n v="1262"/>
    <d v="2025-01-14T11:37:18"/>
    <d v="2025-01-14T11:51:35"/>
    <s v="bchirwa@lighthouse.org.mw"/>
    <s v="Bethsheba Chirwa"/>
    <s v="Chileka"/>
    <s v="Prototype"/>
    <x v="1"/>
    <x v="0"/>
    <s v="COP_24"/>
    <s v="Quarter4"/>
    <x v="0"/>
    <s v="Qtr_1"/>
    <x v="1"/>
    <d v="2025-11-01T00:00:00"/>
    <d v="2024-11-30T00:00:00"/>
    <x v="2"/>
    <n v="43"/>
    <n v="0"/>
    <n v="0"/>
    <n v="0"/>
    <n v="0"/>
    <n v="0"/>
    <n v="0"/>
    <n v="0"/>
    <n v="0"/>
    <n v="0"/>
    <n v="0"/>
    <n v="0"/>
    <n v="0"/>
    <n v="0"/>
    <n v="0"/>
    <n v="0"/>
    <n v="0"/>
    <n v="0"/>
    <n v="0"/>
    <n v="0"/>
    <n v="0"/>
    <n v="0"/>
    <n v="0"/>
    <n v="0"/>
    <n v="0"/>
    <m/>
  </r>
  <r>
    <n v="1264"/>
    <d v="2025-01-14T11:51:40"/>
    <d v="2025-01-14T11:56:16"/>
    <s v="bchirwa@lighthouse.org.mw"/>
    <s v="Bethsheba Chirwa"/>
    <s v="Chileka"/>
    <s v="Prototype"/>
    <x v="1"/>
    <x v="0"/>
    <s v="COP_24"/>
    <s v="Quarter4"/>
    <x v="0"/>
    <s v="Qtr_1"/>
    <x v="11"/>
    <d v="2024-12-01T00:00:00"/>
    <d v="2024-12-31T00:00:00"/>
    <x v="2"/>
    <n v="38"/>
    <n v="0"/>
    <n v="1"/>
    <n v="0"/>
    <n v="0"/>
    <n v="0"/>
    <n v="1"/>
    <n v="0"/>
    <n v="0"/>
    <n v="0"/>
    <n v="0"/>
    <n v="0"/>
    <n v="0"/>
    <n v="0"/>
    <n v="0"/>
    <n v="0"/>
    <n v="0"/>
    <n v="0"/>
    <n v="0"/>
    <n v="0"/>
    <n v="0"/>
    <n v="0"/>
    <n v="0"/>
    <n v="0"/>
    <n v="0"/>
    <m/>
  </r>
  <r>
    <n v="1361"/>
    <d v="2025-03-06T10:04:21"/>
    <d v="2025-03-06T10:14:34"/>
    <s v="bchirwa@lighthouse.org.mw"/>
    <s v="Bethsheba Chirwa"/>
    <s v="Chileka"/>
    <s v="Prototype"/>
    <x v="2"/>
    <x v="0"/>
    <s v="COP_24"/>
    <s v="Quarter1"/>
    <x v="2"/>
    <s v="Qtr_2"/>
    <x v="4"/>
    <d v="2025-01-01T00:00:00"/>
    <d v="2025-01-31T00:00:00"/>
    <x v="1"/>
    <n v="12"/>
    <n v="0"/>
    <n v="11"/>
    <n v="0"/>
    <n v="0"/>
    <n v="0"/>
    <n v="11"/>
    <n v="0"/>
    <n v="0"/>
    <n v="0"/>
    <n v="0"/>
    <n v="0"/>
    <n v="0"/>
    <n v="0"/>
    <n v="0"/>
    <n v="0"/>
    <n v="0"/>
    <n v="0"/>
    <n v="0"/>
    <n v="0"/>
    <n v="0"/>
    <n v="0"/>
    <n v="0"/>
    <n v="0"/>
    <n v="0"/>
    <m/>
  </r>
  <r>
    <n v="1362"/>
    <d v="2025-03-06T10:14:38"/>
    <d v="2025-03-06T10:16:37"/>
    <s v="bchirwa@lighthouse.org.mw"/>
    <s v="Bethsheba Chirwa"/>
    <s v="Chileka"/>
    <s v="Prototype"/>
    <x v="2"/>
    <x v="0"/>
    <s v="COP_24"/>
    <s v="Quarter1"/>
    <x v="2"/>
    <s v="Qtr_2"/>
    <x v="4"/>
    <d v="2025-01-01T00:00:00"/>
    <d v="2025-01-31T00:00:00"/>
    <x v="3"/>
    <n v="0"/>
    <n v="0"/>
    <n v="0"/>
    <n v="0"/>
    <n v="0"/>
    <n v="0"/>
    <n v="0"/>
    <n v="0"/>
    <n v="0"/>
    <n v="0"/>
    <n v="0"/>
    <n v="0"/>
    <n v="0"/>
    <n v="0"/>
    <n v="0"/>
    <n v="0"/>
    <n v="0"/>
    <n v="0"/>
    <n v="0"/>
    <n v="0"/>
    <n v="0"/>
    <n v="0"/>
    <n v="0"/>
    <n v="0"/>
    <n v="0"/>
    <m/>
  </r>
  <r>
    <n v="1363"/>
    <d v="2025-03-06T10:16:41"/>
    <d v="2025-03-06T10:22:26"/>
    <s v="bchirwa@lighthouse.org.mw"/>
    <s v="Bethsheba Chirwa"/>
    <s v="Chileka"/>
    <s v="Prototype"/>
    <x v="2"/>
    <x v="0"/>
    <s v="COP_24"/>
    <s v="Quarter1"/>
    <x v="2"/>
    <s v="Qtr_2"/>
    <x v="4"/>
    <d v="2025-01-01T00:00:00"/>
    <d v="2025-01-31T00:00:00"/>
    <x v="4"/>
    <n v="0"/>
    <n v="0"/>
    <n v="0"/>
    <n v="0"/>
    <n v="0"/>
    <n v="0"/>
    <n v="0"/>
    <n v="0"/>
    <n v="0"/>
    <n v="0"/>
    <n v="0"/>
    <n v="0"/>
    <n v="0"/>
    <n v="0"/>
    <n v="0"/>
    <n v="0"/>
    <n v="0"/>
    <n v="0"/>
    <n v="0"/>
    <n v="0"/>
    <n v="0"/>
    <n v="0"/>
    <n v="0"/>
    <n v="0"/>
    <n v="0"/>
    <m/>
  </r>
  <r>
    <n v="1367"/>
    <d v="2025-03-06T10:22:30"/>
    <d v="2025-03-06T10:38:42"/>
    <s v="bchirwa@lighthouse.org.mw"/>
    <s v="Bethsheba Chirwa"/>
    <s v="Chileka"/>
    <s v="Prototype"/>
    <x v="2"/>
    <x v="0"/>
    <s v="COP_24"/>
    <s v="Quarter1"/>
    <x v="2"/>
    <s v="Qtr_2"/>
    <x v="4"/>
    <d v="2025-01-01T00:00:00"/>
    <d v="2025-01-31T00:00:00"/>
    <x v="5"/>
    <n v="4"/>
    <n v="0"/>
    <n v="1"/>
    <n v="0"/>
    <n v="0"/>
    <n v="0"/>
    <n v="1"/>
    <n v="0"/>
    <n v="0"/>
    <n v="0"/>
    <n v="0"/>
    <n v="0"/>
    <n v="1"/>
    <n v="0"/>
    <n v="0"/>
    <n v="0"/>
    <n v="0"/>
    <n v="0"/>
    <n v="0"/>
    <n v="0"/>
    <n v="0"/>
    <n v="0"/>
    <n v="0"/>
    <n v="0"/>
    <n v="0"/>
    <m/>
  </r>
  <r>
    <n v="1371"/>
    <d v="2025-03-06T10:40:47"/>
    <d v="2025-03-06T10:57:01"/>
    <s v="bchirwa@lighthouse.org.mw"/>
    <s v="Bethsheba Chirwa"/>
    <s v="Chileka"/>
    <s v="Prototype"/>
    <x v="2"/>
    <x v="0"/>
    <s v="COP_24"/>
    <s v="Quarter1"/>
    <x v="2"/>
    <s v="Qtr_2"/>
    <x v="4"/>
    <d v="2025-01-01T00:00:00"/>
    <d v="2025-01-31T00:00:00"/>
    <x v="2"/>
    <n v="30"/>
    <n v="0"/>
    <n v="1"/>
    <n v="0"/>
    <n v="0"/>
    <n v="0"/>
    <n v="0"/>
    <n v="0"/>
    <n v="0"/>
    <n v="0"/>
    <n v="0"/>
    <n v="0"/>
    <n v="0"/>
    <n v="0"/>
    <n v="0"/>
    <n v="0"/>
    <n v="0"/>
    <n v="0"/>
    <n v="0"/>
    <n v="0"/>
    <n v="0"/>
    <n v="0"/>
    <n v="0"/>
    <n v="0"/>
    <n v="0"/>
    <m/>
  </r>
  <r>
    <n v="1372"/>
    <d v="2025-03-06T10:57:05"/>
    <d v="2025-03-06T11:04:05"/>
    <s v="bchirwa@lighthouse.org.mw"/>
    <s v="Bethsheba Chirwa"/>
    <s v="Chileka"/>
    <s v="Prototype"/>
    <x v="2"/>
    <x v="0"/>
    <s v="COP_24"/>
    <s v="Quarter1"/>
    <x v="2"/>
    <s v="Qtr_2"/>
    <x v="5"/>
    <d v="2025-01-01T00:00:00"/>
    <d v="2025-01-31T00:00:00"/>
    <x v="0"/>
    <n v="13"/>
    <n v="0"/>
    <n v="13"/>
    <n v="0"/>
    <n v="0"/>
    <n v="0"/>
    <n v="1"/>
    <n v="0"/>
    <n v="0"/>
    <n v="0"/>
    <n v="0"/>
    <n v="0"/>
    <n v="1"/>
    <n v="0"/>
    <n v="0"/>
    <n v="0"/>
    <n v="0"/>
    <n v="0"/>
    <n v="0"/>
    <n v="0"/>
    <n v="0"/>
    <n v="0"/>
    <n v="0"/>
    <n v="0"/>
    <n v="0"/>
    <m/>
  </r>
  <r>
    <n v="1373"/>
    <d v="2025-03-06T11:04:37"/>
    <d v="2025-03-06T11:15:22"/>
    <s v="bchirwa@lighthouse.org.mw"/>
    <s v="Bethsheba Chirwa"/>
    <s v="Chileka"/>
    <s v="Prototype"/>
    <x v="2"/>
    <x v="0"/>
    <s v="COP_24"/>
    <s v="Quarter1"/>
    <x v="2"/>
    <s v="Qtr_2"/>
    <x v="5"/>
    <d v="2025-02-01T00:00:00"/>
    <d v="2025-02-28T00:00:00"/>
    <x v="1"/>
    <n v="4"/>
    <n v="0"/>
    <n v="4"/>
    <n v="0"/>
    <n v="0"/>
    <n v="0"/>
    <n v="0"/>
    <n v="0"/>
    <n v="0"/>
    <n v="0"/>
    <n v="0"/>
    <n v="0"/>
    <n v="0"/>
    <n v="0"/>
    <n v="0"/>
    <n v="0"/>
    <n v="0"/>
    <n v="0"/>
    <n v="0"/>
    <n v="0"/>
    <n v="0"/>
    <n v="0"/>
    <n v="0"/>
    <n v="0"/>
    <n v="0"/>
    <m/>
  </r>
  <r>
    <n v="1374"/>
    <d v="2025-03-06T11:15:35"/>
    <d v="2025-03-06T11:17:15"/>
    <s v="bchirwa@lighthouse.org.mw"/>
    <s v="Bethsheba Chirwa"/>
    <s v="Chileka"/>
    <s v="Prototype"/>
    <x v="2"/>
    <x v="0"/>
    <s v="COP_24"/>
    <s v="Quarter1"/>
    <x v="2"/>
    <s v="Qtr_2"/>
    <x v="5"/>
    <d v="2025-02-01T00:00:00"/>
    <d v="2025-02-28T00:00:00"/>
    <x v="3"/>
    <n v="0"/>
    <n v="0"/>
    <n v="0"/>
    <n v="0"/>
    <n v="0"/>
    <n v="0"/>
    <n v="0"/>
    <n v="0"/>
    <n v="0"/>
    <n v="0"/>
    <n v="0"/>
    <n v="0"/>
    <n v="0"/>
    <n v="0"/>
    <n v="0"/>
    <n v="0"/>
    <n v="0"/>
    <n v="0"/>
    <n v="0"/>
    <n v="0"/>
    <n v="0"/>
    <n v="0"/>
    <n v="0"/>
    <n v="0"/>
    <n v="0"/>
    <m/>
  </r>
  <r>
    <n v="1375"/>
    <d v="2025-03-06T11:17:21"/>
    <d v="2025-03-06T11:19:13"/>
    <s v="bchirwa@lighthouse.org.mw"/>
    <s v="Bethsheba Chirwa"/>
    <s v="Chileka"/>
    <s v="Prototype"/>
    <x v="2"/>
    <x v="0"/>
    <s v="COP_24"/>
    <s v="Quarter1"/>
    <x v="2"/>
    <s v="Qtr_2"/>
    <x v="5"/>
    <d v="2025-02-01T00:00:00"/>
    <d v="2025-02-28T00:00:00"/>
    <x v="4"/>
    <n v="0"/>
    <n v="0"/>
    <n v="0"/>
    <n v="0"/>
    <n v="0"/>
    <n v="0"/>
    <n v="0"/>
    <n v="0"/>
    <n v="0"/>
    <n v="0"/>
    <n v="0"/>
    <n v="0"/>
    <n v="0"/>
    <n v="0"/>
    <n v="0"/>
    <n v="0"/>
    <n v="0"/>
    <n v="0"/>
    <n v="0"/>
    <n v="0"/>
    <n v="0"/>
    <n v="0"/>
    <n v="0"/>
    <n v="0"/>
    <n v="0"/>
    <m/>
  </r>
  <r>
    <n v="1376"/>
    <d v="2025-03-06T11:19:29"/>
    <d v="2025-03-06T11:21:13"/>
    <s v="bchirwa@lighthouse.org.mw"/>
    <s v="Bethsheba Chirwa"/>
    <s v="Chileka"/>
    <s v="Prototype"/>
    <x v="2"/>
    <x v="0"/>
    <s v="COP_24"/>
    <s v="Quarter1"/>
    <x v="2"/>
    <s v="Qtr_2"/>
    <x v="5"/>
    <d v="2025-02-01T00:00:00"/>
    <d v="2025-02-28T00:00:00"/>
    <x v="5"/>
    <n v="0"/>
    <n v="0"/>
    <n v="0"/>
    <n v="0"/>
    <n v="0"/>
    <n v="0"/>
    <n v="0"/>
    <n v="0"/>
    <n v="0"/>
    <n v="0"/>
    <n v="0"/>
    <n v="0"/>
    <n v="0"/>
    <n v="0"/>
    <n v="0"/>
    <n v="0"/>
    <n v="0"/>
    <n v="0"/>
    <n v="0"/>
    <n v="0"/>
    <n v="0"/>
    <n v="0"/>
    <n v="0"/>
    <n v="0"/>
    <n v="0"/>
    <m/>
  </r>
  <r>
    <n v="1377"/>
    <d v="2025-03-06T11:21:17"/>
    <d v="2025-03-06T11:27:15"/>
    <s v="bchirwa@lighthouse.org.mw"/>
    <s v="Bethsheba Chirwa"/>
    <s v="Chileka"/>
    <s v="Prototype"/>
    <x v="2"/>
    <x v="0"/>
    <s v="COP_24"/>
    <s v="Quarter1"/>
    <x v="2"/>
    <s v="Qtr_2"/>
    <x v="5"/>
    <d v="2025-02-01T00:00:00"/>
    <d v="2025-02-28T00:00:00"/>
    <x v="2"/>
    <n v="26"/>
    <n v="0"/>
    <n v="1"/>
    <n v="0"/>
    <n v="0"/>
    <n v="0"/>
    <n v="1"/>
    <n v="0"/>
    <n v="0"/>
    <n v="0"/>
    <n v="0"/>
    <n v="0"/>
    <n v="0"/>
    <n v="0"/>
    <n v="0"/>
    <n v="0"/>
    <n v="0"/>
    <n v="0"/>
    <n v="0"/>
    <n v="0"/>
    <n v="0"/>
    <n v="0"/>
    <n v="0"/>
    <n v="0"/>
    <n v="0"/>
    <m/>
  </r>
  <r>
    <n v="1378"/>
    <d v="2025-03-06T11:27:26"/>
    <d v="2025-03-06T11:28:56"/>
    <s v="bchirwa@lighthouse.org.mw"/>
    <s v="Bethsheba Chirwa"/>
    <s v="Chileka"/>
    <s v="Prototype"/>
    <x v="2"/>
    <x v="0"/>
    <s v="COP_24"/>
    <s v="Quarter1"/>
    <x v="2"/>
    <s v="Qtr_2"/>
    <x v="5"/>
    <d v="2025-02-01T00:00:00"/>
    <d v="2025-02-28T00:00:00"/>
    <x v="0"/>
    <n v="5"/>
    <n v="0"/>
    <n v="5"/>
    <n v="0"/>
    <n v="0"/>
    <n v="0"/>
    <n v="5"/>
    <n v="0"/>
    <n v="0"/>
    <n v="0"/>
    <n v="0"/>
    <n v="0"/>
    <n v="0"/>
    <n v="0"/>
    <n v="0"/>
    <n v="0"/>
    <n v="0"/>
    <n v="0"/>
    <n v="0"/>
    <n v="0"/>
    <n v="0"/>
    <n v="0"/>
    <n v="0"/>
    <n v="0"/>
    <n v="0"/>
    <m/>
  </r>
  <r>
    <n v="1488"/>
    <d v="2025-04-03T10:17:24"/>
    <d v="2025-04-03T10:24:44"/>
    <s v="bchirwa@lighthouse.org.mw"/>
    <s v="Bethsheba Chirwa"/>
    <s v="Chileka"/>
    <s v="Prototype"/>
    <x v="2"/>
    <x v="0"/>
    <s v="COP_24"/>
    <s v="Quarter1"/>
    <x v="2"/>
    <s v="Qtr_2"/>
    <x v="3"/>
    <d v="2025-03-01T00:00:00"/>
    <d v="2025-03-31T00:00:00"/>
    <x v="1"/>
    <n v="6"/>
    <n v="0"/>
    <n v="5"/>
    <n v="1"/>
    <n v="0"/>
    <n v="0"/>
    <n v="6"/>
    <n v="1"/>
    <n v="1"/>
    <n v="0"/>
    <n v="0"/>
    <n v="0"/>
    <n v="1"/>
    <n v="0"/>
    <n v="0"/>
    <n v="0"/>
    <n v="0"/>
    <n v="0"/>
    <n v="0"/>
    <n v="0"/>
    <n v="0"/>
    <n v="0"/>
    <n v="0"/>
    <n v="0"/>
    <n v="0"/>
    <m/>
  </r>
  <r>
    <n v="1489"/>
    <d v="2025-04-03T10:24:54"/>
    <d v="2025-04-03T10:34:39"/>
    <s v="bchirwa@lighthouse.org.mw"/>
    <s v="Bethsheba Chirwa"/>
    <s v="Chileka"/>
    <s v="Prototype"/>
    <x v="2"/>
    <x v="0"/>
    <s v="COP_24"/>
    <s v="Quarter1"/>
    <x v="2"/>
    <s v="Qtr_2"/>
    <x v="3"/>
    <d v="2025-03-01T00:00:00"/>
    <d v="2025-03-31T00:00:00"/>
    <x v="3"/>
    <n v="0"/>
    <n v="0"/>
    <n v="0"/>
    <n v="0"/>
    <n v="0"/>
    <n v="0"/>
    <n v="0"/>
    <n v="0"/>
    <n v="0"/>
    <n v="0"/>
    <n v="0"/>
    <n v="0"/>
    <n v="0"/>
    <n v="0"/>
    <n v="0"/>
    <n v="0"/>
    <n v="0"/>
    <n v="0"/>
    <n v="0"/>
    <n v="0"/>
    <n v="0"/>
    <n v="0"/>
    <n v="0"/>
    <n v="0"/>
    <n v="0"/>
    <m/>
  </r>
  <r>
    <n v="1490"/>
    <d v="2025-04-03T10:34:54"/>
    <d v="2025-04-03T10:37:12"/>
    <s v="bchirwa@lighthouse.org.mw"/>
    <s v="Bethsheba Chirwa"/>
    <s v="Chileka"/>
    <s v="Prototype"/>
    <x v="2"/>
    <x v="0"/>
    <s v="COP_24"/>
    <s v="Quarter1"/>
    <x v="2"/>
    <s v="Qtr_2"/>
    <x v="3"/>
    <d v="2025-03-01T00:00:00"/>
    <d v="2025-03-31T00:00:00"/>
    <x v="4"/>
    <n v="0"/>
    <n v="0"/>
    <n v="0"/>
    <n v="0"/>
    <n v="0"/>
    <n v="0"/>
    <n v="0"/>
    <n v="0"/>
    <n v="0"/>
    <n v="0"/>
    <n v="0"/>
    <n v="0"/>
    <n v="0"/>
    <n v="0"/>
    <n v="0"/>
    <n v="0"/>
    <n v="0"/>
    <n v="0"/>
    <n v="0"/>
    <n v="0"/>
    <n v="0"/>
    <n v="0"/>
    <n v="0"/>
    <n v="0"/>
    <n v="0"/>
    <m/>
  </r>
  <r>
    <n v="1491"/>
    <d v="2025-04-03T10:37:56"/>
    <d v="2025-04-03T10:45:14"/>
    <s v="bchirwa@lighthouse.org.mw"/>
    <s v="Bethsheba Chirwa"/>
    <s v="Chileka"/>
    <s v="Prototype"/>
    <x v="2"/>
    <x v="0"/>
    <s v="COP_24"/>
    <s v="Quarter1"/>
    <x v="2"/>
    <s v="Qtr_2"/>
    <x v="3"/>
    <d v="2025-03-01T00:00:00"/>
    <d v="2025-03-31T00:00:00"/>
    <x v="5"/>
    <n v="6"/>
    <n v="0"/>
    <n v="0"/>
    <n v="0"/>
    <n v="0"/>
    <n v="0"/>
    <n v="0"/>
    <n v="0"/>
    <n v="0"/>
    <n v="0"/>
    <n v="0"/>
    <n v="0"/>
    <n v="0"/>
    <n v="0"/>
    <n v="0"/>
    <n v="0"/>
    <n v="0"/>
    <n v="0"/>
    <n v="0"/>
    <n v="0"/>
    <n v="0"/>
    <n v="0"/>
    <n v="0"/>
    <n v="0"/>
    <n v="0"/>
    <m/>
  </r>
  <r>
    <n v="1492"/>
    <d v="2025-04-03T10:47:45"/>
    <d v="2025-04-03T10:57:12"/>
    <s v="bchirwa@lighthouse.org.mw"/>
    <s v="Bethsheba Chirwa"/>
    <s v="Chileka"/>
    <s v="Prototype"/>
    <x v="2"/>
    <x v="0"/>
    <s v="COP_24"/>
    <s v="Quarter1"/>
    <x v="2"/>
    <s v="Qtr_2"/>
    <x v="3"/>
    <d v="2025-03-01T00:00:00"/>
    <d v="2025-03-31T00:00:00"/>
    <x v="2"/>
    <n v="17"/>
    <n v="0"/>
    <n v="0"/>
    <n v="0"/>
    <n v="0"/>
    <n v="0"/>
    <n v="0"/>
    <n v="0"/>
    <n v="0"/>
    <n v="0"/>
    <n v="0"/>
    <n v="0"/>
    <n v="0"/>
    <n v="0"/>
    <n v="0"/>
    <n v="0"/>
    <n v="0"/>
    <n v="0"/>
    <n v="0"/>
    <n v="0"/>
    <n v="0"/>
    <n v="0"/>
    <n v="0"/>
    <n v="0"/>
    <n v="0"/>
    <m/>
  </r>
  <r>
    <n v="1503"/>
    <d v="2025-04-04T10:36:27"/>
    <d v="2025-04-04T10:45:08"/>
    <s v="bchirwa@lighthouse.org.mw"/>
    <s v="Bethsheba Chirwa"/>
    <s v="Chileka"/>
    <s v="Prototype"/>
    <x v="2"/>
    <x v="0"/>
    <s v="COP_24"/>
    <s v="Quarter1"/>
    <x v="2"/>
    <s v="Qtr_2"/>
    <x v="3"/>
    <d v="2025-03-01T00:00:00"/>
    <d v="2025-03-31T00:00:00"/>
    <x v="0"/>
    <n v="23"/>
    <n v="0"/>
    <n v="5"/>
    <n v="1"/>
    <n v="0"/>
    <n v="0"/>
    <n v="0"/>
    <n v="1"/>
    <n v="1"/>
    <n v="0"/>
    <n v="0"/>
    <n v="0"/>
    <n v="1"/>
    <n v="0"/>
    <n v="0"/>
    <n v="0"/>
    <n v="0"/>
    <n v="0"/>
    <n v="0"/>
    <n v="0"/>
    <n v="0"/>
    <n v="0"/>
    <n v="0"/>
    <n v="0"/>
    <n v="0"/>
    <m/>
  </r>
  <r>
    <n v="1737"/>
    <d v="2025-07-08T12:22:55"/>
    <d v="2025-07-08T12:49:12"/>
    <s v="bchirwa@lighthouse.org.mw"/>
    <s v="Bethsheba Chirwa"/>
    <s v="Chileka"/>
    <s v="Prototype"/>
    <x v="2"/>
    <x v="0"/>
    <m/>
    <s v="Quarter3"/>
    <x v="3"/>
    <m/>
    <x v="7"/>
    <d v="2025-04-01T00:00:00"/>
    <d v="2025-04-30T00:00:00"/>
    <x v="1"/>
    <n v="18"/>
    <n v="0"/>
    <n v="4"/>
    <n v="14"/>
    <n v="0"/>
    <n v="0"/>
    <n v="18"/>
    <n v="3"/>
    <n v="0"/>
    <n v="0"/>
    <n v="0"/>
    <n v="0"/>
    <n v="0"/>
    <n v="0"/>
    <n v="0"/>
    <n v="0"/>
    <n v="0"/>
    <n v="0"/>
    <n v="0"/>
    <n v="0"/>
    <n v="0"/>
    <n v="0"/>
    <n v="0"/>
    <n v="0"/>
    <n v="0"/>
    <m/>
  </r>
  <r>
    <n v="1738"/>
    <d v="2025-07-08T12:49:45"/>
    <d v="2025-07-08T12:58:43"/>
    <s v="bchirwa@lighthouse.org.mw"/>
    <s v="Bethsheba Chirwa"/>
    <s v="Chileka"/>
    <s v="Prototype"/>
    <x v="2"/>
    <x v="0"/>
    <m/>
    <s v="Quarter3"/>
    <x v="3"/>
    <m/>
    <x v="7"/>
    <d v="2025-04-01T00:00:00"/>
    <d v="2025-04-30T00:00:00"/>
    <x v="3"/>
    <n v="1"/>
    <n v="0"/>
    <n v="1"/>
    <n v="0"/>
    <n v="0"/>
    <n v="0"/>
    <n v="0"/>
    <n v="0"/>
    <n v="0"/>
    <n v="0"/>
    <n v="0"/>
    <n v="0"/>
    <n v="0"/>
    <n v="0"/>
    <n v="0"/>
    <n v="0"/>
    <n v="0"/>
    <n v="0"/>
    <n v="0"/>
    <n v="0"/>
    <n v="0"/>
    <n v="0"/>
    <n v="0"/>
    <n v="0"/>
    <n v="0"/>
    <m/>
  </r>
  <r>
    <n v="1739"/>
    <d v="2025-07-08T12:58:47"/>
    <d v="2025-07-08T13:00:56"/>
    <s v="bchirwa@lighthouse.org.mw"/>
    <s v="Bethsheba Chirwa"/>
    <s v="Chileka"/>
    <s v="Prototype"/>
    <x v="2"/>
    <x v="0"/>
    <m/>
    <s v="Quarter3"/>
    <x v="3"/>
    <m/>
    <x v="7"/>
    <d v="2025-04-01T00:00:00"/>
    <d v="2025-04-30T00:00:00"/>
    <x v="4"/>
    <n v="0"/>
    <n v="0"/>
    <n v="0"/>
    <n v="0"/>
    <n v="0"/>
    <n v="0"/>
    <n v="0"/>
    <n v="0"/>
    <n v="0"/>
    <n v="0"/>
    <n v="0"/>
    <n v="0"/>
    <n v="0"/>
    <n v="0"/>
    <n v="0"/>
    <n v="0"/>
    <n v="0"/>
    <n v="0"/>
    <n v="0"/>
    <n v="0"/>
    <n v="0"/>
    <n v="0"/>
    <n v="0"/>
    <n v="0"/>
    <n v="0"/>
    <m/>
  </r>
  <r>
    <n v="1740"/>
    <d v="2025-07-09T09:40:36"/>
    <d v="2025-07-09T09:52:50"/>
    <s v="bchirwa@lighthouse.org.mw"/>
    <s v="Bethsheba Chirwa"/>
    <s v="Chileka"/>
    <s v="Prototype"/>
    <x v="2"/>
    <x v="0"/>
    <m/>
    <s v="Quarter3"/>
    <x v="3"/>
    <m/>
    <x v="7"/>
    <d v="2025-04-01T00:00:00"/>
    <d v="2025-04-30T00:00:00"/>
    <x v="5"/>
    <n v="1"/>
    <n v="0"/>
    <n v="1"/>
    <n v="0"/>
    <n v="0"/>
    <n v="0"/>
    <n v="1"/>
    <n v="0"/>
    <n v="0"/>
    <n v="0"/>
    <n v="0"/>
    <n v="0"/>
    <n v="0"/>
    <n v="0"/>
    <n v="0"/>
    <n v="0"/>
    <n v="0"/>
    <n v="0"/>
    <n v="0"/>
    <n v="0"/>
    <n v="0"/>
    <n v="0"/>
    <n v="0"/>
    <n v="0"/>
    <n v="0"/>
    <m/>
  </r>
  <r>
    <n v="1742"/>
    <d v="2025-07-09T09:54:13"/>
    <d v="2025-07-09T10:15:01"/>
    <s v="bchirwa@lighthouse.org.mw"/>
    <s v="Bethsheba Chirwa"/>
    <s v="Chileka"/>
    <s v="Prototype"/>
    <x v="2"/>
    <x v="0"/>
    <m/>
    <s v="Quarter3"/>
    <x v="3"/>
    <m/>
    <x v="7"/>
    <d v="2025-04-01T00:00:00"/>
    <d v="2025-04-30T00:00:00"/>
    <x v="2"/>
    <n v="18"/>
    <n v="0"/>
    <n v="1"/>
    <n v="0"/>
    <n v="0"/>
    <n v="0"/>
    <n v="1"/>
    <n v="0"/>
    <n v="0"/>
    <n v="0"/>
    <n v="0"/>
    <n v="0"/>
    <n v="0"/>
    <n v="0"/>
    <n v="0"/>
    <n v="0"/>
    <n v="0"/>
    <n v="0"/>
    <n v="0"/>
    <n v="0"/>
    <n v="0"/>
    <n v="0"/>
    <n v="0"/>
    <n v="0"/>
    <n v="0"/>
    <m/>
  </r>
  <r>
    <n v="1743"/>
    <d v="2025-07-09T10:15:14"/>
    <d v="2025-07-09T10:20:19"/>
    <s v="bchirwa@lighthouse.org.mw"/>
    <s v="Bethsheba Chirwa"/>
    <s v="Chileka"/>
    <s v="Prototype"/>
    <x v="2"/>
    <x v="0"/>
    <m/>
    <s v="Quarter3"/>
    <x v="3"/>
    <m/>
    <x v="7"/>
    <d v="2025-04-01T00:00:00"/>
    <d v="2025-04-30T00:00:00"/>
    <x v="0"/>
    <n v="18"/>
    <n v="3"/>
    <n v="15"/>
    <n v="3"/>
    <n v="0"/>
    <n v="0"/>
    <n v="0"/>
    <n v="0"/>
    <n v="0"/>
    <n v="0"/>
    <n v="0"/>
    <n v="0"/>
    <n v="0"/>
    <n v="0"/>
    <n v="0"/>
    <n v="0"/>
    <n v="0"/>
    <n v="0"/>
    <n v="0"/>
    <n v="0"/>
    <n v="0"/>
    <n v="0"/>
    <n v="0"/>
    <n v="0"/>
    <n v="0"/>
    <m/>
  </r>
  <r>
    <n v="1746"/>
    <d v="2025-07-09T10:20:48"/>
    <d v="2025-07-09T10:24:29"/>
    <s v="bchirwa@lighthouse.org.mw"/>
    <s v="Bethsheba Chirwa"/>
    <s v="Chileka"/>
    <s v="Prototype"/>
    <x v="2"/>
    <x v="2"/>
    <m/>
    <s v="Quarter3"/>
    <x v="3"/>
    <m/>
    <x v="7"/>
    <d v="2025-04-01T00:00:00"/>
    <d v="2025-04-30T00:00:00"/>
    <x v="0"/>
    <n v="18"/>
    <n v="0"/>
    <n v="15"/>
    <n v="3"/>
    <n v="0"/>
    <n v="0"/>
    <n v="17"/>
    <n v="3"/>
    <n v="0"/>
    <n v="0"/>
    <n v="0"/>
    <n v="0"/>
    <n v="0"/>
    <n v="0"/>
    <n v="0"/>
    <n v="0"/>
    <n v="0"/>
    <n v="0"/>
    <n v="0"/>
    <n v="0"/>
    <n v="0"/>
    <n v="0"/>
    <n v="0"/>
    <n v="0"/>
    <n v="0"/>
    <m/>
  </r>
  <r>
    <n v="1751"/>
    <d v="2025-07-09T10:25:37"/>
    <d v="2025-07-09T10:39:44"/>
    <s v="bchirwa@lighthouse.org.mw"/>
    <s v="Bethsheba Chirwa"/>
    <s v="Chileka"/>
    <s v="Prototype"/>
    <x v="2"/>
    <x v="2"/>
    <m/>
    <s v="Quarter3"/>
    <x v="3"/>
    <m/>
    <x v="6"/>
    <d v="2025-05-01T00:00:00"/>
    <d v="2025-05-31T00:00:00"/>
    <x v="1"/>
    <n v="12"/>
    <n v="0"/>
    <n v="7"/>
    <n v="0"/>
    <n v="1"/>
    <n v="0"/>
    <n v="7"/>
    <n v="0"/>
    <n v="1"/>
    <n v="0"/>
    <n v="0"/>
    <n v="0"/>
    <n v="1"/>
    <n v="1"/>
    <n v="0"/>
    <n v="0"/>
    <n v="0"/>
    <n v="0"/>
    <n v="0"/>
    <n v="0"/>
    <n v="1"/>
    <n v="0"/>
    <n v="0"/>
    <n v="0"/>
    <n v="0"/>
    <m/>
  </r>
  <r>
    <n v="1752"/>
    <d v="2025-07-09T10:42:53"/>
    <d v="2025-07-09T10:43:06"/>
    <s v="bchirwa@lighthouse.org.mw"/>
    <s v="Bethsheba Chirwa"/>
    <s v="Chileka"/>
    <s v="Prototype"/>
    <x v="1"/>
    <x v="2"/>
    <m/>
    <s v="Quarter3"/>
    <x v="3"/>
    <m/>
    <x v="6"/>
    <d v="2025-05-01T00:00:00"/>
    <d v="2025-05-31T00:00:00"/>
    <x v="3"/>
    <n v="0"/>
    <n v="0"/>
    <n v="0"/>
    <n v="0"/>
    <n v="0"/>
    <n v="0"/>
    <n v="0"/>
    <n v="0"/>
    <n v="0"/>
    <n v="0"/>
    <n v="0"/>
    <n v="0"/>
    <n v="0"/>
    <n v="0"/>
    <n v="0"/>
    <n v="0"/>
    <n v="0"/>
    <n v="0"/>
    <n v="0"/>
    <n v="0"/>
    <n v="0"/>
    <n v="0"/>
    <n v="0"/>
    <n v="0"/>
    <n v="0"/>
    <m/>
  </r>
  <r>
    <n v="1753"/>
    <d v="2025-07-09T10:43:09"/>
    <d v="2025-07-09T10:49:32"/>
    <s v="bchirwa@lighthouse.org.mw"/>
    <s v="Bethsheba Chirwa"/>
    <s v="Chileka"/>
    <s v="Prototype"/>
    <x v="2"/>
    <x v="2"/>
    <m/>
    <s v="Quarter3"/>
    <x v="3"/>
    <m/>
    <x v="6"/>
    <d v="2025-05-01T00:00:00"/>
    <d v="2025-05-31T00:00:00"/>
    <x v="4"/>
    <n v="0"/>
    <n v="0"/>
    <n v="0"/>
    <n v="0"/>
    <n v="0"/>
    <n v="0"/>
    <n v="0"/>
    <n v="0"/>
    <n v="0"/>
    <n v="0"/>
    <n v="0"/>
    <n v="0"/>
    <n v="0"/>
    <n v="0"/>
    <n v="0"/>
    <n v="0"/>
    <n v="0"/>
    <n v="0"/>
    <n v="0"/>
    <n v="0"/>
    <n v="0"/>
    <n v="0"/>
    <n v="0"/>
    <n v="0"/>
    <n v="0"/>
    <m/>
  </r>
  <r>
    <n v="1754"/>
    <d v="2025-07-09T10:49:38"/>
    <d v="2025-07-09T10:53:58"/>
    <s v="bchirwa@lighthouse.org.mw"/>
    <s v="Bethsheba Chirwa"/>
    <s v="Chileka"/>
    <s v="Prototype"/>
    <x v="2"/>
    <x v="2"/>
    <m/>
    <s v="Quarter3"/>
    <x v="3"/>
    <m/>
    <x v="6"/>
    <d v="2025-05-01T00:00:00"/>
    <d v="2025-05-31T00:00:00"/>
    <x v="5"/>
    <n v="5"/>
    <n v="0"/>
    <n v="0"/>
    <n v="0"/>
    <n v="0"/>
    <n v="0"/>
    <n v="0"/>
    <n v="0"/>
    <n v="0"/>
    <n v="0"/>
    <n v="0"/>
    <n v="0"/>
    <n v="0"/>
    <n v="0"/>
    <n v="0"/>
    <n v="0"/>
    <n v="0"/>
    <n v="0"/>
    <n v="0"/>
    <n v="0"/>
    <n v="0"/>
    <n v="0"/>
    <n v="0"/>
    <n v="0"/>
    <n v="0"/>
    <m/>
  </r>
  <r>
    <n v="1755"/>
    <d v="2025-07-09T10:54:01"/>
    <d v="2025-07-09T10:55:27"/>
    <s v="bchirwa@lighthouse.org.mw"/>
    <s v="Bethsheba Chirwa"/>
    <s v="Chileka"/>
    <s v="Prototype"/>
    <x v="2"/>
    <x v="2"/>
    <m/>
    <s v="Quarter3"/>
    <x v="3"/>
    <m/>
    <x v="6"/>
    <d v="2025-05-01T00:00:00"/>
    <d v="2025-05-31T00:00:00"/>
    <x v="2"/>
    <n v="15"/>
    <n v="0"/>
    <n v="0"/>
    <n v="0"/>
    <n v="0"/>
    <n v="0"/>
    <n v="0"/>
    <n v="0"/>
    <n v="0"/>
    <n v="0"/>
    <n v="0"/>
    <n v="0"/>
    <n v="0"/>
    <n v="0"/>
    <n v="0"/>
    <n v="0"/>
    <n v="0"/>
    <n v="0"/>
    <n v="0"/>
    <n v="0"/>
    <n v="0"/>
    <n v="0"/>
    <n v="0"/>
    <n v="0"/>
    <n v="0"/>
    <m/>
  </r>
  <r>
    <n v="1756"/>
    <d v="2025-07-09T10:55:30"/>
    <d v="2025-07-09T11:03:28"/>
    <s v="bchirwa@lighthouse.org.mw"/>
    <s v="Bethsheba Chirwa"/>
    <s v="Chileka"/>
    <s v="Prototype"/>
    <x v="2"/>
    <x v="2"/>
    <m/>
    <s v="Quarter3"/>
    <x v="3"/>
    <m/>
    <x v="6"/>
    <d v="2025-05-01T00:00:00"/>
    <d v="2025-05-31T00:00:00"/>
    <x v="0"/>
    <n v="8"/>
    <n v="0"/>
    <n v="7"/>
    <n v="0"/>
    <n v="1"/>
    <n v="0"/>
    <n v="0"/>
    <n v="7"/>
    <n v="1"/>
    <n v="0"/>
    <n v="0"/>
    <n v="0"/>
    <n v="1"/>
    <n v="1"/>
    <n v="0"/>
    <n v="0"/>
    <n v="0"/>
    <n v="0"/>
    <n v="0"/>
    <n v="0"/>
    <n v="1"/>
    <n v="0"/>
    <n v="0"/>
    <n v="0"/>
    <n v="0"/>
    <m/>
  </r>
  <r>
    <n v="1757"/>
    <d v="2025-07-09T11:06:57"/>
    <d v="2025-07-09T11:23:49"/>
    <s v="bchirwa@lighthouse.org.mw"/>
    <s v="Bethsheba Chirwa"/>
    <s v="Chileka"/>
    <s v="Prototype"/>
    <x v="2"/>
    <x v="2"/>
    <m/>
    <s v="Quarter3"/>
    <x v="3"/>
    <m/>
    <x v="8"/>
    <d v="2025-06-01T00:00:00"/>
    <d v="2025-06-30T00:00:00"/>
    <x v="1"/>
    <n v="16"/>
    <n v="0"/>
    <n v="14"/>
    <n v="1"/>
    <n v="0"/>
    <n v="0"/>
    <n v="15"/>
    <n v="0"/>
    <n v="0"/>
    <n v="0"/>
    <n v="0"/>
    <n v="0"/>
    <n v="0"/>
    <n v="0"/>
    <n v="0"/>
    <n v="0"/>
    <n v="0"/>
    <n v="0"/>
    <n v="0"/>
    <n v="0"/>
    <n v="0"/>
    <n v="0"/>
    <n v="0"/>
    <n v="0"/>
    <n v="0"/>
    <m/>
  </r>
  <r>
    <n v="1759"/>
    <d v="2025-07-09T11:23:52"/>
    <d v="2025-07-09T11:26:27"/>
    <s v="bchirwa@lighthouse.org.mw"/>
    <s v="Bethsheba Chirwa"/>
    <s v="Chileka"/>
    <s v="Prototype"/>
    <x v="2"/>
    <x v="2"/>
    <m/>
    <s v="Quarter3"/>
    <x v="3"/>
    <m/>
    <x v="8"/>
    <d v="2025-06-01T00:00:00"/>
    <d v="2025-06-30T00:00:00"/>
    <x v="3"/>
    <n v="0"/>
    <n v="0"/>
    <n v="0"/>
    <n v="0"/>
    <n v="0"/>
    <n v="0"/>
    <n v="0"/>
    <n v="0"/>
    <n v="0"/>
    <n v="0"/>
    <n v="0"/>
    <n v="0"/>
    <n v="0"/>
    <n v="0"/>
    <n v="0"/>
    <n v="0"/>
    <n v="0"/>
    <n v="0"/>
    <n v="0"/>
    <n v="0"/>
    <n v="0"/>
    <n v="0"/>
    <n v="0"/>
    <n v="0"/>
    <n v="0"/>
    <m/>
  </r>
  <r>
    <n v="1760"/>
    <d v="2025-07-09T11:26:33"/>
    <d v="2025-07-09T11:27:48"/>
    <s v="bchirwa@lighthouse.org.mw"/>
    <s v="Bethsheba Chirwa"/>
    <s v="Chileka"/>
    <s v="Prototype"/>
    <x v="2"/>
    <x v="2"/>
    <m/>
    <s v="Quarter3"/>
    <x v="3"/>
    <m/>
    <x v="8"/>
    <d v="2025-06-01T00:00:00"/>
    <d v="2025-06-30T00:00:00"/>
    <x v="4"/>
    <n v="0"/>
    <n v="0"/>
    <n v="0"/>
    <n v="0"/>
    <n v="0"/>
    <n v="0"/>
    <n v="0"/>
    <n v="0"/>
    <n v="0"/>
    <n v="0"/>
    <n v="0"/>
    <n v="0"/>
    <n v="0"/>
    <n v="0"/>
    <n v="0"/>
    <n v="0"/>
    <n v="0"/>
    <n v="0"/>
    <n v="0"/>
    <n v="0"/>
    <n v="0"/>
    <n v="0"/>
    <n v="0"/>
    <n v="0"/>
    <n v="0"/>
    <m/>
  </r>
  <r>
    <n v="1761"/>
    <d v="2025-07-09T11:27:51"/>
    <d v="2025-07-09T11:30:31"/>
    <s v="bchirwa@lighthouse.org.mw"/>
    <s v="Bethsheba Chirwa"/>
    <s v="Chileka"/>
    <s v="Prototype"/>
    <x v="2"/>
    <x v="2"/>
    <m/>
    <s v="Quarter3"/>
    <x v="3"/>
    <m/>
    <x v="8"/>
    <d v="2025-06-01T00:00:00"/>
    <d v="2025-06-30T00:00:00"/>
    <x v="5"/>
    <n v="0"/>
    <n v="0"/>
    <n v="0"/>
    <n v="0"/>
    <n v="0"/>
    <n v="0"/>
    <n v="0"/>
    <n v="0"/>
    <n v="0"/>
    <n v="0"/>
    <n v="0"/>
    <n v="0"/>
    <n v="0"/>
    <n v="0"/>
    <n v="0"/>
    <n v="0"/>
    <n v="0"/>
    <n v="0"/>
    <n v="0"/>
    <n v="0"/>
    <n v="0"/>
    <n v="0"/>
    <n v="0"/>
    <n v="0"/>
    <n v="0"/>
    <m/>
  </r>
  <r>
    <n v="1762"/>
    <d v="2025-07-09T11:30:36"/>
    <d v="2025-07-09T11:37:24"/>
    <s v="bchirwa@lighthouse.org.mw"/>
    <s v="Bethsheba Chirwa"/>
    <s v="Chileka"/>
    <s v="Prototype"/>
    <x v="2"/>
    <x v="2"/>
    <m/>
    <s v="Quarter3"/>
    <x v="3"/>
    <m/>
    <x v="8"/>
    <d v="2025-06-01T00:00:00"/>
    <d v="2025-06-30T00:00:00"/>
    <x v="2"/>
    <n v="19"/>
    <n v="0"/>
    <n v="1"/>
    <n v="0"/>
    <n v="0"/>
    <n v="0"/>
    <n v="1"/>
    <n v="1"/>
    <n v="1"/>
    <n v="0"/>
    <n v="0"/>
    <n v="0"/>
    <n v="1"/>
    <n v="0"/>
    <n v="0"/>
    <n v="0"/>
    <n v="0"/>
    <n v="0"/>
    <n v="0"/>
    <n v="0"/>
    <n v="0"/>
    <n v="0"/>
    <n v="0"/>
    <n v="0"/>
    <n v="0"/>
    <m/>
  </r>
  <r>
    <n v="1802"/>
    <d v="2025-07-11T11:20:02"/>
    <d v="2025-07-11T11:31:23"/>
    <s v="bchirwa@lighthouse.org.mw"/>
    <s v="Bethsheba Chirwa"/>
    <s v="Chileka"/>
    <s v="Prototype"/>
    <x v="2"/>
    <x v="2"/>
    <m/>
    <s v="Quarter3"/>
    <x v="3"/>
    <m/>
    <x v="8"/>
    <d v="2025-06-01T00:00:00"/>
    <d v="2025-06-30T00:00:00"/>
    <x v="0"/>
    <n v="17"/>
    <n v="0"/>
    <n v="17"/>
    <n v="1"/>
    <n v="0"/>
    <n v="0"/>
    <n v="17"/>
    <n v="1"/>
    <n v="1"/>
    <n v="0"/>
    <n v="0"/>
    <n v="0"/>
    <n v="1"/>
    <n v="0"/>
    <n v="0"/>
    <n v="0"/>
    <n v="0"/>
    <n v="0"/>
    <n v="0"/>
    <n v="0"/>
    <n v="0"/>
    <n v="0"/>
    <n v="0"/>
    <n v="0"/>
    <n v="0"/>
    <m/>
  </r>
  <r>
    <n v="85"/>
    <d v="2024-01-12T17:49:19"/>
    <d v="2024-01-12T18:00:04"/>
    <s v="tnyauti@lighthouse.org.mw"/>
    <s v="Tamala nyauti"/>
    <s v="Chitedze"/>
    <s v="Prototype"/>
    <x v="0"/>
    <x v="1"/>
    <s v="COP_22"/>
    <s v="Quarter3"/>
    <x v="1"/>
    <s v="Qtr_4"/>
    <x v="2"/>
    <d v="2023-09-01T00:00:00"/>
    <d v="2023-09-29T00:00:00"/>
    <x v="1"/>
    <n v="18"/>
    <n v="0"/>
    <n v="17"/>
    <n v="0"/>
    <n v="1"/>
    <n v="0"/>
    <n v="18"/>
    <n v="1"/>
    <n v="1"/>
    <n v="0"/>
    <n v="0"/>
    <n v="0"/>
    <n v="2"/>
    <n v="0"/>
    <n v="1"/>
    <n v="0"/>
    <n v="0"/>
    <n v="0"/>
    <n v="0"/>
    <n v="0"/>
    <n v="0"/>
    <n v="0"/>
    <n v="0"/>
    <n v="0"/>
    <n v="1"/>
    <m/>
  </r>
  <r>
    <n v="86"/>
    <d v="2024-01-12T18:02:56"/>
    <d v="2024-01-12T21:11:35"/>
    <s v="tnyauti@lighthouse.org.mw"/>
    <s v="Tamala nyauti"/>
    <s v="Chitedze"/>
    <s v="Prototype"/>
    <x v="0"/>
    <x v="2"/>
    <s v="COP_23"/>
    <s v="Quarter4"/>
    <x v="0"/>
    <s v="Qtr_1"/>
    <x v="0"/>
    <d v="2023-10-02T00:00:00"/>
    <d v="2023-10-31T00:00:00"/>
    <x v="1"/>
    <n v="17"/>
    <n v="1"/>
    <n v="16"/>
    <n v="0"/>
    <n v="1"/>
    <n v="0"/>
    <n v="15"/>
    <n v="1"/>
    <n v="1"/>
    <n v="0"/>
    <n v="0"/>
    <n v="0"/>
    <n v="2"/>
    <n v="0"/>
    <n v="0"/>
    <n v="0"/>
    <n v="0"/>
    <n v="0"/>
    <n v="0"/>
    <n v="0"/>
    <n v="0"/>
    <n v="0"/>
    <n v="0"/>
    <n v="0"/>
    <n v="0"/>
    <m/>
  </r>
  <r>
    <n v="87"/>
    <d v="2024-01-12T21:11:47"/>
    <d v="2024-01-12T21:33:45"/>
    <s v="tnyauti@lighthouse.org.mw"/>
    <s v="Tamala nyauti"/>
    <s v="Chitedze"/>
    <s v="Prototype"/>
    <x v="0"/>
    <x v="2"/>
    <s v="COP_23"/>
    <s v="Quarter4"/>
    <x v="0"/>
    <s v="Qtr_1"/>
    <x v="1"/>
    <d v="2023-11-01T00:00:00"/>
    <d v="2023-11-30T00:00:00"/>
    <x v="1"/>
    <n v="23"/>
    <n v="0"/>
    <n v="22"/>
    <n v="1"/>
    <n v="0"/>
    <n v="0"/>
    <n v="23"/>
    <n v="0"/>
    <n v="0"/>
    <n v="0"/>
    <n v="0"/>
    <n v="0"/>
    <n v="0"/>
    <n v="0"/>
    <n v="0"/>
    <n v="0"/>
    <n v="0"/>
    <n v="0"/>
    <n v="0"/>
    <n v="0"/>
    <n v="0"/>
    <n v="0"/>
    <n v="0"/>
    <n v="0"/>
    <n v="0"/>
    <m/>
  </r>
  <r>
    <n v="88"/>
    <d v="2024-01-12T21:33:51"/>
    <d v="2024-01-12T22:03:54"/>
    <s v="tnyauti@lighthouse.org.mw"/>
    <s v="Tamala nyauti"/>
    <s v="Chitedze"/>
    <s v="Prototype"/>
    <x v="0"/>
    <x v="2"/>
    <s v="COP_23"/>
    <s v="Quarter4"/>
    <x v="0"/>
    <s v="Qtr_1"/>
    <x v="11"/>
    <d v="2023-12-01T00:00:00"/>
    <d v="2023-12-29T00:00:00"/>
    <x v="1"/>
    <n v="15"/>
    <n v="0"/>
    <n v="15"/>
    <n v="0"/>
    <n v="0"/>
    <n v="0"/>
    <n v="15"/>
    <n v="2"/>
    <n v="0"/>
    <n v="0"/>
    <n v="2"/>
    <n v="0"/>
    <n v="2"/>
    <n v="0"/>
    <n v="0"/>
    <n v="0"/>
    <n v="0"/>
    <n v="0"/>
    <n v="0"/>
    <n v="0"/>
    <n v="0"/>
    <n v="0"/>
    <n v="0"/>
    <n v="0"/>
    <n v="0"/>
    <m/>
  </r>
  <r>
    <n v="423"/>
    <d v="2024-05-20T09:27:02"/>
    <d v="2024-05-20T09:37:18"/>
    <s v="tnyauti@lighthouse.org.mw"/>
    <s v="Tamala nyauti"/>
    <s v="Chitedze"/>
    <s v="Prototype"/>
    <x v="1"/>
    <x v="1"/>
    <s v="COP_23"/>
    <s v="Quarter1"/>
    <x v="2"/>
    <s v="Qtr_2"/>
    <x v="4"/>
    <d v="2024-01-01T00:00:00"/>
    <d v="2024-01-31T00:00:00"/>
    <x v="1"/>
    <n v="18"/>
    <n v="2"/>
    <n v="16"/>
    <n v="0"/>
    <n v="0"/>
    <n v="2"/>
    <n v="18"/>
    <n v="2"/>
    <n v="0"/>
    <n v="0"/>
    <n v="0"/>
    <n v="0"/>
    <n v="2"/>
    <n v="2"/>
    <n v="2"/>
    <n v="2"/>
    <n v="0"/>
    <n v="0"/>
    <n v="0"/>
    <n v="0"/>
    <n v="0"/>
    <n v="0"/>
    <n v="0"/>
    <n v="0"/>
    <n v="0"/>
    <m/>
  </r>
  <r>
    <n v="429"/>
    <d v="2024-05-20T09:56:29"/>
    <d v="2024-05-20T10:01:49"/>
    <s v="tnyauti@lighthouse.org.mw"/>
    <s v="Tamala nyauti"/>
    <s v="Chitedze"/>
    <s v="Prototype"/>
    <x v="1"/>
    <x v="0"/>
    <s v="COP_23"/>
    <s v="Quarter1"/>
    <x v="2"/>
    <s v="Qtr_2"/>
    <x v="5"/>
    <d v="2024-02-01T00:00:00"/>
    <d v="2024-02-29T00:00:00"/>
    <x v="1"/>
    <n v="24"/>
    <n v="0"/>
    <n v="24"/>
    <n v="0"/>
    <n v="0"/>
    <n v="0"/>
    <n v="24"/>
    <n v="6"/>
    <n v="5"/>
    <n v="0"/>
    <n v="0"/>
    <n v="0"/>
    <n v="2"/>
    <n v="1"/>
    <n v="0"/>
    <n v="0"/>
    <n v="0"/>
    <n v="0"/>
    <n v="0"/>
    <n v="0"/>
    <n v="0"/>
    <n v="0"/>
    <n v="0"/>
    <n v="0"/>
    <n v="0"/>
    <m/>
  </r>
  <r>
    <n v="439"/>
    <d v="2024-05-20T11:17:42"/>
    <d v="2024-05-20T11:21:57"/>
    <s v="tnyauti@lighthouse.org.mw"/>
    <s v="Tamala nyauti"/>
    <s v="Chitedze"/>
    <s v="Prototype"/>
    <x v="1"/>
    <x v="1"/>
    <s v="COP_23"/>
    <s v="Quarter1"/>
    <x v="2"/>
    <s v="Qtr_2"/>
    <x v="3"/>
    <d v="2024-03-01T00:00:00"/>
    <d v="2024-03-31T00:00:00"/>
    <x v="1"/>
    <n v="18"/>
    <n v="0"/>
    <n v="15"/>
    <n v="3"/>
    <n v="0"/>
    <n v="0"/>
    <n v="18"/>
    <n v="6"/>
    <n v="3"/>
    <n v="0"/>
    <n v="0"/>
    <n v="0"/>
    <n v="8"/>
    <n v="1"/>
    <n v="0"/>
    <n v="0"/>
    <n v="0"/>
    <n v="0"/>
    <n v="0"/>
    <n v="0"/>
    <n v="1"/>
    <n v="0"/>
    <n v="0"/>
    <n v="0"/>
    <n v="1"/>
    <m/>
  </r>
  <r>
    <n v="442"/>
    <d v="2024-05-20T11:38:59"/>
    <d v="2024-05-20T11:43:30"/>
    <s v="tnyauti@lighthouse.org.mw"/>
    <s v="Tamala nyauti"/>
    <s v="Chitedze"/>
    <s v="Prototype"/>
    <x v="1"/>
    <x v="0"/>
    <s v="COP_23"/>
    <s v="Quarter2"/>
    <x v="3"/>
    <s v="Qtr_3"/>
    <x v="7"/>
    <d v="2024-04-01T00:00:00"/>
    <d v="2024-04-30T00:00:00"/>
    <x v="1"/>
    <n v="23"/>
    <n v="2"/>
    <n v="19"/>
    <n v="2"/>
    <n v="2"/>
    <n v="0"/>
    <n v="23"/>
    <n v="9"/>
    <n v="8"/>
    <n v="0"/>
    <n v="0"/>
    <n v="0"/>
    <n v="11"/>
    <n v="2"/>
    <n v="0"/>
    <n v="0"/>
    <n v="0"/>
    <n v="0"/>
    <n v="0"/>
    <n v="0"/>
    <n v="1"/>
    <n v="0"/>
    <n v="0"/>
    <n v="0"/>
    <n v="0"/>
    <m/>
  </r>
  <r>
    <n v="542"/>
    <d v="2024-06-11T08:18:40"/>
    <d v="2024-06-11T08:27:57"/>
    <s v="tnyauti@lighthouse.org.mw"/>
    <s v="Tamala nyauti"/>
    <s v="Chitedze"/>
    <s v="Prototype"/>
    <x v="1"/>
    <x v="0"/>
    <s v="COP_23"/>
    <s v="Quarter2"/>
    <x v="3"/>
    <s v="Qtr_3"/>
    <x v="6"/>
    <d v="2024-05-01T00:00:00"/>
    <d v="2024-05-31T00:00:00"/>
    <x v="1"/>
    <n v="20"/>
    <n v="2"/>
    <n v="17"/>
    <n v="0"/>
    <n v="3"/>
    <n v="0"/>
    <n v="20"/>
    <n v="4"/>
    <n v="0"/>
    <n v="0"/>
    <n v="0"/>
    <n v="0"/>
    <n v="4"/>
    <n v="1"/>
    <n v="0"/>
    <n v="0"/>
    <n v="0"/>
    <n v="0"/>
    <n v="0"/>
    <n v="0"/>
    <n v="1"/>
    <n v="0"/>
    <n v="0"/>
    <n v="0"/>
    <n v="1"/>
    <m/>
  </r>
  <r>
    <n v="641"/>
    <d v="2024-07-17T09:59:31"/>
    <d v="2024-07-17T10:01:24"/>
    <s v="tnyauti@lighthouse.org.mw"/>
    <s v="Tamala nyauti"/>
    <s v="Chitedze"/>
    <s v="Prototype"/>
    <x v="1"/>
    <x v="0"/>
    <s v="COP_23"/>
    <s v="Quarter2"/>
    <x v="3"/>
    <s v="Qtr_3"/>
    <x v="8"/>
    <d v="2024-06-01T00:00:00"/>
    <d v="2024-06-30T00:00:00"/>
    <x v="1"/>
    <n v="14"/>
    <n v="0"/>
    <n v="14"/>
    <n v="0"/>
    <n v="0"/>
    <n v="0"/>
    <n v="1"/>
    <n v="0"/>
    <n v="1"/>
    <n v="0"/>
    <n v="0"/>
    <n v="0"/>
    <n v="1"/>
    <n v="0"/>
    <n v="0"/>
    <n v="0"/>
    <n v="0"/>
    <n v="0"/>
    <n v="0"/>
    <n v="0"/>
    <n v="0"/>
    <n v="0"/>
    <n v="0"/>
    <n v="0"/>
    <n v="0"/>
    <m/>
  </r>
  <r>
    <n v="1002"/>
    <d v="2024-10-31T10:56:54"/>
    <d v="2024-10-31T11:15:19"/>
    <s v="tnyauti@lighthouse.org.mw"/>
    <s v="Tamala nyauti"/>
    <s v="Chitedze"/>
    <s v="Prototype"/>
    <x v="1"/>
    <x v="0"/>
    <s v="COP_23"/>
    <s v="Quarter3"/>
    <x v="1"/>
    <s v="Qtr_4"/>
    <x v="9"/>
    <d v="2024-07-01T00:00:00"/>
    <d v="2024-07-31T00:00:00"/>
    <x v="1"/>
    <n v="12"/>
    <n v="1"/>
    <n v="10"/>
    <n v="2"/>
    <n v="0"/>
    <n v="0"/>
    <n v="12"/>
    <n v="1"/>
    <n v="1"/>
    <n v="0"/>
    <n v="0"/>
    <n v="0"/>
    <n v="0"/>
    <n v="0"/>
    <n v="0"/>
    <n v="0"/>
    <n v="0"/>
    <n v="0"/>
    <n v="0"/>
    <n v="0"/>
    <n v="0"/>
    <n v="0"/>
    <n v="0"/>
    <n v="0"/>
    <n v="0"/>
    <m/>
  </r>
  <r>
    <n v="1008"/>
    <d v="2024-10-31T11:43:23"/>
    <d v="2024-10-31T11:45:31"/>
    <s v="tnyauti@lighthouse.org.mw"/>
    <s v="Tamala nyauti"/>
    <s v="Chitedze"/>
    <s v="Prototype"/>
    <x v="1"/>
    <x v="0"/>
    <s v="COP_23"/>
    <s v="Quarter3"/>
    <x v="1"/>
    <s v="Qtr_4"/>
    <x v="10"/>
    <d v="2024-08-01T00:00:00"/>
    <d v="2024-08-31T00:00:00"/>
    <x v="1"/>
    <n v="14"/>
    <n v="0"/>
    <n v="12"/>
    <n v="2"/>
    <n v="0"/>
    <n v="0"/>
    <n v="14"/>
    <n v="4"/>
    <n v="4"/>
    <n v="0"/>
    <n v="0"/>
    <n v="0"/>
    <n v="2"/>
    <n v="0"/>
    <n v="0"/>
    <n v="0"/>
    <n v="0"/>
    <n v="0"/>
    <n v="0"/>
    <n v="0"/>
    <n v="0"/>
    <n v="0"/>
    <n v="0"/>
    <n v="0"/>
    <n v="0"/>
    <m/>
  </r>
  <r>
    <n v="1014"/>
    <d v="2024-10-31T12:51:34"/>
    <d v="2024-10-31T12:53:38"/>
    <s v="tnyauti@lighthouse.org.mw"/>
    <s v="Tamala nyauti"/>
    <s v="Chitedze"/>
    <s v="Prototype"/>
    <x v="1"/>
    <x v="0"/>
    <s v="COP_23"/>
    <s v="Quarter3"/>
    <x v="1"/>
    <s v="Qtr_4"/>
    <x v="2"/>
    <d v="2024-09-01T00:00:00"/>
    <d v="2024-09-30T00:00:00"/>
    <x v="1"/>
    <n v="16"/>
    <n v="0"/>
    <n v="16"/>
    <n v="0"/>
    <n v="0"/>
    <n v="0"/>
    <n v="16"/>
    <n v="0"/>
    <n v="0"/>
    <n v="0"/>
    <n v="0"/>
    <n v="0"/>
    <n v="0"/>
    <n v="0"/>
    <n v="0"/>
    <n v="0"/>
    <n v="0"/>
    <n v="0"/>
    <n v="0"/>
    <n v="0"/>
    <n v="0"/>
    <n v="0"/>
    <n v="0"/>
    <n v="0"/>
    <n v="0"/>
    <m/>
  </r>
  <r>
    <n v="1015"/>
    <d v="2024-10-31T12:53:59"/>
    <d v="2024-10-31T13:13:55"/>
    <s v="tnyauti@lighthouse.org.mw"/>
    <s v="Tamala nyauti"/>
    <s v="Chitedze"/>
    <s v="Prototype"/>
    <x v="1"/>
    <x v="0"/>
    <s v="COP_23"/>
    <s v="Quarter3"/>
    <x v="1"/>
    <s v="Qtr_4"/>
    <x v="2"/>
    <d v="2024-09-01T00:00:00"/>
    <d v="2024-09-30T00:00:00"/>
    <x v="1"/>
    <n v="16"/>
    <n v="0"/>
    <n v="16"/>
    <n v="0"/>
    <n v="0"/>
    <n v="0"/>
    <n v="16"/>
    <n v="0"/>
    <n v="0"/>
    <n v="0"/>
    <n v="0"/>
    <n v="0"/>
    <n v="0"/>
    <n v="0"/>
    <n v="0"/>
    <n v="0"/>
    <n v="0"/>
    <n v="0"/>
    <n v="0"/>
    <n v="0"/>
    <n v="0"/>
    <n v="0"/>
    <n v="0"/>
    <n v="0"/>
    <n v="0"/>
    <m/>
  </r>
  <r>
    <n v="158"/>
    <d v="2024-02-19T14:58:23"/>
    <d v="2024-02-19T15:38:14"/>
    <s v="tnyauti@lighthouse.org.mw"/>
    <s v="Tamala nyauti"/>
    <s v="Chitedze"/>
    <s v="Prototype"/>
    <x v="1"/>
    <x v="0"/>
    <s v="COP_23"/>
    <s v="Quarter1"/>
    <x v="2"/>
    <s v="Qtr_2"/>
    <x v="4"/>
    <d v="2024-01-01T00:00:00"/>
    <d v="2024-01-31T00:00:00"/>
    <x v="0"/>
    <n v="18"/>
    <n v="2"/>
    <n v="16"/>
    <n v="0"/>
    <n v="0"/>
    <n v="2"/>
    <n v="18"/>
    <n v="2"/>
    <n v="2"/>
    <n v="0"/>
    <n v="0"/>
    <n v="0"/>
    <n v="2"/>
    <n v="2"/>
    <n v="2"/>
    <n v="2"/>
    <n v="0"/>
    <n v="0"/>
    <n v="0"/>
    <n v="0"/>
    <n v="0"/>
    <n v="0"/>
    <n v="0"/>
    <n v="0"/>
    <n v="0"/>
    <m/>
  </r>
  <r>
    <n v="345"/>
    <d v="2024-04-30T12:02:10"/>
    <d v="2024-04-30T12:45:25"/>
    <s v="tnyauti@lighthouse.org.mw"/>
    <s v="Tamala nyauti"/>
    <s v="Chitedze"/>
    <s v="Prototype"/>
    <x v="1"/>
    <x v="0"/>
    <s v="COP_23"/>
    <s v="Quarter1"/>
    <x v="2"/>
    <s v="Qtr_2"/>
    <x v="3"/>
    <d v="2024-03-01T00:00:00"/>
    <d v="2024-03-27T00:00:00"/>
    <x v="2"/>
    <n v="9"/>
    <n v="1"/>
    <n v="6"/>
    <n v="1"/>
    <n v="1"/>
    <n v="1"/>
    <n v="9"/>
    <n v="3"/>
    <n v="3"/>
    <n v="0"/>
    <n v="0"/>
    <n v="0"/>
    <n v="3"/>
    <n v="1"/>
    <n v="0"/>
    <n v="0"/>
    <n v="0"/>
    <n v="0"/>
    <n v="0"/>
    <n v="0"/>
    <n v="1"/>
    <n v="0"/>
    <n v="0"/>
    <n v="0"/>
    <n v="0"/>
    <m/>
  </r>
  <r>
    <n v="426"/>
    <d v="2024-05-20T09:41:37"/>
    <d v="2024-05-20T09:44:11"/>
    <s v="tnyauti@lighthouse.org.mw"/>
    <s v="Tamala nyauti"/>
    <s v="Chitedze"/>
    <s v="Prototype"/>
    <x v="1"/>
    <x v="0"/>
    <s v="COP_23"/>
    <s v="Quarter1"/>
    <x v="2"/>
    <s v="Qtr_2"/>
    <x v="4"/>
    <d v="2024-01-01T00:00:00"/>
    <d v="2024-01-31T00:00:00"/>
    <x v="2"/>
    <n v="0"/>
    <n v="0"/>
    <n v="0"/>
    <n v="0"/>
    <n v="0"/>
    <n v="0"/>
    <n v="0"/>
    <n v="0"/>
    <n v="0"/>
    <n v="0"/>
    <n v="0"/>
    <n v="0"/>
    <n v="0"/>
    <n v="0"/>
    <n v="0"/>
    <n v="0"/>
    <n v="0"/>
    <n v="0"/>
    <n v="0"/>
    <n v="0"/>
    <n v="0"/>
    <n v="0"/>
    <n v="0"/>
    <n v="0"/>
    <n v="0"/>
    <m/>
  </r>
  <r>
    <n v="428"/>
    <d v="2024-05-20T09:50:24"/>
    <d v="2024-05-20T09:56:26"/>
    <s v="tnyauti@lighthouse.org.mw"/>
    <s v="Tamala nyauti"/>
    <s v="Chitedze"/>
    <s v="Prototype"/>
    <x v="1"/>
    <x v="0"/>
    <s v="COP_23"/>
    <s v="Quarter1"/>
    <x v="2"/>
    <s v="Qtr_2"/>
    <x v="5"/>
    <d v="2024-02-01T00:00:00"/>
    <d v="2024-02-29T00:00:00"/>
    <x v="2"/>
    <n v="1"/>
    <n v="0"/>
    <n v="1"/>
    <n v="0"/>
    <n v="0"/>
    <n v="0"/>
    <n v="1"/>
    <n v="1"/>
    <n v="1"/>
    <n v="0"/>
    <n v="1"/>
    <n v="0"/>
    <n v="1"/>
    <n v="0"/>
    <n v="0"/>
    <n v="0"/>
    <n v="0"/>
    <n v="0"/>
    <n v="0"/>
    <n v="0"/>
    <n v="0"/>
    <n v="0"/>
    <n v="0"/>
    <n v="0"/>
    <n v="0"/>
    <m/>
  </r>
  <r>
    <n v="436"/>
    <d v="2024-05-20T10:34:48"/>
    <d v="2024-05-20T11:10:25"/>
    <s v="tnyauti@lighthouse.org.mw"/>
    <s v="Tamala nyauti"/>
    <s v="Chitedze"/>
    <s v="Prototype"/>
    <x v="1"/>
    <x v="2"/>
    <s v="COP_23"/>
    <s v="Quarter1"/>
    <x v="2"/>
    <s v="Qtr_2"/>
    <x v="3"/>
    <d v="2024-03-01T00:00:00"/>
    <d v="2024-03-31T00:00:00"/>
    <x v="2"/>
    <n v="10"/>
    <n v="1"/>
    <n v="7"/>
    <n v="1"/>
    <n v="1"/>
    <n v="1"/>
    <n v="9"/>
    <n v="3"/>
    <n v="0"/>
    <n v="0"/>
    <n v="0"/>
    <n v="0"/>
    <n v="3"/>
    <n v="1"/>
    <n v="0"/>
    <n v="0"/>
    <n v="0"/>
    <n v="0"/>
    <n v="0"/>
    <n v="0"/>
    <n v="1"/>
    <n v="0"/>
    <n v="0"/>
    <n v="1"/>
    <n v="0"/>
    <m/>
  </r>
  <r>
    <n v="443"/>
    <d v="2024-05-20T11:43:35"/>
    <d v="2024-05-20T11:49:06"/>
    <s v="tnyauti@lighthouse.org.mw"/>
    <s v="Tamala nyauti"/>
    <s v="Chitedze"/>
    <s v="Prototype"/>
    <x v="1"/>
    <x v="0"/>
    <s v="COP_23"/>
    <s v="Quarter2"/>
    <x v="3"/>
    <s v="Qtr_3"/>
    <x v="7"/>
    <d v="2024-04-01T00:00:00"/>
    <d v="2024-04-30T00:00:00"/>
    <x v="2"/>
    <n v="19"/>
    <n v="1"/>
    <n v="19"/>
    <n v="0"/>
    <n v="0"/>
    <n v="0"/>
    <n v="19"/>
    <n v="1"/>
    <n v="0"/>
    <n v="0"/>
    <n v="0"/>
    <n v="0"/>
    <n v="1"/>
    <n v="0"/>
    <n v="0"/>
    <n v="0"/>
    <n v="0"/>
    <n v="0"/>
    <n v="0"/>
    <n v="0"/>
    <n v="0"/>
    <n v="0"/>
    <n v="0"/>
    <n v="0"/>
    <n v="0"/>
    <m/>
  </r>
  <r>
    <n v="543"/>
    <d v="2024-06-11T08:28:26"/>
    <d v="2024-06-11T08:52:31"/>
    <s v="tnyauti@lighthouse.org.mw"/>
    <s v="Tamala nyauti"/>
    <s v="Chitedze"/>
    <s v="Prototype"/>
    <x v="1"/>
    <x v="0"/>
    <s v="COP_23"/>
    <s v="Quarter2"/>
    <x v="3"/>
    <s v="Qtr_3"/>
    <x v="6"/>
    <d v="2024-05-01T00:00:00"/>
    <d v="2024-05-31T00:00:00"/>
    <x v="2"/>
    <n v="9"/>
    <n v="0"/>
    <n v="7"/>
    <n v="1"/>
    <n v="1"/>
    <n v="0"/>
    <n v="9"/>
    <n v="1"/>
    <n v="1"/>
    <n v="0"/>
    <n v="0"/>
    <n v="0"/>
    <n v="1"/>
    <n v="0"/>
    <n v="0"/>
    <n v="0"/>
    <n v="0"/>
    <n v="0"/>
    <n v="0"/>
    <n v="0"/>
    <n v="0"/>
    <n v="0"/>
    <n v="0"/>
    <n v="0"/>
    <n v="0"/>
    <m/>
  </r>
  <r>
    <n v="642"/>
    <d v="2024-07-17T10:01:40"/>
    <d v="2024-07-17T10:03:38"/>
    <s v="tnyauti@lighthouse.org.mw"/>
    <s v="Tamala nyauti"/>
    <s v="Chitedze"/>
    <s v="Prototype"/>
    <x v="1"/>
    <x v="0"/>
    <s v="COP_23"/>
    <s v="Quarter2"/>
    <x v="3"/>
    <s v="Qtr_3"/>
    <x v="8"/>
    <d v="2024-06-01T00:00:00"/>
    <d v="2024-06-30T00:00:00"/>
    <x v="2"/>
    <n v="2"/>
    <n v="1"/>
    <n v="1"/>
    <n v="0"/>
    <n v="0"/>
    <n v="1"/>
    <n v="2"/>
    <n v="1"/>
    <n v="1"/>
    <n v="0"/>
    <n v="0"/>
    <n v="0"/>
    <n v="1"/>
    <n v="0"/>
    <n v="0"/>
    <n v="0"/>
    <n v="0"/>
    <n v="0"/>
    <n v="0"/>
    <n v="0"/>
    <n v="0"/>
    <n v="0"/>
    <n v="0"/>
    <n v="1"/>
    <n v="0"/>
    <m/>
  </r>
  <r>
    <n v="1003"/>
    <d v="2024-10-31T11:15:26"/>
    <d v="2024-10-31T11:17:47"/>
    <s v="tnyauti@lighthouse.org.mw"/>
    <s v="Tamala nyauti"/>
    <s v="Chitedze"/>
    <s v="Prototype"/>
    <x v="1"/>
    <x v="0"/>
    <s v="COP_23"/>
    <s v="Quarter3"/>
    <x v="1"/>
    <s v="Qtr_4"/>
    <x v="9"/>
    <d v="2024-07-01T00:00:00"/>
    <d v="2024-07-31T00:00:00"/>
    <x v="2"/>
    <n v="10"/>
    <n v="1"/>
    <n v="9"/>
    <n v="0"/>
    <n v="1"/>
    <n v="0"/>
    <n v="10"/>
    <n v="2"/>
    <n v="2"/>
    <n v="0"/>
    <n v="0"/>
    <n v="0"/>
    <n v="0"/>
    <n v="0"/>
    <n v="0"/>
    <n v="0"/>
    <n v="0"/>
    <n v="0"/>
    <n v="0"/>
    <n v="0"/>
    <n v="0"/>
    <n v="0"/>
    <n v="0"/>
    <n v="0"/>
    <n v="0"/>
    <m/>
  </r>
  <r>
    <n v="1009"/>
    <d v="2024-10-31T11:45:49"/>
    <d v="2024-10-31T11:50:47"/>
    <s v="tnyauti@lighthouse.org.mw"/>
    <s v="Tamala nyauti"/>
    <s v="Chitedze"/>
    <s v="Prototype"/>
    <x v="1"/>
    <x v="0"/>
    <s v="COP_23"/>
    <s v="Quarter3"/>
    <x v="1"/>
    <s v="Qtr_4"/>
    <x v="10"/>
    <d v="2024-08-01T00:00:00"/>
    <d v="2024-08-31T00:00:00"/>
    <x v="2"/>
    <n v="13"/>
    <n v="0"/>
    <n v="13"/>
    <n v="0"/>
    <n v="0"/>
    <n v="0"/>
    <n v="13"/>
    <n v="0"/>
    <n v="1"/>
    <n v="0"/>
    <n v="0"/>
    <n v="0"/>
    <n v="0"/>
    <n v="0"/>
    <n v="0"/>
    <n v="0"/>
    <n v="0"/>
    <n v="0"/>
    <n v="0"/>
    <n v="0"/>
    <n v="0"/>
    <n v="0"/>
    <n v="0"/>
    <n v="0"/>
    <n v="0"/>
    <m/>
  </r>
  <r>
    <n v="1016"/>
    <d v="2024-10-31T13:14:04"/>
    <d v="2024-10-31T13:19:04"/>
    <s v="tnyauti@lighthouse.org.mw"/>
    <s v="Tamala nyauti"/>
    <s v="Chitedze"/>
    <s v="Prototype"/>
    <x v="1"/>
    <x v="0"/>
    <s v="COP_23"/>
    <s v="Quarter3"/>
    <x v="1"/>
    <s v="Qtr_4"/>
    <x v="2"/>
    <d v="2024-09-01T00:00:00"/>
    <d v="2024-09-30T00:00:00"/>
    <x v="2"/>
    <n v="14"/>
    <n v="0"/>
    <n v="14"/>
    <n v="0"/>
    <n v="0"/>
    <n v="0"/>
    <n v="12"/>
    <n v="2"/>
    <n v="2"/>
    <n v="0"/>
    <n v="0"/>
    <n v="0"/>
    <n v="0"/>
    <n v="0"/>
    <n v="0"/>
    <n v="0"/>
    <n v="0"/>
    <n v="0"/>
    <n v="0"/>
    <n v="0"/>
    <n v="0"/>
    <n v="0"/>
    <n v="0"/>
    <n v="0"/>
    <n v="0"/>
    <m/>
  </r>
  <r>
    <n v="1083"/>
    <d v="2024-11-20T12:35:38"/>
    <d v="2024-11-20T12:46:50"/>
    <s v="tnyauti@lighthouse.org.mw"/>
    <s v="Tamala nyauti"/>
    <s v="Chitedze"/>
    <s v="Prototype"/>
    <x v="1"/>
    <x v="0"/>
    <s v="COP_24"/>
    <s v="Quarter4"/>
    <x v="0"/>
    <s v="Qtr_1"/>
    <x v="0"/>
    <d v="2024-10-01T00:00:00"/>
    <d v="2024-10-31T00:00:00"/>
    <x v="2"/>
    <n v="9"/>
    <n v="0"/>
    <n v="8"/>
    <n v="0"/>
    <n v="1"/>
    <n v="0"/>
    <n v="8"/>
    <n v="5"/>
    <n v="5"/>
    <n v="0"/>
    <n v="0"/>
    <n v="0"/>
    <n v="5"/>
    <n v="1"/>
    <n v="0"/>
    <n v="0"/>
    <n v="0"/>
    <n v="0"/>
    <n v="0"/>
    <n v="0"/>
    <n v="1"/>
    <n v="0"/>
    <n v="0"/>
    <n v="0"/>
    <n v="0"/>
    <m/>
  </r>
  <r>
    <n v="344"/>
    <d v="2024-04-30T11:36:36"/>
    <d v="2024-04-30T12:01:22"/>
    <s v="tnyauti@lighthouse.org.mw"/>
    <s v="Tamala nyauti"/>
    <s v="Chitedze"/>
    <s v="Prototype"/>
    <x v="1"/>
    <x v="0"/>
    <s v="COP_23"/>
    <s v="Quarter1"/>
    <x v="2"/>
    <s v="Qtr_2"/>
    <x v="3"/>
    <d v="2024-03-01T00:00:00"/>
    <d v="2024-03-27T00:00:00"/>
    <x v="3"/>
    <n v="1"/>
    <n v="0"/>
    <n v="1"/>
    <n v="0"/>
    <n v="0"/>
    <n v="0"/>
    <n v="1"/>
    <n v="1"/>
    <n v="0"/>
    <n v="0"/>
    <n v="0"/>
    <n v="0"/>
    <n v="1"/>
    <n v="0"/>
    <n v="0"/>
    <n v="0"/>
    <n v="0"/>
    <n v="0"/>
    <n v="0"/>
    <n v="0"/>
    <n v="0"/>
    <n v="0"/>
    <n v="0"/>
    <n v="0"/>
    <n v="0"/>
    <m/>
  </r>
  <r>
    <n v="346"/>
    <d v="2024-04-30T12:45:37"/>
    <d v="2024-04-30T13:00:39"/>
    <s v="tnyauti@lighthouse.org.mw"/>
    <s v="Tamala nyauti"/>
    <s v="Chitedze"/>
    <s v="Prototype"/>
    <x v="1"/>
    <x v="0"/>
    <s v="COP_23"/>
    <s v="Quarter1"/>
    <x v="2"/>
    <s v="Qtr_2"/>
    <x v="3"/>
    <d v="2024-03-01T00:00:00"/>
    <d v="2024-03-27T00:00:00"/>
    <x v="0"/>
    <n v="29"/>
    <n v="1"/>
    <n v="24"/>
    <n v="4"/>
    <n v="1"/>
    <n v="0"/>
    <n v="28"/>
    <n v="10"/>
    <n v="6"/>
    <n v="0"/>
    <n v="0"/>
    <n v="0"/>
    <n v="10"/>
    <n v="2"/>
    <n v="0"/>
    <n v="0"/>
    <n v="0"/>
    <n v="0"/>
    <n v="0"/>
    <n v="0"/>
    <n v="2"/>
    <n v="0"/>
    <n v="0"/>
    <n v="1"/>
    <n v="1"/>
    <m/>
  </r>
  <r>
    <n v="422"/>
    <d v="2024-05-20T09:22:19"/>
    <d v="2024-05-20T09:26:49"/>
    <s v="tnyauti@lighthouse.org.mw"/>
    <s v="Tamala nyauti"/>
    <s v="Chitedze"/>
    <s v="Prototype"/>
    <x v="1"/>
    <x v="0"/>
    <s v="COP_23"/>
    <s v="Quarter1"/>
    <x v="2"/>
    <s v="Qtr_2"/>
    <x v="4"/>
    <d v="2024-01-01T00:00:00"/>
    <d v="2024-01-31T00:00:00"/>
    <x v="5"/>
    <n v="0"/>
    <n v="0"/>
    <n v="0"/>
    <n v="0"/>
    <n v="0"/>
    <n v="0"/>
    <n v="0"/>
    <n v="0"/>
    <n v="0"/>
    <n v="0"/>
    <n v="0"/>
    <n v="0"/>
    <n v="0"/>
    <n v="0"/>
    <n v="0"/>
    <n v="0"/>
    <n v="0"/>
    <n v="0"/>
    <n v="0"/>
    <n v="0"/>
    <n v="0"/>
    <n v="0"/>
    <n v="0"/>
    <n v="0"/>
    <n v="0"/>
    <m/>
  </r>
  <r>
    <n v="424"/>
    <d v="2024-05-20T09:37:23"/>
    <d v="2024-05-20T09:39:36"/>
    <s v="tnyauti@lighthouse.org.mw"/>
    <s v="Tamala nyauti"/>
    <s v="Chitedze"/>
    <s v="Prototype"/>
    <x v="1"/>
    <x v="0"/>
    <s v="COP_23"/>
    <s v="Quarter1"/>
    <x v="2"/>
    <s v="Qtr_2"/>
    <x v="4"/>
    <d v="2024-01-01T00:00:00"/>
    <d v="2024-01-31T00:00:00"/>
    <x v="4"/>
    <n v="0"/>
    <n v="0"/>
    <n v="0"/>
    <n v="0"/>
    <n v="0"/>
    <n v="0"/>
    <n v="0"/>
    <n v="0"/>
    <n v="0"/>
    <n v="0"/>
    <n v="0"/>
    <n v="0"/>
    <n v="0"/>
    <n v="0"/>
    <n v="0"/>
    <n v="0"/>
    <n v="0"/>
    <n v="0"/>
    <n v="0"/>
    <n v="0"/>
    <n v="0"/>
    <n v="0"/>
    <n v="0"/>
    <n v="0"/>
    <n v="0"/>
    <m/>
  </r>
  <r>
    <n v="425"/>
    <d v="2024-05-20T09:39:38"/>
    <d v="2024-05-20T09:41:28"/>
    <s v="tnyauti@lighthouse.org.mw"/>
    <s v="Tamala nyauti"/>
    <s v="Chitedze"/>
    <s v="Prototype"/>
    <x v="1"/>
    <x v="0"/>
    <s v="COP_23"/>
    <s v="Quarter1"/>
    <x v="2"/>
    <s v="Qtr_2"/>
    <x v="4"/>
    <d v="2024-01-01T00:00:00"/>
    <d v="2024-01-31T00:00:00"/>
    <x v="3"/>
    <n v="0"/>
    <n v="0"/>
    <n v="0"/>
    <n v="0"/>
    <n v="0"/>
    <n v="0"/>
    <n v="0"/>
    <n v="0"/>
    <n v="0"/>
    <n v="0"/>
    <n v="0"/>
    <n v="0"/>
    <n v="0"/>
    <n v="0"/>
    <n v="0"/>
    <n v="0"/>
    <n v="0"/>
    <n v="0"/>
    <n v="0"/>
    <n v="0"/>
    <n v="0"/>
    <n v="0"/>
    <n v="0"/>
    <n v="0"/>
    <n v="0"/>
    <m/>
  </r>
  <r>
    <n v="427"/>
    <d v="2024-05-20T09:44:38"/>
    <d v="2024-05-20T09:50:18"/>
    <s v="tnyauti@lighthouse.org.mw"/>
    <s v="Tamala nyauti"/>
    <s v="Chitedze"/>
    <s v="Prototype"/>
    <x v="1"/>
    <x v="0"/>
    <s v="COP_23"/>
    <s v="Quarter1"/>
    <x v="2"/>
    <s v="Qtr_2"/>
    <x v="5"/>
    <d v="2024-02-01T00:00:00"/>
    <d v="2024-02-29T00:00:00"/>
    <x v="0"/>
    <n v="25"/>
    <n v="0"/>
    <n v="25"/>
    <n v="0"/>
    <n v="0"/>
    <n v="0"/>
    <n v="25"/>
    <n v="7"/>
    <n v="6"/>
    <n v="0"/>
    <n v="1"/>
    <n v="0"/>
    <n v="8"/>
    <n v="2"/>
    <n v="0"/>
    <n v="0"/>
    <n v="0"/>
    <n v="0"/>
    <n v="0"/>
    <n v="0"/>
    <n v="0"/>
    <n v="0"/>
    <n v="0"/>
    <n v="0"/>
    <n v="0"/>
    <m/>
  </r>
  <r>
    <n v="430"/>
    <d v="2024-05-20T10:02:55"/>
    <d v="2024-05-20T10:04:45"/>
    <s v="tnyauti@lighthouse.org.mw"/>
    <s v="Tamala nyauti"/>
    <s v="Chitedze"/>
    <s v="Prototype"/>
    <x v="1"/>
    <x v="0"/>
    <s v="COP_23"/>
    <s v="Quarter1"/>
    <x v="2"/>
    <s v="Qtr_2"/>
    <x v="5"/>
    <d v="2024-02-01T00:00:00"/>
    <d v="2024-02-29T00:00:00"/>
    <x v="3"/>
    <n v="0"/>
    <n v="0"/>
    <n v="0"/>
    <n v="0"/>
    <n v="0"/>
    <n v="0"/>
    <n v="0"/>
    <n v="0"/>
    <n v="0"/>
    <n v="0"/>
    <n v="0"/>
    <n v="0"/>
    <n v="0"/>
    <n v="0"/>
    <n v="0"/>
    <n v="0"/>
    <n v="0"/>
    <n v="0"/>
    <n v="0"/>
    <n v="0"/>
    <n v="0"/>
    <n v="0"/>
    <n v="0"/>
    <n v="0"/>
    <n v="0"/>
    <m/>
  </r>
  <r>
    <n v="431"/>
    <d v="2024-05-20T10:04:55"/>
    <d v="2024-05-20T10:06:29"/>
    <s v="tnyauti@lighthouse.org.mw"/>
    <s v="Tamala nyauti"/>
    <s v="Chitedze"/>
    <s v="Prototype"/>
    <x v="1"/>
    <x v="0"/>
    <s v="COP_23"/>
    <s v="Quarter1"/>
    <x v="2"/>
    <s v="Qtr_2"/>
    <x v="5"/>
    <d v="2024-02-01T00:00:00"/>
    <d v="2024-02-29T00:00:00"/>
    <x v="4"/>
    <n v="0"/>
    <n v="0"/>
    <n v="0"/>
    <n v="0"/>
    <n v="0"/>
    <n v="0"/>
    <n v="0"/>
    <n v="0"/>
    <n v="0"/>
    <n v="0"/>
    <n v="0"/>
    <n v="0"/>
    <n v="0"/>
    <n v="0"/>
    <n v="0"/>
    <n v="0"/>
    <n v="0"/>
    <n v="0"/>
    <n v="0"/>
    <n v="0"/>
    <n v="0"/>
    <n v="0"/>
    <n v="0"/>
    <n v="0"/>
    <n v="0"/>
    <m/>
  </r>
  <r>
    <n v="433"/>
    <d v="2024-05-20T10:08:31"/>
    <d v="2024-05-20T10:10:57"/>
    <s v="tnyauti@lighthouse.org.mw"/>
    <s v="Tamala nyauti"/>
    <s v="Chitedze"/>
    <s v="Prototype"/>
    <x v="1"/>
    <x v="0"/>
    <s v="COP_23"/>
    <s v="Quarter1"/>
    <x v="2"/>
    <s v="Qtr_2"/>
    <x v="5"/>
    <d v="2024-02-01T00:00:00"/>
    <d v="2024-02-29T00:00:00"/>
    <x v="5"/>
    <n v="0"/>
    <n v="0"/>
    <n v="0"/>
    <n v="0"/>
    <n v="0"/>
    <n v="0"/>
    <n v="0"/>
    <n v="0"/>
    <n v="0"/>
    <n v="0"/>
    <n v="0"/>
    <n v="0"/>
    <n v="0"/>
    <n v="0"/>
    <n v="0"/>
    <n v="0"/>
    <n v="0"/>
    <n v="0"/>
    <n v="0"/>
    <n v="0"/>
    <n v="0"/>
    <n v="0"/>
    <n v="0"/>
    <n v="0"/>
    <n v="0"/>
    <m/>
  </r>
  <r>
    <n v="435"/>
    <d v="2024-05-20T10:31:01"/>
    <d v="2024-05-20T10:34:37"/>
    <s v="tnyauti@lighthouse.org.mw"/>
    <s v="Tamala nyauti"/>
    <s v="Chitedze"/>
    <s v="Prototype"/>
    <x v="1"/>
    <x v="0"/>
    <s v="COP_23"/>
    <s v="Quarter1"/>
    <x v="2"/>
    <s v="Qtr_2"/>
    <x v="3"/>
    <d v="2024-03-01T00:00:00"/>
    <d v="2024-03-31T00:00:00"/>
    <x v="5"/>
    <n v="0"/>
    <n v="0"/>
    <n v="0"/>
    <n v="0"/>
    <n v="0"/>
    <n v="0"/>
    <n v="0"/>
    <n v="0"/>
    <n v="0"/>
    <n v="0"/>
    <n v="0"/>
    <n v="0"/>
    <n v="0"/>
    <n v="0"/>
    <n v="0"/>
    <n v="0"/>
    <n v="0"/>
    <n v="0"/>
    <n v="0"/>
    <n v="0"/>
    <n v="0"/>
    <n v="0"/>
    <n v="0"/>
    <n v="0"/>
    <n v="0"/>
    <m/>
  </r>
  <r>
    <n v="437"/>
    <d v="2024-05-20T11:10:34"/>
    <d v="2024-05-20T11:11:59"/>
    <s v="tnyauti@lighthouse.org.mw"/>
    <s v="Tamala nyauti"/>
    <s v="Chitedze"/>
    <s v="Prototype"/>
    <x v="1"/>
    <x v="0"/>
    <s v="COP_23"/>
    <s v="Quarter1"/>
    <x v="2"/>
    <s v="Qtr_2"/>
    <x v="3"/>
    <d v="2024-03-01T00:00:00"/>
    <d v="2024-03-31T00:00:00"/>
    <x v="4"/>
    <n v="0"/>
    <n v="0"/>
    <n v="0"/>
    <n v="0"/>
    <n v="0"/>
    <n v="0"/>
    <n v="0"/>
    <n v="0"/>
    <n v="0"/>
    <n v="0"/>
    <n v="0"/>
    <n v="0"/>
    <n v="0"/>
    <n v="0"/>
    <n v="0"/>
    <n v="0"/>
    <n v="0"/>
    <n v="0"/>
    <n v="0"/>
    <n v="0"/>
    <n v="0"/>
    <n v="0"/>
    <n v="0"/>
    <n v="0"/>
    <n v="0"/>
    <m/>
  </r>
  <r>
    <n v="438"/>
    <d v="2024-05-20T11:12:19"/>
    <d v="2024-05-20T11:17:38"/>
    <s v="tnyauti@lighthouse.org.mw"/>
    <s v="Tamala nyauti"/>
    <s v="Chitedze"/>
    <s v="Prototype"/>
    <x v="1"/>
    <x v="0"/>
    <s v="COP_23"/>
    <s v="Quarter1"/>
    <x v="2"/>
    <s v="Qtr_2"/>
    <x v="3"/>
    <d v="2024-03-01T00:00:00"/>
    <d v="2024-03-31T00:00:00"/>
    <x v="3"/>
    <n v="1"/>
    <n v="0"/>
    <n v="1"/>
    <n v="0"/>
    <n v="0"/>
    <n v="0"/>
    <n v="1"/>
    <n v="1"/>
    <n v="0"/>
    <n v="0"/>
    <n v="0"/>
    <n v="0"/>
    <n v="1"/>
    <n v="0"/>
    <n v="0"/>
    <n v="0"/>
    <n v="0"/>
    <n v="0"/>
    <n v="0"/>
    <n v="0"/>
    <n v="0"/>
    <n v="0"/>
    <n v="0"/>
    <n v="0"/>
    <n v="0"/>
    <m/>
  </r>
  <r>
    <n v="440"/>
    <d v="2024-05-20T11:22:10"/>
    <d v="2024-05-20T11:36:21"/>
    <s v="tnyauti@lighthouse.org.mw"/>
    <s v="Tamala nyauti"/>
    <s v="Chitedze"/>
    <s v="Prototype"/>
    <x v="1"/>
    <x v="0"/>
    <s v="COP_23"/>
    <s v="Quarter2"/>
    <x v="3"/>
    <s v="Qtr_3"/>
    <x v="7"/>
    <d v="2024-04-01T00:00:00"/>
    <d v="2024-04-30T00:00:00"/>
    <x v="0"/>
    <n v="42"/>
    <n v="3"/>
    <n v="38"/>
    <n v="2"/>
    <n v="2"/>
    <n v="0"/>
    <n v="42"/>
    <n v="10"/>
    <n v="8"/>
    <n v="0"/>
    <n v="0"/>
    <n v="0"/>
    <n v="12"/>
    <n v="2"/>
    <n v="0"/>
    <n v="0"/>
    <n v="0"/>
    <n v="0"/>
    <n v="0"/>
    <n v="0"/>
    <n v="1"/>
    <n v="0"/>
    <n v="0"/>
    <n v="0"/>
    <n v="0"/>
    <m/>
  </r>
  <r>
    <n v="441"/>
    <d v="2024-05-20T11:36:43"/>
    <d v="2024-05-20T11:38:51"/>
    <s v="tnyauti@lighthouse.org.mw"/>
    <s v="Tamala nyauti"/>
    <s v="Chitedze"/>
    <s v="Prototype"/>
    <x v="1"/>
    <x v="0"/>
    <s v="COP_23"/>
    <s v="Quarter2"/>
    <x v="3"/>
    <s v="Qtr_3"/>
    <x v="7"/>
    <d v="2024-04-01T00:00:00"/>
    <d v="2024-04-30T00:00:00"/>
    <x v="4"/>
    <n v="1"/>
    <n v="0"/>
    <n v="1"/>
    <n v="0"/>
    <n v="0"/>
    <n v="0"/>
    <n v="1"/>
    <n v="0"/>
    <n v="0"/>
    <n v="0"/>
    <n v="0"/>
    <n v="0"/>
    <n v="0"/>
    <n v="0"/>
    <n v="0"/>
    <n v="0"/>
    <n v="0"/>
    <n v="0"/>
    <n v="0"/>
    <n v="0"/>
    <n v="0"/>
    <n v="0"/>
    <n v="0"/>
    <n v="0"/>
    <n v="0"/>
    <m/>
  </r>
  <r>
    <n v="444"/>
    <d v="2024-05-20T11:49:22"/>
    <d v="2024-05-20T11:53:03"/>
    <s v="tnyauti@lighthouse.org.mw"/>
    <s v="Tamala nyauti"/>
    <s v="Chitedze"/>
    <s v="Prototype"/>
    <x v="1"/>
    <x v="0"/>
    <s v="COP_23"/>
    <s v="Quarter2"/>
    <x v="3"/>
    <s v="Qtr_3"/>
    <x v="7"/>
    <d v="2024-04-01T00:00:00"/>
    <d v="2024-04-30T00:00:00"/>
    <x v="3"/>
    <n v="0"/>
    <n v="0"/>
    <n v="0"/>
    <n v="0"/>
    <n v="0"/>
    <n v="0"/>
    <n v="0"/>
    <n v="0"/>
    <n v="0"/>
    <n v="0"/>
    <n v="0"/>
    <n v="0"/>
    <n v="0"/>
    <n v="0"/>
    <n v="0"/>
    <n v="0"/>
    <n v="0"/>
    <n v="0"/>
    <n v="0"/>
    <n v="0"/>
    <n v="0"/>
    <n v="0"/>
    <n v="0"/>
    <n v="0"/>
    <n v="0"/>
    <m/>
  </r>
  <r>
    <n v="445"/>
    <d v="2024-05-20T11:53:19"/>
    <d v="2024-05-20T11:55:11"/>
    <s v="tnyauti@lighthouse.org.mw"/>
    <s v="Tamala nyauti"/>
    <s v="Chitedze"/>
    <s v="Prototype"/>
    <x v="1"/>
    <x v="2"/>
    <s v="COP_23"/>
    <s v="Quarter2"/>
    <x v="3"/>
    <s v="Qtr_3"/>
    <x v="7"/>
    <d v="2024-04-01T00:00:00"/>
    <d v="2024-04-30T00:00:00"/>
    <x v="5"/>
    <n v="0"/>
    <n v="0"/>
    <n v="0"/>
    <n v="0"/>
    <n v="0"/>
    <n v="0"/>
    <n v="0"/>
    <n v="0"/>
    <n v="0"/>
    <n v="0"/>
    <n v="0"/>
    <n v="0"/>
    <n v="0"/>
    <n v="0"/>
    <n v="0"/>
    <n v="0"/>
    <n v="0"/>
    <n v="0"/>
    <n v="0"/>
    <n v="0"/>
    <n v="0"/>
    <n v="0"/>
    <n v="0"/>
    <n v="0"/>
    <n v="0"/>
    <m/>
  </r>
  <r>
    <n v="528"/>
    <d v="2024-06-07T15:38:05"/>
    <d v="2024-06-07T15:51:20"/>
    <s v="tnyauti@lighthouse.org.mw"/>
    <s v="Tamala nyauti"/>
    <s v="Chitedze"/>
    <s v="Prototype"/>
    <x v="1"/>
    <x v="0"/>
    <s v="COP_23"/>
    <s v="Quarter2"/>
    <x v="3"/>
    <s v="Qtr_3"/>
    <x v="6"/>
    <d v="2024-05-01T00:00:00"/>
    <d v="2024-05-31T00:00:00"/>
    <x v="0"/>
    <n v="29"/>
    <n v="2"/>
    <n v="24"/>
    <n v="1"/>
    <n v="4"/>
    <n v="0"/>
    <n v="29"/>
    <n v="5"/>
    <n v="5"/>
    <n v="0"/>
    <n v="0"/>
    <n v="0"/>
    <n v="5"/>
    <n v="1"/>
    <n v="0"/>
    <n v="0"/>
    <n v="0"/>
    <n v="0"/>
    <n v="0"/>
    <n v="0"/>
    <n v="1"/>
    <n v="0"/>
    <n v="0"/>
    <n v="0"/>
    <n v="1"/>
    <m/>
  </r>
  <r>
    <n v="544"/>
    <d v="2024-06-11T08:53:01"/>
    <d v="2024-06-11T09:38:02"/>
    <s v="tnyauti@lighthouse.org.mw"/>
    <s v="Tamala nyauti"/>
    <s v="Chitedze"/>
    <s v="Prototype"/>
    <x v="1"/>
    <x v="0"/>
    <s v="COP_23"/>
    <s v="Quarter2"/>
    <x v="3"/>
    <s v="Qtr_3"/>
    <x v="6"/>
    <d v="2024-05-01T00:00:00"/>
    <d v="2024-05-31T00:00:00"/>
    <x v="4"/>
    <n v="1"/>
    <n v="0"/>
    <n v="1"/>
    <n v="0"/>
    <n v="0"/>
    <n v="0"/>
    <n v="1"/>
    <n v="0"/>
    <n v="0"/>
    <n v="0"/>
    <n v="0"/>
    <n v="0"/>
    <n v="0"/>
    <n v="0"/>
    <n v="0"/>
    <n v="0"/>
    <n v="0"/>
    <n v="0"/>
    <n v="0"/>
    <n v="0"/>
    <n v="0"/>
    <n v="0"/>
    <n v="0"/>
    <n v="0"/>
    <n v="0"/>
    <m/>
  </r>
  <r>
    <n v="545"/>
    <d v="2024-06-11T09:38:21"/>
    <d v="2024-06-11T09:42:57"/>
    <s v="tnyauti@lighthouse.org.mw"/>
    <s v="Tamala nyauti"/>
    <s v="Chitedze"/>
    <s v="Prototype"/>
    <x v="1"/>
    <x v="0"/>
    <s v="COP_23"/>
    <s v="Quarter2"/>
    <x v="3"/>
    <s v="Qtr_3"/>
    <x v="6"/>
    <d v="2024-05-01T00:00:00"/>
    <d v="2024-05-31T00:00:00"/>
    <x v="5"/>
    <n v="0"/>
    <n v="0"/>
    <n v="0"/>
    <n v="0"/>
    <n v="0"/>
    <n v="0"/>
    <n v="0"/>
    <n v="0"/>
    <n v="0"/>
    <n v="0"/>
    <n v="0"/>
    <n v="0"/>
    <n v="0"/>
    <n v="0"/>
    <n v="0"/>
    <n v="0"/>
    <n v="0"/>
    <n v="0"/>
    <n v="0"/>
    <n v="0"/>
    <n v="0"/>
    <n v="0"/>
    <n v="0"/>
    <n v="0"/>
    <n v="0"/>
    <m/>
  </r>
  <r>
    <n v="546"/>
    <d v="2024-06-11T09:43:07"/>
    <d v="2024-06-11T09:45:00"/>
    <s v="tnyauti@lighthouse.org.mw"/>
    <s v="Tamala nyauti"/>
    <s v="Chitedze"/>
    <s v="Prototype"/>
    <x v="1"/>
    <x v="0"/>
    <s v="COP_23"/>
    <s v="Quarter2"/>
    <x v="3"/>
    <s v="Qtr_3"/>
    <x v="6"/>
    <d v="2024-05-01T00:00:00"/>
    <d v="2024-05-31T00:00:00"/>
    <x v="3"/>
    <n v="0"/>
    <n v="0"/>
    <n v="0"/>
    <n v="0"/>
    <n v="0"/>
    <n v="0"/>
    <n v="0"/>
    <n v="0"/>
    <n v="0"/>
    <n v="0"/>
    <n v="0"/>
    <n v="0"/>
    <n v="0"/>
    <n v="0"/>
    <n v="0"/>
    <n v="0"/>
    <n v="0"/>
    <n v="0"/>
    <n v="0"/>
    <n v="0"/>
    <n v="0"/>
    <n v="0"/>
    <n v="0"/>
    <n v="0"/>
    <n v="0"/>
    <m/>
  </r>
  <r>
    <n v="640"/>
    <d v="2024-07-17T09:53:32"/>
    <d v="2024-07-17T09:58:49"/>
    <s v="tnyauti@lighthouse.org.mw"/>
    <s v="Tamala nyauti"/>
    <s v="Chitedze"/>
    <s v="Prototype"/>
    <x v="1"/>
    <x v="0"/>
    <s v="COP_23"/>
    <s v="Quarter2"/>
    <x v="3"/>
    <s v="Qtr_3"/>
    <x v="8"/>
    <d v="2024-06-01T00:00:00"/>
    <d v="2024-06-30T00:00:00"/>
    <x v="0"/>
    <n v="16"/>
    <n v="2"/>
    <n v="15"/>
    <n v="0"/>
    <n v="0"/>
    <n v="1"/>
    <n v="16"/>
    <n v="3"/>
    <n v="2"/>
    <n v="0"/>
    <n v="0"/>
    <n v="0"/>
    <n v="2"/>
    <n v="0"/>
    <n v="0"/>
    <n v="0"/>
    <n v="0"/>
    <n v="0"/>
    <n v="0"/>
    <n v="0"/>
    <n v="0"/>
    <n v="0"/>
    <n v="0"/>
    <n v="1"/>
    <n v="0"/>
    <m/>
  </r>
  <r>
    <n v="643"/>
    <d v="2024-07-17T10:03:51"/>
    <d v="2024-07-17T10:06:11"/>
    <s v="tnyauti@lighthouse.org.mw"/>
    <s v="Tamala nyauti"/>
    <s v="Chitedze"/>
    <s v="Prototype"/>
    <x v="1"/>
    <x v="0"/>
    <s v="COP_23"/>
    <s v="Quarter2"/>
    <x v="3"/>
    <s v="Qtr_3"/>
    <x v="8"/>
    <d v="2024-06-01T00:00:00"/>
    <d v="2024-06-30T00:00:00"/>
    <x v="4"/>
    <n v="0"/>
    <n v="0"/>
    <n v="0"/>
    <n v="0"/>
    <n v="0"/>
    <n v="0"/>
    <n v="0"/>
    <n v="0"/>
    <n v="0"/>
    <n v="0"/>
    <n v="0"/>
    <n v="0"/>
    <n v="0"/>
    <n v="0"/>
    <n v="0"/>
    <n v="0"/>
    <n v="0"/>
    <n v="0"/>
    <n v="0"/>
    <n v="0"/>
    <n v="0"/>
    <n v="0"/>
    <n v="0"/>
    <n v="0"/>
    <n v="0"/>
    <m/>
  </r>
  <r>
    <n v="644"/>
    <d v="2024-07-17T10:07:01"/>
    <d v="2024-07-17T10:08:51"/>
    <s v="tnyauti@lighthouse.org.mw"/>
    <s v="Tamala nyauti"/>
    <s v="Chitedze"/>
    <s v="Prototype"/>
    <x v="1"/>
    <x v="0"/>
    <s v="COP_23"/>
    <s v="Quarter2"/>
    <x v="3"/>
    <s v="Qtr_3"/>
    <x v="8"/>
    <d v="2024-06-01T00:00:00"/>
    <d v="2024-06-30T00:00:00"/>
    <x v="5"/>
    <n v="0"/>
    <n v="0"/>
    <n v="0"/>
    <n v="0"/>
    <n v="0"/>
    <n v="0"/>
    <n v="0"/>
    <n v="0"/>
    <n v="0"/>
    <n v="0"/>
    <n v="0"/>
    <n v="0"/>
    <n v="0"/>
    <n v="0"/>
    <n v="0"/>
    <n v="0"/>
    <n v="0"/>
    <n v="0"/>
    <n v="0"/>
    <n v="0"/>
    <n v="0"/>
    <n v="0"/>
    <n v="0"/>
    <n v="0"/>
    <n v="0"/>
    <m/>
  </r>
  <r>
    <n v="645"/>
    <d v="2024-07-17T10:08:57"/>
    <d v="2024-07-17T10:09:49"/>
    <s v="tnyauti@lighthouse.org.mw"/>
    <s v="Tamala nyauti"/>
    <s v="Chitedze"/>
    <s v="Prototype"/>
    <x v="1"/>
    <x v="0"/>
    <s v="COP_23"/>
    <s v="Quarter2"/>
    <x v="3"/>
    <s v="Qtr_3"/>
    <x v="8"/>
    <d v="2024-06-01T00:00:00"/>
    <d v="2024-06-30T00:00:00"/>
    <x v="3"/>
    <n v="0"/>
    <n v="0"/>
    <n v="0"/>
    <n v="0"/>
    <n v="0"/>
    <n v="0"/>
    <n v="0"/>
    <n v="0"/>
    <n v="0"/>
    <n v="0"/>
    <n v="0"/>
    <n v="0"/>
    <n v="0"/>
    <n v="0"/>
    <n v="0"/>
    <n v="0"/>
    <n v="0"/>
    <n v="0"/>
    <n v="0"/>
    <n v="0"/>
    <n v="0"/>
    <n v="0"/>
    <n v="0"/>
    <n v="0"/>
    <n v="0"/>
    <m/>
  </r>
  <r>
    <n v="1001"/>
    <d v="2024-10-31T10:51:55"/>
    <d v="2024-10-31T10:56:45"/>
    <s v="tnyauti@lighthouse.org.mw"/>
    <s v="Tamala nyauti"/>
    <s v="Chitedze"/>
    <s v="Prototype"/>
    <x v="1"/>
    <x v="0"/>
    <s v="COP_23"/>
    <s v="Quarter3"/>
    <x v="1"/>
    <s v="Qtr_4"/>
    <x v="9"/>
    <d v="2024-07-01T00:00:00"/>
    <d v="2024-07-31T00:00:00"/>
    <x v="0"/>
    <n v="22"/>
    <n v="2"/>
    <n v="19"/>
    <n v="2"/>
    <n v="1"/>
    <n v="0"/>
    <n v="22"/>
    <n v="3"/>
    <n v="3"/>
    <n v="0"/>
    <n v="0"/>
    <n v="0"/>
    <n v="0"/>
    <n v="0"/>
    <n v="0"/>
    <n v="0"/>
    <n v="0"/>
    <n v="0"/>
    <n v="0"/>
    <n v="0"/>
    <n v="0"/>
    <n v="0"/>
    <n v="0"/>
    <n v="0"/>
    <n v="0"/>
    <m/>
  </r>
  <r>
    <n v="1004"/>
    <d v="2024-10-31T11:17:59"/>
    <d v="2024-10-31T11:20:08"/>
    <s v="tnyauti@lighthouse.org.mw"/>
    <s v="Tamala nyauti"/>
    <s v="Chitedze"/>
    <s v="Prototype"/>
    <x v="1"/>
    <x v="0"/>
    <s v="COP_23"/>
    <s v="Quarter3"/>
    <x v="1"/>
    <s v="Qtr_4"/>
    <x v="9"/>
    <d v="2024-07-01T00:00:00"/>
    <d v="2024-07-31T00:00:00"/>
    <x v="5"/>
    <n v="0"/>
    <n v="0"/>
    <n v="0"/>
    <n v="0"/>
    <n v="0"/>
    <n v="0"/>
    <n v="0"/>
    <n v="0"/>
    <n v="0"/>
    <n v="0"/>
    <n v="0"/>
    <n v="0"/>
    <n v="0"/>
    <n v="0"/>
    <n v="0"/>
    <n v="0"/>
    <n v="0"/>
    <n v="0"/>
    <n v="0"/>
    <n v="0"/>
    <n v="0"/>
    <n v="0"/>
    <n v="0"/>
    <n v="0"/>
    <n v="0"/>
    <m/>
  </r>
  <r>
    <n v="1005"/>
    <d v="2024-10-31T11:20:14"/>
    <d v="2024-10-31T11:23:32"/>
    <s v="tnyauti@lighthouse.org.mw"/>
    <s v="Tamala nyauti"/>
    <s v="Chitedze"/>
    <s v="Prototype"/>
    <x v="1"/>
    <x v="0"/>
    <s v="COP_23"/>
    <s v="Quarter3"/>
    <x v="1"/>
    <s v="Qtr_4"/>
    <x v="9"/>
    <d v="2024-07-01T00:00:00"/>
    <d v="2024-07-31T00:00:00"/>
    <x v="3"/>
    <n v="0"/>
    <n v="0"/>
    <n v="0"/>
    <n v="0"/>
    <n v="0"/>
    <n v="0"/>
    <n v="0"/>
    <n v="0"/>
    <n v="0"/>
    <n v="0"/>
    <n v="0"/>
    <n v="0"/>
    <n v="0"/>
    <n v="0"/>
    <n v="0"/>
    <n v="0"/>
    <n v="0"/>
    <n v="0"/>
    <n v="0"/>
    <n v="0"/>
    <n v="0"/>
    <n v="0"/>
    <n v="0"/>
    <n v="0"/>
    <n v="0"/>
    <m/>
  </r>
  <r>
    <n v="1006"/>
    <d v="2024-10-31T11:24:26"/>
    <d v="2024-10-31T11:27:45"/>
    <s v="tnyauti@lighthouse.org.mw"/>
    <s v="Tamala nyauti"/>
    <s v="Chitedze"/>
    <s v="Prototype"/>
    <x v="1"/>
    <x v="0"/>
    <s v="COP_23"/>
    <s v="Quarter3"/>
    <x v="1"/>
    <s v="Qtr_4"/>
    <x v="9"/>
    <d v="2024-07-01T00:00:00"/>
    <d v="2024-07-31T00:00:00"/>
    <x v="4"/>
    <n v="0"/>
    <n v="0"/>
    <n v="0"/>
    <n v="0"/>
    <n v="0"/>
    <n v="0"/>
    <n v="0"/>
    <n v="0"/>
    <n v="0"/>
    <n v="0"/>
    <n v="0"/>
    <n v="0"/>
    <n v="0"/>
    <n v="0"/>
    <n v="0"/>
    <n v="0"/>
    <n v="0"/>
    <n v="0"/>
    <n v="0"/>
    <n v="0"/>
    <n v="0"/>
    <n v="0"/>
    <n v="0"/>
    <n v="0"/>
    <n v="0"/>
    <m/>
  </r>
  <r>
    <n v="1007"/>
    <d v="2024-10-31T11:28:49"/>
    <d v="2024-10-31T11:37:23"/>
    <s v="tnyauti@lighthouse.org.mw"/>
    <s v="Tamala nyauti"/>
    <s v="Chitedze"/>
    <s v="Prototype"/>
    <x v="1"/>
    <x v="0"/>
    <s v="COP_23"/>
    <s v="Quarter3"/>
    <x v="1"/>
    <s v="Qtr_4"/>
    <x v="10"/>
    <d v="2024-08-01T00:00:00"/>
    <d v="2024-08-31T00:00:00"/>
    <x v="0"/>
    <n v="27"/>
    <n v="0"/>
    <n v="25"/>
    <n v="2"/>
    <n v="0"/>
    <n v="0"/>
    <n v="24"/>
    <n v="4"/>
    <n v="5"/>
    <n v="0"/>
    <n v="0"/>
    <n v="0"/>
    <n v="0"/>
    <n v="0"/>
    <n v="0"/>
    <n v="0"/>
    <n v="0"/>
    <n v="0"/>
    <n v="0"/>
    <n v="0"/>
    <n v="0"/>
    <n v="0"/>
    <n v="0"/>
    <n v="0"/>
    <n v="0"/>
    <m/>
  </r>
  <r>
    <n v="1010"/>
    <d v="2024-10-31T11:51:14"/>
    <d v="2024-10-31T12:06:02"/>
    <s v="tnyauti@lighthouse.org.mw"/>
    <s v="Tamala nyauti"/>
    <s v="Chitedze"/>
    <s v="Prototype"/>
    <x v="1"/>
    <x v="0"/>
    <s v="COP_23"/>
    <s v="Quarter3"/>
    <x v="1"/>
    <s v="Qtr_4"/>
    <x v="10"/>
    <d v="2024-08-01T00:00:00"/>
    <d v="2024-08-31T00:00:00"/>
    <x v="3"/>
    <n v="1"/>
    <n v="0"/>
    <n v="1"/>
    <n v="0"/>
    <n v="0"/>
    <n v="0"/>
    <n v="1"/>
    <n v="0"/>
    <n v="0"/>
    <n v="0"/>
    <n v="0"/>
    <n v="0"/>
    <n v="0"/>
    <n v="0"/>
    <n v="0"/>
    <n v="0"/>
    <n v="0"/>
    <n v="0"/>
    <n v="0"/>
    <n v="0"/>
    <n v="0"/>
    <n v="0"/>
    <n v="0"/>
    <n v="0"/>
    <n v="0"/>
    <m/>
  </r>
  <r>
    <n v="1011"/>
    <d v="2024-10-31T12:06:15"/>
    <d v="2024-10-31T12:08:46"/>
    <s v="tnyauti@lighthouse.org.mw"/>
    <s v="Tamala nyauti"/>
    <s v="Chitedze"/>
    <s v="Prototype"/>
    <x v="1"/>
    <x v="0"/>
    <s v="COP_23"/>
    <s v="Quarter3"/>
    <x v="1"/>
    <s v="Qtr_4"/>
    <x v="10"/>
    <d v="2024-08-01T00:00:00"/>
    <d v="2024-08-31T00:00:00"/>
    <x v="5"/>
    <n v="0"/>
    <n v="0"/>
    <n v="0"/>
    <n v="0"/>
    <n v="0"/>
    <n v="0"/>
    <n v="0"/>
    <n v="0"/>
    <n v="0"/>
    <n v="0"/>
    <n v="0"/>
    <n v="0"/>
    <n v="0"/>
    <n v="0"/>
    <n v="0"/>
    <n v="0"/>
    <n v="0"/>
    <n v="0"/>
    <n v="0"/>
    <n v="0"/>
    <n v="0"/>
    <n v="0"/>
    <n v="0"/>
    <n v="0"/>
    <n v="0"/>
    <m/>
  </r>
  <r>
    <n v="1012"/>
    <d v="2024-10-31T12:09:17"/>
    <d v="2024-10-31T12:15:59"/>
    <s v="tnyauti@lighthouse.org.mw"/>
    <s v="Tamala nyauti"/>
    <s v="Chitedze"/>
    <s v="Prototype"/>
    <x v="1"/>
    <x v="0"/>
    <s v="COP_23"/>
    <s v="Quarter3"/>
    <x v="1"/>
    <s v="Qtr_4"/>
    <x v="10"/>
    <d v="2024-08-01T00:00:00"/>
    <d v="2024-08-31T00:00:00"/>
    <x v="4"/>
    <n v="0"/>
    <n v="0"/>
    <n v="0"/>
    <n v="0"/>
    <n v="0"/>
    <n v="0"/>
    <n v="0"/>
    <n v="0"/>
    <n v="0"/>
    <n v="0"/>
    <n v="0"/>
    <n v="0"/>
    <n v="0"/>
    <n v="0"/>
    <n v="0"/>
    <n v="0"/>
    <n v="0"/>
    <n v="0"/>
    <n v="0"/>
    <n v="0"/>
    <n v="0"/>
    <n v="0"/>
    <n v="0"/>
    <n v="0"/>
    <n v="0"/>
    <m/>
  </r>
  <r>
    <n v="1013"/>
    <d v="2024-10-31T12:16:40"/>
    <d v="2024-10-31T12:50:54"/>
    <s v="tnyauti@lighthouse.org.mw"/>
    <s v="Tamala nyauti"/>
    <s v="Chitedze"/>
    <s v="Prototype"/>
    <x v="1"/>
    <x v="0"/>
    <s v="COP_23"/>
    <s v="Quarter3"/>
    <x v="1"/>
    <s v="Qtr_4"/>
    <x v="2"/>
    <d v="2024-09-01T00:00:00"/>
    <d v="2024-09-30T00:00:00"/>
    <x v="0"/>
    <n v="30"/>
    <n v="0"/>
    <n v="30"/>
    <n v="0"/>
    <n v="0"/>
    <n v="0"/>
    <n v="28"/>
    <n v="2"/>
    <n v="2"/>
    <n v="0"/>
    <n v="0"/>
    <n v="0"/>
    <n v="0"/>
    <n v="0"/>
    <n v="0"/>
    <n v="0"/>
    <n v="0"/>
    <n v="0"/>
    <n v="0"/>
    <n v="0"/>
    <n v="0"/>
    <n v="0"/>
    <n v="0"/>
    <n v="0"/>
    <n v="0"/>
    <m/>
  </r>
  <r>
    <n v="1017"/>
    <d v="2024-10-31T13:24:27"/>
    <d v="2024-10-31T13:26:25"/>
    <s v="tnyauti@lighthouse.org.mw"/>
    <s v="Tamala nyauti"/>
    <s v="Chitedze"/>
    <s v="Prototype"/>
    <x v="1"/>
    <x v="0"/>
    <s v="COP_23"/>
    <s v="Quarter3"/>
    <x v="1"/>
    <s v="Qtr_4"/>
    <x v="2"/>
    <d v="2024-09-01T00:00:00"/>
    <d v="2024-09-30T00:00:00"/>
    <x v="3"/>
    <n v="1"/>
    <n v="0"/>
    <n v="1"/>
    <n v="0"/>
    <n v="0"/>
    <n v="0"/>
    <n v="1"/>
    <n v="0"/>
    <n v="0"/>
    <n v="0"/>
    <n v="0"/>
    <n v="0"/>
    <n v="0"/>
    <n v="0"/>
    <n v="0"/>
    <n v="0"/>
    <n v="0"/>
    <n v="0"/>
    <n v="0"/>
    <n v="0"/>
    <n v="0"/>
    <n v="0"/>
    <n v="0"/>
    <n v="0"/>
    <n v="0"/>
    <m/>
  </r>
  <r>
    <n v="1018"/>
    <d v="2024-10-31T13:27:36"/>
    <d v="2024-10-31T13:37:59"/>
    <s v="tnyauti@lighthouse.org.mw"/>
    <s v="Tamala nyauti"/>
    <s v="Chitedze"/>
    <s v="Prototype"/>
    <x v="1"/>
    <x v="0"/>
    <s v="COP_23"/>
    <s v="Quarter3"/>
    <x v="1"/>
    <s v="Qtr_4"/>
    <x v="2"/>
    <d v="2024-09-01T00:00:00"/>
    <d v="2024-09-30T00:00:00"/>
    <x v="5"/>
    <n v="0"/>
    <n v="0"/>
    <n v="0"/>
    <n v="0"/>
    <n v="0"/>
    <n v="0"/>
    <n v="0"/>
    <n v="0"/>
    <n v="0"/>
    <n v="0"/>
    <n v="0"/>
    <n v="0"/>
    <n v="0"/>
    <n v="0"/>
    <n v="0"/>
    <n v="0"/>
    <n v="0"/>
    <n v="0"/>
    <n v="0"/>
    <n v="0"/>
    <n v="0"/>
    <n v="0"/>
    <n v="0"/>
    <n v="0"/>
    <n v="0"/>
    <m/>
  </r>
  <r>
    <n v="1019"/>
    <d v="2024-10-31T13:38:23"/>
    <d v="2024-10-31T13:42:24"/>
    <s v="tnyauti@lighthouse.org.mw"/>
    <s v="Tamala nyauti"/>
    <s v="Chitedze"/>
    <s v="Prototype"/>
    <x v="1"/>
    <x v="1"/>
    <s v="COP_23"/>
    <s v="Quarter3"/>
    <x v="1"/>
    <s v="Qtr_4"/>
    <x v="2"/>
    <d v="2024-09-01T00:00:00"/>
    <d v="2024-09-30T00:00:00"/>
    <x v="4"/>
    <n v="0"/>
    <n v="0"/>
    <n v="0"/>
    <n v="0"/>
    <n v="0"/>
    <n v="0"/>
    <n v="0"/>
    <n v="0"/>
    <n v="0"/>
    <n v="0"/>
    <n v="0"/>
    <n v="0"/>
    <n v="0"/>
    <n v="0"/>
    <n v="0"/>
    <n v="0"/>
    <n v="0"/>
    <n v="0"/>
    <n v="0"/>
    <n v="0"/>
    <n v="0"/>
    <n v="0"/>
    <n v="0"/>
    <n v="0"/>
    <n v="0"/>
    <m/>
  </r>
  <r>
    <n v="1082"/>
    <d v="2024-11-20T12:26:14"/>
    <d v="2024-11-20T12:31:28"/>
    <s v="tnyauti@lighthouse.org.mw"/>
    <s v="Tamala nyauti"/>
    <s v="Chitedze"/>
    <s v="Prototype"/>
    <x v="1"/>
    <x v="2"/>
    <s v="COP_24"/>
    <s v="Quarter4"/>
    <x v="0"/>
    <s v="Qtr_1"/>
    <x v="0"/>
    <d v="2024-10-01T00:00:00"/>
    <d v="2024-10-31T00:00:00"/>
    <x v="0"/>
    <n v="18"/>
    <n v="0"/>
    <n v="16"/>
    <n v="0"/>
    <n v="2"/>
    <n v="0"/>
    <n v="17"/>
    <n v="8"/>
    <n v="8"/>
    <n v="0"/>
    <n v="0"/>
    <n v="0"/>
    <n v="8"/>
    <n v="1"/>
    <n v="0"/>
    <n v="0"/>
    <n v="0"/>
    <n v="0"/>
    <n v="0"/>
    <n v="0"/>
    <n v="1"/>
    <n v="0"/>
    <n v="0"/>
    <n v="0"/>
    <n v="0"/>
    <m/>
  </r>
  <r>
    <n v="1084"/>
    <d v="2024-11-20T12:47:00"/>
    <d v="2024-11-20T12:49:30"/>
    <s v="tnyauti@lighthouse.org.mw"/>
    <s v="Tamala nyauti"/>
    <s v="Chitedze"/>
    <s v="Prototype"/>
    <x v="1"/>
    <x v="2"/>
    <s v="COP_24"/>
    <s v="Quarter4"/>
    <x v="0"/>
    <s v="Qtr_1"/>
    <x v="0"/>
    <d v="2024-10-01T00:00:00"/>
    <d v="2024-10-31T00:00:00"/>
    <x v="1"/>
    <n v="9"/>
    <n v="0"/>
    <n v="8"/>
    <n v="0"/>
    <n v="1"/>
    <n v="0"/>
    <n v="9"/>
    <n v="3"/>
    <n v="3"/>
    <n v="0"/>
    <n v="0"/>
    <n v="0"/>
    <n v="3"/>
    <n v="0"/>
    <n v="0"/>
    <n v="0"/>
    <n v="0"/>
    <n v="0"/>
    <n v="0"/>
    <n v="0"/>
    <n v="0"/>
    <n v="0"/>
    <n v="0"/>
    <n v="0"/>
    <n v="0"/>
    <m/>
  </r>
  <r>
    <n v="1085"/>
    <d v="2024-11-20T12:50:05"/>
    <d v="2024-11-20T12:53:05"/>
    <s v="tnyauti@lighthouse.org.mw"/>
    <s v="Tamala nyauti"/>
    <s v="Chitedze"/>
    <s v="Prototype"/>
    <x v="1"/>
    <x v="2"/>
    <s v="COP_24"/>
    <s v="Quarter4"/>
    <x v="0"/>
    <s v="Qtr_1"/>
    <x v="0"/>
    <d v="2024-10-01T00:00:00"/>
    <d v="2024-10-31T00:00:00"/>
    <x v="5"/>
    <n v="0"/>
    <n v="0"/>
    <n v="0"/>
    <n v="0"/>
    <n v="0"/>
    <n v="0"/>
    <n v="0"/>
    <n v="0"/>
    <n v="0"/>
    <n v="0"/>
    <n v="0"/>
    <n v="0"/>
    <n v="0"/>
    <n v="0"/>
    <n v="0"/>
    <n v="0"/>
    <n v="0"/>
    <n v="0"/>
    <n v="0"/>
    <n v="0"/>
    <n v="0"/>
    <n v="0"/>
    <n v="0"/>
    <n v="0"/>
    <n v="0"/>
    <m/>
  </r>
  <r>
    <n v="1086"/>
    <d v="2024-11-20T12:53:21"/>
    <d v="2024-11-20T12:54:33"/>
    <s v="tnyauti@lighthouse.org.mw"/>
    <s v="Tamala nyauti"/>
    <s v="Chitedze"/>
    <s v="Prototype"/>
    <x v="1"/>
    <x v="2"/>
    <s v="COP_24"/>
    <s v="Quarter4"/>
    <x v="0"/>
    <s v="Qtr_1"/>
    <x v="0"/>
    <d v="2024-10-01T00:00:00"/>
    <d v="2024-10-31T00:00:00"/>
    <x v="4"/>
    <n v="0"/>
    <n v="0"/>
    <n v="0"/>
    <n v="0"/>
    <n v="0"/>
    <n v="0"/>
    <n v="0"/>
    <n v="0"/>
    <n v="0"/>
    <n v="0"/>
    <n v="0"/>
    <n v="0"/>
    <n v="0"/>
    <n v="0"/>
    <n v="0"/>
    <n v="0"/>
    <n v="0"/>
    <n v="0"/>
    <n v="0"/>
    <n v="0"/>
    <n v="0"/>
    <n v="0"/>
    <n v="0"/>
    <n v="0"/>
    <n v="0"/>
    <m/>
  </r>
  <r>
    <n v="1087"/>
    <d v="2024-11-20T12:54:42"/>
    <d v="2024-11-20T12:55:42"/>
    <s v="tnyauti@lighthouse.org.mw"/>
    <s v="Tamala nyauti"/>
    <s v="Chitedze"/>
    <s v="Prototype"/>
    <x v="1"/>
    <x v="2"/>
    <s v="COP_24"/>
    <s v="Quarter4"/>
    <x v="0"/>
    <s v="Qtr_1"/>
    <x v="0"/>
    <d v="2024-10-01T00:00:00"/>
    <d v="2024-10-31T00:00:00"/>
    <x v="3"/>
    <n v="0"/>
    <n v="0"/>
    <n v="0"/>
    <n v="0"/>
    <n v="0"/>
    <n v="0"/>
    <n v="0"/>
    <n v="0"/>
    <n v="0"/>
    <n v="0"/>
    <n v="0"/>
    <n v="0"/>
    <n v="0"/>
    <n v="0"/>
    <n v="0"/>
    <n v="0"/>
    <n v="0"/>
    <n v="0"/>
    <n v="0"/>
    <n v="0"/>
    <n v="0"/>
    <n v="0"/>
    <n v="0"/>
    <n v="0"/>
    <n v="0"/>
    <m/>
  </r>
  <r>
    <n v="1163"/>
    <d v="2024-12-20T08:07:11"/>
    <d v="2024-12-20T08:13:59"/>
    <s v="tnyauti@lighthouse.org.mw"/>
    <s v="Tamala nyauti"/>
    <s v="Chitedze"/>
    <s v="Prototype"/>
    <x v="1"/>
    <x v="2"/>
    <s v="COP_24"/>
    <s v="Quarter4"/>
    <x v="0"/>
    <s v="Qtr_1"/>
    <x v="1"/>
    <d v="2024-11-01T00:00:00"/>
    <d v="2024-11-30T00:00:00"/>
    <x v="0"/>
    <n v="35"/>
    <n v="1"/>
    <n v="32"/>
    <n v="2"/>
    <n v="0"/>
    <n v="1"/>
    <n v="35"/>
    <n v="4"/>
    <n v="3"/>
    <n v="0"/>
    <n v="0"/>
    <n v="0"/>
    <n v="4"/>
    <n v="1"/>
    <n v="0"/>
    <n v="0"/>
    <n v="0"/>
    <n v="0"/>
    <n v="0"/>
    <n v="0"/>
    <n v="1"/>
    <n v="0"/>
    <n v="0"/>
    <n v="0"/>
    <n v="2"/>
    <m/>
  </r>
  <r>
    <n v="1164"/>
    <d v="2024-12-20T08:14:16"/>
    <d v="2024-12-20T08:23:40"/>
    <s v="tnyauti@lighthouse.org.mw"/>
    <s v="Tamala nyauti"/>
    <s v="Chitedze"/>
    <s v="Prototype"/>
    <x v="1"/>
    <x v="2"/>
    <s v="COP_24"/>
    <s v="Quarter4"/>
    <x v="0"/>
    <s v="Qtr_1"/>
    <x v="1"/>
    <d v="2024-11-01T00:00:00"/>
    <d v="2024-11-30T00:00:00"/>
    <x v="1"/>
    <n v="25"/>
    <n v="0"/>
    <n v="23"/>
    <n v="2"/>
    <n v="0"/>
    <n v="0"/>
    <n v="25"/>
    <n v="3"/>
    <n v="3"/>
    <n v="0"/>
    <n v="0"/>
    <n v="0"/>
    <n v="0"/>
    <n v="0"/>
    <n v="0"/>
    <n v="0"/>
    <n v="0"/>
    <n v="0"/>
    <n v="0"/>
    <n v="0"/>
    <n v="0"/>
    <n v="0"/>
    <n v="0"/>
    <n v="0"/>
    <n v="2"/>
    <m/>
  </r>
  <r>
    <n v="1165"/>
    <d v="2024-12-20T08:23:56"/>
    <d v="2024-12-20T08:28:22"/>
    <s v="tnyauti@lighthouse.org.mw"/>
    <s v="Tamala nyauti"/>
    <s v="Chitedze"/>
    <s v="Prototype"/>
    <x v="1"/>
    <x v="2"/>
    <s v="COP_24"/>
    <s v="Quarter4"/>
    <x v="0"/>
    <s v="Qtr_1"/>
    <x v="1"/>
    <d v="2024-11-01T00:00:00"/>
    <d v="2024-11-30T00:00:00"/>
    <x v="2"/>
    <n v="10"/>
    <n v="1"/>
    <n v="9"/>
    <n v="0"/>
    <n v="0"/>
    <n v="1"/>
    <n v="10"/>
    <n v="1"/>
    <n v="0"/>
    <n v="0"/>
    <n v="0"/>
    <n v="0"/>
    <n v="1"/>
    <n v="1"/>
    <n v="0"/>
    <n v="0"/>
    <n v="0"/>
    <n v="0"/>
    <n v="0"/>
    <n v="0"/>
    <n v="1"/>
    <n v="0"/>
    <n v="0"/>
    <n v="0"/>
    <n v="0"/>
    <m/>
  </r>
  <r>
    <n v="1166"/>
    <d v="2024-12-20T08:28:47"/>
    <d v="2024-12-20T08:31:01"/>
    <s v="tnyauti@lighthouse.org.mw"/>
    <s v="Tamala nyauti"/>
    <s v="Chitedze"/>
    <s v="Prototype"/>
    <x v="1"/>
    <x v="2"/>
    <s v="COP_24"/>
    <s v="Quarter4"/>
    <x v="0"/>
    <s v="Qtr_1"/>
    <x v="1"/>
    <d v="2024-11-01T00:00:00"/>
    <d v="2024-11-30T00:00:00"/>
    <x v="3"/>
    <n v="3"/>
    <n v="1"/>
    <n v="2"/>
    <n v="0"/>
    <n v="0"/>
    <n v="1"/>
    <n v="3"/>
    <n v="1"/>
    <n v="0"/>
    <n v="0"/>
    <n v="0"/>
    <n v="0"/>
    <n v="1"/>
    <n v="1"/>
    <n v="0"/>
    <n v="0"/>
    <n v="0"/>
    <n v="0"/>
    <n v="0"/>
    <n v="0"/>
    <n v="1"/>
    <n v="0"/>
    <n v="0"/>
    <n v="0"/>
    <n v="0"/>
    <m/>
  </r>
  <r>
    <n v="1167"/>
    <d v="2024-12-20T08:31:12"/>
    <d v="2024-12-20T08:32:13"/>
    <s v="tnyauti@lighthouse.org.mw"/>
    <s v="Tamala nyauti"/>
    <s v="Chitedze"/>
    <s v="Prototype"/>
    <x v="1"/>
    <x v="2"/>
    <s v="COP_24"/>
    <s v="Quarter4"/>
    <x v="0"/>
    <s v="Qtr_1"/>
    <x v="1"/>
    <d v="2024-11-01T00:00:00"/>
    <d v="2024-11-30T00:00:00"/>
    <x v="5"/>
    <n v="0"/>
    <n v="0"/>
    <n v="0"/>
    <n v="0"/>
    <n v="0"/>
    <n v="0"/>
    <n v="0"/>
    <n v="0"/>
    <n v="0"/>
    <n v="0"/>
    <n v="0"/>
    <n v="0"/>
    <n v="0"/>
    <n v="0"/>
    <n v="0"/>
    <n v="0"/>
    <n v="0"/>
    <n v="0"/>
    <n v="0"/>
    <n v="0"/>
    <n v="0"/>
    <n v="0"/>
    <n v="0"/>
    <n v="0"/>
    <n v="0"/>
    <m/>
  </r>
  <r>
    <n v="1168"/>
    <d v="2024-12-20T08:32:26"/>
    <d v="2024-12-20T08:33:35"/>
    <s v="tnyauti@lighthouse.org.mw"/>
    <s v="Tamala nyauti"/>
    <s v="Chitedze"/>
    <s v="Prototype"/>
    <x v="1"/>
    <x v="2"/>
    <s v="COP_24"/>
    <s v="Quarter4"/>
    <x v="0"/>
    <s v="Qtr_1"/>
    <x v="1"/>
    <d v="2024-11-01T00:00:00"/>
    <d v="2024-11-30T00:00:00"/>
    <x v="4"/>
    <n v="0"/>
    <n v="0"/>
    <n v="0"/>
    <n v="0"/>
    <n v="0"/>
    <n v="0"/>
    <n v="0"/>
    <n v="0"/>
    <n v="0"/>
    <n v="0"/>
    <n v="0"/>
    <n v="0"/>
    <n v="0"/>
    <n v="0"/>
    <n v="0"/>
    <n v="0"/>
    <n v="0"/>
    <n v="0"/>
    <n v="0"/>
    <n v="0"/>
    <n v="0"/>
    <n v="0"/>
    <n v="0"/>
    <n v="0"/>
    <n v="0"/>
    <m/>
  </r>
  <r>
    <n v="1270"/>
    <d v="2025-01-14T14:53:19"/>
    <d v="2025-01-14T15:08:49"/>
    <s v="tnyauti@lighthouse.org.mw"/>
    <s v="Tamala nyauti"/>
    <s v="Chitedze"/>
    <s v="Prototype"/>
    <x v="1"/>
    <x v="2"/>
    <s v="COP_24"/>
    <s v="Quarter4"/>
    <x v="0"/>
    <s v="Qtr_1"/>
    <x v="11"/>
    <d v="2024-12-01T00:00:00"/>
    <d v="2024-12-31T00:00:00"/>
    <x v="0"/>
    <n v="31"/>
    <n v="0"/>
    <n v="29"/>
    <n v="1"/>
    <n v="0"/>
    <n v="1"/>
    <n v="30"/>
    <n v="7"/>
    <n v="4"/>
    <n v="0"/>
    <n v="0"/>
    <n v="0"/>
    <n v="7"/>
    <n v="1"/>
    <n v="0"/>
    <n v="0"/>
    <n v="0"/>
    <n v="0"/>
    <n v="0"/>
    <n v="0"/>
    <n v="1"/>
    <n v="0"/>
    <n v="0"/>
    <n v="0"/>
    <n v="0"/>
    <m/>
  </r>
  <r>
    <n v="1271"/>
    <d v="2025-01-14T15:08:54"/>
    <d v="2025-01-14T15:13:41"/>
    <s v="tnyauti@lighthouse.org.mw"/>
    <s v="Tamala nyauti"/>
    <s v="Chitedze"/>
    <s v="Prototype"/>
    <x v="1"/>
    <x v="2"/>
    <s v="COP_24"/>
    <s v="Quarter4"/>
    <x v="0"/>
    <s v="Qtr_1"/>
    <x v="11"/>
    <d v="2024-12-01T00:00:00"/>
    <d v="2024-12-31T00:00:00"/>
    <x v="1"/>
    <n v="19"/>
    <n v="0"/>
    <n v="17"/>
    <n v="1"/>
    <n v="0"/>
    <n v="1"/>
    <n v="19"/>
    <n v="5"/>
    <n v="3"/>
    <n v="0"/>
    <n v="0"/>
    <n v="0"/>
    <n v="5"/>
    <n v="1"/>
    <n v="0"/>
    <n v="0"/>
    <n v="0"/>
    <n v="0"/>
    <n v="0"/>
    <n v="0"/>
    <n v="1"/>
    <n v="0"/>
    <n v="0"/>
    <n v="0"/>
    <n v="0"/>
    <m/>
  </r>
  <r>
    <n v="1272"/>
    <d v="2025-01-14T15:13:46"/>
    <d v="2025-01-14T15:16:54"/>
    <s v="tnyauti@lighthouse.org.mw"/>
    <s v="Tamala nyauti"/>
    <s v="Chitedze"/>
    <s v="Prototype"/>
    <x v="1"/>
    <x v="2"/>
    <s v="COP_24"/>
    <s v="Quarter4"/>
    <x v="0"/>
    <s v="Qtr_1"/>
    <x v="11"/>
    <d v="2024-12-01T00:00:00"/>
    <d v="2024-12-31T00:00:00"/>
    <x v="2"/>
    <n v="12"/>
    <n v="0"/>
    <n v="12"/>
    <n v="0"/>
    <n v="0"/>
    <n v="0"/>
    <n v="11"/>
    <n v="2"/>
    <n v="1"/>
    <n v="0"/>
    <n v="0"/>
    <n v="0"/>
    <n v="2"/>
    <n v="0"/>
    <n v="0"/>
    <n v="0"/>
    <n v="0"/>
    <n v="0"/>
    <n v="0"/>
    <n v="0"/>
    <n v="0"/>
    <n v="0"/>
    <n v="0"/>
    <n v="0"/>
    <n v="0"/>
    <m/>
  </r>
  <r>
    <n v="1273"/>
    <d v="2025-01-14T15:17:04"/>
    <d v="2025-01-14T15:19:37"/>
    <s v="tnyauti@lighthouse.org.mw"/>
    <s v="Tamala nyauti"/>
    <s v="Chitedze"/>
    <s v="Prototype"/>
    <x v="1"/>
    <x v="2"/>
    <s v="COP_24"/>
    <s v="Quarter4"/>
    <x v="0"/>
    <s v="Qtr_1"/>
    <x v="11"/>
    <d v="2024-12-01T00:00:00"/>
    <d v="2024-12-31T00:00:00"/>
    <x v="5"/>
    <n v="1"/>
    <n v="0"/>
    <n v="1"/>
    <n v="0"/>
    <n v="0"/>
    <n v="0"/>
    <n v="1"/>
    <n v="0"/>
    <n v="0"/>
    <n v="0"/>
    <n v="0"/>
    <n v="0"/>
    <n v="0"/>
    <n v="0"/>
    <n v="0"/>
    <n v="0"/>
    <n v="0"/>
    <n v="0"/>
    <n v="0"/>
    <n v="0"/>
    <n v="0"/>
    <n v="0"/>
    <n v="0"/>
    <n v="0"/>
    <n v="0"/>
    <m/>
  </r>
  <r>
    <n v="1274"/>
    <d v="2025-01-14T15:19:44"/>
    <d v="2025-01-14T15:23:12"/>
    <s v="tnyauti@lighthouse.org.mw"/>
    <s v="Tamala nyauti"/>
    <s v="Chitedze"/>
    <s v="Prototype"/>
    <x v="1"/>
    <x v="2"/>
    <s v="COP_24"/>
    <s v="Quarter4"/>
    <x v="0"/>
    <s v="Qtr_1"/>
    <x v="11"/>
    <d v="2024-12-01T00:00:00"/>
    <d v="2024-12-31T00:00:00"/>
    <x v="3"/>
    <n v="0"/>
    <n v="0"/>
    <n v="0"/>
    <n v="0"/>
    <n v="0"/>
    <n v="0"/>
    <n v="0"/>
    <n v="0"/>
    <n v="0"/>
    <n v="0"/>
    <n v="0"/>
    <n v="0"/>
    <n v="0"/>
    <n v="0"/>
    <n v="0"/>
    <n v="0"/>
    <n v="0"/>
    <n v="0"/>
    <n v="0"/>
    <n v="0"/>
    <n v="0"/>
    <n v="0"/>
    <n v="0"/>
    <n v="0"/>
    <n v="0"/>
    <m/>
  </r>
  <r>
    <n v="1275"/>
    <d v="2025-01-14T15:23:31"/>
    <d v="2025-01-14T15:27:07"/>
    <s v="tnyauti@lighthouse.org.mw"/>
    <s v="Tamala nyauti"/>
    <s v="Chitedze"/>
    <s v="Prototype"/>
    <x v="1"/>
    <x v="1"/>
    <s v="COP_24"/>
    <s v="Quarter4"/>
    <x v="0"/>
    <s v="Qtr_1"/>
    <x v="11"/>
    <d v="2024-12-01T00:00:00"/>
    <d v="2024-12-31T00:00:00"/>
    <x v="4"/>
    <n v="0"/>
    <n v="0"/>
    <n v="0"/>
    <n v="0"/>
    <n v="0"/>
    <n v="0"/>
    <n v="0"/>
    <n v="0"/>
    <n v="0"/>
    <n v="0"/>
    <n v="0"/>
    <n v="0"/>
    <n v="0"/>
    <n v="0"/>
    <n v="0"/>
    <n v="0"/>
    <n v="0"/>
    <n v="0"/>
    <n v="0"/>
    <n v="0"/>
    <n v="0"/>
    <n v="0"/>
    <n v="0"/>
    <n v="0"/>
    <n v="0"/>
    <m/>
  </r>
  <r>
    <n v="1321"/>
    <d v="2025-02-25T14:03:47"/>
    <d v="2025-02-25T14:11:13"/>
    <s v="tnyauti@lighthouse.org.mw"/>
    <s v="Tamala nyauti"/>
    <s v="Chitedze"/>
    <s v="Prototype"/>
    <x v="2"/>
    <x v="0"/>
    <s v="COP_24"/>
    <s v="Quarter1"/>
    <x v="2"/>
    <s v="Qtr_2"/>
    <x v="4"/>
    <d v="2025-01-01T00:00:00"/>
    <d v="2025-01-31T00:00:00"/>
    <x v="0"/>
    <n v="29"/>
    <n v="0"/>
    <n v="28"/>
    <n v="1"/>
    <n v="0"/>
    <n v="0"/>
    <n v="27"/>
    <n v="4"/>
    <n v="0"/>
    <n v="0"/>
    <n v="1"/>
    <n v="0"/>
    <n v="5"/>
    <n v="1"/>
    <n v="0"/>
    <n v="0"/>
    <n v="0"/>
    <n v="0"/>
    <n v="0"/>
    <n v="0"/>
    <n v="1"/>
    <n v="0"/>
    <n v="0"/>
    <n v="0"/>
    <n v="0"/>
    <m/>
  </r>
  <r>
    <n v="1322"/>
    <d v="2025-02-25T14:11:19"/>
    <d v="2025-02-25T14:14:30"/>
    <s v="tnyauti@lighthouse.org.mw"/>
    <s v="Tamala nyauti"/>
    <s v="Chitedze"/>
    <s v="Prototype"/>
    <x v="2"/>
    <x v="0"/>
    <s v="COP_24"/>
    <s v="Quarter1"/>
    <x v="2"/>
    <s v="Qtr_2"/>
    <x v="4"/>
    <d v="2025-01-01T00:00:00"/>
    <d v="2025-01-31T00:00:00"/>
    <x v="1"/>
    <n v="16"/>
    <n v="0"/>
    <n v="16"/>
    <n v="0"/>
    <n v="0"/>
    <n v="0"/>
    <n v="16"/>
    <n v="2"/>
    <n v="0"/>
    <n v="0"/>
    <n v="1"/>
    <n v="0"/>
    <n v="3"/>
    <n v="0"/>
    <n v="0"/>
    <n v="0"/>
    <n v="0"/>
    <n v="0"/>
    <n v="0"/>
    <n v="0"/>
    <n v="0"/>
    <n v="0"/>
    <n v="0"/>
    <n v="0"/>
    <n v="0"/>
    <m/>
  </r>
  <r>
    <n v="1323"/>
    <d v="2025-02-25T14:14:34"/>
    <d v="2025-02-25T14:16:46"/>
    <s v="tnyauti@lighthouse.org.mw"/>
    <s v="Tamala nyauti"/>
    <s v="Chitedze"/>
    <s v="Prototype"/>
    <x v="2"/>
    <x v="0"/>
    <s v="COP_24"/>
    <s v="Quarter1"/>
    <x v="2"/>
    <s v="Qtr_2"/>
    <x v="4"/>
    <d v="2025-01-01T00:00:00"/>
    <d v="2025-01-31T00:00:00"/>
    <x v="2"/>
    <n v="13"/>
    <n v="0"/>
    <n v="12"/>
    <n v="1"/>
    <n v="0"/>
    <n v="0"/>
    <n v="11"/>
    <n v="2"/>
    <n v="0"/>
    <n v="0"/>
    <n v="0"/>
    <n v="0"/>
    <n v="2"/>
    <n v="1"/>
    <n v="0"/>
    <n v="0"/>
    <n v="0"/>
    <n v="0"/>
    <n v="0"/>
    <n v="0"/>
    <n v="1"/>
    <n v="0"/>
    <n v="0"/>
    <n v="0"/>
    <n v="0"/>
    <m/>
  </r>
  <r>
    <n v="1324"/>
    <d v="2025-02-25T14:16:49"/>
    <d v="2025-02-25T14:17:55"/>
    <s v="tnyauti@lighthouse.org.mw"/>
    <s v="Tamala nyauti"/>
    <s v="Chitedze"/>
    <s v="Prototype"/>
    <x v="2"/>
    <x v="0"/>
    <s v="COP_24"/>
    <s v="Quarter1"/>
    <x v="2"/>
    <s v="Qtr_2"/>
    <x v="4"/>
    <d v="2025-01-01T00:00:00"/>
    <d v="2025-01-31T00:00:00"/>
    <x v="4"/>
    <n v="0"/>
    <n v="0"/>
    <n v="0"/>
    <n v="0"/>
    <n v="0"/>
    <n v="0"/>
    <n v="0"/>
    <n v="0"/>
    <n v="0"/>
    <n v="0"/>
    <n v="0"/>
    <n v="0"/>
    <n v="0"/>
    <n v="0"/>
    <n v="0"/>
    <n v="0"/>
    <n v="0"/>
    <n v="0"/>
    <n v="0"/>
    <n v="0"/>
    <n v="0"/>
    <n v="0"/>
    <n v="0"/>
    <n v="0"/>
    <n v="0"/>
    <m/>
  </r>
  <r>
    <n v="1325"/>
    <d v="2025-02-25T14:17:58"/>
    <d v="2025-02-25T14:19:32"/>
    <s v="tnyauti@lighthouse.org.mw"/>
    <s v="Tamala nyauti"/>
    <s v="Chitedze"/>
    <s v="Prototype"/>
    <x v="2"/>
    <x v="0"/>
    <s v="COP_24"/>
    <s v="Quarter1"/>
    <x v="2"/>
    <s v="Qtr_2"/>
    <x v="4"/>
    <d v="2025-01-01T00:00:00"/>
    <d v="2025-01-31T00:00:00"/>
    <x v="3"/>
    <n v="0"/>
    <n v="0"/>
    <n v="0"/>
    <n v="0"/>
    <n v="0"/>
    <n v="0"/>
    <n v="0"/>
    <n v="0"/>
    <n v="0"/>
    <n v="0"/>
    <n v="0"/>
    <n v="0"/>
    <n v="0"/>
    <n v="0"/>
    <n v="0"/>
    <n v="0"/>
    <n v="0"/>
    <n v="0"/>
    <n v="0"/>
    <n v="0"/>
    <n v="0"/>
    <n v="0"/>
    <n v="0"/>
    <n v="0"/>
    <n v="0"/>
    <m/>
  </r>
  <r>
    <n v="1326"/>
    <d v="2025-02-25T14:19:39"/>
    <d v="2025-02-25T14:21:10"/>
    <s v="tnyauti@lighthouse.org.mw"/>
    <s v="Tamala nyauti"/>
    <s v="Chitedze"/>
    <s v="Prototype"/>
    <x v="2"/>
    <x v="0"/>
    <s v="COP_24"/>
    <s v="Quarter1"/>
    <x v="2"/>
    <s v="Qtr_2"/>
    <x v="4"/>
    <d v="2025-01-01T00:00:00"/>
    <d v="2025-01-31T00:00:00"/>
    <x v="5"/>
    <n v="0"/>
    <n v="0"/>
    <n v="0"/>
    <n v="0"/>
    <n v="0"/>
    <n v="0"/>
    <n v="0"/>
    <n v="0"/>
    <n v="0"/>
    <n v="0"/>
    <n v="0"/>
    <n v="0"/>
    <n v="0"/>
    <n v="0"/>
    <n v="0"/>
    <n v="0"/>
    <n v="0"/>
    <n v="0"/>
    <n v="0"/>
    <n v="0"/>
    <n v="0"/>
    <n v="0"/>
    <n v="0"/>
    <n v="0"/>
    <n v="0"/>
    <m/>
  </r>
  <r>
    <n v="1406"/>
    <d v="2025-03-11T13:00:57"/>
    <d v="2025-03-11T13:03:53"/>
    <s v="tnyauti@lighthouse.org.mw"/>
    <s v="Tamala nyauti"/>
    <s v="Chitedze"/>
    <s v="Prototype"/>
    <x v="2"/>
    <x v="0"/>
    <s v="COP_24"/>
    <s v="Quarter1"/>
    <x v="2"/>
    <s v="Qtr_2"/>
    <x v="5"/>
    <d v="2025-02-01T00:00:00"/>
    <d v="2025-02-28T00:00:00"/>
    <x v="0"/>
    <n v="12"/>
    <n v="0"/>
    <n v="12"/>
    <n v="0"/>
    <n v="0"/>
    <n v="0"/>
    <n v="12"/>
    <n v="0"/>
    <n v="0"/>
    <n v="0"/>
    <n v="0"/>
    <n v="0"/>
    <n v="0"/>
    <n v="0"/>
    <n v="0"/>
    <n v="0"/>
    <n v="0"/>
    <n v="0"/>
    <n v="0"/>
    <n v="0"/>
    <n v="0"/>
    <n v="0"/>
    <n v="0"/>
    <n v="0"/>
    <n v="0"/>
    <m/>
  </r>
  <r>
    <n v="1407"/>
    <d v="2025-03-11T13:04:12"/>
    <d v="2025-03-11T13:06:32"/>
    <s v="tnyauti@lighthouse.org.mw"/>
    <s v="Tamala nyauti"/>
    <s v="Chitedze"/>
    <s v="Prototype"/>
    <x v="2"/>
    <x v="0"/>
    <s v="COP_24"/>
    <s v="Quarter1"/>
    <x v="2"/>
    <s v="Qtr_2"/>
    <x v="5"/>
    <d v="2025-02-01T00:00:00"/>
    <d v="2025-02-28T00:00:00"/>
    <x v="2"/>
    <n v="2"/>
    <n v="0"/>
    <n v="2"/>
    <n v="0"/>
    <n v="0"/>
    <n v="0"/>
    <n v="2"/>
    <n v="0"/>
    <n v="0"/>
    <n v="0"/>
    <n v="0"/>
    <n v="0"/>
    <n v="0"/>
    <n v="0"/>
    <n v="0"/>
    <n v="0"/>
    <n v="0"/>
    <n v="0"/>
    <n v="0"/>
    <n v="0"/>
    <n v="0"/>
    <n v="0"/>
    <n v="0"/>
    <n v="0"/>
    <n v="0"/>
    <m/>
  </r>
  <r>
    <n v="1408"/>
    <d v="2025-03-11T13:06:36"/>
    <d v="2025-03-11T13:08:16"/>
    <s v="tnyauti@lighthouse.org.mw"/>
    <s v="Tamala nyauti"/>
    <s v="Chitedze"/>
    <s v="Prototype"/>
    <x v="2"/>
    <x v="0"/>
    <s v="COP_24"/>
    <s v="Quarter1"/>
    <x v="2"/>
    <s v="Qtr_2"/>
    <x v="5"/>
    <d v="2025-02-01T00:00:00"/>
    <d v="2025-02-28T00:00:00"/>
    <x v="1"/>
    <n v="10"/>
    <n v="0"/>
    <n v="10"/>
    <n v="0"/>
    <n v="0"/>
    <n v="0"/>
    <n v="10"/>
    <n v="0"/>
    <n v="0"/>
    <n v="0"/>
    <n v="0"/>
    <n v="0"/>
    <n v="0"/>
    <n v="0"/>
    <n v="0"/>
    <n v="0"/>
    <n v="0"/>
    <n v="0"/>
    <n v="0"/>
    <n v="0"/>
    <n v="0"/>
    <n v="0"/>
    <n v="0"/>
    <n v="0"/>
    <n v="0"/>
    <m/>
  </r>
  <r>
    <n v="1409"/>
    <d v="2025-03-11T13:08:18"/>
    <d v="2025-03-11T13:09:46"/>
    <s v="tnyauti@lighthouse.org.mw"/>
    <s v="Tamala nyauti"/>
    <s v="Chitedze"/>
    <s v="Prototype"/>
    <x v="2"/>
    <x v="0"/>
    <s v="COP_24"/>
    <s v="Quarter1"/>
    <x v="2"/>
    <s v="Qtr_2"/>
    <x v="5"/>
    <d v="2025-02-01T00:00:00"/>
    <d v="2025-02-28T00:00:00"/>
    <x v="4"/>
    <n v="0"/>
    <n v="0"/>
    <n v="0"/>
    <n v="0"/>
    <n v="0"/>
    <n v="0"/>
    <n v="0"/>
    <n v="0"/>
    <n v="0"/>
    <n v="0"/>
    <n v="0"/>
    <n v="0"/>
    <n v="0"/>
    <n v="0"/>
    <n v="0"/>
    <n v="0"/>
    <n v="0"/>
    <n v="0"/>
    <n v="0"/>
    <n v="0"/>
    <n v="0"/>
    <n v="0"/>
    <n v="0"/>
    <n v="0"/>
    <n v="0"/>
    <m/>
  </r>
  <r>
    <n v="1410"/>
    <d v="2025-03-11T13:09:49"/>
    <d v="2025-03-11T13:11:22"/>
    <s v="tnyauti@lighthouse.org.mw"/>
    <s v="Tamala nyauti"/>
    <s v="Chitedze"/>
    <s v="Prototype"/>
    <x v="2"/>
    <x v="0"/>
    <s v="COP_24"/>
    <s v="Quarter1"/>
    <x v="2"/>
    <s v="Qtr_2"/>
    <x v="5"/>
    <d v="2025-02-01T00:00:00"/>
    <d v="2025-02-28T00:00:00"/>
    <x v="3"/>
    <n v="0"/>
    <n v="0"/>
    <n v="0"/>
    <n v="0"/>
    <n v="0"/>
    <n v="0"/>
    <n v="0"/>
    <n v="0"/>
    <n v="0"/>
    <n v="0"/>
    <n v="0"/>
    <n v="0"/>
    <n v="0"/>
    <n v="0"/>
    <n v="0"/>
    <n v="0"/>
    <n v="0"/>
    <n v="0"/>
    <n v="0"/>
    <n v="0"/>
    <n v="0"/>
    <n v="0"/>
    <n v="0"/>
    <n v="0"/>
    <n v="0"/>
    <m/>
  </r>
  <r>
    <n v="1411"/>
    <d v="2025-03-11T13:11:25"/>
    <d v="2025-03-11T13:12:54"/>
    <s v="tnyauti@lighthouse.org.mw"/>
    <s v="Tamala nyauti"/>
    <s v="Chitedze"/>
    <s v="Prototype"/>
    <x v="2"/>
    <x v="0"/>
    <s v="COP_24"/>
    <s v="Quarter1"/>
    <x v="2"/>
    <s v="Qtr_2"/>
    <x v="5"/>
    <d v="2025-02-01T00:00:00"/>
    <d v="2025-02-28T00:00:00"/>
    <x v="5"/>
    <n v="0"/>
    <n v="0"/>
    <n v="0"/>
    <n v="0"/>
    <n v="0"/>
    <n v="0"/>
    <n v="0"/>
    <n v="0"/>
    <n v="0"/>
    <n v="0"/>
    <n v="0"/>
    <n v="0"/>
    <n v="0"/>
    <n v="0"/>
    <n v="0"/>
    <n v="0"/>
    <n v="0"/>
    <n v="0"/>
    <n v="0"/>
    <n v="0"/>
    <n v="0"/>
    <n v="0"/>
    <n v="0"/>
    <n v="0"/>
    <n v="0"/>
    <m/>
  </r>
  <r>
    <n v="1497"/>
    <d v="2025-04-03T14:01:03"/>
    <d v="2025-04-03T14:15:55"/>
    <s v="tnyauti@lighthouse.org.mw"/>
    <s v="Tamala nyauti"/>
    <s v="Chitedze"/>
    <s v="Prototype"/>
    <x v="2"/>
    <x v="0"/>
    <s v="COP_24"/>
    <s v="Quarter1"/>
    <x v="2"/>
    <s v="Qtr_2"/>
    <x v="3"/>
    <d v="2025-03-01T00:00:00"/>
    <d v="2025-03-31T00:00:00"/>
    <x v="0"/>
    <n v="30"/>
    <n v="4"/>
    <n v="24"/>
    <n v="2"/>
    <n v="3"/>
    <n v="1"/>
    <n v="30"/>
    <n v="10"/>
    <n v="10"/>
    <n v="0"/>
    <n v="0"/>
    <n v="0"/>
    <n v="10"/>
    <n v="5"/>
    <n v="0"/>
    <n v="0"/>
    <n v="0"/>
    <n v="0"/>
    <n v="0"/>
    <n v="0"/>
    <n v="5"/>
    <n v="0"/>
    <n v="0"/>
    <n v="0"/>
    <n v="1"/>
    <m/>
  </r>
  <r>
    <n v="1498"/>
    <d v="2025-04-03T14:16:02"/>
    <d v="2025-04-03T14:19:00"/>
    <s v="tnyauti@lighthouse.org.mw"/>
    <s v="Tamala nyauti"/>
    <s v="Chitedze"/>
    <s v="Prototype"/>
    <x v="2"/>
    <x v="0"/>
    <s v="COP_24"/>
    <s v="Quarter1"/>
    <x v="2"/>
    <s v="Qtr_2"/>
    <x v="3"/>
    <d v="2025-03-01T00:00:00"/>
    <d v="2025-03-31T00:00:00"/>
    <x v="1"/>
    <n v="12"/>
    <n v="1"/>
    <n v="10"/>
    <n v="0"/>
    <n v="2"/>
    <n v="0"/>
    <n v="12"/>
    <n v="3"/>
    <n v="3"/>
    <n v="0"/>
    <n v="0"/>
    <n v="0"/>
    <n v="3"/>
    <n v="2"/>
    <n v="0"/>
    <n v="0"/>
    <n v="0"/>
    <n v="0"/>
    <n v="0"/>
    <n v="0"/>
    <n v="2"/>
    <n v="0"/>
    <n v="0"/>
    <n v="0"/>
    <n v="1"/>
    <m/>
  </r>
  <r>
    <n v="1499"/>
    <d v="2025-04-03T14:19:04"/>
    <d v="2025-04-03T14:24:08"/>
    <s v="tnyauti@lighthouse.org.mw"/>
    <s v="Tamala nyauti"/>
    <s v="Chitedze"/>
    <s v="Prototype"/>
    <x v="2"/>
    <x v="0"/>
    <s v="COP_24"/>
    <s v="Quarter1"/>
    <x v="2"/>
    <s v="Qtr_2"/>
    <x v="3"/>
    <d v="2025-03-01T00:00:00"/>
    <d v="2025-03-31T00:00:00"/>
    <x v="2"/>
    <n v="18"/>
    <n v="3"/>
    <n v="14"/>
    <n v="2"/>
    <n v="1"/>
    <n v="1"/>
    <n v="18"/>
    <n v="7"/>
    <n v="7"/>
    <n v="0"/>
    <n v="0"/>
    <n v="0"/>
    <n v="7"/>
    <n v="4"/>
    <n v="0"/>
    <n v="0"/>
    <n v="0"/>
    <n v="0"/>
    <n v="0"/>
    <n v="0"/>
    <n v="3"/>
    <n v="0"/>
    <n v="0"/>
    <n v="0"/>
    <n v="0"/>
    <m/>
  </r>
  <r>
    <n v="1500"/>
    <d v="2025-04-03T14:24:12"/>
    <d v="2025-04-03T14:26:47"/>
    <s v="tnyauti@lighthouse.org.mw"/>
    <s v="Tamala nyauti"/>
    <s v="Chitedze"/>
    <s v="Prototype"/>
    <x v="2"/>
    <x v="0"/>
    <s v="COP_24"/>
    <s v="Quarter1"/>
    <x v="2"/>
    <s v="Qtr_2"/>
    <x v="3"/>
    <d v="2025-03-01T00:00:00"/>
    <d v="2025-03-31T00:00:00"/>
    <x v="4"/>
    <n v="0"/>
    <n v="0"/>
    <n v="0"/>
    <n v="0"/>
    <n v="0"/>
    <n v="0"/>
    <n v="0"/>
    <n v="0"/>
    <n v="0"/>
    <n v="0"/>
    <n v="0"/>
    <n v="0"/>
    <n v="0"/>
    <n v="0"/>
    <n v="0"/>
    <n v="0"/>
    <n v="0"/>
    <n v="0"/>
    <n v="0"/>
    <n v="0"/>
    <n v="0"/>
    <n v="0"/>
    <n v="0"/>
    <n v="0"/>
    <n v="0"/>
    <m/>
  </r>
  <r>
    <n v="1501"/>
    <d v="2025-04-03T14:27:18"/>
    <d v="2025-04-03T14:28:45"/>
    <s v="tnyauti@lighthouse.org.mw"/>
    <s v="Tamala nyauti"/>
    <s v="Chitedze"/>
    <s v="Prototype"/>
    <x v="2"/>
    <x v="0"/>
    <s v="COP_24"/>
    <s v="Quarter1"/>
    <x v="2"/>
    <s v="Qtr_2"/>
    <x v="3"/>
    <d v="2025-03-01T00:00:00"/>
    <d v="2025-03-31T00:00:00"/>
    <x v="5"/>
    <n v="0"/>
    <n v="0"/>
    <n v="0"/>
    <n v="0"/>
    <n v="0"/>
    <n v="0"/>
    <n v="0"/>
    <n v="0"/>
    <n v="0"/>
    <n v="0"/>
    <n v="0"/>
    <n v="0"/>
    <n v="0"/>
    <n v="0"/>
    <n v="0"/>
    <n v="0"/>
    <n v="0"/>
    <n v="0"/>
    <n v="0"/>
    <n v="0"/>
    <n v="0"/>
    <n v="0"/>
    <n v="0"/>
    <n v="0"/>
    <n v="0"/>
    <m/>
  </r>
  <r>
    <n v="1502"/>
    <d v="2025-04-03T14:28:49"/>
    <d v="2025-04-03T14:32:10"/>
    <s v="tnyauti@lighthouse.org.mw"/>
    <s v="Tamala nyauti"/>
    <s v="Chitedze"/>
    <s v="Prototype"/>
    <x v="2"/>
    <x v="2"/>
    <s v="COP_24"/>
    <s v="Quarter1"/>
    <x v="2"/>
    <s v="Qtr_2"/>
    <x v="3"/>
    <d v="2025-03-01T00:00:00"/>
    <d v="2025-03-31T00:00:00"/>
    <x v="3"/>
    <n v="0"/>
    <n v="0"/>
    <n v="0"/>
    <n v="0"/>
    <n v="0"/>
    <n v="0"/>
    <n v="0"/>
    <n v="0"/>
    <n v="0"/>
    <n v="0"/>
    <n v="0"/>
    <n v="0"/>
    <n v="0"/>
    <n v="0"/>
    <n v="0"/>
    <n v="0"/>
    <n v="0"/>
    <n v="0"/>
    <n v="0"/>
    <n v="0"/>
    <n v="0"/>
    <n v="0"/>
    <n v="0"/>
    <n v="0"/>
    <n v="0"/>
    <m/>
  </r>
  <r>
    <n v="1705"/>
    <d v="2025-07-01T08:45:34"/>
    <d v="2025-07-01T09:05:12"/>
    <s v="tnyauti@lighthouse.org.mw"/>
    <s v="Tamala nyauti"/>
    <s v="Chitedze"/>
    <s v="Prototype"/>
    <x v="2"/>
    <x v="0"/>
    <m/>
    <s v="Quarter2"/>
    <x v="3"/>
    <m/>
    <x v="7"/>
    <d v="2025-04-01T00:00:00"/>
    <d v="2025-04-30T00:00:00"/>
    <x v="0"/>
    <n v="37"/>
    <n v="3"/>
    <n v="34"/>
    <n v="0"/>
    <n v="1"/>
    <n v="2"/>
    <n v="34"/>
    <n v="11"/>
    <n v="11"/>
    <n v="0"/>
    <n v="0"/>
    <n v="0"/>
    <n v="11"/>
    <n v="5"/>
    <n v="0"/>
    <n v="0"/>
    <n v="0"/>
    <n v="0"/>
    <n v="0"/>
    <n v="0"/>
    <n v="5"/>
    <n v="0"/>
    <n v="0"/>
    <n v="1"/>
    <n v="0"/>
    <m/>
  </r>
  <r>
    <n v="1708"/>
    <d v="2025-07-01T10:32:56"/>
    <d v="2025-07-01T10:33:35"/>
    <s v="tnyauti@lighthouse.org.mw"/>
    <s v="Tamala nyauti"/>
    <s v="Chitedze"/>
    <s v="Prototype"/>
    <x v="2"/>
    <x v="0"/>
    <m/>
    <s v="Quarter2"/>
    <x v="3"/>
    <m/>
    <x v="7"/>
    <d v="2025-04-01T00:00:00"/>
    <d v="2025-04-30T00:00:00"/>
    <x v="1"/>
    <n v="14"/>
    <n v="1"/>
    <n v="13"/>
    <n v="0"/>
    <n v="0"/>
    <n v="1"/>
    <n v="14"/>
    <n v="5"/>
    <n v="5"/>
    <n v="0"/>
    <n v="0"/>
    <n v="0"/>
    <n v="5"/>
    <n v="1"/>
    <n v="0"/>
    <n v="0"/>
    <n v="0"/>
    <n v="0"/>
    <n v="0"/>
    <n v="0"/>
    <n v="1"/>
    <n v="0"/>
    <n v="0"/>
    <n v="1"/>
    <n v="0"/>
    <m/>
  </r>
  <r>
    <n v="1709"/>
    <d v="2025-07-01T10:33:40"/>
    <d v="2025-07-01T10:37:00"/>
    <s v="tnyauti@lighthouse.org.mw"/>
    <s v="Tamala nyauti"/>
    <s v="Chitedze"/>
    <s v="Prototype"/>
    <x v="2"/>
    <x v="0"/>
    <m/>
    <s v="Quarter2"/>
    <x v="3"/>
    <m/>
    <x v="7"/>
    <d v="2025-04-01T00:00:00"/>
    <d v="2025-04-30T00:00:00"/>
    <x v="3"/>
    <n v="1"/>
    <n v="0"/>
    <n v="0"/>
    <n v="0"/>
    <n v="0"/>
    <n v="1"/>
    <n v="1"/>
    <n v="1"/>
    <n v="1"/>
    <n v="0"/>
    <n v="0"/>
    <n v="0"/>
    <n v="1"/>
    <n v="1"/>
    <n v="0"/>
    <n v="0"/>
    <n v="0"/>
    <n v="0"/>
    <n v="0"/>
    <n v="0"/>
    <n v="1"/>
    <n v="0"/>
    <n v="0"/>
    <n v="0"/>
    <n v="0"/>
    <m/>
  </r>
  <r>
    <n v="1710"/>
    <d v="2025-07-01T10:37:03"/>
    <d v="2025-07-01T10:39:03"/>
    <s v="tnyauti@lighthouse.org.mw"/>
    <s v="Tamala nyauti"/>
    <s v="Chitedze"/>
    <s v="Prototype"/>
    <x v="2"/>
    <x v="0"/>
    <m/>
    <s v="Quarter2"/>
    <x v="3"/>
    <m/>
    <x v="7"/>
    <d v="2025-04-01T00:00:00"/>
    <d v="2025-04-30T00:00:00"/>
    <x v="4"/>
    <n v="0"/>
    <n v="0"/>
    <n v="0"/>
    <n v="0"/>
    <n v="0"/>
    <n v="0"/>
    <n v="0"/>
    <n v="0"/>
    <n v="0"/>
    <n v="0"/>
    <n v="0"/>
    <n v="0"/>
    <n v="0"/>
    <n v="0"/>
    <n v="0"/>
    <n v="0"/>
    <n v="0"/>
    <n v="0"/>
    <n v="0"/>
    <n v="0"/>
    <n v="0"/>
    <n v="0"/>
    <n v="0"/>
    <n v="0"/>
    <n v="0"/>
    <m/>
  </r>
  <r>
    <n v="1711"/>
    <d v="2025-07-01T10:39:13"/>
    <d v="2025-07-01T10:42:18"/>
    <s v="tnyauti@lighthouse.org.mw"/>
    <s v="Tamala nyauti"/>
    <s v="Chitedze"/>
    <s v="Prototype"/>
    <x v="2"/>
    <x v="0"/>
    <m/>
    <s v="Quarter2"/>
    <x v="3"/>
    <m/>
    <x v="7"/>
    <d v="2025-04-01T00:00:00"/>
    <d v="2025-04-30T00:00:00"/>
    <x v="5"/>
    <n v="2"/>
    <n v="1"/>
    <n v="2"/>
    <n v="0"/>
    <n v="0"/>
    <n v="0"/>
    <n v="2"/>
    <n v="2"/>
    <n v="2"/>
    <n v="0"/>
    <n v="0"/>
    <n v="0"/>
    <n v="2"/>
    <n v="2"/>
    <n v="0"/>
    <n v="0"/>
    <n v="0"/>
    <n v="0"/>
    <n v="0"/>
    <n v="0"/>
    <n v="2"/>
    <n v="0"/>
    <n v="0"/>
    <n v="0"/>
    <n v="0"/>
    <m/>
  </r>
  <r>
    <n v="1712"/>
    <d v="2025-07-01T10:42:24"/>
    <d v="2025-07-01T10:52:27"/>
    <s v="tnyauti@lighthouse.org.mw"/>
    <s v="Tamala nyauti"/>
    <s v="Chitedze"/>
    <s v="Prototype"/>
    <x v="2"/>
    <x v="0"/>
    <m/>
    <s v="Quarter2"/>
    <x v="3"/>
    <m/>
    <x v="7"/>
    <d v="2025-04-01T00:00:00"/>
    <d v="2025-04-30T00:00:00"/>
    <x v="2"/>
    <n v="23"/>
    <n v="2"/>
    <n v="22"/>
    <n v="0"/>
    <n v="0"/>
    <n v="1"/>
    <n v="23"/>
    <n v="6"/>
    <n v="6"/>
    <n v="0"/>
    <n v="0"/>
    <n v="0"/>
    <n v="6"/>
    <n v="4"/>
    <n v="0"/>
    <n v="0"/>
    <n v="0"/>
    <n v="0"/>
    <n v="0"/>
    <n v="0"/>
    <n v="4"/>
    <n v="0"/>
    <n v="0"/>
    <n v="0"/>
    <n v="0"/>
    <m/>
  </r>
  <r>
    <n v="1713"/>
    <d v="2025-07-01T15:53:51"/>
    <d v="2025-07-01T15:54:42"/>
    <s v="tnyauti@lighthouse.org.mw"/>
    <s v="Tamala nyauti"/>
    <s v="Chitedze"/>
    <s v="Prototype"/>
    <x v="2"/>
    <x v="0"/>
    <m/>
    <s v="Quarter2"/>
    <x v="3"/>
    <m/>
    <x v="7"/>
    <d v="2025-04-01T00:00:00"/>
    <d v="2025-04-30T00:00:00"/>
    <x v="2"/>
    <n v="17"/>
    <n v="2"/>
    <n v="14"/>
    <n v="1"/>
    <n v="2"/>
    <n v="0"/>
    <n v="17"/>
    <n v="4"/>
    <n v="4"/>
    <n v="0"/>
    <n v="0"/>
    <n v="0"/>
    <n v="4"/>
    <n v="3"/>
    <n v="0"/>
    <n v="0"/>
    <n v="0"/>
    <n v="0"/>
    <n v="0"/>
    <n v="0"/>
    <n v="3"/>
    <n v="0"/>
    <n v="0"/>
    <n v="0"/>
    <n v="0"/>
    <m/>
  </r>
  <r>
    <n v="1714"/>
    <d v="2025-07-01T15:54:49"/>
    <d v="2025-07-01T16:05:15"/>
    <s v="tnyauti@lighthouse.org.mw"/>
    <s v="Tamala nyauti"/>
    <s v="Chitedze"/>
    <s v="Prototype"/>
    <x v="2"/>
    <x v="0"/>
    <m/>
    <s v="Quarter2"/>
    <x v="3"/>
    <m/>
    <x v="7"/>
    <d v="2025-04-01T00:00:00"/>
    <d v="2025-04-30T00:00:00"/>
    <x v="4"/>
    <n v="2"/>
    <n v="0"/>
    <n v="1"/>
    <n v="0"/>
    <n v="1"/>
    <n v="0"/>
    <n v="2"/>
    <n v="1"/>
    <n v="1"/>
    <n v="0"/>
    <n v="0"/>
    <n v="0"/>
    <n v="1"/>
    <n v="1"/>
    <n v="0"/>
    <n v="0"/>
    <n v="0"/>
    <n v="0"/>
    <n v="0"/>
    <n v="0"/>
    <n v="1"/>
    <n v="0"/>
    <n v="0"/>
    <n v="0"/>
    <n v="0"/>
    <m/>
  </r>
  <r>
    <n v="1715"/>
    <d v="2025-07-01T16:05:36"/>
    <d v="2025-07-01T16:08:56"/>
    <s v="tnyauti@lighthouse.org.mw"/>
    <s v="Tamala nyauti"/>
    <s v="Chitedze"/>
    <s v="Prototype"/>
    <x v="2"/>
    <x v="0"/>
    <m/>
    <s v="Quarter2"/>
    <x v="3"/>
    <m/>
    <x v="7"/>
    <d v="2025-04-01T00:00:00"/>
    <d v="2025-04-30T00:00:00"/>
    <x v="3"/>
    <n v="2"/>
    <n v="0"/>
    <n v="2"/>
    <n v="0"/>
    <n v="0"/>
    <n v="0"/>
    <n v="2"/>
    <n v="1"/>
    <n v="1"/>
    <n v="0"/>
    <n v="0"/>
    <n v="0"/>
    <n v="1"/>
    <n v="1"/>
    <n v="0"/>
    <n v="0"/>
    <n v="0"/>
    <n v="0"/>
    <n v="0"/>
    <n v="0"/>
    <n v="1"/>
    <n v="0"/>
    <n v="0"/>
    <n v="0"/>
    <n v="0"/>
    <m/>
  </r>
  <r>
    <n v="1716"/>
    <d v="2025-07-01T16:09:08"/>
    <d v="2025-07-01T16:16:39"/>
    <s v="tnyauti@lighthouse.org.mw"/>
    <s v="Tamala nyauti"/>
    <s v="Chitedze"/>
    <s v="Prototype"/>
    <x v="2"/>
    <x v="0"/>
    <m/>
    <s v="Quarter2"/>
    <x v="3"/>
    <m/>
    <x v="7"/>
    <d v="2025-04-01T00:00:00"/>
    <d v="2025-04-30T00:00:00"/>
    <x v="0"/>
    <n v="34"/>
    <n v="2"/>
    <n v="31"/>
    <n v="1"/>
    <n v="2"/>
    <n v="0"/>
    <n v="34"/>
    <n v="6"/>
    <n v="6"/>
    <n v="0"/>
    <n v="0"/>
    <n v="0"/>
    <n v="5"/>
    <n v="5"/>
    <n v="0"/>
    <n v="0"/>
    <n v="0"/>
    <n v="0"/>
    <n v="0"/>
    <n v="0"/>
    <n v="5"/>
    <n v="0"/>
    <n v="0"/>
    <n v="0"/>
    <n v="0"/>
    <m/>
  </r>
  <r>
    <n v="1717"/>
    <d v="2025-07-01T16:16:45"/>
    <d v="2025-07-01T16:21:58"/>
    <s v="tnyauti@lighthouse.org.mw"/>
    <s v="Tamala nyauti"/>
    <s v="Chitedze"/>
    <s v="Prototype"/>
    <x v="2"/>
    <x v="0"/>
    <m/>
    <s v="Quarter2"/>
    <x v="3"/>
    <m/>
    <x v="7"/>
    <d v="2025-04-01T00:00:00"/>
    <d v="2025-04-30T00:00:00"/>
    <x v="1"/>
    <n v="17"/>
    <n v="0"/>
    <n v="17"/>
    <n v="0"/>
    <n v="0"/>
    <n v="0"/>
    <n v="17"/>
    <n v="2"/>
    <n v="2"/>
    <n v="0"/>
    <n v="0"/>
    <n v="0"/>
    <n v="2"/>
    <n v="2"/>
    <n v="0"/>
    <n v="0"/>
    <n v="0"/>
    <n v="0"/>
    <n v="0"/>
    <n v="0"/>
    <n v="2"/>
    <n v="0"/>
    <n v="0"/>
    <n v="0"/>
    <n v="0"/>
    <m/>
  </r>
  <r>
    <n v="1718"/>
    <d v="2025-07-01T16:22:07"/>
    <d v="2025-07-01T16:24:55"/>
    <s v="tnyauti@lighthouse.org.mw"/>
    <s v="Tamala nyauti"/>
    <s v="Chitedze"/>
    <s v="Prototype"/>
    <x v="2"/>
    <x v="0"/>
    <m/>
    <s v="Quarter2"/>
    <x v="3"/>
    <m/>
    <x v="7"/>
    <d v="2025-04-01T00:00:00"/>
    <d v="2025-04-30T00:00:00"/>
    <x v="5"/>
    <n v="0"/>
    <n v="0"/>
    <n v="0"/>
    <n v="0"/>
    <n v="0"/>
    <n v="0"/>
    <n v="0"/>
    <n v="0"/>
    <n v="0"/>
    <n v="0"/>
    <n v="0"/>
    <n v="0"/>
    <n v="0"/>
    <n v="0"/>
    <n v="0"/>
    <n v="0"/>
    <n v="0"/>
    <n v="0"/>
    <n v="0"/>
    <n v="0"/>
    <n v="0"/>
    <n v="0"/>
    <n v="0"/>
    <n v="0"/>
    <n v="0"/>
    <m/>
  </r>
  <r>
    <n v="1778"/>
    <d v="2025-07-09T16:33:01"/>
    <d v="2025-07-09T16:37:31"/>
    <s v="tnyauti@lighthouse.org.mw"/>
    <s v="Tamala nyauti"/>
    <s v="Chitedze"/>
    <s v="Prototype"/>
    <x v="2"/>
    <x v="0"/>
    <m/>
    <s v="Quarter2"/>
    <x v="3"/>
    <m/>
    <x v="8"/>
    <d v="2025-06-01T00:00:00"/>
    <d v="2025-06-30T00:00:00"/>
    <x v="2"/>
    <n v="13"/>
    <n v="0"/>
    <n v="11"/>
    <n v="1"/>
    <n v="1"/>
    <n v="0"/>
    <n v="13"/>
    <n v="3"/>
    <n v="3"/>
    <n v="0"/>
    <n v="0"/>
    <n v="0"/>
    <n v="3"/>
    <n v="1"/>
    <n v="0"/>
    <n v="0"/>
    <n v="0"/>
    <n v="0"/>
    <n v="0"/>
    <n v="0"/>
    <n v="1"/>
    <n v="0"/>
    <n v="0"/>
    <n v="0"/>
    <n v="0"/>
    <m/>
  </r>
  <r>
    <n v="1779"/>
    <d v="2025-07-09T16:37:36"/>
    <d v="2025-07-09T16:40:25"/>
    <s v="tnyauti@lighthouse.org.mw"/>
    <s v="Tamala nyauti"/>
    <s v="Chitedze"/>
    <s v="Prototype"/>
    <x v="2"/>
    <x v="0"/>
    <m/>
    <s v="Quarter2"/>
    <x v="3"/>
    <m/>
    <x v="8"/>
    <d v="2025-06-01T00:00:00"/>
    <d v="2025-06-30T00:00:00"/>
    <x v="5"/>
    <n v="1"/>
    <n v="0"/>
    <n v="1"/>
    <n v="0"/>
    <n v="0"/>
    <n v="0"/>
    <n v="1"/>
    <n v="0"/>
    <n v="0"/>
    <n v="0"/>
    <n v="0"/>
    <n v="0"/>
    <n v="0"/>
    <n v="0"/>
    <n v="0"/>
    <n v="0"/>
    <n v="0"/>
    <n v="0"/>
    <n v="0"/>
    <n v="0"/>
    <n v="0"/>
    <n v="0"/>
    <n v="0"/>
    <n v="0"/>
    <n v="0"/>
    <m/>
  </r>
  <r>
    <n v="1780"/>
    <d v="2025-07-09T16:40:31"/>
    <d v="2025-07-09T16:48:07"/>
    <s v="tnyauti@lighthouse.org.mw"/>
    <s v="Tamala nyauti"/>
    <s v="Chitedze"/>
    <s v="Prototype"/>
    <x v="2"/>
    <x v="0"/>
    <m/>
    <s v="Quarter2"/>
    <x v="3"/>
    <m/>
    <x v="8"/>
    <d v="2025-06-01T00:00:00"/>
    <d v="2025-06-30T00:00:00"/>
    <x v="3"/>
    <n v="0"/>
    <n v="0"/>
    <n v="0"/>
    <n v="0"/>
    <n v="0"/>
    <n v="0"/>
    <n v="0"/>
    <n v="0"/>
    <n v="0"/>
    <n v="0"/>
    <n v="0"/>
    <n v="0"/>
    <n v="0"/>
    <n v="0"/>
    <n v="0"/>
    <n v="0"/>
    <n v="0"/>
    <n v="0"/>
    <n v="0"/>
    <n v="0"/>
    <n v="0"/>
    <n v="0"/>
    <n v="0"/>
    <n v="0"/>
    <n v="0"/>
    <m/>
  </r>
  <r>
    <n v="1781"/>
    <d v="2025-07-09T16:48:17"/>
    <d v="2025-07-09T16:50:49"/>
    <s v="tnyauti@lighthouse.org.mw"/>
    <s v="Tamala nyauti"/>
    <s v="Chitedze"/>
    <s v="Prototype"/>
    <x v="2"/>
    <x v="0"/>
    <m/>
    <s v="Quarter2"/>
    <x v="3"/>
    <m/>
    <x v="8"/>
    <d v="2025-06-01T00:00:00"/>
    <d v="2025-06-30T00:00:00"/>
    <x v="4"/>
    <n v="2"/>
    <n v="0"/>
    <n v="2"/>
    <n v="0"/>
    <n v="0"/>
    <n v="0"/>
    <n v="0"/>
    <n v="2"/>
    <n v="1"/>
    <n v="1"/>
    <n v="0"/>
    <n v="0"/>
    <n v="1"/>
    <n v="1"/>
    <n v="0"/>
    <n v="0"/>
    <n v="0"/>
    <n v="0"/>
    <n v="0"/>
    <n v="0"/>
    <n v="1"/>
    <n v="0"/>
    <n v="0"/>
    <n v="0"/>
    <n v="0"/>
    <m/>
  </r>
  <r>
    <n v="1797"/>
    <d v="2025-07-10T15:41:18"/>
    <d v="2025-07-10T15:47:10"/>
    <s v="tnyauti@lighthouse.org.mw"/>
    <s v="Tamala nyauti"/>
    <s v="Chitedze"/>
    <s v="Prototype"/>
    <x v="2"/>
    <x v="0"/>
    <m/>
    <s v="Quarter2"/>
    <x v="3"/>
    <m/>
    <x v="8"/>
    <d v="2025-06-01T00:00:00"/>
    <d v="2025-07-31T00:00:00"/>
    <x v="0"/>
    <n v="27"/>
    <n v="0"/>
    <n v="22"/>
    <n v="1"/>
    <n v="4"/>
    <n v="0"/>
    <n v="27"/>
    <n v="9"/>
    <n v="7"/>
    <n v="0"/>
    <n v="0"/>
    <n v="0"/>
    <n v="9"/>
    <n v="5"/>
    <n v="0"/>
    <n v="0"/>
    <n v="0"/>
    <n v="0"/>
    <n v="0"/>
    <n v="0"/>
    <n v="5"/>
    <n v="0"/>
    <n v="0"/>
    <n v="0"/>
    <n v="0"/>
    <m/>
  </r>
  <r>
    <n v="1798"/>
    <d v="2025-07-10T15:47:15"/>
    <d v="2025-07-10T15:49:41"/>
    <s v="tnyauti@lighthouse.org.mw"/>
    <s v="Tamala nyauti"/>
    <s v="Chitedze"/>
    <s v="Prototype"/>
    <x v="2"/>
    <x v="0"/>
    <m/>
    <s v="Quarter2"/>
    <x v="3"/>
    <m/>
    <x v="8"/>
    <d v="2025-06-01T00:00:00"/>
    <d v="2025-07-31T00:00:00"/>
    <x v="1"/>
    <n v="14"/>
    <n v="0"/>
    <n v="11"/>
    <n v="0"/>
    <n v="3"/>
    <n v="0"/>
    <n v="14"/>
    <n v="6"/>
    <n v="4"/>
    <n v="0"/>
    <n v="0"/>
    <n v="0"/>
    <n v="6"/>
    <n v="2"/>
    <n v="0"/>
    <n v="0"/>
    <n v="0"/>
    <n v="0"/>
    <n v="0"/>
    <n v="0"/>
    <n v="4"/>
    <n v="0"/>
    <n v="0"/>
    <n v="0"/>
    <n v="0"/>
    <m/>
  </r>
  <r>
    <n v="39"/>
    <d v="2023-12-20T10:08:20"/>
    <d v="2023-12-20T10:29:06"/>
    <s v="lkaonga@lighthouse.org.mw"/>
    <s v="Lameck Kaonga"/>
    <s v="Kawale"/>
    <s v="Prototype"/>
    <x v="0"/>
    <x v="0"/>
    <s v="COP_22"/>
    <s v="Quarter3"/>
    <x v="3"/>
    <s v="Qtr_3"/>
    <x v="10"/>
    <d v="2023-08-01T00:00:00"/>
    <d v="2023-08-31T00:00:00"/>
    <x v="0"/>
    <n v="44"/>
    <n v="0"/>
    <n v="28"/>
    <n v="1"/>
    <n v="15"/>
    <n v="0"/>
    <n v="43"/>
    <n v="9"/>
    <n v="11"/>
    <n v="0"/>
    <n v="0"/>
    <n v="0"/>
    <n v="13"/>
    <n v="0"/>
    <n v="8"/>
    <n v="1"/>
    <n v="5"/>
    <n v="1"/>
    <n v="5"/>
    <n v="0"/>
    <n v="1"/>
    <n v="0"/>
    <n v="0"/>
    <n v="0"/>
    <n v="0"/>
    <m/>
  </r>
  <r>
    <n v="82"/>
    <d v="2024-01-12T08:13:54"/>
    <d v="2024-01-12T08:21:15"/>
    <s v="lkaonga@lighthouse.org.mw"/>
    <s v="Lameck Kaonga"/>
    <s v="Kawale"/>
    <s v="Prototype"/>
    <x v="0"/>
    <x v="0"/>
    <s v="COP_23"/>
    <s v="Quarter4"/>
    <x v="0"/>
    <s v="Qtr_1"/>
    <x v="11"/>
    <d v="2023-12-01T00:00:00"/>
    <d v="2023-12-30T00:00:00"/>
    <x v="0"/>
    <n v="36"/>
    <n v="11"/>
    <n v="29"/>
    <n v="0"/>
    <n v="4"/>
    <n v="3"/>
    <n v="35"/>
    <n v="11"/>
    <n v="11"/>
    <n v="0"/>
    <n v="13"/>
    <n v="2"/>
    <n v="13"/>
    <n v="2"/>
    <n v="3"/>
    <n v="3"/>
    <n v="1"/>
    <n v="0"/>
    <n v="0"/>
    <n v="0"/>
    <n v="2"/>
    <n v="0"/>
    <n v="0"/>
    <n v="0"/>
    <n v="0"/>
    <m/>
  </r>
  <r>
    <n v="40"/>
    <d v="2023-12-20T11:16:51"/>
    <d v="2023-12-20T11:17:37"/>
    <s v="lkaonga@lighthouse.org.mw"/>
    <s v="Lameck Kaonga"/>
    <s v="Kawale"/>
    <s v="Prototype"/>
    <x v="0"/>
    <x v="0"/>
    <s v="COP_22"/>
    <s v="Quarter3"/>
    <x v="1"/>
    <s v="Qtr_4"/>
    <x v="2"/>
    <d v="2023-09-01T00:00:00"/>
    <d v="2023-09-30T00:00:00"/>
    <x v="1"/>
    <n v="28"/>
    <n v="1"/>
    <n v="24"/>
    <n v="0"/>
    <n v="2"/>
    <n v="2"/>
    <n v="25"/>
    <n v="7"/>
    <n v="9"/>
    <n v="0"/>
    <n v="0"/>
    <n v="0"/>
    <n v="10"/>
    <n v="2"/>
    <n v="1"/>
    <n v="1"/>
    <n v="1"/>
    <n v="1"/>
    <n v="0"/>
    <n v="0"/>
    <n v="0"/>
    <n v="0"/>
    <n v="0"/>
    <n v="0"/>
    <n v="0"/>
    <m/>
  </r>
  <r>
    <n v="42"/>
    <d v="2023-12-20T11:18:28"/>
    <d v="2023-12-20T11:25:37"/>
    <s v="lkaonga@lighthouse.org.mw"/>
    <s v="Lameck Kaonga"/>
    <s v="Kawale"/>
    <s v="Prototype"/>
    <x v="0"/>
    <x v="0"/>
    <s v="COP_23"/>
    <s v="Quarter4"/>
    <x v="0"/>
    <s v="Qtr_1"/>
    <x v="0"/>
    <d v="2023-10-01T00:00:00"/>
    <d v="2023-10-31T00:00:00"/>
    <x v="1"/>
    <n v="35"/>
    <n v="0"/>
    <n v="28"/>
    <n v="1"/>
    <n v="6"/>
    <n v="0"/>
    <n v="33"/>
    <n v="8"/>
    <n v="12"/>
    <n v="0"/>
    <n v="1"/>
    <n v="1"/>
    <n v="8"/>
    <n v="0"/>
    <n v="2"/>
    <n v="1"/>
    <n v="1"/>
    <n v="0"/>
    <n v="1"/>
    <n v="0"/>
    <n v="0"/>
    <n v="0"/>
    <n v="0"/>
    <n v="0"/>
    <n v="0"/>
    <m/>
  </r>
  <r>
    <n v="51"/>
    <d v="2023-12-20T11:42:30"/>
    <d v="2023-12-20T11:58:11"/>
    <s v="lkaonga@lighthouse.org.mw"/>
    <s v="Lameck Kaonga"/>
    <s v="Kawale"/>
    <s v="Prototype"/>
    <x v="0"/>
    <x v="2"/>
    <s v="COP_23"/>
    <s v="Quarter4"/>
    <x v="0"/>
    <s v="Qtr_1"/>
    <x v="1"/>
    <d v="2023-11-01T00:00:00"/>
    <d v="2023-11-30T00:00:00"/>
    <x v="1"/>
    <n v="47"/>
    <n v="1"/>
    <n v="39"/>
    <n v="1"/>
    <n v="4"/>
    <n v="3"/>
    <n v="47"/>
    <n v="14"/>
    <n v="14"/>
    <n v="0"/>
    <n v="0"/>
    <n v="0"/>
    <n v="17"/>
    <n v="2"/>
    <n v="6"/>
    <n v="2"/>
    <n v="3"/>
    <n v="0"/>
    <n v="3"/>
    <n v="0"/>
    <n v="1"/>
    <n v="0"/>
    <n v="0"/>
    <n v="0"/>
    <n v="0"/>
    <m/>
  </r>
  <r>
    <n v="152"/>
    <d v="2024-02-09T09:04:19"/>
    <d v="2024-02-09T09:08:20"/>
    <s v="eadisoni@lighthouse.org.mw"/>
    <s v="Eliza adisoni"/>
    <s v="Kawale"/>
    <s v="Prototype"/>
    <x v="1"/>
    <x v="0"/>
    <s v="COP_23"/>
    <s v="Quarter1"/>
    <x v="2"/>
    <s v="Qtr_2"/>
    <x v="4"/>
    <d v="2024-02-08T00:00:00"/>
    <d v="2024-02-08T00:00:00"/>
    <x v="1"/>
    <n v="39"/>
    <n v="1"/>
    <n v="37"/>
    <n v="0"/>
    <n v="0"/>
    <n v="0"/>
    <n v="28"/>
    <n v="11"/>
    <n v="0"/>
    <n v="7"/>
    <n v="0"/>
    <n v="0"/>
    <n v="8"/>
    <n v="1"/>
    <n v="1"/>
    <n v="0"/>
    <n v="0"/>
    <n v="0"/>
    <n v="0"/>
    <n v="0"/>
    <n v="3"/>
    <n v="3"/>
    <n v="0"/>
    <n v="0"/>
    <n v="0"/>
    <m/>
  </r>
  <r>
    <n v="186"/>
    <d v="2024-04-03T13:20:07"/>
    <d v="2024-04-03T13:39:28"/>
    <s v="lkaonga@lighthouse.org.mw"/>
    <s v="Lameck Kaonga"/>
    <s v="Kawale"/>
    <s v="Prototype"/>
    <x v="1"/>
    <x v="0"/>
    <s v="COP_23"/>
    <s v="Quarter1"/>
    <x v="2"/>
    <s v="Qtr_2"/>
    <x v="3"/>
    <d v="2024-03-01T00:00:00"/>
    <d v="2024-03-31T00:00:00"/>
    <x v="1"/>
    <n v="31"/>
    <n v="1"/>
    <n v="33"/>
    <n v="4"/>
    <n v="0"/>
    <n v="3"/>
    <n v="38"/>
    <n v="10"/>
    <n v="10"/>
    <n v="0"/>
    <n v="0"/>
    <n v="0"/>
    <n v="14"/>
    <n v="3"/>
    <n v="6"/>
    <n v="0"/>
    <n v="1"/>
    <n v="1"/>
    <n v="1"/>
    <n v="0"/>
    <n v="3"/>
    <n v="0"/>
    <n v="0"/>
    <n v="0"/>
    <n v="1"/>
    <m/>
  </r>
  <r>
    <n v="373"/>
    <d v="2024-05-09T11:18:16"/>
    <d v="2024-05-09T11:26:18"/>
    <s v="lkaonga@lighthouse.org.mw"/>
    <s v="Lameck Kaonga"/>
    <s v="Kawale"/>
    <s v="Prototype"/>
    <x v="1"/>
    <x v="0"/>
    <s v="COP_23"/>
    <s v="Quarter2"/>
    <x v="3"/>
    <s v="Qtr_3"/>
    <x v="7"/>
    <d v="2024-04-01T00:00:00"/>
    <d v="2024-05-31T00:00:00"/>
    <x v="1"/>
    <n v="30"/>
    <n v="1"/>
    <n v="1"/>
    <n v="0"/>
    <n v="2"/>
    <n v="1"/>
    <n v="29"/>
    <n v="6"/>
    <n v="6"/>
    <n v="0"/>
    <n v="7"/>
    <n v="0"/>
    <n v="2"/>
    <n v="0"/>
    <n v="0"/>
    <n v="0"/>
    <n v="0"/>
    <n v="0"/>
    <n v="0"/>
    <n v="0"/>
    <n v="0"/>
    <n v="0"/>
    <n v="0"/>
    <n v="0"/>
    <n v="0"/>
    <m/>
  </r>
  <r>
    <n v="590"/>
    <d v="2024-07-10T10:43:26"/>
    <d v="2024-07-10T10:53:18"/>
    <s v="lkaonga@lighthouse.org.mw"/>
    <s v="Lameck Kaonga"/>
    <s v="Kawale"/>
    <s v="Prototype"/>
    <x v="1"/>
    <x v="0"/>
    <s v="COP_23"/>
    <s v="Quarter2"/>
    <x v="3"/>
    <s v="Qtr_3"/>
    <x v="8"/>
    <d v="2024-06-01T00:00:00"/>
    <d v="2024-06-30T00:00:00"/>
    <x v="1"/>
    <n v="12"/>
    <n v="0"/>
    <n v="7"/>
    <n v="4"/>
    <n v="1"/>
    <n v="0"/>
    <n v="11"/>
    <n v="4"/>
    <n v="0"/>
    <n v="0"/>
    <n v="0"/>
    <n v="0"/>
    <n v="0"/>
    <n v="0"/>
    <n v="0"/>
    <n v="0"/>
    <n v="0"/>
    <n v="0"/>
    <n v="0"/>
    <n v="0"/>
    <n v="0"/>
    <n v="0"/>
    <n v="0"/>
    <n v="0"/>
    <n v="0"/>
    <m/>
  </r>
  <r>
    <n v="738"/>
    <d v="2024-08-09T09:32:56"/>
    <d v="2024-08-09T09:35:49"/>
    <s v="eadisoni@lighthouse.org.mw"/>
    <s v="Eliza adisoni"/>
    <s v="Kawale"/>
    <s v="Prototype"/>
    <x v="1"/>
    <x v="0"/>
    <s v="COP_23"/>
    <s v="Quarter3"/>
    <x v="1"/>
    <s v="Qtr_4"/>
    <x v="9"/>
    <d v="2024-08-08T00:00:00"/>
    <d v="2024-08-08T00:00:00"/>
    <x v="1"/>
    <n v="34"/>
    <n v="9"/>
    <n v="31"/>
    <n v="1"/>
    <n v="1"/>
    <n v="1"/>
    <n v="0"/>
    <n v="0"/>
    <n v="6"/>
    <n v="0"/>
    <n v="0"/>
    <n v="0"/>
    <n v="1"/>
    <n v="1"/>
    <n v="0"/>
    <n v="0"/>
    <n v="0"/>
    <n v="0"/>
    <n v="0"/>
    <n v="0"/>
    <n v="1"/>
    <n v="0"/>
    <n v="0"/>
    <n v="0"/>
    <n v="0"/>
    <m/>
  </r>
  <r>
    <n v="762"/>
    <d v="2024-08-16T17:42:25"/>
    <d v="2024-08-16T17:48:59"/>
    <s v="lkaonga@lighthouse.org.mw"/>
    <s v="Lameck Kaonga"/>
    <s v="Kawale"/>
    <s v="Prototype"/>
    <x v="1"/>
    <x v="0"/>
    <s v="COP_23"/>
    <s v="Quarter1"/>
    <x v="2"/>
    <s v="Qtr_2"/>
    <x v="5"/>
    <d v="2024-02-01T00:00:00"/>
    <d v="2024-02-29T00:00:00"/>
    <x v="1"/>
    <n v="42"/>
    <n v="1"/>
    <n v="39"/>
    <n v="0"/>
    <n v="1"/>
    <n v="2"/>
    <n v="42"/>
    <n v="11"/>
    <n v="8"/>
    <n v="0"/>
    <n v="1"/>
    <n v="0"/>
    <n v="16"/>
    <n v="10"/>
    <n v="5"/>
    <n v="2"/>
    <n v="0"/>
    <n v="0"/>
    <n v="0"/>
    <n v="0"/>
    <n v="10"/>
    <n v="0"/>
    <n v="0"/>
    <n v="0"/>
    <n v="0"/>
    <m/>
  </r>
  <r>
    <n v="763"/>
    <d v="2024-08-16T17:52:57"/>
    <d v="2024-08-16T17:59:00"/>
    <s v="lkaonga@lighthouse.org.mw"/>
    <s v="Lameck Kaonga"/>
    <s v="Kawale"/>
    <s v="Prototype"/>
    <x v="1"/>
    <x v="0"/>
    <s v="COP_23"/>
    <s v="Quarter2"/>
    <x v="3"/>
    <s v="Qtr_3"/>
    <x v="6"/>
    <d v="2024-05-01T00:00:00"/>
    <d v="2024-05-31T00:00:00"/>
    <x v="1"/>
    <n v="41"/>
    <n v="0"/>
    <n v="37"/>
    <n v="4"/>
    <n v="1"/>
    <n v="0"/>
    <n v="40"/>
    <n v="10"/>
    <n v="0"/>
    <n v="0"/>
    <n v="0"/>
    <n v="0"/>
    <n v="0"/>
    <n v="0"/>
    <n v="0"/>
    <n v="0"/>
    <n v="0"/>
    <n v="0"/>
    <n v="0"/>
    <n v="0"/>
    <n v="0"/>
    <n v="0"/>
    <n v="0"/>
    <n v="0"/>
    <n v="0"/>
    <m/>
  </r>
  <r>
    <n v="829"/>
    <d v="2024-09-24T13:55:00"/>
    <d v="2024-09-24T13:57:53"/>
    <s v="eadisoni@lighthouse.org.mw"/>
    <s v="Eliza adisoni"/>
    <s v="Kawale"/>
    <s v="Prototype"/>
    <x v="1"/>
    <x v="0"/>
    <s v="COP_23"/>
    <s v="Quarter3"/>
    <x v="1"/>
    <s v="Qtr_4"/>
    <x v="10"/>
    <d v="2024-08-01T00:00:00"/>
    <d v="2024-08-30T00:00:00"/>
    <x v="1"/>
    <n v="32"/>
    <n v="0"/>
    <n v="32"/>
    <n v="0"/>
    <n v="0"/>
    <n v="0"/>
    <n v="0"/>
    <n v="12"/>
    <n v="5"/>
    <n v="0"/>
    <n v="0"/>
    <n v="0"/>
    <n v="1"/>
    <n v="0"/>
    <n v="0"/>
    <n v="0"/>
    <n v="0"/>
    <n v="0"/>
    <n v="0"/>
    <n v="0"/>
    <n v="0"/>
    <n v="0"/>
    <n v="0"/>
    <n v="0"/>
    <n v="0"/>
    <m/>
  </r>
  <r>
    <n v="976"/>
    <d v="2024-10-22T07:47:39"/>
    <d v="2024-10-22T07:58:03"/>
    <s v="lkaonga@lighthouse.org.mw"/>
    <s v="Lameck Kaonga"/>
    <s v="Kawale"/>
    <s v="Prototype"/>
    <x v="1"/>
    <x v="0"/>
    <s v="COP_23"/>
    <s v="Quarter3"/>
    <x v="1"/>
    <s v="Qtr_4"/>
    <x v="2"/>
    <d v="2024-09-01T00:00:00"/>
    <d v="2024-09-30T00:00:00"/>
    <x v="1"/>
    <n v="38"/>
    <n v="0"/>
    <n v="30"/>
    <n v="4"/>
    <n v="3"/>
    <n v="1"/>
    <n v="21"/>
    <n v="10"/>
    <n v="10"/>
    <n v="0"/>
    <n v="0"/>
    <n v="0"/>
    <n v="11"/>
    <n v="1"/>
    <n v="0"/>
    <n v="1"/>
    <n v="0"/>
    <n v="0"/>
    <n v="0"/>
    <n v="0"/>
    <n v="0"/>
    <n v="0"/>
    <n v="0"/>
    <n v="0"/>
    <n v="0"/>
    <m/>
  </r>
  <r>
    <n v="1028"/>
    <d v="2024-11-06T08:12:45"/>
    <d v="2024-11-06T08:15:25"/>
    <s v="eadisoni@lighthouse.org.mw"/>
    <s v="Eliza adisoni"/>
    <s v="Kawale"/>
    <s v="Prototype"/>
    <x v="1"/>
    <x v="0"/>
    <s v="COP_24"/>
    <s v="Quarter4"/>
    <x v="0"/>
    <s v="Qtr_1"/>
    <x v="0"/>
    <d v="2024-10-01T00:00:00"/>
    <d v="2024-10-31T00:00:00"/>
    <x v="1"/>
    <n v="36"/>
    <n v="0"/>
    <n v="30"/>
    <n v="2"/>
    <n v="3"/>
    <n v="1"/>
    <n v="31"/>
    <n v="14"/>
    <n v="0"/>
    <n v="0"/>
    <n v="0"/>
    <n v="0"/>
    <n v="3"/>
    <n v="0"/>
    <n v="0"/>
    <n v="0"/>
    <n v="0"/>
    <n v="0"/>
    <n v="0"/>
    <n v="0"/>
    <n v="0"/>
    <n v="0"/>
    <n v="0"/>
    <n v="0"/>
    <n v="0"/>
    <m/>
  </r>
  <r>
    <n v="311"/>
    <d v="2024-04-26T14:13:06"/>
    <d v="2024-04-26T14:29:07"/>
    <s v="lkaonga@lighthouse.org.mw"/>
    <s v="Lameck Kaonga"/>
    <s v="Kawale"/>
    <s v="Prototype"/>
    <x v="1"/>
    <x v="0"/>
    <s v="COP_23"/>
    <s v="Quarter1"/>
    <x v="2"/>
    <s v="Qtr_2"/>
    <x v="3"/>
    <d v="2024-03-01T00:00:00"/>
    <d v="2024-03-31T00:00:00"/>
    <x v="3"/>
    <n v="0"/>
    <n v="0"/>
    <n v="0"/>
    <n v="0"/>
    <n v="0"/>
    <n v="0"/>
    <n v="0"/>
    <n v="0"/>
    <n v="0"/>
    <n v="0"/>
    <n v="0"/>
    <n v="0"/>
    <n v="0"/>
    <n v="0"/>
    <n v="0"/>
    <n v="0"/>
    <n v="0"/>
    <n v="0"/>
    <n v="0"/>
    <n v="0"/>
    <n v="0"/>
    <n v="0"/>
    <n v="0"/>
    <n v="0"/>
    <n v="0"/>
    <m/>
  </r>
  <r>
    <n v="312"/>
    <d v="2024-04-26T14:41:46"/>
    <d v="2024-04-26T14:47:57"/>
    <s v="lkaonga@lighthouse.org.mw"/>
    <s v="Lameck Kaonga"/>
    <s v="Kawale"/>
    <s v="Prototype"/>
    <x v="1"/>
    <x v="0"/>
    <s v="COP_23"/>
    <s v="Quarter1"/>
    <x v="2"/>
    <s v="Qtr_2"/>
    <x v="3"/>
    <d v="2024-03-01T00:00:00"/>
    <d v="2024-03-31T00:00:00"/>
    <x v="4"/>
    <n v="0"/>
    <n v="0"/>
    <n v="0"/>
    <n v="0"/>
    <n v="0"/>
    <n v="0"/>
    <n v="0"/>
    <n v="0"/>
    <n v="0"/>
    <n v="0"/>
    <n v="0"/>
    <n v="0"/>
    <n v="0"/>
    <n v="0"/>
    <n v="0"/>
    <n v="0"/>
    <n v="0"/>
    <n v="0"/>
    <n v="0"/>
    <n v="0"/>
    <n v="0"/>
    <n v="0"/>
    <n v="0"/>
    <n v="0"/>
    <n v="0"/>
    <m/>
  </r>
  <r>
    <n v="313"/>
    <d v="2024-04-26T14:48:41"/>
    <d v="2024-04-26T14:49:42"/>
    <s v="lkaonga@lighthouse.org.mw"/>
    <s v="Lameck Kaonga"/>
    <s v="Kawale"/>
    <s v="Prototype"/>
    <x v="1"/>
    <x v="0"/>
    <s v="COP_23"/>
    <s v="Quarter1"/>
    <x v="2"/>
    <s v="Qtr_2"/>
    <x v="3"/>
    <d v="2024-03-01T00:00:00"/>
    <d v="2024-03-31T00:00:00"/>
    <x v="5"/>
    <n v="0"/>
    <n v="0"/>
    <n v="0"/>
    <n v="0"/>
    <n v="0"/>
    <n v="0"/>
    <n v="0"/>
    <n v="0"/>
    <n v="0"/>
    <n v="0"/>
    <n v="0"/>
    <n v="0"/>
    <n v="0"/>
    <n v="0"/>
    <n v="0"/>
    <n v="0"/>
    <n v="0"/>
    <n v="0"/>
    <n v="0"/>
    <n v="0"/>
    <n v="0"/>
    <n v="0"/>
    <n v="0"/>
    <n v="0"/>
    <n v="0"/>
    <m/>
  </r>
  <r>
    <n v="315"/>
    <d v="2024-04-26T14:52:51"/>
    <d v="2024-04-26T14:53:58"/>
    <s v="lkaonga@lighthouse.org.mw"/>
    <s v="Lameck Kaonga"/>
    <s v="Kawale"/>
    <s v="Prototype"/>
    <x v="1"/>
    <x v="0"/>
    <s v="COP_23"/>
    <s v="Quarter1"/>
    <x v="2"/>
    <s v="Qtr_2"/>
    <x v="3"/>
    <d v="2024-03-01T00:00:00"/>
    <d v="2024-03-31T00:00:00"/>
    <x v="6"/>
    <n v="0"/>
    <n v="0"/>
    <n v="0"/>
    <n v="0"/>
    <n v="0"/>
    <n v="0"/>
    <n v="0"/>
    <n v="0"/>
    <n v="0"/>
    <n v="0"/>
    <n v="0"/>
    <n v="0"/>
    <n v="0"/>
    <n v="0"/>
    <n v="0"/>
    <n v="0"/>
    <n v="0"/>
    <n v="0"/>
    <n v="0"/>
    <n v="0"/>
    <n v="0"/>
    <n v="0"/>
    <n v="0"/>
    <n v="0"/>
    <n v="0"/>
    <m/>
  </r>
  <r>
    <n v="314"/>
    <d v="2024-04-26T14:51:13"/>
    <d v="2024-04-26T14:52:43"/>
    <s v="lkaonga@lighthouse.org.mw"/>
    <s v="Lameck Kaonga"/>
    <s v="Kawale"/>
    <s v="Prototype"/>
    <x v="1"/>
    <x v="0"/>
    <s v="COP_23"/>
    <s v="Quarter1"/>
    <x v="2"/>
    <s v="Qtr_2"/>
    <x v="3"/>
    <d v="2024-03-01T00:00:00"/>
    <d v="2024-05-31T00:00:00"/>
    <x v="2"/>
    <n v="0"/>
    <n v="0"/>
    <n v="0"/>
    <n v="0"/>
    <n v="0"/>
    <n v="0"/>
    <n v="0"/>
    <n v="0"/>
    <n v="0"/>
    <n v="0"/>
    <n v="0"/>
    <n v="0"/>
    <n v="0"/>
    <n v="0"/>
    <n v="0"/>
    <n v="0"/>
    <n v="0"/>
    <n v="0"/>
    <n v="0"/>
    <n v="0"/>
    <n v="0"/>
    <n v="0"/>
    <n v="0"/>
    <n v="0"/>
    <n v="0"/>
    <m/>
  </r>
  <r>
    <n v="384"/>
    <d v="2024-05-09T14:01:19"/>
    <d v="2024-05-09T14:02:36"/>
    <s v="eadisoni@lighthouse.org.mw"/>
    <s v="Eliza adisoni"/>
    <s v="Kawale"/>
    <s v="Prototype"/>
    <x v="1"/>
    <x v="0"/>
    <s v="COP_23"/>
    <s v="Quarter2"/>
    <x v="3"/>
    <s v="Qtr_3"/>
    <x v="7"/>
    <d v="2024-05-08T00:00:00"/>
    <d v="2024-05-08T00:00:00"/>
    <x v="2"/>
    <n v="0"/>
    <n v="0"/>
    <n v="0"/>
    <n v="0"/>
    <n v="0"/>
    <n v="0"/>
    <n v="0"/>
    <n v="0"/>
    <n v="0"/>
    <n v="0"/>
    <n v="0"/>
    <n v="0"/>
    <n v="0"/>
    <n v="0"/>
    <n v="0"/>
    <n v="0"/>
    <n v="0"/>
    <n v="0"/>
    <n v="0"/>
    <n v="0"/>
    <n v="0"/>
    <n v="0"/>
    <n v="0"/>
    <n v="0"/>
    <n v="0"/>
    <m/>
  </r>
  <r>
    <n v="388"/>
    <d v="2024-05-09T14:09:04"/>
    <d v="2024-05-09T14:10:54"/>
    <s v="eadisoni@lighthouse.org.mw"/>
    <s v="Eliza adisoni"/>
    <s v="Kawale"/>
    <s v="Prototype"/>
    <x v="1"/>
    <x v="0"/>
    <s v="COP_23"/>
    <s v="Quarter1"/>
    <x v="2"/>
    <s v="Qtr_2"/>
    <x v="4"/>
    <d v="2024-02-05T00:00:00"/>
    <d v="2024-02-05T00:00:00"/>
    <x v="2"/>
    <n v="0"/>
    <n v="0"/>
    <n v="0"/>
    <n v="0"/>
    <n v="0"/>
    <n v="0"/>
    <n v="0"/>
    <n v="0"/>
    <n v="0"/>
    <n v="0"/>
    <n v="0"/>
    <n v="0"/>
    <n v="0"/>
    <n v="0"/>
    <n v="0"/>
    <n v="0"/>
    <n v="0"/>
    <n v="0"/>
    <n v="0"/>
    <n v="0"/>
    <n v="0"/>
    <n v="0"/>
    <n v="0"/>
    <n v="0"/>
    <n v="0"/>
    <m/>
  </r>
  <r>
    <n v="391"/>
    <d v="2024-05-09T14:15:00"/>
    <d v="2024-05-09T14:16:25"/>
    <s v="eadisoni@lighthouse.org.mw"/>
    <s v="Eliza adisoni"/>
    <s v="Kawale"/>
    <s v="Prototype"/>
    <x v="1"/>
    <x v="0"/>
    <s v="COP_23"/>
    <s v="Quarter1"/>
    <x v="2"/>
    <s v="Qtr_2"/>
    <x v="5"/>
    <d v="2024-03-05T00:00:00"/>
    <d v="2024-03-05T00:00:00"/>
    <x v="2"/>
    <n v="0"/>
    <n v="0"/>
    <n v="0"/>
    <n v="0"/>
    <n v="0"/>
    <n v="0"/>
    <n v="0"/>
    <n v="0"/>
    <n v="0"/>
    <n v="0"/>
    <n v="0"/>
    <n v="0"/>
    <n v="0"/>
    <n v="0"/>
    <n v="0"/>
    <n v="0"/>
    <n v="0"/>
    <n v="0"/>
    <n v="0"/>
    <n v="0"/>
    <n v="0"/>
    <n v="0"/>
    <n v="0"/>
    <n v="0"/>
    <n v="0"/>
    <m/>
  </r>
  <r>
    <n v="372"/>
    <d v="2024-05-09T11:13:46"/>
    <d v="2024-05-09T11:16:10"/>
    <s v="lkaonga@lighthouse.org.mw"/>
    <s v="Lameck Kaonga"/>
    <s v="Kawale"/>
    <s v="Prototype"/>
    <x v="1"/>
    <x v="0"/>
    <s v="COP_23"/>
    <s v="Quarter2"/>
    <x v="3"/>
    <s v="Qtr_3"/>
    <x v="7"/>
    <d v="2024-04-01T00:00:00"/>
    <d v="2024-04-30T00:00:00"/>
    <x v="0"/>
    <n v="40"/>
    <n v="1"/>
    <n v="35"/>
    <n v="0"/>
    <n v="4"/>
    <n v="1"/>
    <n v="39"/>
    <n v="8"/>
    <n v="10"/>
    <n v="0"/>
    <n v="0"/>
    <n v="0"/>
    <n v="12"/>
    <n v="0"/>
    <n v="1"/>
    <n v="0"/>
    <n v="0"/>
    <n v="0"/>
    <n v="1"/>
    <n v="0"/>
    <n v="0"/>
    <n v="0"/>
    <n v="0"/>
    <n v="0"/>
    <n v="0"/>
    <m/>
  </r>
  <r>
    <n v="396"/>
    <d v="2024-05-09T14:21:57"/>
    <d v="2024-05-09T14:23:29"/>
    <s v="eadisoni@lighthouse.org.mw"/>
    <s v="Eliza adisoni"/>
    <s v="Kawale"/>
    <s v="Prototype"/>
    <x v="1"/>
    <x v="0"/>
    <s v="COP_23"/>
    <s v="Quarter1"/>
    <x v="2"/>
    <s v="Qtr_2"/>
    <x v="3"/>
    <d v="2024-04-03T00:00:00"/>
    <d v="2024-04-03T00:00:00"/>
    <x v="2"/>
    <n v="0"/>
    <n v="0"/>
    <n v="0"/>
    <n v="0"/>
    <n v="0"/>
    <n v="0"/>
    <n v="0"/>
    <n v="0"/>
    <n v="0"/>
    <n v="0"/>
    <n v="0"/>
    <n v="0"/>
    <n v="0"/>
    <n v="0"/>
    <n v="0"/>
    <n v="0"/>
    <n v="0"/>
    <n v="0"/>
    <n v="0"/>
    <n v="0"/>
    <n v="0"/>
    <n v="0"/>
    <n v="0"/>
    <n v="0"/>
    <n v="0"/>
    <m/>
  </r>
  <r>
    <n v="734"/>
    <d v="2024-08-09T08:04:25"/>
    <d v="2024-08-09T08:18:29"/>
    <s v="eadisoni@lighthouse.org.mw"/>
    <s v="Eliza adisoni"/>
    <s v="Kawale"/>
    <s v="Prototype"/>
    <x v="1"/>
    <x v="0"/>
    <s v="COP_23"/>
    <s v="Quarter2"/>
    <x v="3"/>
    <s v="Qtr_3"/>
    <x v="8"/>
    <d v="2024-06-07T00:00:00"/>
    <d v="2024-06-07T00:00:00"/>
    <x v="2"/>
    <n v="17"/>
    <n v="0"/>
    <n v="17"/>
    <n v="0"/>
    <n v="0"/>
    <n v="0"/>
    <n v="0"/>
    <n v="4"/>
    <n v="0"/>
    <n v="0"/>
    <n v="0"/>
    <n v="0"/>
    <n v="0"/>
    <n v="0"/>
    <n v="0"/>
    <n v="0"/>
    <n v="0"/>
    <n v="0"/>
    <n v="0"/>
    <n v="0"/>
    <n v="0"/>
    <n v="0"/>
    <n v="0"/>
    <n v="0"/>
    <n v="0"/>
    <m/>
  </r>
  <r>
    <n v="740"/>
    <d v="2024-08-09T09:40:15"/>
    <d v="2024-08-09T09:43:37"/>
    <s v="eadisoni@lighthouse.org.mw"/>
    <s v="Eliza adisoni"/>
    <s v="Kawale"/>
    <s v="Prototype"/>
    <x v="1"/>
    <x v="0"/>
    <s v="COP_23"/>
    <s v="Quarter3"/>
    <x v="1"/>
    <s v="Qtr_4"/>
    <x v="9"/>
    <d v="2024-08-08T00:00:00"/>
    <d v="2024-08-08T00:00:00"/>
    <x v="2"/>
    <n v="28"/>
    <n v="0"/>
    <n v="26"/>
    <n v="1"/>
    <n v="1"/>
    <n v="0"/>
    <n v="27"/>
    <n v="6"/>
    <n v="4"/>
    <n v="0"/>
    <n v="0"/>
    <n v="0"/>
    <n v="0"/>
    <n v="0"/>
    <n v="0"/>
    <n v="0"/>
    <n v="0"/>
    <n v="0"/>
    <n v="0"/>
    <n v="0"/>
    <n v="0"/>
    <n v="0"/>
    <n v="0"/>
    <n v="0"/>
    <n v="0"/>
    <m/>
  </r>
  <r>
    <n v="381"/>
    <d v="2024-05-09T13:52:07"/>
    <d v="2024-05-09T13:56:09"/>
    <s v="eadisoni@lighthouse.org.mw"/>
    <s v="Eliza adisoni"/>
    <s v="Kawale"/>
    <s v="Prototype"/>
    <x v="1"/>
    <x v="0"/>
    <s v="COP_23"/>
    <s v="Quarter2"/>
    <x v="3"/>
    <s v="Qtr_3"/>
    <x v="7"/>
    <d v="2024-05-08T00:00:00"/>
    <d v="2024-05-08T00:00:00"/>
    <x v="4"/>
    <n v="2"/>
    <n v="0"/>
    <n v="1"/>
    <n v="0"/>
    <n v="1"/>
    <n v="0"/>
    <n v="0"/>
    <n v="2"/>
    <n v="1"/>
    <n v="0"/>
    <n v="0"/>
    <n v="0"/>
    <n v="1"/>
    <n v="0"/>
    <n v="0"/>
    <n v="0"/>
    <n v="0"/>
    <n v="0"/>
    <n v="0"/>
    <n v="0"/>
    <n v="0"/>
    <n v="0"/>
    <n v="0"/>
    <n v="0"/>
    <n v="0"/>
    <m/>
  </r>
  <r>
    <n v="382"/>
    <d v="2024-05-09T13:56:19"/>
    <d v="2024-05-09T13:58:09"/>
    <s v="eadisoni@lighthouse.org.mw"/>
    <s v="Eliza adisoni"/>
    <s v="Kawale"/>
    <s v="Prototype"/>
    <x v="1"/>
    <x v="0"/>
    <s v="COP_23"/>
    <s v="Quarter2"/>
    <x v="3"/>
    <s v="Qtr_3"/>
    <x v="7"/>
    <d v="2024-05-08T00:00:00"/>
    <d v="2024-05-08T00:00:00"/>
    <x v="3"/>
    <n v="1"/>
    <n v="0"/>
    <n v="1"/>
    <n v="0"/>
    <n v="0"/>
    <n v="0"/>
    <n v="1"/>
    <n v="0"/>
    <n v="0"/>
    <n v="0"/>
    <n v="0"/>
    <n v="0"/>
    <n v="0"/>
    <n v="0"/>
    <n v="0"/>
    <n v="0"/>
    <n v="0"/>
    <n v="0"/>
    <n v="0"/>
    <n v="0"/>
    <n v="0"/>
    <n v="0"/>
    <n v="0"/>
    <n v="0"/>
    <n v="0"/>
    <m/>
  </r>
  <r>
    <n v="383"/>
    <d v="2024-05-09T13:58:21"/>
    <d v="2024-05-09T14:01:09"/>
    <s v="eadisoni@lighthouse.org.mw"/>
    <s v="Eliza adisoni"/>
    <s v="Kawale"/>
    <s v="Prototype"/>
    <x v="1"/>
    <x v="0"/>
    <s v="COP_23"/>
    <s v="Quarter2"/>
    <x v="3"/>
    <s v="Qtr_3"/>
    <x v="7"/>
    <d v="2024-05-08T00:00:00"/>
    <d v="2024-05-08T00:00:00"/>
    <x v="5"/>
    <n v="5"/>
    <n v="0"/>
    <n v="5"/>
    <n v="0"/>
    <n v="0"/>
    <n v="0"/>
    <n v="5"/>
    <n v="0"/>
    <n v="1"/>
    <n v="0"/>
    <n v="0"/>
    <n v="0"/>
    <n v="1"/>
    <n v="0"/>
    <n v="0"/>
    <n v="0"/>
    <n v="0"/>
    <n v="0"/>
    <n v="0"/>
    <n v="0"/>
    <n v="0"/>
    <n v="0"/>
    <n v="0"/>
    <n v="0"/>
    <n v="0"/>
    <m/>
  </r>
  <r>
    <n v="833"/>
    <d v="2024-09-24T14:04:26"/>
    <d v="2024-09-24T14:06:49"/>
    <s v="eadisoni@lighthouse.org.mw"/>
    <s v="Eliza adisoni"/>
    <s v="Kawale"/>
    <s v="Prototype"/>
    <x v="1"/>
    <x v="0"/>
    <s v="COP_23"/>
    <s v="Quarter3"/>
    <x v="1"/>
    <s v="Qtr_4"/>
    <x v="10"/>
    <d v="2024-08-01T00:00:00"/>
    <d v="2024-08-30T00:00:00"/>
    <x v="2"/>
    <n v="7"/>
    <n v="0"/>
    <n v="7"/>
    <n v="0"/>
    <n v="0"/>
    <n v="0"/>
    <n v="4"/>
    <n v="3"/>
    <n v="0"/>
    <n v="0"/>
    <n v="0"/>
    <n v="0"/>
    <n v="0"/>
    <n v="0"/>
    <n v="0"/>
    <n v="0"/>
    <n v="0"/>
    <n v="0"/>
    <n v="0"/>
    <n v="0"/>
    <n v="0"/>
    <n v="0"/>
    <n v="0"/>
    <n v="0"/>
    <n v="0"/>
    <m/>
  </r>
  <r>
    <n v="385"/>
    <d v="2024-05-09T14:04:05"/>
    <d v="2024-05-09T14:06:04"/>
    <s v="eadisoni@lighthouse.org.mw"/>
    <s v="Eliza adisoni"/>
    <s v="Kawale"/>
    <s v="Prototype"/>
    <x v="1"/>
    <x v="0"/>
    <s v="COP_23"/>
    <s v="Quarter1"/>
    <x v="2"/>
    <s v="Qtr_2"/>
    <x v="4"/>
    <d v="2024-02-05T00:00:00"/>
    <d v="2024-02-05T00:00:00"/>
    <x v="3"/>
    <n v="0"/>
    <n v="0"/>
    <n v="0"/>
    <n v="0"/>
    <n v="0"/>
    <n v="0"/>
    <n v="0"/>
    <n v="0"/>
    <n v="0"/>
    <n v="0"/>
    <n v="0"/>
    <n v="0"/>
    <n v="0"/>
    <n v="0"/>
    <n v="0"/>
    <n v="0"/>
    <n v="0"/>
    <n v="0"/>
    <n v="0"/>
    <n v="0"/>
    <n v="0"/>
    <n v="0"/>
    <n v="0"/>
    <n v="0"/>
    <n v="0"/>
    <m/>
  </r>
  <r>
    <n v="386"/>
    <d v="2024-05-09T14:06:10"/>
    <d v="2024-05-09T14:07:43"/>
    <s v="eadisoni@lighthouse.org.mw"/>
    <s v="Eliza adisoni"/>
    <s v="Kawale"/>
    <s v="Prototype"/>
    <x v="1"/>
    <x v="2"/>
    <s v="COP_23"/>
    <s v="Quarter1"/>
    <x v="2"/>
    <s v="Qtr_2"/>
    <x v="4"/>
    <d v="2024-02-05T00:00:00"/>
    <d v="2024-02-05T00:00:00"/>
    <x v="4"/>
    <n v="0"/>
    <n v="0"/>
    <n v="0"/>
    <n v="0"/>
    <n v="0"/>
    <n v="0"/>
    <n v="0"/>
    <n v="0"/>
    <n v="0"/>
    <n v="0"/>
    <n v="0"/>
    <n v="0"/>
    <n v="0"/>
    <n v="0"/>
    <n v="0"/>
    <n v="0"/>
    <n v="0"/>
    <n v="0"/>
    <n v="0"/>
    <n v="0"/>
    <n v="0"/>
    <n v="0"/>
    <n v="0"/>
    <n v="0"/>
    <n v="0"/>
    <m/>
  </r>
  <r>
    <n v="387"/>
    <d v="2024-05-09T14:07:46"/>
    <d v="2024-05-09T14:08:53"/>
    <s v="eadisoni@lighthouse.org.mw"/>
    <s v="Eliza adisoni"/>
    <s v="Kawale"/>
    <s v="Prototype"/>
    <x v="1"/>
    <x v="2"/>
    <s v="COP_23"/>
    <s v="Quarter1"/>
    <x v="2"/>
    <s v="Qtr_2"/>
    <x v="4"/>
    <d v="2024-02-05T00:00:00"/>
    <d v="2024-02-05T00:00:00"/>
    <x v="5"/>
    <n v="0"/>
    <n v="0"/>
    <n v="0"/>
    <n v="0"/>
    <n v="0"/>
    <n v="0"/>
    <n v="0"/>
    <n v="0"/>
    <n v="0"/>
    <n v="0"/>
    <n v="0"/>
    <n v="0"/>
    <n v="0"/>
    <n v="0"/>
    <n v="0"/>
    <n v="0"/>
    <n v="0"/>
    <n v="0"/>
    <n v="0"/>
    <n v="0"/>
    <n v="0"/>
    <n v="0"/>
    <n v="0"/>
    <n v="0"/>
    <n v="0"/>
    <m/>
  </r>
  <r>
    <n v="978"/>
    <d v="2024-10-22T08:04:42"/>
    <d v="2024-10-22T08:31:26"/>
    <s v="lkaonga@lighthouse.org.mw"/>
    <s v="Lameck Kaonga"/>
    <s v="Kawale"/>
    <s v="Prototype"/>
    <x v="1"/>
    <x v="1"/>
    <s v="COP_23"/>
    <s v="Quarter3"/>
    <x v="1"/>
    <s v="Qtr_4"/>
    <x v="2"/>
    <d v="2024-09-01T00:00:00"/>
    <d v="2024-09-30T00:00:00"/>
    <x v="2"/>
    <n v="11"/>
    <n v="11"/>
    <n v="9"/>
    <n v="1"/>
    <n v="1"/>
    <n v="0"/>
    <n v="11"/>
    <n v="4"/>
    <n v="3"/>
    <n v="0"/>
    <n v="1"/>
    <n v="0"/>
    <n v="0"/>
    <n v="0"/>
    <n v="0"/>
    <n v="0"/>
    <n v="0"/>
    <n v="0"/>
    <n v="0"/>
    <n v="0"/>
    <n v="0"/>
    <n v="0"/>
    <n v="0"/>
    <n v="0"/>
    <n v="0"/>
    <m/>
  </r>
  <r>
    <n v="389"/>
    <d v="2024-05-09T14:11:38"/>
    <d v="2024-05-09T14:13:24"/>
    <s v="eadisoni@lighthouse.org.mw"/>
    <s v="Eliza adisoni"/>
    <s v="Kawale"/>
    <s v="Prototype"/>
    <x v="1"/>
    <x v="2"/>
    <s v="COP_23"/>
    <s v="Quarter1"/>
    <x v="2"/>
    <s v="Qtr_2"/>
    <x v="5"/>
    <d v="2024-03-05T00:00:00"/>
    <d v="2024-03-05T00:00:00"/>
    <x v="3"/>
    <n v="0"/>
    <n v="0"/>
    <n v="0"/>
    <n v="0"/>
    <n v="0"/>
    <n v="0"/>
    <n v="0"/>
    <n v="0"/>
    <n v="0"/>
    <n v="0"/>
    <n v="0"/>
    <n v="0"/>
    <n v="0"/>
    <n v="0"/>
    <n v="0"/>
    <n v="0"/>
    <n v="0"/>
    <n v="0"/>
    <n v="0"/>
    <n v="0"/>
    <n v="0"/>
    <n v="0"/>
    <n v="0"/>
    <n v="0"/>
    <n v="0"/>
    <m/>
  </r>
  <r>
    <n v="390"/>
    <d v="2024-05-09T14:13:28"/>
    <d v="2024-05-09T14:14:57"/>
    <s v="eadisoni@lighthouse.org.mw"/>
    <s v="Eliza adisoni"/>
    <s v="Kawale"/>
    <s v="Prototype"/>
    <x v="1"/>
    <x v="2"/>
    <s v="COP_23"/>
    <s v="Quarter1"/>
    <x v="2"/>
    <s v="Qtr_2"/>
    <x v="5"/>
    <d v="2024-03-05T00:00:00"/>
    <d v="2024-03-05T00:00:00"/>
    <x v="5"/>
    <n v="0"/>
    <n v="0"/>
    <n v="0"/>
    <n v="0"/>
    <n v="0"/>
    <n v="0"/>
    <n v="0"/>
    <n v="0"/>
    <n v="0"/>
    <n v="0"/>
    <n v="0"/>
    <n v="0"/>
    <n v="0"/>
    <n v="0"/>
    <n v="0"/>
    <n v="0"/>
    <n v="0"/>
    <n v="0"/>
    <n v="0"/>
    <n v="0"/>
    <n v="0"/>
    <n v="0"/>
    <n v="0"/>
    <n v="0"/>
    <n v="0"/>
    <m/>
  </r>
  <r>
    <n v="1029"/>
    <d v="2024-11-06T08:15:28"/>
    <d v="2024-11-06T08:17:35"/>
    <s v="eadisoni@lighthouse.org.mw"/>
    <s v="Eliza adisoni"/>
    <s v="Kawale"/>
    <s v="Prototype"/>
    <x v="1"/>
    <x v="2"/>
    <s v="COP_24"/>
    <s v="Quarter4"/>
    <x v="0"/>
    <s v="Qtr_1"/>
    <x v="0"/>
    <d v="2024-10-01T00:00:00"/>
    <d v="2024-10-31T00:00:00"/>
    <x v="2"/>
    <n v="28"/>
    <n v="0"/>
    <n v="28"/>
    <n v="0"/>
    <n v="0"/>
    <n v="0"/>
    <n v="28"/>
    <n v="1"/>
    <n v="0"/>
    <n v="0"/>
    <n v="0"/>
    <n v="0"/>
    <n v="0"/>
    <n v="0"/>
    <n v="0"/>
    <n v="0"/>
    <n v="0"/>
    <n v="0"/>
    <n v="0"/>
    <n v="0"/>
    <n v="0"/>
    <n v="0"/>
    <n v="0"/>
    <n v="0"/>
    <n v="0"/>
    <m/>
  </r>
  <r>
    <n v="392"/>
    <d v="2024-05-09T14:16:37"/>
    <d v="2024-05-09T14:17:42"/>
    <s v="eadisoni@lighthouse.org.mw"/>
    <s v="Eliza adisoni"/>
    <s v="Kawale"/>
    <s v="Prototype"/>
    <x v="1"/>
    <x v="2"/>
    <s v="COP_23"/>
    <s v="Quarter1"/>
    <x v="2"/>
    <s v="Qtr_2"/>
    <x v="3"/>
    <d v="2024-04-03T00:00:00"/>
    <d v="2024-04-03T00:00:00"/>
    <x v="3"/>
    <n v="0"/>
    <n v="0"/>
    <n v="0"/>
    <n v="0"/>
    <n v="0"/>
    <n v="0"/>
    <n v="0"/>
    <n v="0"/>
    <n v="0"/>
    <n v="0"/>
    <n v="0"/>
    <n v="0"/>
    <n v="0"/>
    <n v="0"/>
    <n v="0"/>
    <n v="0"/>
    <n v="0"/>
    <n v="0"/>
    <n v="0"/>
    <n v="0"/>
    <n v="0"/>
    <n v="0"/>
    <n v="0"/>
    <n v="0"/>
    <n v="0"/>
    <m/>
  </r>
  <r>
    <n v="393"/>
    <d v="2024-05-09T14:17:49"/>
    <d v="2024-05-09T14:19:11"/>
    <s v="eadisoni@lighthouse.org.mw"/>
    <s v="Eliza adisoni"/>
    <s v="Kawale"/>
    <s v="Prototype"/>
    <x v="1"/>
    <x v="2"/>
    <s v="COP_23"/>
    <s v="Quarter1"/>
    <x v="2"/>
    <s v="Qtr_2"/>
    <x v="3"/>
    <d v="2024-04-03T00:00:00"/>
    <d v="2024-04-03T00:00:00"/>
    <x v="4"/>
    <n v="0"/>
    <n v="0"/>
    <n v="0"/>
    <n v="0"/>
    <n v="0"/>
    <n v="0"/>
    <n v="0"/>
    <n v="0"/>
    <n v="0"/>
    <n v="0"/>
    <n v="0"/>
    <n v="0"/>
    <n v="0"/>
    <n v="0"/>
    <n v="0"/>
    <n v="0"/>
    <n v="0"/>
    <n v="0"/>
    <n v="0"/>
    <n v="0"/>
    <n v="0"/>
    <n v="0"/>
    <n v="0"/>
    <n v="0"/>
    <n v="0"/>
    <m/>
  </r>
  <r>
    <n v="395"/>
    <d v="2024-05-09T14:20:40"/>
    <d v="2024-05-09T14:21:53"/>
    <s v="eadisoni@lighthouse.org.mw"/>
    <s v="Eliza adisoni"/>
    <s v="Kawale"/>
    <s v="Prototype"/>
    <x v="1"/>
    <x v="2"/>
    <s v="COP_23"/>
    <s v="Quarter1"/>
    <x v="2"/>
    <s v="Qtr_2"/>
    <x v="3"/>
    <d v="2024-04-03T00:00:00"/>
    <d v="2024-04-03T00:00:00"/>
    <x v="5"/>
    <n v="0"/>
    <n v="0"/>
    <n v="0"/>
    <n v="0"/>
    <n v="0"/>
    <n v="0"/>
    <n v="0"/>
    <n v="0"/>
    <n v="0"/>
    <n v="0"/>
    <n v="0"/>
    <n v="0"/>
    <n v="0"/>
    <n v="0"/>
    <n v="0"/>
    <n v="0"/>
    <n v="0"/>
    <n v="0"/>
    <n v="0"/>
    <n v="0"/>
    <n v="0"/>
    <n v="0"/>
    <n v="0"/>
    <n v="0"/>
    <n v="0"/>
    <m/>
  </r>
  <r>
    <n v="589"/>
    <d v="2024-07-10T10:30:32"/>
    <d v="2024-07-10T10:41:26"/>
    <s v="lkaonga@lighthouse.org.mw"/>
    <s v="Lameck Kaonga"/>
    <s v="Kawale"/>
    <s v="Prototype"/>
    <x v="1"/>
    <x v="2"/>
    <s v="COP_23"/>
    <s v="Quarter2"/>
    <x v="3"/>
    <s v="Qtr_3"/>
    <x v="8"/>
    <d v="2024-06-01T00:00:00"/>
    <d v="2024-06-30T00:00:00"/>
    <x v="3"/>
    <n v="2"/>
    <n v="0"/>
    <n v="1"/>
    <n v="0"/>
    <n v="1"/>
    <n v="0"/>
    <n v="1"/>
    <n v="0"/>
    <n v="0"/>
    <n v="0"/>
    <n v="0"/>
    <n v="0"/>
    <n v="0"/>
    <n v="0"/>
    <n v="0"/>
    <n v="0"/>
    <n v="0"/>
    <n v="0"/>
    <n v="0"/>
    <n v="0"/>
    <n v="0"/>
    <n v="0"/>
    <n v="0"/>
    <n v="0"/>
    <n v="0"/>
    <m/>
  </r>
  <r>
    <n v="588"/>
    <d v="2024-07-10T10:07:41"/>
    <d v="2024-07-10T10:22:47"/>
    <s v="lkaonga@lighthouse.org.mw"/>
    <s v="Lameck Kaonga"/>
    <s v="Kawale"/>
    <s v="Prototype"/>
    <x v="1"/>
    <x v="2"/>
    <s v="COP_23"/>
    <s v="Quarter2"/>
    <x v="3"/>
    <s v="Qtr_3"/>
    <x v="8"/>
    <d v="2024-06-01T00:00:00"/>
    <d v="2024-06-30T00:00:00"/>
    <x v="0"/>
    <n v="43"/>
    <n v="0"/>
    <n v="38"/>
    <n v="4"/>
    <n v="1"/>
    <n v="0"/>
    <n v="42"/>
    <n v="10"/>
    <n v="0"/>
    <n v="0"/>
    <n v="0"/>
    <n v="0"/>
    <n v="0"/>
    <n v="0"/>
    <n v="0"/>
    <n v="0"/>
    <n v="0"/>
    <n v="0"/>
    <n v="0"/>
    <n v="0"/>
    <n v="0"/>
    <n v="0"/>
    <n v="0"/>
    <n v="0"/>
    <n v="0"/>
    <m/>
  </r>
  <r>
    <n v="591"/>
    <d v="2024-07-10T10:26:16"/>
    <d v="2024-07-10T11:05:15"/>
    <s v="lkaonga@lighthouse.org.mw"/>
    <s v="Lameck Kaonga"/>
    <s v="Kawale"/>
    <s v="Prototype"/>
    <x v="1"/>
    <x v="2"/>
    <s v="COP_23"/>
    <s v="Quarter2"/>
    <x v="3"/>
    <s v="Qtr_3"/>
    <x v="8"/>
    <d v="2024-06-01T00:00:00"/>
    <d v="2024-06-30T00:00:00"/>
    <x v="5"/>
    <n v="9"/>
    <n v="0"/>
    <n v="9"/>
    <n v="0"/>
    <n v="0"/>
    <n v="0"/>
    <n v="9"/>
    <n v="4"/>
    <n v="0"/>
    <n v="0"/>
    <n v="0"/>
    <n v="0"/>
    <n v="0"/>
    <n v="0"/>
    <n v="0"/>
    <n v="0"/>
    <n v="0"/>
    <n v="0"/>
    <n v="0"/>
    <n v="0"/>
    <n v="0"/>
    <n v="0"/>
    <n v="0"/>
    <n v="0"/>
    <n v="0"/>
    <m/>
  </r>
  <r>
    <n v="592"/>
    <d v="2024-07-10T11:16:21"/>
    <d v="2024-07-10T11:16:31"/>
    <s v="lkaonga@lighthouse.org.mw"/>
    <s v="Lameck Kaonga"/>
    <s v="Kawale"/>
    <s v="Prototype"/>
    <x v="1"/>
    <x v="2"/>
    <s v="COP_23"/>
    <s v="Quarter2"/>
    <x v="3"/>
    <s v="Qtr_3"/>
    <x v="8"/>
    <d v="2024-06-01T00:00:00"/>
    <d v="2024-06-30T00:00:00"/>
    <x v="4"/>
    <n v="3"/>
    <n v="0"/>
    <n v="3"/>
    <n v="0"/>
    <n v="0"/>
    <n v="0"/>
    <n v="1"/>
    <n v="0"/>
    <n v="0"/>
    <n v="0"/>
    <n v="0"/>
    <n v="0"/>
    <n v="0"/>
    <n v="0"/>
    <n v="0"/>
    <n v="0"/>
    <n v="0"/>
    <n v="0"/>
    <n v="0"/>
    <n v="0"/>
    <n v="0"/>
    <n v="0"/>
    <n v="0"/>
    <n v="0"/>
    <n v="0"/>
    <m/>
  </r>
  <r>
    <n v="735"/>
    <d v="2024-08-09T08:19:15"/>
    <d v="2024-08-09T08:38:08"/>
    <s v="eadisoni@lighthouse.org.mw"/>
    <s v="Eliza adisoni"/>
    <s v="Kawale"/>
    <s v="Prototype"/>
    <x v="1"/>
    <x v="1"/>
    <s v="COP_23"/>
    <s v="Quarter3"/>
    <x v="1"/>
    <s v="Qtr_4"/>
    <x v="9"/>
    <d v="2024-08-09T00:00:00"/>
    <d v="2024-08-09T00:00:00"/>
    <x v="0"/>
    <n v="88"/>
    <n v="0"/>
    <n v="83"/>
    <n v="1"/>
    <n v="3"/>
    <n v="1"/>
    <n v="81"/>
    <n v="21"/>
    <n v="14"/>
    <n v="0"/>
    <n v="0"/>
    <n v="0"/>
    <n v="1"/>
    <n v="1"/>
    <n v="4"/>
    <n v="0"/>
    <n v="0"/>
    <n v="0"/>
    <n v="1"/>
    <n v="0"/>
    <n v="1"/>
    <n v="0"/>
    <n v="0"/>
    <n v="0"/>
    <n v="0"/>
    <m/>
  </r>
  <r>
    <n v="736"/>
    <d v="2024-08-09T08:38:17"/>
    <d v="2024-08-09T08:41:12"/>
    <s v="eadisoni@lighthouse.org.mw"/>
    <s v="Eliza adisoni"/>
    <s v="Kawale"/>
    <s v="Prototype"/>
    <x v="1"/>
    <x v="1"/>
    <s v="COP_23"/>
    <s v="Quarter3"/>
    <x v="1"/>
    <s v="Qtr_4"/>
    <x v="9"/>
    <d v="2024-08-08T00:00:00"/>
    <d v="2024-08-08T00:00:00"/>
    <x v="3"/>
    <n v="2"/>
    <n v="0"/>
    <n v="1"/>
    <n v="0"/>
    <n v="1"/>
    <n v="0"/>
    <n v="0"/>
    <n v="0"/>
    <n v="2"/>
    <n v="0"/>
    <n v="0"/>
    <n v="0"/>
    <n v="0"/>
    <n v="0"/>
    <n v="0"/>
    <n v="0"/>
    <n v="0"/>
    <n v="0"/>
    <n v="0"/>
    <n v="0"/>
    <n v="0"/>
    <n v="0"/>
    <n v="0"/>
    <n v="0"/>
    <n v="0"/>
    <m/>
  </r>
  <r>
    <n v="737"/>
    <d v="2024-08-09T08:41:22"/>
    <d v="2024-08-09T09:32:52"/>
    <s v="eadisoni@lighthouse.org.mw"/>
    <s v="Eliza adisoni"/>
    <s v="Kawale"/>
    <s v="Prototype"/>
    <x v="1"/>
    <x v="1"/>
    <s v="COP_23"/>
    <s v="Quarter3"/>
    <x v="1"/>
    <s v="Qtr_4"/>
    <x v="9"/>
    <d v="2024-08-08T00:00:00"/>
    <d v="2024-08-08T00:00:00"/>
    <x v="4"/>
    <n v="7"/>
    <n v="0"/>
    <n v="7"/>
    <n v="0"/>
    <n v="0"/>
    <n v="0"/>
    <n v="0"/>
    <n v="0"/>
    <n v="1"/>
    <n v="0"/>
    <n v="0"/>
    <n v="0"/>
    <n v="0"/>
    <n v="0"/>
    <n v="0"/>
    <n v="0"/>
    <n v="0"/>
    <n v="0"/>
    <n v="0"/>
    <n v="0"/>
    <n v="0"/>
    <n v="0"/>
    <n v="0"/>
    <n v="0"/>
    <n v="0"/>
    <m/>
  </r>
  <r>
    <n v="739"/>
    <d v="2024-08-09T09:35:58"/>
    <d v="2024-08-09T09:40:12"/>
    <s v="eadisoni@lighthouse.org.mw"/>
    <s v="Eliza adisoni"/>
    <s v="Kawale"/>
    <s v="Prototype"/>
    <x v="1"/>
    <x v="1"/>
    <s v="COP_23"/>
    <s v="Quarter3"/>
    <x v="1"/>
    <s v="Qtr_4"/>
    <x v="9"/>
    <d v="2024-08-08T00:00:00"/>
    <d v="2024-08-08T00:00:00"/>
    <x v="5"/>
    <n v="16"/>
    <n v="4"/>
    <n v="16"/>
    <n v="0"/>
    <n v="0"/>
    <n v="0"/>
    <n v="5"/>
    <n v="0"/>
    <n v="4"/>
    <n v="0"/>
    <n v="0"/>
    <n v="0"/>
    <n v="0"/>
    <n v="0"/>
    <n v="0"/>
    <n v="0"/>
    <n v="0"/>
    <n v="0"/>
    <n v="0"/>
    <n v="0"/>
    <n v="0"/>
    <n v="0"/>
    <n v="0"/>
    <n v="0"/>
    <n v="0"/>
    <m/>
  </r>
  <r>
    <n v="828"/>
    <d v="2024-09-24T13:48:38"/>
    <d v="2024-09-24T13:54:54"/>
    <s v="eadisoni@lighthouse.org.mw"/>
    <s v="Eliza adisoni"/>
    <s v="Kawale"/>
    <s v="Prototype"/>
    <x v="1"/>
    <x v="1"/>
    <s v="COP_23"/>
    <s v="Quarter3"/>
    <x v="1"/>
    <s v="Qtr_4"/>
    <x v="10"/>
    <d v="2024-08-01T00:00:00"/>
    <d v="2024-08-30T00:00:00"/>
    <x v="0"/>
    <n v="48"/>
    <n v="0"/>
    <n v="43"/>
    <n v="3"/>
    <n v="2"/>
    <n v="0"/>
    <n v="23"/>
    <n v="9"/>
    <n v="0"/>
    <n v="0"/>
    <n v="0"/>
    <n v="0"/>
    <n v="2"/>
    <n v="0"/>
    <n v="1"/>
    <n v="1"/>
    <n v="0"/>
    <n v="0"/>
    <n v="0"/>
    <n v="0"/>
    <n v="0"/>
    <n v="0"/>
    <n v="0"/>
    <n v="0"/>
    <n v="0"/>
    <m/>
  </r>
  <r>
    <n v="830"/>
    <d v="2024-09-24T13:57:58"/>
    <d v="2024-09-24T14:00:06"/>
    <s v="eadisoni@lighthouse.org.mw"/>
    <s v="Eliza adisoni"/>
    <s v="Kawale"/>
    <s v="Prototype"/>
    <x v="1"/>
    <x v="1"/>
    <s v="COP_22"/>
    <s v="Quarter3"/>
    <x v="1"/>
    <s v="Qtr_4"/>
    <x v="10"/>
    <d v="2024-08-01T00:00:00"/>
    <d v="2024-08-30T00:00:00"/>
    <x v="4"/>
    <n v="2"/>
    <n v="0"/>
    <n v="2"/>
    <n v="0"/>
    <n v="0"/>
    <n v="0"/>
    <n v="1"/>
    <n v="0"/>
    <n v="0"/>
    <n v="0"/>
    <n v="0"/>
    <n v="0"/>
    <n v="0"/>
    <n v="0"/>
    <n v="0"/>
    <n v="0"/>
    <n v="0"/>
    <n v="0"/>
    <n v="0"/>
    <n v="0"/>
    <n v="0"/>
    <n v="0"/>
    <n v="0"/>
    <n v="0"/>
    <n v="0"/>
    <m/>
  </r>
  <r>
    <n v="831"/>
    <d v="2024-09-24T14:00:12"/>
    <d v="2024-09-24T14:02:05"/>
    <s v="eadisoni@lighthouse.org.mw"/>
    <s v="Eliza adisoni"/>
    <s v="Kawale"/>
    <s v="Prototype"/>
    <x v="1"/>
    <x v="0"/>
    <s v="COP_23"/>
    <s v="Quarter3"/>
    <x v="1"/>
    <s v="Qtr_4"/>
    <x v="10"/>
    <d v="2024-08-01T00:00:00"/>
    <d v="2024-08-30T00:00:00"/>
    <x v="5"/>
    <n v="3"/>
    <n v="0"/>
    <n v="3"/>
    <n v="0"/>
    <n v="0"/>
    <n v="0"/>
    <n v="0"/>
    <n v="0"/>
    <n v="0"/>
    <n v="0"/>
    <n v="0"/>
    <n v="0"/>
    <n v="0"/>
    <n v="0"/>
    <n v="0"/>
    <n v="0"/>
    <n v="0"/>
    <n v="0"/>
    <n v="0"/>
    <n v="0"/>
    <n v="0"/>
    <n v="0"/>
    <n v="0"/>
    <n v="0"/>
    <n v="0"/>
    <m/>
  </r>
  <r>
    <n v="832"/>
    <d v="2024-09-24T14:02:14"/>
    <d v="2024-09-24T14:04:18"/>
    <s v="eadisoni@lighthouse.org.mw"/>
    <s v="Eliza adisoni"/>
    <s v="Kawale"/>
    <s v="Prototype"/>
    <x v="1"/>
    <x v="0"/>
    <s v="COP_23"/>
    <s v="Quarter3"/>
    <x v="1"/>
    <s v="Qtr_4"/>
    <x v="10"/>
    <d v="2024-08-01T00:00:00"/>
    <d v="2024-08-30T00:00:00"/>
    <x v="3"/>
    <n v="1"/>
    <n v="0"/>
    <n v="0"/>
    <n v="1"/>
    <n v="0"/>
    <n v="0"/>
    <n v="0"/>
    <n v="0"/>
    <n v="0"/>
    <n v="0"/>
    <n v="0"/>
    <n v="0"/>
    <n v="0"/>
    <n v="0"/>
    <n v="1"/>
    <n v="0"/>
    <n v="0"/>
    <n v="0"/>
    <n v="0"/>
    <n v="0"/>
    <n v="0"/>
    <n v="0"/>
    <n v="0"/>
    <n v="0"/>
    <n v="0"/>
    <m/>
  </r>
  <r>
    <n v="975"/>
    <d v="2024-10-22T07:41:45"/>
    <d v="2024-10-22T07:47:29"/>
    <s v="lkaonga@lighthouse.org.mw"/>
    <s v="Lameck Kaonga"/>
    <s v="Kawale"/>
    <s v="Prototype"/>
    <x v="1"/>
    <x v="0"/>
    <s v="COP_23"/>
    <s v="Quarter3"/>
    <x v="1"/>
    <s v="Qtr_4"/>
    <x v="2"/>
    <d v="2024-09-01T00:00:00"/>
    <d v="2024-09-30T00:00:00"/>
    <x v="0"/>
    <n v="56"/>
    <n v="0"/>
    <n v="48"/>
    <n v="3"/>
    <n v="4"/>
    <n v="1"/>
    <n v="52"/>
    <n v="16"/>
    <n v="16"/>
    <n v="0"/>
    <n v="0"/>
    <n v="0"/>
    <n v="17"/>
    <n v="1"/>
    <n v="1"/>
    <n v="0"/>
    <n v="0"/>
    <n v="0"/>
    <n v="0"/>
    <n v="0"/>
    <n v="0"/>
    <n v="0"/>
    <n v="0"/>
    <n v="0"/>
    <n v="0"/>
    <m/>
  </r>
  <r>
    <n v="977"/>
    <d v="2024-10-22T07:58:57"/>
    <d v="2024-10-22T08:02:56"/>
    <s v="lkaonga@lighthouse.org.mw"/>
    <s v="Lameck Kaonga"/>
    <s v="Kawale"/>
    <s v="Prototype"/>
    <x v="1"/>
    <x v="0"/>
    <s v="COP_23"/>
    <s v="Quarter3"/>
    <x v="1"/>
    <s v="Qtr_4"/>
    <x v="2"/>
    <d v="2024-09-01T00:00:00"/>
    <d v="2024-09-30T00:00:00"/>
    <x v="5"/>
    <n v="6"/>
    <n v="0"/>
    <n v="6"/>
    <n v="0"/>
    <n v="0"/>
    <n v="0"/>
    <n v="4"/>
    <n v="2"/>
    <n v="5"/>
    <n v="0"/>
    <n v="6"/>
    <n v="0"/>
    <n v="6"/>
    <n v="0"/>
    <n v="6"/>
    <n v="0"/>
    <n v="0"/>
    <n v="0"/>
    <n v="0"/>
    <n v="0"/>
    <n v="0"/>
    <n v="0"/>
    <n v="0"/>
    <n v="0"/>
    <n v="0"/>
    <m/>
  </r>
  <r>
    <n v="979"/>
    <d v="2024-10-22T08:31:41"/>
    <d v="2024-10-22T08:36:36"/>
    <s v="lkaonga@lighthouse.org.mw"/>
    <s v="Lameck Kaonga"/>
    <s v="Kawale"/>
    <s v="Prototype"/>
    <x v="1"/>
    <x v="0"/>
    <s v="COP_23"/>
    <s v="Quarter3"/>
    <x v="1"/>
    <s v="Qtr_4"/>
    <x v="2"/>
    <d v="2024-09-01T00:00:00"/>
    <d v="2024-09-30T00:00:00"/>
    <x v="3"/>
    <n v="0"/>
    <n v="0"/>
    <n v="0"/>
    <n v="0"/>
    <n v="0"/>
    <n v="0"/>
    <n v="0"/>
    <n v="0"/>
    <n v="0"/>
    <n v="0"/>
    <n v="0"/>
    <n v="0"/>
    <n v="0"/>
    <n v="0"/>
    <n v="0"/>
    <n v="0"/>
    <n v="0"/>
    <n v="0"/>
    <n v="0"/>
    <n v="0"/>
    <n v="0"/>
    <n v="0"/>
    <n v="0"/>
    <n v="0"/>
    <n v="0"/>
    <m/>
  </r>
  <r>
    <n v="980"/>
    <d v="2024-10-22T08:42:08"/>
    <d v="2024-10-22T08:50:00"/>
    <s v="lkaonga@lighthouse.org.mw"/>
    <s v="Lameck Kaonga"/>
    <s v="Kawale"/>
    <s v="Prototype"/>
    <x v="1"/>
    <x v="0"/>
    <s v="COP_23"/>
    <s v="Quarter3"/>
    <x v="1"/>
    <s v="Qtr_4"/>
    <x v="2"/>
    <d v="2024-09-01T00:00:00"/>
    <d v="2024-09-30T00:00:00"/>
    <x v="6"/>
    <n v="0"/>
    <n v="0"/>
    <n v="0"/>
    <n v="0"/>
    <n v="0"/>
    <n v="0"/>
    <n v="0"/>
    <n v="0"/>
    <n v="0"/>
    <n v="0"/>
    <n v="0"/>
    <n v="0"/>
    <n v="0"/>
    <n v="0"/>
    <n v="0"/>
    <n v="0"/>
    <n v="0"/>
    <n v="0"/>
    <n v="0"/>
    <n v="0"/>
    <n v="0"/>
    <n v="0"/>
    <n v="0"/>
    <n v="0"/>
    <n v="0"/>
    <m/>
  </r>
  <r>
    <n v="1030"/>
    <d v="2024-11-06T08:17:43"/>
    <d v="2024-11-06T08:19:48"/>
    <s v="eadisoni@lighthouse.org.mw"/>
    <s v="Eliza adisoni"/>
    <s v="Kawale"/>
    <s v="Prototype"/>
    <x v="1"/>
    <x v="0"/>
    <s v="COP_24"/>
    <s v="Quarter4"/>
    <x v="0"/>
    <s v="Qtr_1"/>
    <x v="0"/>
    <d v="2024-10-01T00:00:00"/>
    <d v="2024-10-31T00:00:00"/>
    <x v="5"/>
    <n v="9"/>
    <n v="0"/>
    <n v="9"/>
    <n v="0"/>
    <n v="0"/>
    <n v="0"/>
    <n v="0"/>
    <n v="1"/>
    <n v="1"/>
    <n v="0"/>
    <n v="0"/>
    <n v="0"/>
    <n v="0"/>
    <n v="0"/>
    <n v="0"/>
    <n v="0"/>
    <n v="0"/>
    <n v="0"/>
    <n v="0"/>
    <n v="0"/>
    <n v="0"/>
    <n v="0"/>
    <n v="0"/>
    <n v="0"/>
    <n v="0"/>
    <m/>
  </r>
  <r>
    <n v="1031"/>
    <d v="2024-11-06T08:20:44"/>
    <d v="2024-11-06T08:22:46"/>
    <s v="eadisoni@lighthouse.org.mw"/>
    <s v="Eliza adisoni"/>
    <s v="Kawale"/>
    <s v="Prototype"/>
    <x v="1"/>
    <x v="0"/>
    <s v="COP_24"/>
    <s v="Quarter4"/>
    <x v="0"/>
    <s v="Qtr_1"/>
    <x v="0"/>
    <d v="2024-10-01T00:00:00"/>
    <d v="2024-10-30T00:00:00"/>
    <x v="3"/>
    <n v="4"/>
    <n v="0"/>
    <n v="3"/>
    <n v="0"/>
    <n v="0"/>
    <n v="1"/>
    <n v="0"/>
    <n v="0"/>
    <n v="0"/>
    <n v="0"/>
    <n v="0"/>
    <n v="0"/>
    <n v="2"/>
    <n v="0"/>
    <n v="0"/>
    <n v="0"/>
    <n v="0"/>
    <n v="0"/>
    <n v="0"/>
    <n v="0"/>
    <n v="0"/>
    <n v="0"/>
    <n v="0"/>
    <n v="0"/>
    <n v="0"/>
    <m/>
  </r>
  <r>
    <n v="1032"/>
    <d v="2024-11-06T08:24:25"/>
    <d v="2024-11-06T08:28:47"/>
    <s v="eadisoni@lighthouse.org.mw"/>
    <s v="Eliza adisoni"/>
    <s v="Kawale"/>
    <s v="Prototype"/>
    <x v="1"/>
    <x v="0"/>
    <s v="COP_24"/>
    <s v="Quarter4"/>
    <x v="0"/>
    <s v="Qtr_1"/>
    <x v="0"/>
    <d v="2024-10-01T00:00:00"/>
    <d v="2024-10-31T00:00:00"/>
    <x v="4"/>
    <n v="2"/>
    <n v="0"/>
    <n v="2"/>
    <n v="0"/>
    <n v="0"/>
    <n v="0"/>
    <n v="1"/>
    <n v="0"/>
    <n v="0"/>
    <n v="0"/>
    <n v="0"/>
    <n v="0"/>
    <n v="0"/>
    <n v="0"/>
    <n v="0"/>
    <n v="0"/>
    <n v="0"/>
    <n v="0"/>
    <n v="0"/>
    <n v="0"/>
    <n v="0"/>
    <n v="0"/>
    <n v="0"/>
    <n v="0"/>
    <n v="0"/>
    <m/>
  </r>
  <r>
    <n v="1095"/>
    <d v="2024-11-26T15:29:31"/>
    <d v="2024-11-26T15:33:28"/>
    <s v="eadisoni@lighthouse.org.mw"/>
    <s v="Eliza adisoni"/>
    <s v="Kawale"/>
    <s v="Prototype"/>
    <x v="1"/>
    <x v="0"/>
    <s v="COP_24"/>
    <s v="Quarter4"/>
    <x v="0"/>
    <s v="Qtr_1"/>
    <x v="0"/>
    <d v="2024-10-01T00:00:00"/>
    <d v="2024-10-31T00:00:00"/>
    <x v="0"/>
    <n v="82"/>
    <n v="0"/>
    <n v="75"/>
    <n v="3"/>
    <n v="3"/>
    <n v="1"/>
    <n v="77"/>
    <n v="14"/>
    <n v="17"/>
    <n v="0"/>
    <n v="0"/>
    <n v="0"/>
    <n v="8"/>
    <n v="0"/>
    <n v="0"/>
    <n v="0"/>
    <n v="0"/>
    <n v="0"/>
    <n v="0"/>
    <n v="0"/>
    <n v="0"/>
    <n v="0"/>
    <n v="0"/>
    <n v="0"/>
    <n v="0"/>
    <m/>
  </r>
  <r>
    <n v="1118"/>
    <d v="2024-12-10T07:17:35"/>
    <d v="2024-12-10T07:23:52"/>
    <s v="lkaonga@lighthouse.org.mw"/>
    <s v="Lameck Kaonga"/>
    <s v="Kawale"/>
    <s v="Prototype"/>
    <x v="1"/>
    <x v="0"/>
    <s v="COP_24"/>
    <s v="Quarter4"/>
    <x v="0"/>
    <s v="Qtr_1"/>
    <x v="1"/>
    <d v="2024-11-01T00:00:00"/>
    <d v="2024-11-30T00:00:00"/>
    <x v="0"/>
    <n v="60"/>
    <n v="0"/>
    <n v="56"/>
    <n v="1"/>
    <n v="3"/>
    <n v="0"/>
    <n v="28"/>
    <n v="7"/>
    <n v="5"/>
    <n v="0"/>
    <n v="0"/>
    <n v="0"/>
    <n v="5"/>
    <n v="0"/>
    <n v="0"/>
    <n v="0"/>
    <n v="0"/>
    <n v="0"/>
    <n v="0"/>
    <n v="0"/>
    <n v="0"/>
    <n v="0"/>
    <n v="0"/>
    <n v="0"/>
    <n v="0"/>
    <m/>
  </r>
  <r>
    <n v="1119"/>
    <d v="2024-12-10T07:24:04"/>
    <d v="2024-12-10T07:27:09"/>
    <s v="lkaonga@lighthouse.org.mw"/>
    <s v="Lameck Kaonga"/>
    <s v="Kawale"/>
    <s v="Prototype"/>
    <x v="1"/>
    <x v="0"/>
    <s v="COP_24"/>
    <s v="Quarter4"/>
    <x v="0"/>
    <s v="Qtr_1"/>
    <x v="1"/>
    <d v="2024-11-01T00:00:00"/>
    <d v="2024-11-30T00:00:00"/>
    <x v="2"/>
    <n v="9"/>
    <n v="0"/>
    <n v="18"/>
    <n v="1"/>
    <n v="0"/>
    <n v="0"/>
    <n v="6"/>
    <n v="1"/>
    <n v="1"/>
    <n v="0"/>
    <n v="0"/>
    <n v="0"/>
    <n v="0"/>
    <n v="0"/>
    <n v="0"/>
    <n v="0"/>
    <n v="0"/>
    <n v="0"/>
    <n v="0"/>
    <n v="0"/>
    <n v="0"/>
    <n v="0"/>
    <n v="0"/>
    <n v="0"/>
    <n v="0"/>
    <m/>
  </r>
  <r>
    <n v="1120"/>
    <d v="2024-12-10T07:27:51"/>
    <d v="2024-12-10T07:30:13"/>
    <s v="lkaonga@lighthouse.org.mw"/>
    <s v="Lameck Kaonga"/>
    <s v="Kawale"/>
    <s v="Prototype"/>
    <x v="1"/>
    <x v="0"/>
    <s v="COP_24"/>
    <s v="Quarter4"/>
    <x v="0"/>
    <s v="Qtr_1"/>
    <x v="1"/>
    <d v="2024-11-01T00:00:00"/>
    <d v="2024-11-30T00:00:00"/>
    <x v="1"/>
    <n v="34"/>
    <n v="0"/>
    <n v="31"/>
    <n v="0"/>
    <n v="3"/>
    <n v="0"/>
    <n v="15"/>
    <n v="6"/>
    <n v="3"/>
    <n v="0"/>
    <n v="0"/>
    <n v="0"/>
    <n v="0"/>
    <n v="0"/>
    <n v="0"/>
    <n v="0"/>
    <n v="0"/>
    <n v="0"/>
    <n v="0"/>
    <n v="0"/>
    <n v="0"/>
    <n v="0"/>
    <n v="0"/>
    <n v="0"/>
    <n v="0"/>
    <m/>
  </r>
  <r>
    <n v="1121"/>
    <d v="2024-12-10T07:44:10"/>
    <d v="2024-12-10T07:45:52"/>
    <s v="lkaonga@lighthouse.org.mw"/>
    <s v="Lameck Kaonga"/>
    <s v="Kawale"/>
    <s v="Prototype"/>
    <x v="1"/>
    <x v="0"/>
    <s v="COP_24"/>
    <s v="Quarter4"/>
    <x v="0"/>
    <s v="Qtr_1"/>
    <x v="1"/>
    <d v="2024-11-01T00:00:00"/>
    <d v="2024-11-30T00:00:00"/>
    <x v="4"/>
    <n v="0"/>
    <n v="0"/>
    <n v="0"/>
    <n v="0"/>
    <n v="0"/>
    <n v="0"/>
    <n v="0"/>
    <n v="0"/>
    <n v="0"/>
    <n v="0"/>
    <n v="0"/>
    <n v="0"/>
    <n v="0"/>
    <n v="0"/>
    <n v="0"/>
    <n v="0"/>
    <n v="0"/>
    <n v="0"/>
    <n v="0"/>
    <n v="0"/>
    <n v="0"/>
    <n v="0"/>
    <n v="0"/>
    <n v="0"/>
    <n v="0"/>
    <m/>
  </r>
  <r>
    <n v="1122"/>
    <d v="2024-12-10T07:46:10"/>
    <d v="2024-12-10T07:47:11"/>
    <s v="lkaonga@lighthouse.org.mw"/>
    <s v="Lameck Kaonga"/>
    <s v="Kawale"/>
    <s v="Prototype"/>
    <x v="1"/>
    <x v="0"/>
    <s v="COP_24"/>
    <s v="Quarter4"/>
    <x v="0"/>
    <s v="Qtr_1"/>
    <x v="1"/>
    <d v="2024-11-01T00:00:00"/>
    <d v="2024-11-30T00:00:00"/>
    <x v="3"/>
    <n v="0"/>
    <n v="0"/>
    <n v="0"/>
    <n v="0"/>
    <n v="0"/>
    <n v="0"/>
    <n v="0"/>
    <n v="0"/>
    <n v="0"/>
    <n v="0"/>
    <n v="0"/>
    <n v="0"/>
    <n v="0"/>
    <n v="0"/>
    <n v="0"/>
    <n v="0"/>
    <n v="0"/>
    <n v="0"/>
    <n v="0"/>
    <n v="0"/>
    <n v="0"/>
    <n v="0"/>
    <n v="0"/>
    <n v="0"/>
    <n v="0"/>
    <m/>
  </r>
  <r>
    <n v="1123"/>
    <d v="2024-12-10T07:47:21"/>
    <d v="2024-12-10T07:49:03"/>
    <s v="lkaonga@lighthouse.org.mw"/>
    <s v="Lameck Kaonga"/>
    <s v="Kawale"/>
    <s v="Prototype"/>
    <x v="1"/>
    <x v="0"/>
    <s v="COP_24"/>
    <s v="Quarter4"/>
    <x v="0"/>
    <s v="Qtr_1"/>
    <x v="1"/>
    <d v="2024-11-01T00:00:00"/>
    <d v="2024-11-30T00:00:00"/>
    <x v="6"/>
    <n v="0"/>
    <n v="0"/>
    <n v="0"/>
    <n v="0"/>
    <n v="0"/>
    <n v="0"/>
    <n v="0"/>
    <n v="0"/>
    <n v="0"/>
    <n v="0"/>
    <n v="0"/>
    <n v="0"/>
    <n v="0"/>
    <n v="0"/>
    <n v="0"/>
    <n v="0"/>
    <n v="0"/>
    <n v="0"/>
    <n v="0"/>
    <n v="0"/>
    <n v="0"/>
    <n v="0"/>
    <n v="0"/>
    <n v="0"/>
    <n v="0"/>
    <m/>
  </r>
  <r>
    <n v="1277"/>
    <d v="2025-01-14T16:24:06"/>
    <d v="2025-01-14T16:28:14"/>
    <s v="lkaonga@lighthouse.org.mw"/>
    <s v="Lameck Kaonga"/>
    <s v="Kawale"/>
    <s v="Prototype"/>
    <x v="1"/>
    <x v="0"/>
    <s v="COP_24"/>
    <s v="Quarter4"/>
    <x v="0"/>
    <s v="Qtr_1"/>
    <x v="11"/>
    <d v="2024-12-01T00:00:00"/>
    <d v="2024-12-31T00:00:00"/>
    <x v="1"/>
    <n v="32"/>
    <n v="0"/>
    <n v="29"/>
    <n v="0"/>
    <n v="3"/>
    <n v="0"/>
    <n v="7"/>
    <n v="3"/>
    <n v="3"/>
    <n v="0"/>
    <n v="0"/>
    <n v="0"/>
    <n v="7"/>
    <n v="0"/>
    <n v="0"/>
    <n v="0"/>
    <n v="0"/>
    <n v="0"/>
    <n v="0"/>
    <n v="0"/>
    <n v="0"/>
    <n v="0"/>
    <n v="0"/>
    <n v="0"/>
    <n v="0"/>
    <m/>
  </r>
  <r>
    <n v="1278"/>
    <d v="2025-01-14T16:28:23"/>
    <d v="2025-01-14T16:34:53"/>
    <s v="lkaonga@lighthouse.org.mw"/>
    <s v="Lameck Kaonga"/>
    <s v="Kawale"/>
    <s v="Prototype"/>
    <x v="1"/>
    <x v="0"/>
    <s v="COP_24"/>
    <s v="Quarter4"/>
    <x v="0"/>
    <s v="Qtr_1"/>
    <x v="11"/>
    <d v="2024-12-01T00:00:00"/>
    <d v="2024-12-31T00:00:00"/>
    <x v="5"/>
    <n v="21"/>
    <n v="0"/>
    <n v="20"/>
    <n v="1"/>
    <n v="0"/>
    <n v="0"/>
    <n v="1"/>
    <n v="0"/>
    <n v="1"/>
    <n v="0"/>
    <n v="0"/>
    <n v="0"/>
    <n v="6"/>
    <n v="0"/>
    <n v="0"/>
    <n v="0"/>
    <n v="0"/>
    <n v="0"/>
    <n v="0"/>
    <n v="0"/>
    <n v="0"/>
    <n v="0"/>
    <n v="0"/>
    <n v="0"/>
    <n v="0"/>
    <m/>
  </r>
  <r>
    <n v="1279"/>
    <d v="2025-01-14T16:35:24"/>
    <d v="2025-01-14T16:49:10"/>
    <s v="lkaonga@lighthouse.org.mw"/>
    <s v="Lameck Kaonga"/>
    <s v="Kawale"/>
    <s v="Prototype"/>
    <x v="1"/>
    <x v="0"/>
    <s v="COP_24"/>
    <s v="Quarter4"/>
    <x v="0"/>
    <s v="Qtr_1"/>
    <x v="11"/>
    <d v="2024-12-01T00:00:00"/>
    <d v="2024-12-31T00:00:00"/>
    <x v="5"/>
    <n v="5"/>
    <n v="0"/>
    <n v="5"/>
    <n v="0"/>
    <n v="0"/>
    <n v="0"/>
    <n v="0"/>
    <n v="0"/>
    <n v="0"/>
    <n v="0"/>
    <n v="0"/>
    <n v="0"/>
    <n v="2"/>
    <n v="0"/>
    <n v="0"/>
    <n v="0"/>
    <n v="0"/>
    <n v="0"/>
    <n v="0"/>
    <n v="0"/>
    <n v="0"/>
    <n v="0"/>
    <n v="0"/>
    <n v="0"/>
    <n v="0"/>
    <m/>
  </r>
  <r>
    <n v="1280"/>
    <d v="2025-01-14T16:50:10"/>
    <d v="2025-01-14T16:52:33"/>
    <s v="lkaonga@lighthouse.org.mw"/>
    <s v="Lameck Kaonga"/>
    <s v="Kawale"/>
    <s v="Prototype"/>
    <x v="1"/>
    <x v="0"/>
    <s v="COP_24"/>
    <s v="Quarter4"/>
    <x v="0"/>
    <s v="Qtr_1"/>
    <x v="11"/>
    <d v="2024-12-01T00:00:00"/>
    <d v="2024-12-31T00:00:00"/>
    <x v="3"/>
    <n v="2"/>
    <n v="0"/>
    <n v="2"/>
    <n v="0"/>
    <n v="0"/>
    <n v="0"/>
    <n v="0"/>
    <n v="0"/>
    <n v="0"/>
    <n v="0"/>
    <n v="0"/>
    <n v="0"/>
    <n v="0"/>
    <n v="0"/>
    <n v="0"/>
    <n v="0"/>
    <n v="0"/>
    <n v="0"/>
    <n v="0"/>
    <n v="0"/>
    <n v="0"/>
    <n v="0"/>
    <n v="0"/>
    <n v="0"/>
    <n v="0"/>
    <m/>
  </r>
  <r>
    <n v="1281"/>
    <d v="2025-01-14T16:53:37"/>
    <d v="2025-01-14T16:58:03"/>
    <s v="lkaonga@lighthouse.org.mw"/>
    <s v="Lameck Kaonga"/>
    <s v="Kawale"/>
    <s v="Prototype"/>
    <x v="1"/>
    <x v="0"/>
    <s v="COP_24"/>
    <s v="Quarter4"/>
    <x v="0"/>
    <s v="Qtr_1"/>
    <x v="11"/>
    <d v="2024-12-01T00:00:00"/>
    <d v="2024-12-31T00:00:00"/>
    <x v="4"/>
    <n v="1"/>
    <n v="0"/>
    <n v="1"/>
    <n v="0"/>
    <n v="0"/>
    <n v="0"/>
    <n v="0"/>
    <n v="0"/>
    <n v="0"/>
    <n v="0"/>
    <n v="0"/>
    <n v="0"/>
    <n v="1"/>
    <n v="0"/>
    <n v="0"/>
    <n v="0"/>
    <n v="0"/>
    <n v="0"/>
    <n v="0"/>
    <n v="0"/>
    <n v="0"/>
    <n v="0"/>
    <n v="0"/>
    <n v="0"/>
    <n v="0"/>
    <m/>
  </r>
  <r>
    <n v="1282"/>
    <d v="2025-01-14T16:58:25"/>
    <d v="2025-01-14T17:00:26"/>
    <s v="lkaonga@lighthouse.org.mw"/>
    <s v="Lameck Kaonga"/>
    <s v="Kawale"/>
    <s v="Prototype"/>
    <x v="1"/>
    <x v="0"/>
    <s v="COP_24"/>
    <s v="Quarter4"/>
    <x v="0"/>
    <s v="Qtr_1"/>
    <x v="11"/>
    <d v="2024-12-01T00:00:00"/>
    <d v="2024-12-31T00:00:00"/>
    <x v="6"/>
    <n v="0"/>
    <n v="0"/>
    <n v="0"/>
    <n v="0"/>
    <n v="0"/>
    <n v="0"/>
    <n v="0"/>
    <n v="0"/>
    <n v="0"/>
    <n v="0"/>
    <n v="0"/>
    <n v="0"/>
    <n v="0"/>
    <n v="0"/>
    <n v="0"/>
    <n v="0"/>
    <n v="0"/>
    <n v="0"/>
    <n v="0"/>
    <n v="0"/>
    <n v="0"/>
    <n v="0"/>
    <n v="0"/>
    <n v="0"/>
    <n v="0"/>
    <m/>
  </r>
  <r>
    <n v="1283"/>
    <d v="2025-01-14T17:00:42"/>
    <d v="2025-01-14T17:03:39"/>
    <s v="lkaonga@lighthouse.org.mw"/>
    <s v="Lameck Kaonga"/>
    <s v="Kawale"/>
    <s v="Prototype"/>
    <x v="1"/>
    <x v="1"/>
    <s v="COP_24"/>
    <s v="Quarter4"/>
    <x v="0"/>
    <s v="Qtr_1"/>
    <x v="11"/>
    <d v="2024-12-01T00:00:00"/>
    <d v="2024-12-31T00:00:00"/>
    <x v="0"/>
    <n v="61"/>
    <n v="0"/>
    <n v="55"/>
    <n v="2"/>
    <n v="3"/>
    <n v="1"/>
    <n v="13"/>
    <n v="3"/>
    <n v="8"/>
    <n v="0"/>
    <n v="0"/>
    <n v="0"/>
    <n v="16"/>
    <n v="0"/>
    <n v="0"/>
    <n v="0"/>
    <n v="0"/>
    <n v="0"/>
    <n v="0"/>
    <n v="0"/>
    <n v="0"/>
    <n v="0"/>
    <n v="0"/>
    <n v="0"/>
    <n v="0"/>
    <m/>
  </r>
  <r>
    <n v="1315"/>
    <d v="2025-02-24T14:05:02"/>
    <d v="2025-02-24T14:08:07"/>
    <s v="eadisoni@lighthouse.org.mw"/>
    <s v="Eliza adisoni"/>
    <s v="Kawale"/>
    <s v="Prototype"/>
    <x v="2"/>
    <x v="0"/>
    <s v="COP_24"/>
    <s v="Quarter1"/>
    <x v="2"/>
    <s v="Qtr_2"/>
    <x v="4"/>
    <d v="2025-01-01T00:00:00"/>
    <d v="2025-01-31T00:00:00"/>
    <x v="0"/>
    <n v="43"/>
    <n v="0"/>
    <n v="38"/>
    <n v="3"/>
    <n v="1"/>
    <n v="1"/>
    <n v="2"/>
    <n v="1"/>
    <n v="0"/>
    <n v="0"/>
    <n v="0"/>
    <n v="0"/>
    <n v="18"/>
    <n v="0"/>
    <n v="0"/>
    <n v="0"/>
    <n v="0"/>
    <n v="0"/>
    <n v="0"/>
    <n v="0"/>
    <n v="0"/>
    <n v="0"/>
    <n v="0"/>
    <n v="0"/>
    <n v="0"/>
    <m/>
  </r>
  <r>
    <n v="1316"/>
    <d v="2025-02-24T14:08:21"/>
    <d v="2025-02-24T14:11:23"/>
    <s v="eadisoni@lighthouse.org.mw"/>
    <s v="Eliza adisoni"/>
    <s v="Kawale"/>
    <s v="Prototype"/>
    <x v="2"/>
    <x v="0"/>
    <s v="COP_24"/>
    <s v="Quarter1"/>
    <x v="2"/>
    <s v="Qtr_2"/>
    <x v="4"/>
    <d v="2025-01-01T00:00:00"/>
    <d v="2025-01-31T00:00:00"/>
    <x v="3"/>
    <n v="1"/>
    <n v="0"/>
    <n v="0"/>
    <n v="0"/>
    <n v="0"/>
    <n v="1"/>
    <n v="0"/>
    <n v="0"/>
    <n v="1"/>
    <n v="0"/>
    <n v="0"/>
    <n v="0"/>
    <n v="1"/>
    <n v="0"/>
    <n v="0"/>
    <n v="0"/>
    <n v="0"/>
    <n v="0"/>
    <n v="0"/>
    <n v="0"/>
    <n v="0"/>
    <n v="0"/>
    <n v="0"/>
    <n v="0"/>
    <n v="0"/>
    <m/>
  </r>
  <r>
    <n v="1317"/>
    <d v="2025-02-24T14:11:34"/>
    <d v="2025-02-24T14:13:32"/>
    <s v="eadisoni@lighthouse.org.mw"/>
    <s v="Eliza adisoni"/>
    <s v="Kawale"/>
    <s v="Prototype"/>
    <x v="2"/>
    <x v="0"/>
    <s v="COP_24"/>
    <s v="Quarter1"/>
    <x v="2"/>
    <s v="Qtr_2"/>
    <x v="4"/>
    <d v="2025-01-01T00:00:00"/>
    <d v="2025-01-31T00:00:00"/>
    <x v="4"/>
    <n v="1"/>
    <n v="0"/>
    <n v="1"/>
    <n v="0"/>
    <n v="0"/>
    <n v="0"/>
    <n v="0"/>
    <n v="0"/>
    <n v="0"/>
    <n v="0"/>
    <n v="0"/>
    <n v="0"/>
    <n v="1"/>
    <n v="0"/>
    <n v="0"/>
    <n v="0"/>
    <n v="0"/>
    <n v="0"/>
    <n v="0"/>
    <n v="0"/>
    <n v="0"/>
    <n v="0"/>
    <n v="0"/>
    <n v="0"/>
    <n v="0"/>
    <m/>
  </r>
  <r>
    <n v="1318"/>
    <d v="2025-02-24T14:13:42"/>
    <d v="2025-02-24T14:16:36"/>
    <s v="eadisoni@lighthouse.org.mw"/>
    <s v="Eliza adisoni"/>
    <s v="Kawale"/>
    <s v="Prototype"/>
    <x v="2"/>
    <x v="0"/>
    <s v="COP_24"/>
    <s v="Quarter1"/>
    <x v="2"/>
    <s v="Qtr_2"/>
    <x v="4"/>
    <d v="2025-01-01T00:00:00"/>
    <d v="2025-01-31T00:00:00"/>
    <x v="1"/>
    <n v="23"/>
    <n v="0"/>
    <n v="19"/>
    <n v="2"/>
    <n v="1"/>
    <n v="1"/>
    <n v="0"/>
    <n v="0"/>
    <n v="2"/>
    <n v="0"/>
    <n v="0"/>
    <n v="0"/>
    <n v="4"/>
    <n v="0"/>
    <n v="0"/>
    <n v="0"/>
    <n v="0"/>
    <n v="0"/>
    <n v="0"/>
    <n v="0"/>
    <n v="0"/>
    <n v="0"/>
    <n v="0"/>
    <n v="0"/>
    <n v="0"/>
    <m/>
  </r>
  <r>
    <n v="1319"/>
    <d v="2025-02-24T14:16:48"/>
    <d v="2025-02-24T14:19:17"/>
    <s v="eadisoni@lighthouse.org.mw"/>
    <s v="Eliza adisoni"/>
    <s v="Kawale"/>
    <s v="Prototype"/>
    <x v="2"/>
    <x v="0"/>
    <s v="COP_24"/>
    <s v="Quarter1"/>
    <x v="2"/>
    <s v="Qtr_2"/>
    <x v="4"/>
    <d v="2025-01-01T00:00:00"/>
    <d v="2025-01-31T00:00:00"/>
    <x v="2"/>
    <n v="12"/>
    <n v="0"/>
    <n v="12"/>
    <n v="0"/>
    <n v="0"/>
    <n v="0"/>
    <n v="0"/>
    <n v="0"/>
    <n v="7"/>
    <n v="0"/>
    <n v="0"/>
    <n v="0"/>
    <n v="10"/>
    <n v="0"/>
    <n v="1"/>
    <n v="0"/>
    <n v="0"/>
    <n v="0"/>
    <n v="0"/>
    <n v="0"/>
    <n v="0"/>
    <n v="0"/>
    <n v="0"/>
    <n v="0"/>
    <n v="0"/>
    <m/>
  </r>
  <r>
    <n v="1320"/>
    <d v="2025-02-24T14:19:30"/>
    <d v="2025-02-24T14:22:09"/>
    <s v="eadisoni@lighthouse.org.mw"/>
    <s v="Eliza adisoni"/>
    <s v="Kawale"/>
    <s v="Prototype"/>
    <x v="2"/>
    <x v="0"/>
    <s v="COP_24"/>
    <s v="Quarter1"/>
    <x v="2"/>
    <s v="Qtr_2"/>
    <x v="4"/>
    <d v="2025-01-01T00:00:00"/>
    <d v="2025-01-31T00:00:00"/>
    <x v="5"/>
    <n v="6"/>
    <n v="0"/>
    <n v="6"/>
    <n v="0"/>
    <n v="0"/>
    <n v="0"/>
    <n v="1"/>
    <n v="0"/>
    <n v="5"/>
    <n v="0"/>
    <n v="0"/>
    <n v="0"/>
    <n v="5"/>
    <n v="0"/>
    <n v="0"/>
    <n v="0"/>
    <n v="0"/>
    <n v="0"/>
    <n v="0"/>
    <n v="0"/>
    <n v="0"/>
    <n v="0"/>
    <n v="0"/>
    <n v="0"/>
    <n v="0"/>
    <m/>
  </r>
  <r>
    <n v="1364"/>
    <d v="2025-03-06T10:30:01"/>
    <d v="2025-03-06T10:33:12"/>
    <s v="eadisoni@lighthouse.org.mw"/>
    <s v="Eliza adisoni"/>
    <s v="Kawale"/>
    <s v="Prototype"/>
    <x v="2"/>
    <x v="0"/>
    <s v="COP_24"/>
    <s v="Quarter1"/>
    <x v="2"/>
    <s v="Qtr_2"/>
    <x v="5"/>
    <d v="2025-02-03T00:00:00"/>
    <d v="2025-02-28T00:00:00"/>
    <x v="0"/>
    <n v="16"/>
    <n v="0"/>
    <n v="14"/>
    <n v="1"/>
    <n v="1"/>
    <n v="0"/>
    <n v="2"/>
    <n v="0"/>
    <n v="0"/>
    <n v="0"/>
    <n v="0"/>
    <n v="0"/>
    <n v="0"/>
    <n v="0"/>
    <n v="0"/>
    <n v="0"/>
    <n v="0"/>
    <n v="0"/>
    <n v="0"/>
    <n v="0"/>
    <n v="0"/>
    <n v="0"/>
    <n v="0"/>
    <n v="0"/>
    <n v="0"/>
    <m/>
  </r>
  <r>
    <n v="1365"/>
    <d v="2025-03-06T10:33:33"/>
    <d v="2025-03-06T10:35:27"/>
    <s v="eadisoni@lighthouse.org.mw"/>
    <s v="Eliza adisoni"/>
    <s v="Kawale"/>
    <s v="Prototype"/>
    <x v="2"/>
    <x v="0"/>
    <s v="COP_24"/>
    <s v="Quarter1"/>
    <x v="2"/>
    <s v="Qtr_2"/>
    <x v="5"/>
    <d v="2025-02-03T00:00:00"/>
    <d v="2025-02-28T00:00:00"/>
    <x v="1"/>
    <n v="13"/>
    <n v="0"/>
    <n v="11"/>
    <n v="1"/>
    <n v="1"/>
    <n v="0"/>
    <n v="2"/>
    <n v="0"/>
    <n v="0"/>
    <n v="0"/>
    <n v="0"/>
    <n v="0"/>
    <n v="1"/>
    <n v="0"/>
    <n v="0"/>
    <n v="0"/>
    <n v="0"/>
    <n v="0"/>
    <n v="0"/>
    <n v="0"/>
    <n v="0"/>
    <n v="0"/>
    <n v="0"/>
    <n v="0"/>
    <n v="0"/>
    <m/>
  </r>
  <r>
    <n v="1366"/>
    <d v="2025-03-06T10:35:33"/>
    <d v="2025-03-06T10:37:23"/>
    <s v="eadisoni@lighthouse.org.mw"/>
    <s v="Eliza adisoni"/>
    <s v="Kawale"/>
    <s v="Prototype"/>
    <x v="2"/>
    <x v="0"/>
    <s v="COP_24"/>
    <s v="Quarter1"/>
    <x v="2"/>
    <s v="Qtr_2"/>
    <x v="5"/>
    <d v="2025-02-03T00:00:00"/>
    <d v="2025-02-28T00:00:00"/>
    <x v="3"/>
    <n v="1"/>
    <n v="1"/>
    <n v="0"/>
    <n v="0"/>
    <n v="1"/>
    <n v="0"/>
    <n v="0"/>
    <n v="0"/>
    <n v="1"/>
    <n v="0"/>
    <n v="0"/>
    <n v="0"/>
    <n v="1"/>
    <n v="0"/>
    <n v="0"/>
    <n v="0"/>
    <n v="0"/>
    <n v="0"/>
    <n v="0"/>
    <n v="0"/>
    <n v="0"/>
    <n v="0"/>
    <n v="0"/>
    <n v="0"/>
    <n v="0"/>
    <m/>
  </r>
  <r>
    <n v="1368"/>
    <d v="2025-03-06T10:37:32"/>
    <d v="2025-03-06T10:39:58"/>
    <s v="eadisoni@lighthouse.org.mw"/>
    <s v="Eliza adisoni"/>
    <s v="Kawale"/>
    <s v="Prototype"/>
    <x v="2"/>
    <x v="0"/>
    <s v="COP_24"/>
    <s v="Quarter1"/>
    <x v="2"/>
    <s v="Qtr_2"/>
    <x v="5"/>
    <d v="2025-02-03T00:00:00"/>
    <d v="2025-02-28T00:00:00"/>
    <x v="2"/>
    <n v="3"/>
    <n v="0"/>
    <n v="3"/>
    <n v="0"/>
    <n v="0"/>
    <n v="0"/>
    <n v="0"/>
    <n v="0"/>
    <n v="3"/>
    <n v="0"/>
    <n v="0"/>
    <n v="0"/>
    <n v="3"/>
    <n v="0"/>
    <n v="0"/>
    <n v="0"/>
    <n v="0"/>
    <n v="0"/>
    <n v="0"/>
    <n v="0"/>
    <n v="0"/>
    <n v="0"/>
    <n v="0"/>
    <n v="0"/>
    <n v="0"/>
    <m/>
  </r>
  <r>
    <n v="1369"/>
    <d v="2025-03-06T10:40:08"/>
    <d v="2025-03-06T10:42:41"/>
    <s v="eadisoni@lighthouse.org.mw"/>
    <s v="Eliza adisoni"/>
    <s v="Kawale"/>
    <s v="Prototype"/>
    <x v="2"/>
    <x v="0"/>
    <s v="COP_24"/>
    <s v="Quarter1"/>
    <x v="2"/>
    <s v="Qtr_2"/>
    <x v="5"/>
    <d v="2025-02-03T00:00:00"/>
    <d v="2025-02-28T00:00:00"/>
    <x v="4"/>
    <n v="0"/>
    <n v="0"/>
    <n v="0"/>
    <n v="0"/>
    <n v="0"/>
    <n v="0"/>
    <n v="0"/>
    <n v="0"/>
    <n v="0"/>
    <n v="0"/>
    <n v="0"/>
    <n v="0"/>
    <n v="0"/>
    <n v="0"/>
    <n v="0"/>
    <n v="0"/>
    <n v="0"/>
    <n v="0"/>
    <n v="0"/>
    <n v="0"/>
    <n v="0"/>
    <n v="0"/>
    <n v="0"/>
    <n v="0"/>
    <n v="0"/>
    <m/>
  </r>
  <r>
    <n v="1370"/>
    <d v="2025-03-06T10:43:04"/>
    <d v="2025-03-06T10:46:48"/>
    <s v="eadisoni@lighthouse.org.mw"/>
    <s v="Eliza adisoni"/>
    <s v="Kawale"/>
    <s v="Prototype"/>
    <x v="2"/>
    <x v="0"/>
    <s v="COP_24"/>
    <s v="Quarter1"/>
    <x v="2"/>
    <s v="Qtr_2"/>
    <x v="5"/>
    <d v="2025-02-03T00:00:00"/>
    <d v="2025-02-28T00:00:00"/>
    <x v="5"/>
    <n v="0"/>
    <n v="0"/>
    <n v="0"/>
    <n v="0"/>
    <n v="0"/>
    <n v="0"/>
    <n v="0"/>
    <n v="0"/>
    <n v="0"/>
    <n v="0"/>
    <n v="0"/>
    <n v="0"/>
    <n v="0"/>
    <n v="0"/>
    <n v="0"/>
    <n v="0"/>
    <n v="0"/>
    <n v="0"/>
    <n v="0"/>
    <n v="0"/>
    <n v="0"/>
    <n v="0"/>
    <n v="0"/>
    <n v="0"/>
    <n v="0"/>
    <m/>
  </r>
  <r>
    <n v="1482"/>
    <d v="2025-04-03T07:59:12"/>
    <d v="2025-04-03T08:06:34"/>
    <s v="eadisoni@lighthouse.org.mw"/>
    <s v="Eliza adisoni"/>
    <s v="Kawale"/>
    <s v="Prototype"/>
    <x v="2"/>
    <x v="0"/>
    <s v="COP_24"/>
    <s v="Quarter1"/>
    <x v="2"/>
    <s v="Qtr_2"/>
    <x v="3"/>
    <d v="2025-03-01T00:00:00"/>
    <d v="2025-03-31T00:00:00"/>
    <x v="0"/>
    <n v="77"/>
    <n v="0"/>
    <n v="66"/>
    <n v="7"/>
    <n v="2"/>
    <n v="2"/>
    <n v="28"/>
    <n v="9"/>
    <n v="48"/>
    <n v="0"/>
    <n v="0"/>
    <n v="0"/>
    <n v="50"/>
    <n v="5"/>
    <n v="3"/>
    <n v="0"/>
    <n v="0"/>
    <n v="0"/>
    <n v="0"/>
    <n v="0"/>
    <n v="5"/>
    <n v="5"/>
    <n v="0"/>
    <n v="0"/>
    <n v="0"/>
    <m/>
  </r>
  <r>
    <n v="1483"/>
    <d v="2025-04-03T08:06:39"/>
    <d v="2025-04-03T08:08:29"/>
    <s v="eadisoni@lighthouse.org.mw"/>
    <s v="Eliza adisoni"/>
    <s v="Kawale"/>
    <s v="Prototype"/>
    <x v="2"/>
    <x v="0"/>
    <s v="COP_24"/>
    <s v="Quarter1"/>
    <x v="2"/>
    <s v="Qtr_2"/>
    <x v="3"/>
    <d v="2025-03-01T00:00:00"/>
    <d v="2025-03-31T00:00:00"/>
    <x v="1"/>
    <n v="40"/>
    <n v="0"/>
    <n v="34"/>
    <n v="3"/>
    <n v="2"/>
    <n v="1"/>
    <n v="27"/>
    <n v="10"/>
    <n v="11"/>
    <n v="0"/>
    <n v="0"/>
    <n v="0"/>
    <n v="14"/>
    <n v="0"/>
    <n v="2"/>
    <n v="0"/>
    <n v="0"/>
    <n v="0"/>
    <n v="0"/>
    <n v="0"/>
    <n v="0"/>
    <n v="0"/>
    <n v="0"/>
    <n v="0"/>
    <n v="0"/>
    <m/>
  </r>
  <r>
    <n v="1484"/>
    <d v="2025-04-03T08:08:38"/>
    <d v="2025-04-03T08:09:41"/>
    <s v="eadisoni@lighthouse.org.mw"/>
    <s v="Eliza adisoni"/>
    <s v="Kawale"/>
    <s v="Prototype"/>
    <x v="2"/>
    <x v="0"/>
    <s v="COP_24"/>
    <s v="Quarter1"/>
    <x v="2"/>
    <s v="Qtr_2"/>
    <x v="3"/>
    <d v="2025-03-01T00:00:00"/>
    <d v="2025-03-31T00:00:00"/>
    <x v="3"/>
    <n v="0"/>
    <n v="0"/>
    <n v="0"/>
    <n v="0"/>
    <n v="0"/>
    <n v="0"/>
    <n v="0"/>
    <n v="0"/>
    <n v="0"/>
    <n v="0"/>
    <n v="0"/>
    <n v="0"/>
    <n v="0"/>
    <n v="0"/>
    <n v="0"/>
    <n v="0"/>
    <n v="0"/>
    <n v="0"/>
    <n v="0"/>
    <n v="0"/>
    <n v="0"/>
    <n v="0"/>
    <n v="0"/>
    <n v="0"/>
    <n v="0"/>
    <m/>
  </r>
  <r>
    <n v="1485"/>
    <d v="2025-04-03T08:10:27"/>
    <d v="2025-04-03T08:12:34"/>
    <s v="eadisoni@lighthouse.org.mw"/>
    <s v="Eliza adisoni"/>
    <s v="Kawale"/>
    <s v="Prototype"/>
    <x v="2"/>
    <x v="0"/>
    <s v="COP_24"/>
    <s v="Quarter1"/>
    <x v="2"/>
    <s v="Qtr_2"/>
    <x v="3"/>
    <d v="2025-03-01T00:00:00"/>
    <d v="2025-03-31T00:00:00"/>
    <x v="5"/>
    <n v="8"/>
    <n v="0"/>
    <n v="8"/>
    <n v="0"/>
    <n v="0"/>
    <n v="0"/>
    <n v="0"/>
    <n v="0"/>
    <n v="8"/>
    <n v="0"/>
    <n v="0"/>
    <n v="0"/>
    <n v="8"/>
    <n v="1"/>
    <n v="0"/>
    <n v="0"/>
    <n v="0"/>
    <n v="0"/>
    <n v="0"/>
    <n v="0"/>
    <n v="0"/>
    <n v="0"/>
    <n v="0"/>
    <n v="0"/>
    <n v="0"/>
    <m/>
  </r>
  <r>
    <n v="1486"/>
    <d v="2025-04-03T08:12:38"/>
    <d v="2025-04-03T08:14:19"/>
    <s v="eadisoni@lighthouse.org.mw"/>
    <s v="Eliza adisoni"/>
    <s v="Kawale"/>
    <s v="Prototype"/>
    <x v="2"/>
    <x v="0"/>
    <s v="COP_24"/>
    <s v="Quarter1"/>
    <x v="2"/>
    <s v="Qtr_2"/>
    <x v="3"/>
    <d v="2025-03-01T00:00:00"/>
    <d v="2025-03-31T00:00:00"/>
    <x v="4"/>
    <n v="4"/>
    <n v="0"/>
    <n v="4"/>
    <n v="0"/>
    <n v="0"/>
    <n v="0"/>
    <n v="2"/>
    <n v="0"/>
    <n v="0"/>
    <n v="0"/>
    <n v="0"/>
    <n v="0"/>
    <n v="1"/>
    <n v="1"/>
    <n v="0"/>
    <n v="0"/>
    <n v="0"/>
    <n v="0"/>
    <n v="0"/>
    <n v="0"/>
    <n v="1"/>
    <n v="0"/>
    <n v="0"/>
    <n v="0"/>
    <n v="0"/>
    <m/>
  </r>
  <r>
    <n v="1487"/>
    <d v="2025-04-03T08:14:36"/>
    <d v="2025-04-03T08:16:59"/>
    <s v="eadisoni@lighthouse.org.mw"/>
    <s v="Eliza adisoni"/>
    <s v="Kawale"/>
    <s v="Prototype"/>
    <x v="2"/>
    <x v="0"/>
    <s v="COP_24"/>
    <s v="Quarter1"/>
    <x v="2"/>
    <s v="Qtr_2"/>
    <x v="3"/>
    <d v="2025-03-01T00:00:00"/>
    <d v="2025-03-31T00:00:00"/>
    <x v="2"/>
    <n v="35"/>
    <n v="0"/>
    <n v="32"/>
    <n v="2"/>
    <n v="0"/>
    <n v="1"/>
    <n v="1"/>
    <n v="1"/>
    <n v="34"/>
    <n v="0"/>
    <n v="0"/>
    <n v="0"/>
    <n v="34"/>
    <n v="4"/>
    <n v="1"/>
    <n v="0"/>
    <n v="0"/>
    <n v="0"/>
    <n v="0"/>
    <n v="0"/>
    <n v="5"/>
    <n v="0"/>
    <n v="0"/>
    <n v="0"/>
    <n v="0"/>
    <m/>
  </r>
  <r>
    <n v="1614"/>
    <d v="2025-06-03T10:07:00"/>
    <d v="2025-06-03T10:09:21"/>
    <s v="eadisoni@lighthouse.org.mw"/>
    <s v="Eliza adisoni"/>
    <s v="Kawale"/>
    <s v="Prototype"/>
    <x v="2"/>
    <x v="2"/>
    <m/>
    <s v="Quarter3"/>
    <x v="3"/>
    <m/>
    <x v="7"/>
    <d v="2025-04-01T00:00:00"/>
    <d v="2025-04-30T00:00:00"/>
    <x v="0"/>
    <n v="52"/>
    <n v="0"/>
    <n v="44"/>
    <n v="4"/>
    <n v="2"/>
    <n v="2"/>
    <n v="28"/>
    <n v="11"/>
    <n v="0"/>
    <n v="0"/>
    <n v="0"/>
    <n v="0"/>
    <n v="28"/>
    <n v="2"/>
    <n v="0"/>
    <n v="0"/>
    <n v="0"/>
    <n v="0"/>
    <n v="0"/>
    <n v="0"/>
    <n v="2"/>
    <n v="0"/>
    <n v="0"/>
    <n v="0"/>
    <n v="0"/>
    <m/>
  </r>
  <r>
    <n v="1615"/>
    <d v="2025-06-03T10:09:37"/>
    <d v="2025-06-03T10:11:55"/>
    <s v="eadisoni@lighthouse.org.mw"/>
    <s v="Eliza adisoni"/>
    <s v="Kawale"/>
    <s v="Prototype"/>
    <x v="2"/>
    <x v="0"/>
    <m/>
    <s v="Quarter3"/>
    <x v="3"/>
    <m/>
    <x v="7"/>
    <d v="2025-04-01T00:00:00"/>
    <d v="2025-04-30T00:00:00"/>
    <x v="1"/>
    <n v="31"/>
    <n v="0"/>
    <n v="25"/>
    <n v="4"/>
    <n v="2"/>
    <n v="0"/>
    <n v="24"/>
    <n v="9"/>
    <n v="8"/>
    <n v="0"/>
    <n v="8"/>
    <n v="0"/>
    <n v="0"/>
    <n v="0"/>
    <n v="0"/>
    <n v="0"/>
    <n v="0"/>
    <n v="0"/>
    <n v="0"/>
    <n v="0"/>
    <n v="0"/>
    <n v="0"/>
    <n v="0"/>
    <n v="0"/>
    <n v="0"/>
    <m/>
  </r>
  <r>
    <n v="1616"/>
    <d v="2025-06-03T10:12:02"/>
    <d v="2025-06-03T10:13:50"/>
    <s v="eadisoni@lighthouse.org.mw"/>
    <s v="Eliza adisoni"/>
    <s v="Kawale"/>
    <s v="Prototype"/>
    <x v="2"/>
    <x v="0"/>
    <m/>
    <s v="Quarter3"/>
    <x v="3"/>
    <m/>
    <x v="7"/>
    <d v="2025-04-01T00:00:00"/>
    <d v="2025-04-30T00:00:00"/>
    <x v="3"/>
    <n v="1"/>
    <n v="0"/>
    <n v="1"/>
    <n v="0"/>
    <n v="0"/>
    <n v="0"/>
    <n v="0"/>
    <n v="0"/>
    <n v="0"/>
    <n v="0"/>
    <n v="0"/>
    <n v="0"/>
    <n v="0"/>
    <n v="0"/>
    <n v="0"/>
    <n v="0"/>
    <n v="0"/>
    <n v="0"/>
    <n v="0"/>
    <n v="0"/>
    <n v="0"/>
    <n v="0"/>
    <n v="0"/>
    <n v="0"/>
    <n v="0"/>
    <m/>
  </r>
  <r>
    <n v="1617"/>
    <d v="2025-06-03T10:13:58"/>
    <d v="2025-06-03T10:15:13"/>
    <s v="eadisoni@lighthouse.org.mw"/>
    <s v="Eliza adisoni"/>
    <s v="Kawale"/>
    <s v="Prototype"/>
    <x v="2"/>
    <x v="0"/>
    <m/>
    <s v="Quarter3"/>
    <x v="3"/>
    <m/>
    <x v="7"/>
    <d v="2025-04-01T00:00:00"/>
    <d v="2025-04-30T00:00:00"/>
    <x v="4"/>
    <n v="0"/>
    <n v="0"/>
    <n v="0"/>
    <n v="0"/>
    <n v="0"/>
    <n v="0"/>
    <n v="0"/>
    <n v="0"/>
    <n v="0"/>
    <n v="0"/>
    <n v="0"/>
    <n v="0"/>
    <n v="0"/>
    <n v="0"/>
    <n v="0"/>
    <n v="0"/>
    <n v="0"/>
    <n v="0"/>
    <n v="0"/>
    <n v="0"/>
    <n v="0"/>
    <n v="0"/>
    <n v="0"/>
    <n v="0"/>
    <n v="0"/>
    <m/>
  </r>
  <r>
    <n v="1647"/>
    <d v="2025-06-05T11:42:45"/>
    <d v="2025-06-05T11:44:58"/>
    <s v="eadisoni@lighthouse.org.mw"/>
    <s v="Eliza adisoni"/>
    <s v="Kawale"/>
    <s v="Prototype"/>
    <x v="2"/>
    <x v="0"/>
    <m/>
    <s v="Quarter3"/>
    <x v="3"/>
    <m/>
    <x v="6"/>
    <d v="2025-05-01T00:00:00"/>
    <d v="2025-05-31T00:00:00"/>
    <x v="0"/>
    <n v="54"/>
    <n v="0"/>
    <n v="45"/>
    <n v="2"/>
    <n v="7"/>
    <n v="0"/>
    <n v="13"/>
    <n v="3"/>
    <n v="12"/>
    <n v="0"/>
    <n v="0"/>
    <n v="0"/>
    <n v="35"/>
    <n v="0"/>
    <n v="5"/>
    <n v="0"/>
    <n v="0"/>
    <n v="0"/>
    <n v="0"/>
    <n v="0"/>
    <n v="0"/>
    <n v="0"/>
    <n v="0"/>
    <n v="0"/>
    <n v="0"/>
    <m/>
  </r>
  <r>
    <n v="1648"/>
    <d v="2025-06-05T11:45:09"/>
    <d v="2025-06-05T11:47:42"/>
    <s v="eadisoni@lighthouse.org.mw"/>
    <s v="Eliza adisoni"/>
    <s v="Kawale"/>
    <s v="Prototype"/>
    <x v="2"/>
    <x v="0"/>
    <m/>
    <s v="Quarter3"/>
    <x v="3"/>
    <m/>
    <x v="6"/>
    <d v="2025-05-01T00:00:00"/>
    <d v="2025-05-31T00:00:00"/>
    <x v="1"/>
    <n v="28"/>
    <n v="0"/>
    <n v="20"/>
    <n v="1"/>
    <n v="7"/>
    <n v="0"/>
    <n v="13"/>
    <n v="3"/>
    <n v="1"/>
    <n v="0"/>
    <n v="0"/>
    <n v="0"/>
    <n v="12"/>
    <n v="0"/>
    <n v="0"/>
    <n v="0"/>
    <n v="0"/>
    <n v="0"/>
    <n v="0"/>
    <n v="0"/>
    <n v="0"/>
    <n v="0"/>
    <n v="0"/>
    <n v="0"/>
    <n v="0"/>
    <m/>
  </r>
  <r>
    <n v="1649"/>
    <d v="2025-06-05T11:47:47"/>
    <d v="2025-06-05T11:49:01"/>
    <s v="eadisoni@lighthouse.org.mw"/>
    <s v="Eliza adisoni"/>
    <s v="Kawale"/>
    <s v="Prototype"/>
    <x v="2"/>
    <x v="0"/>
    <m/>
    <s v="Quarter3"/>
    <x v="3"/>
    <m/>
    <x v="6"/>
    <d v="2025-05-01T00:00:00"/>
    <d v="2025-05-31T00:00:00"/>
    <x v="3"/>
    <n v="0"/>
    <n v="0"/>
    <n v="0"/>
    <n v="0"/>
    <n v="0"/>
    <n v="0"/>
    <n v="0"/>
    <n v="0"/>
    <n v="0"/>
    <n v="0"/>
    <n v="0"/>
    <n v="0"/>
    <n v="0"/>
    <n v="0"/>
    <n v="0"/>
    <n v="0"/>
    <n v="0"/>
    <n v="0"/>
    <n v="0"/>
    <n v="0"/>
    <n v="0"/>
    <n v="0"/>
    <n v="0"/>
    <n v="0"/>
    <n v="0"/>
    <m/>
  </r>
  <r>
    <n v="1650"/>
    <d v="2025-06-05T11:49:11"/>
    <d v="2025-06-05T11:50:45"/>
    <s v="eadisoni@lighthouse.org.mw"/>
    <s v="Eliza adisoni"/>
    <s v="Kawale"/>
    <s v="Prototype"/>
    <x v="2"/>
    <x v="0"/>
    <m/>
    <s v="Quarter3"/>
    <x v="3"/>
    <m/>
    <x v="6"/>
    <d v="2025-05-01T00:00:00"/>
    <d v="2025-05-31T00:00:00"/>
    <x v="4"/>
    <n v="1"/>
    <n v="0"/>
    <n v="0"/>
    <n v="0"/>
    <n v="1"/>
    <n v="0"/>
    <n v="0"/>
    <n v="0"/>
    <n v="0"/>
    <n v="0"/>
    <n v="0"/>
    <n v="0"/>
    <n v="0"/>
    <n v="0"/>
    <n v="0"/>
    <n v="0"/>
    <n v="0"/>
    <n v="0"/>
    <n v="0"/>
    <n v="0"/>
    <n v="0"/>
    <n v="0"/>
    <n v="0"/>
    <n v="0"/>
    <n v="0"/>
    <m/>
  </r>
  <r>
    <n v="1651"/>
    <d v="2025-06-05T11:51:25"/>
    <d v="2025-06-05T11:53:22"/>
    <s v="eadisoni@lighthouse.org.mw"/>
    <s v="Eliza adisoni"/>
    <s v="Kawale"/>
    <s v="Prototype"/>
    <x v="2"/>
    <x v="0"/>
    <m/>
    <s v="Quarter3"/>
    <x v="3"/>
    <m/>
    <x v="6"/>
    <d v="2025-05-01T00:00:00"/>
    <d v="2025-05-31T00:00:00"/>
    <x v="5"/>
    <n v="8"/>
    <n v="0"/>
    <n v="8"/>
    <n v="0"/>
    <n v="0"/>
    <n v="0"/>
    <n v="0"/>
    <n v="0"/>
    <n v="0"/>
    <n v="0"/>
    <n v="0"/>
    <n v="0"/>
    <n v="7"/>
    <n v="0"/>
    <n v="0"/>
    <n v="0"/>
    <n v="0"/>
    <n v="0"/>
    <n v="0"/>
    <n v="0"/>
    <n v="0"/>
    <n v="0"/>
    <n v="0"/>
    <n v="0"/>
    <n v="0"/>
    <m/>
  </r>
  <r>
    <n v="1652"/>
    <d v="2025-06-05T11:53:32"/>
    <d v="2025-06-05T11:55:34"/>
    <s v="eadisoni@lighthouse.org.mw"/>
    <s v="Eliza adisoni"/>
    <s v="Kawale"/>
    <s v="Prototype"/>
    <x v="2"/>
    <x v="0"/>
    <m/>
    <s v="Quarter3"/>
    <x v="3"/>
    <m/>
    <x v="6"/>
    <d v="2025-05-01T00:00:00"/>
    <d v="2025-05-31T00:00:00"/>
    <x v="2"/>
    <n v="19"/>
    <n v="0"/>
    <n v="19"/>
    <n v="0"/>
    <n v="0"/>
    <n v="0"/>
    <n v="0"/>
    <n v="0"/>
    <n v="6"/>
    <n v="0"/>
    <n v="0"/>
    <n v="0"/>
    <n v="19"/>
    <n v="0"/>
    <n v="1"/>
    <n v="0"/>
    <n v="0"/>
    <n v="0"/>
    <n v="0"/>
    <n v="0"/>
    <n v="0"/>
    <n v="0"/>
    <n v="0"/>
    <n v="0"/>
    <n v="0"/>
    <m/>
  </r>
  <r>
    <n v="1707"/>
    <d v="2025-07-01T10:18:40"/>
    <d v="2025-07-01T10:25:08"/>
    <s v="eadisoni@lighthouse.org.mw"/>
    <s v="Eliza adisoni"/>
    <s v="Kawale"/>
    <s v="Prototype"/>
    <x v="2"/>
    <x v="0"/>
    <m/>
    <s v="Quarter3"/>
    <x v="3"/>
    <m/>
    <x v="7"/>
    <d v="2025-04-01T00:00:00"/>
    <d v="2025-04-30T00:00:00"/>
    <x v="2"/>
    <n v="21"/>
    <n v="2"/>
    <n v="17"/>
    <n v="0"/>
    <n v="0"/>
    <n v="4"/>
    <n v="4"/>
    <n v="2"/>
    <n v="19"/>
    <n v="0"/>
    <n v="0"/>
    <n v="0"/>
    <n v="19"/>
    <n v="2"/>
    <n v="0"/>
    <n v="0"/>
    <n v="0"/>
    <n v="0"/>
    <n v="0"/>
    <n v="0"/>
    <n v="2"/>
    <n v="0"/>
    <n v="0"/>
    <n v="0"/>
    <n v="0"/>
    <m/>
  </r>
  <r>
    <n v="1725"/>
    <d v="2025-07-08T07:32:43"/>
    <d v="2025-07-08T07:36:14"/>
    <s v="eadisoni@lighthouse.org.mw"/>
    <s v="Eliza adisoni"/>
    <s v="Kawale"/>
    <s v="Prototype"/>
    <x v="2"/>
    <x v="0"/>
    <m/>
    <s v="Quarter2"/>
    <x v="3"/>
    <m/>
    <x v="8"/>
    <d v="2025-06-01T00:00:00"/>
    <d v="2025-06-30T00:00:00"/>
    <x v="0"/>
    <n v="81"/>
    <n v="0"/>
    <n v="75"/>
    <n v="2"/>
    <n v="4"/>
    <n v="0"/>
    <n v="22"/>
    <n v="6"/>
    <n v="59"/>
    <n v="0"/>
    <n v="1"/>
    <n v="0"/>
    <n v="59"/>
    <n v="1"/>
    <n v="1"/>
    <n v="0"/>
    <n v="0"/>
    <n v="0"/>
    <n v="0"/>
    <n v="0"/>
    <n v="0"/>
    <n v="0"/>
    <n v="0"/>
    <n v="0"/>
    <n v="0"/>
    <m/>
  </r>
  <r>
    <n v="1726"/>
    <d v="2025-07-08T07:36:19"/>
    <d v="2025-07-08T07:38:30"/>
    <s v="eadisoni@lighthouse.org.mw"/>
    <s v="Eliza adisoni"/>
    <s v="Kawale"/>
    <s v="Prototype"/>
    <x v="2"/>
    <x v="0"/>
    <m/>
    <s v="Quarter2"/>
    <x v="3"/>
    <m/>
    <x v="8"/>
    <d v="2025-06-01T00:00:00"/>
    <d v="2025-06-30T00:00:00"/>
    <x v="1"/>
    <n v="28"/>
    <n v="0"/>
    <n v="23"/>
    <n v="1"/>
    <n v="4"/>
    <n v="0"/>
    <n v="21"/>
    <n v="5"/>
    <n v="3"/>
    <n v="0"/>
    <n v="0"/>
    <n v="0"/>
    <n v="3"/>
    <n v="0"/>
    <n v="0"/>
    <n v="0"/>
    <n v="0"/>
    <n v="0"/>
    <n v="0"/>
    <n v="0"/>
    <n v="0"/>
    <n v="0"/>
    <n v="0"/>
    <n v="0"/>
    <n v="0"/>
    <m/>
  </r>
  <r>
    <n v="1727"/>
    <d v="2025-07-08T07:38:35"/>
    <d v="2025-07-08T07:40:15"/>
    <s v="eadisoni@lighthouse.org.mw"/>
    <s v="Eliza adisoni"/>
    <s v="Kawale"/>
    <s v="Prototype"/>
    <x v="2"/>
    <x v="0"/>
    <m/>
    <s v="Quarter2"/>
    <x v="3"/>
    <m/>
    <x v="8"/>
    <d v="2025-06-01T00:00:00"/>
    <d v="2025-06-30T00:00:00"/>
    <x v="3"/>
    <n v="2"/>
    <n v="0"/>
    <n v="1"/>
    <n v="0"/>
    <n v="0"/>
    <n v="1"/>
    <n v="0"/>
    <n v="0"/>
    <n v="0"/>
    <n v="0"/>
    <n v="0"/>
    <n v="0"/>
    <n v="0"/>
    <n v="0"/>
    <n v="0"/>
    <n v="0"/>
    <n v="0"/>
    <n v="0"/>
    <n v="0"/>
    <n v="0"/>
    <n v="0"/>
    <n v="0"/>
    <n v="0"/>
    <n v="0"/>
    <n v="0"/>
    <m/>
  </r>
  <r>
    <n v="1728"/>
    <d v="2025-07-08T07:40:20"/>
    <d v="2025-07-08T07:42:00"/>
    <s v="eadisoni@lighthouse.org.mw"/>
    <s v="Eliza adisoni"/>
    <s v="Kawale"/>
    <s v="Prototype"/>
    <x v="2"/>
    <x v="0"/>
    <m/>
    <s v="Quarter2"/>
    <x v="3"/>
    <m/>
    <x v="8"/>
    <d v="2025-06-01T00:00:00"/>
    <d v="2025-06-30T00:00:00"/>
    <x v="4"/>
    <n v="5"/>
    <n v="0"/>
    <n v="5"/>
    <n v="0"/>
    <n v="0"/>
    <n v="0"/>
    <n v="0"/>
    <n v="0"/>
    <n v="4"/>
    <n v="0"/>
    <n v="1"/>
    <n v="0"/>
    <n v="4"/>
    <n v="0"/>
    <n v="0"/>
    <n v="0"/>
    <n v="0"/>
    <n v="0"/>
    <n v="0"/>
    <n v="0"/>
    <n v="0"/>
    <n v="0"/>
    <n v="0"/>
    <n v="0"/>
    <n v="0"/>
    <m/>
  </r>
  <r>
    <n v="1729"/>
    <d v="2025-07-08T07:42:07"/>
    <d v="2025-07-08T07:43:47"/>
    <s v="eadisoni@lighthouse.org.mw"/>
    <s v="Eliza adisoni"/>
    <s v="Kawale"/>
    <s v="Prototype"/>
    <x v="2"/>
    <x v="2"/>
    <m/>
    <s v="Quarter2"/>
    <x v="3"/>
    <m/>
    <x v="8"/>
    <d v="2025-06-01T00:00:00"/>
    <d v="2025-06-30T00:00:00"/>
    <x v="5"/>
    <n v="13"/>
    <n v="0"/>
    <n v="13"/>
    <n v="0"/>
    <n v="0"/>
    <n v="0"/>
    <n v="0"/>
    <n v="0"/>
    <n v="8"/>
    <n v="0"/>
    <n v="3"/>
    <n v="0"/>
    <n v="9"/>
    <n v="0"/>
    <n v="0"/>
    <n v="0"/>
    <n v="0"/>
    <n v="0"/>
    <n v="0"/>
    <n v="0"/>
    <n v="0"/>
    <n v="0"/>
    <n v="0"/>
    <n v="0"/>
    <n v="0"/>
    <m/>
  </r>
  <r>
    <n v="1803"/>
    <d v="2025-07-12T12:54:00"/>
    <d v="2025-07-12T12:56:40"/>
    <s v="eadisoni@lighthouse.org.mw"/>
    <s v="Eliza adisoni"/>
    <s v="Kawale"/>
    <s v="Prototype"/>
    <x v="2"/>
    <x v="0"/>
    <m/>
    <s v="Quarter2"/>
    <x v="3"/>
    <m/>
    <x v="8"/>
    <d v="2025-06-01T00:00:00"/>
    <d v="2025-06-30T00:00:00"/>
    <x v="2"/>
    <n v="51"/>
    <n v="0"/>
    <n v="51"/>
    <n v="0"/>
    <n v="0"/>
    <n v="0"/>
    <n v="0"/>
    <n v="0"/>
    <n v="3"/>
    <n v="0"/>
    <n v="1"/>
    <n v="0"/>
    <n v="49"/>
    <n v="1"/>
    <n v="0"/>
    <n v="0"/>
    <n v="0"/>
    <n v="0"/>
    <n v="0"/>
    <n v="0"/>
    <n v="0"/>
    <n v="0"/>
    <n v="0"/>
    <n v="0"/>
    <n v="0"/>
    <m/>
  </r>
  <r>
    <n v="1804"/>
    <d v="2025-07-12T12:57:17"/>
    <d v="2025-07-12T12:59:42"/>
    <s v="eadisoni@lighthouse.org.mw"/>
    <s v="Eliza adisoni"/>
    <s v="Kawale"/>
    <s v="Prototype"/>
    <x v="2"/>
    <x v="0"/>
    <m/>
    <s v="Quarter3"/>
    <x v="2"/>
    <m/>
    <x v="7"/>
    <d v="2025-04-01T00:00:00"/>
    <d v="2025-04-30T00:00:00"/>
    <x v="5"/>
    <n v="3"/>
    <n v="0"/>
    <n v="3"/>
    <n v="0"/>
    <n v="0"/>
    <n v="0"/>
    <n v="3"/>
    <n v="0"/>
    <n v="3"/>
    <n v="0"/>
    <n v="0"/>
    <n v="0"/>
    <n v="3"/>
    <n v="0"/>
    <n v="0"/>
    <n v="0"/>
    <n v="0"/>
    <n v="0"/>
    <n v="0"/>
    <n v="0"/>
    <n v="0"/>
    <n v="0"/>
    <n v="0"/>
    <n v="0"/>
    <n v="0"/>
    <m/>
  </r>
  <r>
    <n v="3"/>
    <d v="2023-12-15T12:11:52"/>
    <d v="2023-12-15T12:16:35"/>
    <s v="jkathyoka@lighthouse.org.mw"/>
    <s v="Judith Kathyoka"/>
    <s v="KCH_OPD1"/>
    <s v="Prototype"/>
    <x v="0"/>
    <x v="0"/>
    <s v="COP_22"/>
    <s v="Quarter3"/>
    <x v="1"/>
    <s v="Qtr_4"/>
    <x v="2"/>
    <d v="2023-09-01T00:00:00"/>
    <d v="2023-11-30T00:00:00"/>
    <x v="0"/>
    <n v="3"/>
    <n v="0"/>
    <n v="2"/>
    <n v="0"/>
    <n v="1"/>
    <n v="0"/>
    <n v="3"/>
    <n v="1"/>
    <n v="2"/>
    <n v="0"/>
    <n v="3"/>
    <n v="0"/>
    <n v="3"/>
    <n v="0"/>
    <n v="1"/>
    <n v="0"/>
    <n v="1"/>
    <n v="1"/>
    <n v="0"/>
    <n v="0"/>
    <n v="1"/>
    <n v="0"/>
    <n v="0"/>
    <n v="0"/>
    <n v="2"/>
    <m/>
  </r>
  <r>
    <n v="4"/>
    <d v="2023-12-15T12:16:47"/>
    <d v="2023-12-15T12:21:31"/>
    <s v="jkathyoka@lighthouse.org.mw"/>
    <s v="Judith Kathyoka"/>
    <s v="KCH_OPD1"/>
    <s v="Prototype"/>
    <x v="0"/>
    <x v="0"/>
    <s v="COP_23"/>
    <s v="Quarter4"/>
    <x v="0"/>
    <s v="Qtr_1"/>
    <x v="0"/>
    <d v="2023-10-01T00:00:00"/>
    <d v="2023-10-31T00:00:00"/>
    <x v="0"/>
    <n v="4"/>
    <n v="0"/>
    <n v="0"/>
    <n v="0"/>
    <n v="1"/>
    <n v="3"/>
    <n v="4"/>
    <n v="4"/>
    <n v="4"/>
    <n v="0"/>
    <n v="1"/>
    <n v="0"/>
    <n v="4"/>
    <n v="2"/>
    <n v="0"/>
    <n v="0"/>
    <n v="0"/>
    <n v="0"/>
    <n v="0"/>
    <n v="0"/>
    <n v="2"/>
    <n v="0"/>
    <n v="0"/>
    <n v="0"/>
    <n v="2"/>
    <m/>
  </r>
  <r>
    <n v="6"/>
    <d v="2023-12-15T12:25:40"/>
    <d v="2023-12-15T12:31:57"/>
    <s v="jkathyoka@lighthouse.org.mw"/>
    <s v="Judith Kathyoka"/>
    <s v="KCH_OPD1"/>
    <s v="Prototype"/>
    <x v="0"/>
    <x v="0"/>
    <s v="COP_23"/>
    <s v="Quarter4"/>
    <x v="0"/>
    <s v="Qtr_1"/>
    <x v="1"/>
    <d v="2023-11-01T00:00:00"/>
    <d v="2023-11-30T00:00:00"/>
    <x v="0"/>
    <n v="5"/>
    <n v="0"/>
    <n v="2"/>
    <n v="0"/>
    <n v="3"/>
    <n v="0"/>
    <n v="5"/>
    <n v="3"/>
    <n v="1"/>
    <n v="0"/>
    <n v="1"/>
    <n v="0"/>
    <n v="3"/>
    <n v="1"/>
    <n v="0"/>
    <n v="0"/>
    <n v="1"/>
    <n v="1"/>
    <n v="2"/>
    <n v="0"/>
    <n v="0"/>
    <n v="0"/>
    <n v="0"/>
    <n v="0"/>
    <n v="5"/>
    <m/>
  </r>
  <r>
    <n v="62"/>
    <d v="2024-01-08T14:56:59"/>
    <d v="2024-01-08T15:05:59"/>
    <s v="jkathyoka@lighthouse.org.mw"/>
    <s v="Judith Kathyoka"/>
    <s v="KCH_OPD1"/>
    <s v="Prototype"/>
    <x v="0"/>
    <x v="0"/>
    <s v="COP_23"/>
    <s v="Quarter4"/>
    <x v="0"/>
    <s v="Qtr_1"/>
    <x v="11"/>
    <d v="2023-12-01T00:00:00"/>
    <d v="2023-12-31T00:00:00"/>
    <x v="0"/>
    <n v="7"/>
    <n v="0"/>
    <n v="4"/>
    <n v="0"/>
    <n v="2"/>
    <n v="1"/>
    <n v="7"/>
    <n v="1"/>
    <n v="3"/>
    <n v="0"/>
    <n v="7"/>
    <n v="0"/>
    <n v="3"/>
    <n v="1"/>
    <n v="1"/>
    <n v="1"/>
    <n v="0"/>
    <n v="0"/>
    <n v="1"/>
    <n v="1"/>
    <n v="0"/>
    <n v="0"/>
    <n v="0"/>
    <n v="1"/>
    <n v="6"/>
    <m/>
  </r>
  <r>
    <n v="145"/>
    <d v="2024-02-06T15:20:19"/>
    <d v="2024-02-06T15:25:34"/>
    <s v="jkathyoka@lighthouse.org.mw"/>
    <s v="Judith Kathyoka"/>
    <s v="KCH_OPD1"/>
    <s v="Prototype"/>
    <x v="1"/>
    <x v="0"/>
    <s v="COP_23"/>
    <s v="Quarter1"/>
    <x v="2"/>
    <s v="Qtr_2"/>
    <x v="4"/>
    <d v="2024-01-01T00:00:00"/>
    <d v="2024-01-31T00:00:00"/>
    <x v="0"/>
    <n v="4"/>
    <n v="1"/>
    <n v="0"/>
    <n v="0"/>
    <n v="4"/>
    <n v="0"/>
    <n v="4"/>
    <n v="1"/>
    <n v="4"/>
    <n v="0"/>
    <n v="4"/>
    <n v="0"/>
    <n v="4"/>
    <n v="0"/>
    <n v="0"/>
    <n v="0"/>
    <n v="0"/>
    <n v="0"/>
    <n v="4"/>
    <n v="1"/>
    <n v="1"/>
    <n v="0"/>
    <n v="0"/>
    <n v="0"/>
    <n v="0"/>
    <m/>
  </r>
  <r>
    <n v="161"/>
    <d v="2024-03-01T15:54:01"/>
    <d v="2024-03-01T15:58:51"/>
    <s v="jkathyoka@lighthouse.org.mw"/>
    <s v="Judith Kathyoka"/>
    <s v="KCH_OPD1"/>
    <s v="Prototype"/>
    <x v="1"/>
    <x v="0"/>
    <s v="COP_23"/>
    <s v="Quarter1"/>
    <x v="2"/>
    <s v="Qtr_2"/>
    <x v="5"/>
    <d v="2024-02-01T00:00:00"/>
    <d v="2024-02-29T00:00:00"/>
    <x v="0"/>
    <n v="7"/>
    <n v="0"/>
    <n v="5"/>
    <n v="0"/>
    <n v="2"/>
    <n v="0"/>
    <n v="7"/>
    <n v="3"/>
    <n v="5"/>
    <n v="0"/>
    <n v="0"/>
    <n v="0"/>
    <n v="5"/>
    <n v="0"/>
    <n v="0"/>
    <n v="0"/>
    <n v="0"/>
    <n v="0"/>
    <n v="0"/>
    <n v="0"/>
    <n v="0"/>
    <n v="0"/>
    <n v="0"/>
    <n v="0"/>
    <n v="7"/>
    <m/>
  </r>
  <r>
    <n v="187"/>
    <d v="2024-04-03T15:29:14"/>
    <d v="2024-04-03T15:36:35"/>
    <s v="jkathyoka@lighthouse.org.mw"/>
    <s v="Judith Kathyoka"/>
    <s v="KCH_OPD1"/>
    <s v="Prototype"/>
    <x v="1"/>
    <x v="0"/>
    <s v="COP_23"/>
    <s v="Quarter1"/>
    <x v="2"/>
    <s v="Qtr_2"/>
    <x v="3"/>
    <d v="2024-03-01T00:00:00"/>
    <d v="2024-03-31T00:00:00"/>
    <x v="0"/>
    <n v="5"/>
    <n v="1"/>
    <n v="2"/>
    <n v="0"/>
    <n v="3"/>
    <n v="1"/>
    <n v="4"/>
    <n v="3"/>
    <n v="0"/>
    <n v="0"/>
    <n v="0"/>
    <n v="0"/>
    <n v="3"/>
    <n v="1"/>
    <n v="0"/>
    <n v="0"/>
    <n v="0"/>
    <n v="0"/>
    <n v="3"/>
    <n v="0"/>
    <n v="1"/>
    <n v="0"/>
    <n v="0"/>
    <n v="0"/>
    <n v="0"/>
    <m/>
  </r>
  <r>
    <n v="110"/>
    <d v="2024-01-23T15:26:36"/>
    <d v="2024-01-23T15:37:39"/>
    <s v="jkathyoka@lighthouse.org.mw"/>
    <s v="Judith Kathyoka"/>
    <s v="KCH_OPD1"/>
    <s v="Prototype"/>
    <x v="0"/>
    <x v="0"/>
    <s v="COP_23"/>
    <s v="Quarter4"/>
    <x v="0"/>
    <s v="Qtr_1"/>
    <x v="0"/>
    <d v="2023-10-01T00:00:00"/>
    <d v="2023-10-31T00:00:00"/>
    <x v="1"/>
    <n v="4"/>
    <n v="0"/>
    <n v="0"/>
    <n v="0"/>
    <n v="1"/>
    <n v="3"/>
    <n v="4"/>
    <n v="4"/>
    <n v="4"/>
    <n v="0"/>
    <n v="4"/>
    <n v="0"/>
    <n v="4"/>
    <n v="2"/>
    <n v="0"/>
    <n v="0"/>
    <n v="0"/>
    <n v="0"/>
    <n v="0"/>
    <n v="0"/>
    <n v="2"/>
    <n v="0"/>
    <n v="0"/>
    <n v="0"/>
    <n v="2"/>
    <m/>
  </r>
  <r>
    <n v="111"/>
    <d v="2024-01-23T15:38:03"/>
    <d v="2024-01-23T15:42:33"/>
    <s v="jkathyoka@lighthouse.org.mw"/>
    <s v="Judith Kathyoka"/>
    <s v="KCH_OPD1"/>
    <s v="Prototype"/>
    <x v="0"/>
    <x v="0"/>
    <s v="COP_23"/>
    <s v="Quarter4"/>
    <x v="0"/>
    <s v="Qtr_1"/>
    <x v="1"/>
    <d v="2023-11-01T00:00:00"/>
    <d v="2023-11-30T00:00:00"/>
    <x v="1"/>
    <n v="3"/>
    <n v="0"/>
    <n v="1"/>
    <n v="0"/>
    <n v="2"/>
    <n v="0"/>
    <n v="3"/>
    <n v="2"/>
    <n v="3"/>
    <n v="0"/>
    <n v="1"/>
    <n v="0"/>
    <n v="3"/>
    <n v="1"/>
    <n v="0"/>
    <n v="0"/>
    <n v="1"/>
    <n v="1"/>
    <n v="3"/>
    <n v="1"/>
    <n v="0"/>
    <n v="0"/>
    <n v="0"/>
    <n v="0"/>
    <n v="3"/>
    <m/>
  </r>
  <r>
    <n v="112"/>
    <d v="2024-01-23T15:42:55"/>
    <d v="2024-01-23T15:48:57"/>
    <s v="jkathyoka@lighthouse.org.mw"/>
    <s v="Judith Kathyoka"/>
    <s v="KCH_OPD1"/>
    <s v="Prototype"/>
    <x v="0"/>
    <x v="0"/>
    <s v="COP_23"/>
    <s v="Quarter4"/>
    <x v="0"/>
    <s v="Qtr_1"/>
    <x v="11"/>
    <d v="2023-12-01T00:00:00"/>
    <d v="2023-12-31T00:00:00"/>
    <x v="1"/>
    <n v="6"/>
    <n v="0"/>
    <n v="3"/>
    <n v="1"/>
    <n v="1"/>
    <n v="1"/>
    <n v="6"/>
    <n v="2"/>
    <n v="6"/>
    <n v="0"/>
    <n v="0"/>
    <n v="0"/>
    <n v="6"/>
    <n v="1"/>
    <n v="0"/>
    <n v="0"/>
    <n v="0"/>
    <n v="0"/>
    <n v="0"/>
    <n v="0"/>
    <n v="0"/>
    <n v="0"/>
    <n v="0"/>
    <n v="1"/>
    <n v="5"/>
    <m/>
  </r>
  <r>
    <n v="146"/>
    <d v="2024-02-06T15:36:09"/>
    <d v="2024-02-06T15:41:17"/>
    <s v="jkathyoka@lighthouse.org.mw"/>
    <s v="Judith Kathyoka"/>
    <s v="KCH_OPD1"/>
    <s v="Prototype"/>
    <x v="1"/>
    <x v="0"/>
    <s v="COP_23"/>
    <s v="Quarter1"/>
    <x v="2"/>
    <s v="Qtr_2"/>
    <x v="4"/>
    <d v="2024-01-01T00:00:00"/>
    <d v="2024-01-31T00:00:00"/>
    <x v="1"/>
    <n v="2"/>
    <n v="0"/>
    <n v="0"/>
    <n v="0"/>
    <n v="2"/>
    <n v="0"/>
    <n v="2"/>
    <n v="0"/>
    <n v="2"/>
    <n v="0"/>
    <n v="2"/>
    <n v="0"/>
    <n v="2"/>
    <n v="0"/>
    <n v="2"/>
    <n v="0"/>
    <n v="0"/>
    <n v="0"/>
    <n v="2"/>
    <n v="0"/>
    <n v="0"/>
    <n v="0"/>
    <n v="0"/>
    <n v="0"/>
    <n v="0"/>
    <m/>
  </r>
  <r>
    <n v="420"/>
    <d v="2024-05-15T16:03:40"/>
    <d v="2024-05-15T16:15:00"/>
    <s v="jkathyoka@lighthouse.org.mw"/>
    <s v="Judith Kathyoka"/>
    <s v="KCH_OPD1"/>
    <s v="Prototype"/>
    <x v="1"/>
    <x v="0"/>
    <s v="COP_23"/>
    <s v="Quarter1"/>
    <x v="2"/>
    <s v="Qtr_2"/>
    <x v="5"/>
    <d v="2024-02-01T00:00:00"/>
    <d v="2024-02-29T00:00:00"/>
    <x v="1"/>
    <n v="6"/>
    <n v="0"/>
    <n v="5"/>
    <n v="0"/>
    <n v="1"/>
    <n v="0"/>
    <n v="6"/>
    <n v="3"/>
    <n v="6"/>
    <n v="0"/>
    <n v="6"/>
    <n v="0"/>
    <n v="5"/>
    <n v="0"/>
    <n v="7"/>
    <n v="0"/>
    <n v="0"/>
    <n v="0"/>
    <n v="0"/>
    <n v="0"/>
    <n v="0"/>
    <n v="0"/>
    <n v="0"/>
    <n v="0"/>
    <n v="0"/>
    <m/>
  </r>
  <r>
    <n v="477"/>
    <d v="2024-06-05T11:06:54"/>
    <d v="2024-06-05T11:11:23"/>
    <s v="jkathyoka@lighthouse.org.mw"/>
    <s v="Judith Kathyoka"/>
    <s v="KCH_OPD1"/>
    <s v="Prototype"/>
    <x v="1"/>
    <x v="0"/>
    <s v="COP_23"/>
    <s v="Quarter2"/>
    <x v="3"/>
    <s v="Qtr_3"/>
    <x v="6"/>
    <d v="2024-05-01T00:00:00"/>
    <d v="2024-05-31T00:00:00"/>
    <x v="1"/>
    <n v="6"/>
    <n v="5"/>
    <n v="3"/>
    <n v="1"/>
    <n v="1"/>
    <n v="1"/>
    <n v="6"/>
    <n v="5"/>
    <n v="6"/>
    <n v="1"/>
    <n v="6"/>
    <n v="1"/>
    <n v="2"/>
    <n v="0"/>
    <n v="0"/>
    <n v="0"/>
    <n v="0"/>
    <n v="0"/>
    <n v="4"/>
    <n v="1"/>
    <n v="0"/>
    <n v="1"/>
    <n v="0"/>
    <n v="0"/>
    <n v="0"/>
    <m/>
  </r>
  <r>
    <n v="561"/>
    <d v="2024-07-03T09:50:50"/>
    <d v="2024-07-03T09:55:14"/>
    <s v="jkathyoka@lighthouse.org.mw"/>
    <s v="Judith Kathyoka"/>
    <s v="KCH_OPD1"/>
    <s v="Prototype"/>
    <x v="1"/>
    <x v="0"/>
    <s v="COP_23"/>
    <s v="Quarter2"/>
    <x v="3"/>
    <s v="Qtr_3"/>
    <x v="8"/>
    <d v="2024-06-01T00:00:00"/>
    <d v="2024-06-30T00:00:00"/>
    <x v="1"/>
    <n v="4"/>
    <n v="0"/>
    <n v="3"/>
    <n v="1"/>
    <n v="0"/>
    <n v="0"/>
    <n v="4"/>
    <n v="0"/>
    <n v="0"/>
    <n v="0"/>
    <n v="0"/>
    <n v="0"/>
    <n v="0"/>
    <n v="0"/>
    <n v="0"/>
    <n v="0"/>
    <n v="0"/>
    <n v="0"/>
    <n v="0"/>
    <n v="0"/>
    <n v="0"/>
    <n v="0"/>
    <n v="0"/>
    <n v="0"/>
    <n v="0"/>
    <m/>
  </r>
  <r>
    <n v="714"/>
    <d v="2024-08-05T15:40:52"/>
    <d v="2024-08-05T15:45:04"/>
    <s v="jkathyoka@lighthouse.org.mw"/>
    <s v="Judith Kathyoka"/>
    <s v="KCH_OPD1"/>
    <s v="Prototype"/>
    <x v="1"/>
    <x v="0"/>
    <s v="COP_23"/>
    <s v="Quarter3"/>
    <x v="1"/>
    <s v="Qtr_4"/>
    <x v="9"/>
    <d v="2024-07-01T00:00:00"/>
    <d v="2024-07-31T00:00:00"/>
    <x v="1"/>
    <n v="11"/>
    <n v="2"/>
    <n v="14"/>
    <n v="0"/>
    <n v="2"/>
    <n v="0"/>
    <n v="13"/>
    <n v="3"/>
    <n v="6"/>
    <n v="0"/>
    <n v="1"/>
    <n v="0"/>
    <n v="0"/>
    <n v="0"/>
    <n v="0"/>
    <n v="0"/>
    <n v="0"/>
    <n v="0"/>
    <n v="0"/>
    <n v="0"/>
    <n v="0"/>
    <n v="0"/>
    <n v="0"/>
    <n v="0"/>
    <n v="0"/>
    <m/>
  </r>
  <r>
    <n v="775"/>
    <d v="2024-08-19T11:40:53"/>
    <d v="2024-08-19T11:44:26"/>
    <s v="jkathyoka@lighthouse.org.mw"/>
    <s v="Judith Kathyoka"/>
    <s v="KCH_OPD1"/>
    <s v="Prototype"/>
    <x v="1"/>
    <x v="0"/>
    <s v="COP_23"/>
    <s v="Quarter2"/>
    <x v="3"/>
    <s v="Qtr_3"/>
    <x v="7"/>
    <d v="2024-04-01T00:00:00"/>
    <d v="2024-04-30T00:00:00"/>
    <x v="1"/>
    <n v="8"/>
    <n v="2"/>
    <n v="4"/>
    <n v="1"/>
    <n v="2"/>
    <n v="1"/>
    <n v="7"/>
    <n v="6"/>
    <n v="6"/>
    <n v="0"/>
    <n v="1"/>
    <n v="1"/>
    <n v="6"/>
    <n v="1"/>
    <n v="0"/>
    <n v="0"/>
    <n v="1"/>
    <n v="1"/>
    <n v="2"/>
    <n v="0"/>
    <n v="2"/>
    <n v="0"/>
    <n v="0"/>
    <n v="0"/>
    <n v="0"/>
    <m/>
  </r>
  <r>
    <n v="821"/>
    <d v="2024-09-19T08:23:59"/>
    <d v="2024-09-19T08:32:22"/>
    <s v="jkathyoka@lighthouse.org.mw"/>
    <s v="Judith Kathyoka"/>
    <s v="KCH_OPD1"/>
    <s v="Prototype"/>
    <x v="1"/>
    <x v="0"/>
    <s v="COP_23"/>
    <s v="Quarter3"/>
    <x v="1"/>
    <s v="Qtr_4"/>
    <x v="10"/>
    <d v="2024-08-01T00:00:00"/>
    <d v="2024-08-31T00:00:00"/>
    <x v="1"/>
    <n v="4"/>
    <n v="0"/>
    <n v="4"/>
    <n v="0"/>
    <n v="0"/>
    <n v="0"/>
    <n v="4"/>
    <n v="0"/>
    <n v="0"/>
    <n v="0"/>
    <n v="0"/>
    <n v="0"/>
    <n v="0"/>
    <n v="0"/>
    <n v="0"/>
    <n v="0"/>
    <n v="0"/>
    <n v="0"/>
    <n v="0"/>
    <n v="0"/>
    <n v="0"/>
    <n v="0"/>
    <n v="0"/>
    <n v="0"/>
    <n v="0"/>
    <m/>
  </r>
  <r>
    <n v="877"/>
    <d v="2024-10-03T15:32:37"/>
    <d v="2024-10-03T15:44:38"/>
    <s v="jkathyoka@lighthouse.org.mw"/>
    <s v="Judith Kathyoka"/>
    <s v="KCH_OPD1"/>
    <s v="Prototype"/>
    <x v="1"/>
    <x v="0"/>
    <s v="COP_23"/>
    <s v="Quarter3"/>
    <x v="1"/>
    <s v="Qtr_4"/>
    <x v="2"/>
    <d v="2024-09-01T00:00:00"/>
    <d v="2024-10-31T00:00:00"/>
    <x v="1"/>
    <n v="9"/>
    <n v="1"/>
    <n v="8"/>
    <n v="0"/>
    <n v="1"/>
    <n v="0"/>
    <n v="9"/>
    <n v="4"/>
    <n v="4"/>
    <n v="0"/>
    <n v="4"/>
    <n v="0"/>
    <n v="4"/>
    <n v="0"/>
    <n v="0"/>
    <n v="0"/>
    <n v="0"/>
    <n v="0"/>
    <n v="2"/>
    <n v="0"/>
    <n v="0"/>
    <n v="0"/>
    <n v="0"/>
    <n v="0"/>
    <n v="1"/>
    <m/>
  </r>
  <r>
    <n v="1053"/>
    <d v="2024-11-11T14:02:50"/>
    <d v="2024-11-11T14:10:53"/>
    <s v="jkathyoka@lighthouse.org.mw"/>
    <s v="Judith Kathyoka"/>
    <s v="KCH_OPD1"/>
    <s v="Prototype"/>
    <x v="1"/>
    <x v="2"/>
    <s v="COP_24"/>
    <s v="Quarter4"/>
    <x v="0"/>
    <s v="Qtr_1"/>
    <x v="0"/>
    <d v="2024-10-01T00:00:00"/>
    <d v="2024-10-31T00:00:00"/>
    <x v="1"/>
    <n v="6"/>
    <n v="0"/>
    <n v="5"/>
    <n v="0"/>
    <n v="0"/>
    <n v="1"/>
    <n v="6"/>
    <n v="0"/>
    <n v="0"/>
    <n v="0"/>
    <n v="0"/>
    <n v="0"/>
    <n v="0"/>
    <n v="0"/>
    <n v="0"/>
    <n v="0"/>
    <n v="0"/>
    <n v="0"/>
    <n v="0"/>
    <n v="0"/>
    <n v="0"/>
    <n v="0"/>
    <n v="0"/>
    <n v="1"/>
    <n v="0"/>
    <m/>
  </r>
  <r>
    <n v="368"/>
    <d v="2024-05-07T15:51:37"/>
    <d v="2024-05-07T15:56:47"/>
    <s v="jkathyoka@lighthouse.org.mw"/>
    <s v="Judith Kathyoka"/>
    <s v="KCH_OPD1"/>
    <s v="Prototype"/>
    <x v="1"/>
    <x v="2"/>
    <s v="COP_23"/>
    <s v="Quarter2"/>
    <x v="3"/>
    <s v="Qtr_3"/>
    <x v="7"/>
    <d v="2024-04-01T00:00:00"/>
    <d v="2024-04-30T00:00:00"/>
    <x v="0"/>
    <n v="13"/>
    <n v="3"/>
    <n v="6"/>
    <n v="2"/>
    <n v="4"/>
    <n v="1"/>
    <n v="13"/>
    <n v="5"/>
    <n v="18"/>
    <n v="1"/>
    <n v="2"/>
    <n v="2"/>
    <n v="8"/>
    <n v="1"/>
    <n v="0"/>
    <n v="0"/>
    <n v="1"/>
    <n v="1"/>
    <n v="4"/>
    <n v="0"/>
    <n v="2"/>
    <n v="0"/>
    <n v="0"/>
    <n v="0"/>
    <n v="0"/>
    <m/>
  </r>
  <r>
    <n v="414"/>
    <d v="2024-05-15T15:55:50"/>
    <d v="2024-05-15T15:57:01"/>
    <s v="jkathyoka@lighthouse.org.mw"/>
    <s v="Judith Kathyoka"/>
    <s v="KCH_OPD1"/>
    <s v="Prototype"/>
    <x v="1"/>
    <x v="2"/>
    <s v="COP_23"/>
    <s v="Quarter1"/>
    <x v="2"/>
    <s v="Qtr_2"/>
    <x v="5"/>
    <d v="2024-02-01T00:00:00"/>
    <d v="2024-02-29T00:00:00"/>
    <x v="2"/>
    <n v="0"/>
    <n v="0"/>
    <n v="0"/>
    <n v="0"/>
    <n v="0"/>
    <n v="0"/>
    <n v="0"/>
    <n v="0"/>
    <n v="0"/>
    <n v="0"/>
    <n v="0"/>
    <n v="0"/>
    <n v="0"/>
    <n v="0"/>
    <n v="0"/>
    <n v="0"/>
    <n v="0"/>
    <n v="0"/>
    <n v="0"/>
    <n v="0"/>
    <n v="0"/>
    <n v="0"/>
    <n v="0"/>
    <n v="0"/>
    <n v="0"/>
    <m/>
  </r>
  <r>
    <n v="419"/>
    <d v="2024-05-15T16:02:12"/>
    <d v="2024-05-15T16:03:20"/>
    <s v="jkathyoka@lighthouse.org.mw"/>
    <s v="Judith Kathyoka"/>
    <s v="KCH_OPD1"/>
    <s v="Prototype"/>
    <x v="1"/>
    <x v="2"/>
    <s v="COP_23"/>
    <s v="Quarter1"/>
    <x v="2"/>
    <s v="Qtr_2"/>
    <x v="3"/>
    <d v="2024-03-01T00:00:00"/>
    <d v="2024-03-31T00:00:00"/>
    <x v="2"/>
    <n v="0"/>
    <n v="0"/>
    <n v="0"/>
    <n v="0"/>
    <n v="0"/>
    <n v="0"/>
    <n v="0"/>
    <n v="0"/>
    <n v="0"/>
    <n v="0"/>
    <n v="0"/>
    <n v="0"/>
    <n v="0"/>
    <n v="0"/>
    <n v="0"/>
    <n v="0"/>
    <n v="0"/>
    <n v="0"/>
    <n v="0"/>
    <n v="0"/>
    <n v="0"/>
    <n v="0"/>
    <n v="0"/>
    <n v="0"/>
    <n v="0"/>
    <m/>
  </r>
  <r>
    <n v="406"/>
    <d v="2024-05-15T15:37:58"/>
    <d v="2024-05-15T15:41:14"/>
    <s v="jkathyoka@lighthouse.org.mw"/>
    <s v="Judith Kathyoka"/>
    <s v="KCH_OPD1"/>
    <s v="Prototype"/>
    <x v="1"/>
    <x v="0"/>
    <s v="COP_23"/>
    <s v="Quarter1"/>
    <x v="2"/>
    <s v="Qtr_2"/>
    <x v="4"/>
    <d v="2024-01-02T00:00:00"/>
    <d v="2024-01-31T00:00:00"/>
    <x v="3"/>
    <n v="0"/>
    <n v="0"/>
    <n v="0"/>
    <n v="0"/>
    <n v="0"/>
    <n v="0"/>
    <n v="0"/>
    <n v="0"/>
    <n v="0"/>
    <n v="0"/>
    <n v="0"/>
    <n v="0"/>
    <n v="0"/>
    <n v="0"/>
    <n v="0"/>
    <n v="0"/>
    <n v="0"/>
    <n v="0"/>
    <n v="0"/>
    <n v="0"/>
    <n v="0"/>
    <n v="0"/>
    <n v="0"/>
    <n v="0"/>
    <n v="0"/>
    <m/>
  </r>
  <r>
    <n v="407"/>
    <d v="2024-05-15T15:43:05"/>
    <d v="2024-05-15T15:45:17"/>
    <s v="jkathyoka@lighthouse.org.mw"/>
    <s v="Judith Kathyoka"/>
    <s v="KCH_OPD1"/>
    <s v="Prototype"/>
    <x v="1"/>
    <x v="0"/>
    <s v="COP_23"/>
    <s v="Quarter1"/>
    <x v="2"/>
    <s v="Qtr_2"/>
    <x v="5"/>
    <d v="2024-02-01T00:00:00"/>
    <d v="2024-02-29T00:00:00"/>
    <x v="4"/>
    <n v="0"/>
    <n v="0"/>
    <n v="0"/>
    <n v="0"/>
    <n v="0"/>
    <n v="0"/>
    <n v="0"/>
    <n v="0"/>
    <n v="0"/>
    <n v="0"/>
    <n v="0"/>
    <n v="0"/>
    <n v="0"/>
    <n v="0"/>
    <n v="0"/>
    <n v="0"/>
    <n v="0"/>
    <n v="0"/>
    <n v="0"/>
    <n v="0"/>
    <n v="0"/>
    <n v="0"/>
    <n v="0"/>
    <n v="0"/>
    <n v="0"/>
    <m/>
  </r>
  <r>
    <n v="408"/>
    <d v="2024-05-15T15:45:43"/>
    <d v="2024-05-15T15:47:23"/>
    <s v="jkathyoka@lighthouse.org.mw"/>
    <s v="Judith Kathyoka"/>
    <s v="KCH_OPD1"/>
    <s v="Prototype"/>
    <x v="1"/>
    <x v="0"/>
    <s v="COP_23"/>
    <s v="Quarter1"/>
    <x v="2"/>
    <s v="Qtr_2"/>
    <x v="4"/>
    <d v="2024-01-02T00:00:00"/>
    <d v="2024-01-31T00:00:00"/>
    <x v="4"/>
    <n v="0"/>
    <n v="0"/>
    <n v="0"/>
    <n v="0"/>
    <n v="0"/>
    <n v="0"/>
    <n v="0"/>
    <n v="0"/>
    <n v="0"/>
    <n v="0"/>
    <n v="0"/>
    <n v="0"/>
    <n v="0"/>
    <n v="0"/>
    <n v="0"/>
    <n v="0"/>
    <n v="0"/>
    <n v="0"/>
    <n v="0"/>
    <n v="0"/>
    <n v="0"/>
    <n v="0"/>
    <n v="0"/>
    <n v="0"/>
    <n v="0"/>
    <m/>
  </r>
  <r>
    <n v="409"/>
    <d v="2024-05-15T15:47:34"/>
    <d v="2024-05-15T15:48:49"/>
    <s v="jkathyoka@lighthouse.org.mw"/>
    <s v="Judith Kathyoka"/>
    <s v="KCH_OPD1"/>
    <s v="Prototype"/>
    <x v="1"/>
    <x v="2"/>
    <s v="COP_23"/>
    <s v="Quarter1"/>
    <x v="2"/>
    <s v="Qtr_2"/>
    <x v="4"/>
    <d v="2024-01-02T00:00:00"/>
    <d v="2024-01-31T00:00:00"/>
    <x v="5"/>
    <n v="0"/>
    <n v="0"/>
    <n v="0"/>
    <n v="0"/>
    <n v="0"/>
    <n v="0"/>
    <n v="0"/>
    <n v="0"/>
    <n v="0"/>
    <n v="0"/>
    <n v="0"/>
    <n v="0"/>
    <n v="0"/>
    <n v="0"/>
    <n v="0"/>
    <n v="0"/>
    <n v="0"/>
    <n v="0"/>
    <n v="0"/>
    <n v="0"/>
    <n v="0"/>
    <n v="0"/>
    <n v="0"/>
    <n v="0"/>
    <n v="0"/>
    <m/>
  </r>
  <r>
    <n v="410"/>
    <d v="2024-05-15T15:48:55"/>
    <d v="2024-05-15T15:50:10"/>
    <s v="jkathyoka@lighthouse.org.mw"/>
    <s v="Judith Kathyoka"/>
    <s v="KCH_OPD1"/>
    <s v="Prototype"/>
    <x v="1"/>
    <x v="2"/>
    <s v="COP_23"/>
    <s v="Quarter1"/>
    <x v="2"/>
    <s v="Qtr_2"/>
    <x v="4"/>
    <d v="2024-01-02T00:00:00"/>
    <d v="2024-01-31T00:00:00"/>
    <x v="6"/>
    <n v="0"/>
    <n v="0"/>
    <n v="0"/>
    <n v="0"/>
    <n v="0"/>
    <n v="0"/>
    <n v="0"/>
    <n v="0"/>
    <n v="0"/>
    <n v="0"/>
    <n v="0"/>
    <n v="0"/>
    <n v="0"/>
    <n v="0"/>
    <n v="0"/>
    <n v="0"/>
    <n v="0"/>
    <n v="0"/>
    <n v="0"/>
    <n v="0"/>
    <n v="0"/>
    <n v="0"/>
    <n v="0"/>
    <n v="0"/>
    <n v="0"/>
    <m/>
  </r>
  <r>
    <n v="411"/>
    <d v="2024-05-15T15:50:23"/>
    <d v="2024-05-15T15:52:07"/>
    <s v="jkathyoka@lighthouse.org.mw"/>
    <s v="Judith Kathyoka"/>
    <s v="KCH_OPD1"/>
    <s v="Prototype"/>
    <x v="1"/>
    <x v="2"/>
    <s v="COP_23"/>
    <s v="Quarter1"/>
    <x v="2"/>
    <s v="Qtr_2"/>
    <x v="5"/>
    <d v="2024-02-01T00:00:00"/>
    <d v="2024-02-29T00:00:00"/>
    <x v="3"/>
    <n v="0"/>
    <n v="0"/>
    <n v="0"/>
    <n v="0"/>
    <n v="0"/>
    <n v="0"/>
    <n v="0"/>
    <n v="0"/>
    <n v="0"/>
    <n v="0"/>
    <n v="0"/>
    <n v="0"/>
    <n v="0"/>
    <n v="0"/>
    <n v="0"/>
    <n v="0"/>
    <n v="0"/>
    <n v="0"/>
    <n v="0"/>
    <n v="0"/>
    <n v="0"/>
    <n v="0"/>
    <n v="0"/>
    <n v="0"/>
    <n v="0"/>
    <m/>
  </r>
  <r>
    <n v="412"/>
    <d v="2024-05-15T15:52:12"/>
    <d v="2024-05-15T15:53:20"/>
    <s v="jkathyoka@lighthouse.org.mw"/>
    <s v="Judith Kathyoka"/>
    <s v="KCH_OPD1"/>
    <s v="Prototype"/>
    <x v="1"/>
    <x v="2"/>
    <s v="COP_23"/>
    <s v="Quarter1"/>
    <x v="2"/>
    <s v="Qtr_2"/>
    <x v="5"/>
    <d v="2024-02-01T00:00:00"/>
    <d v="2024-02-29T00:00:00"/>
    <x v="4"/>
    <n v="0"/>
    <n v="0"/>
    <n v="0"/>
    <n v="0"/>
    <n v="0"/>
    <n v="0"/>
    <n v="0"/>
    <n v="0"/>
    <n v="0"/>
    <n v="0"/>
    <n v="0"/>
    <n v="0"/>
    <n v="0"/>
    <n v="0"/>
    <n v="0"/>
    <n v="0"/>
    <n v="0"/>
    <n v="0"/>
    <n v="0"/>
    <n v="0"/>
    <n v="0"/>
    <n v="0"/>
    <n v="0"/>
    <n v="0"/>
    <n v="0"/>
    <m/>
  </r>
  <r>
    <n v="413"/>
    <d v="2024-05-15T15:54:38"/>
    <d v="2024-05-15T15:55:41"/>
    <s v="jkathyoka@lighthouse.org.mw"/>
    <s v="Judith Kathyoka"/>
    <s v="KCH_OPD1"/>
    <s v="Prototype"/>
    <x v="1"/>
    <x v="2"/>
    <s v="COP_23"/>
    <s v="Quarter1"/>
    <x v="2"/>
    <s v="Qtr_2"/>
    <x v="5"/>
    <d v="2024-05-01T00:00:00"/>
    <d v="2024-02-29T00:00:00"/>
    <x v="5"/>
    <n v="0"/>
    <n v="0"/>
    <n v="0"/>
    <n v="0"/>
    <n v="0"/>
    <n v="0"/>
    <n v="0"/>
    <n v="0"/>
    <n v="0"/>
    <n v="0"/>
    <n v="0"/>
    <n v="0"/>
    <n v="0"/>
    <n v="0"/>
    <n v="0"/>
    <n v="0"/>
    <n v="0"/>
    <n v="0"/>
    <n v="0"/>
    <n v="0"/>
    <n v="0"/>
    <n v="0"/>
    <n v="0"/>
    <n v="0"/>
    <n v="0"/>
    <m/>
  </r>
  <r>
    <n v="749"/>
    <d v="2024-08-12T15:09:31"/>
    <d v="2024-08-12T15:12:43"/>
    <s v="jkathyoka@lighthouse.org.mw"/>
    <s v="Judith Kathyoka"/>
    <s v="KCH_OPD1"/>
    <s v="Prototype"/>
    <x v="1"/>
    <x v="1"/>
    <s v="COP_23"/>
    <s v="Quarter3"/>
    <x v="1"/>
    <s v="Qtr_4"/>
    <x v="9"/>
    <d v="2024-07-01T00:00:00"/>
    <d v="2024-07-31T00:00:00"/>
    <x v="2"/>
    <n v="6"/>
    <n v="1"/>
    <n v="3"/>
    <n v="0"/>
    <n v="1"/>
    <n v="0"/>
    <n v="4"/>
    <n v="0"/>
    <n v="1"/>
    <n v="0"/>
    <n v="1"/>
    <n v="0"/>
    <n v="0"/>
    <n v="0"/>
    <n v="0"/>
    <n v="0"/>
    <n v="0"/>
    <n v="0"/>
    <n v="0"/>
    <n v="0"/>
    <n v="0"/>
    <n v="0"/>
    <n v="0"/>
    <n v="0"/>
    <n v="0"/>
    <m/>
  </r>
  <r>
    <n v="415"/>
    <d v="2024-05-15T15:57:20"/>
    <d v="2024-05-15T15:58:18"/>
    <s v="jkathyoka@lighthouse.org.mw"/>
    <s v="Judith Kathyoka"/>
    <s v="KCH_OPD1"/>
    <s v="Prototype"/>
    <x v="1"/>
    <x v="2"/>
    <s v="COP_23"/>
    <s v="Quarter1"/>
    <x v="2"/>
    <s v="Qtr_2"/>
    <x v="5"/>
    <d v="2024-02-01T00:00:00"/>
    <d v="2024-02-29T00:00:00"/>
    <x v="6"/>
    <n v="0"/>
    <n v="0"/>
    <n v="0"/>
    <n v="0"/>
    <n v="0"/>
    <n v="0"/>
    <n v="0"/>
    <n v="0"/>
    <n v="0"/>
    <n v="0"/>
    <n v="0"/>
    <n v="0"/>
    <n v="0"/>
    <n v="0"/>
    <n v="0"/>
    <n v="0"/>
    <n v="0"/>
    <n v="0"/>
    <n v="0"/>
    <n v="0"/>
    <n v="0"/>
    <n v="0"/>
    <n v="0"/>
    <n v="0"/>
    <n v="0"/>
    <m/>
  </r>
  <r>
    <n v="416"/>
    <d v="2024-05-15T15:58:21"/>
    <d v="2024-05-15T15:59:40"/>
    <s v="jkathyoka@lighthouse.org.mw"/>
    <s v="Judith Kathyoka"/>
    <s v="KCH_OPD1"/>
    <s v="Prototype"/>
    <x v="1"/>
    <x v="2"/>
    <s v="COP_23"/>
    <s v="Quarter1"/>
    <x v="2"/>
    <s v="Qtr_2"/>
    <x v="3"/>
    <d v="2024-03-01T00:00:00"/>
    <d v="2024-03-30T00:00:00"/>
    <x v="3"/>
    <n v="0"/>
    <n v="0"/>
    <n v="0"/>
    <n v="0"/>
    <n v="0"/>
    <n v="0"/>
    <n v="0"/>
    <n v="0"/>
    <n v="0"/>
    <n v="0"/>
    <n v="0"/>
    <n v="0"/>
    <n v="0"/>
    <n v="0"/>
    <n v="0"/>
    <n v="0"/>
    <n v="0"/>
    <n v="0"/>
    <n v="0"/>
    <n v="0"/>
    <n v="0"/>
    <n v="0"/>
    <n v="0"/>
    <n v="0"/>
    <n v="0"/>
    <m/>
  </r>
  <r>
    <n v="417"/>
    <d v="2024-05-15T15:59:44"/>
    <d v="2024-05-15T16:00:40"/>
    <s v="jkathyoka@lighthouse.org.mw"/>
    <s v="Judith Kathyoka"/>
    <s v="KCH_OPD1"/>
    <s v="Prototype"/>
    <x v="1"/>
    <x v="2"/>
    <s v="COP_23"/>
    <s v="Quarter1"/>
    <x v="2"/>
    <s v="Qtr_2"/>
    <x v="3"/>
    <d v="2024-03-01T00:00:00"/>
    <d v="2024-03-31T00:00:00"/>
    <x v="4"/>
    <n v="0"/>
    <n v="0"/>
    <n v="0"/>
    <n v="0"/>
    <n v="0"/>
    <n v="0"/>
    <n v="0"/>
    <n v="0"/>
    <n v="0"/>
    <n v="0"/>
    <n v="0"/>
    <n v="0"/>
    <n v="0"/>
    <n v="0"/>
    <n v="0"/>
    <n v="0"/>
    <n v="0"/>
    <n v="0"/>
    <n v="0"/>
    <n v="0"/>
    <n v="0"/>
    <n v="0"/>
    <n v="0"/>
    <n v="0"/>
    <n v="0"/>
    <m/>
  </r>
  <r>
    <n v="418"/>
    <d v="2024-05-15T16:01:03"/>
    <d v="2024-05-15T16:02:07"/>
    <s v="jkathyoka@lighthouse.org.mw"/>
    <s v="Judith Kathyoka"/>
    <s v="KCH_OPD1"/>
    <s v="Prototype"/>
    <x v="1"/>
    <x v="2"/>
    <s v="COP_23"/>
    <s v="Quarter1"/>
    <x v="2"/>
    <s v="Qtr_2"/>
    <x v="3"/>
    <d v="2024-03-01T00:00:00"/>
    <d v="2024-03-31T00:00:00"/>
    <x v="5"/>
    <n v="0"/>
    <n v="0"/>
    <n v="0"/>
    <n v="0"/>
    <n v="0"/>
    <n v="0"/>
    <n v="0"/>
    <n v="0"/>
    <n v="0"/>
    <n v="0"/>
    <n v="0"/>
    <n v="0"/>
    <n v="0"/>
    <n v="0"/>
    <n v="0"/>
    <n v="0"/>
    <n v="0"/>
    <n v="0"/>
    <n v="0"/>
    <n v="0"/>
    <n v="0"/>
    <n v="0"/>
    <n v="0"/>
    <n v="0"/>
    <n v="0"/>
    <m/>
  </r>
  <r>
    <n v="750"/>
    <d v="2024-08-12T15:12:55"/>
    <d v="2024-08-12T15:16:37"/>
    <s v="jkathyoka@lighthouse.org.mw"/>
    <s v="Judith Kathyoka"/>
    <s v="KCH_OPD1"/>
    <s v="Prototype"/>
    <x v="1"/>
    <x v="2"/>
    <s v="COP_23"/>
    <s v="Quarter2"/>
    <x v="3"/>
    <s v="Qtr_3"/>
    <x v="6"/>
    <d v="2024-05-01T00:00:00"/>
    <d v="2024-05-31T00:00:00"/>
    <x v="2"/>
    <n v="1"/>
    <n v="1"/>
    <n v="0"/>
    <n v="0"/>
    <n v="1"/>
    <n v="0"/>
    <n v="1"/>
    <n v="1"/>
    <n v="0"/>
    <n v="0"/>
    <n v="0"/>
    <n v="0"/>
    <n v="0"/>
    <n v="0"/>
    <n v="0"/>
    <n v="0"/>
    <n v="0"/>
    <n v="0"/>
    <n v="0"/>
    <n v="0"/>
    <n v="0"/>
    <n v="0"/>
    <n v="0"/>
    <n v="0"/>
    <n v="1"/>
    <m/>
  </r>
  <r>
    <n v="774"/>
    <d v="2024-08-19T11:37:08"/>
    <d v="2024-08-19T11:40:39"/>
    <s v="jkathyoka@lighthouse.org.mw"/>
    <s v="Judith Kathyoka"/>
    <s v="KCH_OPD1"/>
    <s v="Prototype"/>
    <x v="1"/>
    <x v="2"/>
    <s v="COP_23"/>
    <s v="Quarter2"/>
    <x v="3"/>
    <s v="Qtr_3"/>
    <x v="7"/>
    <d v="2024-04-01T00:00:00"/>
    <d v="2024-04-30T00:00:00"/>
    <x v="2"/>
    <n v="7"/>
    <n v="1"/>
    <n v="2"/>
    <n v="1"/>
    <n v="2"/>
    <n v="0"/>
    <n v="5"/>
    <n v="1"/>
    <n v="2"/>
    <n v="1"/>
    <n v="1"/>
    <n v="1"/>
    <n v="2"/>
    <n v="0"/>
    <n v="0"/>
    <n v="0"/>
    <n v="0"/>
    <n v="0"/>
    <n v="0"/>
    <n v="2"/>
    <n v="0"/>
    <n v="1"/>
    <n v="1"/>
    <n v="0"/>
    <n v="0"/>
    <m/>
  </r>
  <r>
    <n v="776"/>
    <d v="2024-08-19T11:44:35"/>
    <d v="2024-08-19T11:48:26"/>
    <s v="jkathyoka@lighthouse.org.mw"/>
    <s v="Judith Kathyoka"/>
    <s v="KCH_OPD1"/>
    <s v="Prototype"/>
    <x v="1"/>
    <x v="2"/>
    <s v="COP_23"/>
    <s v="Quarter2"/>
    <x v="3"/>
    <s v="Qtr_3"/>
    <x v="8"/>
    <d v="2024-06-01T00:00:00"/>
    <d v="2024-06-30T00:00:00"/>
    <x v="2"/>
    <n v="7"/>
    <n v="1"/>
    <n v="0"/>
    <n v="0"/>
    <n v="1"/>
    <n v="0"/>
    <n v="1"/>
    <n v="1"/>
    <n v="1"/>
    <n v="0"/>
    <n v="0"/>
    <n v="0"/>
    <n v="1"/>
    <n v="0"/>
    <n v="0"/>
    <n v="0"/>
    <n v="0"/>
    <n v="0"/>
    <n v="1"/>
    <n v="0"/>
    <n v="0"/>
    <n v="0"/>
    <n v="0"/>
    <n v="0"/>
    <n v="0"/>
    <m/>
  </r>
  <r>
    <n v="822"/>
    <d v="2024-09-19T08:33:27"/>
    <d v="2024-09-19T08:35:10"/>
    <s v="jkathyoka@lighthouse.org.mw"/>
    <s v="Judith Kathyoka"/>
    <s v="KCH_OPD1"/>
    <s v="Prototype"/>
    <x v="1"/>
    <x v="1"/>
    <s v="COP_23"/>
    <s v="Quarter3"/>
    <x v="1"/>
    <s v="Qtr_4"/>
    <x v="10"/>
    <d v="2024-08-01T00:00:00"/>
    <d v="2024-08-31T00:00:00"/>
    <x v="2"/>
    <n v="3"/>
    <n v="0"/>
    <n v="3"/>
    <n v="0"/>
    <n v="0"/>
    <n v="0"/>
    <n v="3"/>
    <n v="0"/>
    <n v="0"/>
    <n v="0"/>
    <n v="0"/>
    <n v="0"/>
    <n v="0"/>
    <n v="0"/>
    <n v="0"/>
    <n v="0"/>
    <n v="0"/>
    <n v="0"/>
    <n v="0"/>
    <n v="0"/>
    <n v="0"/>
    <n v="0"/>
    <n v="0"/>
    <n v="0"/>
    <n v="0"/>
    <m/>
  </r>
  <r>
    <n v="878"/>
    <d v="2024-10-03T15:44:43"/>
    <d v="2024-10-03T15:47:41"/>
    <s v="jkathyoka@lighthouse.org.mw"/>
    <s v="Judith Kathyoka"/>
    <s v="KCH_OPD1"/>
    <s v="Prototype"/>
    <x v="1"/>
    <x v="1"/>
    <s v="COP_23"/>
    <s v="Quarter3"/>
    <x v="1"/>
    <s v="Qtr_4"/>
    <x v="2"/>
    <d v="2024-09-01T00:00:00"/>
    <d v="2024-09-30T00:00:00"/>
    <x v="2"/>
    <n v="4"/>
    <n v="0"/>
    <n v="3"/>
    <n v="0"/>
    <n v="1"/>
    <n v="0"/>
    <n v="4"/>
    <n v="2"/>
    <n v="2"/>
    <n v="0"/>
    <n v="0"/>
    <n v="0"/>
    <n v="2"/>
    <n v="0"/>
    <n v="0"/>
    <n v="0"/>
    <n v="0"/>
    <n v="0"/>
    <n v="2"/>
    <n v="0"/>
    <n v="0"/>
    <n v="0"/>
    <n v="0"/>
    <n v="0"/>
    <n v="0"/>
    <m/>
  </r>
  <r>
    <n v="912"/>
    <d v="2024-10-08T15:39:02"/>
    <d v="2024-10-08T15:40:31"/>
    <s v="jkathyoka@lighthouse.org.mw"/>
    <s v="Judith Kathyoka"/>
    <s v="KCH_OPD1"/>
    <s v="Prototype"/>
    <x v="1"/>
    <x v="0"/>
    <s v="COP_23"/>
    <s v="Quarter3"/>
    <x v="1"/>
    <s v="Qtr_4"/>
    <x v="2"/>
    <d v="2024-09-01T00:00:00"/>
    <d v="2024-09-30T00:00:00"/>
    <x v="2"/>
    <n v="0"/>
    <n v="0"/>
    <n v="0"/>
    <n v="0"/>
    <n v="0"/>
    <n v="0"/>
    <n v="0"/>
    <n v="0"/>
    <n v="0"/>
    <n v="0"/>
    <n v="0"/>
    <n v="0"/>
    <n v="0"/>
    <n v="0"/>
    <n v="0"/>
    <n v="0"/>
    <n v="0"/>
    <n v="0"/>
    <n v="0"/>
    <n v="0"/>
    <n v="0"/>
    <n v="0"/>
    <n v="0"/>
    <n v="0"/>
    <n v="0"/>
    <m/>
  </r>
  <r>
    <n v="1057"/>
    <d v="2024-11-11T14:16:57"/>
    <d v="2024-11-11T14:20:05"/>
    <s v="jkathyoka@lighthouse.org.mw"/>
    <s v="Judith Kathyoka"/>
    <s v="KCH_OPD1"/>
    <s v="Prototype"/>
    <x v="1"/>
    <x v="0"/>
    <s v="COP_24"/>
    <s v="Quarter4"/>
    <x v="0"/>
    <s v="Qtr_1"/>
    <x v="0"/>
    <d v="2024-10-01T00:00:00"/>
    <d v="2024-10-31T00:00:00"/>
    <x v="2"/>
    <n v="2"/>
    <n v="0"/>
    <n v="2"/>
    <n v="0"/>
    <n v="0"/>
    <n v="0"/>
    <n v="2"/>
    <n v="1"/>
    <n v="1"/>
    <n v="0"/>
    <n v="0"/>
    <n v="0"/>
    <n v="1"/>
    <n v="0"/>
    <n v="0"/>
    <n v="0"/>
    <n v="0"/>
    <n v="0"/>
    <n v="1"/>
    <n v="0"/>
    <n v="0"/>
    <n v="0"/>
    <n v="0"/>
    <n v="0"/>
    <n v="0"/>
    <m/>
  </r>
  <r>
    <n v="475"/>
    <d v="2024-06-05T10:56:23"/>
    <d v="2024-06-05T11:01:37"/>
    <s v="jkathyoka@lighthouse.org.mw"/>
    <s v="Judith Kathyoka"/>
    <s v="KCH_OPD1"/>
    <s v="Prototype"/>
    <x v="1"/>
    <x v="0"/>
    <s v="COP_23"/>
    <s v="Quarter2"/>
    <x v="3"/>
    <s v="Qtr_3"/>
    <x v="6"/>
    <d v="2024-05-01T00:00:00"/>
    <d v="2024-05-31T00:00:00"/>
    <x v="0"/>
    <n v="7"/>
    <n v="5"/>
    <n v="3"/>
    <n v="1"/>
    <n v="2"/>
    <n v="1"/>
    <n v="7"/>
    <n v="6"/>
    <n v="6"/>
    <n v="1"/>
    <n v="2"/>
    <n v="1"/>
    <n v="3"/>
    <n v="0"/>
    <n v="0"/>
    <n v="0"/>
    <n v="0"/>
    <n v="0"/>
    <n v="5"/>
    <n v="1"/>
    <n v="0"/>
    <n v="1"/>
    <n v="0"/>
    <n v="0"/>
    <n v="6"/>
    <m/>
  </r>
  <r>
    <n v="478"/>
    <d v="2024-06-05T11:11:52"/>
    <d v="2024-06-05T11:14:11"/>
    <s v="jkathyoka@lighthouse.org.mw"/>
    <s v="Judith Kathyoka"/>
    <s v="KCH_OPD1"/>
    <s v="Prototype"/>
    <x v="1"/>
    <x v="0"/>
    <s v="COP_23"/>
    <s v="Quarter2"/>
    <x v="3"/>
    <s v="Qtr_3"/>
    <x v="6"/>
    <d v="2024-05-01T00:00:00"/>
    <d v="2024-05-31T00:00:00"/>
    <x v="3"/>
    <n v="0"/>
    <n v="0"/>
    <n v="0"/>
    <n v="0"/>
    <n v="0"/>
    <n v="0"/>
    <n v="0"/>
    <n v="0"/>
    <n v="0"/>
    <n v="0"/>
    <n v="0"/>
    <n v="0"/>
    <n v="0"/>
    <n v="0"/>
    <n v="0"/>
    <n v="0"/>
    <n v="0"/>
    <n v="0"/>
    <n v="0"/>
    <n v="0"/>
    <n v="0"/>
    <n v="0"/>
    <n v="0"/>
    <n v="0"/>
    <n v="0"/>
    <m/>
  </r>
  <r>
    <n v="479"/>
    <d v="2024-06-05T11:14:22"/>
    <d v="2024-06-05T11:16:41"/>
    <s v="jkathyoka@lighthouse.org.mw"/>
    <s v="Judith Kathyoka"/>
    <s v="KCH_OPD1"/>
    <s v="Prototype"/>
    <x v="1"/>
    <x v="0"/>
    <s v="COP_23"/>
    <s v="Quarter2"/>
    <x v="3"/>
    <s v="Qtr_3"/>
    <x v="6"/>
    <d v="2024-05-01T00:00:00"/>
    <d v="2024-05-31T00:00:00"/>
    <x v="4"/>
    <n v="0"/>
    <n v="0"/>
    <n v="0"/>
    <n v="0"/>
    <n v="0"/>
    <n v="0"/>
    <n v="0"/>
    <n v="0"/>
    <n v="0"/>
    <n v="0"/>
    <n v="0"/>
    <n v="0"/>
    <n v="0"/>
    <n v="0"/>
    <n v="0"/>
    <n v="0"/>
    <n v="0"/>
    <n v="0"/>
    <n v="0"/>
    <n v="0"/>
    <n v="0"/>
    <n v="0"/>
    <n v="0"/>
    <n v="0"/>
    <n v="0"/>
    <m/>
  </r>
  <r>
    <n v="481"/>
    <d v="2024-06-05T11:18:58"/>
    <d v="2024-06-05T11:21:07"/>
    <s v="jkathyoka@lighthouse.org.mw"/>
    <s v="Judith Kathyoka"/>
    <s v="KCH_OPD1"/>
    <s v="Prototype"/>
    <x v="1"/>
    <x v="0"/>
    <s v="COP_23"/>
    <s v="Quarter2"/>
    <x v="3"/>
    <s v="Qtr_3"/>
    <x v="6"/>
    <d v="2024-05-01T00:00:00"/>
    <d v="2024-05-31T00:00:00"/>
    <x v="6"/>
    <n v="0"/>
    <n v="0"/>
    <n v="0"/>
    <n v="0"/>
    <n v="0"/>
    <n v="0"/>
    <n v="0"/>
    <n v="0"/>
    <n v="0"/>
    <n v="0"/>
    <n v="0"/>
    <n v="0"/>
    <n v="0"/>
    <n v="0"/>
    <n v="0"/>
    <n v="0"/>
    <n v="0"/>
    <n v="0"/>
    <n v="0"/>
    <n v="0"/>
    <n v="0"/>
    <n v="0"/>
    <n v="0"/>
    <n v="0"/>
    <n v="0"/>
    <m/>
  </r>
  <r>
    <n v="562"/>
    <d v="2024-07-03T09:55:20"/>
    <d v="2024-07-03T09:57:07"/>
    <s v="jkathyoka@lighthouse.org.mw"/>
    <s v="Judith Kathyoka"/>
    <s v="KCH_OPD1"/>
    <s v="Prototype"/>
    <x v="1"/>
    <x v="0"/>
    <s v="COP_23"/>
    <s v="Quarter2"/>
    <x v="3"/>
    <s v="Qtr_3"/>
    <x v="8"/>
    <d v="2024-06-01T00:00:00"/>
    <d v="2024-06-30T00:00:00"/>
    <x v="3"/>
    <n v="0"/>
    <n v="0"/>
    <n v="0"/>
    <n v="0"/>
    <n v="0"/>
    <n v="0"/>
    <n v="0"/>
    <n v="0"/>
    <n v="0"/>
    <n v="0"/>
    <n v="0"/>
    <n v="0"/>
    <n v="0"/>
    <n v="0"/>
    <n v="0"/>
    <n v="0"/>
    <n v="0"/>
    <n v="0"/>
    <n v="0"/>
    <n v="0"/>
    <n v="0"/>
    <n v="0"/>
    <n v="0"/>
    <n v="0"/>
    <n v="0"/>
    <m/>
  </r>
  <r>
    <n v="563"/>
    <d v="2024-07-03T09:57:12"/>
    <d v="2024-07-03T09:58:58"/>
    <s v="jkathyoka@lighthouse.org.mw"/>
    <s v="Judith Kathyoka"/>
    <s v="KCH_OPD1"/>
    <s v="Prototype"/>
    <x v="1"/>
    <x v="0"/>
    <s v="COP_23"/>
    <s v="Quarter2"/>
    <x v="3"/>
    <s v="Qtr_3"/>
    <x v="8"/>
    <d v="2024-06-01T00:00:00"/>
    <d v="2024-06-30T00:00:00"/>
    <x v="4"/>
    <n v="0"/>
    <n v="0"/>
    <n v="0"/>
    <n v="0"/>
    <n v="0"/>
    <n v="0"/>
    <n v="0"/>
    <n v="0"/>
    <n v="0"/>
    <n v="0"/>
    <n v="0"/>
    <n v="0"/>
    <n v="0"/>
    <n v="0"/>
    <n v="0"/>
    <n v="0"/>
    <n v="0"/>
    <n v="0"/>
    <n v="0"/>
    <n v="0"/>
    <n v="0"/>
    <n v="0"/>
    <n v="0"/>
    <n v="0"/>
    <n v="0"/>
    <m/>
  </r>
  <r>
    <n v="564"/>
    <d v="2024-07-03T09:59:02"/>
    <d v="2024-07-03T10:00:53"/>
    <s v="jkathyoka@lighthouse.org.mw"/>
    <s v="Judith Kathyoka"/>
    <s v="KCH_OPD1"/>
    <s v="Prototype"/>
    <x v="1"/>
    <x v="0"/>
    <s v="COP_23"/>
    <s v="Quarter2"/>
    <x v="3"/>
    <s v="Qtr_3"/>
    <x v="8"/>
    <d v="2024-06-01T00:00:00"/>
    <d v="2024-06-30T00:00:00"/>
    <x v="5"/>
    <n v="0"/>
    <n v="0"/>
    <n v="0"/>
    <n v="0"/>
    <n v="0"/>
    <n v="0"/>
    <n v="0"/>
    <n v="0"/>
    <n v="0"/>
    <n v="0"/>
    <n v="0"/>
    <n v="0"/>
    <n v="0"/>
    <n v="0"/>
    <n v="0"/>
    <n v="0"/>
    <n v="0"/>
    <n v="0"/>
    <n v="0"/>
    <n v="0"/>
    <n v="0"/>
    <n v="0"/>
    <n v="0"/>
    <n v="0"/>
    <n v="0"/>
    <m/>
  </r>
  <r>
    <n v="567"/>
    <d v="2024-07-03T10:06:23"/>
    <d v="2024-07-03T10:08:44"/>
    <s v="jkathyoka@lighthouse.org.mw"/>
    <s v="Judith Kathyoka"/>
    <s v="KCH_OPD1"/>
    <s v="Prototype"/>
    <x v="1"/>
    <x v="0"/>
    <s v="COP_23"/>
    <s v="Quarter2"/>
    <x v="3"/>
    <s v="Qtr_3"/>
    <x v="8"/>
    <d v="2024-06-01T00:00:00"/>
    <d v="2024-06-30T00:00:00"/>
    <x v="0"/>
    <n v="5"/>
    <n v="0"/>
    <n v="4"/>
    <n v="1"/>
    <n v="0"/>
    <n v="0"/>
    <n v="5"/>
    <n v="0"/>
    <n v="0"/>
    <n v="0"/>
    <n v="0"/>
    <n v="0"/>
    <n v="0"/>
    <n v="0"/>
    <n v="0"/>
    <n v="0"/>
    <n v="0"/>
    <n v="0"/>
    <n v="0"/>
    <n v="0"/>
    <n v="0"/>
    <n v="0"/>
    <n v="0"/>
    <n v="0"/>
    <n v="0"/>
    <m/>
  </r>
  <r>
    <n v="715"/>
    <d v="2024-08-05T15:45:12"/>
    <d v="2024-08-05T15:47:02"/>
    <s v="jkathyoka@lighthouse.org.mw"/>
    <s v="Judith Kathyoka"/>
    <s v="KCH_OPD1"/>
    <s v="Prototype"/>
    <x v="1"/>
    <x v="0"/>
    <s v="COP_23"/>
    <s v="Quarter3"/>
    <x v="1"/>
    <s v="Qtr_4"/>
    <x v="9"/>
    <d v="2024-07-01T00:00:00"/>
    <d v="2024-07-31T00:00:00"/>
    <x v="3"/>
    <n v="0"/>
    <n v="0"/>
    <n v="0"/>
    <n v="0"/>
    <n v="0"/>
    <n v="0"/>
    <n v="0"/>
    <n v="0"/>
    <n v="0"/>
    <n v="0"/>
    <n v="0"/>
    <n v="0"/>
    <n v="0"/>
    <n v="0"/>
    <n v="0"/>
    <n v="0"/>
    <n v="0"/>
    <n v="0"/>
    <n v="0"/>
    <n v="0"/>
    <n v="0"/>
    <n v="0"/>
    <n v="0"/>
    <n v="0"/>
    <n v="0"/>
    <m/>
  </r>
  <r>
    <n v="716"/>
    <d v="2024-08-05T15:47:08"/>
    <d v="2024-08-05T15:54:13"/>
    <s v="jkathyoka@lighthouse.org.mw"/>
    <s v="Judith Kathyoka"/>
    <s v="KCH_OPD1"/>
    <s v="Prototype"/>
    <x v="1"/>
    <x v="0"/>
    <s v="COP_23"/>
    <s v="Quarter3"/>
    <x v="1"/>
    <s v="Qtr_4"/>
    <x v="9"/>
    <d v="2024-07-01T00:00:00"/>
    <d v="2024-07-31T00:00:00"/>
    <x v="4"/>
    <n v="0"/>
    <n v="0"/>
    <n v="0"/>
    <n v="0"/>
    <n v="0"/>
    <n v="0"/>
    <n v="0"/>
    <n v="0"/>
    <n v="0"/>
    <n v="0"/>
    <n v="0"/>
    <n v="0"/>
    <n v="0"/>
    <n v="0"/>
    <n v="0"/>
    <n v="0"/>
    <n v="0"/>
    <n v="0"/>
    <n v="0"/>
    <n v="0"/>
    <n v="0"/>
    <n v="0"/>
    <n v="0"/>
    <n v="0"/>
    <n v="0"/>
    <m/>
  </r>
  <r>
    <n v="717"/>
    <d v="2024-08-05T15:54:39"/>
    <d v="2024-08-05T15:57:27"/>
    <s v="jkathyoka@lighthouse.org.mw"/>
    <s v="Judith Kathyoka"/>
    <s v="KCH_OPD1"/>
    <s v="Prototype"/>
    <x v="1"/>
    <x v="1"/>
    <s v="COP_22"/>
    <s v="Quarter3"/>
    <x v="1"/>
    <s v="Qtr_4"/>
    <x v="9"/>
    <d v="2024-07-01T00:00:00"/>
    <d v="2024-07-31T00:00:00"/>
    <x v="5"/>
    <n v="0"/>
    <n v="0"/>
    <n v="0"/>
    <n v="0"/>
    <n v="0"/>
    <n v="0"/>
    <n v="0"/>
    <n v="0"/>
    <n v="0"/>
    <n v="0"/>
    <n v="0"/>
    <n v="0"/>
    <n v="0"/>
    <n v="0"/>
    <n v="0"/>
    <n v="0"/>
    <n v="0"/>
    <n v="0"/>
    <n v="0"/>
    <n v="0"/>
    <n v="0"/>
    <n v="0"/>
    <n v="0"/>
    <n v="0"/>
    <n v="0"/>
    <m/>
  </r>
  <r>
    <n v="725"/>
    <d v="2024-08-06T17:52:57"/>
    <d v="2024-08-06T17:57:32"/>
    <s v="jkathyoka@lighthouse.org.mw"/>
    <s v="Judith Kathyoka"/>
    <s v="KCH_OPD1"/>
    <s v="Prototype"/>
    <x v="1"/>
    <x v="0"/>
    <s v="COP_23"/>
    <s v="Quarter2"/>
    <x v="3"/>
    <s v="Qtr_3"/>
    <x v="6"/>
    <d v="2024-05-01T00:00:00"/>
    <d v="2024-05-31T00:00:00"/>
    <x v="5"/>
    <n v="0"/>
    <n v="0"/>
    <n v="0"/>
    <n v="0"/>
    <n v="0"/>
    <n v="0"/>
    <n v="0"/>
    <n v="0"/>
    <n v="0"/>
    <n v="0"/>
    <n v="0"/>
    <n v="0"/>
    <n v="0"/>
    <n v="0"/>
    <n v="0"/>
    <n v="0"/>
    <n v="0"/>
    <n v="0"/>
    <n v="0"/>
    <n v="0"/>
    <n v="0"/>
    <n v="0"/>
    <n v="0"/>
    <n v="0"/>
    <n v="0"/>
    <m/>
  </r>
  <r>
    <n v="726"/>
    <d v="2024-08-06T17:57:49"/>
    <d v="2024-08-06T17:59:43"/>
    <s v="jkathyoka@lighthouse.org.mw"/>
    <s v="Judith Kathyoka"/>
    <s v="KCH_OPD1"/>
    <s v="Prototype"/>
    <x v="1"/>
    <x v="0"/>
    <s v="COP_23"/>
    <s v="Quarter3"/>
    <x v="1"/>
    <s v="Qtr_4"/>
    <x v="9"/>
    <d v="2024-07-01T00:00:00"/>
    <d v="2024-07-31T00:00:00"/>
    <x v="6"/>
    <n v="0"/>
    <n v="0"/>
    <n v="0"/>
    <n v="0"/>
    <n v="0"/>
    <n v="0"/>
    <n v="0"/>
    <n v="0"/>
    <n v="0"/>
    <n v="0"/>
    <n v="0"/>
    <n v="0"/>
    <n v="0"/>
    <n v="0"/>
    <n v="0"/>
    <n v="0"/>
    <n v="0"/>
    <n v="0"/>
    <n v="0"/>
    <n v="0"/>
    <n v="0"/>
    <n v="0"/>
    <n v="0"/>
    <n v="0"/>
    <n v="0"/>
    <m/>
  </r>
  <r>
    <n v="727"/>
    <d v="2024-08-06T17:59:59"/>
    <d v="2024-08-06T18:03:29"/>
    <s v="jkathyoka@lighthouse.org.mw"/>
    <s v="Judith Kathyoka"/>
    <s v="KCH_OPD1"/>
    <s v="Prototype"/>
    <x v="1"/>
    <x v="0"/>
    <s v="COP_23"/>
    <s v="Quarter3"/>
    <x v="1"/>
    <s v="Qtr_4"/>
    <x v="9"/>
    <d v="2024-07-01T00:00:00"/>
    <d v="2024-07-31T00:00:00"/>
    <x v="0"/>
    <n v="16"/>
    <n v="2"/>
    <n v="14"/>
    <n v="0"/>
    <n v="2"/>
    <n v="0"/>
    <n v="16"/>
    <n v="3"/>
    <n v="6"/>
    <n v="0"/>
    <n v="1"/>
    <n v="0"/>
    <n v="0"/>
    <n v="0"/>
    <n v="0"/>
    <n v="0"/>
    <n v="0"/>
    <n v="0"/>
    <n v="0"/>
    <n v="0"/>
    <n v="0"/>
    <n v="0"/>
    <n v="0"/>
    <n v="0"/>
    <n v="0"/>
    <m/>
  </r>
  <r>
    <n v="771"/>
    <d v="2024-08-19T11:32:31"/>
    <d v="2024-08-19T11:34:05"/>
    <s v="jkathyoka@lighthouse.org.mw"/>
    <s v="Judith Kathyoka"/>
    <s v="KCH_OPD1"/>
    <s v="Prototype"/>
    <x v="1"/>
    <x v="0"/>
    <s v="COP_23"/>
    <s v="Quarter2"/>
    <x v="3"/>
    <s v="Qtr_3"/>
    <x v="7"/>
    <d v="2024-04-01T00:00:00"/>
    <d v="2024-04-30T00:00:00"/>
    <x v="5"/>
    <n v="0"/>
    <n v="0"/>
    <n v="0"/>
    <n v="0"/>
    <n v="0"/>
    <n v="0"/>
    <n v="0"/>
    <n v="0"/>
    <n v="0"/>
    <n v="0"/>
    <n v="0"/>
    <n v="0"/>
    <n v="0"/>
    <n v="0"/>
    <n v="0"/>
    <n v="0"/>
    <n v="0"/>
    <n v="0"/>
    <n v="0"/>
    <n v="0"/>
    <n v="0"/>
    <n v="0"/>
    <n v="0"/>
    <n v="0"/>
    <n v="0"/>
    <m/>
  </r>
  <r>
    <n v="772"/>
    <d v="2024-08-19T11:34:29"/>
    <d v="2024-08-19T11:35:37"/>
    <s v="jkathyoka@lighthouse.org.mw"/>
    <s v="Judith Kathyoka"/>
    <s v="KCH_OPD1"/>
    <s v="Prototype"/>
    <x v="1"/>
    <x v="0"/>
    <s v="COP_23"/>
    <s v="Quarter2"/>
    <x v="3"/>
    <s v="Qtr_3"/>
    <x v="7"/>
    <d v="2024-04-01T00:00:00"/>
    <d v="2024-04-30T00:00:00"/>
    <x v="3"/>
    <n v="0"/>
    <n v="0"/>
    <n v="0"/>
    <n v="0"/>
    <n v="0"/>
    <n v="0"/>
    <n v="0"/>
    <n v="0"/>
    <n v="0"/>
    <n v="0"/>
    <n v="0"/>
    <n v="0"/>
    <n v="0"/>
    <n v="0"/>
    <n v="0"/>
    <n v="0"/>
    <n v="0"/>
    <n v="0"/>
    <n v="0"/>
    <n v="0"/>
    <n v="0"/>
    <n v="0"/>
    <n v="0"/>
    <n v="0"/>
    <n v="0"/>
    <m/>
  </r>
  <r>
    <n v="773"/>
    <d v="2024-08-19T11:35:47"/>
    <d v="2024-08-19T11:36:53"/>
    <s v="jkathyoka@lighthouse.org.mw"/>
    <s v="Judith Kathyoka"/>
    <s v="KCH_OPD1"/>
    <s v="Prototype"/>
    <x v="1"/>
    <x v="0"/>
    <s v="COP_23"/>
    <s v="Quarter2"/>
    <x v="3"/>
    <s v="Qtr_3"/>
    <x v="7"/>
    <d v="2024-04-01T00:00:00"/>
    <d v="2024-04-30T00:00:00"/>
    <x v="4"/>
    <n v="0"/>
    <n v="0"/>
    <n v="0"/>
    <n v="0"/>
    <n v="0"/>
    <n v="0"/>
    <n v="0"/>
    <n v="0"/>
    <n v="0"/>
    <n v="0"/>
    <n v="0"/>
    <n v="0"/>
    <n v="0"/>
    <n v="0"/>
    <n v="0"/>
    <n v="0"/>
    <n v="0"/>
    <n v="0"/>
    <n v="0"/>
    <n v="0"/>
    <n v="0"/>
    <n v="0"/>
    <n v="0"/>
    <n v="0"/>
    <n v="0"/>
    <m/>
  </r>
  <r>
    <n v="820"/>
    <d v="2024-09-19T08:19:02"/>
    <d v="2024-09-19T08:23:27"/>
    <s v="jkathyoka@lighthouse.org.mw"/>
    <s v="Judith Kathyoka"/>
    <s v="KCH_OPD1"/>
    <s v="Prototype"/>
    <x v="1"/>
    <x v="0"/>
    <s v="COP_23"/>
    <s v="Quarter3"/>
    <x v="1"/>
    <s v="Qtr_4"/>
    <x v="10"/>
    <d v="2024-08-01T00:00:00"/>
    <d v="2024-08-31T00:00:00"/>
    <x v="0"/>
    <n v="7"/>
    <n v="0"/>
    <n v="7"/>
    <n v="0"/>
    <n v="0"/>
    <n v="0"/>
    <n v="7"/>
    <n v="0"/>
    <n v="0"/>
    <n v="0"/>
    <n v="0"/>
    <n v="0"/>
    <n v="0"/>
    <n v="0"/>
    <n v="0"/>
    <n v="0"/>
    <n v="0"/>
    <n v="0"/>
    <n v="0"/>
    <n v="0"/>
    <n v="0"/>
    <n v="0"/>
    <n v="0"/>
    <n v="0"/>
    <n v="0"/>
    <m/>
  </r>
  <r>
    <n v="823"/>
    <d v="2024-09-19T08:35:18"/>
    <d v="2024-09-19T08:36:28"/>
    <s v="jkathyoka@lighthouse.org.mw"/>
    <s v="Judith Kathyoka"/>
    <s v="KCH_OPD1"/>
    <s v="Prototype"/>
    <x v="1"/>
    <x v="0"/>
    <s v="COP_23"/>
    <s v="Quarter3"/>
    <x v="1"/>
    <s v="Qtr_4"/>
    <x v="10"/>
    <d v="2024-08-01T00:00:00"/>
    <d v="2024-08-31T00:00:00"/>
    <x v="3"/>
    <n v="0"/>
    <n v="0"/>
    <n v="0"/>
    <n v="0"/>
    <n v="0"/>
    <n v="0"/>
    <n v="0"/>
    <n v="0"/>
    <n v="0"/>
    <n v="0"/>
    <n v="0"/>
    <n v="0"/>
    <n v="0"/>
    <n v="0"/>
    <n v="0"/>
    <n v="0"/>
    <n v="0"/>
    <n v="0"/>
    <n v="0"/>
    <n v="0"/>
    <n v="0"/>
    <n v="0"/>
    <n v="0"/>
    <n v="0"/>
    <n v="0"/>
    <m/>
  </r>
  <r>
    <n v="824"/>
    <d v="2024-09-19T08:36:31"/>
    <d v="2024-09-19T08:37:24"/>
    <s v="jkathyoka@lighthouse.org.mw"/>
    <s v="Judith Kathyoka"/>
    <s v="KCH_OPD1"/>
    <s v="Prototype"/>
    <x v="1"/>
    <x v="0"/>
    <s v="COP_23"/>
    <s v="Quarter3"/>
    <x v="1"/>
    <s v="Qtr_4"/>
    <x v="10"/>
    <d v="2024-08-01T00:00:00"/>
    <d v="2024-08-31T00:00:00"/>
    <x v="4"/>
    <n v="0"/>
    <n v="0"/>
    <n v="0"/>
    <n v="0"/>
    <n v="0"/>
    <n v="0"/>
    <n v="0"/>
    <n v="0"/>
    <n v="0"/>
    <n v="0"/>
    <n v="0"/>
    <n v="0"/>
    <n v="0"/>
    <n v="0"/>
    <n v="0"/>
    <n v="0"/>
    <n v="0"/>
    <n v="0"/>
    <n v="0"/>
    <n v="0"/>
    <n v="0"/>
    <n v="0"/>
    <n v="0"/>
    <n v="0"/>
    <n v="0"/>
    <m/>
  </r>
  <r>
    <n v="825"/>
    <d v="2024-09-19T08:37:26"/>
    <d v="2024-09-19T08:38:30"/>
    <s v="jkathyoka@lighthouse.org.mw"/>
    <s v="Judith Kathyoka"/>
    <s v="KCH_OPD1"/>
    <s v="Prototype"/>
    <x v="1"/>
    <x v="0"/>
    <s v="COP_23"/>
    <s v="Quarter3"/>
    <x v="1"/>
    <s v="Qtr_4"/>
    <x v="10"/>
    <d v="2024-08-01T00:00:00"/>
    <d v="2024-08-31T00:00:00"/>
    <x v="5"/>
    <n v="0"/>
    <n v="0"/>
    <n v="0"/>
    <n v="0"/>
    <n v="0"/>
    <n v="0"/>
    <n v="0"/>
    <n v="0"/>
    <n v="0"/>
    <n v="0"/>
    <n v="0"/>
    <n v="0"/>
    <n v="0"/>
    <n v="0"/>
    <n v="0"/>
    <n v="0"/>
    <n v="0"/>
    <n v="0"/>
    <n v="0"/>
    <n v="0"/>
    <n v="0"/>
    <n v="0"/>
    <n v="0"/>
    <n v="0"/>
    <n v="0"/>
    <m/>
  </r>
  <r>
    <n v="826"/>
    <d v="2024-09-19T08:38:32"/>
    <d v="2024-09-19T08:39:43"/>
    <s v="jkathyoka@lighthouse.org.mw"/>
    <s v="Judith Kathyoka"/>
    <s v="KCH_OPD1"/>
    <s v="Prototype"/>
    <x v="1"/>
    <x v="0"/>
    <s v="COP_23"/>
    <s v="Quarter3"/>
    <x v="1"/>
    <s v="Qtr_4"/>
    <x v="10"/>
    <d v="2024-08-01T00:00:00"/>
    <d v="2024-08-31T00:00:00"/>
    <x v="6"/>
    <n v="0"/>
    <n v="0"/>
    <n v="0"/>
    <n v="0"/>
    <n v="0"/>
    <n v="0"/>
    <n v="0"/>
    <n v="0"/>
    <n v="0"/>
    <n v="0"/>
    <n v="0"/>
    <n v="0"/>
    <n v="0"/>
    <n v="0"/>
    <n v="0"/>
    <n v="0"/>
    <n v="0"/>
    <n v="0"/>
    <n v="0"/>
    <n v="0"/>
    <n v="0"/>
    <n v="0"/>
    <n v="0"/>
    <n v="0"/>
    <n v="0"/>
    <m/>
  </r>
  <r>
    <n v="879"/>
    <d v="2024-10-03T15:47:46"/>
    <d v="2024-10-03T15:50:56"/>
    <s v="jkathyoka@lighthouse.org.mw"/>
    <s v="Judith Kathyoka"/>
    <s v="KCH_OPD1"/>
    <s v="Prototype"/>
    <x v="1"/>
    <x v="0"/>
    <s v="COP_23"/>
    <s v="Quarter3"/>
    <x v="1"/>
    <s v="Qtr_4"/>
    <x v="2"/>
    <d v="2024-09-01T00:00:00"/>
    <d v="2024-09-30T00:00:00"/>
    <x v="0"/>
    <n v="13"/>
    <n v="2"/>
    <n v="11"/>
    <n v="0"/>
    <n v="2"/>
    <n v="0"/>
    <n v="13"/>
    <n v="6"/>
    <n v="6"/>
    <n v="0"/>
    <n v="0"/>
    <n v="0"/>
    <n v="6"/>
    <n v="0"/>
    <n v="0"/>
    <n v="0"/>
    <n v="0"/>
    <n v="0"/>
    <n v="4"/>
    <n v="0"/>
    <n v="0"/>
    <n v="0"/>
    <n v="0"/>
    <n v="0"/>
    <n v="2"/>
    <m/>
  </r>
  <r>
    <n v="880"/>
    <d v="2024-10-03T15:51:17"/>
    <d v="2024-10-03T15:52:18"/>
    <s v="jkathyoka@lighthouse.org.mw"/>
    <s v="Judith Kathyoka"/>
    <s v="KCH_OPD1"/>
    <s v="Prototype"/>
    <x v="1"/>
    <x v="0"/>
    <s v="COP_23"/>
    <s v="Quarter3"/>
    <x v="1"/>
    <s v="Qtr_4"/>
    <x v="2"/>
    <d v="2024-09-01T00:00:00"/>
    <d v="2024-09-30T00:00:00"/>
    <x v="3"/>
    <n v="0"/>
    <n v="0"/>
    <n v="0"/>
    <n v="0"/>
    <n v="0"/>
    <n v="0"/>
    <n v="0"/>
    <n v="0"/>
    <n v="0"/>
    <n v="0"/>
    <n v="0"/>
    <n v="0"/>
    <n v="0"/>
    <n v="0"/>
    <n v="0"/>
    <n v="0"/>
    <n v="0"/>
    <n v="0"/>
    <n v="0"/>
    <n v="0"/>
    <n v="0"/>
    <n v="0"/>
    <n v="0"/>
    <n v="0"/>
    <n v="0"/>
    <m/>
  </r>
  <r>
    <n v="881"/>
    <d v="2024-10-03T15:54:24"/>
    <d v="2024-10-03T15:55:26"/>
    <s v="jkathyoka@lighthouse.org.mw"/>
    <s v="Judith Kathyoka"/>
    <s v="KCH_OPD1"/>
    <s v="Prototype"/>
    <x v="1"/>
    <x v="0"/>
    <s v="COP_23"/>
    <s v="Quarter3"/>
    <x v="1"/>
    <s v="Qtr_4"/>
    <x v="2"/>
    <d v="2024-09-01T00:00:00"/>
    <d v="2024-09-30T00:00:00"/>
    <x v="4"/>
    <n v="0"/>
    <n v="0"/>
    <n v="0"/>
    <n v="0"/>
    <n v="0"/>
    <n v="0"/>
    <n v="0"/>
    <n v="0"/>
    <n v="0"/>
    <n v="0"/>
    <n v="0"/>
    <n v="0"/>
    <n v="0"/>
    <n v="0"/>
    <n v="0"/>
    <n v="0"/>
    <n v="0"/>
    <n v="0"/>
    <n v="0"/>
    <n v="0"/>
    <n v="0"/>
    <n v="0"/>
    <n v="0"/>
    <n v="0"/>
    <n v="0"/>
    <m/>
  </r>
  <r>
    <n v="910"/>
    <d v="2024-10-08T15:35:24"/>
    <d v="2024-10-08T15:38:35"/>
    <s v="jkathyoka@lighthouse.org.mw"/>
    <s v="Judith Kathyoka"/>
    <s v="KCH_OPD1"/>
    <s v="Prototype"/>
    <x v="1"/>
    <x v="0"/>
    <s v="COP_23"/>
    <s v="Quarter3"/>
    <x v="1"/>
    <s v="Qtr_4"/>
    <x v="2"/>
    <d v="2024-09-01T00:00:00"/>
    <d v="2024-09-30T00:00:00"/>
    <x v="5"/>
    <n v="0"/>
    <n v="0"/>
    <n v="0"/>
    <n v="0"/>
    <n v="0"/>
    <n v="0"/>
    <n v="0"/>
    <n v="0"/>
    <n v="0"/>
    <n v="0"/>
    <n v="0"/>
    <n v="0"/>
    <n v="0"/>
    <n v="0"/>
    <n v="0"/>
    <n v="0"/>
    <n v="0"/>
    <n v="0"/>
    <n v="0"/>
    <n v="0"/>
    <n v="0"/>
    <n v="0"/>
    <n v="0"/>
    <n v="0"/>
    <n v="0"/>
    <m/>
  </r>
  <r>
    <n v="913"/>
    <d v="2024-10-08T15:40:36"/>
    <d v="2024-10-08T15:41:40"/>
    <s v="jkathyoka@lighthouse.org.mw"/>
    <s v="Judith Kathyoka"/>
    <s v="KCH_OPD1"/>
    <s v="Prototype"/>
    <x v="1"/>
    <x v="0"/>
    <s v="COP_23"/>
    <s v="Quarter3"/>
    <x v="1"/>
    <s v="Qtr_4"/>
    <x v="2"/>
    <d v="2024-09-01T00:00:00"/>
    <d v="2024-09-30T00:00:00"/>
    <x v="6"/>
    <n v="0"/>
    <n v="0"/>
    <n v="0"/>
    <n v="0"/>
    <n v="0"/>
    <n v="0"/>
    <n v="0"/>
    <n v="0"/>
    <n v="0"/>
    <n v="0"/>
    <n v="0"/>
    <n v="0"/>
    <n v="0"/>
    <n v="0"/>
    <n v="0"/>
    <n v="0"/>
    <n v="0"/>
    <n v="0"/>
    <n v="0"/>
    <n v="0"/>
    <n v="0"/>
    <n v="0"/>
    <n v="0"/>
    <n v="0"/>
    <n v="0"/>
    <m/>
  </r>
  <r>
    <n v="1054"/>
    <d v="2024-11-11T14:10:59"/>
    <d v="2024-11-11T14:12:44"/>
    <s v="jkathyoka@lighthouse.org.mw"/>
    <s v="Judith Kathyoka"/>
    <s v="KCH_OPD1"/>
    <s v="Prototype"/>
    <x v="1"/>
    <x v="0"/>
    <s v="COP_24"/>
    <s v="Quarter4"/>
    <x v="0"/>
    <s v="Qtr_1"/>
    <x v="0"/>
    <d v="2024-10-01T00:00:00"/>
    <d v="2024-10-31T00:00:00"/>
    <x v="3"/>
    <n v="0"/>
    <n v="0"/>
    <n v="0"/>
    <n v="0"/>
    <n v="0"/>
    <n v="0"/>
    <n v="0"/>
    <n v="0"/>
    <n v="0"/>
    <n v="0"/>
    <n v="0"/>
    <n v="0"/>
    <n v="0"/>
    <n v="0"/>
    <n v="0"/>
    <n v="0"/>
    <n v="0"/>
    <n v="0"/>
    <n v="0"/>
    <n v="0"/>
    <n v="0"/>
    <n v="0"/>
    <n v="0"/>
    <n v="0"/>
    <n v="0"/>
    <m/>
  </r>
  <r>
    <n v="1055"/>
    <d v="2024-11-11T14:12:50"/>
    <d v="2024-11-11T14:14:46"/>
    <s v="jkathyoka@lighthouse.org.mw"/>
    <s v="Judith Kathyoka"/>
    <s v="KCH_OPD1"/>
    <s v="Prototype"/>
    <x v="1"/>
    <x v="0"/>
    <s v="COP_24"/>
    <s v="Quarter4"/>
    <x v="0"/>
    <s v="Qtr_1"/>
    <x v="0"/>
    <d v="2024-10-01T00:00:00"/>
    <d v="2024-10-31T00:00:00"/>
    <x v="4"/>
    <n v="0"/>
    <n v="0"/>
    <n v="0"/>
    <n v="0"/>
    <n v="0"/>
    <n v="0"/>
    <n v="0"/>
    <n v="0"/>
    <n v="0"/>
    <n v="0"/>
    <n v="0"/>
    <n v="0"/>
    <n v="0"/>
    <n v="0"/>
    <n v="0"/>
    <n v="0"/>
    <n v="0"/>
    <n v="0"/>
    <n v="0"/>
    <n v="0"/>
    <n v="0"/>
    <n v="0"/>
    <n v="0"/>
    <n v="0"/>
    <n v="0"/>
    <m/>
  </r>
  <r>
    <n v="1056"/>
    <d v="2024-11-11T14:14:50"/>
    <d v="2024-11-11T14:16:32"/>
    <s v="jkathyoka@lighthouse.org.mw"/>
    <s v="Judith Kathyoka"/>
    <s v="KCH_OPD1"/>
    <s v="Prototype"/>
    <x v="1"/>
    <x v="0"/>
    <s v="COP_24"/>
    <s v="Quarter4"/>
    <x v="0"/>
    <s v="Qtr_1"/>
    <x v="0"/>
    <d v="2024-10-01T00:00:00"/>
    <d v="2024-10-31T00:00:00"/>
    <x v="5"/>
    <n v="0"/>
    <n v="0"/>
    <n v="0"/>
    <n v="0"/>
    <n v="0"/>
    <n v="0"/>
    <n v="0"/>
    <n v="0"/>
    <n v="0"/>
    <n v="0"/>
    <n v="0"/>
    <n v="0"/>
    <n v="0"/>
    <n v="0"/>
    <n v="0"/>
    <n v="0"/>
    <n v="0"/>
    <n v="0"/>
    <n v="0"/>
    <n v="0"/>
    <n v="0"/>
    <n v="0"/>
    <n v="0"/>
    <n v="0"/>
    <n v="0"/>
    <m/>
  </r>
  <r>
    <n v="1058"/>
    <d v="2024-11-11T14:20:10"/>
    <d v="2024-11-11T14:21:47"/>
    <s v="jkathyoka@lighthouse.org.mw"/>
    <s v="Judith Kathyoka"/>
    <s v="KCH_OPD1"/>
    <s v="Prototype"/>
    <x v="1"/>
    <x v="0"/>
    <s v="COP_24"/>
    <s v="Quarter4"/>
    <x v="0"/>
    <s v="Qtr_1"/>
    <x v="0"/>
    <d v="2024-10-01T00:00:00"/>
    <d v="2024-10-31T00:00:00"/>
    <x v="6"/>
    <n v="0"/>
    <n v="0"/>
    <n v="0"/>
    <n v="0"/>
    <n v="0"/>
    <n v="0"/>
    <n v="0"/>
    <n v="0"/>
    <n v="0"/>
    <n v="0"/>
    <n v="0"/>
    <n v="0"/>
    <n v="0"/>
    <n v="0"/>
    <n v="0"/>
    <n v="0"/>
    <n v="0"/>
    <n v="0"/>
    <n v="0"/>
    <n v="0"/>
    <n v="0"/>
    <n v="0"/>
    <n v="0"/>
    <n v="0"/>
    <n v="0"/>
    <m/>
  </r>
  <r>
    <n v="1059"/>
    <d v="2024-11-11T14:21:55"/>
    <d v="2024-11-11T14:25:01"/>
    <s v="jkathyoka@lighthouse.org.mw"/>
    <s v="Judith Kathyoka"/>
    <s v="KCH_OPD1"/>
    <s v="Prototype"/>
    <x v="1"/>
    <x v="0"/>
    <s v="COP_24"/>
    <s v="Quarter4"/>
    <x v="0"/>
    <s v="Qtr_1"/>
    <x v="0"/>
    <d v="2024-10-01T00:00:00"/>
    <d v="2024-10-31T00:00:00"/>
    <x v="0"/>
    <n v="8"/>
    <n v="0"/>
    <n v="7"/>
    <n v="0"/>
    <n v="0"/>
    <n v="1"/>
    <n v="8"/>
    <n v="1"/>
    <n v="1"/>
    <n v="0"/>
    <n v="0"/>
    <n v="0"/>
    <n v="0"/>
    <n v="0"/>
    <n v="0"/>
    <n v="0"/>
    <n v="0"/>
    <n v="0"/>
    <n v="1"/>
    <n v="0"/>
    <n v="0"/>
    <n v="0"/>
    <n v="0"/>
    <n v="1"/>
    <n v="0"/>
    <m/>
  </r>
  <r>
    <n v="1103"/>
    <d v="2024-12-05T14:15:02"/>
    <d v="2024-12-05T14:18:57"/>
    <s v="jkathyoka@lighthouse.org.mw"/>
    <s v="Judith Kathyoka"/>
    <s v="KCH_OPD1"/>
    <s v="Prototype"/>
    <x v="1"/>
    <x v="0"/>
    <s v="COP_24"/>
    <s v="Quarter4"/>
    <x v="0"/>
    <s v="Qtr_1"/>
    <x v="1"/>
    <d v="2024-11-01T00:00:00"/>
    <d v="2024-11-30T00:00:00"/>
    <x v="1"/>
    <n v="11"/>
    <n v="2"/>
    <n v="7"/>
    <n v="1"/>
    <n v="1"/>
    <n v="2"/>
    <n v="11"/>
    <n v="6"/>
    <n v="6"/>
    <n v="1"/>
    <n v="2"/>
    <n v="1"/>
    <n v="6"/>
    <n v="1"/>
    <n v="0"/>
    <n v="0"/>
    <n v="0"/>
    <n v="0"/>
    <n v="4"/>
    <n v="0"/>
    <n v="1"/>
    <n v="1"/>
    <n v="0"/>
    <n v="0"/>
    <n v="0"/>
    <m/>
  </r>
  <r>
    <n v="1104"/>
    <d v="2024-12-05T14:19:18"/>
    <d v="2024-12-05T14:21:04"/>
    <s v="jkathyoka@lighthouse.org.mw"/>
    <s v="Judith Kathyoka"/>
    <s v="KCH_OPD1"/>
    <s v="Prototype"/>
    <x v="1"/>
    <x v="2"/>
    <s v="COP_24"/>
    <s v="Quarter4"/>
    <x v="0"/>
    <s v="Qtr_1"/>
    <x v="1"/>
    <d v="2024-11-01T00:00:00"/>
    <d v="2024-11-30T00:00:00"/>
    <x v="3"/>
    <n v="0"/>
    <n v="0"/>
    <n v="0"/>
    <n v="0"/>
    <n v="0"/>
    <n v="0"/>
    <n v="0"/>
    <n v="0"/>
    <n v="0"/>
    <n v="0"/>
    <n v="0"/>
    <n v="0"/>
    <n v="0"/>
    <n v="0"/>
    <n v="0"/>
    <n v="0"/>
    <n v="0"/>
    <n v="0"/>
    <n v="0"/>
    <n v="0"/>
    <n v="0"/>
    <n v="0"/>
    <n v="0"/>
    <n v="0"/>
    <n v="0"/>
    <m/>
  </r>
  <r>
    <n v="1105"/>
    <d v="2024-12-05T14:21:07"/>
    <d v="2024-12-05T14:22:35"/>
    <s v="jkathyoka@lighthouse.org.mw"/>
    <s v="Judith Kathyoka"/>
    <s v="KCH_OPD1"/>
    <s v="Prototype"/>
    <x v="1"/>
    <x v="0"/>
    <s v="COP_24"/>
    <s v="Quarter4"/>
    <x v="0"/>
    <s v="Qtr_1"/>
    <x v="1"/>
    <d v="2024-11-01T00:00:00"/>
    <d v="2024-11-30T00:00:00"/>
    <x v="4"/>
    <n v="0"/>
    <n v="0"/>
    <n v="0"/>
    <n v="0"/>
    <n v="0"/>
    <n v="0"/>
    <n v="0"/>
    <n v="0"/>
    <n v="0"/>
    <n v="0"/>
    <n v="0"/>
    <n v="0"/>
    <n v="0"/>
    <n v="0"/>
    <n v="0"/>
    <n v="0"/>
    <n v="0"/>
    <n v="0"/>
    <n v="0"/>
    <n v="0"/>
    <n v="0"/>
    <n v="0"/>
    <n v="0"/>
    <n v="0"/>
    <n v="0"/>
    <m/>
  </r>
  <r>
    <n v="1106"/>
    <d v="2024-12-05T14:22:37"/>
    <d v="2024-12-05T14:24:09"/>
    <s v="jkathyoka@lighthouse.org.mw"/>
    <s v="Judith Kathyoka"/>
    <s v="KCH_OPD1"/>
    <s v="Prototype"/>
    <x v="1"/>
    <x v="0"/>
    <s v="COP_24"/>
    <s v="Quarter4"/>
    <x v="0"/>
    <s v="Qtr_1"/>
    <x v="1"/>
    <d v="2024-11-01T00:00:00"/>
    <d v="2024-11-30T00:00:00"/>
    <x v="5"/>
    <n v="0"/>
    <n v="0"/>
    <n v="0"/>
    <n v="0"/>
    <n v="0"/>
    <n v="0"/>
    <n v="0"/>
    <n v="0"/>
    <n v="0"/>
    <n v="0"/>
    <n v="0"/>
    <n v="0"/>
    <n v="0"/>
    <n v="0"/>
    <n v="0"/>
    <n v="0"/>
    <n v="0"/>
    <n v="0"/>
    <n v="0"/>
    <n v="0"/>
    <n v="0"/>
    <n v="0"/>
    <n v="0"/>
    <n v="0"/>
    <n v="0"/>
    <m/>
  </r>
  <r>
    <n v="1107"/>
    <d v="2024-12-05T14:24:12"/>
    <d v="2024-12-05T14:26:23"/>
    <s v="jkathyoka@lighthouse.org.mw"/>
    <s v="Judith Kathyoka"/>
    <s v="KCH_OPD1"/>
    <s v="Prototype"/>
    <x v="1"/>
    <x v="0"/>
    <s v="COP_24"/>
    <s v="Quarter4"/>
    <x v="0"/>
    <s v="Qtr_1"/>
    <x v="1"/>
    <d v="2024-11-01T00:00:00"/>
    <d v="2024-11-30T00:00:00"/>
    <x v="2"/>
    <n v="4"/>
    <n v="1"/>
    <n v="2"/>
    <n v="0"/>
    <n v="1"/>
    <n v="1"/>
    <n v="4"/>
    <n v="0"/>
    <n v="0"/>
    <n v="0"/>
    <n v="0"/>
    <n v="0"/>
    <n v="0"/>
    <n v="0"/>
    <n v="0"/>
    <n v="0"/>
    <n v="1"/>
    <n v="1"/>
    <n v="0"/>
    <n v="0"/>
    <n v="0"/>
    <n v="0"/>
    <n v="0"/>
    <n v="1"/>
    <n v="0"/>
    <m/>
  </r>
  <r>
    <n v="1109"/>
    <d v="2024-12-05T14:27:58"/>
    <d v="2024-12-05T14:30:27"/>
    <s v="jkathyoka@lighthouse.org.mw"/>
    <s v="Judith Kathyoka"/>
    <s v="KCH_OPD1"/>
    <s v="Prototype"/>
    <x v="1"/>
    <x v="0"/>
    <s v="COP_24"/>
    <s v="Quarter4"/>
    <x v="0"/>
    <s v="Qtr_1"/>
    <x v="1"/>
    <d v="2024-11-01T00:00:00"/>
    <d v="2024-11-30T00:00:00"/>
    <x v="0"/>
    <n v="15"/>
    <n v="3"/>
    <n v="9"/>
    <n v="1"/>
    <n v="2"/>
    <n v="3"/>
    <n v="15"/>
    <n v="6"/>
    <n v="1"/>
    <n v="1"/>
    <n v="1"/>
    <n v="1"/>
    <n v="6"/>
    <n v="1"/>
    <n v="0"/>
    <n v="0"/>
    <n v="1"/>
    <n v="1"/>
    <n v="4"/>
    <n v="0"/>
    <n v="1"/>
    <n v="1"/>
    <n v="0"/>
    <n v="1"/>
    <n v="0"/>
    <m/>
  </r>
  <r>
    <n v="1200"/>
    <d v="2025-01-06T14:43:30"/>
    <d v="2025-01-06T14:51:01"/>
    <s v="jkathyoka@lighthouse.org.mw"/>
    <s v="Judith Kathyoka"/>
    <s v="KCH_OPD1"/>
    <s v="Prototype"/>
    <x v="1"/>
    <x v="0"/>
    <s v="COP_24"/>
    <s v="Quarter4"/>
    <x v="0"/>
    <s v="Qtr_1"/>
    <x v="11"/>
    <d v="2024-12-01T00:00:00"/>
    <d v="2024-12-31T00:00:00"/>
    <x v="1"/>
    <n v="8"/>
    <n v="0"/>
    <n v="7"/>
    <n v="0"/>
    <n v="0"/>
    <n v="1"/>
    <n v="8"/>
    <n v="3"/>
    <n v="2"/>
    <n v="0"/>
    <n v="0"/>
    <n v="0"/>
    <n v="3"/>
    <n v="0"/>
    <n v="0"/>
    <n v="0"/>
    <n v="0"/>
    <n v="0"/>
    <n v="1"/>
    <n v="0"/>
    <n v="0"/>
    <n v="0"/>
    <n v="0"/>
    <n v="0"/>
    <n v="0"/>
    <m/>
  </r>
  <r>
    <n v="1202"/>
    <d v="2025-01-06T14:51:07"/>
    <d v="2025-01-06T14:53:49"/>
    <s v="jkathyoka@lighthouse.org.mw"/>
    <s v="Judith Kathyoka"/>
    <s v="KCH_OPD1"/>
    <s v="Prototype"/>
    <x v="1"/>
    <x v="0"/>
    <s v="COP_24"/>
    <s v="Quarter4"/>
    <x v="0"/>
    <s v="Qtr_1"/>
    <x v="11"/>
    <d v="2024-12-01T00:00:00"/>
    <d v="2024-12-31T00:00:00"/>
    <x v="3"/>
    <n v="0"/>
    <n v="0"/>
    <n v="0"/>
    <n v="0"/>
    <n v="0"/>
    <n v="0"/>
    <n v="0"/>
    <n v="0"/>
    <n v="0"/>
    <n v="0"/>
    <n v="0"/>
    <n v="0"/>
    <n v="0"/>
    <n v="0"/>
    <n v="0"/>
    <n v="0"/>
    <n v="0"/>
    <n v="0"/>
    <n v="0"/>
    <n v="0"/>
    <n v="0"/>
    <n v="0"/>
    <n v="0"/>
    <n v="0"/>
    <n v="0"/>
    <m/>
  </r>
  <r>
    <n v="1203"/>
    <d v="2025-01-06T14:53:53"/>
    <d v="2025-01-06T14:55:07"/>
    <s v="jkathyoka@lighthouse.org.mw"/>
    <s v="Judith Kathyoka"/>
    <s v="KCH_OPD1"/>
    <s v="Prototype"/>
    <x v="1"/>
    <x v="0"/>
    <s v="COP_24"/>
    <s v="Quarter4"/>
    <x v="0"/>
    <s v="Qtr_1"/>
    <x v="11"/>
    <d v="2024-12-01T00:00:00"/>
    <d v="2024-12-31T00:00:00"/>
    <x v="4"/>
    <n v="0"/>
    <n v="0"/>
    <n v="0"/>
    <n v="0"/>
    <n v="0"/>
    <n v="0"/>
    <n v="0"/>
    <n v="0"/>
    <n v="0"/>
    <n v="0"/>
    <n v="0"/>
    <n v="0"/>
    <n v="0"/>
    <n v="0"/>
    <n v="0"/>
    <n v="0"/>
    <n v="0"/>
    <n v="0"/>
    <n v="0"/>
    <n v="0"/>
    <n v="0"/>
    <n v="0"/>
    <n v="0"/>
    <n v="0"/>
    <n v="0"/>
    <m/>
  </r>
  <r>
    <n v="1204"/>
    <d v="2025-01-06T14:55:12"/>
    <d v="2025-01-06T14:57:21"/>
    <s v="jkathyoka@lighthouse.org.mw"/>
    <s v="Judith Kathyoka"/>
    <s v="KCH_OPD1"/>
    <s v="Prototype"/>
    <x v="1"/>
    <x v="0"/>
    <s v="COP_24"/>
    <s v="Quarter4"/>
    <x v="0"/>
    <s v="Qtr_1"/>
    <x v="11"/>
    <d v="2024-12-01T00:00:00"/>
    <d v="2024-12-31T00:00:00"/>
    <x v="5"/>
    <n v="4"/>
    <n v="0"/>
    <n v="4"/>
    <n v="0"/>
    <n v="0"/>
    <n v="0"/>
    <n v="0"/>
    <n v="0"/>
    <n v="4"/>
    <n v="0"/>
    <n v="0"/>
    <n v="0"/>
    <n v="0"/>
    <n v="0"/>
    <n v="0"/>
    <n v="0"/>
    <n v="0"/>
    <n v="0"/>
    <n v="0"/>
    <n v="0"/>
    <n v="0"/>
    <n v="0"/>
    <n v="0"/>
    <n v="0"/>
    <n v="0"/>
    <m/>
  </r>
  <r>
    <n v="1206"/>
    <d v="2025-01-06T14:57:27"/>
    <d v="2025-01-06T14:59:27"/>
    <s v="jkathyoka@lighthouse.org.mw"/>
    <s v="Judith Kathyoka"/>
    <s v="KCH_OPD1"/>
    <s v="Prototype"/>
    <x v="1"/>
    <x v="0"/>
    <s v="COP_24"/>
    <s v="Quarter4"/>
    <x v="0"/>
    <s v="Qtr_1"/>
    <x v="11"/>
    <d v="2024-12-01T00:00:00"/>
    <d v="2024-12-31T00:00:00"/>
    <x v="2"/>
    <n v="4"/>
    <n v="0"/>
    <n v="4"/>
    <n v="0"/>
    <n v="0"/>
    <n v="0"/>
    <n v="0"/>
    <n v="0"/>
    <n v="0"/>
    <n v="0"/>
    <n v="0"/>
    <n v="0"/>
    <n v="0"/>
    <n v="0"/>
    <n v="0"/>
    <n v="0"/>
    <n v="0"/>
    <n v="0"/>
    <n v="0"/>
    <n v="0"/>
    <n v="0"/>
    <n v="0"/>
    <n v="0"/>
    <n v="0"/>
    <n v="0"/>
    <m/>
  </r>
  <r>
    <n v="1207"/>
    <d v="2025-01-06T14:59:36"/>
    <d v="2025-01-06T15:01:06"/>
    <s v="jkathyoka@lighthouse.org.mw"/>
    <s v="Judith Kathyoka"/>
    <s v="KCH_OPD1"/>
    <s v="Prototype"/>
    <x v="1"/>
    <x v="0"/>
    <s v="COP_24"/>
    <s v="Quarter4"/>
    <x v="0"/>
    <s v="Qtr_1"/>
    <x v="11"/>
    <d v="2024-12-01T00:00:00"/>
    <d v="2024-12-31T00:00:00"/>
    <x v="6"/>
    <n v="0"/>
    <n v="0"/>
    <n v="0"/>
    <n v="0"/>
    <n v="0"/>
    <n v="0"/>
    <n v="0"/>
    <n v="0"/>
    <n v="0"/>
    <n v="0"/>
    <n v="0"/>
    <n v="0"/>
    <n v="0"/>
    <n v="0"/>
    <n v="0"/>
    <n v="0"/>
    <n v="0"/>
    <n v="0"/>
    <n v="0"/>
    <n v="0"/>
    <n v="0"/>
    <n v="0"/>
    <n v="0"/>
    <n v="0"/>
    <n v="0"/>
    <m/>
  </r>
  <r>
    <n v="1208"/>
    <d v="2025-01-06T15:01:13"/>
    <d v="2025-01-06T15:06:04"/>
    <s v="jkathyoka@lighthouse.org.mw"/>
    <s v="Judith Kathyoka"/>
    <s v="KCH_OPD1"/>
    <s v="Prototype"/>
    <x v="1"/>
    <x v="0"/>
    <s v="COP_24"/>
    <s v="Quarter4"/>
    <x v="0"/>
    <s v="Qtr_1"/>
    <x v="11"/>
    <d v="2024-12-01T00:00:00"/>
    <d v="2024-12-31T00:00:00"/>
    <x v="0"/>
    <n v="12"/>
    <n v="0"/>
    <n v="11"/>
    <n v="0"/>
    <n v="0"/>
    <n v="1"/>
    <n v="12"/>
    <n v="3"/>
    <n v="0"/>
    <n v="0"/>
    <n v="0"/>
    <n v="0"/>
    <n v="3"/>
    <n v="0"/>
    <n v="0"/>
    <n v="0"/>
    <n v="1"/>
    <n v="0"/>
    <n v="1"/>
    <n v="0"/>
    <n v="0"/>
    <n v="0"/>
    <n v="0"/>
    <n v="0"/>
    <n v="0"/>
    <m/>
  </r>
  <r>
    <n v="1333"/>
    <d v="2025-02-26T14:16:09"/>
    <d v="2025-02-26T14:33:53"/>
    <s v="jkathyoka@lighthouse.org.mw"/>
    <s v="Judith Kathyoka"/>
    <s v="KCH_OPD1"/>
    <s v="Prototype"/>
    <x v="2"/>
    <x v="0"/>
    <s v="COP_24"/>
    <s v="Quarter1"/>
    <x v="2"/>
    <s v="Qtr_2"/>
    <x v="4"/>
    <d v="2025-01-01T00:00:00"/>
    <d v="2025-01-31T00:00:00"/>
    <x v="1"/>
    <n v="8"/>
    <n v="0"/>
    <n v="8"/>
    <n v="0"/>
    <n v="0"/>
    <n v="0"/>
    <n v="8"/>
    <n v="1"/>
    <n v="1"/>
    <n v="0"/>
    <n v="0"/>
    <n v="0"/>
    <n v="1"/>
    <n v="0"/>
    <n v="0"/>
    <n v="0"/>
    <n v="0"/>
    <n v="0"/>
    <n v="0"/>
    <n v="0"/>
    <n v="0"/>
    <n v="0"/>
    <n v="0"/>
    <n v="0"/>
    <n v="0"/>
    <m/>
  </r>
  <r>
    <n v="1334"/>
    <d v="2025-02-26T14:36:41"/>
    <d v="2025-02-26T14:49:07"/>
    <s v="jkathyoka@lighthouse.org.mw"/>
    <s v="Judith Kathyoka"/>
    <s v="KCH_OPD1"/>
    <s v="Prototype"/>
    <x v="2"/>
    <x v="0"/>
    <s v="COP_24"/>
    <s v="Quarter1"/>
    <x v="2"/>
    <s v="Qtr_2"/>
    <x v="4"/>
    <d v="2025-01-01T00:00:00"/>
    <d v="2025-01-31T00:00:00"/>
    <x v="3"/>
    <n v="0"/>
    <n v="0"/>
    <n v="0"/>
    <n v="0"/>
    <n v="0"/>
    <n v="0"/>
    <n v="0"/>
    <n v="0"/>
    <n v="0"/>
    <n v="0"/>
    <n v="0"/>
    <n v="0"/>
    <n v="0"/>
    <n v="0"/>
    <n v="0"/>
    <n v="0"/>
    <n v="0"/>
    <n v="0"/>
    <n v="0"/>
    <n v="0"/>
    <n v="0"/>
    <n v="0"/>
    <n v="0"/>
    <n v="0"/>
    <n v="0"/>
    <m/>
  </r>
  <r>
    <n v="1335"/>
    <d v="2025-02-26T14:49:10"/>
    <d v="2025-02-26T14:51:02"/>
    <s v="jkathyoka@lighthouse.org.mw"/>
    <s v="Judith Kathyoka"/>
    <s v="KCH_OPD1"/>
    <s v="Prototype"/>
    <x v="2"/>
    <x v="0"/>
    <s v="COP_24"/>
    <s v="Quarter1"/>
    <x v="2"/>
    <s v="Qtr_2"/>
    <x v="4"/>
    <d v="2025-01-01T00:00:00"/>
    <d v="2025-01-31T00:00:00"/>
    <x v="4"/>
    <n v="0"/>
    <n v="0"/>
    <n v="0"/>
    <n v="0"/>
    <n v="0"/>
    <n v="0"/>
    <n v="0"/>
    <n v="0"/>
    <n v="0"/>
    <n v="0"/>
    <n v="0"/>
    <n v="0"/>
    <n v="0"/>
    <n v="0"/>
    <n v="0"/>
    <n v="0"/>
    <n v="0"/>
    <n v="0"/>
    <n v="0"/>
    <n v="0"/>
    <n v="0"/>
    <n v="0"/>
    <n v="0"/>
    <n v="0"/>
    <n v="0"/>
    <m/>
  </r>
  <r>
    <n v="1336"/>
    <d v="2025-02-26T15:37:58"/>
    <d v="2025-02-26T15:39:52"/>
    <s v="jkathyoka@lighthouse.org.mw"/>
    <s v="Judith Kathyoka"/>
    <s v="KCH_OPD1"/>
    <s v="Prototype"/>
    <x v="2"/>
    <x v="2"/>
    <s v="COP_24"/>
    <s v="Quarter1"/>
    <x v="2"/>
    <s v="Qtr_2"/>
    <x v="4"/>
    <d v="2025-01-01T00:00:00"/>
    <d v="2025-01-31T00:00:00"/>
    <x v="5"/>
    <n v="0"/>
    <n v="0"/>
    <n v="0"/>
    <n v="0"/>
    <n v="0"/>
    <n v="0"/>
    <n v="0"/>
    <n v="0"/>
    <n v="0"/>
    <n v="0"/>
    <n v="0"/>
    <n v="0"/>
    <n v="0"/>
    <n v="0"/>
    <n v="0"/>
    <n v="0"/>
    <n v="0"/>
    <n v="0"/>
    <n v="0"/>
    <n v="0"/>
    <n v="0"/>
    <n v="0"/>
    <n v="0"/>
    <n v="0"/>
    <n v="0"/>
    <m/>
  </r>
  <r>
    <n v="1337"/>
    <d v="2025-02-26T15:39:55"/>
    <d v="2025-02-26T15:52:09"/>
    <s v="jkathyoka@lighthouse.org.mw"/>
    <s v="Judith Kathyoka"/>
    <s v="KCH_OPD1"/>
    <s v="Prototype"/>
    <x v="2"/>
    <x v="0"/>
    <s v="COP_24"/>
    <s v="Quarter1"/>
    <x v="2"/>
    <s v="Qtr_2"/>
    <x v="4"/>
    <d v="2025-01-01T00:00:00"/>
    <d v="2025-01-31T00:00:00"/>
    <x v="2"/>
    <n v="4"/>
    <n v="0"/>
    <n v="4"/>
    <n v="0"/>
    <n v="0"/>
    <n v="0"/>
    <n v="4"/>
    <n v="0"/>
    <n v="1"/>
    <n v="0"/>
    <n v="0"/>
    <n v="0"/>
    <n v="1"/>
    <n v="0"/>
    <n v="0"/>
    <n v="0"/>
    <n v="0"/>
    <n v="0"/>
    <n v="0"/>
    <n v="0"/>
    <n v="0"/>
    <n v="0"/>
    <n v="0"/>
    <n v="0"/>
    <n v="0"/>
    <m/>
  </r>
  <r>
    <n v="1338"/>
    <d v="2025-02-26T15:53:46"/>
    <d v="2025-02-26T15:55:10"/>
    <s v="jkathyoka@lighthouse.org.mw"/>
    <s v="Judith Kathyoka"/>
    <s v="KCH_OPD1"/>
    <s v="Prototype"/>
    <x v="2"/>
    <x v="0"/>
    <s v="COP_24"/>
    <s v="Quarter1"/>
    <x v="2"/>
    <s v="Qtr_2"/>
    <x v="4"/>
    <d v="2025-01-01T00:00:00"/>
    <d v="2025-01-31T00:00:00"/>
    <x v="6"/>
    <n v="0"/>
    <n v="0"/>
    <n v="0"/>
    <n v="0"/>
    <n v="0"/>
    <n v="0"/>
    <n v="0"/>
    <n v="0"/>
    <n v="0"/>
    <n v="0"/>
    <n v="0"/>
    <n v="0"/>
    <n v="0"/>
    <n v="0"/>
    <n v="0"/>
    <n v="0"/>
    <n v="0"/>
    <n v="0"/>
    <n v="0"/>
    <n v="0"/>
    <n v="0"/>
    <n v="0"/>
    <n v="0"/>
    <n v="0"/>
    <n v="0"/>
    <m/>
  </r>
  <r>
    <n v="1339"/>
    <d v="2025-02-26T15:55:14"/>
    <d v="2025-02-26T16:00:37"/>
    <s v="jkathyoka@lighthouse.org.mw"/>
    <s v="Judith Kathyoka"/>
    <s v="KCH_OPD1"/>
    <s v="Prototype"/>
    <x v="2"/>
    <x v="0"/>
    <s v="COP_24"/>
    <s v="Quarter1"/>
    <x v="2"/>
    <s v="Qtr_2"/>
    <x v="4"/>
    <d v="2025-01-01T00:00:00"/>
    <d v="2025-01-31T00:00:00"/>
    <x v="0"/>
    <n v="12"/>
    <n v="0"/>
    <n v="12"/>
    <n v="0"/>
    <n v="0"/>
    <n v="0"/>
    <n v="12"/>
    <n v="1"/>
    <n v="2"/>
    <n v="0"/>
    <n v="0"/>
    <n v="0"/>
    <n v="2"/>
    <n v="0"/>
    <n v="0"/>
    <n v="0"/>
    <n v="0"/>
    <n v="0"/>
    <n v="0"/>
    <n v="0"/>
    <n v="0"/>
    <n v="0"/>
    <n v="0"/>
    <n v="0"/>
    <n v="0"/>
    <m/>
  </r>
  <r>
    <n v="1340"/>
    <m/>
    <d v="2025-03-06T08:16:03"/>
    <s v="jkathyoka@lighthouse.org.mw"/>
    <s v="Judith Kathyoka"/>
    <s v="KCH_OPD1"/>
    <s v="Prototype"/>
    <x v="2"/>
    <x v="0"/>
    <s v="COP_24"/>
    <s v="Quarter1"/>
    <x v="2"/>
    <s v="Qtr_2"/>
    <x v="5"/>
    <d v="2025-01-01T00:00:00"/>
    <d v="2025-01-31T00:00:00"/>
    <x v="1"/>
    <n v="4"/>
    <n v="0"/>
    <n v="4"/>
    <n v="0"/>
    <n v="0"/>
    <n v="0"/>
    <n v="4"/>
    <n v="1"/>
    <n v="1"/>
    <n v="0"/>
    <n v="0"/>
    <n v="0"/>
    <n v="1"/>
    <n v="0"/>
    <n v="0"/>
    <n v="0"/>
    <n v="0"/>
    <n v="0"/>
    <n v="1"/>
    <n v="0"/>
    <n v="0"/>
    <n v="0"/>
    <n v="0"/>
    <n v="0"/>
    <n v="0"/>
    <m/>
  </r>
  <r>
    <n v="1341"/>
    <d v="2025-03-06T08:16:14"/>
    <d v="2025-03-06T08:17:57"/>
    <s v="jkathyoka@lighthouse.org.mw"/>
    <s v="Judith Kathyoka"/>
    <s v="KCH_OPD1"/>
    <s v="Prototype"/>
    <x v="2"/>
    <x v="0"/>
    <s v="COP_24"/>
    <s v="Quarter1"/>
    <x v="2"/>
    <s v="Qtr_2"/>
    <x v="5"/>
    <d v="2025-02-01T00:00:00"/>
    <d v="2025-02-28T00:00:00"/>
    <x v="3"/>
    <n v="0"/>
    <n v="0"/>
    <n v="0"/>
    <n v="0"/>
    <n v="0"/>
    <n v="0"/>
    <n v="0"/>
    <n v="0"/>
    <n v="0"/>
    <n v="0"/>
    <n v="0"/>
    <n v="0"/>
    <n v="0"/>
    <n v="0"/>
    <n v="0"/>
    <n v="0"/>
    <n v="0"/>
    <n v="0"/>
    <n v="0"/>
    <n v="0"/>
    <n v="0"/>
    <n v="0"/>
    <n v="0"/>
    <n v="0"/>
    <n v="0"/>
    <m/>
  </r>
  <r>
    <n v="1342"/>
    <d v="2025-03-06T08:18:00"/>
    <d v="2025-03-06T08:19:45"/>
    <s v="jkathyoka@lighthouse.org.mw"/>
    <s v="Judith Kathyoka"/>
    <s v="KCH_OPD1"/>
    <s v="Prototype"/>
    <x v="2"/>
    <x v="0"/>
    <s v="COP_24"/>
    <s v="Quarter1"/>
    <x v="2"/>
    <s v="Qtr_2"/>
    <x v="5"/>
    <d v="2025-02-01T00:00:00"/>
    <d v="2025-02-28T00:00:00"/>
    <x v="4"/>
    <n v="0"/>
    <n v="0"/>
    <n v="0"/>
    <n v="0"/>
    <n v="0"/>
    <n v="0"/>
    <n v="0"/>
    <n v="0"/>
    <n v="0"/>
    <n v="0"/>
    <n v="0"/>
    <n v="0"/>
    <n v="0"/>
    <n v="0"/>
    <n v="0"/>
    <n v="0"/>
    <n v="0"/>
    <n v="0"/>
    <n v="0"/>
    <n v="0"/>
    <n v="0"/>
    <n v="0"/>
    <n v="0"/>
    <n v="0"/>
    <n v="0"/>
    <m/>
  </r>
  <r>
    <n v="1343"/>
    <d v="2025-03-06T08:19:52"/>
    <d v="2025-03-06T08:21:25"/>
    <s v="jkathyoka@lighthouse.org.mw"/>
    <s v="Judith Kathyoka"/>
    <s v="KCH_OPD1"/>
    <s v="Prototype"/>
    <x v="2"/>
    <x v="0"/>
    <s v="COP_24"/>
    <s v="Quarter1"/>
    <x v="2"/>
    <s v="Qtr_2"/>
    <x v="5"/>
    <d v="2025-02-01T00:00:00"/>
    <d v="2025-02-28T00:00:00"/>
    <x v="5"/>
    <n v="0"/>
    <n v="0"/>
    <n v="0"/>
    <n v="0"/>
    <n v="0"/>
    <n v="0"/>
    <n v="0"/>
    <n v="0"/>
    <n v="0"/>
    <n v="0"/>
    <n v="0"/>
    <n v="0"/>
    <n v="0"/>
    <n v="0"/>
    <n v="0"/>
    <n v="0"/>
    <n v="0"/>
    <n v="0"/>
    <n v="0"/>
    <n v="0"/>
    <n v="0"/>
    <n v="0"/>
    <n v="0"/>
    <n v="0"/>
    <n v="0"/>
    <m/>
  </r>
  <r>
    <n v="1344"/>
    <d v="2025-03-06T08:21:44"/>
    <d v="2025-03-06T08:23:27"/>
    <s v="jkathyoka@lighthouse.org.mw"/>
    <s v="Judith Kathyoka"/>
    <s v="KCH_OPD1"/>
    <s v="Prototype"/>
    <x v="2"/>
    <x v="0"/>
    <s v="COP_24"/>
    <s v="Quarter1"/>
    <x v="2"/>
    <s v="Qtr_2"/>
    <x v="5"/>
    <d v="2025-02-01T00:00:00"/>
    <d v="2025-02-28T00:00:00"/>
    <x v="2"/>
    <n v="0"/>
    <n v="0"/>
    <n v="0"/>
    <n v="0"/>
    <n v="0"/>
    <n v="0"/>
    <n v="0"/>
    <n v="0"/>
    <n v="0"/>
    <n v="0"/>
    <n v="0"/>
    <n v="0"/>
    <n v="0"/>
    <n v="0"/>
    <n v="0"/>
    <n v="0"/>
    <n v="0"/>
    <n v="0"/>
    <n v="0"/>
    <n v="0"/>
    <n v="0"/>
    <n v="0"/>
    <n v="0"/>
    <n v="0"/>
    <n v="0"/>
    <m/>
  </r>
  <r>
    <n v="1345"/>
    <d v="2025-03-06T08:23:33"/>
    <d v="2025-03-06T08:25:04"/>
    <s v="jkathyoka@lighthouse.org.mw"/>
    <s v="Judith Kathyoka"/>
    <s v="KCH_OPD1"/>
    <s v="Prototype"/>
    <x v="2"/>
    <x v="0"/>
    <s v="COP_24"/>
    <s v="Quarter1"/>
    <x v="2"/>
    <s v="Qtr_2"/>
    <x v="5"/>
    <d v="2025-02-01T00:00:00"/>
    <d v="2025-02-28T00:00:00"/>
    <x v="6"/>
    <n v="0"/>
    <n v="0"/>
    <n v="0"/>
    <n v="0"/>
    <n v="0"/>
    <n v="0"/>
    <n v="0"/>
    <n v="0"/>
    <n v="0"/>
    <n v="0"/>
    <n v="0"/>
    <n v="0"/>
    <n v="0"/>
    <n v="0"/>
    <n v="0"/>
    <n v="0"/>
    <n v="0"/>
    <n v="0"/>
    <n v="0"/>
    <n v="0"/>
    <n v="0"/>
    <n v="0"/>
    <n v="0"/>
    <n v="0"/>
    <n v="0"/>
    <m/>
  </r>
  <r>
    <n v="1346"/>
    <d v="2025-03-06T08:25:14"/>
    <d v="2025-03-06T08:27:22"/>
    <s v="jkathyoka@lighthouse.org.mw"/>
    <s v="Judith Kathyoka"/>
    <s v="KCH_OPD1"/>
    <s v="Prototype"/>
    <x v="2"/>
    <x v="0"/>
    <s v="COP_24"/>
    <s v="Quarter1"/>
    <x v="2"/>
    <s v="Qtr_2"/>
    <x v="5"/>
    <d v="2025-02-01T00:00:00"/>
    <d v="2025-02-28T00:00:00"/>
    <x v="0"/>
    <n v="4"/>
    <n v="0"/>
    <n v="4"/>
    <n v="0"/>
    <n v="0"/>
    <n v="0"/>
    <n v="4"/>
    <n v="1"/>
    <n v="1"/>
    <n v="0"/>
    <n v="0"/>
    <n v="0"/>
    <n v="1"/>
    <n v="0"/>
    <n v="0"/>
    <n v="0"/>
    <n v="0"/>
    <n v="0"/>
    <n v="0"/>
    <n v="0"/>
    <n v="0"/>
    <n v="0"/>
    <n v="0"/>
    <n v="0"/>
    <n v="0"/>
    <m/>
  </r>
  <r>
    <n v="1480"/>
    <d v="2025-04-02T15:57:09"/>
    <d v="2025-04-02T16:01:13"/>
    <s v="jkathyoka@lighthouse.org.mw"/>
    <s v="Judith Kathyoka"/>
    <s v="KCH_OPD1"/>
    <s v="Prototype"/>
    <x v="2"/>
    <x v="0"/>
    <s v="COP_24"/>
    <s v="Quarter1"/>
    <x v="2"/>
    <s v="Qtr_2"/>
    <x v="3"/>
    <d v="2025-03-01T00:00:00"/>
    <d v="2025-03-31T00:00:00"/>
    <x v="1"/>
    <n v="9"/>
    <n v="0"/>
    <n v="6"/>
    <n v="1"/>
    <n v="2"/>
    <n v="0"/>
    <n v="9"/>
    <n v="4"/>
    <n v="4"/>
    <n v="0"/>
    <n v="0"/>
    <n v="0"/>
    <n v="3"/>
    <n v="0"/>
    <n v="0"/>
    <n v="0"/>
    <n v="0"/>
    <n v="0"/>
    <n v="1"/>
    <n v="0"/>
    <n v="0"/>
    <n v="0"/>
    <n v="0"/>
    <n v="0"/>
    <n v="0"/>
    <m/>
  </r>
  <r>
    <n v="1481"/>
    <d v="2025-04-02T16:02:14"/>
    <d v="2025-04-02T16:05:28"/>
    <s v="jkathyoka@lighthouse.org.mw"/>
    <s v="Judith Kathyoka"/>
    <s v="KCH_OPD1"/>
    <s v="Prototype"/>
    <x v="2"/>
    <x v="0"/>
    <s v="COP_24"/>
    <s v="Quarter1"/>
    <x v="2"/>
    <s v="Qtr_2"/>
    <x v="3"/>
    <d v="2025-03-01T00:00:00"/>
    <d v="2025-03-31T00:00:00"/>
    <x v="3"/>
    <n v="0"/>
    <n v="0"/>
    <n v="0"/>
    <n v="0"/>
    <n v="0"/>
    <n v="0"/>
    <n v="0"/>
    <n v="0"/>
    <n v="0"/>
    <n v="0"/>
    <n v="0"/>
    <n v="0"/>
    <n v="0"/>
    <n v="0"/>
    <n v="0"/>
    <n v="0"/>
    <n v="0"/>
    <n v="0"/>
    <n v="0"/>
    <n v="0"/>
    <n v="0"/>
    <n v="0"/>
    <n v="0"/>
    <n v="0"/>
    <n v="0"/>
    <m/>
  </r>
  <r>
    <n v="1493"/>
    <d v="2025-04-03T10:43:46"/>
    <d v="2025-04-03T11:38:47"/>
    <s v="jkathyoka@lighthouse.org.mw"/>
    <s v="Judith Kathyoka"/>
    <s v="KCH_OPD1"/>
    <s v="Prototype"/>
    <x v="2"/>
    <x v="0"/>
    <s v="COP_24"/>
    <s v="Quarter1"/>
    <x v="2"/>
    <s v="Qtr_2"/>
    <x v="3"/>
    <d v="2025-03-01T00:00:00"/>
    <d v="2025-03-31T00:00:00"/>
    <x v="4"/>
    <n v="0"/>
    <n v="0"/>
    <n v="0"/>
    <n v="0"/>
    <n v="0"/>
    <n v="0"/>
    <n v="0"/>
    <n v="0"/>
    <n v="0"/>
    <n v="0"/>
    <n v="0"/>
    <n v="0"/>
    <n v="0"/>
    <n v="0"/>
    <n v="0"/>
    <n v="0"/>
    <n v="0"/>
    <n v="0"/>
    <n v="0"/>
    <n v="0"/>
    <n v="0"/>
    <n v="0"/>
    <n v="0"/>
    <n v="0"/>
    <n v="0"/>
    <m/>
  </r>
  <r>
    <n v="1494"/>
    <d v="2025-04-03T11:38:51"/>
    <d v="2025-04-03T11:42:17"/>
    <s v="jkathyoka@lighthouse.org.mw"/>
    <s v="Judith Kathyoka"/>
    <s v="KCH_OPD1"/>
    <s v="Prototype"/>
    <x v="2"/>
    <x v="0"/>
    <s v="COP_24"/>
    <s v="Quarter1"/>
    <x v="2"/>
    <s v="Qtr_2"/>
    <x v="3"/>
    <d v="2025-03-01T00:00:00"/>
    <d v="2025-03-31T00:00:00"/>
    <x v="5"/>
    <n v="7"/>
    <n v="0"/>
    <n v="7"/>
    <n v="0"/>
    <n v="0"/>
    <n v="0"/>
    <n v="7"/>
    <n v="0"/>
    <n v="3"/>
    <n v="0"/>
    <n v="7"/>
    <n v="0"/>
    <n v="1"/>
    <n v="1"/>
    <n v="0"/>
    <n v="0"/>
    <n v="0"/>
    <n v="0"/>
    <n v="0"/>
    <n v="0"/>
    <n v="0"/>
    <n v="0"/>
    <n v="0"/>
    <n v="0"/>
    <n v="0"/>
    <m/>
  </r>
  <r>
    <n v="1495"/>
    <d v="2025-04-03T11:42:32"/>
    <d v="2025-04-03T11:44:09"/>
    <s v="jkathyoka@lighthouse.org.mw"/>
    <s v="Judith Kathyoka"/>
    <s v="KCH_OPD1"/>
    <s v="Prototype"/>
    <x v="2"/>
    <x v="0"/>
    <s v="COP_24"/>
    <s v="Quarter1"/>
    <x v="2"/>
    <s v="Qtr_2"/>
    <x v="3"/>
    <d v="2025-03-01T00:00:00"/>
    <d v="2025-03-31T00:00:00"/>
    <x v="6"/>
    <n v="0"/>
    <n v="0"/>
    <n v="0"/>
    <n v="0"/>
    <n v="0"/>
    <n v="0"/>
    <n v="0"/>
    <n v="0"/>
    <n v="0"/>
    <n v="0"/>
    <n v="0"/>
    <n v="0"/>
    <n v="0"/>
    <n v="0"/>
    <n v="0"/>
    <n v="0"/>
    <n v="0"/>
    <n v="0"/>
    <n v="0"/>
    <n v="0"/>
    <n v="0"/>
    <n v="0"/>
    <n v="0"/>
    <n v="0"/>
    <n v="0"/>
    <m/>
  </r>
  <r>
    <n v="1496"/>
    <d v="2025-04-03T11:48:45"/>
    <d v="2025-04-03T11:52:48"/>
    <s v="jkathyoka@lighthouse.org.mw"/>
    <s v="Judith Kathyoka"/>
    <s v="KCH_OPD1"/>
    <s v="Prototype"/>
    <x v="2"/>
    <x v="2"/>
    <s v="COP_24"/>
    <s v="Quarter1"/>
    <x v="2"/>
    <s v="Qtr_2"/>
    <x v="3"/>
    <d v="2025-03-01T00:00:00"/>
    <d v="2025-03-31T00:00:00"/>
    <x v="0"/>
    <n v="16"/>
    <n v="0"/>
    <n v="13"/>
    <n v="1"/>
    <n v="2"/>
    <n v="0"/>
    <n v="16"/>
    <n v="5"/>
    <n v="5"/>
    <n v="0"/>
    <n v="0"/>
    <n v="0"/>
    <n v="4"/>
    <n v="1"/>
    <n v="0"/>
    <n v="0"/>
    <n v="0"/>
    <n v="0"/>
    <n v="3"/>
    <n v="0"/>
    <n v="0"/>
    <n v="0"/>
    <n v="0"/>
    <n v="0"/>
    <n v="0"/>
    <m/>
  </r>
  <r>
    <n v="34"/>
    <d v="2023-12-19T15:48:43"/>
    <d v="2023-12-19T15:58:41"/>
    <s v="bsamala@lighthouse.org.mw"/>
    <s v="Benadetta Samala"/>
    <s v="LH_KCH"/>
    <s v="COE"/>
    <x v="0"/>
    <x v="1"/>
    <s v="COP_22"/>
    <s v="Quarter3"/>
    <x v="1"/>
    <s v="Qtr_4"/>
    <x v="2"/>
    <d v="2023-09-01T00:00:00"/>
    <d v="2023-09-30T00:00:00"/>
    <x v="0"/>
    <n v="171"/>
    <n v="171"/>
    <n v="47"/>
    <n v="7"/>
    <n v="26"/>
    <n v="22"/>
    <n v="163"/>
    <n v="73"/>
    <n v="144"/>
    <n v="7"/>
    <n v="144"/>
    <n v="2"/>
    <n v="174"/>
    <n v="10"/>
    <n v="153"/>
    <n v="0"/>
    <n v="127"/>
    <n v="10"/>
    <n v="84"/>
    <n v="6"/>
    <n v="8"/>
    <n v="0"/>
    <n v="1"/>
    <n v="3"/>
    <n v="76"/>
    <m/>
  </r>
  <r>
    <n v="35"/>
    <d v="2023-12-20T08:59:32"/>
    <d v="2023-12-20T09:05:56"/>
    <s v="bsamala@lighthouse.org.mw"/>
    <s v="Benadetta Samala"/>
    <s v="LH_KCH"/>
    <s v="COE"/>
    <x v="0"/>
    <x v="2"/>
    <s v="COP_23"/>
    <s v="Quarter4"/>
    <x v="0"/>
    <s v="Qtr_1"/>
    <x v="0"/>
    <d v="2023-10-01T00:00:00"/>
    <d v="2023-12-30T00:00:00"/>
    <x v="0"/>
    <n v="288"/>
    <n v="102"/>
    <n v="38"/>
    <n v="35"/>
    <n v="154"/>
    <n v="30"/>
    <n v="275"/>
    <n v="127"/>
    <n v="284"/>
    <n v="2"/>
    <n v="164"/>
    <n v="7"/>
    <n v="67"/>
    <n v="14"/>
    <n v="15"/>
    <n v="4"/>
    <n v="60"/>
    <n v="36"/>
    <n v="62"/>
    <n v="10"/>
    <n v="20"/>
    <n v="4"/>
    <n v="0"/>
    <n v="7"/>
    <n v="92"/>
    <m/>
  </r>
  <r>
    <n v="92"/>
    <d v="2024-01-17T12:10:53"/>
    <d v="2024-01-17T12:20:45"/>
    <s v="bsamala@lighthouse.org.mw"/>
    <s v="Benadetta Samala"/>
    <s v="LH_KCH"/>
    <s v="COE"/>
    <x v="0"/>
    <x v="2"/>
    <s v="COP_23"/>
    <s v="Quarter4"/>
    <x v="0"/>
    <s v="Qtr_1"/>
    <x v="11"/>
    <d v="2023-12-01T00:00:00"/>
    <d v="2024-01-30T00:00:00"/>
    <x v="0"/>
    <n v="157"/>
    <n v="10"/>
    <n v="16"/>
    <n v="3"/>
    <n v="3"/>
    <n v="6"/>
    <n v="29"/>
    <n v="3"/>
    <n v="99"/>
    <n v="2"/>
    <n v="1"/>
    <n v="0"/>
    <n v="58"/>
    <n v="9"/>
    <n v="1"/>
    <n v="0"/>
    <n v="1"/>
    <n v="0"/>
    <n v="9"/>
    <n v="4"/>
    <n v="4"/>
    <n v="0"/>
    <n v="0"/>
    <n v="3"/>
    <n v="0"/>
    <m/>
  </r>
  <r>
    <n v="93"/>
    <d v="2024-01-17T13:41:45"/>
    <d v="2024-01-17T13:42:06"/>
    <s v="bsamala@lighthouse.org.mw"/>
    <s v="Benadetta Samala"/>
    <s v="LH_KCH"/>
    <s v="COE"/>
    <x v="0"/>
    <x v="2"/>
    <s v="COP_23"/>
    <s v="Quarter4"/>
    <x v="0"/>
    <s v="Qtr_1"/>
    <x v="11"/>
    <d v="2023-12-01T00:00:00"/>
    <d v="2024-01-31T00:00:00"/>
    <x v="6"/>
    <n v="107"/>
    <n v="90"/>
    <n v="32"/>
    <n v="9"/>
    <n v="32"/>
    <n v="34"/>
    <n v="107"/>
    <n v="42"/>
    <n v="51"/>
    <n v="4"/>
    <n v="17"/>
    <n v="1"/>
    <n v="43"/>
    <n v="6"/>
    <n v="5"/>
    <n v="0"/>
    <n v="25"/>
    <n v="11"/>
    <n v="41"/>
    <n v="11"/>
    <n v="11"/>
    <n v="5"/>
    <n v="0"/>
    <n v="3"/>
    <n v="25"/>
    <m/>
  </r>
  <r>
    <n v="118"/>
    <d v="2024-01-24T13:37:06"/>
    <d v="2024-01-24T13:41:24"/>
    <s v="eadisoni@lighthouse.org.mw"/>
    <s v="Eliza adisoni"/>
    <s v="LH_KCH"/>
    <s v="COE"/>
    <x v="0"/>
    <x v="2"/>
    <s v="COP_23"/>
    <s v="Quarter4"/>
    <x v="0"/>
    <s v="Qtr_1"/>
    <x v="0"/>
    <d v="2024-01-23T00:00:00"/>
    <d v="2024-01-23T00:00:00"/>
    <x v="3"/>
    <n v="2"/>
    <n v="2"/>
    <n v="0"/>
    <n v="0"/>
    <n v="0"/>
    <n v="0"/>
    <n v="0"/>
    <n v="0"/>
    <n v="2"/>
    <n v="0"/>
    <n v="2"/>
    <n v="0"/>
    <n v="2"/>
    <n v="0"/>
    <n v="2"/>
    <n v="0"/>
    <n v="2"/>
    <n v="0"/>
    <n v="1"/>
    <n v="0"/>
    <n v="0"/>
    <n v="0"/>
    <n v="0"/>
    <n v="0"/>
    <n v="0"/>
    <m/>
  </r>
  <r>
    <n v="119"/>
    <d v="2024-01-24T13:43:13"/>
    <d v="2024-01-24T13:51:36"/>
    <s v="eadisoni@lighthouse.org.mw"/>
    <s v="Eliza adisoni"/>
    <s v="LH_KCH"/>
    <s v="COE"/>
    <x v="0"/>
    <x v="2"/>
    <s v="COP_23"/>
    <s v="Quarter4"/>
    <x v="0"/>
    <s v="Qtr_1"/>
    <x v="0"/>
    <d v="2024-01-23T00:00:00"/>
    <d v="2024-01-23T00:00:00"/>
    <x v="5"/>
    <n v="27"/>
    <n v="6"/>
    <n v="0"/>
    <n v="2"/>
    <n v="6"/>
    <n v="1"/>
    <n v="27"/>
    <n v="7"/>
    <n v="23"/>
    <n v="0"/>
    <n v="24"/>
    <n v="0"/>
    <n v="23"/>
    <n v="0"/>
    <n v="0"/>
    <n v="0"/>
    <n v="0"/>
    <n v="0"/>
    <n v="0"/>
    <n v="0"/>
    <n v="0"/>
    <n v="0"/>
    <n v="0"/>
    <n v="0"/>
    <n v="0"/>
    <m/>
  </r>
  <r>
    <n v="121"/>
    <d v="2024-01-24T13:52:43"/>
    <d v="2024-01-24T14:06:24"/>
    <s v="eadisoni@lighthouse.org.mw"/>
    <s v="Eliza adisoni"/>
    <s v="LH_KCH"/>
    <s v="COE"/>
    <x v="0"/>
    <x v="2"/>
    <s v="COP_23"/>
    <s v="Quarter4"/>
    <x v="0"/>
    <s v="Qtr_1"/>
    <x v="1"/>
    <d v="2024-01-23T00:00:00"/>
    <d v="2024-01-23T00:00:00"/>
    <x v="5"/>
    <n v="34"/>
    <n v="6"/>
    <n v="8"/>
    <n v="0"/>
    <n v="4"/>
    <n v="0"/>
    <n v="33"/>
    <n v="11"/>
    <n v="22"/>
    <n v="1"/>
    <n v="0"/>
    <n v="0"/>
    <n v="22"/>
    <n v="0"/>
    <n v="0"/>
    <n v="0"/>
    <n v="0"/>
    <n v="0"/>
    <n v="0"/>
    <n v="0"/>
    <n v="0"/>
    <n v="0"/>
    <n v="1"/>
    <n v="1"/>
    <n v="1"/>
    <m/>
  </r>
  <r>
    <n v="122"/>
    <d v="2024-01-24T13:52:37"/>
    <d v="2024-01-24T14:09:02"/>
    <s v="eadisoni@lighthouse.org.mw"/>
    <s v="Eliza adisoni"/>
    <s v="LH_KCH"/>
    <s v="COE"/>
    <x v="0"/>
    <x v="2"/>
    <s v="COP_23"/>
    <s v="Quarter4"/>
    <x v="0"/>
    <s v="Qtr_1"/>
    <x v="1"/>
    <d v="2024-01-23T00:00:00"/>
    <d v="2024-01-23T00:00:00"/>
    <x v="3"/>
    <n v="2"/>
    <n v="1"/>
    <n v="0"/>
    <n v="0"/>
    <n v="0"/>
    <n v="0"/>
    <n v="2"/>
    <n v="1"/>
    <n v="2"/>
    <n v="0"/>
    <n v="0"/>
    <n v="0"/>
    <n v="2"/>
    <n v="0"/>
    <n v="0"/>
    <n v="0"/>
    <n v="0"/>
    <n v="0"/>
    <n v="0"/>
    <n v="0"/>
    <n v="0"/>
    <n v="0"/>
    <n v="0"/>
    <n v="0"/>
    <n v="0"/>
    <m/>
  </r>
  <r>
    <n v="125"/>
    <d v="2024-01-24T14:16:56"/>
    <d v="2024-01-24T14:26:08"/>
    <s v="eadisoni@lighthouse.org.mw"/>
    <s v="Eliza adisoni"/>
    <s v="LH_KCH"/>
    <s v="COE"/>
    <x v="0"/>
    <x v="2"/>
    <s v="COP_23"/>
    <s v="Quarter4"/>
    <x v="0"/>
    <s v="Qtr_1"/>
    <x v="11"/>
    <d v="2024-01-24T00:00:00"/>
    <d v="2024-01-24T00:00:00"/>
    <x v="3"/>
    <n v="0"/>
    <n v="0"/>
    <n v="0"/>
    <n v="0"/>
    <n v="0"/>
    <n v="0"/>
    <n v="0"/>
    <n v="0"/>
    <n v="0"/>
    <n v="0"/>
    <n v="0"/>
    <n v="0"/>
    <n v="0"/>
    <n v="0"/>
    <n v="0"/>
    <n v="0"/>
    <n v="0"/>
    <n v="0"/>
    <n v="0"/>
    <n v="0"/>
    <n v="0"/>
    <n v="0"/>
    <n v="0"/>
    <n v="0"/>
    <n v="0"/>
    <m/>
  </r>
  <r>
    <n v="126"/>
    <d v="2024-01-24T14:16:59"/>
    <d v="2024-01-24T14:29:47"/>
    <s v="eadisoni@lighthouse.org.mw"/>
    <s v="Eliza adisoni"/>
    <s v="LH_KCH"/>
    <s v="COE"/>
    <x v="0"/>
    <x v="2"/>
    <s v="COP_23"/>
    <s v="Quarter4"/>
    <x v="0"/>
    <s v="Qtr_1"/>
    <x v="11"/>
    <d v="2024-01-24T00:00:00"/>
    <d v="2024-01-24T00:00:00"/>
    <x v="5"/>
    <n v="26"/>
    <n v="0"/>
    <n v="5"/>
    <n v="0"/>
    <n v="0"/>
    <n v="1"/>
    <n v="25"/>
    <n v="7"/>
    <n v="15"/>
    <n v="0"/>
    <n v="1"/>
    <n v="0"/>
    <n v="7"/>
    <n v="1"/>
    <n v="5"/>
    <n v="0"/>
    <n v="0"/>
    <n v="0"/>
    <n v="1"/>
    <n v="0"/>
    <n v="0"/>
    <n v="0"/>
    <n v="0"/>
    <n v="1"/>
    <n v="0"/>
    <m/>
  </r>
  <r>
    <n v="147"/>
    <d v="2024-02-07T14:56:02"/>
    <d v="2024-02-07T15:06:14"/>
    <s v="eadisoni@lighthouse.org.mw"/>
    <s v="Eliza adisoni"/>
    <s v="LH_KCH"/>
    <s v="COE"/>
    <x v="1"/>
    <x v="2"/>
    <s v="COP_23"/>
    <s v="Quarter1"/>
    <x v="2"/>
    <s v="Qtr_2"/>
    <x v="4"/>
    <d v="2024-02-07T00:00:00"/>
    <d v="2024-02-07T00:00:00"/>
    <x v="6"/>
    <n v="113"/>
    <n v="93"/>
    <n v="29"/>
    <n v="9"/>
    <n v="31"/>
    <n v="44"/>
    <n v="113"/>
    <n v="55"/>
    <n v="61"/>
    <n v="6"/>
    <n v="14"/>
    <n v="4"/>
    <n v="58"/>
    <n v="16"/>
    <n v="4"/>
    <n v="0"/>
    <n v="23"/>
    <n v="6"/>
    <n v="39"/>
    <n v="20"/>
    <n v="23"/>
    <n v="6"/>
    <n v="0"/>
    <n v="3"/>
    <n v="21"/>
    <m/>
  </r>
  <r>
    <n v="148"/>
    <d v="2024-02-07T15:07:52"/>
    <d v="2024-02-07T15:11:09"/>
    <s v="eadisoni@lighthouse.org.mw"/>
    <s v="Eliza adisoni"/>
    <s v="LH_KCH"/>
    <s v="COE"/>
    <x v="1"/>
    <x v="2"/>
    <s v="COP_23"/>
    <s v="Quarter1"/>
    <x v="2"/>
    <s v="Qtr_2"/>
    <x v="4"/>
    <d v="2024-02-07T00:00:00"/>
    <d v="2024-02-07T00:00:00"/>
    <x v="0"/>
    <n v="183"/>
    <n v="19"/>
    <n v="40"/>
    <n v="32"/>
    <n v="30"/>
    <n v="19"/>
    <n v="183"/>
    <n v="66"/>
    <n v="88"/>
    <n v="1"/>
    <n v="1"/>
    <n v="0"/>
    <n v="54"/>
    <n v="6"/>
    <n v="1"/>
    <n v="0"/>
    <n v="0"/>
    <n v="0"/>
    <n v="7"/>
    <n v="5"/>
    <n v="13"/>
    <n v="0"/>
    <n v="0"/>
    <n v="5"/>
    <n v="0"/>
    <m/>
  </r>
  <r>
    <n v="150"/>
    <d v="2024-02-07T15:19:13"/>
    <d v="2024-02-07T15:21:55"/>
    <s v="eadisoni@lighthouse.org.mw"/>
    <s v="Eliza adisoni"/>
    <s v="LH_KCH"/>
    <s v="COE"/>
    <x v="1"/>
    <x v="2"/>
    <s v="COP_23"/>
    <s v="Quarter1"/>
    <x v="2"/>
    <s v="Qtr_2"/>
    <x v="4"/>
    <d v="2024-02-07T00:00:00"/>
    <d v="2024-02-07T00:00:00"/>
    <x v="3"/>
    <n v="1"/>
    <n v="0"/>
    <n v="1"/>
    <n v="0"/>
    <n v="0"/>
    <n v="0"/>
    <n v="0"/>
    <n v="0"/>
    <n v="0"/>
    <n v="0"/>
    <n v="0"/>
    <n v="0"/>
    <n v="0"/>
    <n v="0"/>
    <n v="0"/>
    <n v="0"/>
    <n v="0"/>
    <n v="0"/>
    <n v="0"/>
    <n v="0"/>
    <n v="0"/>
    <n v="0"/>
    <n v="0"/>
    <n v="0"/>
    <n v="0"/>
    <m/>
  </r>
  <r>
    <n v="151"/>
    <d v="2024-02-07T15:22:18"/>
    <d v="2024-02-07T15:24:40"/>
    <s v="eadisoni@lighthouse.org.mw"/>
    <s v="Eliza adisoni"/>
    <s v="LH_KCH"/>
    <s v="COE"/>
    <x v="1"/>
    <x v="2"/>
    <s v="COP_23"/>
    <s v="Quarter1"/>
    <x v="2"/>
    <s v="Qtr_2"/>
    <x v="4"/>
    <d v="2024-02-07T00:00:00"/>
    <d v="2024-02-07T00:00:00"/>
    <x v="5"/>
    <n v="34"/>
    <n v="1"/>
    <n v="19"/>
    <n v="6"/>
    <n v="6"/>
    <n v="0"/>
    <n v="34"/>
    <n v="10"/>
    <n v="13"/>
    <n v="0"/>
    <n v="0"/>
    <n v="0"/>
    <n v="14"/>
    <n v="0"/>
    <n v="0"/>
    <n v="0"/>
    <n v="0"/>
    <n v="0"/>
    <n v="0"/>
    <n v="0"/>
    <n v="0"/>
    <n v="0"/>
    <n v="0"/>
    <n v="0"/>
    <n v="0"/>
    <m/>
  </r>
  <r>
    <n v="170"/>
    <d v="2024-03-12T15:30:09"/>
    <d v="2024-03-12T15:35:52"/>
    <s v="eadisoni@lighthouse.org.mw"/>
    <s v="Eliza adisoni"/>
    <s v="LH_KCH"/>
    <s v="COE"/>
    <x v="1"/>
    <x v="2"/>
    <s v="COP_23"/>
    <s v="Quarter1"/>
    <x v="2"/>
    <s v="Qtr_2"/>
    <x v="5"/>
    <d v="2024-03-12T00:00:00"/>
    <d v="2024-03-12T00:00:00"/>
    <x v="0"/>
    <n v="152"/>
    <n v="32"/>
    <n v="66"/>
    <n v="33"/>
    <n v="19"/>
    <n v="11"/>
    <n v="148"/>
    <n v="47"/>
    <n v="56"/>
    <n v="1"/>
    <n v="2"/>
    <n v="1"/>
    <n v="74"/>
    <n v="4"/>
    <n v="0"/>
    <n v="0"/>
    <n v="1"/>
    <n v="0"/>
    <n v="13"/>
    <n v="6"/>
    <n v="7"/>
    <n v="0"/>
    <n v="0"/>
    <n v="5"/>
    <n v="4"/>
    <m/>
  </r>
  <r>
    <n v="171"/>
    <d v="2024-03-12T15:36:14"/>
    <d v="2024-03-12T15:37:35"/>
    <s v="eadisoni@lighthouse.org.mw"/>
    <s v="Eliza adisoni"/>
    <s v="LH_KCH"/>
    <s v="COE"/>
    <x v="1"/>
    <x v="2"/>
    <s v="COP_23"/>
    <s v="Quarter1"/>
    <x v="2"/>
    <s v="Qtr_2"/>
    <x v="5"/>
    <d v="2024-03-12T00:00:00"/>
    <d v="2024-03-12T00:00:00"/>
    <x v="3"/>
    <n v="0"/>
    <n v="0"/>
    <n v="0"/>
    <n v="0"/>
    <n v="0"/>
    <n v="0"/>
    <n v="0"/>
    <n v="0"/>
    <n v="0"/>
    <n v="0"/>
    <n v="0"/>
    <n v="0"/>
    <n v="0"/>
    <n v="0"/>
    <n v="0"/>
    <n v="0"/>
    <n v="0"/>
    <n v="0"/>
    <n v="0"/>
    <n v="0"/>
    <n v="0"/>
    <n v="0"/>
    <n v="0"/>
    <n v="0"/>
    <n v="0"/>
    <m/>
  </r>
  <r>
    <n v="173"/>
    <d v="2024-03-12T15:41:51"/>
    <d v="2024-03-12T15:44:40"/>
    <s v="eadisoni@lighthouse.org.mw"/>
    <s v="Eliza adisoni"/>
    <s v="LH_KCH"/>
    <s v="COE"/>
    <x v="1"/>
    <x v="2"/>
    <s v="COP_23"/>
    <s v="Quarter1"/>
    <x v="2"/>
    <s v="Qtr_2"/>
    <x v="5"/>
    <d v="2024-03-12T00:00:00"/>
    <d v="2024-03-12T00:00:00"/>
    <x v="5"/>
    <n v="17"/>
    <n v="4"/>
    <n v="11"/>
    <n v="4"/>
    <n v="0"/>
    <n v="0"/>
    <n v="17"/>
    <n v="0"/>
    <n v="8"/>
    <n v="0"/>
    <n v="5"/>
    <n v="0"/>
    <n v="8"/>
    <n v="0"/>
    <n v="0"/>
    <n v="0"/>
    <n v="0"/>
    <n v="0"/>
    <n v="0"/>
    <n v="0"/>
    <n v="0"/>
    <n v="0"/>
    <n v="0"/>
    <n v="0"/>
    <n v="0"/>
    <m/>
  </r>
  <r>
    <n v="174"/>
    <d v="2024-03-12T15:45:09"/>
    <d v="2024-03-12T15:49:20"/>
    <s v="eadisoni@lighthouse.org.mw"/>
    <s v="Eliza adisoni"/>
    <s v="LH_KCH"/>
    <s v="COE"/>
    <x v="1"/>
    <x v="2"/>
    <s v="COP_23"/>
    <s v="Quarter1"/>
    <x v="2"/>
    <s v="Qtr_2"/>
    <x v="5"/>
    <d v="2024-03-12T00:00:00"/>
    <d v="2024-03-12T00:00:00"/>
    <x v="6"/>
    <n v="121"/>
    <n v="86"/>
    <n v="40"/>
    <n v="2"/>
    <n v="31"/>
    <n v="35"/>
    <n v="122"/>
    <n v="55"/>
    <n v="59"/>
    <n v="3"/>
    <n v="13"/>
    <n v="1"/>
    <n v="57"/>
    <n v="8"/>
    <n v="3"/>
    <n v="1"/>
    <n v="16"/>
    <n v="11"/>
    <n v="41"/>
    <n v="8"/>
    <n v="11"/>
    <n v="3"/>
    <n v="0"/>
    <n v="1"/>
    <n v="1"/>
    <m/>
  </r>
  <r>
    <n v="199"/>
    <d v="2024-04-05T08:28:48"/>
    <d v="2024-04-05T08:38:33"/>
    <s v="eadisoni@lighthouse.org.mw"/>
    <s v="Eliza adisoni"/>
    <s v="LH_KCH"/>
    <s v="COE"/>
    <x v="1"/>
    <x v="0"/>
    <s v="COP_23"/>
    <s v="Quarter1"/>
    <x v="2"/>
    <s v="Qtr_2"/>
    <x v="3"/>
    <d v="2024-04-02T00:00:00"/>
    <d v="2024-04-02T00:00:00"/>
    <x v="0"/>
    <n v="157"/>
    <n v="16"/>
    <n v="35"/>
    <n v="11"/>
    <n v="9"/>
    <n v="7"/>
    <n v="137"/>
    <n v="43"/>
    <n v="49"/>
    <n v="4"/>
    <n v="9"/>
    <n v="1"/>
    <n v="49"/>
    <n v="13"/>
    <n v="0"/>
    <n v="0"/>
    <n v="0"/>
    <n v="0"/>
    <n v="6"/>
    <n v="2"/>
    <n v="7"/>
    <n v="0"/>
    <n v="0"/>
    <n v="3"/>
    <n v="0"/>
    <m/>
  </r>
  <r>
    <n v="200"/>
    <d v="2024-04-05T08:38:58"/>
    <d v="2024-04-05T08:53:08"/>
    <s v="eadisoni@lighthouse.org.mw"/>
    <s v="Eliza adisoni"/>
    <s v="LH_KCH"/>
    <s v="COE"/>
    <x v="1"/>
    <x v="0"/>
    <s v="COP_23"/>
    <s v="Quarter1"/>
    <x v="2"/>
    <s v="Qtr_2"/>
    <x v="3"/>
    <d v="2024-04-03T00:00:00"/>
    <d v="2024-04-03T00:00:00"/>
    <x v="5"/>
    <n v="25"/>
    <n v="4"/>
    <n v="8"/>
    <n v="2"/>
    <n v="2"/>
    <n v="1"/>
    <n v="25"/>
    <n v="8"/>
    <n v="8"/>
    <n v="2"/>
    <n v="1"/>
    <n v="0"/>
    <n v="11"/>
    <n v="2"/>
    <n v="0"/>
    <n v="0"/>
    <n v="0"/>
    <n v="0"/>
    <n v="2"/>
    <n v="0"/>
    <n v="2"/>
    <n v="0"/>
    <n v="0"/>
    <n v="0"/>
    <n v="0"/>
    <m/>
  </r>
  <r>
    <n v="201"/>
    <d v="2024-04-05T08:53:32"/>
    <d v="2024-04-05T08:58:59"/>
    <s v="eadisoni@lighthouse.org.mw"/>
    <s v="Eliza adisoni"/>
    <s v="LH_KCH"/>
    <s v="COE"/>
    <x v="1"/>
    <x v="0"/>
    <s v="COP_23"/>
    <s v="Quarter1"/>
    <x v="2"/>
    <s v="Qtr_2"/>
    <x v="3"/>
    <d v="2024-04-02T00:00:00"/>
    <d v="2024-04-02T00:00:00"/>
    <x v="3"/>
    <n v="1"/>
    <n v="0"/>
    <n v="0"/>
    <n v="0"/>
    <n v="0"/>
    <n v="0"/>
    <n v="0"/>
    <n v="0"/>
    <n v="1"/>
    <n v="0"/>
    <n v="0"/>
    <n v="0"/>
    <n v="1"/>
    <n v="1"/>
    <n v="0"/>
    <n v="0"/>
    <n v="0"/>
    <n v="0"/>
    <n v="0"/>
    <n v="0"/>
    <n v="0"/>
    <n v="0"/>
    <n v="0"/>
    <n v="0"/>
    <n v="0"/>
    <m/>
  </r>
  <r>
    <n v="203"/>
    <d v="2024-04-05T09:02:38"/>
    <d v="2024-04-05T09:08:27"/>
    <s v="eadisoni@lighthouse.org.mw"/>
    <s v="Eliza adisoni"/>
    <s v="LH_KCH"/>
    <s v="COE"/>
    <x v="1"/>
    <x v="0"/>
    <s v="COP_23"/>
    <s v="Quarter1"/>
    <x v="2"/>
    <s v="Qtr_2"/>
    <x v="3"/>
    <d v="2024-04-04T00:00:00"/>
    <d v="2024-04-04T00:00:00"/>
    <x v="6"/>
    <n v="121"/>
    <n v="77"/>
    <n v="24"/>
    <n v="10"/>
    <n v="30"/>
    <n v="41"/>
    <n v="118"/>
    <n v="53"/>
    <n v="51"/>
    <n v="5"/>
    <n v="17"/>
    <n v="5"/>
    <n v="46"/>
    <n v="11"/>
    <n v="4"/>
    <n v="1"/>
    <n v="18"/>
    <n v="16"/>
    <n v="30"/>
    <n v="11"/>
    <n v="12"/>
    <n v="7"/>
    <n v="0"/>
    <n v="4"/>
    <n v="31"/>
    <m/>
  </r>
  <r>
    <n v="259"/>
    <d v="2024-04-20T10:45:48"/>
    <d v="2024-04-20T10:53:23"/>
    <s v="eadisoni@lighthouse.org.mw"/>
    <s v="Eliza adisoni"/>
    <s v="LH_KCH"/>
    <s v="COE"/>
    <x v="0"/>
    <x v="0"/>
    <s v="COP_23"/>
    <s v="Quarter1"/>
    <x v="0"/>
    <s v="Qtr_1"/>
    <x v="0"/>
    <d v="2023-10-05T00:00:00"/>
    <d v="2023-10-05T00:00:00"/>
    <x v="6"/>
    <n v="123"/>
    <n v="89"/>
    <n v="32"/>
    <n v="24"/>
    <n v="44"/>
    <n v="23"/>
    <n v="123"/>
    <n v="62"/>
    <n v="66"/>
    <n v="1"/>
    <n v="15"/>
    <n v="1"/>
    <n v="63"/>
    <n v="14"/>
    <n v="9"/>
    <n v="2"/>
    <n v="39"/>
    <n v="21"/>
    <n v="43"/>
    <n v="9"/>
    <n v="20"/>
    <n v="4"/>
    <n v="0"/>
    <n v="7"/>
    <n v="92"/>
    <m/>
  </r>
  <r>
    <n v="260"/>
    <d v="2024-04-20T10:55:30"/>
    <d v="2024-04-20T11:00:46"/>
    <s v="eadisoni@lighthouse.org.mw"/>
    <s v="Eliza adisoni"/>
    <s v="LH_KCH"/>
    <s v="COE"/>
    <x v="0"/>
    <x v="0"/>
    <s v="COP_22"/>
    <s v="Quarter1"/>
    <x v="1"/>
    <s v="Qtr_4"/>
    <x v="2"/>
    <d v="2023-09-05T00:00:00"/>
    <d v="2023-09-05T00:00:00"/>
    <x v="6"/>
    <n v="89"/>
    <n v="61"/>
    <n v="47"/>
    <n v="3"/>
    <n v="17"/>
    <n v="22"/>
    <n v="89"/>
    <n v="35"/>
    <n v="37"/>
    <n v="4"/>
    <n v="10"/>
    <n v="2"/>
    <n v="47"/>
    <n v="9"/>
    <n v="0"/>
    <n v="0"/>
    <n v="25"/>
    <n v="10"/>
    <n v="36"/>
    <n v="6"/>
    <n v="8"/>
    <n v="1"/>
    <n v="1"/>
    <n v="3"/>
    <n v="76"/>
    <m/>
  </r>
  <r>
    <n v="261"/>
    <d v="2024-04-20T11:01:12"/>
    <d v="2024-04-20T11:07:06"/>
    <s v="eadisoni@lighthouse.org.mw"/>
    <s v="Eliza adisoni"/>
    <s v="LH_KCH"/>
    <s v="COE"/>
    <x v="0"/>
    <x v="0"/>
    <s v="COP_23"/>
    <s v="Quarter1"/>
    <x v="0"/>
    <s v="Qtr_1"/>
    <x v="1"/>
    <d v="2023-11-05T00:00:00"/>
    <d v="2023-11-05T00:00:00"/>
    <x v="6"/>
    <n v="111"/>
    <n v="85"/>
    <n v="33"/>
    <n v="10"/>
    <n v="28"/>
    <n v="40"/>
    <n v="111"/>
    <n v="46"/>
    <n v="47"/>
    <n v="1"/>
    <n v="52"/>
    <n v="1"/>
    <n v="55"/>
    <n v="17"/>
    <n v="3"/>
    <n v="1"/>
    <n v="28"/>
    <n v="5"/>
    <n v="30"/>
    <n v="9"/>
    <n v="24"/>
    <n v="1"/>
    <n v="0"/>
    <n v="7"/>
    <n v="79"/>
    <m/>
  </r>
  <r>
    <n v="120"/>
    <d v="2024-01-24T13:52:43"/>
    <d v="2024-01-24T13:56:45"/>
    <s v="eadisoni@lighthouse.org.mw"/>
    <s v="Eliza adisoni"/>
    <s v="LH_KCH"/>
    <s v="COE"/>
    <x v="0"/>
    <x v="0"/>
    <s v="COP_23"/>
    <s v="Quarter4"/>
    <x v="0"/>
    <s v="Qtr_1"/>
    <x v="0"/>
    <d v="2024-01-23T00:00:00"/>
    <d v="2024-01-23T00:00:00"/>
    <x v="1"/>
    <n v="42"/>
    <n v="5"/>
    <n v="5"/>
    <n v="8"/>
    <n v="6"/>
    <n v="2"/>
    <n v="42"/>
    <n v="18"/>
    <n v="37"/>
    <n v="0"/>
    <n v="0"/>
    <n v="0"/>
    <n v="41"/>
    <n v="0"/>
    <n v="0"/>
    <n v="0"/>
    <n v="1"/>
    <n v="1"/>
    <n v="4"/>
    <n v="2"/>
    <n v="2"/>
    <n v="0"/>
    <n v="0"/>
    <n v="1"/>
    <n v="0"/>
    <m/>
  </r>
  <r>
    <n v="123"/>
    <d v="2024-01-24T14:17:23"/>
    <d v="2024-01-24T14:20:39"/>
    <s v="eadisoni@lighthouse.org.mw"/>
    <s v="Eliza adisoni"/>
    <s v="LH_KCH"/>
    <s v="COE"/>
    <x v="0"/>
    <x v="0"/>
    <s v="COP_23"/>
    <s v="Quarter4"/>
    <x v="0"/>
    <s v="Qtr_1"/>
    <x v="1"/>
    <d v="2024-01-23T00:00:00"/>
    <d v="2024-01-23T00:00:00"/>
    <x v="1"/>
    <n v="27"/>
    <n v="5"/>
    <n v="2"/>
    <n v="3"/>
    <n v="1"/>
    <n v="0"/>
    <n v="27"/>
    <n v="17"/>
    <n v="20"/>
    <n v="0"/>
    <n v="0"/>
    <n v="0"/>
    <n v="17"/>
    <n v="0"/>
    <n v="0"/>
    <n v="0"/>
    <n v="0"/>
    <n v="0"/>
    <n v="0"/>
    <n v="0"/>
    <n v="0"/>
    <n v="0"/>
    <n v="0"/>
    <n v="1"/>
    <n v="0"/>
    <m/>
  </r>
  <r>
    <n v="124"/>
    <d v="2024-01-24T14:17:22"/>
    <d v="2024-01-24T14:24:44"/>
    <s v="eadisoni@lighthouse.org.mw"/>
    <s v="Eliza adisoni"/>
    <s v="LH_KCH"/>
    <s v="COE"/>
    <x v="0"/>
    <x v="0"/>
    <s v="COP_23"/>
    <s v="Quarter4"/>
    <x v="0"/>
    <s v="Qtr_1"/>
    <x v="11"/>
    <d v="2024-01-24T00:00:00"/>
    <d v="2024-01-24T00:00:00"/>
    <x v="1"/>
    <n v="28"/>
    <n v="1"/>
    <n v="7"/>
    <n v="0"/>
    <n v="1"/>
    <n v="0"/>
    <n v="28"/>
    <n v="12"/>
    <n v="16"/>
    <n v="1"/>
    <n v="0"/>
    <n v="0"/>
    <n v="11"/>
    <n v="2"/>
    <n v="0"/>
    <n v="0"/>
    <n v="0"/>
    <n v="0"/>
    <n v="3"/>
    <n v="1"/>
    <n v="0"/>
    <n v="0"/>
    <n v="0"/>
    <n v="0"/>
    <n v="0"/>
    <m/>
  </r>
  <r>
    <n v="149"/>
    <d v="2024-02-07T15:11:33"/>
    <d v="2024-02-07T15:18:49"/>
    <s v="eadisoni@lighthouse.org.mw"/>
    <s v="Eliza adisoni"/>
    <s v="LH_KCH"/>
    <s v="COE"/>
    <x v="1"/>
    <x v="0"/>
    <s v="COP_23"/>
    <s v="Quarter1"/>
    <x v="2"/>
    <s v="Qtr_2"/>
    <x v="4"/>
    <d v="2024-02-07T00:00:00"/>
    <d v="2024-02-07T00:00:00"/>
    <x v="1"/>
    <n v="42"/>
    <n v="6"/>
    <n v="9"/>
    <n v="5"/>
    <n v="6"/>
    <n v="5"/>
    <n v="41"/>
    <n v="27"/>
    <n v="28"/>
    <n v="1"/>
    <n v="3"/>
    <n v="1"/>
    <n v="29"/>
    <n v="6"/>
    <n v="0"/>
    <n v="0"/>
    <n v="0"/>
    <n v="0"/>
    <n v="1"/>
    <n v="0"/>
    <n v="6"/>
    <n v="0"/>
    <n v="0"/>
    <n v="0"/>
    <n v="0"/>
    <m/>
  </r>
  <r>
    <n v="359"/>
    <d v="2024-05-07T14:34:17"/>
    <d v="2024-05-07T15:18:46"/>
    <s v="eadisoni@lighthouse.org.mw"/>
    <s v="Eliza adisoni"/>
    <s v="LH_KCH"/>
    <s v="COE"/>
    <x v="1"/>
    <x v="0"/>
    <s v="COP_23"/>
    <s v="Quarter2"/>
    <x v="3"/>
    <s v="Qtr_3"/>
    <x v="7"/>
    <d v="2024-04-06T00:00:00"/>
    <d v="2024-04-06T00:00:00"/>
    <x v="5"/>
    <n v="11"/>
    <n v="1"/>
    <n v="8"/>
    <n v="2"/>
    <n v="1"/>
    <n v="0"/>
    <n v="11"/>
    <n v="3"/>
    <n v="3"/>
    <n v="0"/>
    <n v="0"/>
    <n v="0"/>
    <n v="4"/>
    <n v="0"/>
    <n v="0"/>
    <n v="0"/>
    <n v="0"/>
    <n v="0"/>
    <n v="0"/>
    <n v="0"/>
    <n v="0"/>
    <n v="0"/>
    <n v="0"/>
    <n v="0"/>
    <n v="0"/>
    <m/>
  </r>
  <r>
    <n v="361"/>
    <d v="2024-05-07T15:19:36"/>
    <d v="2024-05-07T15:21:16"/>
    <s v="eadisoni@lighthouse.org.mw"/>
    <s v="Eliza adisoni"/>
    <s v="LH_KCH"/>
    <s v="COE"/>
    <x v="1"/>
    <x v="0"/>
    <s v="COP_23"/>
    <s v="Quarter2"/>
    <x v="3"/>
    <s v="Qtr_3"/>
    <x v="7"/>
    <d v="2024-05-06T00:00:00"/>
    <d v="2024-05-06T00:00:00"/>
    <x v="3"/>
    <n v="0"/>
    <n v="0"/>
    <n v="0"/>
    <n v="0"/>
    <n v="0"/>
    <n v="0"/>
    <n v="0"/>
    <n v="0"/>
    <n v="0"/>
    <n v="0"/>
    <n v="0"/>
    <n v="0"/>
    <n v="0"/>
    <n v="0"/>
    <n v="0"/>
    <n v="0"/>
    <n v="0"/>
    <n v="0"/>
    <n v="0"/>
    <n v="0"/>
    <n v="0"/>
    <n v="0"/>
    <n v="0"/>
    <n v="0"/>
    <n v="0"/>
    <m/>
  </r>
  <r>
    <n v="362"/>
    <d v="2024-05-07T15:22:41"/>
    <d v="2024-05-07T15:25:09"/>
    <s v="eadisoni@lighthouse.org.mw"/>
    <s v="Eliza adisoni"/>
    <s v="LH_KCH"/>
    <s v="COE"/>
    <x v="1"/>
    <x v="0"/>
    <s v="COP_23"/>
    <s v="Quarter2"/>
    <x v="3"/>
    <s v="Qtr_3"/>
    <x v="7"/>
    <d v="2024-05-06T00:00:00"/>
    <d v="2024-05-06T00:00:00"/>
    <x v="4"/>
    <n v="5"/>
    <n v="0"/>
    <n v="5"/>
    <n v="0"/>
    <n v="0"/>
    <n v="0"/>
    <n v="0"/>
    <n v="1"/>
    <n v="0"/>
    <n v="0"/>
    <n v="0"/>
    <n v="0"/>
    <n v="0"/>
    <n v="0"/>
    <n v="0"/>
    <n v="0"/>
    <n v="0"/>
    <n v="0"/>
    <n v="0"/>
    <n v="0"/>
    <n v="0"/>
    <n v="0"/>
    <n v="0"/>
    <n v="0"/>
    <n v="0"/>
    <m/>
  </r>
  <r>
    <n v="366"/>
    <d v="2024-05-07T15:31:00"/>
    <d v="2024-05-07T15:35:35"/>
    <s v="eadisoni@lighthouse.org.mw"/>
    <s v="Eliza adisoni"/>
    <s v="LH_KCH"/>
    <s v="COE"/>
    <x v="1"/>
    <x v="0"/>
    <s v="COP_23"/>
    <s v="Quarter2"/>
    <x v="3"/>
    <s v="Qtr_3"/>
    <x v="7"/>
    <d v="2024-05-03T00:00:00"/>
    <d v="2024-05-03T00:00:00"/>
    <x v="6"/>
    <n v="123"/>
    <n v="93"/>
    <n v="32"/>
    <n v="8"/>
    <n v="26"/>
    <n v="57"/>
    <n v="123"/>
    <n v="61"/>
    <n v="63"/>
    <n v="5"/>
    <n v="22"/>
    <n v="5"/>
    <n v="39"/>
    <n v="5"/>
    <n v="3"/>
    <n v="1"/>
    <n v="27"/>
    <n v="19"/>
    <n v="48"/>
    <n v="16"/>
    <n v="12"/>
    <n v="3"/>
    <n v="3"/>
    <n v="2"/>
    <n v="24"/>
    <m/>
  </r>
  <r>
    <n v="367"/>
    <d v="2024-05-07T15:44:42"/>
    <d v="2024-05-07T15:49:53"/>
    <s v="eadisoni@lighthouse.org.mw"/>
    <s v="Eliza adisoni"/>
    <s v="LH_KCH"/>
    <s v="COE"/>
    <x v="1"/>
    <x v="0"/>
    <s v="COP_23"/>
    <s v="Quarter2"/>
    <x v="3"/>
    <s v="Qtr_3"/>
    <x v="7"/>
    <d v="2024-05-06T00:00:00"/>
    <d v="2024-05-06T00:00:00"/>
    <x v="0"/>
    <n v="153"/>
    <n v="18"/>
    <n v="101"/>
    <n v="31"/>
    <n v="11"/>
    <n v="10"/>
    <n v="146"/>
    <n v="47"/>
    <n v="45"/>
    <n v="1"/>
    <n v="8"/>
    <n v="2"/>
    <n v="45"/>
    <n v="6"/>
    <n v="0"/>
    <n v="0"/>
    <n v="1"/>
    <n v="0"/>
    <n v="9"/>
    <n v="3"/>
    <n v="3"/>
    <n v="0"/>
    <n v="0"/>
    <n v="1"/>
    <n v="0"/>
    <m/>
  </r>
  <r>
    <n v="172"/>
    <d v="2024-03-12T15:37:53"/>
    <d v="2024-03-12T15:41:31"/>
    <s v="eadisoni@lighthouse.org.mw"/>
    <s v="Eliza adisoni"/>
    <s v="LH_KCH"/>
    <s v="COE"/>
    <x v="1"/>
    <x v="0"/>
    <s v="COP_23"/>
    <s v="Quarter1"/>
    <x v="2"/>
    <s v="Qtr_2"/>
    <x v="5"/>
    <d v="2024-03-12T00:00:00"/>
    <d v="2024-03-12T00:00:00"/>
    <x v="1"/>
    <n v="33"/>
    <n v="11"/>
    <n v="17"/>
    <n v="3"/>
    <n v="4"/>
    <n v="5"/>
    <n v="33"/>
    <n v="19"/>
    <n v="18"/>
    <n v="0"/>
    <n v="0"/>
    <n v="0"/>
    <n v="25"/>
    <n v="3"/>
    <n v="0"/>
    <n v="0"/>
    <n v="0"/>
    <n v="0"/>
    <n v="6"/>
    <n v="2"/>
    <n v="3"/>
    <n v="0"/>
    <n v="0"/>
    <n v="0"/>
    <n v="1"/>
    <m/>
  </r>
  <r>
    <n v="202"/>
    <d v="2024-04-05T08:59:17"/>
    <d v="2024-04-05T09:02:06"/>
    <s v="eadisoni@lighthouse.org.mw"/>
    <s v="Eliza adisoni"/>
    <s v="LH_KCH"/>
    <s v="COE"/>
    <x v="1"/>
    <x v="0"/>
    <s v="COP_23"/>
    <s v="Quarter1"/>
    <x v="2"/>
    <s v="Qtr_2"/>
    <x v="3"/>
    <d v="2024-04-03T00:00:00"/>
    <d v="2024-04-03T00:00:00"/>
    <x v="1"/>
    <n v="24"/>
    <n v="1"/>
    <n v="3"/>
    <n v="4"/>
    <n v="0"/>
    <n v="2"/>
    <n v="22"/>
    <n v="11"/>
    <n v="10"/>
    <n v="0"/>
    <n v="0"/>
    <n v="0"/>
    <n v="11"/>
    <n v="5"/>
    <n v="0"/>
    <n v="0"/>
    <n v="0"/>
    <n v="0"/>
    <n v="0"/>
    <n v="0"/>
    <n v="2"/>
    <n v="0"/>
    <n v="0"/>
    <n v="0"/>
    <n v="0"/>
    <m/>
  </r>
  <r>
    <n v="375"/>
    <d v="2024-05-09T11:59:41"/>
    <d v="2024-05-09T12:03:43"/>
    <s v="eadisoni@lighthouse.org.mw"/>
    <s v="Eliza adisoni"/>
    <s v="LH_KCH"/>
    <s v="COE"/>
    <x v="1"/>
    <x v="0"/>
    <s v="COP_23"/>
    <s v="Quarter1"/>
    <x v="2"/>
    <s v="Qtr_2"/>
    <x v="4"/>
    <d v="2024-01-08T00:00:00"/>
    <d v="2024-01-08T00:00:00"/>
    <x v="4"/>
    <n v="1"/>
    <n v="0"/>
    <n v="0"/>
    <n v="0"/>
    <n v="1"/>
    <n v="0"/>
    <n v="1"/>
    <n v="1"/>
    <n v="1"/>
    <n v="0"/>
    <n v="0"/>
    <n v="0"/>
    <n v="1"/>
    <n v="0"/>
    <n v="0"/>
    <n v="0"/>
    <n v="0"/>
    <n v="0"/>
    <n v="0"/>
    <n v="0"/>
    <n v="0"/>
    <n v="0"/>
    <n v="0"/>
    <n v="0"/>
    <n v="0"/>
    <m/>
  </r>
  <r>
    <n v="377"/>
    <d v="2024-05-09T13:24:22"/>
    <d v="2024-05-09T13:29:44"/>
    <s v="eadisoni@lighthouse.org.mw"/>
    <s v="Eliza adisoni"/>
    <s v="LH_KCH"/>
    <s v="COE"/>
    <x v="1"/>
    <x v="0"/>
    <s v="COP_23"/>
    <s v="Quarter1"/>
    <x v="2"/>
    <s v="Qtr_2"/>
    <x v="5"/>
    <d v="2024-02-07T00:00:00"/>
    <d v="2024-02-07T00:00:00"/>
    <x v="4"/>
    <n v="3"/>
    <n v="0"/>
    <n v="1"/>
    <n v="0"/>
    <n v="0"/>
    <n v="1"/>
    <n v="3"/>
    <n v="0"/>
    <n v="1"/>
    <n v="0"/>
    <n v="0"/>
    <n v="0"/>
    <n v="1"/>
    <n v="0"/>
    <n v="0"/>
    <n v="0"/>
    <n v="0"/>
    <n v="0"/>
    <n v="0"/>
    <n v="0"/>
    <n v="0"/>
    <n v="0"/>
    <n v="0"/>
    <n v="0"/>
    <n v="0"/>
    <m/>
  </r>
  <r>
    <n v="380"/>
    <d v="2024-05-09T13:38:54"/>
    <d v="2024-05-09T13:42:28"/>
    <s v="eadisoni@lighthouse.org.mw"/>
    <s v="Eliza adisoni"/>
    <s v="LH_KCH"/>
    <s v="COE"/>
    <x v="1"/>
    <x v="0"/>
    <s v="COP_23"/>
    <s v="Quarter1"/>
    <x v="2"/>
    <s v="Qtr_2"/>
    <x v="3"/>
    <d v="2024-04-03T00:00:00"/>
    <d v="2024-04-03T00:00:00"/>
    <x v="4"/>
    <n v="1"/>
    <n v="0"/>
    <n v="0"/>
    <n v="0"/>
    <n v="0"/>
    <n v="0"/>
    <n v="0"/>
    <n v="0"/>
    <n v="0"/>
    <n v="0"/>
    <n v="0"/>
    <n v="0"/>
    <n v="0"/>
    <n v="0"/>
    <n v="0"/>
    <n v="0"/>
    <n v="0"/>
    <n v="0"/>
    <n v="0"/>
    <n v="0"/>
    <n v="0"/>
    <n v="0"/>
    <n v="0"/>
    <n v="0"/>
    <n v="0"/>
    <m/>
  </r>
  <r>
    <n v="374"/>
    <d v="2024-05-09T11:44:36"/>
    <d v="2024-05-09T11:53:00"/>
    <s v="eadisoni@lighthouse.org.mw"/>
    <s v="Eliza adisoni"/>
    <s v="LH_KCH"/>
    <s v="COE"/>
    <x v="1"/>
    <x v="0"/>
    <s v="COP_23"/>
    <s v="Quarter2"/>
    <x v="3"/>
    <s v="Qtr_3"/>
    <x v="7"/>
    <d v="2024-05-06T00:00:00"/>
    <d v="2024-05-06T00:00:00"/>
    <x v="1"/>
    <n v="36"/>
    <n v="6"/>
    <n v="18"/>
    <n v="12"/>
    <n v="3"/>
    <n v="3"/>
    <n v="35"/>
    <n v="20"/>
    <n v="18"/>
    <n v="1"/>
    <n v="1"/>
    <n v="0"/>
    <n v="16"/>
    <n v="2"/>
    <n v="0"/>
    <n v="0"/>
    <n v="0"/>
    <n v="0"/>
    <n v="0"/>
    <n v="0"/>
    <n v="2"/>
    <n v="0"/>
    <n v="0"/>
    <n v="1"/>
    <n v="0"/>
    <m/>
  </r>
  <r>
    <n v="491"/>
    <d v="2024-06-05T15:38:13"/>
    <d v="2024-06-05T15:43:26"/>
    <s v="eadisoni@lighthouse.org.mw"/>
    <s v="Eliza adisoni"/>
    <s v="LH_KCH"/>
    <s v="COE"/>
    <x v="1"/>
    <x v="0"/>
    <s v="COP_23"/>
    <s v="Quarter2"/>
    <x v="3"/>
    <s v="Qtr_3"/>
    <x v="6"/>
    <d v="2024-06-05T00:00:00"/>
    <d v="2024-06-05T00:00:00"/>
    <x v="1"/>
    <n v="27"/>
    <n v="2"/>
    <n v="19"/>
    <n v="5"/>
    <n v="3"/>
    <n v="0"/>
    <n v="27"/>
    <n v="16"/>
    <n v="12"/>
    <n v="0"/>
    <n v="0"/>
    <n v="0"/>
    <n v="0"/>
    <n v="0"/>
    <n v="0"/>
    <n v="0"/>
    <n v="0"/>
    <n v="0"/>
    <n v="1"/>
    <n v="0"/>
    <n v="0"/>
    <n v="0"/>
    <n v="0"/>
    <n v="0"/>
    <n v="0"/>
    <m/>
  </r>
  <r>
    <n v="572"/>
    <d v="2024-07-03T10:46:13"/>
    <d v="2024-07-03T10:49:24"/>
    <s v="eadisoni@lighthouse.org.mw"/>
    <s v="Eliza adisoni"/>
    <s v="LH_KCH"/>
    <s v="COE"/>
    <x v="1"/>
    <x v="0"/>
    <s v="COP_23"/>
    <s v="Quarter2"/>
    <x v="3"/>
    <s v="Qtr_3"/>
    <x v="8"/>
    <d v="2024-07-03T00:00:00"/>
    <d v="2024-07-03T00:00:00"/>
    <x v="1"/>
    <n v="29"/>
    <n v="3"/>
    <n v="13"/>
    <n v="5"/>
    <n v="5"/>
    <n v="1"/>
    <n v="28"/>
    <n v="14"/>
    <n v="14"/>
    <n v="1"/>
    <n v="0"/>
    <n v="0"/>
    <n v="0"/>
    <n v="0"/>
    <n v="0"/>
    <n v="0"/>
    <n v="0"/>
    <n v="0"/>
    <n v="0"/>
    <n v="0"/>
    <n v="0"/>
    <n v="0"/>
    <n v="0"/>
    <n v="0"/>
    <n v="0"/>
    <m/>
  </r>
  <r>
    <n v="1048"/>
    <d v="2024-11-08T13:43:22"/>
    <d v="2024-11-08T13:45:53"/>
    <s v="eadisoni@lighthouse.org.mw"/>
    <s v="Eliza adisoni"/>
    <s v="LH_KCH"/>
    <s v="COE"/>
    <x v="1"/>
    <x v="0"/>
    <s v="COP_24"/>
    <s v="Quarter4"/>
    <x v="0"/>
    <s v="Qtr_1"/>
    <x v="0"/>
    <d v="2024-10-01T00:00:00"/>
    <d v="2024-10-31T00:00:00"/>
    <x v="1"/>
    <n v="36"/>
    <n v="10"/>
    <n v="16"/>
    <n v="6"/>
    <n v="6"/>
    <n v="10"/>
    <n v="36"/>
    <n v="19"/>
    <n v="17"/>
    <n v="1"/>
    <n v="2"/>
    <n v="0"/>
    <n v="17"/>
    <n v="9"/>
    <n v="0"/>
    <n v="0"/>
    <n v="0"/>
    <n v="0"/>
    <n v="1"/>
    <n v="1"/>
    <n v="4"/>
    <n v="0"/>
    <n v="0"/>
    <n v="1"/>
    <n v="1"/>
    <m/>
  </r>
  <r>
    <n v="365"/>
    <d v="2024-05-07T15:25:27"/>
    <d v="2024-05-07T15:30:16"/>
    <s v="eadisoni@lighthouse.org.mw"/>
    <s v="Eliza adisoni"/>
    <s v="LH_KCH"/>
    <s v="COE"/>
    <x v="1"/>
    <x v="0"/>
    <s v="COP_23"/>
    <s v="Quarter2"/>
    <x v="3"/>
    <s v="Qtr_3"/>
    <x v="7"/>
    <d v="2024-05-06T00:00:00"/>
    <d v="2024-05-06T00:00:00"/>
    <x v="2"/>
    <n v="9"/>
    <n v="1"/>
    <n v="6"/>
    <n v="1"/>
    <n v="2"/>
    <n v="0"/>
    <n v="9"/>
    <n v="6"/>
    <n v="4"/>
    <n v="0"/>
    <n v="0"/>
    <n v="0"/>
    <n v="3"/>
    <n v="0"/>
    <n v="0"/>
    <n v="0"/>
    <n v="0"/>
    <n v="0"/>
    <n v="0"/>
    <n v="0"/>
    <n v="0"/>
    <n v="0"/>
    <n v="0"/>
    <n v="0"/>
    <n v="0"/>
    <m/>
  </r>
  <r>
    <n v="376"/>
    <d v="2024-05-09T12:03:57"/>
    <d v="2024-05-09T12:06:35"/>
    <s v="eadisoni@lighthouse.org.mw"/>
    <s v="Eliza adisoni"/>
    <s v="LH_KCH"/>
    <s v="COE"/>
    <x v="1"/>
    <x v="2"/>
    <s v="COP_23"/>
    <s v="Quarter1"/>
    <x v="2"/>
    <s v="Qtr_2"/>
    <x v="4"/>
    <d v="2024-01-08T00:00:00"/>
    <d v="2024-01-08T00:00:00"/>
    <x v="2"/>
    <n v="8"/>
    <n v="1"/>
    <n v="1"/>
    <n v="1"/>
    <n v="2"/>
    <n v="3"/>
    <n v="6"/>
    <n v="4"/>
    <n v="5"/>
    <n v="0"/>
    <n v="0"/>
    <n v="0"/>
    <n v="2"/>
    <n v="2"/>
    <n v="0"/>
    <n v="0"/>
    <n v="0"/>
    <n v="0"/>
    <n v="0"/>
    <n v="0"/>
    <n v="2"/>
    <n v="0"/>
    <n v="0"/>
    <n v="1"/>
    <n v="0"/>
    <m/>
  </r>
  <r>
    <n v="487"/>
    <d v="2024-06-05T15:11:15"/>
    <d v="2024-06-05T15:34:01"/>
    <s v="eadisoni@lighthouse.org.mw"/>
    <s v="Eliza adisoni"/>
    <s v="LH_KCH"/>
    <s v="COE"/>
    <x v="1"/>
    <x v="2"/>
    <s v="COP_23"/>
    <s v="Quarter2"/>
    <x v="3"/>
    <s v="Qtr_3"/>
    <x v="6"/>
    <d v="2024-06-05T00:00:00"/>
    <d v="2024-06-05T00:00:00"/>
    <x v="0"/>
    <n v="165"/>
    <n v="18"/>
    <n v="124"/>
    <n v="23"/>
    <n v="9"/>
    <n v="9"/>
    <n v="159"/>
    <n v="106"/>
    <n v="0"/>
    <n v="0"/>
    <n v="3"/>
    <n v="0"/>
    <n v="3"/>
    <n v="0"/>
    <n v="0"/>
    <n v="0"/>
    <n v="1"/>
    <n v="0"/>
    <n v="1"/>
    <n v="1"/>
    <n v="1"/>
    <n v="0"/>
    <n v="1"/>
    <n v="1"/>
    <n v="0"/>
    <m/>
  </r>
  <r>
    <n v="488"/>
    <d v="2024-06-05T15:34:11"/>
    <d v="2024-06-05T15:36:14"/>
    <s v="eadisoni@lighthouse.org.mw"/>
    <s v="Eliza adisoni"/>
    <s v="LH_KCH"/>
    <s v="COE"/>
    <x v="1"/>
    <x v="2"/>
    <s v="COP_23"/>
    <s v="Quarter2"/>
    <x v="3"/>
    <s v="Qtr_3"/>
    <x v="6"/>
    <d v="2024-06-05T00:00:00"/>
    <d v="2024-06-05T00:00:00"/>
    <x v="4"/>
    <n v="1"/>
    <n v="0"/>
    <n v="1"/>
    <n v="0"/>
    <n v="0"/>
    <n v="0"/>
    <n v="1"/>
    <n v="0"/>
    <n v="0"/>
    <n v="0"/>
    <n v="0"/>
    <n v="0"/>
    <n v="0"/>
    <n v="0"/>
    <n v="0"/>
    <n v="0"/>
    <n v="0"/>
    <n v="0"/>
    <n v="0"/>
    <n v="0"/>
    <n v="0"/>
    <n v="0"/>
    <n v="0"/>
    <n v="0"/>
    <n v="0"/>
    <m/>
  </r>
  <r>
    <n v="489"/>
    <d v="2024-06-05T15:36:34"/>
    <d v="2024-06-05T15:38:03"/>
    <s v="eadisoni@lighthouse.org.mw"/>
    <s v="Eliza adisoni"/>
    <s v="LH_KCH"/>
    <s v="COE"/>
    <x v="1"/>
    <x v="2"/>
    <s v="COP_23"/>
    <s v="Quarter2"/>
    <x v="3"/>
    <s v="Qtr_3"/>
    <x v="6"/>
    <d v="2024-06-05T00:00:00"/>
    <d v="2024-06-05T00:00:00"/>
    <x v="3"/>
    <n v="1"/>
    <n v="0"/>
    <n v="1"/>
    <n v="0"/>
    <n v="0"/>
    <n v="0"/>
    <n v="0"/>
    <n v="0"/>
    <n v="0"/>
    <n v="0"/>
    <n v="0"/>
    <n v="0"/>
    <n v="0"/>
    <n v="0"/>
    <n v="0"/>
    <n v="0"/>
    <n v="0"/>
    <n v="0"/>
    <n v="0"/>
    <n v="0"/>
    <n v="0"/>
    <n v="0"/>
    <n v="0"/>
    <n v="0"/>
    <n v="0"/>
    <m/>
  </r>
  <r>
    <n v="492"/>
    <d v="2024-06-05T15:43:43"/>
    <d v="2024-06-05T15:47:30"/>
    <s v="eadisoni@lighthouse.org.mw"/>
    <s v="Eliza adisoni"/>
    <s v="LH_KCH"/>
    <s v="COE"/>
    <x v="1"/>
    <x v="2"/>
    <s v="COP_23"/>
    <s v="Quarter2"/>
    <x v="3"/>
    <s v="Qtr_3"/>
    <x v="6"/>
    <d v="2024-06-05T00:00:00"/>
    <d v="2024-06-05T00:00:00"/>
    <x v="5"/>
    <n v="25"/>
    <n v="1"/>
    <n v="22"/>
    <n v="1"/>
    <n v="0"/>
    <n v="2"/>
    <n v="24"/>
    <n v="4"/>
    <n v="5"/>
    <n v="1"/>
    <n v="0"/>
    <n v="0"/>
    <n v="0"/>
    <n v="0"/>
    <n v="0"/>
    <n v="0"/>
    <n v="0"/>
    <n v="0"/>
    <n v="0"/>
    <n v="0"/>
    <n v="0"/>
    <n v="0"/>
    <n v="0"/>
    <n v="0"/>
    <n v="0"/>
    <m/>
  </r>
  <r>
    <n v="494"/>
    <d v="2024-06-05T15:47:38"/>
    <d v="2024-06-05T15:52:34"/>
    <s v="eadisoni@lighthouse.org.mw"/>
    <s v="Eliza adisoni"/>
    <s v="LH_KCH"/>
    <s v="COE"/>
    <x v="1"/>
    <x v="2"/>
    <s v="COP_23"/>
    <s v="Quarter2"/>
    <x v="3"/>
    <s v="Qtr_3"/>
    <x v="6"/>
    <d v="2024-06-05T00:00:00"/>
    <d v="2024-06-05T00:00:00"/>
    <x v="6"/>
    <n v="127"/>
    <n v="100"/>
    <n v="40"/>
    <n v="4"/>
    <n v="32"/>
    <n v="51"/>
    <n v="127"/>
    <n v="56"/>
    <n v="49"/>
    <n v="8"/>
    <n v="15"/>
    <n v="5"/>
    <n v="1"/>
    <n v="0"/>
    <n v="2"/>
    <n v="1"/>
    <n v="11"/>
    <n v="7"/>
    <n v="42"/>
    <n v="12"/>
    <n v="18"/>
    <n v="8"/>
    <n v="0"/>
    <n v="3"/>
    <n v="43"/>
    <m/>
  </r>
  <r>
    <n v="378"/>
    <d v="2024-05-09T13:29:52"/>
    <d v="2024-05-09T13:32:56"/>
    <s v="eadisoni@lighthouse.org.mw"/>
    <s v="Eliza adisoni"/>
    <s v="LH_KCH"/>
    <s v="COE"/>
    <x v="1"/>
    <x v="2"/>
    <s v="COP_23"/>
    <s v="Quarter1"/>
    <x v="2"/>
    <s v="Qtr_2"/>
    <x v="5"/>
    <d v="2024-02-07T00:00:00"/>
    <d v="2024-02-07T00:00:00"/>
    <x v="2"/>
    <n v="6"/>
    <n v="1"/>
    <n v="3"/>
    <n v="0"/>
    <n v="1"/>
    <n v="1"/>
    <n v="6"/>
    <n v="4"/>
    <n v="2"/>
    <n v="0"/>
    <n v="0"/>
    <n v="0"/>
    <n v="3"/>
    <n v="0"/>
    <n v="0"/>
    <n v="0"/>
    <n v="0"/>
    <n v="0"/>
    <n v="5"/>
    <n v="1"/>
    <n v="1"/>
    <n v="0"/>
    <n v="0"/>
    <n v="0"/>
    <n v="0"/>
    <m/>
  </r>
  <r>
    <n v="379"/>
    <d v="2024-05-09T13:33:39"/>
    <d v="2024-05-09T13:38:34"/>
    <s v="eadisoni@lighthouse.org.mw"/>
    <s v="Eliza adisoni"/>
    <s v="LH_KCH"/>
    <s v="COE"/>
    <x v="1"/>
    <x v="2"/>
    <s v="COP_23"/>
    <s v="Quarter1"/>
    <x v="2"/>
    <s v="Qtr_2"/>
    <x v="3"/>
    <d v="2024-04-02T00:00:00"/>
    <d v="2024-04-04T00:00:00"/>
    <x v="2"/>
    <n v="5"/>
    <n v="0"/>
    <n v="1"/>
    <n v="2"/>
    <n v="2"/>
    <n v="0"/>
    <n v="5"/>
    <n v="4"/>
    <n v="4"/>
    <n v="1"/>
    <n v="1"/>
    <n v="0"/>
    <n v="5"/>
    <n v="1"/>
    <n v="0"/>
    <n v="0"/>
    <n v="0"/>
    <n v="0"/>
    <n v="2"/>
    <n v="1"/>
    <n v="0"/>
    <n v="0"/>
    <n v="0"/>
    <n v="0"/>
    <n v="0"/>
    <m/>
  </r>
  <r>
    <n v="748"/>
    <d v="2024-08-12T09:40:31"/>
    <d v="2024-08-12T09:40:47"/>
    <s v="bsamala@lighthouse.org.mw"/>
    <s v="Benadetta Samala"/>
    <s v="LH_KCH"/>
    <s v="COE"/>
    <x v="1"/>
    <x v="0"/>
    <s v="COP_23"/>
    <s v="Quarter3"/>
    <x v="1"/>
    <s v="Qtr_4"/>
    <x v="9"/>
    <d v="2024-07-01T00:00:00"/>
    <d v="2024-07-31T00:00:00"/>
    <x v="2"/>
    <n v="90"/>
    <n v="3"/>
    <n v="4"/>
    <n v="2"/>
    <n v="2"/>
    <n v="2"/>
    <n v="10"/>
    <n v="7"/>
    <n v="3"/>
    <n v="0"/>
    <n v="0"/>
    <n v="0"/>
    <n v="0"/>
    <n v="0"/>
    <n v="0"/>
    <n v="0"/>
    <n v="1"/>
    <n v="0"/>
    <n v="2"/>
    <n v="1"/>
    <n v="1"/>
    <n v="0"/>
    <n v="0"/>
    <n v="2"/>
    <n v="0"/>
    <m/>
  </r>
  <r>
    <n v="767"/>
    <d v="2024-08-17T14:40:30"/>
    <d v="2024-08-17T14:53:01"/>
    <s v="bsamala@lighthouse.org.mw"/>
    <s v="Benadetta Samala"/>
    <s v="LH_KCH"/>
    <s v="COE"/>
    <x v="1"/>
    <x v="1"/>
    <s v="COP_23"/>
    <s v="Quarter2"/>
    <x v="3"/>
    <s v="Qtr_3"/>
    <x v="6"/>
    <d v="2024-05-01T00:00:00"/>
    <d v="2024-05-31T00:00:00"/>
    <x v="2"/>
    <n v="8"/>
    <n v="3"/>
    <n v="4"/>
    <n v="0"/>
    <n v="1"/>
    <n v="3"/>
    <n v="8"/>
    <n v="4"/>
    <n v="3"/>
    <n v="0"/>
    <n v="0"/>
    <n v="0"/>
    <n v="0"/>
    <n v="0"/>
    <n v="0"/>
    <n v="0"/>
    <n v="0"/>
    <n v="0"/>
    <n v="0"/>
    <n v="0"/>
    <n v="0"/>
    <n v="0"/>
    <n v="0"/>
    <n v="0"/>
    <n v="0"/>
    <m/>
  </r>
  <r>
    <n v="768"/>
    <d v="2024-08-17T14:53:22"/>
    <d v="2024-08-17T14:59:21"/>
    <s v="bsamala@lighthouse.org.mw"/>
    <s v="Benadetta Samala"/>
    <s v="LH_KCH"/>
    <s v="COE"/>
    <x v="1"/>
    <x v="0"/>
    <s v="COP_23"/>
    <s v="Quarter2"/>
    <x v="3"/>
    <s v="Qtr_3"/>
    <x v="8"/>
    <d v="2024-06-01T00:00:00"/>
    <d v="2024-06-30T00:00:00"/>
    <x v="2"/>
    <n v="5"/>
    <n v="0"/>
    <n v="5"/>
    <n v="0"/>
    <n v="0"/>
    <n v="0"/>
    <n v="5"/>
    <n v="2"/>
    <n v="2"/>
    <n v="0"/>
    <n v="0"/>
    <n v="0"/>
    <n v="0"/>
    <n v="0"/>
    <n v="0"/>
    <n v="0"/>
    <n v="0"/>
    <n v="0"/>
    <n v="0"/>
    <n v="0"/>
    <n v="0"/>
    <n v="0"/>
    <n v="0"/>
    <n v="0"/>
    <n v="0"/>
    <m/>
  </r>
  <r>
    <n v="838"/>
    <d v="2024-09-26T09:08:26"/>
    <d v="2024-09-26T09:10:41"/>
    <s v="eadisoni@lighthouse.org.mw"/>
    <s v="Eliza adisoni"/>
    <s v="LH_KCH"/>
    <s v="COE"/>
    <x v="1"/>
    <x v="0"/>
    <s v="COP_23"/>
    <s v="Quarter3"/>
    <x v="1"/>
    <s v="Qtr_4"/>
    <x v="10"/>
    <d v="2024-08-01T00:00:00"/>
    <d v="2024-08-30T00:00:00"/>
    <x v="2"/>
    <n v="11"/>
    <n v="2"/>
    <n v="7"/>
    <n v="2"/>
    <n v="2"/>
    <n v="0"/>
    <n v="11"/>
    <n v="3"/>
    <n v="4"/>
    <n v="0"/>
    <n v="1"/>
    <n v="0"/>
    <n v="1"/>
    <n v="0"/>
    <n v="1"/>
    <n v="0"/>
    <n v="1"/>
    <n v="0"/>
    <n v="1"/>
    <n v="0"/>
    <n v="1"/>
    <n v="0"/>
    <n v="0"/>
    <n v="0"/>
    <n v="0"/>
    <m/>
  </r>
  <r>
    <n v="873"/>
    <d v="2024-10-03T07:48:16"/>
    <d v="2024-10-03T07:50:40"/>
    <s v="eadisoni@lighthouse.org.mw"/>
    <s v="Eliza adisoni"/>
    <s v="LH_KCH"/>
    <s v="COE"/>
    <x v="1"/>
    <x v="0"/>
    <s v="COP_23"/>
    <s v="Quarter3"/>
    <x v="1"/>
    <s v="Qtr_4"/>
    <x v="2"/>
    <d v="2024-09-02T00:00:00"/>
    <d v="2024-09-30T00:00:00"/>
    <x v="2"/>
    <n v="12"/>
    <n v="3"/>
    <n v="6"/>
    <n v="3"/>
    <n v="2"/>
    <n v="1"/>
    <n v="12"/>
    <n v="5"/>
    <n v="5"/>
    <n v="1"/>
    <n v="1"/>
    <n v="1"/>
    <n v="3"/>
    <n v="0"/>
    <n v="9"/>
    <n v="9"/>
    <n v="0"/>
    <n v="0"/>
    <n v="0"/>
    <n v="0"/>
    <n v="1"/>
    <n v="1"/>
    <n v="0"/>
    <n v="0"/>
    <n v="0"/>
    <m/>
  </r>
  <r>
    <n v="1051"/>
    <d v="2024-11-08T13:49:09"/>
    <d v="2024-11-08T13:52:09"/>
    <s v="eadisoni@lighthouse.org.mw"/>
    <s v="Eliza adisoni"/>
    <s v="LH_KCH"/>
    <s v="COE"/>
    <x v="1"/>
    <x v="0"/>
    <s v="COP_24"/>
    <s v="Quarter4"/>
    <x v="0"/>
    <s v="Qtr_1"/>
    <x v="0"/>
    <d v="2024-10-01T00:00:00"/>
    <d v="2024-10-31T00:00:00"/>
    <x v="2"/>
    <n v="8"/>
    <n v="2"/>
    <n v="3"/>
    <n v="0"/>
    <n v="4"/>
    <n v="1"/>
    <n v="8"/>
    <n v="4"/>
    <n v="4"/>
    <n v="0"/>
    <n v="1"/>
    <n v="0"/>
    <n v="4"/>
    <n v="0"/>
    <n v="0"/>
    <n v="0"/>
    <n v="0"/>
    <n v="0"/>
    <n v="1"/>
    <n v="0"/>
    <n v="1"/>
    <n v="0"/>
    <n v="0"/>
    <n v="0"/>
    <n v="1"/>
    <m/>
  </r>
  <r>
    <n v="568"/>
    <d v="2024-07-03T10:28:27"/>
    <d v="2024-07-03T10:37:06"/>
    <s v="eadisoni@lighthouse.org.mw"/>
    <s v="Eliza adisoni"/>
    <s v="LH_KCH"/>
    <s v="COE"/>
    <x v="1"/>
    <x v="0"/>
    <s v="COP_23"/>
    <s v="Quarter2"/>
    <x v="3"/>
    <s v="Qtr_3"/>
    <x v="8"/>
    <d v="2024-07-03T00:00:00"/>
    <d v="2024-07-03T00:00:00"/>
    <x v="0"/>
    <n v="119"/>
    <n v="8"/>
    <n v="71"/>
    <n v="19"/>
    <n v="10"/>
    <n v="7"/>
    <n v="117"/>
    <n v="40"/>
    <n v="36"/>
    <n v="3"/>
    <n v="4"/>
    <n v="2"/>
    <n v="0"/>
    <n v="0"/>
    <n v="0"/>
    <n v="0"/>
    <n v="1"/>
    <n v="0"/>
    <n v="0"/>
    <n v="0"/>
    <n v="4"/>
    <n v="0"/>
    <n v="0"/>
    <n v="0"/>
    <n v="1"/>
    <m/>
  </r>
  <r>
    <n v="569"/>
    <d v="2024-07-03T10:37:17"/>
    <d v="2024-07-03T10:39:36"/>
    <s v="eadisoni@lighthouse.org.mw"/>
    <s v="Eliza adisoni"/>
    <s v="LH_KCH"/>
    <s v="COE"/>
    <x v="1"/>
    <x v="0"/>
    <s v="COP_23"/>
    <s v="Quarter2"/>
    <x v="3"/>
    <s v="Qtr_3"/>
    <x v="8"/>
    <d v="2024-07-03T00:00:00"/>
    <d v="2024-07-03T00:00:00"/>
    <x v="5"/>
    <n v="12"/>
    <n v="0"/>
    <n v="8"/>
    <n v="2"/>
    <n v="1"/>
    <n v="1"/>
    <n v="12"/>
    <n v="4"/>
    <n v="0"/>
    <n v="0"/>
    <n v="0"/>
    <n v="0"/>
    <n v="0"/>
    <n v="0"/>
    <n v="0"/>
    <n v="0"/>
    <n v="1"/>
    <n v="0"/>
    <n v="1"/>
    <n v="0"/>
    <n v="0"/>
    <n v="0"/>
    <n v="0"/>
    <n v="0"/>
    <n v="0"/>
    <m/>
  </r>
  <r>
    <n v="570"/>
    <d v="2024-07-03T10:39:45"/>
    <d v="2024-07-03T10:42:35"/>
    <s v="eadisoni@lighthouse.org.mw"/>
    <s v="Eliza adisoni"/>
    <s v="LH_KCH"/>
    <s v="COE"/>
    <x v="1"/>
    <x v="0"/>
    <s v="COP_23"/>
    <s v="Quarter2"/>
    <x v="3"/>
    <s v="Qtr_3"/>
    <x v="8"/>
    <d v="2024-07-03T00:00:00"/>
    <d v="2024-07-03T00:00:00"/>
    <x v="4"/>
    <n v="1"/>
    <n v="0"/>
    <n v="1"/>
    <n v="0"/>
    <n v="0"/>
    <n v="0"/>
    <n v="1"/>
    <n v="0"/>
    <n v="0"/>
    <n v="0"/>
    <n v="0"/>
    <n v="0"/>
    <n v="0"/>
    <n v="0"/>
    <n v="0"/>
    <n v="0"/>
    <n v="0"/>
    <n v="0"/>
    <n v="0"/>
    <n v="0"/>
    <n v="0"/>
    <n v="0"/>
    <n v="0"/>
    <n v="0"/>
    <n v="0"/>
    <m/>
  </r>
  <r>
    <n v="571"/>
    <d v="2024-07-03T10:42:45"/>
    <d v="2024-07-03T10:45:02"/>
    <s v="eadisoni@lighthouse.org.mw"/>
    <s v="Eliza adisoni"/>
    <s v="LH_KCH"/>
    <s v="COE"/>
    <x v="1"/>
    <x v="0"/>
    <s v="COP_23"/>
    <s v="Quarter2"/>
    <x v="3"/>
    <s v="Qtr_3"/>
    <x v="8"/>
    <d v="2024-07-03T00:00:00"/>
    <d v="2024-07-03T00:00:00"/>
    <x v="3"/>
    <n v="0"/>
    <n v="0"/>
    <n v="0"/>
    <n v="0"/>
    <n v="0"/>
    <n v="0"/>
    <n v="0"/>
    <n v="0"/>
    <n v="0"/>
    <n v="0"/>
    <n v="0"/>
    <n v="0"/>
    <n v="0"/>
    <n v="0"/>
    <n v="0"/>
    <n v="0"/>
    <n v="0"/>
    <n v="0"/>
    <n v="0"/>
    <n v="0"/>
    <n v="0"/>
    <n v="0"/>
    <n v="0"/>
    <n v="0"/>
    <n v="0"/>
    <m/>
  </r>
  <r>
    <n v="573"/>
    <d v="2024-07-03T10:49:32"/>
    <d v="2024-07-03T11:05:00"/>
    <s v="eadisoni@lighthouse.org.mw"/>
    <s v="Eliza adisoni"/>
    <s v="LH_KCH"/>
    <s v="COE"/>
    <x v="1"/>
    <x v="0"/>
    <s v="COP_23"/>
    <s v="Quarter2"/>
    <x v="3"/>
    <s v="Qtr_3"/>
    <x v="8"/>
    <d v="2024-07-03T00:00:00"/>
    <d v="2024-07-03T00:00:00"/>
    <x v="6"/>
    <n v="99"/>
    <n v="76"/>
    <n v="18"/>
    <n v="12"/>
    <n v="39"/>
    <n v="30"/>
    <n v="99"/>
    <n v="46"/>
    <n v="45"/>
    <n v="3"/>
    <n v="10"/>
    <n v="1"/>
    <n v="0"/>
    <n v="0"/>
    <n v="6"/>
    <n v="1"/>
    <n v="17"/>
    <n v="12"/>
    <n v="35"/>
    <n v="13"/>
    <n v="15"/>
    <n v="1"/>
    <n v="0"/>
    <n v="2"/>
    <n v="23"/>
    <m/>
  </r>
  <r>
    <n v="742"/>
    <d v="2024-08-12T08:39:32"/>
    <d v="2024-08-12T09:11:55"/>
    <s v="bsamala@lighthouse.org.mw"/>
    <s v="Benadetta Samala"/>
    <s v="LH_KCH"/>
    <s v="COE"/>
    <x v="1"/>
    <x v="0"/>
    <s v="COP_23"/>
    <s v="Quarter3"/>
    <x v="1"/>
    <s v="Qtr_4"/>
    <x v="9"/>
    <d v="2024-07-01T00:00:00"/>
    <d v="2024-07-31T00:00:00"/>
    <x v="0"/>
    <n v="167"/>
    <n v="15"/>
    <n v="90"/>
    <n v="36"/>
    <n v="37"/>
    <n v="15"/>
    <n v="162"/>
    <n v="67"/>
    <n v="63"/>
    <n v="4"/>
    <n v="4"/>
    <n v="2"/>
    <n v="0"/>
    <n v="0"/>
    <n v="0"/>
    <n v="0"/>
    <n v="0"/>
    <n v="0"/>
    <n v="13"/>
    <n v="3"/>
    <n v="4"/>
    <n v="2"/>
    <n v="1"/>
    <n v="5"/>
    <n v="3"/>
    <m/>
  </r>
  <r>
    <n v="743"/>
    <d v="2024-08-12T09:12:02"/>
    <d v="2024-08-12T09:22:37"/>
    <s v="bsamala@lighthouse.org.mw"/>
    <s v="Benadetta Samala"/>
    <s v="LH_KCH"/>
    <s v="COE"/>
    <x v="1"/>
    <x v="0"/>
    <s v="COP_23"/>
    <s v="Quarter3"/>
    <x v="1"/>
    <s v="Qtr_4"/>
    <x v="9"/>
    <d v="2024-07-01T00:00:00"/>
    <d v="2024-07-31T00:00:00"/>
    <x v="6"/>
    <n v="136"/>
    <n v="98"/>
    <n v="41"/>
    <n v="7"/>
    <n v="50"/>
    <n v="38"/>
    <n v="136"/>
    <n v="62"/>
    <n v="65"/>
    <n v="4"/>
    <n v="6"/>
    <n v="3"/>
    <n v="0"/>
    <n v="0"/>
    <n v="8"/>
    <n v="1"/>
    <n v="36"/>
    <n v="3"/>
    <n v="58"/>
    <n v="19"/>
    <n v="14"/>
    <n v="6"/>
    <n v="0"/>
    <n v="4"/>
    <n v="36"/>
    <m/>
  </r>
  <r>
    <n v="745"/>
    <d v="2024-08-12T09:26:58"/>
    <d v="2024-08-12T09:30:19"/>
    <s v="bsamala@lighthouse.org.mw"/>
    <s v="Benadetta Samala"/>
    <s v="LH_KCH"/>
    <s v="COE"/>
    <x v="1"/>
    <x v="0"/>
    <s v="COP_23"/>
    <s v="Quarter3"/>
    <x v="1"/>
    <s v="Qtr_4"/>
    <x v="9"/>
    <d v="2024-07-01T00:00:00"/>
    <d v="2024-07-31T00:00:00"/>
    <x v="3"/>
    <n v="1"/>
    <n v="0"/>
    <n v="0"/>
    <n v="1"/>
    <n v="0"/>
    <n v="0"/>
    <n v="0"/>
    <n v="0"/>
    <n v="1"/>
    <n v="0"/>
    <n v="0"/>
    <n v="0"/>
    <n v="0"/>
    <n v="0"/>
    <n v="0"/>
    <n v="0"/>
    <n v="0"/>
    <n v="0"/>
    <n v="0"/>
    <n v="0"/>
    <n v="0"/>
    <n v="0"/>
    <n v="0"/>
    <n v="0"/>
    <n v="0"/>
    <m/>
  </r>
  <r>
    <n v="746"/>
    <d v="2024-08-12T09:30:28"/>
    <d v="2024-08-12T09:34:14"/>
    <s v="bsamala@lighthouse.org.mw"/>
    <s v="Benadetta Samala"/>
    <s v="LH_KCH"/>
    <s v="COE"/>
    <x v="1"/>
    <x v="0"/>
    <s v="COP_23"/>
    <s v="Quarter3"/>
    <x v="1"/>
    <s v="Qtr_4"/>
    <x v="9"/>
    <d v="2024-07-01T00:00:00"/>
    <d v="2024-07-31T00:00:00"/>
    <x v="5"/>
    <n v="26"/>
    <n v="3"/>
    <n v="14"/>
    <n v="5"/>
    <n v="4"/>
    <n v="3"/>
    <n v="25"/>
    <n v="13"/>
    <n v="11"/>
    <n v="2"/>
    <n v="1"/>
    <n v="1"/>
    <n v="0"/>
    <n v="0"/>
    <n v="0"/>
    <n v="0"/>
    <n v="0"/>
    <n v="0"/>
    <n v="0"/>
    <n v="0"/>
    <n v="0"/>
    <n v="1"/>
    <n v="0"/>
    <n v="1"/>
    <n v="2"/>
    <m/>
  </r>
  <r>
    <n v="747"/>
    <d v="2024-08-12T09:34:18"/>
    <d v="2024-08-12T09:36:38"/>
    <s v="bsamala@lighthouse.org.mw"/>
    <s v="Benadetta Samala"/>
    <s v="LH_KCH"/>
    <s v="COE"/>
    <x v="1"/>
    <x v="0"/>
    <s v="COP_23"/>
    <s v="Quarter3"/>
    <x v="1"/>
    <s v="Qtr_4"/>
    <x v="9"/>
    <d v="2024-07-01T00:00:00"/>
    <d v="2024-07-31T00:00:00"/>
    <x v="4"/>
    <n v="2"/>
    <n v="0"/>
    <n v="2"/>
    <n v="0"/>
    <n v="0"/>
    <n v="0"/>
    <n v="2"/>
    <n v="0"/>
    <n v="0"/>
    <n v="0"/>
    <n v="0"/>
    <n v="0"/>
    <n v="0"/>
    <n v="0"/>
    <n v="0"/>
    <n v="0"/>
    <n v="0"/>
    <n v="0"/>
    <n v="0"/>
    <n v="0"/>
    <n v="0"/>
    <n v="0"/>
    <n v="0"/>
    <n v="0"/>
    <n v="0"/>
    <m/>
  </r>
  <r>
    <n v="834"/>
    <d v="2024-09-26T08:02:10"/>
    <d v="2024-09-26T08:04:50"/>
    <s v="eadisoni@lighthouse.org.mw"/>
    <s v="Eliza adisoni"/>
    <s v="LH_KCH"/>
    <s v="COE"/>
    <x v="1"/>
    <x v="0"/>
    <s v="COP_23"/>
    <s v="Quarter3"/>
    <x v="1"/>
    <s v="Qtr_4"/>
    <x v="10"/>
    <d v="2024-08-01T00:00:00"/>
    <d v="2024-08-30T00:00:00"/>
    <x v="4"/>
    <n v="5"/>
    <n v="1"/>
    <n v="3"/>
    <n v="0"/>
    <n v="2"/>
    <n v="0"/>
    <n v="5"/>
    <n v="1"/>
    <n v="0"/>
    <n v="0"/>
    <n v="0"/>
    <n v="0"/>
    <n v="0"/>
    <n v="0"/>
    <n v="0"/>
    <n v="0"/>
    <n v="0"/>
    <n v="0"/>
    <n v="0"/>
    <n v="0"/>
    <n v="1"/>
    <n v="0"/>
    <n v="0"/>
    <n v="0"/>
    <n v="0"/>
    <m/>
  </r>
  <r>
    <n v="835"/>
    <d v="2024-09-26T08:04:57"/>
    <d v="2024-09-26T08:06:11"/>
    <s v="eadisoni@lighthouse.org.mw"/>
    <s v="Eliza adisoni"/>
    <s v="LH_KCH"/>
    <s v="COE"/>
    <x v="1"/>
    <x v="0"/>
    <s v="COP_23"/>
    <s v="Quarter3"/>
    <x v="1"/>
    <s v="Qtr_4"/>
    <x v="10"/>
    <d v="2024-08-01T00:00:00"/>
    <d v="2024-08-30T00:00:00"/>
    <x v="3"/>
    <n v="0"/>
    <n v="0"/>
    <n v="0"/>
    <n v="0"/>
    <n v="0"/>
    <n v="0"/>
    <n v="0"/>
    <n v="0"/>
    <n v="0"/>
    <n v="0"/>
    <n v="0"/>
    <n v="0"/>
    <n v="0"/>
    <n v="0"/>
    <n v="0"/>
    <n v="0"/>
    <n v="0"/>
    <n v="0"/>
    <n v="0"/>
    <n v="0"/>
    <n v="0"/>
    <n v="0"/>
    <n v="0"/>
    <n v="0"/>
    <n v="0"/>
    <m/>
  </r>
  <r>
    <n v="837"/>
    <d v="2024-09-26T09:07:58"/>
    <d v="2024-09-26T09:08:17"/>
    <s v="eadisoni@lighthouse.org.mw"/>
    <s v="Eliza adisoni"/>
    <s v="LH_KCH"/>
    <s v="COE"/>
    <x v="1"/>
    <x v="0"/>
    <s v="COP_23"/>
    <s v="Quarter3"/>
    <x v="1"/>
    <s v="Qtr_4"/>
    <x v="10"/>
    <d v="2024-08-01T00:00:00"/>
    <d v="2024-08-30T00:00:00"/>
    <x v="5"/>
    <n v="19"/>
    <n v="0"/>
    <n v="16"/>
    <n v="2"/>
    <n v="1"/>
    <n v="0"/>
    <n v="19"/>
    <n v="4"/>
    <n v="3"/>
    <n v="0"/>
    <n v="1"/>
    <n v="0"/>
    <n v="2"/>
    <n v="0"/>
    <n v="0"/>
    <n v="0"/>
    <n v="0"/>
    <n v="0"/>
    <n v="1"/>
    <n v="0"/>
    <n v="0"/>
    <n v="0"/>
    <n v="0"/>
    <n v="0"/>
    <n v="0"/>
    <m/>
  </r>
  <r>
    <n v="839"/>
    <d v="2024-09-26T09:10:46"/>
    <d v="2024-09-26T09:13:33"/>
    <s v="eadisoni@lighthouse.org.mw"/>
    <s v="Eliza adisoni"/>
    <s v="LH_KCH"/>
    <s v="COE"/>
    <x v="1"/>
    <x v="0"/>
    <s v="COP_23"/>
    <s v="Quarter3"/>
    <x v="1"/>
    <s v="Qtr_4"/>
    <x v="10"/>
    <d v="2024-08-01T00:00:00"/>
    <d v="2024-08-30T00:00:00"/>
    <x v="0"/>
    <n v="203"/>
    <n v="17"/>
    <n v="94"/>
    <n v="20"/>
    <n v="15"/>
    <n v="13"/>
    <n v="201"/>
    <n v="58"/>
    <n v="64"/>
    <n v="1"/>
    <n v="10"/>
    <n v="2"/>
    <n v="36"/>
    <n v="8"/>
    <n v="0"/>
    <n v="0"/>
    <n v="8"/>
    <n v="4"/>
    <n v="13"/>
    <n v="2"/>
    <n v="3"/>
    <n v="2"/>
    <n v="0"/>
    <n v="4"/>
    <n v="3"/>
    <m/>
  </r>
  <r>
    <n v="840"/>
    <d v="2024-09-26T09:13:41"/>
    <d v="2024-09-26T09:18:55"/>
    <s v="eadisoni@lighthouse.org.mw"/>
    <s v="Eliza adisoni"/>
    <s v="LH_KCH"/>
    <s v="COE"/>
    <x v="1"/>
    <x v="0"/>
    <s v="COP_23"/>
    <s v="Quarter3"/>
    <x v="1"/>
    <s v="Qtr_4"/>
    <x v="10"/>
    <d v="2024-08-01T00:00:00"/>
    <d v="2024-08-30T00:00:00"/>
    <x v="6"/>
    <n v="100"/>
    <n v="52"/>
    <n v="30"/>
    <n v="8"/>
    <n v="31"/>
    <n v="31"/>
    <n v="100"/>
    <n v="39"/>
    <n v="40"/>
    <n v="0"/>
    <n v="4"/>
    <n v="1"/>
    <n v="12"/>
    <n v="3"/>
    <n v="4"/>
    <n v="0"/>
    <n v="25"/>
    <n v="19"/>
    <n v="32"/>
    <n v="20"/>
    <n v="8"/>
    <n v="1"/>
    <n v="0"/>
    <n v="3"/>
    <n v="19"/>
    <m/>
  </r>
  <r>
    <n v="869"/>
    <d v="2024-10-03T07:33:19"/>
    <d v="2024-10-03T07:38:40"/>
    <s v="eadisoni@lighthouse.org.mw"/>
    <s v="Eliza adisoni"/>
    <s v="LH_KCH"/>
    <s v="COE"/>
    <x v="1"/>
    <x v="0"/>
    <s v="COP_23"/>
    <s v="Quarter3"/>
    <x v="1"/>
    <s v="Qtr_4"/>
    <x v="2"/>
    <d v="2024-09-02T00:00:00"/>
    <d v="2024-09-30T00:00:00"/>
    <x v="0"/>
    <n v="168"/>
    <n v="23"/>
    <n v="92"/>
    <n v="38"/>
    <n v="29"/>
    <n v="9"/>
    <n v="157"/>
    <n v="53"/>
    <n v="55"/>
    <n v="5"/>
    <n v="9"/>
    <n v="4"/>
    <n v="56"/>
    <n v="2"/>
    <n v="0"/>
    <n v="0"/>
    <n v="0"/>
    <n v="0"/>
    <n v="5"/>
    <n v="2"/>
    <n v="3"/>
    <n v="2"/>
    <n v="0"/>
    <n v="3"/>
    <n v="3"/>
    <m/>
  </r>
  <r>
    <n v="871"/>
    <d v="2024-10-03T07:42:57"/>
    <d v="2024-10-03T07:45:55"/>
    <s v="eadisoni@lighthouse.org.mw"/>
    <s v="Eliza adisoni"/>
    <s v="LH_KCH"/>
    <s v="COE"/>
    <x v="1"/>
    <x v="0"/>
    <s v="COP_23"/>
    <s v="Quarter3"/>
    <x v="1"/>
    <s v="Qtr_4"/>
    <x v="2"/>
    <d v="2024-09-02T00:00:00"/>
    <d v="2024-09-30T00:00:00"/>
    <x v="3"/>
    <n v="1"/>
    <n v="0"/>
    <n v="0"/>
    <n v="0"/>
    <n v="1"/>
    <n v="0"/>
    <n v="0"/>
    <n v="0"/>
    <n v="1"/>
    <n v="0"/>
    <n v="0"/>
    <n v="0"/>
    <n v="1"/>
    <n v="0"/>
    <n v="0"/>
    <n v="0"/>
    <n v="0"/>
    <n v="0"/>
    <n v="0"/>
    <n v="0"/>
    <n v="0"/>
    <n v="0"/>
    <n v="0"/>
    <n v="0"/>
    <n v="0"/>
    <m/>
  </r>
  <r>
    <n v="872"/>
    <d v="2024-10-03T07:46:05"/>
    <d v="2024-10-03T07:48:09"/>
    <s v="eadisoni@lighthouse.org.mw"/>
    <s v="Eliza adisoni"/>
    <s v="LH_KCH"/>
    <s v="COE"/>
    <x v="1"/>
    <x v="0"/>
    <s v="COP_23"/>
    <s v="Quarter3"/>
    <x v="1"/>
    <s v="Qtr_4"/>
    <x v="2"/>
    <d v="2024-09-02T00:00:00"/>
    <d v="2024-09-30T00:00:00"/>
    <x v="4"/>
    <n v="1"/>
    <n v="0"/>
    <n v="0"/>
    <n v="1"/>
    <n v="0"/>
    <n v="0"/>
    <n v="1"/>
    <n v="1"/>
    <n v="1"/>
    <n v="0"/>
    <n v="0"/>
    <n v="0"/>
    <n v="1"/>
    <n v="0"/>
    <n v="0"/>
    <n v="0"/>
    <n v="0"/>
    <n v="0"/>
    <n v="1"/>
    <n v="0"/>
    <n v="0"/>
    <n v="0"/>
    <n v="0"/>
    <n v="0"/>
    <n v="0"/>
    <m/>
  </r>
  <r>
    <n v="874"/>
    <d v="2024-10-03T07:51:34"/>
    <d v="2024-10-03T08:00:59"/>
    <s v="eadisoni@lighthouse.org.mw"/>
    <s v="Eliza adisoni"/>
    <s v="LH_KCH"/>
    <s v="COE"/>
    <x v="1"/>
    <x v="0"/>
    <s v="COP_23"/>
    <s v="Quarter3"/>
    <x v="1"/>
    <s v="Qtr_4"/>
    <x v="2"/>
    <d v="2024-09-02T00:00:00"/>
    <d v="2024-09-30T00:00:00"/>
    <x v="6"/>
    <n v="103"/>
    <n v="46"/>
    <n v="42"/>
    <n v="8"/>
    <n v="21"/>
    <n v="32"/>
    <n v="103"/>
    <n v="53"/>
    <n v="57"/>
    <n v="5"/>
    <n v="15"/>
    <n v="6"/>
    <n v="47"/>
    <n v="6"/>
    <n v="5"/>
    <n v="2"/>
    <n v="24"/>
    <n v="4"/>
    <n v="30"/>
    <n v="11"/>
    <n v="9"/>
    <n v="7"/>
    <n v="0"/>
    <n v="4"/>
    <n v="19"/>
    <m/>
  </r>
  <r>
    <n v="875"/>
    <d v="2024-10-03T08:50:17"/>
    <d v="2024-10-03T08:50:58"/>
    <s v="eadisoni@lighthouse.org.mw"/>
    <s v="Eliza adisoni"/>
    <s v="LH_KCH"/>
    <s v="COE"/>
    <x v="1"/>
    <x v="0"/>
    <s v="COP_23"/>
    <s v="Quarter3"/>
    <x v="1"/>
    <s v="Qtr_4"/>
    <x v="2"/>
    <d v="2024-09-02T00:00:00"/>
    <d v="2024-09-30T00:00:00"/>
    <x v="5"/>
    <n v="28"/>
    <n v="3"/>
    <n v="20"/>
    <n v="2"/>
    <n v="5"/>
    <n v="1"/>
    <n v="27"/>
    <n v="6"/>
    <n v="10"/>
    <n v="2"/>
    <n v="1"/>
    <n v="0"/>
    <n v="7"/>
    <n v="0"/>
    <n v="0"/>
    <n v="0"/>
    <n v="1"/>
    <n v="0"/>
    <n v="0"/>
    <n v="0"/>
    <n v="0"/>
    <n v="0"/>
    <n v="0"/>
    <n v="0"/>
    <n v="0"/>
    <m/>
  </r>
  <r>
    <n v="1047"/>
    <d v="2024-11-08T13:40:23"/>
    <d v="2024-11-08T13:43:15"/>
    <s v="eadisoni@lighthouse.org.mw"/>
    <s v="Eliza adisoni"/>
    <s v="LH_KCH"/>
    <s v="COE"/>
    <x v="1"/>
    <x v="0"/>
    <s v="COP_24"/>
    <s v="Quarter4"/>
    <x v="0"/>
    <s v="Qtr_1"/>
    <x v="0"/>
    <d v="2024-10-01T00:00:00"/>
    <d v="2024-10-31T00:00:00"/>
    <x v="4"/>
    <n v="4"/>
    <n v="0"/>
    <n v="4"/>
    <n v="0"/>
    <n v="0"/>
    <n v="0"/>
    <n v="0"/>
    <n v="0"/>
    <n v="0"/>
    <n v="0"/>
    <n v="0"/>
    <n v="0"/>
    <n v="0"/>
    <n v="0"/>
    <n v="0"/>
    <n v="0"/>
    <n v="0"/>
    <n v="0"/>
    <n v="0"/>
    <n v="0"/>
    <n v="0"/>
    <n v="0"/>
    <n v="0"/>
    <n v="0"/>
    <n v="0"/>
    <m/>
  </r>
  <r>
    <n v="1049"/>
    <d v="2024-11-08T13:46:00"/>
    <d v="2024-11-08T13:46:59"/>
    <s v="eadisoni@lighthouse.org.mw"/>
    <s v="Eliza adisoni"/>
    <s v="LH_KCH"/>
    <s v="COE"/>
    <x v="1"/>
    <x v="0"/>
    <s v="COP_24"/>
    <s v="Quarter4"/>
    <x v="0"/>
    <s v="Qtr_1"/>
    <x v="0"/>
    <d v="2024-10-01T00:00:00"/>
    <d v="2024-10-31T00:00:00"/>
    <x v="3"/>
    <n v="0"/>
    <n v="0"/>
    <n v="0"/>
    <n v="0"/>
    <n v="0"/>
    <n v="0"/>
    <n v="0"/>
    <n v="0"/>
    <n v="0"/>
    <n v="0"/>
    <n v="0"/>
    <n v="0"/>
    <n v="0"/>
    <n v="0"/>
    <n v="0"/>
    <n v="0"/>
    <n v="0"/>
    <n v="0"/>
    <n v="0"/>
    <n v="0"/>
    <n v="0"/>
    <n v="0"/>
    <n v="0"/>
    <n v="0"/>
    <n v="0"/>
    <m/>
  </r>
  <r>
    <n v="1050"/>
    <d v="2024-11-08T13:47:07"/>
    <d v="2024-11-08T13:49:02"/>
    <s v="eadisoni@lighthouse.org.mw"/>
    <s v="Eliza adisoni"/>
    <s v="LH_KCH"/>
    <s v="COE"/>
    <x v="1"/>
    <x v="0"/>
    <s v="COP_24"/>
    <s v="Quarter4"/>
    <x v="0"/>
    <s v="Qtr_1"/>
    <x v="0"/>
    <d v="2024-10-01T00:00:00"/>
    <d v="2024-10-31T00:00:00"/>
    <x v="5"/>
    <n v="36"/>
    <n v="5"/>
    <n v="23"/>
    <n v="1"/>
    <n v="11"/>
    <n v="1"/>
    <n v="36"/>
    <n v="12"/>
    <n v="11"/>
    <n v="1"/>
    <n v="0"/>
    <n v="0"/>
    <n v="9"/>
    <n v="0"/>
    <n v="0"/>
    <n v="0"/>
    <n v="0"/>
    <n v="0"/>
    <n v="0"/>
    <n v="0"/>
    <n v="0"/>
    <n v="0"/>
    <n v="0"/>
    <n v="0"/>
    <n v="0"/>
    <m/>
  </r>
  <r>
    <n v="1052"/>
    <d v="2024-11-08T13:52:30"/>
    <d v="2024-11-08T13:58:02"/>
    <s v="eadisoni@lighthouse.org.mw"/>
    <s v="Eliza adisoni"/>
    <s v="LH_KCH"/>
    <s v="COE"/>
    <x v="1"/>
    <x v="0"/>
    <s v="COP_24"/>
    <s v="Quarter4"/>
    <x v="0"/>
    <s v="Qtr_1"/>
    <x v="0"/>
    <d v="2024-10-01T00:00:00"/>
    <d v="2024-10-31T00:00:00"/>
    <x v="6"/>
    <n v="120"/>
    <n v="89"/>
    <n v="32"/>
    <n v="15"/>
    <n v="36"/>
    <n v="37"/>
    <n v="120"/>
    <n v="45"/>
    <n v="50"/>
    <n v="5"/>
    <n v="6"/>
    <n v="3"/>
    <n v="28"/>
    <n v="8"/>
    <n v="2"/>
    <n v="0"/>
    <n v="17"/>
    <n v="11"/>
    <n v="26"/>
    <n v="15"/>
    <n v="12"/>
    <n v="2"/>
    <n v="1"/>
    <n v="1"/>
    <n v="4"/>
    <m/>
  </r>
  <r>
    <n v="1073"/>
    <d v="2024-11-15T11:30:40"/>
    <d v="2024-11-15T12:04:55"/>
    <s v="bsamala@lighthouse.org.mw"/>
    <s v="Benadetta Samala"/>
    <s v="LH_KCH"/>
    <s v="COE"/>
    <x v="1"/>
    <x v="0"/>
    <s v="COP_23"/>
    <s v="Quarter3"/>
    <x v="1"/>
    <s v="Qtr_4"/>
    <x v="9"/>
    <d v="2024-07-01T00:00:00"/>
    <d v="2024-07-30T00:00:00"/>
    <x v="1"/>
    <n v="52"/>
    <n v="1"/>
    <n v="23"/>
    <n v="12"/>
    <n v="17"/>
    <n v="0"/>
    <n v="52"/>
    <n v="21"/>
    <n v="16"/>
    <n v="0"/>
    <n v="0"/>
    <n v="0"/>
    <n v="0"/>
    <n v="0"/>
    <n v="0"/>
    <n v="0"/>
    <n v="0"/>
    <n v="0"/>
    <n v="0"/>
    <n v="0"/>
    <n v="0"/>
    <n v="0"/>
    <n v="0"/>
    <n v="0"/>
    <n v="0"/>
    <m/>
  </r>
  <r>
    <n v="1074"/>
    <d v="2024-11-15T12:05:18"/>
    <d v="2024-11-15T12:15:30"/>
    <s v="bsamala@lighthouse.org.mw"/>
    <s v="Benadetta Samala"/>
    <s v="LH_KCH"/>
    <s v="COE"/>
    <x v="1"/>
    <x v="0"/>
    <s v="COP_23"/>
    <s v="Quarter3"/>
    <x v="1"/>
    <s v="Qtr_4"/>
    <x v="10"/>
    <d v="2024-08-01T00:00:00"/>
    <d v="2024-08-31T00:00:00"/>
    <x v="1"/>
    <n v="42"/>
    <n v="7"/>
    <n v="26"/>
    <n v="7"/>
    <n v="6"/>
    <n v="3"/>
    <n v="42"/>
    <n v="13"/>
    <n v="15"/>
    <n v="1"/>
    <n v="1"/>
    <n v="1"/>
    <n v="3"/>
    <n v="2"/>
    <n v="1"/>
    <n v="1"/>
    <n v="1"/>
    <n v="1"/>
    <n v="0"/>
    <n v="0"/>
    <n v="0"/>
    <n v="1"/>
    <n v="0"/>
    <n v="1"/>
    <n v="0"/>
    <m/>
  </r>
  <r>
    <n v="1075"/>
    <d v="2024-11-15T12:15:48"/>
    <d v="2024-11-15T12:20:54"/>
    <s v="bsamala@lighthouse.org.mw"/>
    <s v="Benadetta Samala"/>
    <s v="LH_KCH"/>
    <s v="COE"/>
    <x v="1"/>
    <x v="0"/>
    <s v="COP_23"/>
    <s v="Quarter3"/>
    <x v="1"/>
    <s v="Qtr_4"/>
    <x v="2"/>
    <d v="2024-09-01T00:00:00"/>
    <d v="2024-09-30T00:00:00"/>
    <x v="1"/>
    <n v="29"/>
    <n v="7"/>
    <n v="15"/>
    <n v="4"/>
    <n v="6"/>
    <n v="4"/>
    <n v="29"/>
    <n v="10"/>
    <n v="7"/>
    <n v="0"/>
    <n v="1"/>
    <n v="1"/>
    <n v="7"/>
    <n v="2"/>
    <n v="0"/>
    <n v="0"/>
    <n v="0"/>
    <n v="0"/>
    <n v="1"/>
    <n v="0"/>
    <n v="0"/>
    <n v="0"/>
    <n v="0"/>
    <n v="1"/>
    <n v="0"/>
    <m/>
  </r>
  <r>
    <n v="1112"/>
    <d v="2024-12-09T11:26:05"/>
    <d v="2024-12-09T11:31:10"/>
    <s v="eadisoni@lighthouse.org.mw"/>
    <s v="Eliza adisoni"/>
    <s v="LH_KCH"/>
    <s v="COE"/>
    <x v="1"/>
    <x v="0"/>
    <s v="COP_24"/>
    <s v="Quarter4"/>
    <x v="0"/>
    <s v="Qtr_1"/>
    <x v="1"/>
    <d v="2024-11-01T00:00:00"/>
    <d v="2024-11-30T00:00:00"/>
    <x v="0"/>
    <n v="162"/>
    <n v="41"/>
    <n v="103"/>
    <n v="6"/>
    <n v="31"/>
    <n v="22"/>
    <n v="158"/>
    <n v="53"/>
    <n v="54"/>
    <n v="4"/>
    <n v="4"/>
    <n v="0"/>
    <n v="59"/>
    <n v="11"/>
    <n v="0"/>
    <n v="0"/>
    <n v="2"/>
    <n v="0"/>
    <n v="5"/>
    <n v="0"/>
    <n v="7"/>
    <n v="1"/>
    <n v="0"/>
    <n v="3"/>
    <n v="0"/>
    <m/>
  </r>
  <r>
    <n v="1113"/>
    <d v="2024-12-09T11:31:43"/>
    <d v="2024-12-09T11:35:04"/>
    <s v="eadisoni@lighthouse.org.mw"/>
    <s v="Eliza adisoni"/>
    <s v="LH_KCH"/>
    <s v="COE"/>
    <x v="1"/>
    <x v="0"/>
    <s v="COP_24"/>
    <s v="Quarter4"/>
    <x v="0"/>
    <s v="Qtr_1"/>
    <x v="1"/>
    <d v="2024-11-01T00:00:00"/>
    <d v="2024-11-30T00:00:00"/>
    <x v="3"/>
    <n v="0"/>
    <n v="0"/>
    <n v="0"/>
    <n v="0"/>
    <n v="0"/>
    <n v="0"/>
    <n v="0"/>
    <n v="0"/>
    <n v="0"/>
    <n v="0"/>
    <n v="0"/>
    <n v="0"/>
    <n v="0"/>
    <n v="0"/>
    <n v="0"/>
    <n v="0"/>
    <n v="0"/>
    <n v="0"/>
    <n v="0"/>
    <n v="0"/>
    <n v="0"/>
    <n v="0"/>
    <n v="0"/>
    <n v="0"/>
    <n v="0"/>
    <m/>
  </r>
  <r>
    <n v="1114"/>
    <d v="2024-12-09T11:35:19"/>
    <d v="2024-12-09T11:41:06"/>
    <s v="eadisoni@lighthouse.org.mw"/>
    <s v="Eliza adisoni"/>
    <s v="LH_KCH"/>
    <s v="COE"/>
    <x v="1"/>
    <x v="0"/>
    <s v="COP_24"/>
    <s v="Quarter4"/>
    <x v="0"/>
    <s v="Qtr_1"/>
    <x v="1"/>
    <d v="2024-11-01T00:00:00"/>
    <d v="2024-11-30T00:00:00"/>
    <x v="4"/>
    <n v="6"/>
    <n v="1"/>
    <n v="4"/>
    <n v="0"/>
    <n v="2"/>
    <n v="0"/>
    <n v="6"/>
    <n v="2"/>
    <n v="2"/>
    <n v="0"/>
    <n v="0"/>
    <n v="0"/>
    <n v="2"/>
    <n v="0"/>
    <n v="0"/>
    <n v="0"/>
    <n v="0"/>
    <n v="0"/>
    <n v="0"/>
    <n v="0"/>
    <n v="0"/>
    <n v="0"/>
    <n v="0"/>
    <n v="0"/>
    <n v="0"/>
    <m/>
  </r>
  <r>
    <n v="1115"/>
    <d v="2024-12-09T11:41:16"/>
    <d v="2024-12-09T11:45:04"/>
    <s v="eadisoni@lighthouse.org.mw"/>
    <s v="Eliza adisoni"/>
    <s v="LH_KCH"/>
    <s v="COE"/>
    <x v="1"/>
    <x v="0"/>
    <s v="COP_24"/>
    <s v="Quarter4"/>
    <x v="0"/>
    <s v="Qtr_1"/>
    <x v="1"/>
    <d v="2024-11-01T00:00:00"/>
    <d v="2024-11-30T00:00:00"/>
    <x v="5"/>
    <n v="26"/>
    <n v="3"/>
    <n v="15"/>
    <n v="1"/>
    <n v="8"/>
    <n v="2"/>
    <n v="26"/>
    <n v="11"/>
    <n v="12"/>
    <n v="0"/>
    <n v="2"/>
    <n v="0"/>
    <n v="9"/>
    <n v="1"/>
    <n v="0"/>
    <n v="0"/>
    <n v="0"/>
    <n v="0"/>
    <n v="0"/>
    <n v="0"/>
    <n v="0"/>
    <n v="0"/>
    <n v="0"/>
    <n v="0"/>
    <n v="0"/>
    <m/>
  </r>
  <r>
    <n v="1116"/>
    <d v="2024-12-09T11:45:18"/>
    <d v="2024-12-09T11:48:00"/>
    <s v="eadisoni@lighthouse.org.mw"/>
    <s v="Eliza adisoni"/>
    <s v="LH_KCH"/>
    <s v="COE"/>
    <x v="1"/>
    <x v="0"/>
    <s v="COP_24"/>
    <s v="Quarter4"/>
    <x v="0"/>
    <s v="Qtr_1"/>
    <x v="1"/>
    <d v="2024-11-01T00:00:00"/>
    <d v="2024-11-30T00:00:00"/>
    <x v="2"/>
    <n v="4"/>
    <n v="1"/>
    <n v="3"/>
    <n v="0"/>
    <n v="1"/>
    <n v="0"/>
    <n v="3"/>
    <n v="0"/>
    <n v="1"/>
    <n v="1"/>
    <n v="0"/>
    <n v="0"/>
    <n v="1"/>
    <n v="0"/>
    <n v="0"/>
    <n v="0"/>
    <n v="0"/>
    <n v="0"/>
    <n v="0"/>
    <n v="0"/>
    <n v="0"/>
    <n v="0"/>
    <n v="0"/>
    <n v="0"/>
    <n v="0"/>
    <m/>
  </r>
  <r>
    <n v="1117"/>
    <d v="2024-12-09T11:48:14"/>
    <d v="2024-12-09T11:52:57"/>
    <s v="eadisoni@lighthouse.org.mw"/>
    <s v="Eliza adisoni"/>
    <s v="LH_KCH"/>
    <s v="COE"/>
    <x v="1"/>
    <x v="0"/>
    <s v="COP_24"/>
    <s v="Quarter4"/>
    <x v="0"/>
    <s v="Qtr_1"/>
    <x v="1"/>
    <d v="2024-11-01T00:00:00"/>
    <d v="2024-11-30T00:00:00"/>
    <x v="6"/>
    <n v="105"/>
    <n v="59"/>
    <n v="54"/>
    <n v="10"/>
    <n v="11"/>
    <n v="30"/>
    <n v="105"/>
    <n v="48"/>
    <n v="51"/>
    <n v="7"/>
    <n v="14"/>
    <n v="8"/>
    <n v="48"/>
    <n v="12"/>
    <n v="1"/>
    <n v="0"/>
    <n v="11"/>
    <n v="2"/>
    <n v="29"/>
    <n v="8"/>
    <n v="6"/>
    <n v="0"/>
    <n v="0"/>
    <n v="0"/>
    <n v="8"/>
    <m/>
  </r>
  <r>
    <n v="1131"/>
    <d v="2024-12-13T13:54:46"/>
    <d v="2024-12-13T14:03:38"/>
    <s v="bsamala@lighthouse.org.mw"/>
    <s v="Benadetta Samala"/>
    <s v="LH_KCH"/>
    <s v="COE"/>
    <x v="1"/>
    <x v="0"/>
    <s v="COP_24"/>
    <s v="Quarter4"/>
    <x v="0"/>
    <s v="Qtr_1"/>
    <x v="1"/>
    <d v="2024-11-01T00:00:00"/>
    <d v="2024-11-30T00:00:00"/>
    <x v="1"/>
    <n v="44"/>
    <n v="20"/>
    <n v="25"/>
    <n v="1"/>
    <n v="13"/>
    <n v="5"/>
    <n v="41"/>
    <n v="20"/>
    <n v="20"/>
    <n v="2"/>
    <n v="1"/>
    <n v="0"/>
    <n v="19"/>
    <n v="2"/>
    <n v="0"/>
    <n v="0"/>
    <n v="3"/>
    <n v="1"/>
    <n v="6"/>
    <n v="1"/>
    <n v="0"/>
    <n v="0"/>
    <n v="0"/>
    <n v="0"/>
    <n v="0"/>
    <m/>
  </r>
  <r>
    <n v="1225"/>
    <d v="2025-01-09T13:55:34"/>
    <d v="2025-01-09T13:58:34"/>
    <s v="eadisoni@lighthouse.org.mw"/>
    <s v="Eliza adisoni"/>
    <s v="LH_KCH"/>
    <s v="COE"/>
    <x v="1"/>
    <x v="0"/>
    <s v="COP_24"/>
    <s v="Quarter4"/>
    <x v="0"/>
    <s v="Qtr_1"/>
    <x v="11"/>
    <d v="2024-12-01T00:00:00"/>
    <d v="2024-12-31T00:00:00"/>
    <x v="1"/>
    <n v="36"/>
    <n v="14"/>
    <n v="19"/>
    <n v="1"/>
    <n v="9"/>
    <n v="7"/>
    <n v="36"/>
    <n v="18"/>
    <n v="18"/>
    <n v="1"/>
    <n v="1"/>
    <n v="1"/>
    <n v="14"/>
    <n v="5"/>
    <n v="0"/>
    <n v="0"/>
    <n v="4"/>
    <n v="0"/>
    <n v="8"/>
    <n v="3"/>
    <n v="1"/>
    <n v="0"/>
    <n v="0"/>
    <n v="0"/>
    <n v="0"/>
    <m/>
  </r>
  <r>
    <n v="1226"/>
    <d v="2025-01-09T13:58:53"/>
    <d v="2025-01-09T14:01:50"/>
    <s v="eadisoni@lighthouse.org.mw"/>
    <s v="Eliza adisoni"/>
    <s v="LH_KCH"/>
    <s v="COE"/>
    <x v="1"/>
    <x v="0"/>
    <s v="COP_24"/>
    <s v="Quarter4"/>
    <x v="0"/>
    <s v="Qtr_1"/>
    <x v="11"/>
    <d v="2024-12-01T00:00:00"/>
    <d v="2024-12-31T00:00:00"/>
    <x v="5"/>
    <n v="24"/>
    <n v="6"/>
    <n v="14"/>
    <n v="2"/>
    <n v="5"/>
    <n v="3"/>
    <n v="24"/>
    <n v="8"/>
    <n v="9"/>
    <n v="2"/>
    <n v="0"/>
    <n v="0"/>
    <n v="7"/>
    <n v="0"/>
    <n v="0"/>
    <n v="0"/>
    <n v="0"/>
    <n v="0"/>
    <n v="0"/>
    <n v="0"/>
    <n v="0"/>
    <n v="0"/>
    <n v="1"/>
    <n v="0"/>
    <n v="0"/>
    <m/>
  </r>
  <r>
    <n v="1227"/>
    <d v="2025-01-09T14:02:22"/>
    <d v="2025-01-09T14:05:53"/>
    <s v="eadisoni@lighthouse.org.mw"/>
    <s v="Eliza adisoni"/>
    <s v="LH_KCH"/>
    <s v="COE"/>
    <x v="1"/>
    <x v="2"/>
    <s v="COP_24"/>
    <s v="Quarter4"/>
    <x v="0"/>
    <s v="Qtr_1"/>
    <x v="11"/>
    <d v="2024-12-01T00:00:00"/>
    <d v="2024-12-31T00:00:00"/>
    <x v="0"/>
    <n v="140"/>
    <n v="27"/>
    <n v="95"/>
    <n v="7"/>
    <n v="29"/>
    <n v="9"/>
    <n v="140"/>
    <n v="42"/>
    <n v="41"/>
    <n v="5"/>
    <n v="0"/>
    <n v="0"/>
    <n v="40"/>
    <n v="3"/>
    <n v="1"/>
    <n v="0"/>
    <n v="1"/>
    <n v="0"/>
    <n v="0"/>
    <n v="0"/>
    <n v="1"/>
    <n v="1"/>
    <n v="1"/>
    <n v="0"/>
    <n v="1"/>
    <m/>
  </r>
  <r>
    <n v="1228"/>
    <d v="2025-01-09T14:06:07"/>
    <d v="2025-01-09T14:08:24"/>
    <s v="eadisoni@lighthouse.org.mw"/>
    <s v="Eliza adisoni"/>
    <s v="LH_KCH"/>
    <s v="COE"/>
    <x v="1"/>
    <x v="0"/>
    <s v="COP_24"/>
    <s v="Quarter4"/>
    <x v="0"/>
    <s v="Qtr_1"/>
    <x v="11"/>
    <d v="2024-12-01T00:00:00"/>
    <d v="2024-12-31T00:00:00"/>
    <x v="4"/>
    <n v="2"/>
    <n v="0"/>
    <n v="2"/>
    <n v="0"/>
    <n v="0"/>
    <n v="0"/>
    <n v="2"/>
    <n v="0"/>
    <n v="1"/>
    <n v="0"/>
    <n v="0"/>
    <n v="0"/>
    <n v="1"/>
    <n v="0"/>
    <n v="0"/>
    <n v="0"/>
    <n v="0"/>
    <n v="0"/>
    <n v="0"/>
    <n v="0"/>
    <n v="0"/>
    <n v="0"/>
    <n v="0"/>
    <n v="0"/>
    <n v="0"/>
    <m/>
  </r>
  <r>
    <n v="1229"/>
    <d v="2025-01-09T14:08:35"/>
    <d v="2025-01-09T14:09:56"/>
    <s v="eadisoni@lighthouse.org.mw"/>
    <s v="Eliza adisoni"/>
    <s v="LH_KCH"/>
    <s v="COE"/>
    <x v="1"/>
    <x v="0"/>
    <s v="COP_24"/>
    <s v="Quarter4"/>
    <x v="0"/>
    <s v="Qtr_1"/>
    <x v="11"/>
    <d v="2024-12-01T00:00:00"/>
    <d v="2024-12-31T00:00:00"/>
    <x v="3"/>
    <n v="0"/>
    <n v="0"/>
    <n v="0"/>
    <n v="0"/>
    <n v="0"/>
    <n v="0"/>
    <n v="0"/>
    <n v="0"/>
    <n v="0"/>
    <n v="0"/>
    <n v="0"/>
    <n v="0"/>
    <n v="0"/>
    <n v="0"/>
    <n v="0"/>
    <n v="0"/>
    <n v="0"/>
    <n v="0"/>
    <n v="0"/>
    <n v="0"/>
    <n v="0"/>
    <n v="0"/>
    <n v="0"/>
    <n v="0"/>
    <n v="0"/>
    <m/>
  </r>
  <r>
    <n v="1230"/>
    <d v="2025-01-09T14:10:12"/>
    <d v="2025-01-09T14:15:42"/>
    <s v="eadisoni@lighthouse.org.mw"/>
    <s v="Eliza adisoni"/>
    <s v="LH_KCH"/>
    <s v="COE"/>
    <x v="1"/>
    <x v="0"/>
    <s v="COP_24"/>
    <s v="Quarter4"/>
    <x v="0"/>
    <s v="Qtr_1"/>
    <x v="11"/>
    <d v="2024-12-01T00:00:00"/>
    <d v="2024-12-31T00:00:00"/>
    <x v="2"/>
    <n v="6"/>
    <n v="0"/>
    <n v="5"/>
    <n v="1"/>
    <n v="0"/>
    <n v="0"/>
    <n v="6"/>
    <n v="1"/>
    <n v="1"/>
    <n v="1"/>
    <n v="0"/>
    <n v="0"/>
    <n v="0"/>
    <n v="1"/>
    <n v="0"/>
    <n v="0"/>
    <n v="0"/>
    <n v="0"/>
    <n v="0"/>
    <n v="0"/>
    <n v="0"/>
    <n v="0"/>
    <n v="0"/>
    <n v="0"/>
    <n v="1"/>
    <m/>
  </r>
  <r>
    <n v="1231"/>
    <d v="2025-01-09T14:16:05"/>
    <d v="2025-01-09T14:19:26"/>
    <s v="eadisoni@lighthouse.org.mw"/>
    <s v="Eliza adisoni"/>
    <s v="LH_KCH"/>
    <s v="COE"/>
    <x v="1"/>
    <x v="0"/>
    <s v="COP_24"/>
    <s v="Quarter4"/>
    <x v="0"/>
    <s v="Qtr_1"/>
    <x v="11"/>
    <d v="2024-12-01T00:00:00"/>
    <d v="2024-12-31T00:00:00"/>
    <x v="6"/>
    <n v="96"/>
    <n v="71"/>
    <n v="65"/>
    <n v="3"/>
    <n v="12"/>
    <n v="16"/>
    <n v="96"/>
    <n v="38"/>
    <n v="39"/>
    <n v="3"/>
    <n v="5"/>
    <n v="3"/>
    <n v="37"/>
    <n v="4"/>
    <n v="0"/>
    <n v="0"/>
    <n v="12"/>
    <n v="2"/>
    <n v="31"/>
    <n v="6"/>
    <n v="6"/>
    <n v="0"/>
    <n v="0"/>
    <n v="0"/>
    <n v="1"/>
    <m/>
  </r>
  <r>
    <n v="1445"/>
    <d v="2025-03-19T08:57:02"/>
    <d v="2025-03-19T09:10:27"/>
    <s v="jmakoza@lighthouse.org.mw"/>
    <s v="Jonathan Makoza"/>
    <s v="LH_KCH"/>
    <s v="COE"/>
    <x v="2"/>
    <x v="0"/>
    <s v="COP_24"/>
    <s v="Quarter1"/>
    <x v="2"/>
    <s v="Qtr_2"/>
    <x v="4"/>
    <d v="2025-01-01T00:00:00"/>
    <d v="2025-01-31T00:00:00"/>
    <x v="0"/>
    <n v="156"/>
    <n v="29"/>
    <n v="101"/>
    <n v="14"/>
    <n v="25"/>
    <n v="16"/>
    <n v="153"/>
    <n v="59"/>
    <n v="55"/>
    <n v="7"/>
    <n v="7"/>
    <n v="1"/>
    <n v="60"/>
    <n v="14"/>
    <n v="1"/>
    <n v="0"/>
    <n v="5"/>
    <n v="3"/>
    <n v="5"/>
    <n v="3"/>
    <n v="11"/>
    <n v="3"/>
    <n v="1"/>
    <n v="0"/>
    <n v="1"/>
    <m/>
  </r>
  <r>
    <n v="1446"/>
    <d v="2025-03-19T09:10:55"/>
    <d v="2025-03-19T09:16:53"/>
    <s v="jmakoza@lighthouse.org.mw"/>
    <s v="Jonathan Makoza"/>
    <s v="LH_KCH"/>
    <s v="COE"/>
    <x v="2"/>
    <x v="0"/>
    <s v="COP_24"/>
    <s v="Quarter1"/>
    <x v="2"/>
    <s v="Qtr_2"/>
    <x v="4"/>
    <d v="2025-01-01T00:00:00"/>
    <d v="2025-01-31T00:00:00"/>
    <x v="1"/>
    <n v="72"/>
    <n v="18"/>
    <n v="40"/>
    <n v="8"/>
    <n v="13"/>
    <n v="11"/>
    <n v="72"/>
    <n v="35"/>
    <n v="32"/>
    <n v="3"/>
    <n v="2"/>
    <n v="0"/>
    <n v="35"/>
    <n v="10"/>
    <n v="1"/>
    <n v="0"/>
    <n v="5"/>
    <n v="3"/>
    <n v="5"/>
    <n v="3"/>
    <n v="9"/>
    <n v="2"/>
    <n v="1"/>
    <n v="0"/>
    <n v="1"/>
    <m/>
  </r>
  <r>
    <n v="1447"/>
    <d v="2025-03-19T09:16:58"/>
    <d v="2025-03-19T09:19:34"/>
    <s v="jmakoza@lighthouse.org.mw"/>
    <s v="Jonathan Makoza"/>
    <s v="LH_KCH"/>
    <s v="COE"/>
    <x v="2"/>
    <x v="2"/>
    <s v="COP_24"/>
    <s v="Quarter1"/>
    <x v="2"/>
    <s v="Qtr_2"/>
    <x v="4"/>
    <d v="2025-01-01T00:00:00"/>
    <d v="2025-01-31T00:00:00"/>
    <x v="3"/>
    <n v="0"/>
    <n v="0"/>
    <n v="0"/>
    <n v="0"/>
    <n v="0"/>
    <n v="0"/>
    <n v="0"/>
    <n v="0"/>
    <n v="0"/>
    <n v="0"/>
    <n v="0"/>
    <n v="0"/>
    <n v="0"/>
    <n v="0"/>
    <n v="0"/>
    <n v="0"/>
    <n v="0"/>
    <n v="0"/>
    <n v="0"/>
    <n v="0"/>
    <n v="0"/>
    <n v="0"/>
    <n v="0"/>
    <n v="0"/>
    <n v="0"/>
    <m/>
  </r>
  <r>
    <n v="1448"/>
    <d v="2025-03-19T09:19:41"/>
    <d v="2025-03-19T09:22:04"/>
    <s v="jmakoza@lighthouse.org.mw"/>
    <s v="Jonathan Makoza"/>
    <s v="LH_KCH"/>
    <s v="COE"/>
    <x v="2"/>
    <x v="0"/>
    <s v="COP_24"/>
    <s v="Quarter1"/>
    <x v="2"/>
    <s v="Qtr_2"/>
    <x v="4"/>
    <d v="2025-01-01T00:00:00"/>
    <d v="2025-01-31T00:00:00"/>
    <x v="4"/>
    <n v="3"/>
    <n v="0"/>
    <n v="2"/>
    <n v="0"/>
    <n v="1"/>
    <n v="0"/>
    <n v="3"/>
    <n v="1"/>
    <n v="0"/>
    <n v="0"/>
    <n v="0"/>
    <n v="0"/>
    <n v="0"/>
    <n v="0"/>
    <n v="0"/>
    <n v="0"/>
    <n v="0"/>
    <n v="0"/>
    <n v="0"/>
    <n v="0"/>
    <n v="0"/>
    <n v="0"/>
    <n v="0"/>
    <n v="0"/>
    <n v="0"/>
    <m/>
  </r>
  <r>
    <n v="1449"/>
    <d v="2025-03-19T09:22:41"/>
    <d v="2025-03-19T09:25:30"/>
    <s v="jmakoza@lighthouse.org.mw"/>
    <s v="Jonathan Makoza"/>
    <s v="LH_KCH"/>
    <s v="COE"/>
    <x v="2"/>
    <x v="0"/>
    <s v="COP_24"/>
    <s v="Quarter1"/>
    <x v="2"/>
    <s v="Qtr_2"/>
    <x v="4"/>
    <d v="2025-01-01T00:00:00"/>
    <d v="2025-01-31T00:00:00"/>
    <x v="5"/>
    <n v="15"/>
    <n v="2"/>
    <n v="11"/>
    <n v="1"/>
    <n v="3"/>
    <n v="0"/>
    <n v="15"/>
    <n v="7"/>
    <n v="15"/>
    <n v="7"/>
    <n v="0"/>
    <n v="0"/>
    <n v="6"/>
    <n v="0"/>
    <n v="0"/>
    <n v="0"/>
    <n v="0"/>
    <n v="0"/>
    <n v="0"/>
    <n v="0"/>
    <n v="0"/>
    <n v="0"/>
    <n v="0"/>
    <n v="0"/>
    <n v="0"/>
    <m/>
  </r>
  <r>
    <n v="1450"/>
    <d v="2025-03-19T09:25:37"/>
    <d v="2025-03-19T09:28:18"/>
    <s v="jmakoza@lighthouse.org.mw"/>
    <s v="Jonathan Makoza"/>
    <s v="LH_KCH"/>
    <s v="COE"/>
    <x v="2"/>
    <x v="0"/>
    <s v="COP_24"/>
    <s v="Quarter1"/>
    <x v="2"/>
    <s v="Qtr_2"/>
    <x v="4"/>
    <d v="2025-01-01T00:00:00"/>
    <d v="2025-01-31T00:00:00"/>
    <x v="2"/>
    <n v="2"/>
    <n v="2"/>
    <n v="0"/>
    <n v="0"/>
    <n v="2"/>
    <n v="0"/>
    <n v="2"/>
    <n v="2"/>
    <n v="2"/>
    <n v="0"/>
    <n v="1"/>
    <n v="0"/>
    <n v="1"/>
    <n v="0"/>
    <n v="0"/>
    <n v="0"/>
    <n v="0"/>
    <n v="0"/>
    <n v="0"/>
    <n v="0"/>
    <n v="0"/>
    <n v="1"/>
    <n v="0"/>
    <n v="0"/>
    <n v="0"/>
    <m/>
  </r>
  <r>
    <n v="1451"/>
    <d v="2025-03-19T09:29:12"/>
    <d v="2025-03-19T09:34:34"/>
    <s v="jmakoza@lighthouse.org.mw"/>
    <s v="Jonathan Makoza"/>
    <s v="LH_KCH"/>
    <s v="COE"/>
    <x v="2"/>
    <x v="0"/>
    <s v="COP_24"/>
    <s v="Quarter1"/>
    <x v="2"/>
    <s v="Qtr_2"/>
    <x v="5"/>
    <d v="2025-02-01T00:00:00"/>
    <d v="2025-02-28T00:00:00"/>
    <x v="0"/>
    <n v="129"/>
    <n v="10"/>
    <n v="93"/>
    <n v="10"/>
    <n v="16"/>
    <n v="10"/>
    <n v="118"/>
    <n v="42"/>
    <n v="46"/>
    <n v="1"/>
    <n v="0"/>
    <n v="0"/>
    <n v="55"/>
    <n v="7"/>
    <n v="0"/>
    <n v="0"/>
    <n v="3"/>
    <n v="2"/>
    <n v="0"/>
    <n v="0"/>
    <n v="5"/>
    <n v="0"/>
    <n v="0"/>
    <n v="1"/>
    <n v="0"/>
    <m/>
  </r>
  <r>
    <n v="1452"/>
    <d v="2025-03-19T09:34:41"/>
    <d v="2025-03-19T09:38:59"/>
    <s v="jmakoza@lighthouse.org.mw"/>
    <s v="Jonathan Makoza"/>
    <s v="LH_KCH"/>
    <s v="COE"/>
    <x v="2"/>
    <x v="0"/>
    <s v="COP_24"/>
    <s v="Quarter1"/>
    <x v="2"/>
    <s v="Qtr_2"/>
    <x v="5"/>
    <d v="2025-02-01T00:00:00"/>
    <d v="2025-02-28T00:00:00"/>
    <x v="1"/>
    <n v="36"/>
    <n v="4"/>
    <n v="24"/>
    <n v="2"/>
    <n v="5"/>
    <n v="5"/>
    <n v="35"/>
    <n v="17"/>
    <n v="15"/>
    <n v="0"/>
    <n v="0"/>
    <n v="0"/>
    <n v="17"/>
    <n v="4"/>
    <n v="0"/>
    <n v="0"/>
    <n v="3"/>
    <n v="2"/>
    <n v="0"/>
    <n v="0"/>
    <n v="2"/>
    <n v="0"/>
    <n v="0"/>
    <n v="0"/>
    <n v="0"/>
    <m/>
  </r>
  <r>
    <n v="1453"/>
    <d v="2025-03-19T09:39:49"/>
    <d v="2025-03-19T09:45:09"/>
    <s v="jmakoza@lighthouse.org.mw"/>
    <s v="Jonathan Makoza"/>
    <s v="LH_KCH"/>
    <s v="COE"/>
    <x v="1"/>
    <x v="0"/>
    <s v="COP_24"/>
    <s v="Quarter1"/>
    <x v="2"/>
    <s v="Qtr_2"/>
    <x v="5"/>
    <d v="2025-02-01T00:00:00"/>
    <d v="2025-02-28T00:00:00"/>
    <x v="3"/>
    <n v="0"/>
    <n v="0"/>
    <n v="0"/>
    <n v="0"/>
    <n v="0"/>
    <n v="0"/>
    <n v="0"/>
    <n v="0"/>
    <n v="0"/>
    <n v="0"/>
    <n v="0"/>
    <n v="0"/>
    <n v="0"/>
    <n v="0"/>
    <n v="0"/>
    <n v="0"/>
    <n v="0"/>
    <n v="0"/>
    <n v="0"/>
    <n v="0"/>
    <n v="0"/>
    <n v="0"/>
    <n v="0"/>
    <n v="0"/>
    <n v="0"/>
    <m/>
  </r>
  <r>
    <n v="1454"/>
    <d v="2025-03-19T09:45:17"/>
    <d v="2025-03-19T09:47:08"/>
    <s v="jmakoza@lighthouse.org.mw"/>
    <s v="Jonathan Makoza"/>
    <s v="LH_KCH"/>
    <s v="COE"/>
    <x v="2"/>
    <x v="0"/>
    <s v="COP_24"/>
    <s v="Quarter1"/>
    <x v="2"/>
    <s v="Qtr_2"/>
    <x v="5"/>
    <d v="2025-02-01T00:00:00"/>
    <d v="2025-02-28T00:00:00"/>
    <x v="4"/>
    <n v="2"/>
    <n v="0"/>
    <n v="2"/>
    <n v="0"/>
    <n v="0"/>
    <n v="0"/>
    <n v="1"/>
    <n v="0"/>
    <n v="0"/>
    <n v="0"/>
    <n v="0"/>
    <n v="0"/>
    <n v="1"/>
    <n v="0"/>
    <n v="0"/>
    <n v="0"/>
    <n v="0"/>
    <n v="0"/>
    <n v="0"/>
    <n v="0"/>
    <n v="0"/>
    <n v="0"/>
    <n v="0"/>
    <n v="0"/>
    <n v="0"/>
    <m/>
  </r>
  <r>
    <n v="1455"/>
    <d v="2025-03-19T09:48:25"/>
    <d v="2025-03-19T09:51:00"/>
    <s v="jmakoza@lighthouse.org.mw"/>
    <s v="Jonathan Makoza"/>
    <s v="LH_KCH"/>
    <s v="COE"/>
    <x v="2"/>
    <x v="0"/>
    <s v="COP_24"/>
    <s v="Quarter1"/>
    <x v="2"/>
    <s v="Qtr_2"/>
    <x v="5"/>
    <d v="2025-02-01T00:00:00"/>
    <d v="2025-02-28T00:00:00"/>
    <x v="5"/>
    <n v="6"/>
    <n v="0"/>
    <n v="5"/>
    <n v="0"/>
    <n v="0"/>
    <n v="1"/>
    <n v="6"/>
    <n v="0"/>
    <n v="0"/>
    <n v="0"/>
    <n v="0"/>
    <n v="0"/>
    <n v="2"/>
    <n v="0"/>
    <n v="0"/>
    <n v="0"/>
    <n v="0"/>
    <n v="0"/>
    <n v="0"/>
    <n v="0"/>
    <n v="0"/>
    <n v="0"/>
    <n v="0"/>
    <n v="0"/>
    <n v="0"/>
    <m/>
  </r>
  <r>
    <n v="1456"/>
    <d v="2025-03-19T09:51:05"/>
    <d v="2025-03-19T09:56:49"/>
    <s v="jmakoza@lighthouse.org.mw"/>
    <s v="Jonathan Makoza"/>
    <s v="LH_KCH"/>
    <s v="COE"/>
    <x v="2"/>
    <x v="0"/>
    <s v="COP_24"/>
    <s v="Quarter1"/>
    <x v="2"/>
    <s v="Qtr_2"/>
    <x v="5"/>
    <d v="2025-02-01T00:00:00"/>
    <d v="2025-02-28T00:00:00"/>
    <x v="2"/>
    <n v="4"/>
    <n v="0"/>
    <n v="3"/>
    <n v="0"/>
    <n v="0"/>
    <n v="4"/>
    <n v="4"/>
    <n v="1"/>
    <n v="1"/>
    <n v="0"/>
    <n v="0"/>
    <n v="0"/>
    <n v="1"/>
    <n v="0"/>
    <n v="0"/>
    <n v="0"/>
    <n v="0"/>
    <n v="0"/>
    <n v="0"/>
    <n v="0"/>
    <n v="0"/>
    <n v="0"/>
    <n v="0"/>
    <n v="0"/>
    <n v="0"/>
    <m/>
  </r>
  <r>
    <n v="1464"/>
    <d v="2025-03-20T15:31:38"/>
    <d v="2025-03-20T15:37:16"/>
    <s v="jmakoza@lighthouse.org.mw"/>
    <s v="Jonathan Makoza"/>
    <s v="LH_KCH"/>
    <s v="COE"/>
    <x v="2"/>
    <x v="0"/>
    <s v="COP_24"/>
    <s v="Quarter1"/>
    <x v="2"/>
    <s v="Qtr_2"/>
    <x v="4"/>
    <d v="2025-01-01T00:00:00"/>
    <d v="2025-01-31T00:00:00"/>
    <x v="6"/>
    <n v="73"/>
    <n v="51"/>
    <n v="29"/>
    <n v="6"/>
    <n v="15"/>
    <n v="24"/>
    <n v="69"/>
    <n v="25"/>
    <n v="31"/>
    <n v="2"/>
    <n v="5"/>
    <n v="2"/>
    <n v="27"/>
    <n v="7"/>
    <n v="1"/>
    <n v="1"/>
    <n v="8"/>
    <n v="5"/>
    <n v="19"/>
    <n v="4"/>
    <n v="8"/>
    <n v="1"/>
    <n v="0"/>
    <n v="1"/>
    <n v="12"/>
    <m/>
  </r>
  <r>
    <n v="1465"/>
    <d v="2025-03-20T15:37:21"/>
    <d v="2025-03-20T15:39:31"/>
    <s v="jmakoza@lighthouse.org.mw"/>
    <s v="Jonathan Makoza"/>
    <s v="LH_KCH"/>
    <s v="COE"/>
    <x v="2"/>
    <x v="0"/>
    <s v="COP_24"/>
    <s v="Quarter1"/>
    <x v="2"/>
    <s v="Qtr_2"/>
    <x v="5"/>
    <d v="2025-02-01T00:00:00"/>
    <d v="2025-02-28T00:00:00"/>
    <x v="6"/>
    <n v="80"/>
    <n v="43"/>
    <n v="41"/>
    <n v="8"/>
    <n v="5"/>
    <n v="25"/>
    <n v="80"/>
    <n v="29"/>
    <n v="35"/>
    <n v="5"/>
    <n v="8"/>
    <n v="4"/>
    <n v="32"/>
    <n v="5"/>
    <n v="3"/>
    <n v="1"/>
    <n v="6"/>
    <n v="5"/>
    <n v="17"/>
    <n v="7"/>
    <n v="11"/>
    <n v="5"/>
    <n v="0"/>
    <n v="4"/>
    <n v="14"/>
    <m/>
  </r>
  <r>
    <n v="1520"/>
    <d v="2025-04-10T14:34:08"/>
    <d v="2025-04-10T14:37:38"/>
    <s v="jmakoza@lighthouse.org.mw"/>
    <s v="Jonathan Makoza"/>
    <s v="LH_KCH"/>
    <s v="COE"/>
    <x v="2"/>
    <x v="0"/>
    <s v="COP_24"/>
    <s v="Quarter1"/>
    <x v="2"/>
    <s v="Qtr_2"/>
    <x v="3"/>
    <d v="2025-03-01T00:00:00"/>
    <d v="2025-03-31T00:00:00"/>
    <x v="0"/>
    <n v="148"/>
    <n v="17"/>
    <n v="92"/>
    <n v="29"/>
    <n v="17"/>
    <n v="10"/>
    <n v="139"/>
    <n v="55"/>
    <n v="41"/>
    <n v="2"/>
    <n v="3"/>
    <n v="2"/>
    <n v="53"/>
    <n v="4"/>
    <n v="1"/>
    <n v="0"/>
    <n v="2"/>
    <n v="0"/>
    <n v="28"/>
    <n v="3"/>
    <n v="4"/>
    <n v="2"/>
    <n v="0"/>
    <n v="2"/>
    <n v="2"/>
    <m/>
  </r>
  <r>
    <n v="1521"/>
    <d v="2025-04-10T14:37:55"/>
    <d v="2025-04-10T14:41:50"/>
    <s v="jmakoza@lighthouse.org.mw"/>
    <s v="Jonathan Makoza"/>
    <s v="LH_KCH"/>
    <s v="COE"/>
    <x v="2"/>
    <x v="0"/>
    <s v="COP_24"/>
    <s v="Quarter1"/>
    <x v="2"/>
    <s v="Qtr_2"/>
    <x v="3"/>
    <d v="2025-03-01T00:00:00"/>
    <d v="2025-03-31T00:00:00"/>
    <x v="1"/>
    <n v="38"/>
    <n v="7"/>
    <n v="17"/>
    <n v="10"/>
    <n v="7"/>
    <n v="4"/>
    <n v="37"/>
    <n v="22"/>
    <n v="18"/>
    <n v="0"/>
    <n v="1"/>
    <n v="0"/>
    <n v="21"/>
    <n v="2"/>
    <n v="1"/>
    <n v="0"/>
    <n v="0"/>
    <n v="0"/>
    <n v="14"/>
    <n v="3"/>
    <n v="0"/>
    <n v="0"/>
    <n v="0"/>
    <n v="2"/>
    <n v="1"/>
    <m/>
  </r>
  <r>
    <n v="1522"/>
    <d v="2025-04-10T14:41:54"/>
    <d v="2025-04-10T14:44:58"/>
    <s v="jmakoza@lighthouse.org.mw"/>
    <s v="Jonathan Makoza"/>
    <s v="LH_KCH"/>
    <s v="COE"/>
    <x v="2"/>
    <x v="2"/>
    <s v="COP_24"/>
    <s v="Quarter1"/>
    <x v="2"/>
    <s v="Qtr_2"/>
    <x v="3"/>
    <d v="2025-03-01T00:00:00"/>
    <d v="2025-03-31T00:00:00"/>
    <x v="2"/>
    <n v="10"/>
    <n v="0"/>
    <n v="6"/>
    <n v="3"/>
    <n v="1"/>
    <n v="0"/>
    <n v="9"/>
    <n v="4"/>
    <n v="2"/>
    <n v="0"/>
    <n v="0"/>
    <n v="0"/>
    <n v="2"/>
    <n v="0"/>
    <n v="0"/>
    <n v="0"/>
    <n v="0"/>
    <n v="0"/>
    <n v="1"/>
    <n v="0"/>
    <n v="0"/>
    <n v="0"/>
    <n v="0"/>
    <n v="0"/>
    <n v="1"/>
    <m/>
  </r>
  <r>
    <n v="1523"/>
    <d v="2025-04-10T14:45:22"/>
    <d v="2025-04-10T14:47:40"/>
    <s v="jmakoza@lighthouse.org.mw"/>
    <s v="Jonathan Makoza"/>
    <s v="LH_KCH"/>
    <s v="COE"/>
    <x v="2"/>
    <x v="2"/>
    <s v="COP_24"/>
    <s v="Quarter1"/>
    <x v="2"/>
    <s v="Qtr_2"/>
    <x v="3"/>
    <d v="2025-03-01T00:00:00"/>
    <d v="2025-03-31T00:00:00"/>
    <x v="5"/>
    <n v="10"/>
    <n v="1"/>
    <n v="8"/>
    <n v="1"/>
    <n v="1"/>
    <n v="0"/>
    <n v="10"/>
    <n v="3"/>
    <n v="3"/>
    <n v="0"/>
    <n v="0"/>
    <n v="0"/>
    <n v="3"/>
    <n v="0"/>
    <n v="0"/>
    <n v="0"/>
    <n v="0"/>
    <n v="0"/>
    <n v="2"/>
    <n v="0"/>
    <n v="0"/>
    <n v="0"/>
    <n v="0"/>
    <n v="0"/>
    <n v="0"/>
    <m/>
  </r>
  <r>
    <n v="1524"/>
    <d v="2025-04-10T14:47:45"/>
    <d v="2025-04-10T14:50:24"/>
    <s v="jmakoza@lighthouse.org.mw"/>
    <s v="Jonathan Makoza"/>
    <s v="LH_KCH"/>
    <s v="COE"/>
    <x v="2"/>
    <x v="2"/>
    <s v="COP_24"/>
    <s v="Quarter1"/>
    <x v="2"/>
    <s v="Qtr_2"/>
    <x v="3"/>
    <d v="2025-03-01T00:00:00"/>
    <d v="2025-03-31T00:00:00"/>
    <x v="3"/>
    <n v="1"/>
    <n v="0"/>
    <n v="0"/>
    <n v="0"/>
    <n v="0"/>
    <n v="1"/>
    <n v="0"/>
    <n v="0"/>
    <n v="0"/>
    <n v="0"/>
    <n v="0"/>
    <n v="0"/>
    <n v="0"/>
    <n v="0"/>
    <n v="0"/>
    <n v="0"/>
    <n v="0"/>
    <n v="0"/>
    <n v="1"/>
    <n v="0"/>
    <n v="0"/>
    <n v="0"/>
    <n v="0"/>
    <n v="0"/>
    <n v="0"/>
    <m/>
  </r>
  <r>
    <n v="1525"/>
    <d v="2025-04-10T14:50:35"/>
    <d v="2025-04-10T14:53:28"/>
    <s v="jmakoza@lighthouse.org.mw"/>
    <s v="Jonathan Makoza"/>
    <s v="LH_KCH"/>
    <s v="COE"/>
    <x v="2"/>
    <x v="2"/>
    <s v="COP_24"/>
    <s v="Quarter1"/>
    <x v="2"/>
    <s v="Qtr_2"/>
    <x v="3"/>
    <d v="2025-03-01T00:00:00"/>
    <d v="2025-03-31T00:00:00"/>
    <x v="4"/>
    <n v="1"/>
    <n v="0"/>
    <n v="1"/>
    <n v="0"/>
    <n v="0"/>
    <n v="0"/>
    <n v="1"/>
    <n v="0"/>
    <n v="0"/>
    <n v="0"/>
    <n v="0"/>
    <n v="0"/>
    <n v="0"/>
    <n v="0"/>
    <n v="0"/>
    <n v="0"/>
    <n v="0"/>
    <n v="0"/>
    <n v="0"/>
    <n v="0"/>
    <n v="0"/>
    <n v="0"/>
    <n v="0"/>
    <n v="0"/>
    <n v="0"/>
    <m/>
  </r>
  <r>
    <n v="1526"/>
    <d v="2025-04-10T15:44:07"/>
    <d v="2025-04-10T15:46:47"/>
    <s v="jmakoza@lighthouse.org.mw"/>
    <s v="Jonathan Makoza"/>
    <s v="LH_KCH"/>
    <s v="COE"/>
    <x v="2"/>
    <x v="2"/>
    <s v="COP_24"/>
    <s v="Quarter1"/>
    <x v="2"/>
    <s v="Qtr_2"/>
    <x v="3"/>
    <d v="2025-03-01T00:00:00"/>
    <d v="2025-03-31T00:00:00"/>
    <x v="6"/>
    <n v="142"/>
    <n v="88"/>
    <n v="53"/>
    <n v="10"/>
    <n v="29"/>
    <n v="51"/>
    <n v="143"/>
    <n v="65"/>
    <n v="62"/>
    <n v="8"/>
    <n v="18"/>
    <n v="5"/>
    <n v="54"/>
    <n v="7"/>
    <n v="2"/>
    <n v="0"/>
    <n v="5"/>
    <n v="4"/>
    <n v="50"/>
    <n v="14"/>
    <n v="17"/>
    <n v="4"/>
    <n v="1"/>
    <n v="5"/>
    <n v="28"/>
    <m/>
  </r>
  <r>
    <n v="1692"/>
    <d v="2025-06-23T15:36:02"/>
    <d v="2025-06-23T15:36:32"/>
    <s v="tsatumba@lighthouse.org.mw"/>
    <s v="Thomas Satumba"/>
    <s v="LH_KCH"/>
    <s v="COE"/>
    <x v="2"/>
    <x v="2"/>
    <m/>
    <s v="Quarter3"/>
    <x v="3"/>
    <m/>
    <x v="7"/>
    <d v="2025-04-01T00:00:00"/>
    <d v="2025-04-30T00:00:00"/>
    <x v="1"/>
    <n v="29"/>
    <n v="3"/>
    <n v="18"/>
    <n v="3"/>
    <n v="3"/>
    <n v="5"/>
    <n v="29"/>
    <n v="11"/>
    <n v="12"/>
    <n v="0"/>
    <n v="1"/>
    <n v="0"/>
    <n v="12"/>
    <n v="2"/>
    <n v="2"/>
    <n v="0"/>
    <n v="2"/>
    <n v="1"/>
    <n v="7"/>
    <n v="1"/>
    <n v="3"/>
    <n v="0"/>
    <n v="0"/>
    <n v="0"/>
    <n v="0"/>
    <m/>
  </r>
  <r>
    <n v="1693"/>
    <d v="2025-06-23T15:36:35"/>
    <d v="2025-06-23T15:38:33"/>
    <s v="tsatumba@lighthouse.org.mw"/>
    <s v="Thomas Satumba"/>
    <s v="LH_KCH"/>
    <s v="COE"/>
    <x v="2"/>
    <x v="2"/>
    <m/>
    <s v="Quarter3"/>
    <x v="3"/>
    <m/>
    <x v="7"/>
    <d v="2025-04-01T00:00:00"/>
    <d v="2025-04-30T00:00:00"/>
    <x v="3"/>
    <n v="0"/>
    <n v="0"/>
    <n v="0"/>
    <n v="0"/>
    <n v="0"/>
    <n v="0"/>
    <n v="0"/>
    <n v="0"/>
    <n v="0"/>
    <n v="0"/>
    <n v="0"/>
    <n v="0"/>
    <n v="0"/>
    <n v="0"/>
    <n v="0"/>
    <n v="0"/>
    <n v="0"/>
    <n v="0"/>
    <n v="0"/>
    <n v="0"/>
    <n v="0"/>
    <n v="0"/>
    <n v="0"/>
    <n v="0"/>
    <n v="0"/>
    <m/>
  </r>
  <r>
    <n v="1694"/>
    <d v="2025-06-23T15:38:36"/>
    <d v="2025-06-23T15:40:16"/>
    <s v="tsatumba@lighthouse.org.mw"/>
    <s v="Thomas Satumba"/>
    <s v="LH_KCH"/>
    <s v="COE"/>
    <x v="2"/>
    <x v="2"/>
    <m/>
    <s v="Quarter3"/>
    <x v="3"/>
    <m/>
    <x v="7"/>
    <d v="2025-04-01T00:00:00"/>
    <d v="2025-04-30T00:00:00"/>
    <x v="4"/>
    <n v="0"/>
    <n v="0"/>
    <n v="0"/>
    <n v="0"/>
    <n v="0"/>
    <n v="0"/>
    <n v="0"/>
    <n v="0"/>
    <n v="0"/>
    <n v="0"/>
    <n v="0"/>
    <n v="0"/>
    <n v="0"/>
    <n v="0"/>
    <n v="0"/>
    <n v="0"/>
    <n v="0"/>
    <n v="0"/>
    <n v="0"/>
    <n v="0"/>
    <n v="0"/>
    <n v="0"/>
    <n v="0"/>
    <n v="0"/>
    <n v="0"/>
    <m/>
  </r>
  <r>
    <n v="1696"/>
    <d v="2025-06-23T15:44:31"/>
    <d v="2025-06-23T15:57:18"/>
    <s v="tsatumba@lighthouse.org.mw"/>
    <s v="Thomas Satumba"/>
    <s v="LH_KCH"/>
    <s v="COE"/>
    <x v="2"/>
    <x v="2"/>
    <m/>
    <s v="Quarter3"/>
    <x v="3"/>
    <m/>
    <x v="7"/>
    <d v="2025-04-01T00:00:00"/>
    <d v="2025-04-01T00:00:00"/>
    <x v="2"/>
    <n v="6"/>
    <n v="0"/>
    <n v="3"/>
    <n v="1"/>
    <n v="1"/>
    <n v="1"/>
    <n v="6"/>
    <n v="4"/>
    <n v="4"/>
    <n v="1"/>
    <n v="1"/>
    <n v="1"/>
    <n v="4"/>
    <n v="2"/>
    <n v="0"/>
    <n v="0"/>
    <n v="1"/>
    <n v="1"/>
    <n v="4"/>
    <n v="1"/>
    <n v="0"/>
    <n v="0"/>
    <n v="0"/>
    <n v="0"/>
    <n v="0"/>
    <m/>
  </r>
  <r>
    <n v="1697"/>
    <d v="2025-06-24T11:08:29"/>
    <d v="2025-06-24T11:16:31"/>
    <s v="jmakoza@lighthouse.org.mw"/>
    <s v="Jonathan Makoza"/>
    <s v="LH_KCH"/>
    <s v="COE"/>
    <x v="2"/>
    <x v="2"/>
    <m/>
    <s v="Quarter3"/>
    <x v="3"/>
    <m/>
    <x v="6"/>
    <d v="2025-05-01T00:00:00"/>
    <d v="2025-05-31T00:00:00"/>
    <x v="0"/>
    <n v="162"/>
    <n v="31"/>
    <n v="145"/>
    <n v="14"/>
    <n v="25"/>
    <n v="18"/>
    <n v="159"/>
    <n v="60"/>
    <n v="56"/>
    <n v="7"/>
    <n v="7"/>
    <n v="1"/>
    <n v="61"/>
    <n v="10"/>
    <n v="1"/>
    <n v="0"/>
    <n v="5"/>
    <n v="3"/>
    <n v="5"/>
    <n v="3"/>
    <n v="11"/>
    <n v="3"/>
    <n v="1"/>
    <n v="0"/>
    <n v="1"/>
    <m/>
  </r>
  <r>
    <n v="1698"/>
    <d v="2025-06-24T11:16:44"/>
    <d v="2025-06-24T11:22:43"/>
    <s v="jmakoza@lighthouse.org.mw"/>
    <s v="Jonathan Makoza"/>
    <s v="LH_KCH"/>
    <s v="COE"/>
    <x v="2"/>
    <x v="2"/>
    <m/>
    <s v="Quarter3"/>
    <x v="3"/>
    <m/>
    <x v="6"/>
    <d v="2025-05-01T00:00:00"/>
    <d v="2025-05-31T00:00:00"/>
    <x v="2"/>
    <n v="2"/>
    <n v="2"/>
    <n v="0"/>
    <n v="0"/>
    <n v="2"/>
    <n v="0"/>
    <n v="2"/>
    <n v="2"/>
    <n v="2"/>
    <n v="0"/>
    <n v="1"/>
    <n v="0"/>
    <n v="1"/>
    <n v="0"/>
    <n v="0"/>
    <n v="0"/>
    <n v="0"/>
    <n v="0"/>
    <n v="0"/>
    <n v="0"/>
    <n v="0"/>
    <n v="1"/>
    <n v="0"/>
    <n v="0"/>
    <n v="0"/>
    <m/>
  </r>
  <r>
    <n v="1699"/>
    <d v="2025-06-24T11:22:49"/>
    <d v="2025-06-24T11:25:23"/>
    <s v="jmakoza@lighthouse.org.mw"/>
    <s v="Jonathan Makoza"/>
    <s v="LH_KCH"/>
    <s v="COE"/>
    <x v="2"/>
    <x v="2"/>
    <m/>
    <s v="Quarter3"/>
    <x v="3"/>
    <m/>
    <x v="6"/>
    <d v="2025-05-01T00:00:00"/>
    <d v="2025-05-31T00:00:00"/>
    <x v="5"/>
    <n v="15"/>
    <n v="2"/>
    <n v="11"/>
    <n v="1"/>
    <n v="3"/>
    <n v="0"/>
    <n v="15"/>
    <n v="7"/>
    <n v="15"/>
    <n v="7"/>
    <n v="0"/>
    <n v="0"/>
    <n v="6"/>
    <n v="0"/>
    <n v="0"/>
    <n v="0"/>
    <n v="0"/>
    <n v="0"/>
    <n v="0"/>
    <n v="0"/>
    <n v="0"/>
    <n v="0"/>
    <n v="0"/>
    <n v="0"/>
    <n v="0"/>
    <m/>
  </r>
  <r>
    <n v="1700"/>
    <d v="2025-06-24T13:43:00"/>
    <d v="2025-06-24T13:55:37"/>
    <s v="jmakoza@lighthouse.org.mw"/>
    <s v="Jonathan Makoza"/>
    <s v="LH_KCH"/>
    <s v="COE"/>
    <x v="2"/>
    <x v="2"/>
    <m/>
    <s v="Quarter3"/>
    <x v="3"/>
    <m/>
    <x v="6"/>
    <d v="2025-05-01T00:00:00"/>
    <d v="2025-05-31T00:00:00"/>
    <x v="4"/>
    <n v="3"/>
    <n v="0"/>
    <n v="2"/>
    <n v="0"/>
    <n v="1"/>
    <n v="0"/>
    <n v="3"/>
    <n v="1"/>
    <n v="0"/>
    <n v="0"/>
    <n v="0"/>
    <n v="0"/>
    <n v="0"/>
    <n v="0"/>
    <n v="0"/>
    <n v="0"/>
    <n v="0"/>
    <n v="0"/>
    <n v="0"/>
    <n v="0"/>
    <n v="0"/>
    <n v="0"/>
    <n v="0"/>
    <n v="0"/>
    <n v="0"/>
    <m/>
  </r>
  <r>
    <n v="1701"/>
    <d v="2025-06-24T13:55:42"/>
    <d v="2025-06-24T13:58:47"/>
    <s v="jmakoza@lighthouse.org.mw"/>
    <s v="Jonathan Makoza"/>
    <s v="LH_KCH"/>
    <s v="COE"/>
    <x v="2"/>
    <x v="2"/>
    <m/>
    <s v="Quarter3"/>
    <x v="3"/>
    <m/>
    <x v="6"/>
    <d v="2025-05-01T00:00:00"/>
    <d v="2025-05-31T00:00:00"/>
    <x v="3"/>
    <n v="0"/>
    <n v="0"/>
    <n v="0"/>
    <n v="0"/>
    <n v="0"/>
    <n v="0"/>
    <n v="0"/>
    <n v="0"/>
    <n v="0"/>
    <n v="0"/>
    <n v="0"/>
    <n v="0"/>
    <n v="0"/>
    <n v="0"/>
    <n v="0"/>
    <n v="0"/>
    <n v="0"/>
    <n v="0"/>
    <n v="0"/>
    <n v="0"/>
    <n v="0"/>
    <n v="0"/>
    <n v="0"/>
    <n v="0"/>
    <n v="0"/>
    <m/>
  </r>
  <r>
    <n v="1702"/>
    <d v="2025-06-24T13:58:52"/>
    <d v="2025-06-24T14:01:53"/>
    <s v="jmakoza@lighthouse.org.mw"/>
    <s v="Jonathan Makoza"/>
    <s v="LH_KCH"/>
    <s v="COE"/>
    <x v="2"/>
    <x v="2"/>
    <m/>
    <s v="Quarter3"/>
    <x v="3"/>
    <m/>
    <x v="6"/>
    <d v="2025-05-01T00:00:00"/>
    <d v="2025-05-31T00:00:00"/>
    <x v="1"/>
    <n v="78"/>
    <n v="20"/>
    <n v="44"/>
    <n v="8"/>
    <n v="13"/>
    <n v="11"/>
    <n v="78"/>
    <n v="36"/>
    <n v="33"/>
    <n v="3"/>
    <n v="2"/>
    <n v="0"/>
    <n v="36"/>
    <n v="10"/>
    <n v="1"/>
    <n v="0"/>
    <n v="5"/>
    <n v="3"/>
    <n v="5"/>
    <n v="3"/>
    <n v="9"/>
    <n v="2"/>
    <n v="1"/>
    <n v="0"/>
    <n v="1"/>
    <m/>
  </r>
  <r>
    <n v="1703"/>
    <d v="2025-07-01T08:50:53"/>
    <d v="2025-07-01T08:55:09"/>
    <s v="jmakoza@lighthouse.org.mw"/>
    <s v="Jonathan Makoza"/>
    <s v="LH_KCH"/>
    <s v="COE"/>
    <x v="2"/>
    <x v="2"/>
    <m/>
    <s v="Quarter2"/>
    <x v="3"/>
    <m/>
    <x v="7"/>
    <d v="2025-04-01T00:00:00"/>
    <d v="2025-04-30T00:00:00"/>
    <x v="0"/>
    <n v="161"/>
    <n v="20"/>
    <n v="111"/>
    <n v="23"/>
    <n v="9"/>
    <n v="18"/>
    <n v="156"/>
    <n v="46"/>
    <n v="54"/>
    <n v="4"/>
    <n v="3"/>
    <n v="1"/>
    <n v="56"/>
    <n v="9"/>
    <n v="1"/>
    <n v="0"/>
    <n v="4"/>
    <n v="2"/>
    <n v="35"/>
    <n v="4"/>
    <n v="8"/>
    <n v="1"/>
    <n v="1"/>
    <n v="0"/>
    <n v="0"/>
    <m/>
  </r>
  <r>
    <n v="1704"/>
    <d v="2025-07-01T08:55:16"/>
    <d v="2025-07-01T08:57:59"/>
    <s v="jmakoza@lighthouse.org.mw"/>
    <s v="Jonathan Makoza"/>
    <s v="LH_KCH"/>
    <s v="COE"/>
    <x v="2"/>
    <x v="2"/>
    <m/>
    <s v="Quarter2"/>
    <x v="3"/>
    <m/>
    <x v="7"/>
    <d v="2025-04-01T00:00:00"/>
    <d v="2025-04-30T00:00:00"/>
    <x v="5"/>
    <n v="1"/>
    <n v="1"/>
    <n v="0"/>
    <n v="1"/>
    <n v="0"/>
    <n v="0"/>
    <n v="1"/>
    <n v="1"/>
    <n v="0"/>
    <n v="0"/>
    <n v="1"/>
    <n v="0"/>
    <n v="1"/>
    <n v="0"/>
    <n v="0"/>
    <n v="0"/>
    <n v="0"/>
    <n v="0"/>
    <n v="0"/>
    <n v="0"/>
    <n v="0"/>
    <n v="0"/>
    <n v="0"/>
    <n v="0"/>
    <n v="0"/>
    <m/>
  </r>
  <r>
    <n v="1789"/>
    <d v="2025-07-10T13:27:00"/>
    <d v="2025-07-10T13:38:20"/>
    <s v="jmakoza@lighthouse.org.mw"/>
    <s v="Jonathan Makoza"/>
    <s v="LH_KCH"/>
    <s v="COE"/>
    <x v="2"/>
    <x v="1"/>
    <m/>
    <s v="Quarter2"/>
    <x v="3"/>
    <m/>
    <x v="8"/>
    <d v="2025-06-01T00:00:00"/>
    <d v="2025-06-30T00:00:00"/>
    <x v="0"/>
    <n v="197"/>
    <n v="39"/>
    <n v="124"/>
    <n v="37"/>
    <n v="21"/>
    <n v="15"/>
    <n v="195"/>
    <n v="69"/>
    <n v="74"/>
    <n v="6"/>
    <n v="5"/>
    <n v="8"/>
    <n v="74"/>
    <n v="7"/>
    <n v="2"/>
    <n v="0"/>
    <n v="8"/>
    <n v="4"/>
    <n v="55"/>
    <n v="9"/>
    <n v="11"/>
    <n v="1"/>
    <n v="4"/>
    <n v="0"/>
    <n v="1"/>
    <m/>
  </r>
  <r>
    <n v="1790"/>
    <d v="2025-07-10T13:38:24"/>
    <d v="2025-07-10T13:43:54"/>
    <s v="jmakoza@lighthouse.org.mw"/>
    <s v="Jonathan Makoza"/>
    <s v="LH_KCH"/>
    <s v="COE"/>
    <x v="2"/>
    <x v="0"/>
    <m/>
    <s v="Quarter2"/>
    <x v="3"/>
    <m/>
    <x v="8"/>
    <d v="2025-06-01T00:00:00"/>
    <d v="2025-06-30T00:00:00"/>
    <x v="1"/>
    <n v="38"/>
    <n v="11"/>
    <n v="20"/>
    <n v="8"/>
    <n v="7"/>
    <n v="3"/>
    <n v="36"/>
    <n v="18"/>
    <n v="17"/>
    <n v="3"/>
    <n v="1"/>
    <n v="0"/>
    <n v="17"/>
    <n v="3"/>
    <n v="0"/>
    <n v="0"/>
    <n v="0"/>
    <n v="1"/>
    <n v="12"/>
    <n v="2"/>
    <n v="4"/>
    <n v="0"/>
    <n v="0"/>
    <n v="0"/>
    <n v="0"/>
    <m/>
  </r>
  <r>
    <n v="1791"/>
    <d v="2025-07-10T13:44:31"/>
    <d v="2025-07-10T13:47:52"/>
    <s v="jmakoza@lighthouse.org.mw"/>
    <s v="Jonathan Makoza"/>
    <s v="LH_KCH"/>
    <s v="COE"/>
    <x v="2"/>
    <x v="0"/>
    <m/>
    <s v="Quarter2"/>
    <x v="3"/>
    <m/>
    <x v="8"/>
    <d v="2025-06-01T00:00:00"/>
    <d v="2025-06-30T00:00:00"/>
    <x v="4"/>
    <n v="6"/>
    <n v="0"/>
    <n v="6"/>
    <n v="0"/>
    <n v="0"/>
    <n v="0"/>
    <n v="3"/>
    <n v="0"/>
    <n v="0"/>
    <n v="0"/>
    <n v="0"/>
    <n v="0"/>
    <n v="0"/>
    <n v="0"/>
    <n v="0"/>
    <n v="0"/>
    <n v="0"/>
    <n v="0"/>
    <n v="0"/>
    <n v="0"/>
    <n v="0"/>
    <n v="0"/>
    <n v="0"/>
    <n v="0"/>
    <n v="0"/>
    <m/>
  </r>
  <r>
    <n v="1792"/>
    <d v="2025-07-10T13:48:04"/>
    <d v="2025-07-10T13:50:53"/>
    <s v="jmakoza@lighthouse.org.mw"/>
    <s v="Jonathan Makoza"/>
    <s v="LH_KCH"/>
    <s v="COE"/>
    <x v="2"/>
    <x v="0"/>
    <m/>
    <s v="Quarter2"/>
    <x v="3"/>
    <m/>
    <x v="8"/>
    <d v="2025-06-01T00:00:00"/>
    <d v="2025-06-30T00:00:00"/>
    <x v="5"/>
    <n v="27"/>
    <n v="6"/>
    <n v="14"/>
    <n v="8"/>
    <n v="4"/>
    <n v="1"/>
    <n v="26"/>
    <n v="10"/>
    <n v="11"/>
    <n v="2"/>
    <n v="0"/>
    <n v="0"/>
    <n v="11"/>
    <n v="0"/>
    <n v="0"/>
    <n v="0"/>
    <n v="2"/>
    <n v="0"/>
    <n v="6"/>
    <n v="0"/>
    <n v="0"/>
    <n v="0"/>
    <n v="1"/>
    <n v="0"/>
    <n v="0"/>
    <m/>
  </r>
  <r>
    <n v="1794"/>
    <d v="2025-07-10T13:51:45"/>
    <d v="2025-07-10T13:57:47"/>
    <s v="jmakoza@lighthouse.org.mw"/>
    <s v="Jonathan Makoza"/>
    <s v="LH_KCH"/>
    <s v="COE"/>
    <x v="2"/>
    <x v="0"/>
    <m/>
    <s v="Quarter2"/>
    <x v="3"/>
    <m/>
    <x v="8"/>
    <d v="2025-06-01T00:00:00"/>
    <d v="2025-06-30T00:00:00"/>
    <x v="2"/>
    <n v="15"/>
    <n v="7"/>
    <n v="7"/>
    <n v="4"/>
    <n v="4"/>
    <n v="0"/>
    <n v="12"/>
    <n v="9"/>
    <n v="9"/>
    <n v="1"/>
    <n v="0"/>
    <n v="0"/>
    <n v="9"/>
    <n v="0"/>
    <n v="0"/>
    <n v="0"/>
    <n v="0"/>
    <n v="0"/>
    <n v="6"/>
    <n v="0"/>
    <n v="0"/>
    <n v="0"/>
    <n v="0"/>
    <n v="0"/>
    <n v="0"/>
    <m/>
  </r>
  <r>
    <n v="1795"/>
    <d v="2025-07-10T13:57:57"/>
    <d v="2025-07-10T14:09:57"/>
    <s v="jmakoza@lighthouse.org.mw"/>
    <s v="Jonathan Makoza"/>
    <s v="LH_KCH"/>
    <s v="COE"/>
    <x v="2"/>
    <x v="0"/>
    <m/>
    <s v="Quarter2"/>
    <x v="3"/>
    <m/>
    <x v="8"/>
    <d v="2025-06-01T00:00:00"/>
    <d v="2025-06-30T00:00:00"/>
    <x v="3"/>
    <n v="0"/>
    <n v="0"/>
    <n v="0"/>
    <n v="0"/>
    <n v="0"/>
    <n v="0"/>
    <n v="0"/>
    <n v="0"/>
    <n v="0"/>
    <n v="0"/>
    <n v="0"/>
    <n v="0"/>
    <n v="0"/>
    <n v="0"/>
    <n v="0"/>
    <n v="0"/>
    <n v="0"/>
    <n v="0"/>
    <n v="0"/>
    <n v="0"/>
    <n v="0"/>
    <n v="0"/>
    <n v="0"/>
    <n v="0"/>
    <n v="0"/>
    <m/>
  </r>
  <r>
    <n v="1796"/>
    <d v="2025-07-10T14:16:40"/>
    <d v="2025-07-10T14:54:09"/>
    <s v="jmakoza@lighthouse.org.mw"/>
    <s v="Jonathan Makoza"/>
    <s v="LH_KCH"/>
    <s v="COE"/>
    <x v="2"/>
    <x v="0"/>
    <m/>
    <s v="Quarter2"/>
    <x v="3"/>
    <m/>
    <x v="8"/>
    <d v="2025-06-01T00:00:00"/>
    <d v="2025-06-30T00:00:00"/>
    <x v="6"/>
    <n v="114"/>
    <n v="61"/>
    <n v="43"/>
    <n v="10"/>
    <n v="29"/>
    <n v="32"/>
    <n v="111"/>
    <n v="62"/>
    <n v="67"/>
    <n v="4"/>
    <n v="8"/>
    <n v="3"/>
    <n v="60"/>
    <n v="7"/>
    <n v="2"/>
    <n v="0"/>
    <n v="13"/>
    <n v="9"/>
    <n v="46"/>
    <n v="17"/>
    <n v="18"/>
    <n v="3"/>
    <n v="0"/>
    <n v="3"/>
    <n v="25"/>
    <m/>
  </r>
  <r>
    <n v="137"/>
    <d v="2024-02-02T12:41:52"/>
    <d v="2024-02-02T12:44:18"/>
    <s v="ymanda@lighthouse.org.mw"/>
    <s v="Yollam Manda"/>
    <s v="Lumbadzi"/>
    <s v="Prototype"/>
    <x v="1"/>
    <x v="0"/>
    <s v="COP_23"/>
    <s v="Quarter1"/>
    <x v="2"/>
    <s v="Qtr_2"/>
    <x v="4"/>
    <d v="2024-01-01T00:00:00"/>
    <d v="2024-01-31T00:00:00"/>
    <x v="0"/>
    <n v="18"/>
    <n v="0"/>
    <n v="14"/>
    <n v="0"/>
    <n v="3"/>
    <n v="1"/>
    <n v="11"/>
    <n v="3"/>
    <n v="3"/>
    <n v="0"/>
    <n v="0"/>
    <n v="0"/>
    <n v="2"/>
    <n v="0"/>
    <n v="0"/>
    <n v="0"/>
    <n v="0"/>
    <n v="0"/>
    <n v="0"/>
    <n v="0"/>
    <n v="1"/>
    <n v="0"/>
    <n v="0"/>
    <n v="0"/>
    <n v="17"/>
    <m/>
  </r>
  <r>
    <n v="159"/>
    <d v="2024-03-01T10:57:52"/>
    <d v="2024-03-01T11:02:18"/>
    <s v="ymanda@lighthouse.org.mw"/>
    <s v="Yollam Manda"/>
    <s v="Lumbadzi"/>
    <s v="Prototype"/>
    <x v="1"/>
    <x v="0"/>
    <s v="COP_23"/>
    <s v="Quarter1"/>
    <x v="2"/>
    <s v="Qtr_2"/>
    <x v="5"/>
    <d v="2024-02-01T00:00:00"/>
    <d v="2024-02-29T00:00:00"/>
    <x v="5"/>
    <n v="1"/>
    <n v="0"/>
    <n v="0"/>
    <n v="0"/>
    <n v="0"/>
    <n v="1"/>
    <n v="1"/>
    <n v="1"/>
    <n v="0"/>
    <n v="0"/>
    <n v="0"/>
    <n v="0"/>
    <n v="1"/>
    <n v="1"/>
    <n v="0"/>
    <n v="0"/>
    <n v="0"/>
    <n v="0"/>
    <n v="0"/>
    <n v="0"/>
    <n v="1"/>
    <n v="0"/>
    <n v="0"/>
    <n v="0"/>
    <n v="0"/>
    <m/>
  </r>
  <r>
    <n v="247"/>
    <d v="2024-04-19T11:38:56"/>
    <d v="2024-04-19T11:40:31"/>
    <s v="ymanda@lighthouse.org.mw"/>
    <s v="Yollam Manda"/>
    <s v="Lumbadzi"/>
    <s v="Prototype"/>
    <x v="1"/>
    <x v="0"/>
    <s v="COP_23"/>
    <s v="Quarter1"/>
    <x v="2"/>
    <s v="Qtr_2"/>
    <x v="4"/>
    <d v="2024-01-01T00:00:00"/>
    <d v="2024-01-31T00:00:00"/>
    <x v="3"/>
    <n v="0"/>
    <n v="0"/>
    <n v="0"/>
    <n v="0"/>
    <n v="0"/>
    <n v="0"/>
    <n v="0"/>
    <n v="0"/>
    <n v="0"/>
    <n v="0"/>
    <n v="0"/>
    <n v="0"/>
    <n v="0"/>
    <n v="0"/>
    <n v="0"/>
    <n v="0"/>
    <n v="0"/>
    <n v="0"/>
    <n v="0"/>
    <n v="0"/>
    <n v="0"/>
    <n v="0"/>
    <n v="0"/>
    <n v="0"/>
    <n v="0"/>
    <m/>
  </r>
  <r>
    <n v="248"/>
    <d v="2024-04-19T11:40:34"/>
    <d v="2024-04-19T11:41:45"/>
    <s v="ymanda@lighthouse.org.mw"/>
    <s v="Yollam Manda"/>
    <s v="Lumbadzi"/>
    <s v="Prototype"/>
    <x v="1"/>
    <x v="0"/>
    <s v="COP_23"/>
    <s v="Quarter1"/>
    <x v="2"/>
    <s v="Qtr_2"/>
    <x v="4"/>
    <d v="2024-01-01T00:00:00"/>
    <d v="2024-01-31T00:00:00"/>
    <x v="4"/>
    <n v="0"/>
    <n v="0"/>
    <n v="0"/>
    <n v="0"/>
    <n v="0"/>
    <n v="0"/>
    <n v="0"/>
    <n v="0"/>
    <n v="0"/>
    <n v="0"/>
    <n v="0"/>
    <n v="0"/>
    <n v="0"/>
    <n v="0"/>
    <n v="0"/>
    <n v="0"/>
    <n v="0"/>
    <n v="0"/>
    <n v="0"/>
    <n v="0"/>
    <n v="0"/>
    <n v="0"/>
    <n v="0"/>
    <n v="0"/>
    <n v="0"/>
    <m/>
  </r>
  <r>
    <n v="249"/>
    <d v="2024-04-19T11:41:47"/>
    <d v="2024-04-19T11:42:41"/>
    <s v="ymanda@lighthouse.org.mw"/>
    <s v="Yollam Manda"/>
    <s v="Lumbadzi"/>
    <s v="Prototype"/>
    <x v="1"/>
    <x v="0"/>
    <s v="COP_23"/>
    <s v="Quarter1"/>
    <x v="2"/>
    <s v="Qtr_2"/>
    <x v="4"/>
    <d v="2024-01-01T00:00:00"/>
    <d v="2024-01-31T00:00:00"/>
    <x v="5"/>
    <n v="0"/>
    <n v="0"/>
    <n v="0"/>
    <n v="0"/>
    <n v="0"/>
    <n v="0"/>
    <n v="0"/>
    <n v="0"/>
    <n v="0"/>
    <n v="0"/>
    <n v="0"/>
    <n v="0"/>
    <n v="0"/>
    <n v="0"/>
    <n v="0"/>
    <n v="0"/>
    <n v="0"/>
    <n v="0"/>
    <n v="0"/>
    <n v="0"/>
    <n v="0"/>
    <n v="0"/>
    <n v="0"/>
    <n v="0"/>
    <n v="0"/>
    <m/>
  </r>
  <r>
    <n v="251"/>
    <d v="2024-04-19T11:43:53"/>
    <d v="2024-04-19T11:48:25"/>
    <s v="ymanda@lighthouse.org.mw"/>
    <s v="Yollam Manda"/>
    <s v="Lumbadzi"/>
    <s v="Prototype"/>
    <x v="1"/>
    <x v="0"/>
    <s v="COP_23"/>
    <s v="Quarter1"/>
    <x v="2"/>
    <s v="Qtr_2"/>
    <x v="5"/>
    <d v="2024-02-01T00:00:00"/>
    <d v="2024-02-29T00:00:00"/>
    <x v="3"/>
    <n v="0"/>
    <n v="0"/>
    <n v="0"/>
    <n v="0"/>
    <n v="0"/>
    <n v="0"/>
    <n v="0"/>
    <n v="0"/>
    <n v="0"/>
    <n v="0"/>
    <n v="0"/>
    <n v="0"/>
    <n v="0"/>
    <n v="0"/>
    <n v="0"/>
    <n v="0"/>
    <n v="0"/>
    <n v="0"/>
    <n v="0"/>
    <n v="0"/>
    <n v="0"/>
    <n v="0"/>
    <n v="0"/>
    <n v="0"/>
    <n v="0"/>
    <m/>
  </r>
  <r>
    <n v="252"/>
    <d v="2024-04-19T11:48:41"/>
    <d v="2024-04-19T11:49:42"/>
    <s v="ymanda@lighthouse.org.mw"/>
    <s v="Yollam Manda"/>
    <s v="Lumbadzi"/>
    <s v="Prototype"/>
    <x v="1"/>
    <x v="0"/>
    <s v="COP_23"/>
    <s v="Quarter1"/>
    <x v="2"/>
    <s v="Qtr_2"/>
    <x v="5"/>
    <d v="2024-02-01T00:00:00"/>
    <d v="2024-02-29T00:00:00"/>
    <x v="4"/>
    <n v="0"/>
    <n v="0"/>
    <n v="0"/>
    <n v="0"/>
    <n v="0"/>
    <n v="0"/>
    <n v="0"/>
    <n v="0"/>
    <n v="0"/>
    <n v="0"/>
    <n v="0"/>
    <n v="0"/>
    <n v="0"/>
    <n v="0"/>
    <n v="0"/>
    <n v="0"/>
    <n v="0"/>
    <n v="0"/>
    <n v="0"/>
    <n v="0"/>
    <n v="0"/>
    <n v="0"/>
    <n v="0"/>
    <n v="0"/>
    <n v="0"/>
    <m/>
  </r>
  <r>
    <n v="254"/>
    <d v="2024-04-19T11:51:44"/>
    <d v="2024-04-19T11:55:57"/>
    <s v="ymanda@lighthouse.org.mw"/>
    <s v="Yollam Manda"/>
    <s v="Lumbadzi"/>
    <s v="Prototype"/>
    <x v="1"/>
    <x v="0"/>
    <s v="COP_23"/>
    <s v="Quarter1"/>
    <x v="2"/>
    <s v="Qtr_2"/>
    <x v="5"/>
    <d v="2024-02-01T00:00:00"/>
    <d v="2024-02-29T00:00:00"/>
    <x v="0"/>
    <n v="13"/>
    <n v="1"/>
    <n v="6"/>
    <n v="1"/>
    <n v="5"/>
    <n v="1"/>
    <n v="13"/>
    <n v="8"/>
    <n v="7"/>
    <n v="0"/>
    <n v="0"/>
    <n v="0"/>
    <n v="7"/>
    <n v="1"/>
    <n v="0"/>
    <n v="0"/>
    <n v="0"/>
    <n v="0"/>
    <n v="0"/>
    <n v="0"/>
    <n v="1"/>
    <n v="0"/>
    <n v="0"/>
    <n v="0"/>
    <n v="12"/>
    <m/>
  </r>
  <r>
    <n v="255"/>
    <d v="2024-04-19T11:56:00"/>
    <d v="2024-04-19T11:59:43"/>
    <s v="ymanda@lighthouse.org.mw"/>
    <s v="Yollam Manda"/>
    <s v="Lumbadzi"/>
    <s v="Prototype"/>
    <x v="1"/>
    <x v="0"/>
    <s v="COP_23"/>
    <s v="Quarter1"/>
    <x v="2"/>
    <s v="Qtr_2"/>
    <x v="3"/>
    <d v="2024-03-01T00:00:00"/>
    <d v="2024-03-31T00:00:00"/>
    <x v="3"/>
    <n v="0"/>
    <n v="0"/>
    <n v="0"/>
    <n v="0"/>
    <n v="0"/>
    <n v="0"/>
    <n v="0"/>
    <n v="0"/>
    <n v="0"/>
    <n v="0"/>
    <n v="0"/>
    <n v="0"/>
    <n v="0"/>
    <n v="0"/>
    <n v="0"/>
    <n v="0"/>
    <n v="0"/>
    <n v="0"/>
    <n v="0"/>
    <n v="0"/>
    <n v="0"/>
    <n v="0"/>
    <n v="0"/>
    <n v="0"/>
    <n v="0"/>
    <m/>
  </r>
  <r>
    <n v="256"/>
    <d v="2024-04-19T11:59:46"/>
    <d v="2024-04-19T12:00:51"/>
    <s v="ymanda@lighthouse.org.mw"/>
    <s v="Yollam Manda"/>
    <s v="Lumbadzi"/>
    <s v="Prototype"/>
    <x v="1"/>
    <x v="0"/>
    <s v="COP_23"/>
    <s v="Quarter1"/>
    <x v="2"/>
    <s v="Qtr_2"/>
    <x v="3"/>
    <d v="2024-03-01T00:00:00"/>
    <d v="2024-03-31T00:00:00"/>
    <x v="4"/>
    <n v="0"/>
    <n v="0"/>
    <n v="0"/>
    <n v="0"/>
    <n v="0"/>
    <n v="0"/>
    <n v="0"/>
    <n v="0"/>
    <n v="0"/>
    <n v="0"/>
    <n v="0"/>
    <n v="0"/>
    <n v="0"/>
    <n v="0"/>
    <n v="0"/>
    <n v="0"/>
    <n v="0"/>
    <n v="0"/>
    <n v="0"/>
    <n v="0"/>
    <n v="0"/>
    <n v="0"/>
    <n v="0"/>
    <n v="0"/>
    <n v="0"/>
    <m/>
  </r>
  <r>
    <n v="257"/>
    <d v="2024-04-19T12:01:11"/>
    <d v="2024-04-19T12:02:18"/>
    <s v="ymanda@lighthouse.org.mw"/>
    <s v="Yollam Manda"/>
    <s v="Lumbadzi"/>
    <s v="Prototype"/>
    <x v="1"/>
    <x v="0"/>
    <s v="COP_23"/>
    <s v="Quarter1"/>
    <x v="2"/>
    <s v="Qtr_2"/>
    <x v="3"/>
    <d v="2024-03-01T00:00:00"/>
    <d v="2024-03-31T00:00:00"/>
    <x v="5"/>
    <n v="0"/>
    <n v="0"/>
    <n v="0"/>
    <n v="0"/>
    <n v="0"/>
    <n v="0"/>
    <n v="0"/>
    <n v="0"/>
    <n v="0"/>
    <n v="0"/>
    <n v="0"/>
    <n v="0"/>
    <n v="0"/>
    <n v="0"/>
    <n v="0"/>
    <n v="0"/>
    <n v="0"/>
    <n v="0"/>
    <n v="0"/>
    <n v="0"/>
    <n v="0"/>
    <n v="0"/>
    <n v="0"/>
    <n v="0"/>
    <n v="0"/>
    <m/>
  </r>
  <r>
    <n v="258"/>
    <d v="2024-04-19T12:02:21"/>
    <d v="2024-04-19T12:04:51"/>
    <s v="ymanda@lighthouse.org.mw"/>
    <s v="Yollam Manda"/>
    <s v="Lumbadzi"/>
    <s v="Prototype"/>
    <x v="1"/>
    <x v="0"/>
    <s v="COP_23"/>
    <s v="Quarter1"/>
    <x v="2"/>
    <s v="Qtr_2"/>
    <x v="3"/>
    <d v="2024-03-01T00:00:00"/>
    <d v="2024-03-31T00:00:00"/>
    <x v="0"/>
    <n v="23"/>
    <n v="0"/>
    <n v="19"/>
    <n v="1"/>
    <n v="3"/>
    <n v="0"/>
    <n v="23"/>
    <n v="5"/>
    <n v="5"/>
    <n v="0"/>
    <n v="0"/>
    <n v="0"/>
    <n v="5"/>
    <n v="0"/>
    <n v="0"/>
    <n v="0"/>
    <n v="0"/>
    <n v="0"/>
    <n v="0"/>
    <n v="0"/>
    <n v="0"/>
    <n v="0"/>
    <n v="0"/>
    <n v="0"/>
    <n v="23"/>
    <m/>
  </r>
  <r>
    <n v="36"/>
    <d v="2023-12-20T09:27:26"/>
    <d v="2023-12-20T09:32:34"/>
    <s v="ymanda@lighthouse.org.mw"/>
    <s v="Yollam Manda"/>
    <s v="Lumbadzi"/>
    <s v="Prototype"/>
    <x v="0"/>
    <x v="0"/>
    <s v="COP_22"/>
    <s v="Quarter3"/>
    <x v="1"/>
    <s v="Qtr_4"/>
    <x v="2"/>
    <d v="2023-09-01T00:00:00"/>
    <d v="2023-09-30T00:00:00"/>
    <x v="1"/>
    <n v="10"/>
    <n v="1"/>
    <n v="7"/>
    <n v="2"/>
    <n v="1"/>
    <n v="0"/>
    <n v="6"/>
    <n v="0"/>
    <n v="1"/>
    <n v="0"/>
    <n v="0"/>
    <n v="0"/>
    <n v="1"/>
    <n v="0"/>
    <n v="0"/>
    <n v="0"/>
    <n v="0"/>
    <n v="0"/>
    <n v="0"/>
    <n v="0"/>
    <n v="0"/>
    <n v="0"/>
    <n v="0"/>
    <n v="0"/>
    <n v="10"/>
    <m/>
  </r>
  <r>
    <n v="37"/>
    <d v="2023-12-20T09:32:45"/>
    <d v="2023-12-20T09:41:05"/>
    <s v="ymanda@lighthouse.org.mw"/>
    <s v="Yollam Manda"/>
    <s v="Lumbadzi"/>
    <s v="Prototype"/>
    <x v="0"/>
    <x v="0"/>
    <s v="COP_23"/>
    <s v="Quarter4"/>
    <x v="0"/>
    <s v="Qtr_1"/>
    <x v="0"/>
    <d v="2023-10-01T00:00:00"/>
    <d v="2023-10-31T00:00:00"/>
    <x v="1"/>
    <n v="11"/>
    <n v="0"/>
    <n v="6"/>
    <n v="3"/>
    <n v="1"/>
    <n v="1"/>
    <n v="9"/>
    <n v="3"/>
    <n v="3"/>
    <n v="0"/>
    <n v="0"/>
    <n v="0"/>
    <n v="3"/>
    <n v="0"/>
    <n v="1"/>
    <n v="1"/>
    <n v="0"/>
    <n v="0"/>
    <n v="0"/>
    <n v="0"/>
    <n v="0"/>
    <n v="0"/>
    <n v="0"/>
    <n v="0"/>
    <n v="11"/>
    <m/>
  </r>
  <r>
    <n v="38"/>
    <d v="2023-12-20T09:41:38"/>
    <d v="2023-12-20T09:49:29"/>
    <s v="ymanda@lighthouse.org.mw"/>
    <s v="Yollam Manda"/>
    <s v="Lumbadzi"/>
    <s v="Prototype"/>
    <x v="0"/>
    <x v="0"/>
    <s v="COP_23"/>
    <s v="Quarter4"/>
    <x v="0"/>
    <s v="Qtr_1"/>
    <x v="1"/>
    <d v="2023-11-01T00:00:00"/>
    <d v="2023-11-30T00:00:00"/>
    <x v="1"/>
    <n v="13"/>
    <n v="0"/>
    <n v="7"/>
    <n v="0"/>
    <n v="6"/>
    <n v="0"/>
    <n v="0"/>
    <n v="0"/>
    <n v="0"/>
    <n v="0"/>
    <n v="0"/>
    <n v="0"/>
    <n v="0"/>
    <n v="0"/>
    <n v="0"/>
    <n v="0"/>
    <n v="0"/>
    <n v="0"/>
    <n v="0"/>
    <n v="0"/>
    <n v="0"/>
    <n v="0"/>
    <n v="0"/>
    <n v="0"/>
    <n v="13"/>
    <m/>
  </r>
  <r>
    <n v="456"/>
    <d v="2024-05-22T10:53:34"/>
    <d v="2024-05-22T11:12:54"/>
    <s v="ymanda@lighthouse.org.mw"/>
    <s v="Yollam Manda"/>
    <s v="Lumbadzi"/>
    <s v="Prototype"/>
    <x v="1"/>
    <x v="0"/>
    <s v="COP_23"/>
    <s v="Quarter2"/>
    <x v="3"/>
    <s v="Qtr_3"/>
    <x v="7"/>
    <d v="2024-04-01T00:00:00"/>
    <d v="2024-04-30T00:00:00"/>
    <x v="0"/>
    <n v="19"/>
    <n v="0"/>
    <n v="11"/>
    <n v="2"/>
    <n v="5"/>
    <n v="1"/>
    <n v="19"/>
    <n v="3"/>
    <n v="0"/>
    <n v="0"/>
    <n v="0"/>
    <n v="0"/>
    <n v="1"/>
    <n v="1"/>
    <n v="0"/>
    <n v="0"/>
    <n v="0"/>
    <n v="0"/>
    <n v="0"/>
    <n v="0"/>
    <n v="1"/>
    <n v="0"/>
    <n v="0"/>
    <n v="0"/>
    <n v="13"/>
    <m/>
  </r>
  <r>
    <n v="117"/>
    <d v="2024-01-24T09:53:37"/>
    <d v="2024-01-24T09:58:00"/>
    <s v="ymanda@lighthouse.org.mw"/>
    <s v="Yollam Manda"/>
    <s v="Lumbadzi"/>
    <s v="Prototype"/>
    <x v="0"/>
    <x v="0"/>
    <s v="COP_23"/>
    <s v="Quarter4"/>
    <x v="0"/>
    <s v="Qtr_1"/>
    <x v="11"/>
    <d v="2023-12-01T00:00:00"/>
    <d v="2023-12-31T00:00:00"/>
    <x v="1"/>
    <n v="11"/>
    <n v="0"/>
    <n v="6"/>
    <n v="2"/>
    <n v="2"/>
    <n v="1"/>
    <n v="11"/>
    <n v="1"/>
    <n v="0"/>
    <n v="0"/>
    <n v="0"/>
    <n v="0"/>
    <n v="1"/>
    <n v="0"/>
    <n v="0"/>
    <n v="0"/>
    <n v="0"/>
    <n v="0"/>
    <n v="0"/>
    <n v="0"/>
    <n v="0"/>
    <n v="0"/>
    <n v="0"/>
    <n v="0"/>
    <n v="11"/>
    <m/>
  </r>
  <r>
    <n v="458"/>
    <d v="2024-05-22T11:17:35"/>
    <d v="2024-05-22T11:18:41"/>
    <s v="ymanda@lighthouse.org.mw"/>
    <s v="Yollam Manda"/>
    <s v="Lumbadzi"/>
    <s v="Prototype"/>
    <x v="1"/>
    <x v="0"/>
    <s v="COP_23"/>
    <s v="Quarter2"/>
    <x v="3"/>
    <s v="Qtr_3"/>
    <x v="7"/>
    <d v="2024-04-01T00:00:00"/>
    <d v="2024-04-30T00:00:00"/>
    <x v="3"/>
    <n v="0"/>
    <n v="0"/>
    <n v="0"/>
    <n v="0"/>
    <n v="0"/>
    <n v="0"/>
    <n v="0"/>
    <n v="0"/>
    <n v="0"/>
    <n v="0"/>
    <n v="0"/>
    <n v="0"/>
    <n v="0"/>
    <n v="0"/>
    <n v="0"/>
    <n v="0"/>
    <n v="0"/>
    <n v="0"/>
    <n v="0"/>
    <n v="0"/>
    <n v="0"/>
    <n v="0"/>
    <n v="0"/>
    <n v="0"/>
    <n v="0"/>
    <m/>
  </r>
  <r>
    <n v="459"/>
    <d v="2024-05-22T11:18:48"/>
    <d v="2024-05-22T11:21:30"/>
    <s v="ymanda@lighthouse.org.mw"/>
    <s v="Yollam Manda"/>
    <s v="Lumbadzi"/>
    <s v="Prototype"/>
    <x v="1"/>
    <x v="0"/>
    <s v="COP_23"/>
    <s v="Quarter2"/>
    <x v="3"/>
    <s v="Qtr_3"/>
    <x v="7"/>
    <d v="2024-04-01T00:00:00"/>
    <d v="2024-04-30T00:00:00"/>
    <x v="4"/>
    <n v="2"/>
    <n v="0"/>
    <n v="0"/>
    <n v="2"/>
    <n v="0"/>
    <n v="0"/>
    <n v="2"/>
    <n v="1"/>
    <n v="0"/>
    <n v="0"/>
    <n v="0"/>
    <n v="0"/>
    <n v="0"/>
    <n v="0"/>
    <n v="0"/>
    <n v="0"/>
    <n v="0"/>
    <n v="0"/>
    <n v="0"/>
    <n v="0"/>
    <n v="0"/>
    <n v="0"/>
    <n v="0"/>
    <n v="0"/>
    <n v="2"/>
    <m/>
  </r>
  <r>
    <n v="460"/>
    <d v="2024-05-22T11:21:43"/>
    <d v="2024-05-22T11:22:54"/>
    <s v="ymanda@lighthouse.org.mw"/>
    <s v="Yollam Manda"/>
    <s v="Lumbadzi"/>
    <s v="Prototype"/>
    <x v="1"/>
    <x v="0"/>
    <s v="COP_23"/>
    <s v="Quarter2"/>
    <x v="3"/>
    <s v="Qtr_3"/>
    <x v="7"/>
    <d v="2024-04-01T00:00:00"/>
    <d v="2024-04-30T00:00:00"/>
    <x v="5"/>
    <n v="0"/>
    <n v="0"/>
    <n v="0"/>
    <n v="0"/>
    <n v="0"/>
    <n v="0"/>
    <n v="0"/>
    <n v="0"/>
    <n v="0"/>
    <n v="0"/>
    <n v="0"/>
    <n v="0"/>
    <n v="0"/>
    <n v="0"/>
    <n v="0"/>
    <n v="0"/>
    <n v="0"/>
    <n v="0"/>
    <n v="0"/>
    <n v="0"/>
    <n v="0"/>
    <n v="0"/>
    <n v="0"/>
    <n v="0"/>
    <n v="0"/>
    <m/>
  </r>
  <r>
    <n v="462"/>
    <d v="2024-05-22T11:25:13"/>
    <d v="2024-05-22T11:26:09"/>
    <s v="ymanda@lighthouse.org.mw"/>
    <s v="Yollam Manda"/>
    <s v="Lumbadzi"/>
    <s v="Prototype"/>
    <x v="1"/>
    <x v="0"/>
    <s v="COP_23"/>
    <s v="Quarter2"/>
    <x v="3"/>
    <s v="Qtr_3"/>
    <x v="7"/>
    <d v="2024-04-01T00:00:00"/>
    <d v="2024-04-30T00:00:00"/>
    <x v="6"/>
    <n v="0"/>
    <n v="0"/>
    <n v="0"/>
    <n v="0"/>
    <n v="0"/>
    <n v="0"/>
    <n v="0"/>
    <n v="0"/>
    <n v="0"/>
    <n v="0"/>
    <n v="0"/>
    <n v="0"/>
    <n v="0"/>
    <n v="0"/>
    <n v="0"/>
    <n v="0"/>
    <n v="0"/>
    <n v="0"/>
    <n v="0"/>
    <n v="0"/>
    <n v="0"/>
    <n v="0"/>
    <n v="0"/>
    <n v="0"/>
    <n v="0"/>
    <m/>
  </r>
  <r>
    <n v="473"/>
    <d v="2024-06-05T10:32:52"/>
    <d v="2024-06-05T10:36:30"/>
    <s v="ymanda@lighthouse.org.mw"/>
    <s v="Yollam Manda"/>
    <s v="Lumbadzi"/>
    <s v="Prototype"/>
    <x v="1"/>
    <x v="0"/>
    <s v="COP_23"/>
    <s v="Quarter2"/>
    <x v="3"/>
    <s v="Qtr_3"/>
    <x v="6"/>
    <d v="2024-05-01T00:00:00"/>
    <d v="2024-05-31T00:00:00"/>
    <x v="3"/>
    <n v="0"/>
    <n v="0"/>
    <n v="0"/>
    <n v="0"/>
    <n v="0"/>
    <n v="0"/>
    <n v="0"/>
    <n v="0"/>
    <n v="0"/>
    <n v="0"/>
    <n v="0"/>
    <n v="0"/>
    <n v="0"/>
    <n v="0"/>
    <n v="0"/>
    <n v="0"/>
    <n v="0"/>
    <n v="0"/>
    <n v="0"/>
    <n v="0"/>
    <n v="0"/>
    <n v="0"/>
    <n v="0"/>
    <n v="0"/>
    <n v="0"/>
    <m/>
  </r>
  <r>
    <n v="474"/>
    <d v="2024-06-05T10:36:47"/>
    <d v="2024-06-05T10:40:38"/>
    <s v="ymanda@lighthouse.org.mw"/>
    <s v="Yollam Manda"/>
    <s v="Lumbadzi"/>
    <s v="Prototype"/>
    <x v="1"/>
    <x v="0"/>
    <s v="COP_23"/>
    <s v="Quarter2"/>
    <x v="3"/>
    <s v="Qtr_3"/>
    <x v="6"/>
    <d v="2024-05-01T00:00:00"/>
    <d v="2024-05-31T00:00:00"/>
    <x v="4"/>
    <n v="0"/>
    <n v="0"/>
    <n v="0"/>
    <n v="0"/>
    <n v="0"/>
    <n v="0"/>
    <n v="0"/>
    <n v="0"/>
    <n v="0"/>
    <n v="0"/>
    <n v="0"/>
    <n v="0"/>
    <n v="0"/>
    <n v="0"/>
    <n v="0"/>
    <n v="0"/>
    <n v="0"/>
    <n v="0"/>
    <n v="0"/>
    <n v="0"/>
    <n v="0"/>
    <n v="0"/>
    <n v="0"/>
    <n v="0"/>
    <n v="0"/>
    <m/>
  </r>
  <r>
    <n v="136"/>
    <d v="2024-02-02T12:34:49"/>
    <d v="2024-02-02T12:41:34"/>
    <s v="ymanda@lighthouse.org.mw"/>
    <s v="Yollam Manda"/>
    <s v="Lumbadzi"/>
    <s v="Prototype"/>
    <x v="1"/>
    <x v="0"/>
    <s v="COP_23"/>
    <s v="Quarter1"/>
    <x v="2"/>
    <s v="Qtr_2"/>
    <x v="4"/>
    <d v="2024-01-01T00:00:00"/>
    <d v="2024-01-31T00:00:00"/>
    <x v="1"/>
    <n v="18"/>
    <n v="0"/>
    <n v="14"/>
    <n v="0"/>
    <n v="3"/>
    <n v="1"/>
    <n v="12"/>
    <n v="3"/>
    <n v="3"/>
    <n v="0"/>
    <n v="0"/>
    <n v="0"/>
    <n v="2"/>
    <n v="0"/>
    <n v="0"/>
    <n v="0"/>
    <n v="0"/>
    <n v="0"/>
    <n v="0"/>
    <n v="0"/>
    <n v="1"/>
    <n v="0"/>
    <n v="0"/>
    <n v="0"/>
    <n v="17"/>
    <m/>
  </r>
  <r>
    <n v="482"/>
    <d v="2024-06-05T10:40:50"/>
    <d v="2024-06-05T11:22:57"/>
    <s v="ymanda@lighthouse.org.mw"/>
    <s v="Yollam Manda"/>
    <s v="Lumbadzi"/>
    <s v="Prototype"/>
    <x v="1"/>
    <x v="0"/>
    <s v="COP_23"/>
    <s v="Quarter2"/>
    <x v="3"/>
    <s v="Qtr_3"/>
    <x v="6"/>
    <d v="2024-05-01T00:00:00"/>
    <d v="2024-05-31T00:00:00"/>
    <x v="5"/>
    <n v="0"/>
    <n v="0"/>
    <n v="0"/>
    <n v="0"/>
    <n v="0"/>
    <n v="0"/>
    <n v="0"/>
    <n v="0"/>
    <n v="0"/>
    <n v="0"/>
    <n v="0"/>
    <n v="0"/>
    <n v="0"/>
    <n v="0"/>
    <n v="0"/>
    <n v="0"/>
    <n v="0"/>
    <n v="0"/>
    <n v="0"/>
    <n v="0"/>
    <n v="0"/>
    <n v="0"/>
    <n v="0"/>
    <n v="0"/>
    <n v="0"/>
    <m/>
  </r>
  <r>
    <n v="483"/>
    <d v="2024-06-05T11:23:12"/>
    <d v="2024-06-05T11:26:42"/>
    <s v="ymanda@lighthouse.org.mw"/>
    <s v="Yollam Manda"/>
    <s v="Lumbadzi"/>
    <s v="Prototype"/>
    <x v="1"/>
    <x v="0"/>
    <s v="COP_23"/>
    <s v="Quarter2"/>
    <x v="3"/>
    <s v="Qtr_3"/>
    <x v="6"/>
    <d v="2024-05-01T00:00:00"/>
    <d v="2024-05-31T00:00:00"/>
    <x v="6"/>
    <n v="0"/>
    <n v="0"/>
    <n v="0"/>
    <n v="0"/>
    <n v="0"/>
    <n v="0"/>
    <n v="0"/>
    <n v="0"/>
    <n v="0"/>
    <n v="0"/>
    <n v="0"/>
    <n v="0"/>
    <n v="0"/>
    <n v="0"/>
    <n v="0"/>
    <n v="0"/>
    <n v="0"/>
    <n v="0"/>
    <n v="0"/>
    <n v="0"/>
    <n v="0"/>
    <n v="0"/>
    <n v="0"/>
    <n v="0"/>
    <n v="0"/>
    <m/>
  </r>
  <r>
    <n v="484"/>
    <d v="2024-06-05T11:26:55"/>
    <d v="2024-06-05T11:36:53"/>
    <s v="ymanda@lighthouse.org.mw"/>
    <s v="Yollam Manda"/>
    <s v="Lumbadzi"/>
    <s v="Prototype"/>
    <x v="1"/>
    <x v="0"/>
    <s v="COP_23"/>
    <s v="Quarter2"/>
    <x v="3"/>
    <s v="Qtr_3"/>
    <x v="6"/>
    <d v="2024-05-01T00:00:00"/>
    <d v="2024-05-31T00:00:00"/>
    <x v="0"/>
    <n v="16"/>
    <n v="3"/>
    <n v="11"/>
    <n v="0"/>
    <n v="4"/>
    <n v="1"/>
    <n v="16"/>
    <n v="8"/>
    <n v="7"/>
    <n v="0"/>
    <n v="0"/>
    <n v="0"/>
    <n v="1"/>
    <n v="0"/>
    <n v="0"/>
    <n v="0"/>
    <n v="0"/>
    <n v="0"/>
    <n v="0"/>
    <n v="0"/>
    <n v="0"/>
    <n v="0"/>
    <n v="0"/>
    <n v="1"/>
    <n v="8"/>
    <m/>
  </r>
  <r>
    <n v="160"/>
    <d v="2024-03-01T11:02:23"/>
    <d v="2024-03-01T11:08:31"/>
    <s v="ymanda@lighthouse.org.mw"/>
    <s v="Yollam Manda"/>
    <s v="Lumbadzi"/>
    <s v="Prototype"/>
    <x v="1"/>
    <x v="0"/>
    <s v="COP_23"/>
    <s v="Quarter1"/>
    <x v="2"/>
    <s v="Qtr_2"/>
    <x v="5"/>
    <d v="2024-02-01T00:00:00"/>
    <d v="2024-02-29T00:00:00"/>
    <x v="1"/>
    <n v="12"/>
    <n v="1"/>
    <n v="6"/>
    <n v="1"/>
    <n v="5"/>
    <n v="0"/>
    <n v="12"/>
    <n v="7"/>
    <n v="7"/>
    <n v="0"/>
    <n v="0"/>
    <n v="0"/>
    <n v="6"/>
    <n v="0"/>
    <n v="0"/>
    <n v="0"/>
    <n v="0"/>
    <n v="0"/>
    <n v="0"/>
    <n v="0"/>
    <n v="0"/>
    <n v="0"/>
    <n v="0"/>
    <n v="0"/>
    <n v="12"/>
    <m/>
  </r>
  <r>
    <n v="185"/>
    <d v="2024-04-03T12:13:37"/>
    <d v="2024-04-03T12:16:57"/>
    <s v="ymanda@lighthouse.org.mw"/>
    <s v="Yollam Manda"/>
    <s v="Lumbadzi"/>
    <s v="Prototype"/>
    <x v="1"/>
    <x v="0"/>
    <s v="COP_23"/>
    <s v="Quarter1"/>
    <x v="2"/>
    <s v="Qtr_2"/>
    <x v="3"/>
    <d v="2024-03-01T00:00:00"/>
    <d v="2024-03-31T00:00:00"/>
    <x v="1"/>
    <n v="23"/>
    <n v="0"/>
    <n v="19"/>
    <n v="1"/>
    <n v="3"/>
    <n v="0"/>
    <n v="23"/>
    <n v="4"/>
    <n v="4"/>
    <n v="0"/>
    <n v="0"/>
    <n v="0"/>
    <n v="4"/>
    <n v="0"/>
    <n v="0"/>
    <n v="0"/>
    <n v="0"/>
    <n v="0"/>
    <n v="0"/>
    <n v="0"/>
    <n v="0"/>
    <n v="0"/>
    <n v="0"/>
    <n v="0"/>
    <n v="23"/>
    <m/>
  </r>
  <r>
    <n v="457"/>
    <d v="2024-05-22T11:13:17"/>
    <d v="2024-05-22T11:17:11"/>
    <s v="ymanda@lighthouse.org.mw"/>
    <s v="Yollam Manda"/>
    <s v="Lumbadzi"/>
    <s v="Prototype"/>
    <x v="1"/>
    <x v="0"/>
    <s v="COP_23"/>
    <s v="Quarter2"/>
    <x v="3"/>
    <s v="Qtr_3"/>
    <x v="7"/>
    <d v="2024-04-01T00:00:00"/>
    <d v="2024-04-30T00:00:00"/>
    <x v="1"/>
    <n v="15"/>
    <n v="0"/>
    <n v="8"/>
    <n v="1"/>
    <n v="5"/>
    <n v="1"/>
    <n v="15"/>
    <n v="2"/>
    <n v="0"/>
    <n v="0"/>
    <n v="0"/>
    <n v="0"/>
    <n v="1"/>
    <n v="1"/>
    <n v="0"/>
    <n v="0"/>
    <n v="0"/>
    <n v="0"/>
    <n v="0"/>
    <n v="0"/>
    <n v="1"/>
    <n v="0"/>
    <n v="0"/>
    <n v="0"/>
    <n v="10"/>
    <m/>
  </r>
  <r>
    <n v="485"/>
    <d v="2024-06-05T11:37:06"/>
    <d v="2024-06-05T11:39:48"/>
    <s v="ymanda@lighthouse.org.mw"/>
    <s v="Yollam Manda"/>
    <s v="Lumbadzi"/>
    <s v="Prototype"/>
    <x v="1"/>
    <x v="0"/>
    <s v="COP_23"/>
    <s v="Quarter2"/>
    <x v="3"/>
    <s v="Qtr_3"/>
    <x v="6"/>
    <d v="2024-05-01T00:00:00"/>
    <d v="2024-05-31T00:00:00"/>
    <x v="1"/>
    <n v="15"/>
    <n v="3"/>
    <n v="10"/>
    <n v="0"/>
    <n v="4"/>
    <n v="1"/>
    <n v="15"/>
    <n v="8"/>
    <n v="7"/>
    <n v="0"/>
    <n v="0"/>
    <n v="0"/>
    <n v="1"/>
    <n v="0"/>
    <n v="0"/>
    <n v="0"/>
    <n v="0"/>
    <n v="0"/>
    <n v="0"/>
    <n v="0"/>
    <n v="0"/>
    <n v="0"/>
    <n v="0"/>
    <n v="1"/>
    <n v="7"/>
    <m/>
  </r>
  <r>
    <n v="580"/>
    <d v="2024-07-03T12:54:44"/>
    <d v="2024-07-03T12:57:19"/>
    <s v="ymanda@lighthouse.org.mw"/>
    <s v="Yollam Manda"/>
    <s v="Lumbadzi"/>
    <s v="Prototype"/>
    <x v="1"/>
    <x v="0"/>
    <s v="COP_23"/>
    <s v="Quarter2"/>
    <x v="3"/>
    <s v="Qtr_3"/>
    <x v="8"/>
    <d v="2024-06-01T00:00:00"/>
    <d v="2024-06-30T00:00:00"/>
    <x v="1"/>
    <n v="9"/>
    <n v="0"/>
    <n v="5"/>
    <n v="0"/>
    <n v="4"/>
    <n v="0"/>
    <n v="9"/>
    <n v="5"/>
    <n v="1"/>
    <n v="0"/>
    <n v="0"/>
    <n v="0"/>
    <n v="0"/>
    <n v="0"/>
    <n v="0"/>
    <n v="0"/>
    <n v="0"/>
    <n v="0"/>
    <n v="0"/>
    <n v="0"/>
    <n v="0"/>
    <n v="0"/>
    <n v="0"/>
    <n v="0"/>
    <n v="7"/>
    <m/>
  </r>
  <r>
    <n v="701"/>
    <d v="2024-08-05T12:36:28"/>
    <d v="2024-08-05T12:40:50"/>
    <s v="ymanda@lighthouse.org.mw"/>
    <s v="Yollam Manda"/>
    <s v="Lumbadzi"/>
    <s v="Prototype"/>
    <x v="1"/>
    <x v="0"/>
    <s v="COP_23"/>
    <s v="Quarter3"/>
    <x v="1"/>
    <s v="Qtr_4"/>
    <x v="9"/>
    <d v="2024-07-01T00:00:00"/>
    <d v="2024-07-31T00:00:00"/>
    <x v="1"/>
    <n v="10"/>
    <n v="2"/>
    <n v="7"/>
    <n v="0"/>
    <n v="3"/>
    <n v="0"/>
    <n v="9"/>
    <n v="3"/>
    <n v="2"/>
    <n v="0"/>
    <n v="0"/>
    <n v="0"/>
    <n v="0"/>
    <n v="0"/>
    <n v="0"/>
    <n v="0"/>
    <n v="0"/>
    <n v="0"/>
    <n v="0"/>
    <n v="0"/>
    <n v="0"/>
    <n v="0"/>
    <n v="0"/>
    <n v="0"/>
    <n v="10"/>
    <m/>
  </r>
  <r>
    <n v="841"/>
    <d v="2024-10-02T13:50:35"/>
    <d v="2024-10-02T13:55:42"/>
    <s v="ymanda@lighthouse.org.mw"/>
    <s v="Yollam Manda"/>
    <s v="Lumbadzi"/>
    <s v="Prototype"/>
    <x v="1"/>
    <x v="0"/>
    <s v="COP_23"/>
    <s v="Quarter3"/>
    <x v="1"/>
    <s v="Qtr_4"/>
    <x v="10"/>
    <d v="2024-08-01T00:00:00"/>
    <d v="2024-08-30T00:00:00"/>
    <x v="1"/>
    <n v="15"/>
    <n v="0"/>
    <n v="10"/>
    <n v="1"/>
    <n v="4"/>
    <n v="0"/>
    <n v="10"/>
    <n v="1"/>
    <n v="0"/>
    <n v="0"/>
    <n v="0"/>
    <n v="0"/>
    <n v="0"/>
    <n v="0"/>
    <n v="0"/>
    <n v="0"/>
    <n v="0"/>
    <n v="0"/>
    <n v="0"/>
    <n v="0"/>
    <n v="0"/>
    <n v="0"/>
    <n v="0"/>
    <n v="0"/>
    <n v="15"/>
    <m/>
  </r>
  <r>
    <n v="848"/>
    <d v="2024-10-02T14:16:05"/>
    <d v="2024-10-02T14:18:23"/>
    <s v="ymanda@lighthouse.org.mw"/>
    <s v="Yollam Manda"/>
    <s v="Lumbadzi"/>
    <s v="Prototype"/>
    <x v="1"/>
    <x v="0"/>
    <s v="COP_23"/>
    <s v="Quarter3"/>
    <x v="1"/>
    <s v="Qtr_4"/>
    <x v="2"/>
    <d v="2024-09-01T00:00:00"/>
    <d v="2024-09-30T00:00:00"/>
    <x v="1"/>
    <n v="14"/>
    <n v="0"/>
    <n v="6"/>
    <n v="1"/>
    <n v="7"/>
    <n v="0"/>
    <n v="0"/>
    <n v="0"/>
    <n v="0"/>
    <n v="0"/>
    <n v="0"/>
    <n v="0"/>
    <n v="0"/>
    <n v="0"/>
    <n v="0"/>
    <n v="0"/>
    <n v="0"/>
    <n v="0"/>
    <n v="0"/>
    <n v="0"/>
    <n v="0"/>
    <n v="0"/>
    <n v="0"/>
    <n v="0"/>
    <n v="14"/>
    <m/>
  </r>
  <r>
    <n v="1020"/>
    <d v="2024-11-04T11:57:05"/>
    <d v="2024-11-04T12:14:37"/>
    <s v="ymanda@lighthouse.org.mw"/>
    <s v="Yollam Manda"/>
    <s v="Lumbadzi"/>
    <s v="Prototype"/>
    <x v="1"/>
    <x v="0"/>
    <s v="COP_24"/>
    <s v="Quarter4"/>
    <x v="0"/>
    <s v="Qtr_1"/>
    <x v="0"/>
    <d v="2024-10-01T00:00:00"/>
    <d v="2024-10-31T00:00:00"/>
    <x v="1"/>
    <n v="19"/>
    <n v="0"/>
    <n v="16"/>
    <n v="2"/>
    <n v="1"/>
    <n v="0"/>
    <n v="0"/>
    <n v="0"/>
    <n v="0"/>
    <n v="0"/>
    <n v="1"/>
    <n v="0"/>
    <n v="3"/>
    <n v="0"/>
    <n v="0"/>
    <n v="0"/>
    <n v="0"/>
    <n v="0"/>
    <n v="0"/>
    <n v="0"/>
    <n v="0"/>
    <n v="0"/>
    <n v="0"/>
    <n v="0"/>
    <n v="0"/>
    <m/>
  </r>
  <r>
    <n v="574"/>
    <d v="2024-07-03T12:44:10"/>
    <d v="2024-07-03T12:47:58"/>
    <s v="ymanda@lighthouse.org.mw"/>
    <s v="Yollam Manda"/>
    <s v="Lumbadzi"/>
    <s v="Prototype"/>
    <x v="1"/>
    <x v="0"/>
    <s v="COP_23"/>
    <s v="Quarter2"/>
    <x v="3"/>
    <s v="Qtr_3"/>
    <x v="8"/>
    <d v="2024-06-01T00:00:00"/>
    <d v="2024-06-30T00:00:00"/>
    <x v="0"/>
    <n v="11"/>
    <n v="1"/>
    <n v="7"/>
    <n v="0"/>
    <n v="4"/>
    <n v="0"/>
    <n v="11"/>
    <n v="6"/>
    <n v="2"/>
    <n v="0"/>
    <n v="0"/>
    <n v="0"/>
    <n v="0"/>
    <n v="0"/>
    <n v="0"/>
    <n v="0"/>
    <n v="0"/>
    <n v="0"/>
    <n v="0"/>
    <n v="0"/>
    <n v="0"/>
    <n v="0"/>
    <n v="0"/>
    <n v="0"/>
    <n v="9"/>
    <m/>
  </r>
  <r>
    <n v="575"/>
    <d v="2024-07-03T12:48:08"/>
    <d v="2024-07-03T12:49:08"/>
    <s v="ymanda@lighthouse.org.mw"/>
    <s v="Yollam Manda"/>
    <s v="Lumbadzi"/>
    <s v="Prototype"/>
    <x v="1"/>
    <x v="0"/>
    <s v="COP_23"/>
    <s v="Quarter2"/>
    <x v="3"/>
    <s v="Qtr_3"/>
    <x v="8"/>
    <d v="2024-06-01T00:00:00"/>
    <d v="2024-06-30T00:00:00"/>
    <x v="6"/>
    <n v="0"/>
    <n v="0"/>
    <n v="0"/>
    <n v="0"/>
    <n v="0"/>
    <n v="0"/>
    <n v="0"/>
    <n v="0"/>
    <n v="0"/>
    <n v="0"/>
    <n v="0"/>
    <n v="0"/>
    <n v="0"/>
    <n v="0"/>
    <n v="0"/>
    <n v="0"/>
    <n v="0"/>
    <n v="0"/>
    <n v="0"/>
    <n v="0"/>
    <n v="0"/>
    <n v="0"/>
    <n v="0"/>
    <n v="0"/>
    <n v="0"/>
    <m/>
  </r>
  <r>
    <n v="184"/>
    <d v="2024-04-03T12:09:58"/>
    <d v="2024-04-03T12:13:09"/>
    <s v="ymanda@lighthouse.org.mw"/>
    <s v="Yollam Manda"/>
    <s v="Lumbadzi"/>
    <s v="Prototype"/>
    <x v="1"/>
    <x v="0"/>
    <s v="COP_23"/>
    <s v="Quarter1"/>
    <x v="2"/>
    <s v="Qtr_2"/>
    <x v="3"/>
    <d v="2024-03-01T00:00:00"/>
    <d v="2024-03-31T00:00:00"/>
    <x v="2"/>
    <n v="1"/>
    <n v="0"/>
    <n v="1"/>
    <n v="0"/>
    <n v="0"/>
    <n v="0"/>
    <n v="1"/>
    <n v="1"/>
    <n v="1"/>
    <n v="0"/>
    <n v="0"/>
    <n v="0"/>
    <n v="1"/>
    <n v="0"/>
    <n v="0"/>
    <n v="0"/>
    <n v="0"/>
    <n v="0"/>
    <n v="0"/>
    <n v="0"/>
    <n v="0"/>
    <n v="0"/>
    <n v="0"/>
    <n v="0"/>
    <n v="1"/>
    <m/>
  </r>
  <r>
    <n v="577"/>
    <d v="2024-07-03T12:51:37"/>
    <d v="2024-07-03T12:52:28"/>
    <s v="ymanda@lighthouse.org.mw"/>
    <s v="Yollam Manda"/>
    <s v="Lumbadzi"/>
    <s v="Prototype"/>
    <x v="1"/>
    <x v="0"/>
    <s v="COP_23"/>
    <s v="Quarter2"/>
    <x v="3"/>
    <s v="Qtr_3"/>
    <x v="8"/>
    <d v="2024-06-01T00:00:00"/>
    <d v="2024-06-30T00:00:00"/>
    <x v="5"/>
    <n v="0"/>
    <n v="0"/>
    <n v="0"/>
    <n v="0"/>
    <n v="0"/>
    <n v="0"/>
    <n v="0"/>
    <n v="0"/>
    <n v="0"/>
    <n v="0"/>
    <n v="0"/>
    <n v="0"/>
    <n v="0"/>
    <n v="0"/>
    <n v="0"/>
    <n v="0"/>
    <n v="0"/>
    <n v="0"/>
    <n v="0"/>
    <n v="0"/>
    <n v="0"/>
    <n v="0"/>
    <n v="0"/>
    <n v="0"/>
    <n v="0"/>
    <m/>
  </r>
  <r>
    <n v="578"/>
    <d v="2024-07-03T12:52:44"/>
    <d v="2024-07-03T12:53:35"/>
    <s v="ymanda@lighthouse.org.mw"/>
    <s v="Yollam Manda"/>
    <s v="Lumbadzi"/>
    <s v="Prototype"/>
    <x v="1"/>
    <x v="0"/>
    <s v="COP_23"/>
    <s v="Quarter2"/>
    <x v="3"/>
    <s v="Qtr_3"/>
    <x v="8"/>
    <d v="2024-06-01T00:00:00"/>
    <d v="2024-06-30T00:00:00"/>
    <x v="4"/>
    <n v="0"/>
    <n v="0"/>
    <n v="0"/>
    <n v="0"/>
    <n v="0"/>
    <n v="0"/>
    <n v="0"/>
    <n v="0"/>
    <n v="0"/>
    <n v="0"/>
    <n v="0"/>
    <n v="0"/>
    <n v="0"/>
    <n v="0"/>
    <n v="0"/>
    <n v="0"/>
    <n v="0"/>
    <n v="0"/>
    <n v="0"/>
    <n v="0"/>
    <n v="0"/>
    <n v="0"/>
    <n v="0"/>
    <n v="0"/>
    <n v="0"/>
    <m/>
  </r>
  <r>
    <n v="579"/>
    <d v="2024-07-03T12:53:37"/>
    <d v="2024-07-03T12:54:32"/>
    <s v="ymanda@lighthouse.org.mw"/>
    <s v="Yollam Manda"/>
    <s v="Lumbadzi"/>
    <s v="Prototype"/>
    <x v="1"/>
    <x v="0"/>
    <s v="COP_23"/>
    <s v="Quarter2"/>
    <x v="3"/>
    <s v="Qtr_3"/>
    <x v="8"/>
    <d v="2024-06-01T00:00:00"/>
    <d v="2024-06-30T00:00:00"/>
    <x v="3"/>
    <n v="0"/>
    <n v="0"/>
    <n v="0"/>
    <n v="0"/>
    <n v="0"/>
    <n v="0"/>
    <n v="0"/>
    <n v="0"/>
    <n v="0"/>
    <n v="0"/>
    <n v="0"/>
    <n v="0"/>
    <n v="0"/>
    <n v="0"/>
    <n v="0"/>
    <n v="0"/>
    <n v="0"/>
    <n v="0"/>
    <n v="0"/>
    <n v="0"/>
    <n v="0"/>
    <n v="0"/>
    <n v="0"/>
    <n v="0"/>
    <n v="0"/>
    <m/>
  </r>
  <r>
    <n v="250"/>
    <d v="2024-04-19T11:42:44"/>
    <d v="2024-04-19T11:43:49"/>
    <s v="ymanda@lighthouse.org.mw"/>
    <s v="Yollam Manda"/>
    <s v="Lumbadzi"/>
    <s v="Prototype"/>
    <x v="1"/>
    <x v="0"/>
    <s v="COP_23"/>
    <s v="Quarter1"/>
    <x v="2"/>
    <s v="Qtr_2"/>
    <x v="4"/>
    <d v="2024-01-01T00:00:00"/>
    <d v="2024-01-31T00:00:00"/>
    <x v="2"/>
    <n v="0"/>
    <n v="0"/>
    <n v="0"/>
    <n v="0"/>
    <n v="0"/>
    <n v="0"/>
    <n v="0"/>
    <n v="0"/>
    <n v="0"/>
    <n v="0"/>
    <n v="0"/>
    <n v="0"/>
    <n v="0"/>
    <n v="0"/>
    <n v="0"/>
    <n v="0"/>
    <n v="0"/>
    <n v="0"/>
    <n v="0"/>
    <n v="0"/>
    <n v="0"/>
    <n v="0"/>
    <n v="0"/>
    <n v="0"/>
    <n v="0"/>
    <m/>
  </r>
  <r>
    <n v="253"/>
    <d v="2024-04-19T11:49:53"/>
    <d v="2024-04-19T11:50:56"/>
    <s v="ymanda@lighthouse.org.mw"/>
    <s v="Yollam Manda"/>
    <s v="Lumbadzi"/>
    <s v="Prototype"/>
    <x v="1"/>
    <x v="0"/>
    <s v="COP_23"/>
    <s v="Quarter1"/>
    <x v="2"/>
    <s v="Qtr_2"/>
    <x v="5"/>
    <d v="2024-02-01T00:00:00"/>
    <d v="2024-02-29T00:00:00"/>
    <x v="2"/>
    <n v="0"/>
    <n v="0"/>
    <n v="0"/>
    <n v="0"/>
    <n v="0"/>
    <n v="0"/>
    <n v="0"/>
    <n v="0"/>
    <n v="0"/>
    <n v="0"/>
    <n v="0"/>
    <n v="0"/>
    <n v="0"/>
    <n v="0"/>
    <n v="0"/>
    <n v="0"/>
    <n v="0"/>
    <n v="0"/>
    <n v="0"/>
    <n v="0"/>
    <n v="0"/>
    <n v="0"/>
    <n v="0"/>
    <n v="0"/>
    <n v="0"/>
    <m/>
  </r>
  <r>
    <n v="461"/>
    <d v="2024-05-22T11:22:58"/>
    <d v="2024-05-22T11:25:04"/>
    <s v="ymanda@lighthouse.org.mw"/>
    <s v="Yollam Manda"/>
    <s v="Lumbadzi"/>
    <s v="Prototype"/>
    <x v="1"/>
    <x v="0"/>
    <s v="COP_23"/>
    <s v="Quarter2"/>
    <x v="3"/>
    <s v="Qtr_3"/>
    <x v="7"/>
    <d v="2024-04-01T00:00:00"/>
    <d v="2024-04-30T00:00:00"/>
    <x v="2"/>
    <n v="4"/>
    <n v="0"/>
    <n v="3"/>
    <n v="1"/>
    <n v="0"/>
    <n v="0"/>
    <n v="4"/>
    <n v="1"/>
    <n v="0"/>
    <n v="0"/>
    <n v="0"/>
    <n v="0"/>
    <n v="0"/>
    <n v="0"/>
    <n v="0"/>
    <n v="0"/>
    <n v="0"/>
    <n v="0"/>
    <n v="0"/>
    <n v="0"/>
    <n v="0"/>
    <n v="0"/>
    <n v="0"/>
    <n v="0"/>
    <n v="3"/>
    <m/>
  </r>
  <r>
    <n v="486"/>
    <d v="2024-06-05T11:39:56"/>
    <d v="2024-06-05T11:41:16"/>
    <s v="ymanda@lighthouse.org.mw"/>
    <s v="Yollam Manda"/>
    <s v="Lumbadzi"/>
    <s v="Prototype"/>
    <x v="1"/>
    <x v="0"/>
    <s v="COP_23"/>
    <s v="Quarter2"/>
    <x v="3"/>
    <s v="Qtr_3"/>
    <x v="6"/>
    <d v="2024-05-01T00:00:00"/>
    <d v="2024-05-31T00:00:00"/>
    <x v="2"/>
    <n v="1"/>
    <n v="0"/>
    <n v="1"/>
    <n v="0"/>
    <n v="0"/>
    <n v="0"/>
    <n v="1"/>
    <n v="0"/>
    <n v="0"/>
    <n v="0"/>
    <n v="0"/>
    <n v="0"/>
    <n v="0"/>
    <n v="0"/>
    <n v="0"/>
    <n v="0"/>
    <n v="0"/>
    <n v="0"/>
    <n v="0"/>
    <n v="0"/>
    <n v="0"/>
    <n v="0"/>
    <n v="0"/>
    <n v="0"/>
    <n v="1"/>
    <m/>
  </r>
  <r>
    <n v="576"/>
    <d v="2024-07-03T12:49:12"/>
    <d v="2024-07-03T12:51:27"/>
    <s v="ymanda@lighthouse.org.mw"/>
    <s v="Yollam Manda"/>
    <s v="Lumbadzi"/>
    <s v="Prototype"/>
    <x v="1"/>
    <x v="0"/>
    <s v="COP_23"/>
    <s v="Quarter2"/>
    <x v="3"/>
    <s v="Qtr_3"/>
    <x v="8"/>
    <d v="2024-06-01T00:00:00"/>
    <d v="2024-06-30T00:00:00"/>
    <x v="2"/>
    <n v="2"/>
    <n v="1"/>
    <n v="2"/>
    <n v="0"/>
    <n v="0"/>
    <n v="0"/>
    <n v="2"/>
    <n v="1"/>
    <n v="1"/>
    <n v="0"/>
    <n v="0"/>
    <n v="0"/>
    <n v="0"/>
    <n v="0"/>
    <n v="0"/>
    <n v="0"/>
    <n v="0"/>
    <n v="0"/>
    <n v="0"/>
    <n v="0"/>
    <n v="0"/>
    <n v="0"/>
    <n v="0"/>
    <n v="0"/>
    <n v="2"/>
    <m/>
  </r>
  <r>
    <n v="705"/>
    <d v="2024-08-05T12:45:58"/>
    <d v="2024-08-05T12:47:25"/>
    <s v="ymanda@lighthouse.org.mw"/>
    <s v="Yollam Manda"/>
    <s v="Lumbadzi"/>
    <s v="Prototype"/>
    <x v="1"/>
    <x v="0"/>
    <s v="COP_23"/>
    <s v="Quarter3"/>
    <x v="1"/>
    <s v="Qtr_4"/>
    <x v="9"/>
    <d v="2024-07-01T00:00:00"/>
    <d v="2024-07-31T00:00:00"/>
    <x v="2"/>
    <n v="1"/>
    <n v="0"/>
    <n v="1"/>
    <n v="0"/>
    <n v="0"/>
    <n v="0"/>
    <n v="1"/>
    <n v="1"/>
    <n v="1"/>
    <n v="0"/>
    <n v="0"/>
    <n v="0"/>
    <n v="0"/>
    <n v="0"/>
    <n v="0"/>
    <n v="0"/>
    <n v="0"/>
    <n v="0"/>
    <n v="0"/>
    <n v="0"/>
    <n v="0"/>
    <n v="0"/>
    <n v="0"/>
    <n v="0"/>
    <n v="0"/>
    <m/>
  </r>
  <r>
    <n v="845"/>
    <d v="2024-10-02T13:59:26"/>
    <d v="2024-10-02T14:01:34"/>
    <s v="ymanda@lighthouse.org.mw"/>
    <s v="Yollam Manda"/>
    <s v="Lumbadzi"/>
    <s v="Prototype"/>
    <x v="1"/>
    <x v="0"/>
    <s v="COP_23"/>
    <s v="Quarter3"/>
    <x v="1"/>
    <s v="Qtr_4"/>
    <x v="10"/>
    <d v="2024-08-01T00:00:00"/>
    <d v="2024-08-30T00:00:00"/>
    <x v="2"/>
    <n v="2"/>
    <n v="2"/>
    <n v="0"/>
    <n v="0"/>
    <n v="1"/>
    <n v="1"/>
    <n v="2"/>
    <n v="1"/>
    <n v="0"/>
    <n v="0"/>
    <n v="0"/>
    <n v="0"/>
    <n v="0"/>
    <n v="0"/>
    <n v="0"/>
    <n v="0"/>
    <n v="0"/>
    <n v="0"/>
    <n v="0"/>
    <n v="0"/>
    <n v="0"/>
    <n v="0"/>
    <n v="0"/>
    <n v="0"/>
    <n v="2"/>
    <m/>
  </r>
  <r>
    <n v="852"/>
    <d v="2024-10-02T14:21:24"/>
    <d v="2024-10-02T14:23:34"/>
    <s v="ymanda@lighthouse.org.mw"/>
    <s v="Yollam Manda"/>
    <s v="Lumbadzi"/>
    <s v="Prototype"/>
    <x v="1"/>
    <x v="0"/>
    <s v="COP_23"/>
    <s v="Quarter3"/>
    <x v="1"/>
    <s v="Qtr_4"/>
    <x v="2"/>
    <d v="2024-09-01T00:00:00"/>
    <d v="2024-09-30T00:00:00"/>
    <x v="2"/>
    <n v="0"/>
    <n v="0"/>
    <n v="0"/>
    <n v="0"/>
    <n v="0"/>
    <n v="0"/>
    <n v="0"/>
    <n v="0"/>
    <n v="0"/>
    <n v="0"/>
    <n v="0"/>
    <n v="0"/>
    <n v="0"/>
    <n v="0"/>
    <n v="0"/>
    <n v="0"/>
    <n v="0"/>
    <n v="0"/>
    <n v="0"/>
    <n v="0"/>
    <n v="0"/>
    <n v="0"/>
    <n v="0"/>
    <n v="0"/>
    <n v="0"/>
    <m/>
  </r>
  <r>
    <n v="1024"/>
    <d v="2024-11-04T12:33:46"/>
    <d v="2024-11-04T12:37:22"/>
    <s v="ymanda@lighthouse.org.mw"/>
    <s v="Yollam Manda"/>
    <s v="Lumbadzi"/>
    <s v="Prototype"/>
    <x v="1"/>
    <x v="0"/>
    <s v="COP_24"/>
    <s v="Quarter4"/>
    <x v="0"/>
    <s v="Qtr_1"/>
    <x v="0"/>
    <d v="2024-10-01T00:00:00"/>
    <d v="2024-10-31T00:00:00"/>
    <x v="2"/>
    <n v="2"/>
    <n v="1"/>
    <n v="1"/>
    <n v="0"/>
    <n v="0"/>
    <n v="1"/>
    <n v="1"/>
    <n v="0"/>
    <n v="1"/>
    <n v="0"/>
    <n v="0"/>
    <n v="0"/>
    <n v="1"/>
    <n v="0"/>
    <n v="1"/>
    <n v="1"/>
    <n v="1"/>
    <n v="0"/>
    <n v="0"/>
    <n v="0"/>
    <n v="1"/>
    <n v="0"/>
    <n v="0"/>
    <n v="0"/>
    <n v="0"/>
    <m/>
  </r>
  <r>
    <n v="700"/>
    <d v="2024-08-05T11:56:32"/>
    <d v="2024-08-05T12:36:16"/>
    <s v="ymanda@lighthouse.org.mw"/>
    <s v="Yollam Manda"/>
    <s v="Lumbadzi"/>
    <s v="Prototype"/>
    <x v="1"/>
    <x v="0"/>
    <s v="COP_23"/>
    <s v="Quarter3"/>
    <x v="1"/>
    <s v="Qtr_4"/>
    <x v="9"/>
    <d v="2024-07-01T00:00:00"/>
    <d v="2024-07-31T00:00:00"/>
    <x v="0"/>
    <n v="11"/>
    <n v="2"/>
    <n v="8"/>
    <n v="0"/>
    <n v="3"/>
    <n v="0"/>
    <n v="10"/>
    <n v="4"/>
    <n v="3"/>
    <n v="0"/>
    <n v="0"/>
    <n v="0"/>
    <n v="0"/>
    <n v="0"/>
    <n v="0"/>
    <n v="0"/>
    <n v="0"/>
    <n v="0"/>
    <n v="0"/>
    <n v="0"/>
    <n v="0"/>
    <n v="0"/>
    <n v="0"/>
    <n v="0"/>
    <n v="10"/>
    <m/>
  </r>
  <r>
    <n v="702"/>
    <d v="2024-08-05T12:40:58"/>
    <d v="2024-08-05T12:42:14"/>
    <s v="ymanda@lighthouse.org.mw"/>
    <s v="Yollam Manda"/>
    <s v="Lumbadzi"/>
    <s v="Prototype"/>
    <x v="1"/>
    <x v="0"/>
    <s v="COP_23"/>
    <s v="Quarter3"/>
    <x v="1"/>
    <s v="Qtr_4"/>
    <x v="9"/>
    <d v="2024-07-01T00:00:00"/>
    <d v="2024-07-31T00:00:00"/>
    <x v="3"/>
    <n v="0"/>
    <n v="0"/>
    <n v="0"/>
    <n v="0"/>
    <n v="0"/>
    <n v="0"/>
    <n v="0"/>
    <n v="0"/>
    <n v="0"/>
    <n v="0"/>
    <n v="0"/>
    <n v="0"/>
    <n v="0"/>
    <n v="0"/>
    <n v="0"/>
    <n v="0"/>
    <n v="0"/>
    <n v="0"/>
    <n v="0"/>
    <n v="0"/>
    <n v="0"/>
    <n v="0"/>
    <n v="0"/>
    <n v="0"/>
    <n v="0"/>
    <m/>
  </r>
  <r>
    <n v="703"/>
    <d v="2024-08-05T12:42:18"/>
    <d v="2024-08-05T12:44:31"/>
    <s v="ymanda@lighthouse.org.mw"/>
    <s v="Yollam Manda"/>
    <s v="Lumbadzi"/>
    <s v="Prototype"/>
    <x v="1"/>
    <x v="0"/>
    <s v="COP_23"/>
    <s v="Quarter3"/>
    <x v="1"/>
    <s v="Qtr_4"/>
    <x v="9"/>
    <d v="2024-07-01T00:00:00"/>
    <d v="2024-07-31T00:00:00"/>
    <x v="4"/>
    <n v="0"/>
    <n v="0"/>
    <n v="0"/>
    <n v="0"/>
    <n v="0"/>
    <n v="0"/>
    <n v="0"/>
    <n v="0"/>
    <n v="0"/>
    <n v="0"/>
    <n v="0"/>
    <n v="0"/>
    <n v="0"/>
    <n v="0"/>
    <n v="0"/>
    <n v="0"/>
    <n v="0"/>
    <n v="0"/>
    <n v="0"/>
    <n v="0"/>
    <n v="0"/>
    <n v="0"/>
    <n v="0"/>
    <n v="0"/>
    <n v="0"/>
    <m/>
  </r>
  <r>
    <n v="704"/>
    <d v="2024-08-05T12:44:35"/>
    <d v="2024-08-05T12:45:44"/>
    <s v="ymanda@lighthouse.org.mw"/>
    <s v="Yollam Manda"/>
    <s v="Lumbadzi"/>
    <s v="Prototype"/>
    <x v="1"/>
    <x v="0"/>
    <s v="COP_23"/>
    <s v="Quarter3"/>
    <x v="1"/>
    <s v="Qtr_4"/>
    <x v="9"/>
    <d v="2024-07-01T00:00:00"/>
    <d v="2024-07-31T00:00:00"/>
    <x v="5"/>
    <n v="0"/>
    <n v="0"/>
    <n v="0"/>
    <n v="0"/>
    <n v="0"/>
    <n v="0"/>
    <n v="0"/>
    <n v="0"/>
    <n v="0"/>
    <n v="0"/>
    <n v="0"/>
    <n v="0"/>
    <n v="0"/>
    <n v="0"/>
    <n v="0"/>
    <n v="0"/>
    <n v="0"/>
    <n v="0"/>
    <n v="0"/>
    <n v="0"/>
    <n v="0"/>
    <n v="0"/>
    <n v="0"/>
    <n v="0"/>
    <n v="0"/>
    <m/>
  </r>
  <r>
    <n v="706"/>
    <d v="2024-08-05T12:47:28"/>
    <d v="2024-08-05T12:48:36"/>
    <s v="ymanda@lighthouse.org.mw"/>
    <s v="Yollam Manda"/>
    <s v="Lumbadzi"/>
    <s v="Prototype"/>
    <x v="1"/>
    <x v="0"/>
    <s v="COP_23"/>
    <s v="Quarter3"/>
    <x v="1"/>
    <s v="Qtr_4"/>
    <x v="9"/>
    <d v="2024-07-01T00:00:00"/>
    <d v="2024-07-31T00:00:00"/>
    <x v="6"/>
    <n v="0"/>
    <n v="0"/>
    <n v="0"/>
    <n v="0"/>
    <n v="0"/>
    <n v="0"/>
    <n v="0"/>
    <n v="0"/>
    <n v="0"/>
    <n v="0"/>
    <n v="0"/>
    <n v="0"/>
    <n v="0"/>
    <n v="0"/>
    <n v="0"/>
    <n v="0"/>
    <n v="0"/>
    <n v="0"/>
    <n v="0"/>
    <n v="0"/>
    <n v="0"/>
    <n v="0"/>
    <n v="0"/>
    <n v="0"/>
    <n v="0"/>
    <m/>
  </r>
  <r>
    <n v="842"/>
    <d v="2024-10-02T13:55:54"/>
    <d v="2024-10-02T13:57:05"/>
    <s v="ymanda@lighthouse.org.mw"/>
    <s v="Yollam Manda"/>
    <s v="Lumbadzi"/>
    <s v="Prototype"/>
    <x v="1"/>
    <x v="0"/>
    <s v="COP_23"/>
    <s v="Quarter3"/>
    <x v="1"/>
    <s v="Qtr_4"/>
    <x v="10"/>
    <d v="2024-08-01T00:00:00"/>
    <d v="2024-08-30T00:00:00"/>
    <x v="3"/>
    <n v="0"/>
    <n v="0"/>
    <n v="0"/>
    <n v="0"/>
    <n v="0"/>
    <n v="0"/>
    <n v="0"/>
    <n v="0"/>
    <n v="0"/>
    <n v="0"/>
    <n v="0"/>
    <n v="0"/>
    <n v="0"/>
    <n v="0"/>
    <n v="0"/>
    <n v="0"/>
    <n v="0"/>
    <n v="0"/>
    <n v="0"/>
    <n v="0"/>
    <n v="0"/>
    <n v="0"/>
    <n v="0"/>
    <n v="0"/>
    <n v="0"/>
    <m/>
  </r>
  <r>
    <n v="843"/>
    <d v="2024-10-02T13:57:12"/>
    <d v="2024-10-02T13:58:11"/>
    <s v="ymanda@lighthouse.org.mw"/>
    <s v="Yollam Manda"/>
    <s v="Lumbadzi"/>
    <s v="Prototype"/>
    <x v="1"/>
    <x v="0"/>
    <s v="COP_23"/>
    <s v="Quarter3"/>
    <x v="1"/>
    <s v="Qtr_4"/>
    <x v="10"/>
    <d v="2024-08-01T00:00:00"/>
    <d v="2024-08-30T00:00:00"/>
    <x v="4"/>
    <n v="0"/>
    <n v="0"/>
    <n v="0"/>
    <n v="0"/>
    <n v="0"/>
    <n v="0"/>
    <n v="0"/>
    <n v="0"/>
    <n v="0"/>
    <n v="0"/>
    <n v="0"/>
    <n v="0"/>
    <n v="0"/>
    <n v="0"/>
    <n v="0"/>
    <n v="0"/>
    <n v="0"/>
    <n v="0"/>
    <n v="0"/>
    <n v="0"/>
    <n v="0"/>
    <n v="0"/>
    <n v="0"/>
    <n v="0"/>
    <n v="0"/>
    <m/>
  </r>
  <r>
    <n v="844"/>
    <d v="2024-10-02T13:58:18"/>
    <d v="2024-10-02T13:59:17"/>
    <s v="ymanda@lighthouse.org.mw"/>
    <s v="Yollam Manda"/>
    <s v="Lumbadzi"/>
    <s v="Prototype"/>
    <x v="1"/>
    <x v="0"/>
    <s v="COP_23"/>
    <s v="Quarter3"/>
    <x v="1"/>
    <s v="Qtr_4"/>
    <x v="10"/>
    <d v="2024-08-01T00:00:00"/>
    <d v="2024-08-30T00:00:00"/>
    <x v="5"/>
    <n v="0"/>
    <n v="0"/>
    <n v="0"/>
    <n v="0"/>
    <n v="0"/>
    <n v="0"/>
    <n v="0"/>
    <n v="0"/>
    <n v="0"/>
    <n v="0"/>
    <n v="0"/>
    <n v="0"/>
    <n v="0"/>
    <n v="0"/>
    <n v="0"/>
    <n v="0"/>
    <n v="0"/>
    <n v="0"/>
    <n v="0"/>
    <n v="0"/>
    <n v="0"/>
    <n v="0"/>
    <n v="0"/>
    <n v="0"/>
    <n v="0"/>
    <m/>
  </r>
  <r>
    <n v="846"/>
    <d v="2024-10-02T14:02:15"/>
    <d v="2024-10-02T14:03:04"/>
    <s v="ymanda@lighthouse.org.mw"/>
    <s v="Yollam Manda"/>
    <s v="Lumbadzi"/>
    <s v="Prototype"/>
    <x v="1"/>
    <x v="0"/>
    <s v="COP_23"/>
    <s v="Quarter3"/>
    <x v="1"/>
    <s v="Qtr_4"/>
    <x v="10"/>
    <d v="2024-08-01T00:00:00"/>
    <d v="2024-08-30T00:00:00"/>
    <x v="6"/>
    <n v="0"/>
    <n v="0"/>
    <n v="0"/>
    <n v="0"/>
    <n v="0"/>
    <n v="0"/>
    <n v="0"/>
    <n v="0"/>
    <n v="0"/>
    <n v="0"/>
    <n v="0"/>
    <n v="0"/>
    <n v="0"/>
    <n v="0"/>
    <n v="0"/>
    <n v="0"/>
    <n v="0"/>
    <n v="0"/>
    <n v="0"/>
    <n v="0"/>
    <n v="0"/>
    <n v="0"/>
    <n v="0"/>
    <n v="0"/>
    <n v="0"/>
    <m/>
  </r>
  <r>
    <n v="847"/>
    <d v="2024-10-02T14:09:40"/>
    <d v="2024-10-02T14:12:41"/>
    <s v="ymanda@lighthouse.org.mw"/>
    <s v="Yollam Manda"/>
    <s v="Lumbadzi"/>
    <s v="Prototype"/>
    <x v="1"/>
    <x v="1"/>
    <s v="COP_23"/>
    <s v="Quarter3"/>
    <x v="1"/>
    <s v="Qtr_4"/>
    <x v="10"/>
    <d v="2024-08-01T00:00:00"/>
    <d v="2024-08-30T00:00:00"/>
    <x v="0"/>
    <n v="17"/>
    <n v="2"/>
    <n v="10"/>
    <n v="1"/>
    <n v="5"/>
    <n v="1"/>
    <n v="12"/>
    <n v="2"/>
    <n v="0"/>
    <n v="0"/>
    <n v="0"/>
    <n v="0"/>
    <n v="0"/>
    <n v="0"/>
    <n v="0"/>
    <n v="0"/>
    <n v="0"/>
    <n v="0"/>
    <n v="0"/>
    <n v="0"/>
    <n v="0"/>
    <n v="0"/>
    <n v="0"/>
    <n v="0"/>
    <n v="17"/>
    <m/>
  </r>
  <r>
    <n v="849"/>
    <d v="2024-10-02T14:18:32"/>
    <d v="2024-10-02T14:19:34"/>
    <s v="ymanda@lighthouse.org.mw"/>
    <s v="Yollam Manda"/>
    <s v="Lumbadzi"/>
    <s v="Prototype"/>
    <x v="1"/>
    <x v="1"/>
    <s v="COP_23"/>
    <s v="Quarter3"/>
    <x v="1"/>
    <s v="Qtr_4"/>
    <x v="2"/>
    <d v="2024-09-01T00:00:00"/>
    <d v="2024-09-30T00:00:00"/>
    <x v="3"/>
    <n v="1"/>
    <n v="0"/>
    <n v="0"/>
    <n v="0"/>
    <n v="1"/>
    <n v="0"/>
    <n v="0"/>
    <n v="0"/>
    <n v="0"/>
    <n v="0"/>
    <n v="0"/>
    <n v="0"/>
    <n v="0"/>
    <n v="0"/>
    <n v="0"/>
    <n v="0"/>
    <n v="0"/>
    <n v="0"/>
    <n v="0"/>
    <n v="0"/>
    <n v="0"/>
    <n v="0"/>
    <n v="0"/>
    <n v="0"/>
    <n v="1"/>
    <m/>
  </r>
  <r>
    <n v="850"/>
    <d v="2024-10-02T14:19:42"/>
    <d v="2024-10-02T14:20:33"/>
    <s v="ymanda@lighthouse.org.mw"/>
    <s v="Yollam Manda"/>
    <s v="Lumbadzi"/>
    <s v="Prototype"/>
    <x v="1"/>
    <x v="1"/>
    <s v="COP_23"/>
    <s v="Quarter3"/>
    <x v="1"/>
    <s v="Qtr_4"/>
    <x v="2"/>
    <d v="2024-09-01T00:00:00"/>
    <d v="2024-09-30T00:00:00"/>
    <x v="4"/>
    <n v="0"/>
    <n v="0"/>
    <n v="0"/>
    <n v="0"/>
    <n v="0"/>
    <n v="0"/>
    <n v="0"/>
    <n v="0"/>
    <n v="0"/>
    <n v="0"/>
    <n v="0"/>
    <n v="0"/>
    <n v="0"/>
    <n v="0"/>
    <n v="0"/>
    <n v="0"/>
    <n v="0"/>
    <n v="0"/>
    <n v="0"/>
    <n v="0"/>
    <n v="0"/>
    <n v="0"/>
    <n v="0"/>
    <n v="0"/>
    <n v="0"/>
    <m/>
  </r>
  <r>
    <n v="851"/>
    <d v="2024-10-02T14:20:39"/>
    <d v="2024-10-02T14:21:21"/>
    <s v="ymanda@lighthouse.org.mw"/>
    <s v="Yollam Manda"/>
    <s v="Lumbadzi"/>
    <s v="Prototype"/>
    <x v="1"/>
    <x v="1"/>
    <s v="COP_23"/>
    <s v="Quarter3"/>
    <x v="1"/>
    <s v="Qtr_4"/>
    <x v="2"/>
    <d v="2024-09-01T00:00:00"/>
    <d v="2024-09-30T00:00:00"/>
    <x v="5"/>
    <n v="0"/>
    <n v="0"/>
    <n v="0"/>
    <n v="0"/>
    <n v="0"/>
    <n v="0"/>
    <n v="0"/>
    <n v="0"/>
    <n v="0"/>
    <n v="0"/>
    <n v="0"/>
    <n v="0"/>
    <n v="0"/>
    <n v="0"/>
    <n v="0"/>
    <n v="0"/>
    <n v="0"/>
    <n v="0"/>
    <n v="0"/>
    <n v="0"/>
    <n v="0"/>
    <n v="0"/>
    <n v="0"/>
    <n v="0"/>
    <n v="0"/>
    <m/>
  </r>
  <r>
    <n v="853"/>
    <d v="2024-10-02T14:23:37"/>
    <d v="2024-10-02T14:24:24"/>
    <s v="ymanda@lighthouse.org.mw"/>
    <s v="Yollam Manda"/>
    <s v="Lumbadzi"/>
    <s v="Prototype"/>
    <x v="1"/>
    <x v="1"/>
    <s v="COP_23"/>
    <s v="Quarter3"/>
    <x v="1"/>
    <s v="Qtr_4"/>
    <x v="2"/>
    <d v="2024-09-01T00:00:00"/>
    <d v="2024-09-30T00:00:00"/>
    <x v="6"/>
    <n v="0"/>
    <n v="0"/>
    <n v="0"/>
    <n v="0"/>
    <n v="0"/>
    <n v="0"/>
    <n v="0"/>
    <n v="0"/>
    <n v="0"/>
    <n v="0"/>
    <n v="0"/>
    <n v="0"/>
    <n v="0"/>
    <n v="0"/>
    <n v="0"/>
    <n v="0"/>
    <n v="0"/>
    <n v="0"/>
    <n v="0"/>
    <n v="0"/>
    <n v="0"/>
    <n v="0"/>
    <n v="0"/>
    <n v="0"/>
    <n v="0"/>
    <m/>
  </r>
  <r>
    <n v="854"/>
    <d v="2024-10-02T14:24:26"/>
    <d v="2024-10-02T14:25:31"/>
    <s v="ymanda@lighthouse.org.mw"/>
    <s v="Yollam Manda"/>
    <s v="Lumbadzi"/>
    <s v="Prototype"/>
    <x v="1"/>
    <x v="1"/>
    <s v="COP_23"/>
    <s v="Quarter3"/>
    <x v="1"/>
    <s v="Qtr_4"/>
    <x v="2"/>
    <d v="2024-09-01T00:00:00"/>
    <d v="2024-09-30T00:00:00"/>
    <x v="0"/>
    <n v="14"/>
    <n v="0"/>
    <n v="6"/>
    <n v="1"/>
    <n v="7"/>
    <n v="0"/>
    <n v="0"/>
    <n v="0"/>
    <n v="0"/>
    <n v="0"/>
    <n v="0"/>
    <n v="0"/>
    <n v="0"/>
    <n v="0"/>
    <n v="0"/>
    <n v="0"/>
    <n v="0"/>
    <n v="0"/>
    <n v="0"/>
    <n v="0"/>
    <n v="0"/>
    <n v="0"/>
    <n v="0"/>
    <n v="0"/>
    <n v="14"/>
    <m/>
  </r>
  <r>
    <n v="1021"/>
    <d v="2024-11-04T12:14:46"/>
    <d v="2024-11-04T12:30:56"/>
    <s v="ymanda@lighthouse.org.mw"/>
    <s v="Yollam Manda"/>
    <s v="Lumbadzi"/>
    <s v="Prototype"/>
    <x v="1"/>
    <x v="2"/>
    <s v="COP_24"/>
    <s v="Quarter4"/>
    <x v="0"/>
    <s v="Qtr_1"/>
    <x v="0"/>
    <d v="2024-10-01T00:00:00"/>
    <d v="2024-10-31T00:00:00"/>
    <x v="3"/>
    <n v="1"/>
    <n v="0"/>
    <n v="1"/>
    <n v="0"/>
    <n v="0"/>
    <n v="0"/>
    <n v="0"/>
    <n v="0"/>
    <n v="0"/>
    <n v="0"/>
    <n v="0"/>
    <n v="0"/>
    <n v="0"/>
    <n v="0"/>
    <n v="0"/>
    <n v="0"/>
    <n v="0"/>
    <n v="0"/>
    <n v="0"/>
    <n v="0"/>
    <n v="0"/>
    <n v="0"/>
    <n v="0"/>
    <n v="0"/>
    <n v="0"/>
    <m/>
  </r>
  <r>
    <n v="1022"/>
    <d v="2024-11-04T12:31:03"/>
    <d v="2024-11-04T12:32:01"/>
    <s v="ymanda@lighthouse.org.mw"/>
    <s v="Yollam Manda"/>
    <s v="Lumbadzi"/>
    <s v="Prototype"/>
    <x v="1"/>
    <x v="2"/>
    <s v="COP_24"/>
    <s v="Quarter4"/>
    <x v="0"/>
    <s v="Qtr_1"/>
    <x v="0"/>
    <d v="2024-10-01T00:00:00"/>
    <d v="2024-10-31T00:00:00"/>
    <x v="4"/>
    <n v="0"/>
    <n v="0"/>
    <n v="0"/>
    <n v="0"/>
    <n v="0"/>
    <n v="0"/>
    <n v="0"/>
    <n v="0"/>
    <n v="0"/>
    <n v="0"/>
    <n v="0"/>
    <n v="0"/>
    <n v="0"/>
    <n v="0"/>
    <n v="0"/>
    <n v="0"/>
    <n v="0"/>
    <n v="0"/>
    <n v="0"/>
    <n v="0"/>
    <n v="0"/>
    <n v="0"/>
    <n v="0"/>
    <n v="0"/>
    <n v="0"/>
    <m/>
  </r>
  <r>
    <n v="1023"/>
    <d v="2024-11-04T12:32:06"/>
    <d v="2024-11-04T12:33:39"/>
    <s v="ymanda@lighthouse.org.mw"/>
    <s v="Yollam Manda"/>
    <s v="Lumbadzi"/>
    <s v="Prototype"/>
    <x v="1"/>
    <x v="2"/>
    <s v="COP_24"/>
    <s v="Quarter4"/>
    <x v="0"/>
    <s v="Qtr_1"/>
    <x v="0"/>
    <d v="2024-10-01T00:00:00"/>
    <d v="2024-10-31T00:00:00"/>
    <x v="5"/>
    <n v="3"/>
    <n v="0"/>
    <n v="3"/>
    <n v="0"/>
    <n v="0"/>
    <n v="0"/>
    <n v="0"/>
    <n v="0"/>
    <n v="0"/>
    <n v="0"/>
    <n v="0"/>
    <n v="0"/>
    <n v="0"/>
    <n v="0"/>
    <n v="0"/>
    <n v="0"/>
    <n v="0"/>
    <n v="0"/>
    <n v="0"/>
    <n v="0"/>
    <n v="0"/>
    <n v="0"/>
    <n v="0"/>
    <n v="0"/>
    <n v="0"/>
    <m/>
  </r>
  <r>
    <n v="1025"/>
    <d v="2024-11-04T12:37:28"/>
    <d v="2024-11-04T12:38:16"/>
    <s v="ymanda@lighthouse.org.mw"/>
    <s v="Yollam Manda"/>
    <s v="Lumbadzi"/>
    <s v="Prototype"/>
    <x v="1"/>
    <x v="2"/>
    <s v="COP_24"/>
    <s v="Quarter4"/>
    <x v="0"/>
    <s v="Qtr_1"/>
    <x v="0"/>
    <d v="2024-10-01T00:00:00"/>
    <d v="2024-10-31T00:00:00"/>
    <x v="6"/>
    <n v="0"/>
    <n v="0"/>
    <n v="0"/>
    <n v="0"/>
    <n v="0"/>
    <n v="0"/>
    <n v="0"/>
    <n v="0"/>
    <n v="0"/>
    <n v="0"/>
    <n v="0"/>
    <n v="0"/>
    <n v="0"/>
    <n v="0"/>
    <n v="0"/>
    <n v="0"/>
    <n v="0"/>
    <n v="0"/>
    <n v="0"/>
    <n v="0"/>
    <n v="0"/>
    <n v="0"/>
    <n v="0"/>
    <n v="0"/>
    <n v="0"/>
    <m/>
  </r>
  <r>
    <n v="1026"/>
    <d v="2024-11-04T12:38:22"/>
    <d v="2024-11-04T12:40:33"/>
    <s v="ymanda@lighthouse.org.mw"/>
    <s v="Yollam Manda"/>
    <s v="Lumbadzi"/>
    <s v="Prototype"/>
    <x v="1"/>
    <x v="2"/>
    <s v="COP_24"/>
    <s v="Quarter4"/>
    <x v="0"/>
    <s v="Qtr_1"/>
    <x v="0"/>
    <d v="2024-10-01T00:00:00"/>
    <d v="2024-10-31T00:00:00"/>
    <x v="0"/>
    <n v="24"/>
    <n v="1"/>
    <n v="20"/>
    <n v="2"/>
    <n v="1"/>
    <n v="1"/>
    <n v="1"/>
    <n v="0"/>
    <n v="1"/>
    <n v="0"/>
    <n v="1"/>
    <n v="0"/>
    <n v="4"/>
    <n v="0"/>
    <n v="1"/>
    <n v="1"/>
    <n v="1"/>
    <n v="0"/>
    <n v="0"/>
    <n v="0"/>
    <n v="1"/>
    <n v="0"/>
    <n v="0"/>
    <n v="0"/>
    <n v="0"/>
    <m/>
  </r>
  <r>
    <n v="1096"/>
    <d v="2024-12-04T11:09:20"/>
    <d v="2024-12-04T11:14:11"/>
    <s v="ymanda@lighthouse.org.mw"/>
    <s v="Yollam Manda"/>
    <s v="Lumbadzi"/>
    <s v="Prototype"/>
    <x v="1"/>
    <x v="2"/>
    <s v="COP_24"/>
    <s v="Quarter4"/>
    <x v="0"/>
    <s v="Qtr_1"/>
    <x v="1"/>
    <d v="2024-11-01T00:00:00"/>
    <d v="2024-11-30T00:00:00"/>
    <x v="1"/>
    <n v="14"/>
    <n v="0"/>
    <n v="10"/>
    <n v="2"/>
    <n v="2"/>
    <n v="0"/>
    <n v="0"/>
    <n v="0"/>
    <n v="1"/>
    <n v="0"/>
    <n v="0"/>
    <n v="0"/>
    <n v="1"/>
    <n v="0"/>
    <n v="0"/>
    <n v="0"/>
    <n v="0"/>
    <n v="0"/>
    <n v="0"/>
    <n v="0"/>
    <n v="0"/>
    <n v="0"/>
    <n v="0"/>
    <n v="0"/>
    <n v="0"/>
    <m/>
  </r>
  <r>
    <n v="1097"/>
    <d v="2024-12-04T11:14:20"/>
    <d v="2024-12-04T11:17:00"/>
    <s v="ymanda@lighthouse.org.mw"/>
    <s v="Yollam Manda"/>
    <s v="Lumbadzi"/>
    <s v="Prototype"/>
    <x v="1"/>
    <x v="2"/>
    <s v="COP_24"/>
    <s v="Quarter4"/>
    <x v="0"/>
    <s v="Qtr_1"/>
    <x v="1"/>
    <d v="2024-11-01T00:00:00"/>
    <d v="2024-11-30T00:00:00"/>
    <x v="3"/>
    <n v="0"/>
    <n v="0"/>
    <n v="0"/>
    <n v="0"/>
    <n v="0"/>
    <n v="0"/>
    <n v="0"/>
    <n v="0"/>
    <n v="0"/>
    <n v="0"/>
    <n v="0"/>
    <n v="0"/>
    <n v="0"/>
    <n v="0"/>
    <n v="0"/>
    <n v="0"/>
    <n v="0"/>
    <n v="0"/>
    <n v="0"/>
    <n v="0"/>
    <n v="0"/>
    <n v="0"/>
    <n v="0"/>
    <n v="0"/>
    <n v="0"/>
    <m/>
  </r>
  <r>
    <n v="1098"/>
    <d v="2024-12-04T11:17:04"/>
    <d v="2024-12-04T11:19:07"/>
    <s v="ymanda@lighthouse.org.mw"/>
    <s v="Yollam Manda"/>
    <s v="Lumbadzi"/>
    <s v="Prototype"/>
    <x v="1"/>
    <x v="2"/>
    <s v="COP_24"/>
    <s v="Quarter4"/>
    <x v="0"/>
    <s v="Qtr_1"/>
    <x v="1"/>
    <d v="2024-11-01T00:00:00"/>
    <d v="2024-11-30T00:00:00"/>
    <x v="4"/>
    <n v="2"/>
    <n v="0"/>
    <n v="2"/>
    <n v="0"/>
    <n v="0"/>
    <n v="0"/>
    <n v="0"/>
    <n v="0"/>
    <n v="0"/>
    <n v="0"/>
    <n v="0"/>
    <n v="0"/>
    <n v="0"/>
    <n v="0"/>
    <n v="0"/>
    <n v="0"/>
    <n v="0"/>
    <n v="0"/>
    <n v="0"/>
    <n v="0"/>
    <n v="0"/>
    <n v="0"/>
    <n v="0"/>
    <n v="0"/>
    <n v="0"/>
    <m/>
  </r>
  <r>
    <n v="1099"/>
    <d v="2024-12-04T11:19:14"/>
    <d v="2024-12-04T11:21:11"/>
    <s v="ymanda@lighthouse.org.mw"/>
    <s v="Yollam Manda"/>
    <s v="Lumbadzi"/>
    <s v="Prototype"/>
    <x v="1"/>
    <x v="2"/>
    <s v="COP_24"/>
    <s v="Quarter4"/>
    <x v="0"/>
    <s v="Qtr_1"/>
    <x v="1"/>
    <d v="2024-11-01T00:00:00"/>
    <d v="2024-11-30T00:00:00"/>
    <x v="5"/>
    <n v="1"/>
    <n v="1"/>
    <n v="1"/>
    <n v="0"/>
    <n v="0"/>
    <n v="0"/>
    <n v="0"/>
    <n v="0"/>
    <n v="0"/>
    <n v="0"/>
    <n v="0"/>
    <n v="0"/>
    <n v="0"/>
    <n v="0"/>
    <n v="0"/>
    <n v="0"/>
    <n v="0"/>
    <n v="0"/>
    <n v="0"/>
    <n v="0"/>
    <n v="0"/>
    <n v="0"/>
    <n v="0"/>
    <n v="0"/>
    <n v="0"/>
    <m/>
  </r>
  <r>
    <n v="1100"/>
    <d v="2024-12-04T11:21:19"/>
    <d v="2024-12-04T11:25:48"/>
    <s v="ymanda@lighthouse.org.mw"/>
    <s v="Yollam Manda"/>
    <s v="Lumbadzi"/>
    <s v="Prototype"/>
    <x v="1"/>
    <x v="2"/>
    <s v="COP_24"/>
    <s v="Quarter4"/>
    <x v="0"/>
    <s v="Qtr_1"/>
    <x v="1"/>
    <d v="2024-11-01T00:00:00"/>
    <d v="2024-11-30T00:00:00"/>
    <x v="2"/>
    <n v="5"/>
    <n v="0"/>
    <n v="4"/>
    <n v="1"/>
    <n v="0"/>
    <n v="0"/>
    <n v="0"/>
    <n v="0"/>
    <n v="1"/>
    <n v="0"/>
    <n v="0"/>
    <n v="0"/>
    <n v="1"/>
    <n v="0"/>
    <n v="0"/>
    <n v="0"/>
    <n v="0"/>
    <n v="0"/>
    <n v="0"/>
    <n v="0"/>
    <n v="0"/>
    <n v="0"/>
    <n v="0"/>
    <n v="0"/>
    <n v="0"/>
    <m/>
  </r>
  <r>
    <n v="1101"/>
    <d v="2024-12-04T11:25:54"/>
    <d v="2024-12-04T11:26:47"/>
    <s v="ymanda@lighthouse.org.mw"/>
    <s v="Yollam Manda"/>
    <s v="Lumbadzi"/>
    <s v="Prototype"/>
    <x v="1"/>
    <x v="2"/>
    <s v="COP_24"/>
    <s v="Quarter4"/>
    <x v="0"/>
    <s v="Qtr_1"/>
    <x v="1"/>
    <d v="2024-11-01T00:00:00"/>
    <d v="2024-11-30T00:00:00"/>
    <x v="6"/>
    <n v="0"/>
    <n v="0"/>
    <n v="0"/>
    <n v="0"/>
    <n v="0"/>
    <n v="0"/>
    <n v="0"/>
    <n v="0"/>
    <n v="0"/>
    <n v="0"/>
    <n v="0"/>
    <n v="0"/>
    <n v="0"/>
    <n v="0"/>
    <n v="0"/>
    <n v="0"/>
    <n v="0"/>
    <n v="0"/>
    <n v="0"/>
    <n v="0"/>
    <n v="0"/>
    <n v="0"/>
    <n v="0"/>
    <n v="0"/>
    <n v="0"/>
    <m/>
  </r>
  <r>
    <n v="1102"/>
    <d v="2024-12-04T11:26:50"/>
    <d v="2024-12-04T11:30:40"/>
    <s v="ymanda@lighthouse.org.mw"/>
    <s v="Yollam Manda"/>
    <s v="Lumbadzi"/>
    <s v="Prototype"/>
    <x v="1"/>
    <x v="2"/>
    <s v="COP_24"/>
    <s v="Quarter4"/>
    <x v="0"/>
    <s v="Qtr_1"/>
    <x v="1"/>
    <d v="2024-11-01T00:00:00"/>
    <d v="2024-11-30T00:00:00"/>
    <x v="0"/>
    <n v="20"/>
    <n v="1"/>
    <n v="15"/>
    <n v="3"/>
    <n v="2"/>
    <n v="0"/>
    <n v="0"/>
    <n v="0"/>
    <n v="2"/>
    <n v="0"/>
    <n v="0"/>
    <n v="0"/>
    <n v="2"/>
    <n v="0"/>
    <n v="0"/>
    <n v="0"/>
    <n v="0"/>
    <n v="0"/>
    <n v="0"/>
    <n v="0"/>
    <n v="0"/>
    <n v="0"/>
    <n v="0"/>
    <n v="0"/>
    <n v="0"/>
    <m/>
  </r>
  <r>
    <n v="1187"/>
    <d v="2025-01-06T09:56:01"/>
    <d v="2025-01-06T13:23:47"/>
    <s v="ymanda@lighthouse.org.mw"/>
    <s v="Yollam Manda"/>
    <s v="Lumbadzi"/>
    <s v="Prototype"/>
    <x v="1"/>
    <x v="0"/>
    <s v="COP_24"/>
    <s v="Quarter4"/>
    <x v="0"/>
    <s v="Qtr_1"/>
    <x v="11"/>
    <d v="2024-12-01T00:00:00"/>
    <d v="2024-12-31T00:00:00"/>
    <x v="3"/>
    <n v="0"/>
    <n v="0"/>
    <n v="0"/>
    <n v="0"/>
    <n v="0"/>
    <n v="0"/>
    <n v="0"/>
    <n v="0"/>
    <n v="0"/>
    <n v="0"/>
    <n v="0"/>
    <n v="0"/>
    <n v="0"/>
    <n v="0"/>
    <n v="0"/>
    <n v="0"/>
    <n v="0"/>
    <n v="0"/>
    <n v="0"/>
    <n v="0"/>
    <n v="0"/>
    <n v="0"/>
    <n v="0"/>
    <n v="0"/>
    <n v="0"/>
    <m/>
  </r>
  <r>
    <n v="1188"/>
    <d v="2025-01-06T13:23:51"/>
    <d v="2025-01-06T13:24:38"/>
    <s v="ymanda@lighthouse.org.mw"/>
    <s v="Yollam Manda"/>
    <s v="Lumbadzi"/>
    <s v="Prototype"/>
    <x v="1"/>
    <x v="0"/>
    <s v="COP_24"/>
    <s v="Quarter4"/>
    <x v="0"/>
    <s v="Qtr_1"/>
    <x v="11"/>
    <d v="2024-12-01T00:00:00"/>
    <d v="2024-12-31T00:00:00"/>
    <x v="4"/>
    <n v="0"/>
    <n v="0"/>
    <n v="0"/>
    <n v="0"/>
    <n v="0"/>
    <n v="0"/>
    <n v="0"/>
    <n v="0"/>
    <n v="0"/>
    <n v="0"/>
    <n v="0"/>
    <n v="0"/>
    <n v="0"/>
    <n v="0"/>
    <n v="0"/>
    <n v="0"/>
    <n v="0"/>
    <n v="0"/>
    <n v="0"/>
    <n v="0"/>
    <n v="0"/>
    <n v="0"/>
    <n v="0"/>
    <n v="0"/>
    <n v="0"/>
    <m/>
  </r>
  <r>
    <n v="1189"/>
    <d v="2025-01-06T13:24:45"/>
    <d v="2025-01-06T13:26:20"/>
    <s v="ymanda@lighthouse.org.mw"/>
    <s v="Yollam Manda"/>
    <s v="Lumbadzi"/>
    <s v="Prototype"/>
    <x v="1"/>
    <x v="0"/>
    <s v="COP_24"/>
    <s v="Quarter4"/>
    <x v="0"/>
    <s v="Qtr_1"/>
    <x v="11"/>
    <d v="2024-12-01T00:00:00"/>
    <d v="2024-12-31T00:00:00"/>
    <x v="5"/>
    <n v="0"/>
    <n v="0"/>
    <n v="0"/>
    <n v="0"/>
    <n v="0"/>
    <n v="0"/>
    <n v="0"/>
    <n v="0"/>
    <n v="0"/>
    <n v="0"/>
    <n v="0"/>
    <n v="0"/>
    <n v="0"/>
    <n v="0"/>
    <n v="0"/>
    <n v="0"/>
    <n v="0"/>
    <n v="0"/>
    <n v="0"/>
    <n v="0"/>
    <n v="0"/>
    <n v="0"/>
    <n v="0"/>
    <n v="0"/>
    <n v="0"/>
    <m/>
  </r>
  <r>
    <n v="1190"/>
    <d v="2025-01-06T13:26:32"/>
    <d v="2025-01-06T13:27:25"/>
    <s v="ymanda@lighthouse.org.mw"/>
    <s v="Yollam Manda"/>
    <s v="Lumbadzi"/>
    <s v="Prototype"/>
    <x v="1"/>
    <x v="0"/>
    <s v="COP_24"/>
    <s v="Quarter4"/>
    <x v="0"/>
    <s v="Qtr_1"/>
    <x v="11"/>
    <d v="2024-12-01T00:00:00"/>
    <d v="2024-12-31T00:00:00"/>
    <x v="6"/>
    <n v="0"/>
    <n v="0"/>
    <n v="0"/>
    <n v="0"/>
    <n v="0"/>
    <n v="0"/>
    <n v="0"/>
    <n v="0"/>
    <n v="0"/>
    <n v="0"/>
    <n v="0"/>
    <n v="0"/>
    <n v="0"/>
    <n v="0"/>
    <n v="0"/>
    <n v="0"/>
    <n v="0"/>
    <n v="0"/>
    <n v="0"/>
    <n v="0"/>
    <n v="0"/>
    <n v="0"/>
    <n v="0"/>
    <n v="0"/>
    <n v="0"/>
    <m/>
  </r>
  <r>
    <n v="1191"/>
    <d v="2025-01-06T13:27:30"/>
    <d v="2025-01-06T13:31:18"/>
    <s v="ymanda@lighthouse.org.mw"/>
    <s v="Yollam Manda"/>
    <s v="Lumbadzi"/>
    <s v="Prototype"/>
    <x v="1"/>
    <x v="0"/>
    <s v="COP_24"/>
    <s v="Quarter4"/>
    <x v="0"/>
    <s v="Qtr_1"/>
    <x v="11"/>
    <d v="2024-12-01T00:00:00"/>
    <d v="2024-12-31T00:00:00"/>
    <x v="0"/>
    <n v="12"/>
    <n v="1"/>
    <n v="9"/>
    <n v="0"/>
    <n v="3"/>
    <n v="0"/>
    <n v="8"/>
    <n v="2"/>
    <n v="2"/>
    <n v="0"/>
    <n v="0"/>
    <n v="0"/>
    <n v="3"/>
    <n v="0"/>
    <n v="1"/>
    <n v="1"/>
    <n v="0"/>
    <n v="0"/>
    <n v="0"/>
    <n v="0"/>
    <n v="1"/>
    <n v="0"/>
    <n v="0"/>
    <n v="0"/>
    <n v="0"/>
    <m/>
  </r>
  <r>
    <n v="1193"/>
    <d v="2025-01-06T13:32:22"/>
    <d v="2025-01-06T13:34:49"/>
    <s v="ymanda@lighthouse.org.mw"/>
    <s v="Yollam Manda"/>
    <s v="Lumbadzi"/>
    <s v="Prototype"/>
    <x v="1"/>
    <x v="0"/>
    <s v="COP_24"/>
    <s v="Quarter4"/>
    <x v="0"/>
    <s v="Qtr_1"/>
    <x v="11"/>
    <d v="2024-12-01T00:00:00"/>
    <d v="2024-12-31T00:00:00"/>
    <x v="2"/>
    <n v="1"/>
    <n v="1"/>
    <n v="0"/>
    <n v="0"/>
    <n v="1"/>
    <n v="0"/>
    <n v="1"/>
    <n v="1"/>
    <n v="1"/>
    <n v="0"/>
    <n v="0"/>
    <n v="0"/>
    <n v="1"/>
    <n v="0"/>
    <n v="0"/>
    <n v="0"/>
    <n v="0"/>
    <n v="0"/>
    <n v="0"/>
    <n v="0"/>
    <n v="0"/>
    <n v="0"/>
    <n v="0"/>
    <n v="0"/>
    <n v="0"/>
    <m/>
  </r>
  <r>
    <n v="1194"/>
    <d v="2025-01-06T13:35:14"/>
    <d v="2025-01-06T13:37:56"/>
    <s v="ymanda@lighthouse.org.mw"/>
    <s v="Yollam Manda"/>
    <s v="Lumbadzi"/>
    <s v="Prototype"/>
    <x v="1"/>
    <x v="0"/>
    <s v="COP_24"/>
    <s v="Quarter4"/>
    <x v="0"/>
    <s v="Qtr_1"/>
    <x v="11"/>
    <d v="2024-12-01T00:00:00"/>
    <d v="2024-12-31T00:00:00"/>
    <x v="1"/>
    <n v="11"/>
    <n v="0"/>
    <n v="9"/>
    <n v="0"/>
    <n v="2"/>
    <n v="0"/>
    <n v="7"/>
    <n v="1"/>
    <n v="1"/>
    <n v="0"/>
    <n v="0"/>
    <n v="0"/>
    <n v="2"/>
    <n v="0"/>
    <n v="1"/>
    <n v="1"/>
    <n v="0"/>
    <n v="0"/>
    <n v="0"/>
    <n v="0"/>
    <n v="1"/>
    <n v="0"/>
    <n v="0"/>
    <n v="0"/>
    <n v="0"/>
    <m/>
  </r>
  <r>
    <n v="1347"/>
    <d v="2025-03-06T08:43:30"/>
    <d v="2025-03-06T09:00:45"/>
    <s v="ymanda@lighthouse.org.mw"/>
    <s v="Yollam Manda"/>
    <s v="Lumbadzi"/>
    <s v="Prototype"/>
    <x v="2"/>
    <x v="0"/>
    <s v="COP_24"/>
    <s v="Quarter1"/>
    <x v="2"/>
    <s v="Qtr_2"/>
    <x v="4"/>
    <d v="2025-01-01T00:00:00"/>
    <d v="2025-01-31T00:00:00"/>
    <x v="1"/>
    <n v="13"/>
    <n v="1"/>
    <n v="10"/>
    <n v="1"/>
    <n v="1"/>
    <n v="1"/>
    <n v="9"/>
    <n v="7"/>
    <n v="7"/>
    <n v="1"/>
    <n v="0"/>
    <n v="0"/>
    <n v="6"/>
    <n v="0"/>
    <n v="1"/>
    <n v="1"/>
    <n v="0"/>
    <n v="0"/>
    <n v="0"/>
    <n v="0"/>
    <n v="1"/>
    <n v="0"/>
    <n v="1"/>
    <n v="0"/>
    <n v="0"/>
    <m/>
  </r>
  <r>
    <n v="1348"/>
    <d v="2025-03-06T09:00:57"/>
    <d v="2025-03-06T09:02:54"/>
    <s v="ymanda@lighthouse.org.mw"/>
    <s v="Yollam Manda"/>
    <s v="Lumbadzi"/>
    <s v="Prototype"/>
    <x v="2"/>
    <x v="0"/>
    <s v="COP_24"/>
    <s v="Quarter1"/>
    <x v="2"/>
    <s v="Qtr_2"/>
    <x v="4"/>
    <d v="2025-01-01T00:00:00"/>
    <d v="2025-01-31T00:00:00"/>
    <x v="3"/>
    <n v="0"/>
    <n v="0"/>
    <n v="0"/>
    <n v="0"/>
    <n v="0"/>
    <n v="0"/>
    <n v="0"/>
    <n v="0"/>
    <n v="0"/>
    <n v="0"/>
    <n v="0"/>
    <n v="0"/>
    <n v="0"/>
    <n v="0"/>
    <n v="0"/>
    <n v="0"/>
    <n v="0"/>
    <n v="0"/>
    <n v="0"/>
    <n v="0"/>
    <n v="0"/>
    <n v="0"/>
    <n v="0"/>
    <n v="0"/>
    <n v="0"/>
    <m/>
  </r>
  <r>
    <n v="1349"/>
    <d v="2025-03-06T09:02:57"/>
    <d v="2025-03-06T09:06:10"/>
    <s v="ymanda@lighthouse.org.mw"/>
    <s v="Yollam Manda"/>
    <s v="Lumbadzi"/>
    <s v="Prototype"/>
    <x v="2"/>
    <x v="0"/>
    <s v="COP_24"/>
    <s v="Quarter1"/>
    <x v="2"/>
    <s v="Qtr_2"/>
    <x v="4"/>
    <d v="2025-01-01T00:00:00"/>
    <d v="2025-01-31T00:00:00"/>
    <x v="4"/>
    <n v="0"/>
    <n v="0"/>
    <n v="0"/>
    <n v="0"/>
    <n v="0"/>
    <n v="0"/>
    <n v="0"/>
    <n v="0"/>
    <n v="0"/>
    <n v="0"/>
    <n v="0"/>
    <n v="0"/>
    <n v="0"/>
    <n v="0"/>
    <n v="0"/>
    <n v="0"/>
    <n v="0"/>
    <n v="0"/>
    <n v="0"/>
    <n v="0"/>
    <n v="0"/>
    <n v="0"/>
    <n v="0"/>
    <n v="0"/>
    <n v="0"/>
    <m/>
  </r>
  <r>
    <n v="1350"/>
    <d v="2025-03-06T09:06:13"/>
    <d v="2025-03-06T09:09:17"/>
    <s v="ymanda@lighthouse.org.mw"/>
    <s v="Yollam Manda"/>
    <s v="Lumbadzi"/>
    <s v="Prototype"/>
    <x v="2"/>
    <x v="0"/>
    <s v="COP_24"/>
    <s v="Quarter1"/>
    <x v="2"/>
    <s v="Qtr_2"/>
    <x v="4"/>
    <d v="2025-01-01T00:00:00"/>
    <d v="2025-01-31T00:00:00"/>
    <x v="5"/>
    <n v="0"/>
    <n v="0"/>
    <n v="0"/>
    <n v="0"/>
    <n v="0"/>
    <n v="0"/>
    <n v="0"/>
    <n v="0"/>
    <n v="0"/>
    <n v="0"/>
    <n v="0"/>
    <n v="0"/>
    <n v="0"/>
    <n v="0"/>
    <n v="0"/>
    <n v="0"/>
    <n v="0"/>
    <n v="0"/>
    <n v="0"/>
    <n v="0"/>
    <n v="0"/>
    <n v="0"/>
    <n v="0"/>
    <n v="0"/>
    <n v="0"/>
    <m/>
  </r>
  <r>
    <n v="1351"/>
    <d v="2025-03-06T09:09:21"/>
    <d v="2025-03-06T09:11:15"/>
    <s v="ymanda@lighthouse.org.mw"/>
    <s v="Yollam Manda"/>
    <s v="Lumbadzi"/>
    <s v="Prototype"/>
    <x v="2"/>
    <x v="0"/>
    <s v="COP_24"/>
    <s v="Quarter1"/>
    <x v="2"/>
    <s v="Qtr_2"/>
    <x v="4"/>
    <d v="2025-01-01T00:00:00"/>
    <d v="2025-01-31T00:00:00"/>
    <x v="2"/>
    <n v="0"/>
    <n v="0"/>
    <n v="0"/>
    <n v="0"/>
    <n v="0"/>
    <n v="0"/>
    <n v="0"/>
    <n v="0"/>
    <n v="0"/>
    <n v="0"/>
    <n v="0"/>
    <n v="0"/>
    <n v="0"/>
    <n v="0"/>
    <n v="0"/>
    <n v="0"/>
    <n v="0"/>
    <n v="0"/>
    <n v="0"/>
    <n v="0"/>
    <n v="0"/>
    <n v="0"/>
    <n v="0"/>
    <n v="0"/>
    <n v="0"/>
    <m/>
  </r>
  <r>
    <n v="1352"/>
    <d v="2025-03-06T09:11:18"/>
    <d v="2025-03-06T09:13:42"/>
    <s v="ymanda@lighthouse.org.mw"/>
    <s v="Yollam Manda"/>
    <s v="Lumbadzi"/>
    <s v="Prototype"/>
    <x v="2"/>
    <x v="0"/>
    <s v="COP_24"/>
    <s v="Quarter1"/>
    <x v="2"/>
    <s v="Qtr_2"/>
    <x v="4"/>
    <d v="2025-01-01T00:00:00"/>
    <d v="2025-01-31T00:00:00"/>
    <x v="6"/>
    <n v="0"/>
    <n v="0"/>
    <n v="0"/>
    <n v="0"/>
    <n v="0"/>
    <n v="0"/>
    <n v="0"/>
    <n v="0"/>
    <n v="0"/>
    <n v="0"/>
    <n v="0"/>
    <n v="0"/>
    <n v="0"/>
    <n v="0"/>
    <n v="0"/>
    <n v="0"/>
    <n v="0"/>
    <n v="0"/>
    <n v="0"/>
    <n v="0"/>
    <n v="0"/>
    <n v="0"/>
    <n v="0"/>
    <n v="0"/>
    <n v="0"/>
    <m/>
  </r>
  <r>
    <n v="1353"/>
    <d v="2025-03-06T09:13:53"/>
    <d v="2025-03-06T09:18:50"/>
    <s v="ymanda@lighthouse.org.mw"/>
    <s v="Yollam Manda"/>
    <s v="Lumbadzi"/>
    <s v="Prototype"/>
    <x v="2"/>
    <x v="0"/>
    <s v="COP_24"/>
    <s v="Quarter1"/>
    <x v="2"/>
    <s v="Qtr_2"/>
    <x v="4"/>
    <d v="2025-01-01T00:00:00"/>
    <d v="2025-01-31T00:00:00"/>
    <x v="0"/>
    <n v="13"/>
    <n v="1"/>
    <n v="10"/>
    <n v="1"/>
    <n v="1"/>
    <n v="1"/>
    <n v="9"/>
    <n v="7"/>
    <n v="7"/>
    <n v="1"/>
    <n v="0"/>
    <n v="0"/>
    <n v="6"/>
    <n v="0"/>
    <n v="1"/>
    <n v="1"/>
    <n v="0"/>
    <n v="0"/>
    <n v="0"/>
    <n v="0"/>
    <n v="1"/>
    <n v="0"/>
    <n v="1"/>
    <n v="0"/>
    <n v="0"/>
    <m/>
  </r>
  <r>
    <n v="1354"/>
    <d v="2025-03-06T09:28:19"/>
    <d v="2025-03-06T09:39:02"/>
    <s v="ymanda@lighthouse.org.mw"/>
    <s v="Yollam Manda"/>
    <s v="Lumbadzi"/>
    <s v="Prototype"/>
    <x v="2"/>
    <x v="0"/>
    <s v="COP_24"/>
    <s v="Quarter1"/>
    <x v="2"/>
    <s v="Qtr_2"/>
    <x v="5"/>
    <d v="2025-02-01T00:00:00"/>
    <d v="2025-02-28T00:00:00"/>
    <x v="1"/>
    <n v="13"/>
    <n v="2"/>
    <n v="10"/>
    <n v="2"/>
    <n v="0"/>
    <n v="1"/>
    <n v="0"/>
    <n v="0"/>
    <n v="0"/>
    <n v="0"/>
    <n v="0"/>
    <n v="0"/>
    <n v="1"/>
    <n v="1"/>
    <n v="0"/>
    <n v="0"/>
    <n v="0"/>
    <n v="0"/>
    <n v="0"/>
    <n v="0"/>
    <n v="1"/>
    <n v="0"/>
    <n v="0"/>
    <n v="0"/>
    <n v="0"/>
    <m/>
  </r>
  <r>
    <n v="1355"/>
    <d v="2025-03-06T09:41:25"/>
    <d v="2025-03-06T09:42:35"/>
    <s v="ymanda@lighthouse.org.mw"/>
    <s v="Yollam Manda"/>
    <s v="Lumbadzi"/>
    <s v="Prototype"/>
    <x v="2"/>
    <x v="0"/>
    <s v="COP_24"/>
    <s v="Quarter1"/>
    <x v="2"/>
    <s v="Qtr_2"/>
    <x v="5"/>
    <d v="2025-02-01T00:00:00"/>
    <d v="2025-02-28T00:00:00"/>
    <x v="3"/>
    <n v="0"/>
    <n v="0"/>
    <n v="0"/>
    <n v="0"/>
    <n v="0"/>
    <n v="0"/>
    <n v="0"/>
    <n v="0"/>
    <n v="0"/>
    <n v="0"/>
    <n v="0"/>
    <n v="0"/>
    <n v="0"/>
    <n v="0"/>
    <n v="0"/>
    <n v="0"/>
    <n v="0"/>
    <n v="0"/>
    <n v="0"/>
    <n v="0"/>
    <n v="0"/>
    <n v="0"/>
    <n v="0"/>
    <n v="0"/>
    <n v="0"/>
    <m/>
  </r>
  <r>
    <n v="1356"/>
    <d v="2025-03-06T09:44:50"/>
    <d v="2025-03-06T09:45:58"/>
    <s v="ymanda@lighthouse.org.mw"/>
    <s v="Yollam Manda"/>
    <s v="Lumbadzi"/>
    <s v="Prototype"/>
    <x v="2"/>
    <x v="0"/>
    <s v="COP_24"/>
    <s v="Quarter1"/>
    <x v="2"/>
    <s v="Qtr_2"/>
    <x v="5"/>
    <d v="2025-02-01T00:00:00"/>
    <d v="2025-02-28T00:00:00"/>
    <x v="4"/>
    <n v="0"/>
    <n v="0"/>
    <n v="0"/>
    <n v="0"/>
    <n v="0"/>
    <n v="0"/>
    <n v="0"/>
    <n v="0"/>
    <n v="0"/>
    <n v="0"/>
    <n v="0"/>
    <n v="0"/>
    <n v="0"/>
    <n v="0"/>
    <n v="0"/>
    <n v="0"/>
    <n v="0"/>
    <n v="0"/>
    <n v="0"/>
    <n v="0"/>
    <n v="0"/>
    <n v="0"/>
    <n v="0"/>
    <n v="0"/>
    <n v="0"/>
    <m/>
  </r>
  <r>
    <n v="1357"/>
    <d v="2025-03-06T09:46:23"/>
    <d v="2025-03-06T09:48:15"/>
    <s v="ymanda@lighthouse.org.mw"/>
    <s v="Yollam Manda"/>
    <s v="Lumbadzi"/>
    <s v="Prototype"/>
    <x v="2"/>
    <x v="0"/>
    <s v="COP_24"/>
    <s v="Quarter1"/>
    <x v="2"/>
    <s v="Qtr_2"/>
    <x v="5"/>
    <d v="2025-02-01T00:00:00"/>
    <d v="2025-02-28T00:00:00"/>
    <x v="5"/>
    <n v="0"/>
    <n v="0"/>
    <n v="0"/>
    <n v="0"/>
    <n v="0"/>
    <n v="0"/>
    <n v="0"/>
    <n v="0"/>
    <n v="0"/>
    <n v="0"/>
    <n v="0"/>
    <n v="0"/>
    <n v="0"/>
    <n v="0"/>
    <n v="0"/>
    <n v="0"/>
    <n v="0"/>
    <n v="0"/>
    <n v="0"/>
    <n v="0"/>
    <n v="0"/>
    <n v="0"/>
    <n v="0"/>
    <n v="0"/>
    <n v="0"/>
    <m/>
  </r>
  <r>
    <n v="1358"/>
    <d v="2025-03-06T09:48:22"/>
    <d v="2025-03-06T09:49:56"/>
    <s v="ymanda@lighthouse.org.mw"/>
    <s v="Yollam Manda"/>
    <s v="Lumbadzi"/>
    <s v="Prototype"/>
    <x v="2"/>
    <x v="0"/>
    <s v="COP_24"/>
    <s v="Quarter1"/>
    <x v="2"/>
    <s v="Qtr_2"/>
    <x v="5"/>
    <d v="2025-02-01T00:00:00"/>
    <d v="2025-02-28T00:00:00"/>
    <x v="2"/>
    <n v="0"/>
    <n v="0"/>
    <n v="0"/>
    <n v="0"/>
    <n v="0"/>
    <n v="0"/>
    <n v="0"/>
    <n v="0"/>
    <n v="0"/>
    <n v="0"/>
    <n v="0"/>
    <n v="0"/>
    <n v="0"/>
    <n v="0"/>
    <n v="0"/>
    <n v="0"/>
    <n v="0"/>
    <n v="0"/>
    <n v="0"/>
    <n v="0"/>
    <n v="0"/>
    <n v="0"/>
    <n v="0"/>
    <n v="0"/>
    <n v="0"/>
    <m/>
  </r>
  <r>
    <n v="1359"/>
    <d v="2025-03-06T09:50:38"/>
    <d v="2025-03-06T09:52:46"/>
    <s v="ymanda@lighthouse.org.mw"/>
    <s v="Yollam Manda"/>
    <s v="Lumbadzi"/>
    <s v="Prototype"/>
    <x v="2"/>
    <x v="0"/>
    <s v="COP_24"/>
    <s v="Quarter1"/>
    <x v="2"/>
    <s v="Qtr_2"/>
    <x v="5"/>
    <d v="2025-02-01T00:00:00"/>
    <d v="2025-02-28T00:00:00"/>
    <x v="6"/>
    <n v="0"/>
    <n v="0"/>
    <n v="0"/>
    <n v="0"/>
    <n v="0"/>
    <n v="0"/>
    <n v="0"/>
    <n v="0"/>
    <n v="0"/>
    <n v="0"/>
    <n v="0"/>
    <n v="0"/>
    <n v="0"/>
    <n v="0"/>
    <n v="0"/>
    <n v="0"/>
    <n v="0"/>
    <n v="0"/>
    <n v="0"/>
    <n v="0"/>
    <n v="0"/>
    <n v="0"/>
    <n v="0"/>
    <n v="0"/>
    <n v="0"/>
    <m/>
  </r>
  <r>
    <n v="1360"/>
    <d v="2025-03-06T09:53:32"/>
    <d v="2025-03-06T09:58:34"/>
    <s v="ymanda@lighthouse.org.mw"/>
    <s v="Yollam Manda"/>
    <s v="Lumbadzi"/>
    <s v="Prototype"/>
    <x v="2"/>
    <x v="0"/>
    <s v="COP_24"/>
    <s v="Quarter1"/>
    <x v="2"/>
    <s v="Qtr_2"/>
    <x v="5"/>
    <d v="2025-02-01T00:00:00"/>
    <d v="2025-02-28T00:00:00"/>
    <x v="0"/>
    <n v="13"/>
    <n v="2"/>
    <n v="10"/>
    <n v="2"/>
    <n v="0"/>
    <n v="1"/>
    <n v="0"/>
    <n v="0"/>
    <n v="0"/>
    <n v="0"/>
    <n v="0"/>
    <n v="0"/>
    <n v="1"/>
    <n v="1"/>
    <n v="0"/>
    <n v="0"/>
    <n v="0"/>
    <n v="0"/>
    <n v="0"/>
    <n v="0"/>
    <n v="1"/>
    <n v="0"/>
    <n v="0"/>
    <n v="0"/>
    <n v="0"/>
    <m/>
  </r>
  <r>
    <n v="1473"/>
    <d v="2025-04-02T10:56:52"/>
    <d v="2025-04-02T11:18:44"/>
    <s v="lkaonga@lighthouse.org.mw"/>
    <s v="Lameck Kaonga"/>
    <s v="Lumbadzi"/>
    <s v="Prototype"/>
    <x v="2"/>
    <x v="0"/>
    <s v="COP_24"/>
    <s v="Quarter1"/>
    <x v="2"/>
    <s v="Qtr_2"/>
    <x v="3"/>
    <d v="2025-03-01T00:00:00"/>
    <d v="2025-03-31T00:00:00"/>
    <x v="1"/>
    <n v="12"/>
    <n v="1"/>
    <n v="9"/>
    <n v="2"/>
    <n v="1"/>
    <n v="0"/>
    <n v="9"/>
    <n v="0"/>
    <n v="1"/>
    <n v="0"/>
    <n v="0"/>
    <n v="0"/>
    <n v="0"/>
    <n v="0"/>
    <n v="0"/>
    <n v="0"/>
    <n v="0"/>
    <n v="0"/>
    <n v="0"/>
    <n v="0"/>
    <n v="0"/>
    <n v="0"/>
    <n v="0"/>
    <n v="0"/>
    <n v="0"/>
    <m/>
  </r>
  <r>
    <n v="1474"/>
    <d v="2025-04-02T11:18:53"/>
    <d v="2025-04-02T11:20:54"/>
    <s v="lkaonga@lighthouse.org.mw"/>
    <s v="Lameck Kaonga"/>
    <s v="Lumbadzi"/>
    <s v="Prototype"/>
    <x v="2"/>
    <x v="0"/>
    <s v="COP_24"/>
    <s v="Quarter1"/>
    <x v="2"/>
    <s v="Qtr_2"/>
    <x v="3"/>
    <d v="2025-03-01T00:00:00"/>
    <d v="2025-03-31T00:00:00"/>
    <x v="5"/>
    <n v="4"/>
    <n v="0"/>
    <n v="4"/>
    <n v="0"/>
    <n v="0"/>
    <n v="0"/>
    <n v="0"/>
    <n v="0"/>
    <n v="0"/>
    <n v="0"/>
    <n v="0"/>
    <n v="0"/>
    <n v="0"/>
    <n v="0"/>
    <n v="0"/>
    <n v="0"/>
    <n v="0"/>
    <n v="0"/>
    <n v="0"/>
    <n v="0"/>
    <n v="0"/>
    <n v="0"/>
    <n v="0"/>
    <n v="0"/>
    <n v="0"/>
    <m/>
  </r>
  <r>
    <n v="1475"/>
    <d v="2025-04-02T11:21:03"/>
    <d v="2025-04-02T11:23:03"/>
    <s v="lkaonga@lighthouse.org.mw"/>
    <s v="Lameck Kaonga"/>
    <s v="Lumbadzi"/>
    <s v="Prototype"/>
    <x v="2"/>
    <x v="0"/>
    <s v="COP_24"/>
    <s v="Quarter1"/>
    <x v="2"/>
    <s v="Qtr_2"/>
    <x v="3"/>
    <d v="2025-03-01T00:00:00"/>
    <d v="2025-03-31T00:00:00"/>
    <x v="2"/>
    <n v="3"/>
    <n v="0"/>
    <n v="3"/>
    <n v="0"/>
    <n v="0"/>
    <n v="0"/>
    <n v="1"/>
    <n v="0"/>
    <n v="0"/>
    <n v="0"/>
    <n v="0"/>
    <n v="0"/>
    <n v="0"/>
    <n v="0"/>
    <n v="0"/>
    <n v="0"/>
    <n v="0"/>
    <n v="0"/>
    <n v="0"/>
    <n v="0"/>
    <n v="0"/>
    <n v="0"/>
    <n v="0"/>
    <n v="0"/>
    <n v="0"/>
    <m/>
  </r>
  <r>
    <n v="1476"/>
    <d v="2025-04-02T11:23:10"/>
    <d v="2025-04-02T11:29:20"/>
    <s v="lkaonga@lighthouse.org.mw"/>
    <s v="Lameck Kaonga"/>
    <s v="Lumbadzi"/>
    <s v="Prototype"/>
    <x v="2"/>
    <x v="0"/>
    <s v="COP_24"/>
    <s v="Quarter1"/>
    <x v="2"/>
    <s v="Qtr_2"/>
    <x v="3"/>
    <d v="2025-03-01T00:00:00"/>
    <d v="2025-03-31T00:00:00"/>
    <x v="3"/>
    <n v="0"/>
    <n v="0"/>
    <n v="0"/>
    <n v="0"/>
    <n v="0"/>
    <n v="0"/>
    <n v="0"/>
    <n v="0"/>
    <n v="0"/>
    <n v="0"/>
    <n v="0"/>
    <n v="0"/>
    <n v="0"/>
    <n v="0"/>
    <n v="0"/>
    <n v="0"/>
    <n v="0"/>
    <n v="0"/>
    <n v="0"/>
    <n v="0"/>
    <n v="0"/>
    <n v="0"/>
    <n v="0"/>
    <n v="0"/>
    <n v="0"/>
    <m/>
  </r>
  <r>
    <n v="1477"/>
    <d v="2025-04-02T11:29:26"/>
    <d v="2025-04-02T11:30:27"/>
    <s v="lkaonga@lighthouse.org.mw"/>
    <s v="Lameck Kaonga"/>
    <s v="Lumbadzi"/>
    <s v="Prototype"/>
    <x v="2"/>
    <x v="0"/>
    <s v="COP_24"/>
    <s v="Quarter1"/>
    <x v="2"/>
    <s v="Qtr_2"/>
    <x v="3"/>
    <d v="2025-03-01T00:00:00"/>
    <d v="2025-03-31T00:00:00"/>
    <x v="4"/>
    <n v="0"/>
    <n v="0"/>
    <n v="0"/>
    <n v="0"/>
    <n v="0"/>
    <n v="0"/>
    <n v="0"/>
    <n v="0"/>
    <n v="0"/>
    <n v="0"/>
    <n v="0"/>
    <n v="0"/>
    <n v="0"/>
    <n v="0"/>
    <n v="0"/>
    <n v="0"/>
    <n v="0"/>
    <n v="0"/>
    <n v="0"/>
    <n v="0"/>
    <n v="0"/>
    <n v="0"/>
    <n v="0"/>
    <n v="0"/>
    <n v="0"/>
    <m/>
  </r>
  <r>
    <n v="1478"/>
    <d v="2025-04-02T11:30:34"/>
    <d v="2025-04-02T11:31:44"/>
    <s v="lkaonga@lighthouse.org.mw"/>
    <s v="Lameck Kaonga"/>
    <s v="Lumbadzi"/>
    <s v="Prototype"/>
    <x v="2"/>
    <x v="0"/>
    <s v="COP_24"/>
    <s v="Quarter1"/>
    <x v="2"/>
    <s v="Qtr_2"/>
    <x v="3"/>
    <d v="2025-03-01T00:00:00"/>
    <d v="2025-03-31T00:00:00"/>
    <x v="6"/>
    <n v="0"/>
    <n v="0"/>
    <n v="0"/>
    <n v="0"/>
    <n v="0"/>
    <n v="0"/>
    <n v="0"/>
    <n v="0"/>
    <n v="0"/>
    <n v="0"/>
    <n v="0"/>
    <n v="0"/>
    <n v="0"/>
    <n v="0"/>
    <n v="0"/>
    <n v="0"/>
    <n v="0"/>
    <n v="0"/>
    <n v="0"/>
    <n v="0"/>
    <n v="0"/>
    <n v="0"/>
    <n v="0"/>
    <n v="0"/>
    <n v="0"/>
    <m/>
  </r>
  <r>
    <n v="1479"/>
    <d v="2025-04-02T11:33:02"/>
    <d v="2025-04-02T11:51:51"/>
    <s v="lkaonga@lighthouse.org.mw"/>
    <s v="Lameck Kaonga"/>
    <s v="Lumbadzi"/>
    <s v="Prototype"/>
    <x v="2"/>
    <x v="0"/>
    <s v="COP_24"/>
    <s v="Quarter1"/>
    <x v="2"/>
    <s v="Qtr_2"/>
    <x v="3"/>
    <d v="2025-03-01T00:00:00"/>
    <d v="2025-03-31T00:00:00"/>
    <x v="0"/>
    <n v="19"/>
    <n v="1"/>
    <n v="16"/>
    <n v="2"/>
    <n v="1"/>
    <n v="0"/>
    <n v="14"/>
    <n v="0"/>
    <n v="1"/>
    <n v="0"/>
    <n v="0"/>
    <n v="0"/>
    <n v="1"/>
    <n v="0"/>
    <n v="0"/>
    <n v="0"/>
    <n v="0"/>
    <n v="0"/>
    <n v="0"/>
    <n v="0"/>
    <n v="0"/>
    <n v="0"/>
    <n v="0"/>
    <n v="0"/>
    <n v="0"/>
    <m/>
  </r>
  <r>
    <n v="1640"/>
    <d v="2025-06-04T11:05:40"/>
    <d v="2025-06-04T11:12:46"/>
    <s v="lkaonga@lighthouse.org.mw"/>
    <s v="Lameck Kaonga"/>
    <s v="Lumbadzi"/>
    <s v="Prototype"/>
    <x v="2"/>
    <x v="0"/>
    <m/>
    <s v="Quarter3"/>
    <x v="3"/>
    <m/>
    <x v="6"/>
    <d v="2025-05-01T00:00:00"/>
    <d v="2025-05-31T00:00:00"/>
    <x v="1"/>
    <n v="6"/>
    <n v="0"/>
    <n v="5"/>
    <n v="0"/>
    <n v="1"/>
    <n v="0"/>
    <n v="4"/>
    <n v="2"/>
    <n v="1"/>
    <n v="0"/>
    <n v="0"/>
    <n v="0"/>
    <n v="2"/>
    <n v="0"/>
    <n v="2"/>
    <n v="1"/>
    <n v="0"/>
    <n v="0"/>
    <n v="0"/>
    <n v="0"/>
    <n v="0"/>
    <n v="0"/>
    <n v="0"/>
    <n v="0"/>
    <n v="0"/>
    <m/>
  </r>
  <r>
    <n v="1641"/>
    <d v="2025-06-04T11:12:54"/>
    <d v="2025-06-04T11:15:53"/>
    <s v="lkaonga@lighthouse.org.mw"/>
    <s v="Lameck Kaonga"/>
    <s v="Lumbadzi"/>
    <s v="Prototype"/>
    <x v="2"/>
    <x v="0"/>
    <m/>
    <s v="Quarter3"/>
    <x v="3"/>
    <m/>
    <x v="6"/>
    <d v="2025-05-01T00:00:00"/>
    <d v="2025-05-31T00:00:00"/>
    <x v="0"/>
    <n v="6"/>
    <n v="0"/>
    <n v="5"/>
    <n v="0"/>
    <n v="1"/>
    <n v="0"/>
    <n v="4"/>
    <n v="2"/>
    <n v="1"/>
    <n v="0"/>
    <n v="0"/>
    <n v="0"/>
    <n v="2"/>
    <n v="0"/>
    <n v="2"/>
    <n v="1"/>
    <n v="0"/>
    <n v="0"/>
    <n v="0"/>
    <n v="0"/>
    <n v="1"/>
    <n v="0"/>
    <n v="0"/>
    <n v="0"/>
    <n v="0"/>
    <m/>
  </r>
  <r>
    <n v="1642"/>
    <d v="2025-06-04T11:15:58"/>
    <d v="2025-06-04T11:18:58"/>
    <s v="lkaonga@lighthouse.org.mw"/>
    <s v="Lameck Kaonga"/>
    <s v="Lumbadzi"/>
    <s v="Prototype"/>
    <x v="2"/>
    <x v="0"/>
    <m/>
    <s v="Quarter3"/>
    <x v="3"/>
    <m/>
    <x v="6"/>
    <d v="2025-05-01T00:00:00"/>
    <d v="2025-05-31T00:00:00"/>
    <x v="3"/>
    <n v="0"/>
    <n v="0"/>
    <n v="0"/>
    <n v="0"/>
    <n v="0"/>
    <n v="0"/>
    <n v="0"/>
    <n v="0"/>
    <n v="0"/>
    <n v="0"/>
    <n v="0"/>
    <n v="0"/>
    <n v="0"/>
    <n v="0"/>
    <n v="0"/>
    <n v="0"/>
    <n v="0"/>
    <n v="0"/>
    <n v="0"/>
    <n v="0"/>
    <n v="0"/>
    <n v="0"/>
    <n v="0"/>
    <n v="0"/>
    <n v="0"/>
    <m/>
  </r>
  <r>
    <n v="1643"/>
    <d v="2025-06-04T11:19:01"/>
    <d v="2025-06-04T11:20:10"/>
    <s v="lkaonga@lighthouse.org.mw"/>
    <s v="Lameck Kaonga"/>
    <s v="Lumbadzi"/>
    <s v="Prototype"/>
    <x v="2"/>
    <x v="0"/>
    <m/>
    <s v="Quarter3"/>
    <x v="3"/>
    <m/>
    <x v="6"/>
    <d v="2025-05-01T00:00:00"/>
    <d v="2025-05-31T00:00:00"/>
    <x v="4"/>
    <n v="0"/>
    <n v="0"/>
    <n v="0"/>
    <n v="0"/>
    <n v="0"/>
    <n v="0"/>
    <n v="0"/>
    <n v="0"/>
    <n v="0"/>
    <n v="0"/>
    <n v="0"/>
    <n v="0"/>
    <n v="0"/>
    <n v="0"/>
    <n v="0"/>
    <n v="0"/>
    <n v="0"/>
    <n v="0"/>
    <n v="0"/>
    <n v="0"/>
    <n v="0"/>
    <n v="0"/>
    <n v="0"/>
    <n v="0"/>
    <n v="0"/>
    <m/>
  </r>
  <r>
    <n v="1644"/>
    <d v="2025-06-04T11:22:35"/>
    <d v="2025-06-04T11:23:41"/>
    <s v="lkaonga@lighthouse.org.mw"/>
    <s v="Lameck Kaonga"/>
    <s v="Lumbadzi"/>
    <s v="Prototype"/>
    <x v="2"/>
    <x v="0"/>
    <m/>
    <s v="Quarter3"/>
    <x v="3"/>
    <m/>
    <x v="6"/>
    <d v="2025-05-01T00:00:00"/>
    <d v="2025-05-31T00:00:00"/>
    <x v="5"/>
    <n v="0"/>
    <n v="0"/>
    <n v="0"/>
    <n v="0"/>
    <n v="0"/>
    <n v="0"/>
    <n v="0"/>
    <n v="0"/>
    <n v="0"/>
    <n v="0"/>
    <n v="0"/>
    <n v="0"/>
    <n v="0"/>
    <n v="0"/>
    <n v="0"/>
    <n v="0"/>
    <n v="0"/>
    <n v="0"/>
    <n v="0"/>
    <n v="0"/>
    <n v="0"/>
    <n v="0"/>
    <n v="0"/>
    <n v="0"/>
    <n v="0"/>
    <m/>
  </r>
  <r>
    <n v="1645"/>
    <d v="2025-06-04T11:23:46"/>
    <d v="2025-06-04T11:26:01"/>
    <s v="lkaonga@lighthouse.org.mw"/>
    <s v="Lameck Kaonga"/>
    <s v="Lumbadzi"/>
    <s v="Prototype"/>
    <x v="2"/>
    <x v="0"/>
    <m/>
    <s v="Quarter3"/>
    <x v="3"/>
    <m/>
    <x v="6"/>
    <d v="2025-05-01T00:00:00"/>
    <d v="2025-05-31T00:00:00"/>
    <x v="2"/>
    <n v="0"/>
    <n v="0"/>
    <n v="0"/>
    <n v="0"/>
    <n v="0"/>
    <n v="0"/>
    <n v="0"/>
    <n v="0"/>
    <n v="0"/>
    <n v="0"/>
    <n v="0"/>
    <n v="0"/>
    <n v="0"/>
    <n v="0"/>
    <n v="0"/>
    <n v="0"/>
    <n v="0"/>
    <n v="0"/>
    <n v="0"/>
    <n v="0"/>
    <n v="0"/>
    <n v="0"/>
    <n v="0"/>
    <n v="0"/>
    <n v="0"/>
    <m/>
  </r>
  <r>
    <n v="1646"/>
    <d v="2025-06-04T11:26:08"/>
    <d v="2025-06-04T11:27:08"/>
    <s v="lkaonga@lighthouse.org.mw"/>
    <s v="Lameck Kaonga"/>
    <s v="Lumbadzi"/>
    <s v="Prototype"/>
    <x v="2"/>
    <x v="0"/>
    <m/>
    <s v="Quarter3"/>
    <x v="3"/>
    <m/>
    <x v="6"/>
    <d v="2025-05-01T00:00:00"/>
    <d v="2025-05-31T00:00:00"/>
    <x v="6"/>
    <n v="0"/>
    <n v="0"/>
    <n v="0"/>
    <n v="0"/>
    <n v="0"/>
    <n v="0"/>
    <n v="0"/>
    <n v="0"/>
    <n v="0"/>
    <n v="0"/>
    <n v="0"/>
    <n v="0"/>
    <n v="0"/>
    <n v="0"/>
    <n v="0"/>
    <n v="0"/>
    <n v="0"/>
    <n v="0"/>
    <n v="0"/>
    <n v="0"/>
    <n v="0"/>
    <n v="0"/>
    <n v="0"/>
    <n v="0"/>
    <n v="0"/>
    <m/>
  </r>
  <r>
    <n v="1741"/>
    <d v="2025-07-09T09:55:13"/>
    <d v="2025-07-09T10:04:05"/>
    <s v="lkaonga@lighthouse.org.mw"/>
    <s v="Lameck Kaonga"/>
    <s v="Lumbadzi"/>
    <s v="Prototype"/>
    <x v="2"/>
    <x v="0"/>
    <m/>
    <s v="Quarter2"/>
    <x v="2"/>
    <m/>
    <x v="8"/>
    <d v="2025-06-01T00:00:00"/>
    <d v="2025-06-30T00:00:00"/>
    <x v="1"/>
    <n v="3"/>
    <n v="0"/>
    <n v="3"/>
    <n v="0"/>
    <n v="0"/>
    <n v="0"/>
    <n v="2"/>
    <n v="1"/>
    <n v="1"/>
    <n v="0"/>
    <n v="0"/>
    <n v="0"/>
    <n v="1"/>
    <n v="0"/>
    <n v="0"/>
    <n v="0"/>
    <n v="0"/>
    <n v="0"/>
    <n v="0"/>
    <n v="0"/>
    <n v="0"/>
    <n v="0"/>
    <n v="0"/>
    <n v="0"/>
    <n v="0"/>
    <m/>
  </r>
  <r>
    <n v="1744"/>
    <d v="2025-07-09T10:04:13"/>
    <d v="2025-07-09T10:21:19"/>
    <s v="lkaonga@lighthouse.org.mw"/>
    <s v="Lameck Kaonga"/>
    <s v="Lumbadzi"/>
    <s v="Prototype"/>
    <x v="2"/>
    <x v="0"/>
    <m/>
    <s v="Quarter2"/>
    <x v="2"/>
    <m/>
    <x v="8"/>
    <d v="2025-06-01T00:00:00"/>
    <d v="2025-06-30T00:00:00"/>
    <x v="3"/>
    <n v="0"/>
    <n v="0"/>
    <n v="0"/>
    <n v="0"/>
    <n v="0"/>
    <n v="0"/>
    <n v="0"/>
    <n v="0"/>
    <n v="0"/>
    <n v="0"/>
    <n v="0"/>
    <n v="0"/>
    <n v="0"/>
    <n v="0"/>
    <n v="0"/>
    <n v="0"/>
    <n v="0"/>
    <n v="0"/>
    <n v="0"/>
    <n v="0"/>
    <n v="0"/>
    <n v="0"/>
    <n v="0"/>
    <n v="0"/>
    <n v="0"/>
    <m/>
  </r>
  <r>
    <n v="1745"/>
    <d v="2025-07-09T10:21:23"/>
    <d v="2025-07-09T10:23:12"/>
    <s v="lkaonga@lighthouse.org.mw"/>
    <s v="Lameck Kaonga"/>
    <s v="Lumbadzi"/>
    <s v="Prototype"/>
    <x v="2"/>
    <x v="0"/>
    <m/>
    <s v="Quarter2"/>
    <x v="2"/>
    <m/>
    <x v="8"/>
    <d v="2025-06-01T00:00:00"/>
    <d v="2025-06-30T00:00:00"/>
    <x v="4"/>
    <n v="0"/>
    <n v="0"/>
    <n v="0"/>
    <n v="0"/>
    <n v="0"/>
    <n v="0"/>
    <n v="0"/>
    <n v="0"/>
    <n v="0"/>
    <n v="0"/>
    <n v="0"/>
    <n v="0"/>
    <n v="0"/>
    <n v="0"/>
    <n v="0"/>
    <n v="0"/>
    <n v="0"/>
    <n v="0"/>
    <n v="0"/>
    <n v="0"/>
    <n v="0"/>
    <n v="0"/>
    <n v="0"/>
    <n v="0"/>
    <n v="0"/>
    <m/>
  </r>
  <r>
    <n v="1747"/>
    <d v="2025-07-09T10:24:41"/>
    <d v="2025-07-09T10:26:32"/>
    <s v="lkaonga@lighthouse.org.mw"/>
    <s v="Lameck Kaonga"/>
    <s v="Lumbadzi"/>
    <s v="Prototype"/>
    <x v="2"/>
    <x v="0"/>
    <m/>
    <s v="Quarter2"/>
    <x v="2"/>
    <m/>
    <x v="8"/>
    <d v="2025-06-01T00:00:00"/>
    <d v="2025-06-30T00:00:00"/>
    <x v="5"/>
    <n v="0"/>
    <n v="0"/>
    <n v="0"/>
    <n v="0"/>
    <n v="0"/>
    <n v="0"/>
    <n v="0"/>
    <n v="0"/>
    <n v="0"/>
    <n v="0"/>
    <n v="0"/>
    <n v="0"/>
    <n v="0"/>
    <n v="0"/>
    <n v="0"/>
    <n v="0"/>
    <n v="0"/>
    <n v="0"/>
    <n v="0"/>
    <n v="0"/>
    <n v="0"/>
    <n v="0"/>
    <n v="0"/>
    <n v="0"/>
    <n v="0"/>
    <m/>
  </r>
  <r>
    <n v="1748"/>
    <d v="2025-07-09T10:26:41"/>
    <d v="2025-07-09T10:29:50"/>
    <s v="lkaonga@lighthouse.org.mw"/>
    <s v="Lameck Kaonga"/>
    <s v="Lumbadzi"/>
    <s v="Prototype"/>
    <x v="2"/>
    <x v="0"/>
    <m/>
    <s v="Quarter2"/>
    <x v="2"/>
    <m/>
    <x v="8"/>
    <d v="2025-06-01T00:00:00"/>
    <d v="2025-06-30T00:00:00"/>
    <x v="2"/>
    <n v="2"/>
    <n v="1"/>
    <n v="1"/>
    <n v="0"/>
    <n v="3"/>
    <n v="0"/>
    <n v="0"/>
    <n v="0"/>
    <n v="0"/>
    <n v="0"/>
    <n v="0"/>
    <n v="0"/>
    <n v="1"/>
    <n v="0"/>
    <n v="0"/>
    <n v="0"/>
    <n v="0"/>
    <n v="0"/>
    <n v="0"/>
    <n v="0"/>
    <n v="0"/>
    <n v="0"/>
    <n v="0"/>
    <n v="0"/>
    <n v="0"/>
    <m/>
  </r>
  <r>
    <n v="1749"/>
    <d v="2025-07-09T10:30:06"/>
    <d v="2025-07-09T10:33:26"/>
    <s v="lkaonga@lighthouse.org.mw"/>
    <s v="Lameck Kaonga"/>
    <s v="Lumbadzi"/>
    <s v="Prototype"/>
    <x v="2"/>
    <x v="0"/>
    <m/>
    <s v="Quarter2"/>
    <x v="2"/>
    <m/>
    <x v="8"/>
    <d v="2025-06-01T00:00:00"/>
    <d v="2025-06-30T00:00:00"/>
    <x v="2"/>
    <n v="1"/>
    <n v="0"/>
    <n v="1"/>
    <n v="0"/>
    <n v="0"/>
    <n v="0"/>
    <n v="1"/>
    <n v="0"/>
    <n v="0"/>
    <n v="0"/>
    <n v="0"/>
    <n v="0"/>
    <n v="0"/>
    <n v="0"/>
    <n v="0"/>
    <n v="0"/>
    <n v="0"/>
    <n v="0"/>
    <n v="0"/>
    <n v="0"/>
    <n v="0"/>
    <n v="0"/>
    <n v="0"/>
    <n v="0"/>
    <n v="0"/>
    <m/>
  </r>
  <r>
    <n v="1750"/>
    <d v="2025-07-09T10:33:38"/>
    <d v="2025-07-09T10:35:40"/>
    <s v="lkaonga@lighthouse.org.mw"/>
    <s v="Lameck Kaonga"/>
    <s v="Lumbadzi"/>
    <s v="Prototype"/>
    <x v="2"/>
    <x v="0"/>
    <m/>
    <s v="Quarter2"/>
    <x v="2"/>
    <m/>
    <x v="8"/>
    <d v="2025-06-01T00:00:00"/>
    <d v="2025-06-30T00:00:00"/>
    <x v="6"/>
    <n v="0"/>
    <n v="0"/>
    <n v="0"/>
    <n v="0"/>
    <n v="0"/>
    <n v="0"/>
    <n v="0"/>
    <n v="0"/>
    <n v="0"/>
    <n v="0"/>
    <n v="0"/>
    <n v="0"/>
    <n v="0"/>
    <n v="0"/>
    <n v="0"/>
    <n v="0"/>
    <n v="0"/>
    <n v="0"/>
    <n v="0"/>
    <n v="0"/>
    <n v="0"/>
    <n v="0"/>
    <n v="0"/>
    <n v="0"/>
    <n v="0"/>
    <m/>
  </r>
  <r>
    <n v="1758"/>
    <d v="2025-07-09T11:20:00"/>
    <d v="2025-07-09T11:26:08"/>
    <s v="lkaonga@lighthouse.org.mw"/>
    <s v="Lameck Kaonga"/>
    <s v="Lumbadzi"/>
    <s v="Prototype"/>
    <x v="2"/>
    <x v="0"/>
    <m/>
    <s v="Quarter2"/>
    <x v="2"/>
    <m/>
    <x v="8"/>
    <d v="2025-06-01T00:00:00"/>
    <d v="2025-06-30T00:00:00"/>
    <x v="0"/>
    <n v="6"/>
    <n v="1"/>
    <n v="5"/>
    <n v="0"/>
    <n v="1"/>
    <n v="0"/>
    <n v="5"/>
    <n v="1"/>
    <n v="1"/>
    <n v="0"/>
    <n v="0"/>
    <n v="0"/>
    <n v="2"/>
    <n v="0"/>
    <n v="0"/>
    <n v="0"/>
    <n v="0"/>
    <n v="0"/>
    <n v="0"/>
    <n v="0"/>
    <n v="0"/>
    <n v="0"/>
    <n v="0"/>
    <n v="0"/>
    <n v="0"/>
    <m/>
  </r>
  <r>
    <n v="1763"/>
    <d v="2025-07-09T11:27:04"/>
    <d v="2025-07-09T11:40:49"/>
    <s v="lkaonga@lighthouse.org.mw"/>
    <s v="Lameck Kaonga"/>
    <s v="Lumbadzi"/>
    <s v="Prototype"/>
    <x v="2"/>
    <x v="0"/>
    <m/>
    <s v="Quarter2"/>
    <x v="2"/>
    <m/>
    <x v="7"/>
    <d v="2025-04-01T00:00:00"/>
    <d v="2025-04-30T00:00:00"/>
    <x v="0"/>
    <n v="10"/>
    <n v="1"/>
    <n v="9"/>
    <n v="0"/>
    <n v="0"/>
    <n v="1"/>
    <n v="9"/>
    <n v="4"/>
    <n v="4"/>
    <n v="1"/>
    <n v="1"/>
    <n v="0"/>
    <n v="5"/>
    <n v="1"/>
    <n v="1"/>
    <n v="0"/>
    <n v="0"/>
    <n v="0"/>
    <n v="0"/>
    <n v="0"/>
    <n v="0"/>
    <n v="0"/>
    <n v="0"/>
    <n v="0"/>
    <n v="0"/>
    <m/>
  </r>
  <r>
    <n v="1764"/>
    <d v="2025-07-09T13:25:18"/>
    <d v="2025-07-09T13:28:22"/>
    <s v="lkaonga@lighthouse.org.mw"/>
    <s v="Lameck Kaonga"/>
    <s v="Lumbadzi"/>
    <s v="Prototype"/>
    <x v="2"/>
    <x v="0"/>
    <m/>
    <s v="Quarter2"/>
    <x v="2"/>
    <m/>
    <x v="7"/>
    <d v="2025-04-01T00:00:00"/>
    <d v="2025-04-30T00:00:00"/>
    <x v="1"/>
    <n v="6"/>
    <n v="0"/>
    <n v="5"/>
    <n v="0"/>
    <n v="0"/>
    <n v="1"/>
    <n v="6"/>
    <n v="2"/>
    <n v="1"/>
    <n v="0"/>
    <n v="0"/>
    <n v="0"/>
    <n v="2"/>
    <n v="1"/>
    <n v="0"/>
    <n v="0"/>
    <n v="0"/>
    <n v="0"/>
    <n v="0"/>
    <n v="0"/>
    <n v="0"/>
    <n v="0"/>
    <n v="0"/>
    <n v="0"/>
    <n v="0"/>
    <m/>
  </r>
  <r>
    <n v="1765"/>
    <d v="2025-07-09T13:29:37"/>
    <d v="2025-07-09T13:35:12"/>
    <s v="lkaonga@lighthouse.org.mw"/>
    <s v="Lameck Kaonga"/>
    <s v="Lumbadzi"/>
    <s v="Prototype"/>
    <x v="2"/>
    <x v="0"/>
    <m/>
    <s v="Quarter2"/>
    <x v="2"/>
    <m/>
    <x v="7"/>
    <d v="2025-04-01T00:00:00"/>
    <d v="2025-04-30T00:00:00"/>
    <x v="5"/>
    <n v="2"/>
    <n v="0"/>
    <n v="2"/>
    <n v="0"/>
    <n v="0"/>
    <n v="0"/>
    <n v="1"/>
    <n v="1"/>
    <n v="2"/>
    <n v="0"/>
    <n v="1"/>
    <n v="0"/>
    <n v="2"/>
    <n v="0"/>
    <n v="0"/>
    <n v="0"/>
    <n v="0"/>
    <n v="0"/>
    <n v="0"/>
    <n v="0"/>
    <n v="0"/>
    <n v="0"/>
    <n v="0"/>
    <n v="0"/>
    <n v="0"/>
    <m/>
  </r>
  <r>
    <n v="1766"/>
    <d v="2025-07-09T13:35:30"/>
    <d v="2025-07-09T13:44:30"/>
    <s v="lkaonga@lighthouse.org.mw"/>
    <s v="Lameck Kaonga"/>
    <s v="Lumbadzi"/>
    <s v="Prototype"/>
    <x v="2"/>
    <x v="0"/>
    <m/>
    <s v="Quarter2"/>
    <x v="2"/>
    <m/>
    <x v="7"/>
    <d v="2025-04-01T00:00:00"/>
    <d v="2025-04-30T00:00:00"/>
    <x v="2"/>
    <n v="2"/>
    <n v="1"/>
    <n v="2"/>
    <n v="0"/>
    <n v="0"/>
    <n v="0"/>
    <n v="2"/>
    <n v="1"/>
    <n v="1"/>
    <n v="0"/>
    <n v="0"/>
    <n v="0"/>
    <n v="1"/>
    <n v="0"/>
    <n v="0"/>
    <n v="0"/>
    <n v="0"/>
    <n v="0"/>
    <n v="0"/>
    <n v="0"/>
    <n v="1"/>
    <n v="0"/>
    <n v="0"/>
    <n v="0"/>
    <n v="1"/>
    <m/>
  </r>
  <r>
    <n v="1767"/>
    <d v="2025-07-09T13:44:56"/>
    <d v="2025-07-09T13:46:30"/>
    <s v="lkaonga@lighthouse.org.mw"/>
    <s v="Lameck Kaonga"/>
    <s v="Lumbadzi"/>
    <s v="Prototype"/>
    <x v="2"/>
    <x v="0"/>
    <m/>
    <s v="Quarter2"/>
    <x v="2"/>
    <m/>
    <x v="7"/>
    <d v="2025-04-01T00:00:00"/>
    <d v="2025-04-30T00:00:00"/>
    <x v="3"/>
    <n v="0"/>
    <n v="0"/>
    <n v="0"/>
    <n v="0"/>
    <n v="0"/>
    <n v="0"/>
    <n v="0"/>
    <n v="0"/>
    <n v="0"/>
    <n v="0"/>
    <n v="0"/>
    <n v="0"/>
    <n v="0"/>
    <n v="0"/>
    <n v="0"/>
    <n v="0"/>
    <n v="0"/>
    <n v="0"/>
    <n v="0"/>
    <n v="0"/>
    <n v="0"/>
    <n v="0"/>
    <n v="0"/>
    <n v="0"/>
    <n v="0"/>
    <m/>
  </r>
  <r>
    <n v="1768"/>
    <d v="2025-07-09T13:46:42"/>
    <d v="2025-07-09T13:48:39"/>
    <s v="lkaonga@lighthouse.org.mw"/>
    <s v="Lameck Kaonga"/>
    <s v="Lumbadzi"/>
    <s v="Prototype"/>
    <x v="2"/>
    <x v="0"/>
    <m/>
    <s v="Quarter2"/>
    <x v="2"/>
    <m/>
    <x v="7"/>
    <d v="2025-04-01T00:00:00"/>
    <d v="2025-04-30T00:00:00"/>
    <x v="4"/>
    <n v="0"/>
    <n v="0"/>
    <n v="0"/>
    <n v="0"/>
    <n v="0"/>
    <n v="0"/>
    <n v="0"/>
    <n v="0"/>
    <n v="0"/>
    <n v="0"/>
    <n v="0"/>
    <n v="0"/>
    <n v="0"/>
    <n v="0"/>
    <n v="0"/>
    <n v="0"/>
    <n v="0"/>
    <n v="0"/>
    <n v="0"/>
    <n v="0"/>
    <n v="0"/>
    <n v="0"/>
    <n v="0"/>
    <n v="0"/>
    <n v="0"/>
    <m/>
  </r>
  <r>
    <n v="1769"/>
    <d v="2025-07-09T13:48:48"/>
    <d v="2025-07-09T13:50:24"/>
    <s v="lkaonga@lighthouse.org.mw"/>
    <s v="Lameck Kaonga"/>
    <s v="Lumbadzi"/>
    <s v="Prototype"/>
    <x v="2"/>
    <x v="0"/>
    <m/>
    <s v="Quarter2"/>
    <x v="2"/>
    <m/>
    <x v="7"/>
    <d v="2025-04-01T00:00:00"/>
    <d v="2025-04-30T00:00:00"/>
    <x v="6"/>
    <n v="0"/>
    <n v="0"/>
    <n v="0"/>
    <n v="0"/>
    <n v="0"/>
    <n v="0"/>
    <n v="0"/>
    <n v="0"/>
    <n v="0"/>
    <n v="0"/>
    <n v="0"/>
    <n v="0"/>
    <n v="0"/>
    <n v="0"/>
    <n v="0"/>
    <n v="0"/>
    <n v="0"/>
    <n v="0"/>
    <n v="0"/>
    <n v="0"/>
    <n v="0"/>
    <n v="0"/>
    <n v="0"/>
    <n v="0"/>
    <n v="0"/>
    <m/>
  </r>
  <r>
    <n v="267"/>
    <d v="2024-04-22T16:42:11"/>
    <d v="2024-04-22T16:48:18"/>
    <s v="jmakoza@lighthouse.org.mw"/>
    <s v="Jonathan Makoza"/>
    <s v="Maula_prison"/>
    <s v="Prototype"/>
    <x v="1"/>
    <x v="0"/>
    <s v="COP_23"/>
    <s v="Quarter1"/>
    <x v="2"/>
    <s v="Qtr_2"/>
    <x v="4"/>
    <d v="2024-01-01T00:00:00"/>
    <d v="2024-01-31T00:00:00"/>
    <x v="5"/>
    <n v="0"/>
    <n v="0"/>
    <n v="0"/>
    <n v="0"/>
    <n v="0"/>
    <n v="0"/>
    <n v="0"/>
    <n v="0"/>
    <n v="0"/>
    <n v="0"/>
    <n v="0"/>
    <n v="0"/>
    <n v="0"/>
    <n v="0"/>
    <n v="0"/>
    <n v="0"/>
    <n v="0"/>
    <n v="0"/>
    <n v="0"/>
    <n v="0"/>
    <n v="0"/>
    <n v="0"/>
    <n v="0"/>
    <n v="0"/>
    <n v="0"/>
    <m/>
  </r>
  <r>
    <n v="268"/>
    <d v="2024-04-22T16:48:49"/>
    <d v="2024-04-22T16:50:15"/>
    <s v="jmakoza@lighthouse.org.mw"/>
    <s v="Jonathan Makoza"/>
    <s v="Maula_prison"/>
    <s v="Prototype"/>
    <x v="1"/>
    <x v="0"/>
    <s v="COP_23"/>
    <s v="Quarter1"/>
    <x v="2"/>
    <s v="Qtr_2"/>
    <x v="5"/>
    <d v="2024-02-01T00:00:00"/>
    <d v="2024-02-29T00:00:00"/>
    <x v="5"/>
    <n v="0"/>
    <n v="0"/>
    <n v="0"/>
    <n v="0"/>
    <n v="0"/>
    <n v="0"/>
    <n v="0"/>
    <n v="0"/>
    <n v="0"/>
    <n v="0"/>
    <n v="0"/>
    <n v="0"/>
    <n v="0"/>
    <n v="0"/>
    <n v="0"/>
    <n v="0"/>
    <n v="0"/>
    <n v="0"/>
    <n v="0"/>
    <n v="0"/>
    <n v="0"/>
    <n v="0"/>
    <n v="0"/>
    <n v="0"/>
    <n v="0"/>
    <m/>
  </r>
  <r>
    <n v="269"/>
    <d v="2024-04-22T16:50:23"/>
    <d v="2024-04-22T16:55:17"/>
    <s v="jmakoza@lighthouse.org.mw"/>
    <s v="Jonathan Makoza"/>
    <s v="Maula_prison"/>
    <s v="Prototype"/>
    <x v="1"/>
    <x v="0"/>
    <s v="COP_23"/>
    <s v="Quarter1"/>
    <x v="2"/>
    <s v="Qtr_2"/>
    <x v="3"/>
    <d v="2024-03-01T00:00:00"/>
    <d v="2024-03-31T00:00:00"/>
    <x v="5"/>
    <n v="0"/>
    <n v="0"/>
    <n v="0"/>
    <n v="0"/>
    <n v="0"/>
    <n v="0"/>
    <n v="0"/>
    <n v="0"/>
    <n v="0"/>
    <n v="0"/>
    <n v="0"/>
    <n v="0"/>
    <n v="0"/>
    <n v="0"/>
    <n v="0"/>
    <n v="0"/>
    <n v="0"/>
    <n v="0"/>
    <n v="0"/>
    <n v="0"/>
    <n v="0"/>
    <n v="0"/>
    <n v="0"/>
    <n v="0"/>
    <n v="0"/>
    <m/>
  </r>
  <r>
    <n v="264"/>
    <d v="2024-04-22T15:22:30"/>
    <d v="2024-04-22T16:35:30"/>
    <s v="jmakoza@lighthouse.org.mw"/>
    <s v="Jonathan Makoza"/>
    <s v="Maula_prison"/>
    <s v="Prototype"/>
    <x v="1"/>
    <x v="0"/>
    <s v="COP_23"/>
    <s v="Quarter1"/>
    <x v="2"/>
    <s v="Qtr_2"/>
    <x v="4"/>
    <d v="2024-01-01T00:00:00"/>
    <d v="2024-01-31T00:00:00"/>
    <x v="0"/>
    <n v="15"/>
    <n v="0"/>
    <n v="0"/>
    <n v="0"/>
    <n v="0"/>
    <n v="0"/>
    <n v="3"/>
    <n v="0"/>
    <n v="0"/>
    <n v="0"/>
    <n v="0"/>
    <n v="0"/>
    <n v="0"/>
    <n v="0"/>
    <n v="0"/>
    <n v="0"/>
    <n v="0"/>
    <n v="0"/>
    <n v="0"/>
    <n v="0"/>
    <n v="0"/>
    <n v="0"/>
    <n v="0"/>
    <n v="0"/>
    <n v="0"/>
    <m/>
  </r>
  <r>
    <n v="265"/>
    <d v="2024-04-22T16:35:31"/>
    <d v="2024-04-22T16:38:08"/>
    <s v="jmakoza@lighthouse.org.mw"/>
    <s v="Jonathan Makoza"/>
    <s v="Maula_prison"/>
    <s v="Prototype"/>
    <x v="1"/>
    <x v="2"/>
    <s v="COP_23"/>
    <s v="Quarter1"/>
    <x v="2"/>
    <s v="Qtr_2"/>
    <x v="5"/>
    <d v="2024-02-01T00:00:00"/>
    <d v="2024-02-29T00:00:00"/>
    <x v="0"/>
    <n v="7"/>
    <n v="0"/>
    <n v="0"/>
    <n v="0"/>
    <n v="0"/>
    <n v="0"/>
    <n v="3"/>
    <n v="0"/>
    <n v="0"/>
    <n v="0"/>
    <n v="0"/>
    <n v="0"/>
    <n v="0"/>
    <n v="0"/>
    <n v="0"/>
    <n v="0"/>
    <n v="0"/>
    <n v="0"/>
    <n v="0"/>
    <n v="0"/>
    <n v="0"/>
    <n v="0"/>
    <n v="0"/>
    <n v="0"/>
    <n v="0"/>
    <m/>
  </r>
  <r>
    <n v="266"/>
    <d v="2024-04-22T16:38:37"/>
    <d v="2024-04-22T16:41:59"/>
    <s v="jmakoza@lighthouse.org.mw"/>
    <s v="Jonathan Makoza"/>
    <s v="Maula_prison"/>
    <s v="Prototype"/>
    <x v="1"/>
    <x v="2"/>
    <s v="COP_23"/>
    <s v="Quarter1"/>
    <x v="2"/>
    <s v="Qtr_2"/>
    <x v="3"/>
    <d v="2024-03-01T00:00:00"/>
    <d v="2024-03-31T00:00:00"/>
    <x v="0"/>
    <n v="12"/>
    <n v="0"/>
    <n v="0"/>
    <n v="0"/>
    <n v="0"/>
    <n v="0"/>
    <n v="9"/>
    <n v="0"/>
    <n v="0"/>
    <n v="0"/>
    <n v="0"/>
    <n v="0"/>
    <n v="0"/>
    <n v="0"/>
    <n v="0"/>
    <n v="0"/>
    <n v="0"/>
    <n v="0"/>
    <n v="0"/>
    <n v="0"/>
    <n v="0"/>
    <n v="0"/>
    <n v="0"/>
    <n v="0"/>
    <n v="0"/>
    <m/>
  </r>
  <r>
    <n v="264"/>
    <d v="2024-04-22T15:22:24"/>
    <d v="2024-04-22T16:35:30"/>
    <s v="jmakoza@lighthouse.org.mw"/>
    <s v="Jonathan Makoza"/>
    <s v="Maula_prison"/>
    <s v="Prototype"/>
    <x v="1"/>
    <x v="2"/>
    <s v="COP_23"/>
    <s v="Quarter1"/>
    <x v="2"/>
    <s v="Qtr_2"/>
    <x v="4"/>
    <d v="2024-01-01T00:00:00"/>
    <d v="2024-01-31T00:00:00"/>
    <x v="1"/>
    <n v="15"/>
    <n v="0"/>
    <n v="0"/>
    <n v="0"/>
    <n v="0"/>
    <n v="0"/>
    <n v="3"/>
    <n v="0"/>
    <n v="0"/>
    <n v="0"/>
    <n v="0"/>
    <n v="0"/>
    <n v="0"/>
    <n v="0"/>
    <n v="0"/>
    <n v="0"/>
    <n v="0"/>
    <n v="0"/>
    <n v="0"/>
    <n v="0"/>
    <n v="0"/>
    <n v="0"/>
    <n v="0"/>
    <n v="0"/>
    <n v="0"/>
    <m/>
  </r>
  <r>
    <n v="265"/>
    <d v="2024-04-22T16:35:49"/>
    <d v="2024-04-22T16:38:08"/>
    <s v="jmakoza@lighthouse.org.mw"/>
    <s v="Jonathan Makoza"/>
    <s v="Maula_prison"/>
    <s v="Prototype"/>
    <x v="1"/>
    <x v="2"/>
    <s v="COP_23"/>
    <s v="Quarter1"/>
    <x v="2"/>
    <s v="Qtr_2"/>
    <x v="5"/>
    <d v="2024-02-01T00:00:00"/>
    <d v="2024-02-29T00:00:00"/>
    <x v="1"/>
    <n v="7"/>
    <n v="0"/>
    <n v="0"/>
    <n v="0"/>
    <n v="0"/>
    <n v="0"/>
    <n v="3"/>
    <n v="0"/>
    <n v="0"/>
    <n v="0"/>
    <n v="0"/>
    <n v="0"/>
    <n v="0"/>
    <n v="0"/>
    <n v="0"/>
    <n v="0"/>
    <n v="0"/>
    <n v="0"/>
    <n v="0"/>
    <n v="0"/>
    <n v="0"/>
    <n v="0"/>
    <n v="0"/>
    <n v="0"/>
    <n v="0"/>
    <m/>
  </r>
  <r>
    <n v="266"/>
    <d v="2024-04-22T16:38:12"/>
    <d v="2024-04-22T16:41:59"/>
    <s v="jmakoza@lighthouse.org.mw"/>
    <s v="Jonathan Makoza"/>
    <s v="Maula_prison"/>
    <s v="Prototype"/>
    <x v="1"/>
    <x v="2"/>
    <s v="COP_23"/>
    <s v="Quarter1"/>
    <x v="2"/>
    <s v="Qtr_2"/>
    <x v="3"/>
    <d v="2024-03-01T00:00:00"/>
    <d v="2024-03-31T00:00:00"/>
    <x v="1"/>
    <n v="12"/>
    <n v="0"/>
    <n v="0"/>
    <n v="0"/>
    <n v="0"/>
    <n v="0"/>
    <n v="9"/>
    <n v="0"/>
    <n v="0"/>
    <n v="0"/>
    <n v="0"/>
    <n v="0"/>
    <n v="0"/>
    <n v="0"/>
    <n v="0"/>
    <n v="0"/>
    <n v="0"/>
    <n v="0"/>
    <n v="0"/>
    <n v="0"/>
    <n v="0"/>
    <n v="0"/>
    <n v="0"/>
    <n v="0"/>
    <n v="0"/>
    <m/>
  </r>
  <r>
    <n v="614"/>
    <d v="2024-07-15T14:16:22"/>
    <d v="2024-07-15T14:19:11"/>
    <s v="jmakoza@lighthouse.org.mw"/>
    <s v="Jonathan Makoza"/>
    <s v="Maula_prison"/>
    <s v="Prototype"/>
    <x v="1"/>
    <x v="2"/>
    <s v="COP_23"/>
    <s v="Quarter2"/>
    <x v="3"/>
    <s v="Qtr_3"/>
    <x v="7"/>
    <d v="2024-04-01T00:00:00"/>
    <d v="2024-04-30T00:00:00"/>
    <x v="1"/>
    <n v="8"/>
    <n v="0"/>
    <n v="8"/>
    <n v="0"/>
    <n v="0"/>
    <n v="0"/>
    <n v="8"/>
    <n v="0"/>
    <n v="0"/>
    <n v="0"/>
    <n v="0"/>
    <n v="0"/>
    <n v="0"/>
    <n v="0"/>
    <n v="0"/>
    <n v="0"/>
    <n v="0"/>
    <n v="0"/>
    <n v="0"/>
    <n v="0"/>
    <n v="0"/>
    <n v="0"/>
    <n v="0"/>
    <n v="0"/>
    <n v="0"/>
    <m/>
  </r>
  <r>
    <n v="615"/>
    <d v="2024-07-15T14:19:16"/>
    <d v="2024-07-15T14:20:59"/>
    <s v="jmakoza@lighthouse.org.mw"/>
    <s v="Jonathan Makoza"/>
    <s v="Maula_prison"/>
    <s v="Prototype"/>
    <x v="1"/>
    <x v="2"/>
    <s v="COP_23"/>
    <s v="Quarter2"/>
    <x v="3"/>
    <s v="Qtr_3"/>
    <x v="6"/>
    <d v="2024-05-01T00:00:00"/>
    <d v="2024-05-31T00:00:00"/>
    <x v="1"/>
    <n v="9"/>
    <n v="0"/>
    <n v="9"/>
    <n v="0"/>
    <n v="0"/>
    <n v="0"/>
    <n v="9"/>
    <n v="0"/>
    <n v="0"/>
    <n v="0"/>
    <n v="0"/>
    <n v="0"/>
    <n v="0"/>
    <n v="0"/>
    <n v="0"/>
    <n v="0"/>
    <n v="0"/>
    <n v="0"/>
    <n v="0"/>
    <n v="0"/>
    <n v="0"/>
    <n v="0"/>
    <n v="0"/>
    <n v="0"/>
    <n v="0"/>
    <m/>
  </r>
  <r>
    <n v="618"/>
    <d v="2024-07-15T14:26:51"/>
    <d v="2024-07-15T14:28:44"/>
    <s v="jmakoza@lighthouse.org.mw"/>
    <s v="Jonathan Makoza"/>
    <s v="Maula_prison"/>
    <s v="Prototype"/>
    <x v="1"/>
    <x v="2"/>
    <s v="COP_23"/>
    <s v="Quarter2"/>
    <x v="3"/>
    <s v="Qtr_3"/>
    <x v="8"/>
    <d v="2024-06-01T00:00:00"/>
    <d v="2024-06-30T00:00:00"/>
    <x v="1"/>
    <n v="14"/>
    <n v="0"/>
    <n v="14"/>
    <n v="0"/>
    <n v="0"/>
    <n v="0"/>
    <n v="14"/>
    <n v="0"/>
    <n v="0"/>
    <n v="0"/>
    <n v="0"/>
    <n v="0"/>
    <n v="0"/>
    <n v="0"/>
    <n v="0"/>
    <n v="0"/>
    <n v="0"/>
    <n v="0"/>
    <n v="0"/>
    <n v="0"/>
    <n v="0"/>
    <n v="0"/>
    <n v="0"/>
    <n v="0"/>
    <n v="0"/>
    <m/>
  </r>
  <r>
    <n v="867"/>
    <d v="2024-10-02T15:59:14"/>
    <d v="2024-10-02T16:00:13"/>
    <s v="jmakoza@lighthouse.org.mw"/>
    <s v="Jonathan Makoza"/>
    <s v="Maula_prison"/>
    <s v="Prototype"/>
    <x v="1"/>
    <x v="1"/>
    <s v="COP_23"/>
    <s v="Quarter3"/>
    <x v="1"/>
    <s v="Qtr_4"/>
    <x v="9"/>
    <d v="2024-07-01T00:00:00"/>
    <d v="2024-07-31T00:00:00"/>
    <x v="1"/>
    <n v="5"/>
    <n v="0"/>
    <n v="5"/>
    <n v="0"/>
    <n v="0"/>
    <n v="0"/>
    <n v="5"/>
    <n v="0"/>
    <n v="0"/>
    <n v="0"/>
    <n v="0"/>
    <n v="0"/>
    <n v="0"/>
    <n v="0"/>
    <n v="0"/>
    <n v="0"/>
    <n v="0"/>
    <n v="0"/>
    <n v="0"/>
    <n v="0"/>
    <n v="0"/>
    <n v="0"/>
    <n v="0"/>
    <n v="0"/>
    <n v="0"/>
    <m/>
  </r>
  <r>
    <n v="965"/>
    <d v="2024-10-21T09:21:49"/>
    <d v="2024-10-21T09:23:33"/>
    <s v="jmakoza@lighthouse.org.mw"/>
    <s v="Jonathan Makoza"/>
    <s v="Maula_prison"/>
    <s v="Prototype"/>
    <x v="1"/>
    <x v="1"/>
    <s v="COP_23"/>
    <s v="Quarter3"/>
    <x v="1"/>
    <s v="Qtr_4"/>
    <x v="2"/>
    <d v="2024-09-01T00:00:00"/>
    <d v="2024-09-30T00:00:00"/>
    <x v="1"/>
    <n v="6"/>
    <n v="0"/>
    <n v="5"/>
    <n v="0"/>
    <n v="0"/>
    <n v="0"/>
    <n v="5"/>
    <n v="0"/>
    <n v="0"/>
    <n v="0"/>
    <n v="0"/>
    <n v="0"/>
    <n v="0"/>
    <n v="0"/>
    <n v="0"/>
    <n v="0"/>
    <n v="0"/>
    <n v="0"/>
    <n v="0"/>
    <n v="0"/>
    <n v="0"/>
    <n v="0"/>
    <n v="0"/>
    <n v="0"/>
    <n v="0"/>
    <m/>
  </r>
  <r>
    <n v="613"/>
    <d v="2024-07-15T14:01:10"/>
    <d v="2024-07-15T14:15:49"/>
    <s v="jmakoza@lighthouse.org.mw"/>
    <s v="Jonathan Makoza"/>
    <s v="Maula_prison"/>
    <s v="Prototype"/>
    <x v="1"/>
    <x v="2"/>
    <s v="COP_23"/>
    <s v="Quarter2"/>
    <x v="3"/>
    <s v="Qtr_3"/>
    <x v="7"/>
    <d v="2024-04-01T00:00:00"/>
    <d v="2024-04-30T00:00:00"/>
    <x v="0"/>
    <n v="8"/>
    <n v="0"/>
    <n v="8"/>
    <n v="0"/>
    <n v="0"/>
    <n v="0"/>
    <n v="8"/>
    <n v="0"/>
    <n v="0"/>
    <n v="0"/>
    <n v="0"/>
    <n v="0"/>
    <n v="0"/>
    <n v="0"/>
    <n v="0"/>
    <n v="0"/>
    <n v="0"/>
    <n v="0"/>
    <n v="0"/>
    <n v="0"/>
    <n v="0"/>
    <n v="0"/>
    <n v="0"/>
    <n v="0"/>
    <n v="0"/>
    <m/>
  </r>
  <r>
    <n v="966"/>
    <d v="2024-10-21T09:23:49"/>
    <d v="2024-10-21T09:38:25"/>
    <s v="jmakoza@lighthouse.org.mw"/>
    <s v="Jonathan Makoza"/>
    <s v="Maula_prison"/>
    <s v="Prototype"/>
    <x v="1"/>
    <x v="1"/>
    <s v="COP_23"/>
    <s v="Quarter3"/>
    <x v="1"/>
    <s v="Qtr_4"/>
    <x v="10"/>
    <d v="2024-08-01T00:00:00"/>
    <d v="2024-08-31T00:00:00"/>
    <x v="1"/>
    <n v="6"/>
    <n v="0"/>
    <n v="4"/>
    <n v="0"/>
    <n v="0"/>
    <n v="0"/>
    <n v="4"/>
    <n v="0"/>
    <n v="0"/>
    <n v="0"/>
    <n v="0"/>
    <n v="0"/>
    <n v="0"/>
    <n v="0"/>
    <n v="0"/>
    <n v="0"/>
    <n v="0"/>
    <n v="0"/>
    <n v="0"/>
    <n v="0"/>
    <n v="0"/>
    <n v="0"/>
    <n v="0"/>
    <n v="0"/>
    <n v="0"/>
    <m/>
  </r>
  <r>
    <n v="616"/>
    <d v="2024-07-15T14:21:11"/>
    <d v="2024-07-15T14:23:41"/>
    <s v="jmakoza@lighthouse.org.mw"/>
    <s v="Jonathan Makoza"/>
    <s v="Maula_prison"/>
    <s v="Prototype"/>
    <x v="1"/>
    <x v="2"/>
    <s v="COP_23"/>
    <s v="Quarter2"/>
    <x v="3"/>
    <s v="Qtr_3"/>
    <x v="6"/>
    <d v="2024-05-01T00:00:00"/>
    <d v="2024-05-31T00:00:00"/>
    <x v="0"/>
    <n v="9"/>
    <n v="0"/>
    <n v="9"/>
    <n v="0"/>
    <n v="0"/>
    <n v="0"/>
    <n v="9"/>
    <n v="0"/>
    <n v="0"/>
    <n v="0"/>
    <n v="0"/>
    <n v="0"/>
    <n v="0"/>
    <n v="0"/>
    <n v="0"/>
    <n v="0"/>
    <n v="0"/>
    <n v="0"/>
    <n v="0"/>
    <n v="0"/>
    <n v="0"/>
    <n v="0"/>
    <n v="0"/>
    <n v="0"/>
    <n v="0"/>
    <m/>
  </r>
  <r>
    <n v="617"/>
    <d v="2024-07-15T14:24:02"/>
    <d v="2024-07-15T14:26:47"/>
    <s v="jmakoza@lighthouse.org.mw"/>
    <s v="Jonathan Makoza"/>
    <s v="Maula_prison"/>
    <s v="Prototype"/>
    <x v="1"/>
    <x v="2"/>
    <s v="COP_23"/>
    <s v="Quarter2"/>
    <x v="3"/>
    <s v="Qtr_3"/>
    <x v="8"/>
    <d v="2024-06-01T00:00:00"/>
    <d v="2024-06-30T00:00:00"/>
    <x v="0"/>
    <n v="14"/>
    <n v="0"/>
    <n v="14"/>
    <n v="0"/>
    <n v="0"/>
    <n v="0"/>
    <n v="14"/>
    <n v="0"/>
    <n v="0"/>
    <n v="0"/>
    <n v="0"/>
    <n v="0"/>
    <n v="0"/>
    <n v="0"/>
    <n v="0"/>
    <n v="0"/>
    <n v="0"/>
    <n v="0"/>
    <n v="0"/>
    <n v="0"/>
    <n v="0"/>
    <n v="0"/>
    <n v="0"/>
    <n v="0"/>
    <n v="0"/>
    <m/>
  </r>
  <r>
    <n v="778"/>
    <d v="2024-08-19T13:16:59"/>
    <d v="2024-08-19T13:21:50"/>
    <s v="jmakoza@lighthouse.org.mw"/>
    <s v="Jonathan Makoza"/>
    <s v="Maula_prison"/>
    <s v="Prototype"/>
    <x v="1"/>
    <x v="2"/>
    <s v="COP_23"/>
    <s v="Quarter2"/>
    <x v="3"/>
    <s v="Qtr_3"/>
    <x v="7"/>
    <d v="2024-04-01T00:00:00"/>
    <d v="2024-04-30T00:00:00"/>
    <x v="5"/>
    <n v="0"/>
    <n v="0"/>
    <n v="0"/>
    <n v="0"/>
    <n v="0"/>
    <n v="0"/>
    <n v="0"/>
    <n v="0"/>
    <n v="0"/>
    <n v="0"/>
    <n v="0"/>
    <n v="0"/>
    <n v="0"/>
    <n v="0"/>
    <n v="0"/>
    <n v="0"/>
    <n v="0"/>
    <n v="0"/>
    <n v="0"/>
    <n v="0"/>
    <n v="0"/>
    <n v="0"/>
    <n v="0"/>
    <n v="0"/>
    <n v="0"/>
    <m/>
  </r>
  <r>
    <n v="779"/>
    <d v="2024-08-19T13:22:24"/>
    <d v="2024-08-19T13:32:56"/>
    <s v="jmakoza@lighthouse.org.mw"/>
    <s v="Jonathan Makoza"/>
    <s v="Maula_prison"/>
    <s v="Prototype"/>
    <x v="1"/>
    <x v="2"/>
    <s v="COP_23"/>
    <s v="Quarter2"/>
    <x v="3"/>
    <s v="Qtr_3"/>
    <x v="6"/>
    <d v="2024-05-01T00:00:00"/>
    <d v="2024-05-31T00:00:00"/>
    <x v="5"/>
    <n v="0"/>
    <n v="0"/>
    <n v="0"/>
    <n v="0"/>
    <n v="0"/>
    <n v="0"/>
    <n v="0"/>
    <n v="0"/>
    <n v="0"/>
    <n v="0"/>
    <n v="0"/>
    <n v="0"/>
    <n v="0"/>
    <n v="0"/>
    <n v="0"/>
    <n v="0"/>
    <n v="0"/>
    <n v="0"/>
    <n v="0"/>
    <n v="0"/>
    <n v="0"/>
    <n v="0"/>
    <n v="0"/>
    <n v="0"/>
    <n v="0"/>
    <m/>
  </r>
  <r>
    <n v="868"/>
    <d v="2024-10-02T16:00:34"/>
    <d v="2024-10-02T16:04:36"/>
    <s v="jmakoza@lighthouse.org.mw"/>
    <s v="Jonathan Makoza"/>
    <s v="Maula_prison"/>
    <s v="Prototype"/>
    <x v="1"/>
    <x v="1"/>
    <s v="COP_23"/>
    <s v="Quarter3"/>
    <x v="1"/>
    <s v="Qtr_4"/>
    <x v="9"/>
    <d v="2024-07-01T00:00:00"/>
    <d v="2024-07-31T00:00:00"/>
    <x v="0"/>
    <n v="5"/>
    <n v="0"/>
    <n v="5"/>
    <n v="0"/>
    <n v="0"/>
    <n v="0"/>
    <n v="5"/>
    <n v="0"/>
    <n v="0"/>
    <n v="0"/>
    <n v="0"/>
    <n v="0"/>
    <n v="0"/>
    <n v="0"/>
    <n v="0"/>
    <n v="0"/>
    <n v="0"/>
    <n v="0"/>
    <n v="0"/>
    <n v="0"/>
    <n v="0"/>
    <n v="0"/>
    <n v="0"/>
    <n v="0"/>
    <n v="0"/>
    <m/>
  </r>
  <r>
    <n v="964"/>
    <d v="2024-10-21T09:18:01"/>
    <d v="2024-10-21T09:21:43"/>
    <s v="jmakoza@lighthouse.org.mw"/>
    <s v="Jonathan Makoza"/>
    <s v="Maula_prison"/>
    <s v="Prototype"/>
    <x v="1"/>
    <x v="1"/>
    <s v="COP_23"/>
    <s v="Quarter3"/>
    <x v="1"/>
    <s v="Qtr_4"/>
    <x v="2"/>
    <d v="2024-09-01T00:00:00"/>
    <d v="2024-09-30T00:00:00"/>
    <x v="0"/>
    <n v="6"/>
    <n v="0"/>
    <n v="5"/>
    <n v="0"/>
    <n v="0"/>
    <n v="0"/>
    <n v="5"/>
    <n v="0"/>
    <n v="0"/>
    <n v="0"/>
    <n v="0"/>
    <n v="0"/>
    <n v="0"/>
    <n v="0"/>
    <n v="0"/>
    <n v="0"/>
    <n v="0"/>
    <n v="0"/>
    <n v="0"/>
    <n v="0"/>
    <n v="0"/>
    <n v="0"/>
    <n v="0"/>
    <n v="0"/>
    <n v="0"/>
    <m/>
  </r>
  <r>
    <n v="967"/>
    <d v="2024-10-21T09:38:31"/>
    <d v="2024-10-21T09:40:19"/>
    <s v="jmakoza@lighthouse.org.mw"/>
    <s v="Jonathan Makoza"/>
    <s v="Maula_prison"/>
    <s v="Prototype"/>
    <x v="1"/>
    <x v="0"/>
    <s v="COP_23"/>
    <s v="Quarter3"/>
    <x v="1"/>
    <s v="Qtr_4"/>
    <x v="10"/>
    <d v="2024-08-01T00:00:00"/>
    <d v="2024-08-31T00:00:00"/>
    <x v="0"/>
    <n v="4"/>
    <n v="0"/>
    <n v="4"/>
    <n v="0"/>
    <n v="0"/>
    <n v="0"/>
    <n v="4"/>
    <n v="0"/>
    <n v="0"/>
    <n v="0"/>
    <n v="0"/>
    <n v="0"/>
    <n v="0"/>
    <n v="0"/>
    <n v="0"/>
    <n v="0"/>
    <n v="0"/>
    <n v="0"/>
    <n v="0"/>
    <n v="0"/>
    <n v="0"/>
    <n v="0"/>
    <n v="0"/>
    <n v="0"/>
    <n v="0"/>
    <m/>
  </r>
  <r>
    <n v="1040"/>
    <d v="2024-11-07T13:49:21"/>
    <d v="2024-11-07T13:50:55"/>
    <s v="jmakoza@lighthouse.org.mw"/>
    <s v="Jonathan Makoza"/>
    <s v="Maula_prison"/>
    <s v="Prototype"/>
    <x v="1"/>
    <x v="0"/>
    <s v="COP_23"/>
    <s v="Quarter3"/>
    <x v="1"/>
    <s v="Qtr_4"/>
    <x v="2"/>
    <d v="2024-09-01T00:00:00"/>
    <d v="2024-09-30T00:00:00"/>
    <x v="5"/>
    <n v="0"/>
    <n v="0"/>
    <n v="0"/>
    <n v="0"/>
    <n v="0"/>
    <n v="0"/>
    <n v="0"/>
    <n v="0"/>
    <n v="0"/>
    <n v="0"/>
    <n v="0"/>
    <n v="0"/>
    <n v="0"/>
    <n v="0"/>
    <n v="0"/>
    <n v="0"/>
    <n v="0"/>
    <n v="0"/>
    <n v="0"/>
    <n v="0"/>
    <n v="0"/>
    <n v="0"/>
    <n v="0"/>
    <n v="0"/>
    <n v="0"/>
    <m/>
  </r>
  <r>
    <n v="1041"/>
    <d v="2024-11-07T13:50:57"/>
    <d v="2024-11-07T13:52:07"/>
    <s v="jmakoza@lighthouse.org.mw"/>
    <s v="Jonathan Makoza"/>
    <s v="Maula_prison"/>
    <s v="Prototype"/>
    <x v="1"/>
    <x v="1"/>
    <s v="COP_22"/>
    <s v="Quarter3"/>
    <x v="1"/>
    <s v="Qtr_4"/>
    <x v="10"/>
    <d v="2024-08-01T00:00:00"/>
    <d v="2024-08-31T00:00:00"/>
    <x v="5"/>
    <n v="0"/>
    <n v="0"/>
    <n v="0"/>
    <n v="0"/>
    <n v="0"/>
    <n v="0"/>
    <n v="0"/>
    <n v="0"/>
    <n v="0"/>
    <n v="0"/>
    <n v="0"/>
    <n v="0"/>
    <n v="0"/>
    <n v="0"/>
    <n v="0"/>
    <n v="0"/>
    <n v="0"/>
    <n v="0"/>
    <n v="0"/>
    <n v="0"/>
    <n v="0"/>
    <n v="0"/>
    <n v="0"/>
    <n v="0"/>
    <n v="0"/>
    <m/>
  </r>
  <r>
    <n v="1042"/>
    <d v="2024-11-07T13:52:10"/>
    <d v="2024-11-07T13:53:32"/>
    <s v="jmakoza@lighthouse.org.mw"/>
    <s v="Jonathan Makoza"/>
    <s v="Maula_prison"/>
    <s v="Prototype"/>
    <x v="1"/>
    <x v="0"/>
    <s v="COP_23"/>
    <s v="Quarter3"/>
    <x v="1"/>
    <s v="Qtr_4"/>
    <x v="9"/>
    <d v="2024-07-01T00:00:00"/>
    <d v="2024-07-31T00:00:00"/>
    <x v="5"/>
    <n v="0"/>
    <n v="0"/>
    <n v="0"/>
    <n v="0"/>
    <n v="0"/>
    <n v="0"/>
    <n v="0"/>
    <n v="0"/>
    <n v="0"/>
    <n v="0"/>
    <n v="0"/>
    <n v="0"/>
    <n v="0"/>
    <n v="0"/>
    <n v="0"/>
    <n v="0"/>
    <n v="0"/>
    <n v="0"/>
    <n v="0"/>
    <n v="0"/>
    <n v="0"/>
    <n v="0"/>
    <n v="0"/>
    <n v="0"/>
    <n v="0"/>
    <m/>
  </r>
  <r>
    <n v="1144"/>
    <d v="2024-12-17T14:38:57"/>
    <d v="2024-12-17T14:44:51"/>
    <s v="jmakoza@lighthouse.org.mw"/>
    <s v="Jonathan Makoza"/>
    <s v="Maula_prison"/>
    <s v="Prototype"/>
    <x v="1"/>
    <x v="0"/>
    <s v="COP_24"/>
    <s v="Quarter4"/>
    <x v="0"/>
    <s v="Qtr_1"/>
    <x v="0"/>
    <d v="2024-10-01T00:00:00"/>
    <d v="2024-10-31T00:00:00"/>
    <x v="1"/>
    <n v="12"/>
    <n v="0"/>
    <n v="10"/>
    <n v="0"/>
    <n v="0"/>
    <n v="0"/>
    <n v="0"/>
    <n v="0"/>
    <n v="0"/>
    <n v="0"/>
    <n v="0"/>
    <n v="0"/>
    <n v="0"/>
    <n v="0"/>
    <n v="0"/>
    <n v="0"/>
    <n v="0"/>
    <n v="0"/>
    <n v="0"/>
    <n v="0"/>
    <n v="0"/>
    <n v="0"/>
    <n v="0"/>
    <n v="0"/>
    <n v="0"/>
    <m/>
  </r>
  <r>
    <n v="1145"/>
    <d v="2024-12-17T14:45:16"/>
    <d v="2024-12-17T14:47:52"/>
    <s v="jmakoza@lighthouse.org.mw"/>
    <s v="Jonathan Makoza"/>
    <s v="Maula_prison"/>
    <s v="Prototype"/>
    <x v="1"/>
    <x v="1"/>
    <s v="COP_24"/>
    <s v="Quarter4"/>
    <x v="0"/>
    <s v="Qtr_1"/>
    <x v="0"/>
    <d v="2024-10-01T00:00:00"/>
    <d v="2024-10-31T00:00:00"/>
    <x v="0"/>
    <n v="12"/>
    <n v="0"/>
    <n v="10"/>
    <n v="0"/>
    <n v="0"/>
    <n v="0"/>
    <n v="0"/>
    <n v="0"/>
    <n v="0"/>
    <n v="0"/>
    <n v="0"/>
    <n v="0"/>
    <n v="0"/>
    <n v="0"/>
    <n v="0"/>
    <n v="0"/>
    <n v="0"/>
    <n v="0"/>
    <n v="0"/>
    <n v="0"/>
    <n v="0"/>
    <n v="0"/>
    <n v="0"/>
    <n v="0"/>
    <n v="0"/>
    <m/>
  </r>
  <r>
    <n v="1153"/>
    <d v="2024-12-17T15:31:06"/>
    <d v="2024-12-17T15:32:46"/>
    <s v="jmakoza@lighthouse.org.mw"/>
    <s v="Jonathan Makoza"/>
    <s v="Maula_prison"/>
    <s v="Prototype"/>
    <x v="1"/>
    <x v="0"/>
    <s v="COP_24"/>
    <s v="Quarter4"/>
    <x v="0"/>
    <s v="Qtr_1"/>
    <x v="1"/>
    <d v="2024-11-01T00:00:00"/>
    <d v="2024-11-30T00:00:00"/>
    <x v="0"/>
    <n v="5"/>
    <n v="0"/>
    <n v="3"/>
    <n v="0"/>
    <n v="0"/>
    <n v="0"/>
    <n v="0"/>
    <n v="0"/>
    <n v="0"/>
    <n v="0"/>
    <n v="0"/>
    <n v="0"/>
    <n v="0"/>
    <n v="0"/>
    <n v="0"/>
    <n v="0"/>
    <n v="0"/>
    <n v="0"/>
    <n v="0"/>
    <n v="0"/>
    <n v="0"/>
    <n v="0"/>
    <n v="0"/>
    <n v="0"/>
    <n v="0"/>
    <m/>
  </r>
  <r>
    <n v="1154"/>
    <d v="2024-12-17T15:32:52"/>
    <d v="2024-12-17T15:35:37"/>
    <s v="jmakoza@lighthouse.org.mw"/>
    <s v="Jonathan Makoza"/>
    <s v="Maula_prison"/>
    <s v="Prototype"/>
    <x v="1"/>
    <x v="0"/>
    <s v="COP_24"/>
    <s v="Quarter4"/>
    <x v="0"/>
    <s v="Qtr_1"/>
    <x v="1"/>
    <d v="2024-11-01T00:00:00"/>
    <d v="2024-11-30T00:00:00"/>
    <x v="1"/>
    <n v="5"/>
    <n v="0"/>
    <n v="5"/>
    <n v="0"/>
    <n v="0"/>
    <n v="0"/>
    <n v="0"/>
    <n v="0"/>
    <n v="0"/>
    <n v="0"/>
    <n v="0"/>
    <n v="0"/>
    <n v="0"/>
    <n v="0"/>
    <n v="0"/>
    <n v="0"/>
    <n v="0"/>
    <n v="0"/>
    <n v="0"/>
    <n v="0"/>
    <n v="0"/>
    <n v="0"/>
    <n v="0"/>
    <n v="0"/>
    <n v="0"/>
    <m/>
  </r>
  <r>
    <n v="1155"/>
    <d v="2024-12-17T15:36:23"/>
    <d v="2024-12-17T15:37:45"/>
    <s v="jmakoza@lighthouse.org.mw"/>
    <s v="Jonathan Makoza"/>
    <s v="Maula_prison"/>
    <s v="Prototype"/>
    <x v="1"/>
    <x v="0"/>
    <s v="COP_24"/>
    <s v="Quarter4"/>
    <x v="0"/>
    <s v="Qtr_1"/>
    <x v="1"/>
    <d v="2024-11-01T00:00:00"/>
    <d v="2024-11-30T00:00:00"/>
    <x v="5"/>
    <n v="0"/>
    <n v="0"/>
    <n v="0"/>
    <n v="0"/>
    <n v="0"/>
    <n v="0"/>
    <n v="0"/>
    <n v="0"/>
    <n v="0"/>
    <n v="0"/>
    <n v="0"/>
    <n v="0"/>
    <n v="0"/>
    <n v="0"/>
    <n v="0"/>
    <n v="0"/>
    <n v="0"/>
    <n v="0"/>
    <n v="0"/>
    <n v="0"/>
    <n v="0"/>
    <n v="0"/>
    <n v="0"/>
    <n v="0"/>
    <n v="0"/>
    <m/>
  </r>
  <r>
    <n v="1296"/>
    <d v="2025-01-16T13:41:44"/>
    <d v="2025-01-16T14:03:51"/>
    <s v="jmakoza@lighthouse.org.mw"/>
    <s v="Jonathan Makoza"/>
    <s v="Maula_prison"/>
    <s v="Prototype"/>
    <x v="1"/>
    <x v="0"/>
    <s v="COP_24"/>
    <s v="Quarter4"/>
    <x v="0"/>
    <s v="Qtr_1"/>
    <x v="11"/>
    <d v="2024-12-01T00:00:00"/>
    <d v="2024-12-31T00:00:00"/>
    <x v="0"/>
    <n v="5"/>
    <n v="0"/>
    <n v="5"/>
    <n v="0"/>
    <n v="0"/>
    <n v="0"/>
    <n v="5"/>
    <n v="0"/>
    <n v="0"/>
    <n v="0"/>
    <n v="0"/>
    <n v="0"/>
    <n v="0"/>
    <n v="0"/>
    <n v="0"/>
    <n v="0"/>
    <n v="0"/>
    <n v="0"/>
    <n v="0"/>
    <n v="0"/>
    <n v="0"/>
    <n v="0"/>
    <n v="0"/>
    <n v="0"/>
    <n v="0"/>
    <m/>
  </r>
  <r>
    <n v="1297"/>
    <d v="2025-01-16T14:04:13"/>
    <d v="2025-01-16T14:06:44"/>
    <s v="jmakoza@lighthouse.org.mw"/>
    <s v="Jonathan Makoza"/>
    <s v="Maula_prison"/>
    <s v="Prototype"/>
    <x v="1"/>
    <x v="0"/>
    <s v="COP_24"/>
    <s v="Quarter4"/>
    <x v="0"/>
    <s v="Qtr_1"/>
    <x v="11"/>
    <d v="2024-12-01T00:00:00"/>
    <d v="2024-12-31T00:00:00"/>
    <x v="1"/>
    <n v="5"/>
    <n v="0"/>
    <n v="5"/>
    <n v="0"/>
    <n v="0"/>
    <n v="0"/>
    <n v="5"/>
    <n v="0"/>
    <n v="0"/>
    <n v="0"/>
    <n v="0"/>
    <n v="0"/>
    <n v="0"/>
    <n v="0"/>
    <n v="0"/>
    <n v="0"/>
    <n v="0"/>
    <n v="0"/>
    <n v="0"/>
    <n v="0"/>
    <n v="0"/>
    <n v="0"/>
    <n v="0"/>
    <n v="0"/>
    <n v="0"/>
    <m/>
  </r>
  <r>
    <n v="1298"/>
    <d v="2025-01-16T14:07:30"/>
    <d v="2025-01-16T14:18:29"/>
    <s v="jmakoza@lighthouse.org.mw"/>
    <s v="Jonathan Makoza"/>
    <s v="Maula_prison"/>
    <s v="Prototype"/>
    <x v="1"/>
    <x v="0"/>
    <s v="COP_24"/>
    <s v="Quarter4"/>
    <x v="0"/>
    <s v="Qtr_1"/>
    <x v="11"/>
    <d v="2024-12-01T00:00:00"/>
    <d v="2024-12-31T00:00:00"/>
    <x v="5"/>
    <n v="0"/>
    <n v="0"/>
    <n v="0"/>
    <n v="0"/>
    <n v="0"/>
    <n v="0"/>
    <n v="0"/>
    <n v="0"/>
    <n v="0"/>
    <n v="0"/>
    <n v="0"/>
    <n v="0"/>
    <n v="0"/>
    <n v="0"/>
    <n v="0"/>
    <n v="0"/>
    <n v="0"/>
    <n v="0"/>
    <n v="0"/>
    <n v="0"/>
    <n v="0"/>
    <n v="0"/>
    <n v="0"/>
    <n v="0"/>
    <n v="0"/>
    <m/>
  </r>
  <r>
    <n v="1299"/>
    <d v="2025-01-16T14:23:05"/>
    <d v="2025-01-16T14:24:34"/>
    <s v="jmakoza@lighthouse.org.mw"/>
    <s v="Jonathan Makoza"/>
    <s v="Maula_prison"/>
    <s v="Prototype"/>
    <x v="1"/>
    <x v="0"/>
    <s v="COP_24"/>
    <s v="Quarter4"/>
    <x v="0"/>
    <s v="Qtr_1"/>
    <x v="1"/>
    <d v="2024-11-01T00:00:00"/>
    <d v="2024-11-30T00:00:00"/>
    <x v="5"/>
    <n v="1"/>
    <n v="0"/>
    <n v="0"/>
    <n v="0"/>
    <n v="0"/>
    <n v="0"/>
    <n v="0"/>
    <n v="0"/>
    <n v="0"/>
    <n v="0"/>
    <n v="0"/>
    <n v="0"/>
    <n v="0"/>
    <n v="0"/>
    <n v="0"/>
    <n v="0"/>
    <n v="0"/>
    <n v="0"/>
    <n v="0"/>
    <n v="0"/>
    <n v="0"/>
    <n v="0"/>
    <n v="0"/>
    <n v="0"/>
    <n v="0"/>
    <m/>
  </r>
  <r>
    <n v="1457"/>
    <d v="2025-03-19T09:58:47"/>
    <d v="2025-03-19T10:03:00"/>
    <s v="jmakoza@lighthouse.org.mw"/>
    <s v="Jonathan Makoza"/>
    <s v="Maula_prison"/>
    <s v="Prototype"/>
    <x v="2"/>
    <x v="0"/>
    <s v="COP_24"/>
    <s v="Quarter1"/>
    <x v="2"/>
    <s v="Qtr_2"/>
    <x v="5"/>
    <d v="2025-02-01T00:00:00"/>
    <d v="2025-02-28T00:00:00"/>
    <x v="0"/>
    <n v="10"/>
    <n v="0"/>
    <n v="10"/>
    <n v="0"/>
    <n v="0"/>
    <n v="0"/>
    <n v="10"/>
    <n v="0"/>
    <n v="0"/>
    <n v="0"/>
    <n v="0"/>
    <n v="0"/>
    <n v="0"/>
    <n v="0"/>
    <n v="0"/>
    <n v="0"/>
    <n v="0"/>
    <n v="0"/>
    <n v="0"/>
    <n v="0"/>
    <n v="0"/>
    <n v="0"/>
    <n v="0"/>
    <n v="0"/>
    <n v="0"/>
    <m/>
  </r>
  <r>
    <n v="1458"/>
    <d v="2025-03-19T10:03:05"/>
    <d v="2025-03-19T10:06:48"/>
    <s v="jmakoza@lighthouse.org.mw"/>
    <s v="Jonathan Makoza"/>
    <s v="Maula_prison"/>
    <s v="Prototype"/>
    <x v="2"/>
    <x v="0"/>
    <s v="COP_24"/>
    <s v="Quarter1"/>
    <x v="2"/>
    <s v="Qtr_2"/>
    <x v="5"/>
    <d v="2025-02-01T00:00:00"/>
    <d v="2025-02-28T00:00:00"/>
    <x v="1"/>
    <n v="10"/>
    <n v="0"/>
    <n v="10"/>
    <n v="0"/>
    <n v="0"/>
    <n v="0"/>
    <n v="10"/>
    <n v="0"/>
    <n v="0"/>
    <n v="0"/>
    <n v="0"/>
    <n v="0"/>
    <n v="0"/>
    <n v="0"/>
    <n v="0"/>
    <n v="0"/>
    <n v="0"/>
    <n v="0"/>
    <n v="0"/>
    <n v="0"/>
    <n v="0"/>
    <n v="0"/>
    <n v="0"/>
    <n v="0"/>
    <n v="0"/>
    <m/>
  </r>
  <r>
    <n v="1459"/>
    <d v="2025-03-19T10:07:22"/>
    <d v="2025-03-19T10:09:59"/>
    <s v="jmakoza@lighthouse.org.mw"/>
    <s v="Jonathan Makoza"/>
    <s v="Maula_prison"/>
    <s v="Prototype"/>
    <x v="2"/>
    <x v="0"/>
    <s v="COP_24"/>
    <s v="Quarter1"/>
    <x v="2"/>
    <s v="Qtr_2"/>
    <x v="5"/>
    <d v="2025-02-01T00:00:00"/>
    <d v="2025-02-28T00:00:00"/>
    <x v="5"/>
    <n v="0"/>
    <n v="0"/>
    <n v="0"/>
    <n v="0"/>
    <n v="0"/>
    <n v="0"/>
    <n v="0"/>
    <n v="0"/>
    <n v="0"/>
    <n v="0"/>
    <n v="0"/>
    <n v="0"/>
    <n v="0"/>
    <n v="0"/>
    <n v="0"/>
    <n v="0"/>
    <n v="0"/>
    <n v="0"/>
    <n v="0"/>
    <n v="0"/>
    <n v="0"/>
    <n v="0"/>
    <n v="0"/>
    <n v="0"/>
    <n v="0"/>
    <m/>
  </r>
  <r>
    <n v="1460"/>
    <d v="2025-03-19T10:10:19"/>
    <d v="2025-03-19T10:13:41"/>
    <s v="jmakoza@lighthouse.org.mw"/>
    <s v="Jonathan Makoza"/>
    <s v="Maula_prison"/>
    <s v="Prototype"/>
    <x v="2"/>
    <x v="0"/>
    <s v="COP_24"/>
    <s v="Quarter1"/>
    <x v="2"/>
    <s v="Qtr_2"/>
    <x v="4"/>
    <d v="2025-01-01T00:00:00"/>
    <d v="2025-01-31T00:00:00"/>
    <x v="1"/>
    <n v="2"/>
    <n v="0"/>
    <n v="2"/>
    <n v="0"/>
    <n v="0"/>
    <n v="0"/>
    <n v="2"/>
    <n v="0"/>
    <n v="0"/>
    <n v="0"/>
    <n v="0"/>
    <n v="0"/>
    <n v="0"/>
    <n v="0"/>
    <n v="0"/>
    <n v="0"/>
    <n v="0"/>
    <n v="0"/>
    <n v="0"/>
    <n v="0"/>
    <n v="0"/>
    <n v="0"/>
    <n v="0"/>
    <n v="0"/>
    <n v="0"/>
    <m/>
  </r>
  <r>
    <n v="1461"/>
    <d v="2025-03-19T10:14:25"/>
    <d v="2025-03-19T10:16:50"/>
    <s v="jmakoza@lighthouse.org.mw"/>
    <s v="Jonathan Makoza"/>
    <s v="Maula_prison"/>
    <s v="Prototype"/>
    <x v="2"/>
    <x v="0"/>
    <s v="COP_24"/>
    <s v="Quarter1"/>
    <x v="2"/>
    <s v="Qtr_2"/>
    <x v="4"/>
    <d v="2025-01-01T00:00:00"/>
    <d v="2025-01-31T00:00:00"/>
    <x v="0"/>
    <n v="2"/>
    <n v="0"/>
    <n v="2"/>
    <n v="0"/>
    <n v="0"/>
    <n v="0"/>
    <n v="2"/>
    <n v="0"/>
    <n v="0"/>
    <n v="0"/>
    <n v="0"/>
    <n v="0"/>
    <n v="0"/>
    <n v="0"/>
    <n v="0"/>
    <n v="0"/>
    <n v="0"/>
    <n v="0"/>
    <n v="0"/>
    <n v="0"/>
    <n v="0"/>
    <n v="0"/>
    <n v="0"/>
    <n v="0"/>
    <n v="0"/>
    <m/>
  </r>
  <r>
    <n v="1462"/>
    <d v="2025-03-19T10:17:05"/>
    <d v="2025-03-19T10:22:29"/>
    <s v="jmakoza@lighthouse.org.mw"/>
    <s v="Jonathan Makoza"/>
    <s v="Maula_prison"/>
    <s v="Prototype"/>
    <x v="2"/>
    <x v="0"/>
    <s v="COP_24"/>
    <s v="Quarter1"/>
    <x v="2"/>
    <s v="Qtr_2"/>
    <x v="4"/>
    <d v="2025-01-01T00:00:00"/>
    <d v="2025-01-31T00:00:00"/>
    <x v="5"/>
    <n v="0"/>
    <n v="0"/>
    <n v="0"/>
    <n v="0"/>
    <n v="0"/>
    <n v="0"/>
    <n v="0"/>
    <n v="0"/>
    <n v="0"/>
    <n v="0"/>
    <n v="0"/>
    <n v="0"/>
    <n v="0"/>
    <n v="0"/>
    <n v="0"/>
    <n v="0"/>
    <n v="0"/>
    <n v="0"/>
    <n v="0"/>
    <n v="0"/>
    <n v="0"/>
    <n v="0"/>
    <n v="0"/>
    <n v="0"/>
    <n v="0"/>
    <m/>
  </r>
  <r>
    <n v="1517"/>
    <d v="2025-04-10T08:52:33"/>
    <d v="2025-04-10T09:20:42"/>
    <s v="jmakoza@lighthouse.org.mw"/>
    <s v="Jonathan Makoza"/>
    <s v="Maula_prison"/>
    <s v="Prototype"/>
    <x v="2"/>
    <x v="0"/>
    <s v="COP_24"/>
    <s v="Quarter1"/>
    <x v="2"/>
    <s v="Qtr_2"/>
    <x v="3"/>
    <d v="2025-03-01T00:00:00"/>
    <d v="2025-03-31T00:00:00"/>
    <x v="1"/>
    <n v="16"/>
    <n v="0"/>
    <n v="16"/>
    <n v="0"/>
    <n v="0"/>
    <n v="0"/>
    <n v="16"/>
    <n v="0"/>
    <n v="0"/>
    <n v="0"/>
    <n v="0"/>
    <n v="0"/>
    <n v="0"/>
    <n v="0"/>
    <n v="0"/>
    <n v="0"/>
    <n v="0"/>
    <n v="0"/>
    <n v="0"/>
    <n v="0"/>
    <n v="0"/>
    <n v="0"/>
    <n v="0"/>
    <n v="0"/>
    <n v="0"/>
    <m/>
  </r>
  <r>
    <n v="1518"/>
    <d v="2025-04-10T09:21:03"/>
    <d v="2025-04-10T09:23:32"/>
    <s v="jmakoza@lighthouse.org.mw"/>
    <s v="Jonathan Makoza"/>
    <s v="Maula_prison"/>
    <s v="Prototype"/>
    <x v="2"/>
    <x v="0"/>
    <s v="COP_24"/>
    <s v="Quarter1"/>
    <x v="2"/>
    <s v="Qtr_2"/>
    <x v="3"/>
    <d v="2025-03-01T00:00:00"/>
    <d v="2025-03-31T00:00:00"/>
    <x v="0"/>
    <n v="16"/>
    <n v="0"/>
    <n v="16"/>
    <n v="0"/>
    <n v="0"/>
    <n v="0"/>
    <n v="0"/>
    <n v="0"/>
    <n v="0"/>
    <n v="0"/>
    <n v="0"/>
    <n v="0"/>
    <n v="0"/>
    <n v="0"/>
    <n v="0"/>
    <n v="0"/>
    <n v="0"/>
    <n v="0"/>
    <n v="0"/>
    <n v="0"/>
    <n v="0"/>
    <n v="0"/>
    <n v="0"/>
    <n v="0"/>
    <n v="0"/>
    <m/>
  </r>
  <r>
    <n v="1519"/>
    <d v="2025-04-10T09:23:52"/>
    <d v="2025-04-10T09:26:44"/>
    <s v="jmakoza@lighthouse.org.mw"/>
    <s v="Jonathan Makoza"/>
    <s v="Maula_prison"/>
    <s v="Prototype"/>
    <x v="2"/>
    <x v="0"/>
    <s v="COP_24"/>
    <s v="Quarter1"/>
    <x v="2"/>
    <s v="Qtr_2"/>
    <x v="3"/>
    <d v="2025-03-01T00:00:00"/>
    <d v="2025-03-31T00:00:00"/>
    <x v="5"/>
    <n v="0"/>
    <n v="0"/>
    <n v="0"/>
    <n v="0"/>
    <n v="0"/>
    <n v="0"/>
    <n v="0"/>
    <n v="0"/>
    <n v="0"/>
    <n v="0"/>
    <n v="0"/>
    <n v="0"/>
    <n v="0"/>
    <n v="0"/>
    <n v="0"/>
    <n v="0"/>
    <n v="0"/>
    <n v="0"/>
    <n v="0"/>
    <n v="0"/>
    <n v="0"/>
    <n v="0"/>
    <n v="0"/>
    <n v="0"/>
    <n v="0"/>
    <m/>
  </r>
  <r>
    <n v="1686"/>
    <d v="2025-06-23T14:21:39"/>
    <d v="2025-06-23T14:39:17"/>
    <s v="tsatumba@lighthouse.org.mw"/>
    <s v="Thomas Satumba"/>
    <s v="Maula_prison"/>
    <s v="Prototype"/>
    <x v="2"/>
    <x v="0"/>
    <m/>
    <s v="Quarter3"/>
    <x v="3"/>
    <m/>
    <x v="7"/>
    <d v="2025-04-01T00:00:00"/>
    <d v="2025-04-30T00:00:00"/>
    <x v="1"/>
    <n v="9"/>
    <n v="0"/>
    <n v="9"/>
    <n v="0"/>
    <n v="0"/>
    <n v="0"/>
    <n v="9"/>
    <n v="0"/>
    <n v="0"/>
    <n v="0"/>
    <n v="0"/>
    <n v="0"/>
    <n v="0"/>
    <n v="0"/>
    <n v="0"/>
    <n v="0"/>
    <n v="0"/>
    <n v="0"/>
    <n v="0"/>
    <n v="0"/>
    <n v="0"/>
    <n v="0"/>
    <n v="0"/>
    <n v="0"/>
    <n v="0"/>
    <m/>
  </r>
  <r>
    <n v="1687"/>
    <d v="2025-06-23T14:39:22"/>
    <d v="2025-06-23T14:43:34"/>
    <s v="tsatumba@lighthouse.org.mw"/>
    <s v="Thomas Satumba"/>
    <s v="Maula_prison"/>
    <s v="Prototype"/>
    <x v="2"/>
    <x v="0"/>
    <m/>
    <s v="Quarter3"/>
    <x v="3"/>
    <m/>
    <x v="7"/>
    <d v="2025-04-01T00:00:00"/>
    <d v="2025-04-30T00:00:00"/>
    <x v="0"/>
    <n v="9"/>
    <n v="0"/>
    <n v="9"/>
    <n v="0"/>
    <n v="0"/>
    <n v="0"/>
    <n v="0"/>
    <n v="0"/>
    <n v="0"/>
    <n v="0"/>
    <n v="0"/>
    <n v="0"/>
    <n v="0"/>
    <n v="0"/>
    <n v="0"/>
    <n v="0"/>
    <n v="0"/>
    <n v="0"/>
    <n v="0"/>
    <n v="0"/>
    <n v="0"/>
    <n v="0"/>
    <n v="0"/>
    <n v="0"/>
    <n v="0"/>
    <m/>
  </r>
  <r>
    <n v="1688"/>
    <d v="2025-06-23T14:43:40"/>
    <d v="2025-06-23T14:45:57"/>
    <s v="tsatumba@lighthouse.org.mw"/>
    <s v="Thomas Satumba"/>
    <s v="Maula_prison"/>
    <s v="Prototype"/>
    <x v="2"/>
    <x v="0"/>
    <m/>
    <s v="Quarter3"/>
    <x v="3"/>
    <m/>
    <x v="7"/>
    <d v="2025-04-01T00:00:00"/>
    <d v="2025-04-30T00:00:00"/>
    <x v="5"/>
    <n v="0"/>
    <n v="0"/>
    <n v="0"/>
    <n v="0"/>
    <n v="0"/>
    <n v="0"/>
    <n v="0"/>
    <n v="0"/>
    <n v="0"/>
    <n v="0"/>
    <n v="0"/>
    <n v="0"/>
    <n v="0"/>
    <n v="0"/>
    <n v="0"/>
    <n v="0"/>
    <n v="0"/>
    <n v="0"/>
    <n v="0"/>
    <n v="0"/>
    <n v="0"/>
    <n v="0"/>
    <n v="0"/>
    <n v="0"/>
    <n v="0"/>
    <m/>
  </r>
  <r>
    <n v="1689"/>
    <d v="2025-06-23T14:46:05"/>
    <d v="2025-06-23T14:48:21"/>
    <s v="tsatumba@lighthouse.org.mw"/>
    <s v="Thomas Satumba"/>
    <s v="Maula_prison"/>
    <s v="Prototype"/>
    <x v="2"/>
    <x v="0"/>
    <m/>
    <s v="Quarter3"/>
    <x v="3"/>
    <m/>
    <x v="6"/>
    <d v="2025-05-01T00:00:00"/>
    <d v="2025-05-31T00:00:00"/>
    <x v="1"/>
    <n v="4"/>
    <n v="0"/>
    <n v="4"/>
    <n v="0"/>
    <n v="0"/>
    <n v="0"/>
    <n v="0"/>
    <n v="0"/>
    <n v="0"/>
    <n v="0"/>
    <n v="0"/>
    <n v="0"/>
    <n v="0"/>
    <n v="0"/>
    <n v="0"/>
    <n v="0"/>
    <n v="0"/>
    <n v="0"/>
    <n v="0"/>
    <n v="0"/>
    <n v="0"/>
    <n v="0"/>
    <n v="0"/>
    <n v="0"/>
    <n v="0"/>
    <m/>
  </r>
  <r>
    <n v="1690"/>
    <d v="2025-06-23T14:49:47"/>
    <d v="2025-06-23T14:52:23"/>
    <s v="tsatumba@lighthouse.org.mw"/>
    <s v="Thomas Satumba"/>
    <s v="Maula_prison"/>
    <s v="Prototype"/>
    <x v="2"/>
    <x v="0"/>
    <m/>
    <s v="Quarter3"/>
    <x v="3"/>
    <m/>
    <x v="6"/>
    <d v="2025-05-01T00:00:00"/>
    <d v="2025-05-31T00:00:00"/>
    <x v="0"/>
    <n v="4"/>
    <n v="0"/>
    <n v="4"/>
    <n v="0"/>
    <n v="0"/>
    <n v="0"/>
    <n v="0"/>
    <n v="0"/>
    <n v="0"/>
    <n v="0"/>
    <n v="0"/>
    <n v="0"/>
    <n v="0"/>
    <n v="0"/>
    <n v="0"/>
    <n v="0"/>
    <n v="0"/>
    <n v="0"/>
    <n v="0"/>
    <n v="0"/>
    <n v="0"/>
    <n v="0"/>
    <n v="0"/>
    <n v="0"/>
    <n v="0"/>
    <m/>
  </r>
  <r>
    <n v="1691"/>
    <d v="2025-06-23T14:52:30"/>
    <d v="2025-06-23T14:54:52"/>
    <s v="tsatumba@lighthouse.org.mw"/>
    <s v="Thomas Satumba"/>
    <s v="Maula_prison"/>
    <s v="Prototype"/>
    <x v="2"/>
    <x v="0"/>
    <m/>
    <s v="Quarter3"/>
    <x v="3"/>
    <m/>
    <x v="6"/>
    <d v="2025-05-01T00:00:00"/>
    <d v="2025-05-31T00:00:00"/>
    <x v="5"/>
    <n v="0"/>
    <n v="0"/>
    <n v="0"/>
    <n v="0"/>
    <n v="0"/>
    <n v="0"/>
    <n v="0"/>
    <n v="0"/>
    <n v="0"/>
    <n v="0"/>
    <n v="0"/>
    <n v="0"/>
    <n v="0"/>
    <n v="0"/>
    <n v="0"/>
    <n v="0"/>
    <n v="0"/>
    <n v="0"/>
    <n v="0"/>
    <n v="0"/>
    <n v="0"/>
    <n v="0"/>
    <n v="0"/>
    <n v="0"/>
    <n v="0"/>
    <m/>
  </r>
  <r>
    <n v="1786"/>
    <d v="2025-07-10T13:14:45"/>
    <d v="2025-07-10T13:17:19"/>
    <s v="jmakoza@lighthouse.org.mw"/>
    <s v="Jonathan Makoza"/>
    <s v="Maula_prison"/>
    <s v="Prototype"/>
    <x v="2"/>
    <x v="0"/>
    <m/>
    <s v="Quarter2"/>
    <x v="3"/>
    <m/>
    <x v="8"/>
    <d v="2025-06-01T00:00:00"/>
    <d v="2025-06-30T00:00:00"/>
    <x v="0"/>
    <n v="5"/>
    <n v="0"/>
    <n v="5"/>
    <n v="0"/>
    <n v="0"/>
    <n v="0"/>
    <n v="5"/>
    <n v="0"/>
    <n v="0"/>
    <n v="0"/>
    <n v="0"/>
    <n v="0"/>
    <n v="0"/>
    <n v="0"/>
    <n v="0"/>
    <n v="0"/>
    <n v="0"/>
    <n v="0"/>
    <n v="0"/>
    <n v="0"/>
    <n v="0"/>
    <n v="0"/>
    <n v="0"/>
    <n v="0"/>
    <n v="0"/>
    <m/>
  </r>
  <r>
    <n v="1787"/>
    <d v="2025-07-10T13:17:22"/>
    <d v="2025-07-10T13:19:08"/>
    <s v="jmakoza@lighthouse.org.mw"/>
    <s v="Jonathan Makoza"/>
    <s v="Maula_prison"/>
    <s v="Prototype"/>
    <x v="2"/>
    <x v="0"/>
    <m/>
    <s v="Quarter2"/>
    <x v="3"/>
    <m/>
    <x v="8"/>
    <d v="2025-06-01T00:00:00"/>
    <d v="2025-06-30T00:00:00"/>
    <x v="1"/>
    <n v="5"/>
    <n v="0"/>
    <n v="5"/>
    <n v="0"/>
    <n v="0"/>
    <n v="0"/>
    <n v="0"/>
    <n v="0"/>
    <n v="0"/>
    <n v="0"/>
    <n v="0"/>
    <n v="0"/>
    <n v="0"/>
    <n v="0"/>
    <n v="0"/>
    <n v="0"/>
    <n v="0"/>
    <n v="0"/>
    <n v="0"/>
    <n v="0"/>
    <n v="0"/>
    <n v="0"/>
    <n v="0"/>
    <n v="0"/>
    <n v="0"/>
    <m/>
  </r>
  <r>
    <n v="1788"/>
    <d v="2025-07-10T13:19:16"/>
    <d v="2025-07-10T13:26:09"/>
    <s v="jmakoza@lighthouse.org.mw"/>
    <s v="Jonathan Makoza"/>
    <s v="Maula_prison"/>
    <s v="Prototype"/>
    <x v="2"/>
    <x v="0"/>
    <m/>
    <s v="Quarter2"/>
    <x v="3"/>
    <m/>
    <x v="8"/>
    <d v="2025-06-01T00:00:00"/>
    <d v="2025-06-30T00:00:00"/>
    <x v="5"/>
    <n v="0"/>
    <n v="0"/>
    <n v="0"/>
    <n v="0"/>
    <n v="0"/>
    <n v="0"/>
    <n v="0"/>
    <n v="0"/>
    <n v="0"/>
    <n v="0"/>
    <n v="0"/>
    <n v="0"/>
    <n v="0"/>
    <n v="0"/>
    <n v="0"/>
    <n v="0"/>
    <n v="0"/>
    <n v="0"/>
    <n v="0"/>
    <n v="0"/>
    <n v="0"/>
    <n v="0"/>
    <n v="0"/>
    <n v="0"/>
    <n v="0"/>
    <m/>
  </r>
  <r>
    <n v="46"/>
    <d v="2023-12-20T11:29:19"/>
    <d v="2023-12-20T11:47:10"/>
    <s v="mchirwa@lighthouse.org.mw"/>
    <s v="Margaret Chirwa"/>
    <s v="Mitundu"/>
    <s v="Prototype"/>
    <x v="0"/>
    <x v="0"/>
    <s v="COP_22"/>
    <s v="Quarter3"/>
    <x v="1"/>
    <s v="Qtr_4"/>
    <x v="2"/>
    <d v="2023-09-01T00:00:00"/>
    <d v="2023-09-30T00:00:00"/>
    <x v="0"/>
    <n v="27"/>
    <n v="3"/>
    <n v="20"/>
    <n v="2"/>
    <n v="3"/>
    <n v="3"/>
    <n v="27"/>
    <n v="6"/>
    <n v="6"/>
    <n v="0"/>
    <n v="2"/>
    <n v="0"/>
    <n v="7"/>
    <n v="0"/>
    <n v="2"/>
    <n v="0"/>
    <n v="1"/>
    <n v="1"/>
    <n v="1"/>
    <n v="0"/>
    <n v="0"/>
    <n v="0"/>
    <n v="0"/>
    <n v="2"/>
    <n v="3"/>
    <m/>
  </r>
  <r>
    <n v="47"/>
    <d v="2023-12-20T11:47:48"/>
    <d v="2023-12-20T11:52:51"/>
    <s v="mchirwa@lighthouse.org.mw"/>
    <s v="Margaret Chirwa"/>
    <s v="Mitundu"/>
    <s v="Prototype"/>
    <x v="0"/>
    <x v="0"/>
    <s v="COP_23"/>
    <s v="Quarter4"/>
    <x v="0"/>
    <s v="Qtr_1"/>
    <x v="0"/>
    <d v="2023-10-01T00:00:00"/>
    <d v="2023-10-31T00:00:00"/>
    <x v="0"/>
    <n v="25"/>
    <n v="2"/>
    <n v="19"/>
    <n v="2"/>
    <n v="2"/>
    <n v="2"/>
    <n v="22"/>
    <n v="5"/>
    <n v="5"/>
    <n v="0"/>
    <n v="0"/>
    <n v="0"/>
    <n v="2"/>
    <n v="1"/>
    <n v="1"/>
    <n v="1"/>
    <n v="1"/>
    <n v="1"/>
    <n v="1"/>
    <n v="1"/>
    <n v="3"/>
    <n v="0"/>
    <n v="0"/>
    <n v="0"/>
    <n v="0"/>
    <m/>
  </r>
  <r>
    <n v="50"/>
    <d v="2023-12-20T11:52:58"/>
    <d v="2023-12-20T11:58:07"/>
    <s v="mchirwa@lighthouse.org.mw"/>
    <s v="Margaret Chirwa"/>
    <s v="Mitundu"/>
    <s v="Prototype"/>
    <x v="0"/>
    <x v="0"/>
    <s v="COP_23"/>
    <s v="Quarter4"/>
    <x v="0"/>
    <s v="Qtr_1"/>
    <x v="1"/>
    <d v="2023-11-01T00:00:00"/>
    <d v="2023-11-30T00:00:00"/>
    <x v="0"/>
    <n v="26"/>
    <n v="3"/>
    <n v="19"/>
    <n v="2"/>
    <n v="3"/>
    <n v="1"/>
    <n v="23"/>
    <n v="2"/>
    <n v="3"/>
    <n v="0"/>
    <n v="0"/>
    <n v="0"/>
    <n v="1"/>
    <n v="0"/>
    <n v="0"/>
    <n v="0"/>
    <n v="0"/>
    <n v="0"/>
    <n v="4"/>
    <n v="0"/>
    <n v="0"/>
    <n v="0"/>
    <n v="0"/>
    <n v="0"/>
    <n v="2"/>
    <m/>
  </r>
  <r>
    <n v="108"/>
    <d v="2024-01-19T15:42:26"/>
    <d v="2024-01-19T15:46:15"/>
    <s v="mmsiska@lighthouse.org.mw"/>
    <s v="Michael Msiska"/>
    <s v="Mitundu"/>
    <s v="Prototype"/>
    <x v="0"/>
    <x v="0"/>
    <s v="COP_23"/>
    <s v="Quarter4"/>
    <x v="0"/>
    <s v="Qtr_1"/>
    <x v="11"/>
    <d v="2023-12-01T00:00:00"/>
    <d v="2023-12-31T00:00:00"/>
    <x v="0"/>
    <n v="19"/>
    <n v="4"/>
    <n v="9"/>
    <n v="6"/>
    <n v="4"/>
    <n v="0"/>
    <n v="19"/>
    <n v="5"/>
    <n v="5"/>
    <n v="0"/>
    <n v="0"/>
    <n v="0"/>
    <n v="1"/>
    <n v="0"/>
    <n v="0"/>
    <n v="0"/>
    <n v="3"/>
    <n v="2"/>
    <n v="2"/>
    <n v="0"/>
    <n v="2"/>
    <n v="0"/>
    <n v="0"/>
    <n v="0"/>
    <n v="3"/>
    <m/>
  </r>
  <r>
    <n v="317"/>
    <d v="2024-04-29T12:19:58"/>
    <d v="2024-04-29T12:40:47"/>
    <s v="dchirwa@lighthouse.org.mw"/>
    <s v="davis chirwa"/>
    <s v="Mitundu"/>
    <s v="Prototype"/>
    <x v="1"/>
    <x v="0"/>
    <s v="COP_23"/>
    <s v="Quarter1"/>
    <x v="2"/>
    <s v="Qtr_2"/>
    <x v="5"/>
    <d v="2024-02-01T00:00:00"/>
    <d v="2024-02-29T00:00:00"/>
    <x v="0"/>
    <n v="46"/>
    <n v="3"/>
    <n v="29"/>
    <n v="8"/>
    <n v="8"/>
    <n v="1"/>
    <n v="45"/>
    <n v="8"/>
    <n v="8"/>
    <n v="0"/>
    <n v="0"/>
    <n v="0"/>
    <n v="0"/>
    <n v="0"/>
    <n v="0"/>
    <n v="0"/>
    <n v="1"/>
    <n v="1"/>
    <n v="4"/>
    <n v="0"/>
    <n v="1"/>
    <n v="0"/>
    <n v="0"/>
    <n v="0"/>
    <n v="4"/>
    <m/>
  </r>
  <r>
    <n v="318"/>
    <d v="2024-04-29T12:41:00"/>
    <d v="2024-04-29T12:49:52"/>
    <s v="dchirwa@lighthouse.org.mw"/>
    <s v="davis chirwa"/>
    <s v="Mitundu"/>
    <s v="Prototype"/>
    <x v="1"/>
    <x v="0"/>
    <s v="COP_23"/>
    <s v="Quarter1"/>
    <x v="2"/>
    <s v="Qtr_2"/>
    <x v="3"/>
    <d v="2024-03-01T00:00:00"/>
    <d v="2024-03-31T00:00:00"/>
    <x v="0"/>
    <n v="30"/>
    <n v="30"/>
    <n v="22"/>
    <n v="4"/>
    <n v="4"/>
    <n v="0"/>
    <n v="29"/>
    <n v="10"/>
    <n v="0"/>
    <n v="0"/>
    <n v="0"/>
    <n v="0"/>
    <n v="0"/>
    <n v="0"/>
    <n v="0"/>
    <n v="0"/>
    <n v="2"/>
    <n v="0"/>
    <n v="3"/>
    <n v="1"/>
    <n v="0"/>
    <n v="0"/>
    <n v="0"/>
    <n v="0"/>
    <n v="1"/>
    <m/>
  </r>
  <r>
    <n v="472"/>
    <d v="2024-06-04T09:54:37"/>
    <d v="2024-06-04T10:07:32"/>
    <s v="dchirwa@lighthouse.org.mw"/>
    <s v="davis chirwa"/>
    <s v="Mitundu"/>
    <s v="Prototype"/>
    <x v="1"/>
    <x v="0"/>
    <s v="COP_23"/>
    <s v="Quarter2"/>
    <x v="3"/>
    <s v="Qtr_3"/>
    <x v="7"/>
    <d v="2024-04-01T00:00:00"/>
    <d v="2024-04-30T00:00:00"/>
    <x v="0"/>
    <n v="29"/>
    <n v="3"/>
    <n v="16"/>
    <n v="4"/>
    <n v="5"/>
    <n v="4"/>
    <n v="27"/>
    <n v="7"/>
    <n v="6"/>
    <n v="0"/>
    <n v="0"/>
    <n v="0"/>
    <n v="0"/>
    <n v="0"/>
    <n v="0"/>
    <n v="0"/>
    <n v="3"/>
    <n v="0"/>
    <n v="4"/>
    <n v="0"/>
    <n v="0"/>
    <n v="0"/>
    <n v="0"/>
    <n v="2"/>
    <n v="0"/>
    <m/>
  </r>
  <r>
    <n v="502"/>
    <d v="2024-06-06T09:33:53"/>
    <d v="2024-06-06T09:36:20"/>
    <s v="dchirwa@lighthouse.org.mw"/>
    <s v="davis chirwa"/>
    <s v="Mitundu"/>
    <s v="Prototype"/>
    <x v="1"/>
    <x v="0"/>
    <s v="COP_23"/>
    <s v="Quarter1"/>
    <x v="2"/>
    <s v="Qtr_2"/>
    <x v="3"/>
    <d v="2024-03-01T00:00:00"/>
    <d v="2024-03-31T00:00:00"/>
    <x v="3"/>
    <n v="0"/>
    <n v="0"/>
    <n v="0"/>
    <n v="0"/>
    <n v="0"/>
    <n v="0"/>
    <n v="0"/>
    <n v="0"/>
    <n v="0"/>
    <n v="0"/>
    <n v="0"/>
    <n v="0"/>
    <n v="0"/>
    <n v="0"/>
    <n v="0"/>
    <n v="0"/>
    <n v="0"/>
    <n v="0"/>
    <n v="0"/>
    <n v="0"/>
    <n v="0"/>
    <n v="0"/>
    <n v="0"/>
    <n v="0"/>
    <n v="0"/>
    <m/>
  </r>
  <r>
    <n v="504"/>
    <d v="2024-06-06T09:36:30"/>
    <d v="2024-06-06T09:43:34"/>
    <s v="dchirwa@lighthouse.org.mw"/>
    <s v="davis chirwa"/>
    <s v="Mitundu"/>
    <s v="Prototype"/>
    <x v="1"/>
    <x v="0"/>
    <s v="COP_23"/>
    <s v="Quarter1"/>
    <x v="2"/>
    <s v="Qtr_2"/>
    <x v="3"/>
    <d v="2024-03-01T00:00:00"/>
    <d v="2024-03-31T00:00:00"/>
    <x v="4"/>
    <n v="1"/>
    <n v="1"/>
    <n v="0"/>
    <n v="1"/>
    <n v="0"/>
    <n v="0"/>
    <n v="1"/>
    <n v="0"/>
    <n v="0"/>
    <n v="0"/>
    <n v="0"/>
    <n v="0"/>
    <n v="0"/>
    <n v="0"/>
    <n v="0"/>
    <n v="0"/>
    <n v="0"/>
    <n v="0"/>
    <n v="0"/>
    <n v="0"/>
    <n v="0"/>
    <n v="0"/>
    <n v="0"/>
    <n v="0"/>
    <n v="0"/>
    <m/>
  </r>
  <r>
    <n v="506"/>
    <d v="2024-06-06T10:09:44"/>
    <d v="2024-06-06T10:15:05"/>
    <s v="dchirwa@lighthouse.org.mw"/>
    <s v="davis chirwa"/>
    <s v="Mitundu"/>
    <s v="Prototype"/>
    <x v="1"/>
    <x v="0"/>
    <s v="COP_23"/>
    <s v="Quarter1"/>
    <x v="2"/>
    <s v="Qtr_2"/>
    <x v="3"/>
    <d v="2024-03-01T00:00:00"/>
    <d v="2024-03-31T00:00:00"/>
    <x v="5"/>
    <n v="0"/>
    <n v="0"/>
    <n v="0"/>
    <n v="0"/>
    <n v="0"/>
    <n v="0"/>
    <n v="0"/>
    <n v="0"/>
    <n v="0"/>
    <n v="0"/>
    <n v="0"/>
    <n v="0"/>
    <n v="0"/>
    <n v="0"/>
    <n v="0"/>
    <n v="0"/>
    <n v="0"/>
    <n v="0"/>
    <n v="0"/>
    <n v="0"/>
    <n v="0"/>
    <n v="0"/>
    <n v="0"/>
    <n v="0"/>
    <n v="0"/>
    <m/>
  </r>
  <r>
    <n v="508"/>
    <d v="2024-06-06T10:42:28"/>
    <d v="2024-06-06T11:26:58"/>
    <s v="dchirwa@lighthouse.org.mw"/>
    <s v="davis chirwa"/>
    <s v="Mitundu"/>
    <s v="Prototype"/>
    <x v="1"/>
    <x v="0"/>
    <s v="COP_23"/>
    <s v="Quarter2"/>
    <x v="3"/>
    <s v="Qtr_3"/>
    <x v="6"/>
    <d v="2024-05-01T00:00:00"/>
    <d v="2024-05-31T00:00:00"/>
    <x v="0"/>
    <n v="29"/>
    <n v="0"/>
    <n v="22"/>
    <n v="4"/>
    <n v="2"/>
    <n v="1"/>
    <n v="26"/>
    <n v="6"/>
    <n v="7"/>
    <n v="0"/>
    <n v="0"/>
    <n v="0"/>
    <n v="0"/>
    <n v="0"/>
    <n v="0"/>
    <n v="0"/>
    <n v="1"/>
    <n v="0"/>
    <n v="1"/>
    <n v="0"/>
    <n v="0"/>
    <n v="0"/>
    <n v="0"/>
    <n v="0"/>
    <n v="2"/>
    <m/>
  </r>
  <r>
    <n v="512"/>
    <d v="2024-06-06T11:44:04"/>
    <d v="2024-06-06T11:44:44"/>
    <s v="dchirwa@lighthouse.org.mw"/>
    <s v="davis chirwa"/>
    <s v="Mitundu"/>
    <s v="Prototype"/>
    <x v="1"/>
    <x v="0"/>
    <s v="COP_23"/>
    <s v="Quarter2"/>
    <x v="3"/>
    <s v="Qtr_3"/>
    <x v="6"/>
    <d v="2024-05-01T00:00:00"/>
    <d v="2024-05-31T00:00:00"/>
    <x v="5"/>
    <n v="4"/>
    <n v="0"/>
    <n v="4"/>
    <n v="0"/>
    <n v="0"/>
    <n v="0"/>
    <n v="3"/>
    <n v="0"/>
    <n v="0"/>
    <n v="0"/>
    <n v="0"/>
    <n v="0"/>
    <n v="0"/>
    <n v="0"/>
    <n v="0"/>
    <n v="0"/>
    <n v="0"/>
    <n v="0"/>
    <n v="0"/>
    <n v="0"/>
    <n v="0"/>
    <n v="0"/>
    <n v="0"/>
    <n v="0"/>
    <n v="0"/>
    <m/>
  </r>
  <r>
    <n v="531"/>
    <d v="2024-06-10T10:56:12"/>
    <d v="2024-06-10T10:56:33"/>
    <s v="dchirwa@lighthouse.org.mw"/>
    <s v="davis chirwa"/>
    <s v="Mitundu"/>
    <s v="Prototype"/>
    <x v="1"/>
    <x v="0"/>
    <s v="COP_23"/>
    <s v="Quarter1"/>
    <x v="2"/>
    <s v="Qtr_2"/>
    <x v="5"/>
    <d v="2024-02-01T00:00:00"/>
    <d v="2024-02-29T00:00:00"/>
    <x v="3"/>
    <n v="1"/>
    <n v="0"/>
    <n v="0"/>
    <n v="1"/>
    <n v="0"/>
    <n v="0"/>
    <n v="1"/>
    <n v="0"/>
    <n v="0"/>
    <n v="0"/>
    <n v="0"/>
    <n v="0"/>
    <n v="0"/>
    <n v="0"/>
    <n v="0"/>
    <n v="0"/>
    <n v="0"/>
    <n v="0"/>
    <n v="0"/>
    <n v="0"/>
    <n v="0"/>
    <n v="0"/>
    <n v="0"/>
    <n v="0"/>
    <n v="0"/>
    <m/>
  </r>
  <r>
    <n v="532"/>
    <d v="2024-06-10T10:56:39"/>
    <d v="2024-06-10T11:02:30"/>
    <s v="dchirwa@lighthouse.org.mw"/>
    <s v="davis chirwa"/>
    <s v="Mitundu"/>
    <s v="Prototype"/>
    <x v="1"/>
    <x v="0"/>
    <s v="COP_23"/>
    <s v="Quarter1"/>
    <x v="2"/>
    <s v="Qtr_2"/>
    <x v="5"/>
    <d v="2024-02-01T00:00:00"/>
    <d v="2024-02-29T00:00:00"/>
    <x v="4"/>
    <n v="2"/>
    <n v="1"/>
    <n v="0"/>
    <n v="1"/>
    <n v="1"/>
    <n v="0"/>
    <n v="2"/>
    <n v="0"/>
    <n v="0"/>
    <n v="0"/>
    <n v="0"/>
    <n v="0"/>
    <n v="0"/>
    <n v="0"/>
    <n v="0"/>
    <n v="0"/>
    <n v="0"/>
    <n v="0"/>
    <n v="0"/>
    <n v="0"/>
    <n v="0"/>
    <n v="0"/>
    <n v="0"/>
    <n v="0"/>
    <n v="0"/>
    <m/>
  </r>
  <r>
    <n v="533"/>
    <d v="2024-06-10T11:02:35"/>
    <d v="2024-06-10T11:13:34"/>
    <s v="dchirwa@lighthouse.org.mw"/>
    <s v="davis chirwa"/>
    <s v="Mitundu"/>
    <s v="Prototype"/>
    <x v="1"/>
    <x v="0"/>
    <s v="COP_23"/>
    <s v="Quarter1"/>
    <x v="2"/>
    <s v="Qtr_2"/>
    <x v="5"/>
    <d v="2024-02-01T00:00:00"/>
    <d v="2024-02-29T00:00:00"/>
    <x v="5"/>
    <n v="1"/>
    <n v="0"/>
    <n v="0"/>
    <n v="1"/>
    <n v="0"/>
    <n v="0"/>
    <n v="1"/>
    <n v="0"/>
    <n v="0"/>
    <n v="0"/>
    <n v="0"/>
    <n v="0"/>
    <n v="0"/>
    <n v="0"/>
    <n v="0"/>
    <n v="0"/>
    <n v="0"/>
    <n v="0"/>
    <n v="0"/>
    <n v="0"/>
    <n v="0"/>
    <n v="0"/>
    <n v="0"/>
    <n v="0"/>
    <n v="0"/>
    <m/>
  </r>
  <r>
    <n v="536"/>
    <d v="2024-06-10T14:14:36"/>
    <d v="2024-06-10T14:14:57"/>
    <s v="dchirwa@lighthouse.org.mw"/>
    <s v="davis chirwa"/>
    <s v="Mitundu"/>
    <s v="Prototype"/>
    <x v="1"/>
    <x v="0"/>
    <s v="COP_23"/>
    <s v="Quarter1"/>
    <x v="2"/>
    <s v="Qtr_2"/>
    <x v="4"/>
    <d v="2024-01-01T00:00:00"/>
    <d v="2024-01-31T00:00:00"/>
    <x v="0"/>
    <n v="26"/>
    <n v="3"/>
    <n v="18"/>
    <n v="0"/>
    <n v="7"/>
    <n v="1"/>
    <n v="1"/>
    <n v="0"/>
    <n v="10"/>
    <n v="0"/>
    <n v="0"/>
    <n v="0"/>
    <n v="1"/>
    <n v="0"/>
    <n v="0"/>
    <n v="0"/>
    <n v="4"/>
    <n v="0"/>
    <n v="0"/>
    <n v="0"/>
    <n v="0"/>
    <n v="0"/>
    <n v="0"/>
    <n v="1"/>
    <n v="3"/>
    <m/>
  </r>
  <r>
    <n v="538"/>
    <d v="2024-06-10T14:21:55"/>
    <d v="2024-06-10T14:28:30"/>
    <s v="dchirwa@lighthouse.org.mw"/>
    <s v="davis chirwa"/>
    <s v="Mitundu"/>
    <s v="Prototype"/>
    <x v="1"/>
    <x v="0"/>
    <s v="COP_23"/>
    <s v="Quarter1"/>
    <x v="2"/>
    <s v="Qtr_2"/>
    <x v="4"/>
    <d v="2024-01-01T00:00:00"/>
    <d v="2024-01-31T00:00:00"/>
    <x v="3"/>
    <n v="1"/>
    <n v="1"/>
    <n v="0"/>
    <n v="0"/>
    <n v="1"/>
    <n v="0"/>
    <n v="1"/>
    <n v="0"/>
    <n v="0"/>
    <n v="0"/>
    <n v="0"/>
    <n v="0"/>
    <n v="0"/>
    <n v="0"/>
    <n v="0"/>
    <n v="0"/>
    <n v="1"/>
    <n v="0"/>
    <n v="0"/>
    <n v="0"/>
    <n v="0"/>
    <n v="0"/>
    <n v="0"/>
    <n v="0"/>
    <n v="1"/>
    <m/>
  </r>
  <r>
    <n v="539"/>
    <d v="2024-06-10T14:28:36"/>
    <d v="2024-06-10T14:36:18"/>
    <s v="dchirwa@lighthouse.org.mw"/>
    <s v="davis chirwa"/>
    <s v="Mitundu"/>
    <s v="Prototype"/>
    <x v="1"/>
    <x v="0"/>
    <s v="COP_23"/>
    <s v="Quarter1"/>
    <x v="2"/>
    <s v="Qtr_2"/>
    <x v="4"/>
    <d v="2024-01-01T00:00:00"/>
    <d v="2024-01-31T00:00:00"/>
    <x v="5"/>
    <n v="1"/>
    <n v="1"/>
    <n v="0"/>
    <n v="0"/>
    <n v="1"/>
    <n v="0"/>
    <n v="1"/>
    <n v="1"/>
    <n v="1"/>
    <n v="0"/>
    <n v="0"/>
    <n v="0"/>
    <n v="0"/>
    <n v="0"/>
    <n v="0"/>
    <n v="0"/>
    <n v="1"/>
    <n v="0"/>
    <n v="0"/>
    <n v="0"/>
    <n v="0"/>
    <n v="0"/>
    <n v="0"/>
    <n v="1"/>
    <n v="0"/>
    <m/>
  </r>
  <r>
    <n v="540"/>
    <d v="2024-06-10T14:36:24"/>
    <d v="2024-06-10T14:39:47"/>
    <s v="dchirwa@lighthouse.org.mw"/>
    <s v="davis chirwa"/>
    <s v="Mitundu"/>
    <s v="Prototype"/>
    <x v="1"/>
    <x v="0"/>
    <s v="COP_23"/>
    <s v="Quarter1"/>
    <x v="2"/>
    <s v="Qtr_2"/>
    <x v="4"/>
    <d v="2024-01-01T00:00:00"/>
    <d v="2024-01-31T00:00:00"/>
    <x v="4"/>
    <n v="0"/>
    <n v="0"/>
    <n v="0"/>
    <n v="0"/>
    <n v="0"/>
    <n v="0"/>
    <n v="0"/>
    <n v="0"/>
    <n v="0"/>
    <n v="0"/>
    <n v="0"/>
    <n v="0"/>
    <n v="0"/>
    <n v="0"/>
    <n v="0"/>
    <n v="0"/>
    <n v="0"/>
    <n v="0"/>
    <n v="0"/>
    <n v="0"/>
    <n v="0"/>
    <n v="0"/>
    <n v="0"/>
    <n v="0"/>
    <n v="0"/>
    <m/>
  </r>
  <r>
    <n v="501"/>
    <d v="2024-06-06T09:27:04"/>
    <d v="2024-06-06T09:33:48"/>
    <s v="dchirwa@lighthouse.org.mw"/>
    <s v="davis chirwa"/>
    <s v="Mitundu"/>
    <s v="Prototype"/>
    <x v="1"/>
    <x v="0"/>
    <s v="COP_23"/>
    <s v="Quarter1"/>
    <x v="2"/>
    <s v="Qtr_2"/>
    <x v="3"/>
    <d v="2024-03-01T00:00:00"/>
    <d v="2024-03-31T00:00:00"/>
    <x v="1"/>
    <n v="27"/>
    <n v="1"/>
    <n v="22"/>
    <n v="1"/>
    <n v="4"/>
    <n v="0"/>
    <n v="26"/>
    <n v="11"/>
    <n v="9"/>
    <n v="0"/>
    <n v="0"/>
    <n v="0"/>
    <n v="0"/>
    <n v="0"/>
    <n v="0"/>
    <n v="0"/>
    <n v="2"/>
    <n v="0"/>
    <n v="4"/>
    <n v="1"/>
    <n v="0"/>
    <n v="0"/>
    <n v="0"/>
    <n v="0"/>
    <n v="1"/>
    <m/>
  </r>
  <r>
    <n v="530"/>
    <d v="2024-06-10T10:17:20"/>
    <d v="2024-06-10T10:23:13"/>
    <s v="dchirwa@lighthouse.org.mw"/>
    <s v="davis chirwa"/>
    <s v="Mitundu"/>
    <s v="Prototype"/>
    <x v="1"/>
    <x v="0"/>
    <s v="COP_23"/>
    <s v="Quarter1"/>
    <x v="2"/>
    <s v="Qtr_2"/>
    <x v="5"/>
    <d v="2024-02-01T00:00:00"/>
    <d v="2024-02-29T00:00:00"/>
    <x v="1"/>
    <n v="39"/>
    <n v="1"/>
    <n v="26"/>
    <n v="5"/>
    <n v="7"/>
    <n v="1"/>
    <n v="39"/>
    <n v="7"/>
    <n v="7"/>
    <n v="0"/>
    <n v="0"/>
    <n v="0"/>
    <n v="0"/>
    <n v="0"/>
    <n v="0"/>
    <n v="0"/>
    <n v="0"/>
    <n v="0"/>
    <n v="3"/>
    <n v="0"/>
    <n v="0"/>
    <n v="0"/>
    <n v="0"/>
    <n v="0"/>
    <n v="4"/>
    <m/>
  </r>
  <r>
    <n v="537"/>
    <d v="2024-06-10T14:15:04"/>
    <d v="2024-06-10T14:21:49"/>
    <s v="dchirwa@lighthouse.org.mw"/>
    <s v="davis chirwa"/>
    <s v="Mitundu"/>
    <s v="Prototype"/>
    <x v="1"/>
    <x v="0"/>
    <s v="COP_23"/>
    <s v="Quarter1"/>
    <x v="2"/>
    <s v="Qtr_2"/>
    <x v="4"/>
    <d v="2024-01-01T00:00:00"/>
    <d v="2024-01-31T00:00:00"/>
    <x v="1"/>
    <n v="24"/>
    <n v="2"/>
    <n v="18"/>
    <n v="0"/>
    <n v="5"/>
    <n v="1"/>
    <n v="22"/>
    <n v="8"/>
    <n v="8"/>
    <n v="0"/>
    <n v="0"/>
    <n v="0"/>
    <n v="0"/>
    <n v="0"/>
    <n v="0"/>
    <n v="0"/>
    <n v="0"/>
    <n v="0"/>
    <n v="0"/>
    <n v="0"/>
    <n v="0"/>
    <n v="0"/>
    <n v="0"/>
    <n v="0"/>
    <n v="2"/>
    <m/>
  </r>
  <r>
    <n v="662"/>
    <d v="2024-07-29T16:12:30"/>
    <d v="2024-07-29T16:20:50"/>
    <s v="dchirwa@lighthouse.org.mw"/>
    <s v="davis chirwa"/>
    <s v="Mitundu"/>
    <s v="Prototype"/>
    <x v="1"/>
    <x v="0"/>
    <s v="COP_23"/>
    <s v="Quarter2"/>
    <x v="3"/>
    <s v="Qtr_3"/>
    <x v="7"/>
    <d v="2024-04-01T00:00:00"/>
    <d v="2024-04-30T00:00:00"/>
    <x v="1"/>
    <n v="23"/>
    <n v="3"/>
    <n v="12"/>
    <n v="2"/>
    <n v="5"/>
    <n v="4"/>
    <n v="21"/>
    <n v="5"/>
    <n v="4"/>
    <n v="0"/>
    <n v="0"/>
    <n v="0"/>
    <n v="0"/>
    <n v="0"/>
    <n v="0"/>
    <n v="0"/>
    <n v="3"/>
    <n v="0"/>
    <n v="3"/>
    <n v="0"/>
    <n v="0"/>
    <n v="0"/>
    <n v="0"/>
    <n v="2"/>
    <n v="0"/>
    <m/>
  </r>
  <r>
    <n v="668"/>
    <d v="2024-07-30T11:43:44"/>
    <d v="2024-07-30T11:44:06"/>
    <s v="dchirwa@lighthouse.org.mw"/>
    <s v="davis chirwa"/>
    <s v="Mitundu"/>
    <s v="Prototype"/>
    <x v="1"/>
    <x v="0"/>
    <s v="COP_23"/>
    <s v="Quarter2"/>
    <x v="3"/>
    <s v="Qtr_3"/>
    <x v="6"/>
    <d v="2024-05-01T00:00:00"/>
    <d v="2024-05-31T00:00:00"/>
    <x v="1"/>
    <n v="23"/>
    <n v="0"/>
    <n v="17"/>
    <n v="3"/>
    <n v="2"/>
    <n v="1"/>
    <n v="21"/>
    <n v="5"/>
    <n v="5"/>
    <n v="0"/>
    <n v="0"/>
    <n v="0"/>
    <n v="0"/>
    <n v="0"/>
    <n v="0"/>
    <n v="0"/>
    <n v="1"/>
    <n v="0"/>
    <n v="0"/>
    <n v="0"/>
    <n v="0"/>
    <n v="0"/>
    <n v="0"/>
    <n v="0"/>
    <n v="1"/>
    <m/>
  </r>
  <r>
    <n v="678"/>
    <d v="2024-07-30T15:05:35"/>
    <d v="2024-07-30T15:12:14"/>
    <s v="dchirwa@lighthouse.org.mw"/>
    <s v="davis chirwa"/>
    <s v="Mitundu"/>
    <s v="Prototype"/>
    <x v="1"/>
    <x v="0"/>
    <s v="COP_23"/>
    <s v="Quarter2"/>
    <x v="3"/>
    <s v="Qtr_3"/>
    <x v="8"/>
    <d v="2024-06-01T00:00:00"/>
    <d v="2024-06-30T00:00:00"/>
    <x v="1"/>
    <n v="12"/>
    <n v="1"/>
    <n v="7"/>
    <n v="3"/>
    <n v="1"/>
    <n v="0"/>
    <n v="5"/>
    <n v="1"/>
    <n v="1"/>
    <n v="0"/>
    <n v="0"/>
    <n v="0"/>
    <n v="0"/>
    <n v="0"/>
    <n v="1"/>
    <n v="1"/>
    <n v="1"/>
    <n v="1"/>
    <n v="0"/>
    <n v="0"/>
    <n v="1"/>
    <n v="0"/>
    <n v="0"/>
    <n v="0"/>
    <n v="0"/>
    <m/>
  </r>
  <r>
    <n v="505"/>
    <d v="2024-06-06T09:43:41"/>
    <d v="2024-06-06T10:09:33"/>
    <s v="dchirwa@lighthouse.org.mw"/>
    <s v="davis chirwa"/>
    <s v="Mitundu"/>
    <s v="Prototype"/>
    <x v="1"/>
    <x v="0"/>
    <s v="COP_23"/>
    <s v="Quarter1"/>
    <x v="2"/>
    <s v="Qtr_2"/>
    <x v="3"/>
    <d v="2024-03-01T00:00:00"/>
    <d v="2024-03-31T00:00:00"/>
    <x v="2"/>
    <n v="1"/>
    <n v="0"/>
    <n v="0"/>
    <n v="1"/>
    <n v="0"/>
    <n v="0"/>
    <n v="1"/>
    <n v="1"/>
    <n v="0"/>
    <n v="0"/>
    <n v="0"/>
    <n v="0"/>
    <n v="0"/>
    <n v="0"/>
    <n v="0"/>
    <n v="0"/>
    <n v="0"/>
    <n v="0"/>
    <n v="0"/>
    <n v="0"/>
    <n v="0"/>
    <n v="0"/>
    <n v="0"/>
    <n v="0"/>
    <n v="0"/>
    <m/>
  </r>
  <r>
    <n v="758"/>
    <d v="2024-08-14T09:40:15"/>
    <d v="2024-08-14T09:52:42"/>
    <s v="dchirwa@lighthouse.org.mw"/>
    <s v="davis chirwa"/>
    <s v="Mitundu"/>
    <s v="Prototype"/>
    <x v="1"/>
    <x v="0"/>
    <s v="COP_23"/>
    <s v="Quarter3"/>
    <x v="1"/>
    <s v="Qtr_4"/>
    <x v="9"/>
    <d v="2024-07-01T00:00:00"/>
    <d v="2024-07-31T00:00:00"/>
    <x v="1"/>
    <n v="19"/>
    <n v="2"/>
    <n v="15"/>
    <n v="2"/>
    <n v="1"/>
    <n v="1"/>
    <n v="0"/>
    <n v="0"/>
    <n v="0"/>
    <n v="0"/>
    <n v="0"/>
    <n v="0"/>
    <n v="0"/>
    <n v="0"/>
    <n v="3"/>
    <n v="0"/>
    <n v="3"/>
    <n v="1"/>
    <n v="1"/>
    <n v="0"/>
    <n v="1"/>
    <n v="0"/>
    <n v="0"/>
    <n v="0"/>
    <n v="1"/>
    <m/>
  </r>
  <r>
    <n v="814"/>
    <d v="2024-09-16T13:55:17"/>
    <d v="2024-09-16T14:00:03"/>
    <s v="dchirwa@lighthouse.org.mw"/>
    <s v="davis chirwa"/>
    <s v="Mitundu"/>
    <s v="Prototype"/>
    <x v="1"/>
    <x v="0"/>
    <s v="COP_23"/>
    <s v="Quarter3"/>
    <x v="1"/>
    <s v="Qtr_4"/>
    <x v="10"/>
    <d v="2024-08-01T00:00:00"/>
    <d v="2024-08-31T00:00:00"/>
    <x v="1"/>
    <n v="22"/>
    <n v="4"/>
    <n v="12"/>
    <n v="1"/>
    <n v="5"/>
    <n v="0"/>
    <n v="16"/>
    <n v="5"/>
    <n v="4"/>
    <n v="0"/>
    <n v="0"/>
    <n v="0"/>
    <n v="1"/>
    <n v="0"/>
    <n v="0"/>
    <n v="0"/>
    <n v="1"/>
    <n v="0"/>
    <n v="1"/>
    <n v="0"/>
    <n v="1"/>
    <n v="0"/>
    <n v="0"/>
    <n v="0"/>
    <n v="4"/>
    <m/>
  </r>
  <r>
    <n v="663"/>
    <d v="2024-07-29T16:21:45"/>
    <d v="2024-07-29T16:38:31"/>
    <s v="dchirwa@lighthouse.org.mw"/>
    <s v="davis chirwa"/>
    <s v="Mitundu"/>
    <s v="Prototype"/>
    <x v="1"/>
    <x v="0"/>
    <s v="COP_23"/>
    <s v="Quarter2"/>
    <x v="3"/>
    <s v="Qtr_3"/>
    <x v="7"/>
    <d v="2024-04-01T00:00:00"/>
    <d v="2024-04-30T00:00:00"/>
    <x v="3"/>
    <n v="1"/>
    <n v="0"/>
    <n v="1"/>
    <n v="0"/>
    <n v="0"/>
    <n v="0"/>
    <n v="1"/>
    <n v="0"/>
    <n v="0"/>
    <n v="0"/>
    <n v="0"/>
    <n v="0"/>
    <n v="0"/>
    <n v="0"/>
    <n v="0"/>
    <n v="0"/>
    <n v="0"/>
    <n v="0"/>
    <n v="0"/>
    <n v="0"/>
    <n v="0"/>
    <n v="0"/>
    <n v="0"/>
    <n v="0"/>
    <n v="0"/>
    <m/>
  </r>
  <r>
    <n v="534"/>
    <d v="2024-06-10T11:13:45"/>
    <d v="2024-06-10T11:19:46"/>
    <s v="dchirwa@lighthouse.org.mw"/>
    <s v="davis chirwa"/>
    <s v="Mitundu"/>
    <s v="Prototype"/>
    <x v="1"/>
    <x v="0"/>
    <s v="COP_23"/>
    <s v="Quarter1"/>
    <x v="2"/>
    <s v="Qtr_2"/>
    <x v="5"/>
    <d v="2024-02-01T00:00:00"/>
    <d v="2024-02-29T00:00:00"/>
    <x v="2"/>
    <n v="4"/>
    <n v="1"/>
    <n v="2"/>
    <n v="1"/>
    <n v="1"/>
    <n v="0"/>
    <n v="4"/>
    <n v="1"/>
    <n v="1"/>
    <n v="0"/>
    <n v="0"/>
    <n v="0"/>
    <n v="0"/>
    <n v="0"/>
    <n v="0"/>
    <n v="0"/>
    <n v="0"/>
    <n v="0"/>
    <n v="1"/>
    <n v="0"/>
    <n v="0"/>
    <n v="0"/>
    <n v="0"/>
    <n v="0"/>
    <n v="0"/>
    <m/>
  </r>
  <r>
    <n v="665"/>
    <d v="2024-07-29T16:51:25"/>
    <d v="2024-07-29T16:54:49"/>
    <s v="dchirwa@lighthouse.org.mw"/>
    <s v="davis chirwa"/>
    <s v="Mitundu"/>
    <s v="Prototype"/>
    <x v="1"/>
    <x v="0"/>
    <s v="COP_23"/>
    <s v="Quarter2"/>
    <x v="3"/>
    <s v="Qtr_3"/>
    <x v="7"/>
    <d v="2024-04-01T00:00:00"/>
    <d v="2024-04-30T00:00:00"/>
    <x v="4"/>
    <n v="0"/>
    <n v="0"/>
    <n v="0"/>
    <n v="0"/>
    <n v="0"/>
    <n v="0"/>
    <n v="0"/>
    <n v="0"/>
    <n v="0"/>
    <n v="0"/>
    <n v="0"/>
    <n v="0"/>
    <n v="0"/>
    <n v="0"/>
    <n v="0"/>
    <n v="0"/>
    <n v="0"/>
    <n v="0"/>
    <n v="0"/>
    <n v="0"/>
    <n v="0"/>
    <n v="0"/>
    <n v="0"/>
    <n v="0"/>
    <n v="0"/>
    <m/>
  </r>
  <r>
    <n v="666"/>
    <d v="2024-07-29T16:54:58"/>
    <d v="2024-07-29T17:00:20"/>
    <s v="dchirwa@lighthouse.org.mw"/>
    <s v="davis chirwa"/>
    <s v="Mitundu"/>
    <s v="Prototype"/>
    <x v="1"/>
    <x v="0"/>
    <s v="COP_23"/>
    <s v="Quarter2"/>
    <x v="3"/>
    <s v="Qtr_3"/>
    <x v="7"/>
    <d v="2024-04-01T00:00:00"/>
    <d v="2024-04-30T00:00:00"/>
    <x v="5"/>
    <n v="26"/>
    <n v="0"/>
    <n v="0"/>
    <n v="0"/>
    <n v="0"/>
    <n v="0"/>
    <n v="0"/>
    <n v="0"/>
    <n v="0"/>
    <n v="0"/>
    <n v="0"/>
    <n v="0"/>
    <n v="0"/>
    <n v="0"/>
    <n v="0"/>
    <n v="0"/>
    <n v="0"/>
    <n v="0"/>
    <n v="0"/>
    <n v="0"/>
    <n v="0"/>
    <n v="0"/>
    <n v="0"/>
    <n v="0"/>
    <n v="0"/>
    <m/>
  </r>
  <r>
    <n v="886"/>
    <d v="2024-10-04T15:29:36"/>
    <d v="2024-10-04T15:37:34"/>
    <s v="dchirwa@lighthouse.org.mw"/>
    <s v="davis chirwa"/>
    <s v="Mitundu"/>
    <s v="Prototype"/>
    <x v="1"/>
    <x v="0"/>
    <s v="COP_23"/>
    <s v="Quarter3"/>
    <x v="1"/>
    <s v="Qtr_4"/>
    <x v="2"/>
    <d v="2024-09-01T00:00:00"/>
    <d v="2024-09-30T00:00:00"/>
    <x v="1"/>
    <n v="29"/>
    <n v="4"/>
    <n v="20"/>
    <n v="4"/>
    <n v="2"/>
    <n v="3"/>
    <n v="28"/>
    <n v="8"/>
    <n v="7"/>
    <n v="1"/>
    <n v="1"/>
    <n v="1"/>
    <n v="6"/>
    <n v="0"/>
    <n v="1"/>
    <n v="0"/>
    <n v="4"/>
    <n v="0"/>
    <n v="1"/>
    <n v="0"/>
    <n v="0"/>
    <n v="1"/>
    <n v="1"/>
    <n v="0"/>
    <n v="5"/>
    <m/>
  </r>
  <r>
    <n v="669"/>
    <d v="2024-07-30T11:44:12"/>
    <d v="2024-07-30T11:51:46"/>
    <s v="dchirwa@lighthouse.org.mw"/>
    <s v="davis chirwa"/>
    <s v="Mitundu"/>
    <s v="Prototype"/>
    <x v="1"/>
    <x v="0"/>
    <s v="COP_23"/>
    <s v="Quarter2"/>
    <x v="3"/>
    <s v="Qtr_3"/>
    <x v="6"/>
    <d v="2024-05-01T00:00:00"/>
    <d v="2024-05-31T00:00:00"/>
    <x v="5"/>
    <n v="17"/>
    <n v="0"/>
    <n v="4"/>
    <n v="0"/>
    <n v="0"/>
    <n v="0"/>
    <n v="3"/>
    <n v="0"/>
    <n v="0"/>
    <n v="0"/>
    <n v="0"/>
    <n v="0"/>
    <n v="0"/>
    <n v="0"/>
    <n v="0"/>
    <n v="0"/>
    <n v="0"/>
    <n v="0"/>
    <n v="0"/>
    <n v="0"/>
    <n v="0"/>
    <n v="0"/>
    <n v="0"/>
    <n v="0"/>
    <n v="0"/>
    <m/>
  </r>
  <r>
    <n v="670"/>
    <d v="2024-07-30T11:51:54"/>
    <d v="2024-07-30T11:56:43"/>
    <s v="dchirwa@lighthouse.org.mw"/>
    <s v="davis chirwa"/>
    <s v="Mitundu"/>
    <s v="Prototype"/>
    <x v="1"/>
    <x v="0"/>
    <s v="COP_23"/>
    <s v="Quarter2"/>
    <x v="3"/>
    <s v="Qtr_3"/>
    <x v="6"/>
    <d v="2024-05-01T00:00:00"/>
    <d v="2024-05-31T00:00:00"/>
    <x v="3"/>
    <n v="1"/>
    <n v="0"/>
    <n v="1"/>
    <n v="0"/>
    <n v="0"/>
    <n v="0"/>
    <n v="1"/>
    <n v="0"/>
    <n v="0"/>
    <n v="0"/>
    <n v="0"/>
    <n v="0"/>
    <n v="0"/>
    <n v="0"/>
    <n v="0"/>
    <n v="0"/>
    <n v="0"/>
    <n v="0"/>
    <n v="0"/>
    <n v="0"/>
    <n v="0"/>
    <n v="0"/>
    <n v="0"/>
    <n v="0"/>
    <n v="0"/>
    <m/>
  </r>
  <r>
    <n v="671"/>
    <d v="2024-07-30T13:11:53"/>
    <d v="2024-07-30T13:12:05"/>
    <s v="dchirwa@lighthouse.org.mw"/>
    <s v="davis chirwa"/>
    <s v="Mitundu"/>
    <s v="Prototype"/>
    <x v="1"/>
    <x v="0"/>
    <s v="COP_23"/>
    <s v="Quarter2"/>
    <x v="3"/>
    <s v="Qtr_3"/>
    <x v="6"/>
    <d v="2024-05-01T00:00:00"/>
    <d v="2024-05-31T00:00:00"/>
    <x v="4"/>
    <n v="1"/>
    <n v="0"/>
    <n v="1"/>
    <n v="0"/>
    <n v="0"/>
    <n v="0"/>
    <n v="1"/>
    <n v="0"/>
    <n v="0"/>
    <n v="0"/>
    <n v="0"/>
    <n v="0"/>
    <n v="0"/>
    <n v="0"/>
    <n v="0"/>
    <n v="0"/>
    <n v="0"/>
    <n v="0"/>
    <n v="0"/>
    <n v="0"/>
    <n v="0"/>
    <n v="0"/>
    <n v="0"/>
    <n v="0"/>
    <n v="0"/>
    <m/>
  </r>
  <r>
    <n v="664"/>
    <d v="2024-07-29T16:38:38"/>
    <d v="2024-07-29T16:51:08"/>
    <s v="dchirwa@lighthouse.org.mw"/>
    <s v="davis chirwa"/>
    <s v="Mitundu"/>
    <s v="Prototype"/>
    <x v="1"/>
    <x v="0"/>
    <s v="COP_23"/>
    <s v="Quarter2"/>
    <x v="3"/>
    <s v="Qtr_3"/>
    <x v="7"/>
    <d v="2024-04-01T00:00:00"/>
    <d v="2024-04-30T00:00:00"/>
    <x v="2"/>
    <n v="24"/>
    <n v="0"/>
    <n v="4"/>
    <n v="2"/>
    <n v="0"/>
    <n v="0"/>
    <n v="6"/>
    <n v="2"/>
    <n v="2"/>
    <n v="0"/>
    <n v="0"/>
    <n v="0"/>
    <n v="0"/>
    <n v="0"/>
    <n v="0"/>
    <n v="0"/>
    <n v="0"/>
    <n v="0"/>
    <n v="1"/>
    <n v="0"/>
    <n v="0"/>
    <n v="0"/>
    <n v="0"/>
    <n v="0"/>
    <n v="0"/>
    <m/>
  </r>
  <r>
    <n v="674"/>
    <d v="2024-07-30T14:24:28"/>
    <d v="2024-07-30T14:24:50"/>
    <s v="dchirwa@lighthouse.org.mw"/>
    <s v="davis chirwa"/>
    <s v="Mitundu"/>
    <s v="Prototype"/>
    <x v="1"/>
    <x v="0"/>
    <s v="COP_23"/>
    <s v="Quarter2"/>
    <x v="3"/>
    <s v="Qtr_3"/>
    <x v="8"/>
    <d v="2024-06-01T00:00:00"/>
    <d v="2024-06-30T00:00:00"/>
    <x v="0"/>
    <n v="16"/>
    <n v="2"/>
    <n v="10"/>
    <n v="3"/>
    <n v="3"/>
    <n v="0"/>
    <n v="11"/>
    <n v="1"/>
    <n v="1"/>
    <n v="0"/>
    <n v="0"/>
    <n v="0"/>
    <n v="0"/>
    <n v="0"/>
    <n v="2"/>
    <n v="1"/>
    <n v="2"/>
    <n v="0"/>
    <n v="1"/>
    <n v="0"/>
    <n v="2"/>
    <n v="0"/>
    <n v="0"/>
    <n v="1"/>
    <n v="0"/>
    <m/>
  </r>
  <r>
    <n v="675"/>
    <d v="2024-07-30T14:24:55"/>
    <d v="2024-07-30T14:38:25"/>
    <s v="dchirwa@lighthouse.org.mw"/>
    <s v="davis chirwa"/>
    <s v="Mitundu"/>
    <s v="Prototype"/>
    <x v="1"/>
    <x v="0"/>
    <s v="COP_23"/>
    <s v="Quarter2"/>
    <x v="3"/>
    <s v="Qtr_3"/>
    <x v="8"/>
    <d v="2024-06-01T00:00:00"/>
    <d v="2024-06-30T00:00:00"/>
    <x v="4"/>
    <n v="1"/>
    <n v="0"/>
    <n v="1"/>
    <n v="0"/>
    <n v="0"/>
    <n v="0"/>
    <n v="1"/>
    <n v="0"/>
    <n v="0"/>
    <n v="0"/>
    <n v="0"/>
    <n v="0"/>
    <n v="0"/>
    <n v="0"/>
    <n v="0"/>
    <n v="0"/>
    <n v="0"/>
    <n v="0"/>
    <n v="0"/>
    <n v="0"/>
    <n v="0"/>
    <n v="0"/>
    <n v="0"/>
    <n v="0"/>
    <n v="0"/>
    <m/>
  </r>
  <r>
    <n v="673"/>
    <d v="2024-07-30T13:23:28"/>
    <d v="2024-07-30T13:29:12"/>
    <s v="dchirwa@lighthouse.org.mw"/>
    <s v="davis chirwa"/>
    <s v="Mitundu"/>
    <s v="Prototype"/>
    <x v="1"/>
    <x v="0"/>
    <s v="COP_23"/>
    <s v="Quarter2"/>
    <x v="3"/>
    <s v="Qtr_3"/>
    <x v="6"/>
    <d v="2024-05-01T00:00:00"/>
    <d v="2024-05-31T00:00:00"/>
    <x v="2"/>
    <n v="34"/>
    <n v="0"/>
    <n v="1"/>
    <n v="1"/>
    <n v="0"/>
    <n v="0"/>
    <n v="2"/>
    <n v="1"/>
    <n v="1"/>
    <n v="0"/>
    <n v="0"/>
    <n v="0"/>
    <n v="0"/>
    <n v="0"/>
    <n v="0"/>
    <n v="0"/>
    <n v="0"/>
    <n v="0"/>
    <n v="1"/>
    <n v="0"/>
    <n v="0"/>
    <n v="0"/>
    <n v="0"/>
    <n v="0"/>
    <n v="1"/>
    <m/>
  </r>
  <r>
    <n v="677"/>
    <d v="2024-07-30T14:57:22"/>
    <d v="2024-07-30T15:05:22"/>
    <s v="dchirwa@lighthouse.org.mw"/>
    <s v="davis chirwa"/>
    <s v="Mitundu"/>
    <s v="Prototype"/>
    <x v="1"/>
    <x v="0"/>
    <s v="COP_23"/>
    <s v="Quarter2"/>
    <x v="3"/>
    <s v="Qtr_3"/>
    <x v="8"/>
    <d v="2024-06-01T00:00:00"/>
    <d v="2024-06-30T00:00:00"/>
    <x v="5"/>
    <n v="26"/>
    <n v="0"/>
    <n v="3"/>
    <n v="0"/>
    <n v="0"/>
    <n v="0"/>
    <n v="3"/>
    <n v="0"/>
    <n v="0"/>
    <n v="0"/>
    <n v="0"/>
    <n v="0"/>
    <n v="0"/>
    <n v="0"/>
    <n v="0"/>
    <n v="0"/>
    <n v="0"/>
    <n v="0"/>
    <n v="0"/>
    <n v="0"/>
    <n v="0"/>
    <n v="0"/>
    <n v="0"/>
    <n v="0"/>
    <n v="0"/>
    <m/>
  </r>
  <r>
    <n v="1062"/>
    <d v="2024-11-13T15:11:56"/>
    <d v="2024-11-13T15:28:27"/>
    <s v="dchirwa@lighthouse.org.mw"/>
    <s v="davis chirwa"/>
    <s v="Mitundu"/>
    <s v="Prototype"/>
    <x v="1"/>
    <x v="0"/>
    <s v="COP_24"/>
    <s v="Quarter4"/>
    <x v="0"/>
    <s v="Qtr_1"/>
    <x v="0"/>
    <d v="2024-10-01T00:00:00"/>
    <d v="2024-10-31T00:00:00"/>
    <x v="1"/>
    <n v="20"/>
    <n v="1"/>
    <n v="15"/>
    <n v="1"/>
    <n v="4"/>
    <n v="0"/>
    <n v="19"/>
    <n v="6"/>
    <n v="8"/>
    <n v="0"/>
    <n v="0"/>
    <n v="0"/>
    <n v="6"/>
    <n v="1"/>
    <n v="1"/>
    <n v="1"/>
    <n v="1"/>
    <n v="0"/>
    <n v="3"/>
    <n v="0"/>
    <n v="1"/>
    <n v="0"/>
    <n v="1"/>
    <n v="0"/>
    <n v="2"/>
    <m/>
  </r>
  <r>
    <n v="679"/>
    <d v="2024-07-30T15:12:19"/>
    <d v="2024-07-30T15:16:22"/>
    <s v="dchirwa@lighthouse.org.mw"/>
    <s v="davis chirwa"/>
    <s v="Mitundu"/>
    <s v="Prototype"/>
    <x v="1"/>
    <x v="0"/>
    <s v="COP_23"/>
    <s v="Quarter2"/>
    <x v="3"/>
    <s v="Qtr_3"/>
    <x v="8"/>
    <d v="2024-06-01T00:00:00"/>
    <d v="2024-06-30T00:00:00"/>
    <x v="3"/>
    <n v="0"/>
    <n v="0"/>
    <n v="0"/>
    <n v="0"/>
    <n v="0"/>
    <n v="0"/>
    <n v="0"/>
    <n v="0"/>
    <n v="0"/>
    <n v="0"/>
    <n v="0"/>
    <n v="0"/>
    <n v="0"/>
    <n v="0"/>
    <n v="0"/>
    <n v="0"/>
    <n v="0"/>
    <n v="0"/>
    <n v="0"/>
    <n v="0"/>
    <n v="0"/>
    <n v="0"/>
    <n v="0"/>
    <n v="0"/>
    <n v="0"/>
    <m/>
  </r>
  <r>
    <n v="676"/>
    <d v="2024-07-30T14:38:33"/>
    <d v="2024-07-30T14:57:17"/>
    <s v="dchirwa@lighthouse.org.mw"/>
    <s v="davis chirwa"/>
    <s v="Mitundu"/>
    <s v="Prototype"/>
    <x v="1"/>
    <x v="0"/>
    <s v="COP_23"/>
    <s v="Quarter2"/>
    <x v="3"/>
    <s v="Qtr_3"/>
    <x v="8"/>
    <d v="2024-06-01T00:00:00"/>
    <d v="2024-06-30T00:00:00"/>
    <x v="2"/>
    <n v="12"/>
    <n v="1"/>
    <n v="1"/>
    <n v="0"/>
    <n v="1"/>
    <n v="0"/>
    <n v="2"/>
    <n v="0"/>
    <n v="0"/>
    <n v="0"/>
    <n v="0"/>
    <n v="0"/>
    <n v="0"/>
    <n v="0"/>
    <n v="1"/>
    <n v="0"/>
    <n v="1"/>
    <n v="0"/>
    <n v="0"/>
    <n v="0"/>
    <n v="1"/>
    <n v="0"/>
    <n v="0"/>
    <n v="0"/>
    <n v="0"/>
    <m/>
  </r>
  <r>
    <n v="754"/>
    <d v="2024-08-14T09:17:27"/>
    <d v="2024-08-14T09:21:27"/>
    <s v="dchirwa@lighthouse.org.mw"/>
    <s v="davis chirwa"/>
    <s v="Mitundu"/>
    <s v="Prototype"/>
    <x v="1"/>
    <x v="0"/>
    <s v="COP_23"/>
    <s v="Quarter3"/>
    <x v="1"/>
    <s v="Qtr_4"/>
    <x v="9"/>
    <d v="2024-07-01T00:00:00"/>
    <d v="2024-07-31T00:00:00"/>
    <x v="2"/>
    <n v="2"/>
    <n v="2"/>
    <n v="0"/>
    <n v="0"/>
    <n v="1"/>
    <n v="1"/>
    <n v="0"/>
    <n v="0"/>
    <n v="1"/>
    <n v="0"/>
    <n v="0"/>
    <n v="0"/>
    <n v="0"/>
    <n v="0"/>
    <n v="0"/>
    <n v="0"/>
    <n v="2"/>
    <n v="1"/>
    <n v="0"/>
    <n v="0"/>
    <n v="1"/>
    <n v="0"/>
    <n v="0"/>
    <n v="0"/>
    <n v="1"/>
    <m/>
  </r>
  <r>
    <n v="813"/>
    <d v="2024-09-16T13:45:25"/>
    <d v="2024-09-16T13:55:06"/>
    <s v="dchirwa@lighthouse.org.mw"/>
    <s v="davis chirwa"/>
    <s v="Mitundu"/>
    <s v="Prototype"/>
    <x v="1"/>
    <x v="0"/>
    <s v="COP_23"/>
    <s v="Quarter3"/>
    <x v="1"/>
    <s v="Qtr_4"/>
    <x v="10"/>
    <d v="2024-08-01T00:00:00"/>
    <d v="2024-08-31T00:00:00"/>
    <x v="2"/>
    <n v="73"/>
    <n v="0"/>
    <n v="3"/>
    <n v="0"/>
    <n v="0"/>
    <n v="0"/>
    <n v="3"/>
    <n v="1"/>
    <n v="1"/>
    <n v="0"/>
    <n v="0"/>
    <n v="0"/>
    <n v="0"/>
    <n v="0"/>
    <n v="0"/>
    <n v="0"/>
    <n v="0"/>
    <n v="0"/>
    <n v="0"/>
    <n v="0"/>
    <n v="0"/>
    <n v="0"/>
    <n v="0"/>
    <n v="0"/>
    <n v="0"/>
    <m/>
  </r>
  <r>
    <n v="818"/>
    <d v="2024-09-16T14:19:45"/>
    <d v="2024-09-16T14:23:55"/>
    <s v="dchirwa@lighthouse.org.mw"/>
    <s v="davis chirwa"/>
    <s v="Mitundu"/>
    <s v="Prototype"/>
    <x v="1"/>
    <x v="0"/>
    <s v="COP_23"/>
    <s v="Quarter3"/>
    <x v="1"/>
    <s v="Qtr_4"/>
    <x v="9"/>
    <d v="2024-07-01T00:00:00"/>
    <d v="2024-07-31T00:00:00"/>
    <x v="2"/>
    <n v="57"/>
    <n v="2"/>
    <n v="0"/>
    <n v="0"/>
    <n v="1"/>
    <n v="1"/>
    <n v="0"/>
    <n v="0"/>
    <n v="1"/>
    <n v="0"/>
    <n v="0"/>
    <n v="0"/>
    <n v="0"/>
    <n v="0"/>
    <n v="0"/>
    <n v="0"/>
    <n v="2"/>
    <n v="1"/>
    <n v="0"/>
    <n v="0"/>
    <n v="1"/>
    <n v="0"/>
    <n v="0"/>
    <n v="0"/>
    <n v="1"/>
    <m/>
  </r>
  <r>
    <n v="885"/>
    <d v="2024-10-04T15:20:33"/>
    <d v="2024-10-04T15:27:29"/>
    <s v="dchirwa@lighthouse.org.mw"/>
    <s v="davis chirwa"/>
    <s v="Mitundu"/>
    <s v="Prototype"/>
    <x v="1"/>
    <x v="1"/>
    <s v="COP_23"/>
    <s v="Quarter3"/>
    <x v="1"/>
    <s v="Qtr_4"/>
    <x v="2"/>
    <d v="2024-09-01T00:00:00"/>
    <d v="2024-09-30T00:00:00"/>
    <x v="2"/>
    <n v="37"/>
    <n v="0"/>
    <n v="3"/>
    <n v="2"/>
    <n v="0"/>
    <n v="0"/>
    <n v="5"/>
    <n v="2"/>
    <n v="2"/>
    <n v="0"/>
    <n v="0"/>
    <n v="0"/>
    <n v="1"/>
    <n v="0"/>
    <n v="0"/>
    <n v="0"/>
    <n v="0"/>
    <n v="0"/>
    <n v="0"/>
    <n v="0"/>
    <n v="0"/>
    <n v="0"/>
    <n v="0"/>
    <n v="0"/>
    <n v="0"/>
    <m/>
  </r>
  <r>
    <n v="1060"/>
    <d v="2024-11-13T14:54:11"/>
    <d v="2024-11-13T15:03:51"/>
    <s v="dchirwa@lighthouse.org.mw"/>
    <s v="davis chirwa"/>
    <s v="Mitundu"/>
    <s v="Prototype"/>
    <x v="1"/>
    <x v="0"/>
    <s v="COP_24"/>
    <s v="Quarter4"/>
    <x v="0"/>
    <s v="Qtr_1"/>
    <x v="0"/>
    <d v="2024-10-01T00:00:00"/>
    <d v="2024-10-31T00:00:00"/>
    <x v="2"/>
    <n v="12"/>
    <n v="0"/>
    <n v="2"/>
    <n v="0"/>
    <n v="0"/>
    <n v="0"/>
    <n v="2"/>
    <n v="1"/>
    <n v="2"/>
    <n v="1"/>
    <n v="2"/>
    <n v="1"/>
    <n v="2"/>
    <n v="0"/>
    <n v="0"/>
    <n v="0"/>
    <n v="0"/>
    <n v="0"/>
    <n v="0"/>
    <n v="0"/>
    <n v="0"/>
    <n v="0"/>
    <n v="1"/>
    <n v="0"/>
    <n v="0"/>
    <m/>
  </r>
  <r>
    <n v="753"/>
    <d v="2024-08-14T09:15:17"/>
    <d v="2024-08-14T09:15:29"/>
    <s v="dchirwa@lighthouse.org.mw"/>
    <s v="davis chirwa"/>
    <s v="Mitundu"/>
    <s v="Prototype"/>
    <x v="1"/>
    <x v="0"/>
    <s v="COP_23"/>
    <s v="Quarter3"/>
    <x v="1"/>
    <s v="Qtr_4"/>
    <x v="9"/>
    <d v="2024-07-01T00:00:00"/>
    <d v="2024-07-31T00:00:00"/>
    <x v="0"/>
    <n v="25"/>
    <n v="4"/>
    <n v="19"/>
    <n v="2"/>
    <n v="2"/>
    <n v="2"/>
    <n v="0"/>
    <n v="0"/>
    <n v="1"/>
    <n v="0"/>
    <n v="0"/>
    <n v="0"/>
    <n v="0"/>
    <n v="0"/>
    <n v="4"/>
    <n v="0"/>
    <n v="5"/>
    <n v="2"/>
    <n v="1"/>
    <n v="1"/>
    <n v="2"/>
    <n v="0"/>
    <n v="0"/>
    <n v="0"/>
    <n v="2"/>
    <m/>
  </r>
  <r>
    <n v="755"/>
    <d v="2024-08-14T09:21:32"/>
    <d v="2024-08-14T09:25:13"/>
    <s v="dchirwa@lighthouse.org.mw"/>
    <s v="davis chirwa"/>
    <s v="Mitundu"/>
    <s v="Prototype"/>
    <x v="1"/>
    <x v="0"/>
    <s v="COP_23"/>
    <s v="Quarter3"/>
    <x v="1"/>
    <s v="Qtr_4"/>
    <x v="9"/>
    <d v="2024-07-01T00:00:00"/>
    <d v="2024-07-31T00:00:00"/>
    <x v="5"/>
    <n v="5"/>
    <n v="1"/>
    <n v="4"/>
    <n v="0"/>
    <n v="1"/>
    <n v="0"/>
    <n v="0"/>
    <n v="0"/>
    <n v="0"/>
    <n v="0"/>
    <n v="0"/>
    <n v="0"/>
    <n v="0"/>
    <n v="0"/>
    <n v="1"/>
    <n v="0"/>
    <n v="1"/>
    <n v="0"/>
    <n v="0"/>
    <n v="0"/>
    <n v="1"/>
    <n v="0"/>
    <n v="0"/>
    <n v="0"/>
    <n v="0"/>
    <m/>
  </r>
  <r>
    <n v="756"/>
    <d v="2024-08-14T09:25:19"/>
    <d v="2024-08-14T09:37:31"/>
    <s v="dchirwa@lighthouse.org.mw"/>
    <s v="davis chirwa"/>
    <s v="Mitundu"/>
    <s v="Prototype"/>
    <x v="1"/>
    <x v="0"/>
    <s v="COP_23"/>
    <s v="Quarter3"/>
    <x v="1"/>
    <s v="Qtr_4"/>
    <x v="9"/>
    <d v="2024-07-01T00:00:00"/>
    <d v="2024-07-31T00:00:00"/>
    <x v="4"/>
    <n v="3"/>
    <n v="2"/>
    <n v="1"/>
    <n v="0"/>
    <n v="1"/>
    <n v="1"/>
    <n v="0"/>
    <n v="0"/>
    <n v="0"/>
    <n v="0"/>
    <n v="0"/>
    <n v="0"/>
    <n v="0"/>
    <n v="0"/>
    <n v="0"/>
    <n v="0"/>
    <n v="1"/>
    <n v="1"/>
    <n v="1"/>
    <n v="1"/>
    <n v="1"/>
    <n v="0"/>
    <n v="0"/>
    <n v="0"/>
    <n v="1"/>
    <m/>
  </r>
  <r>
    <n v="757"/>
    <d v="2024-08-14T09:37:43"/>
    <d v="2024-08-14T09:40:03"/>
    <s v="dchirwa@lighthouse.org.mw"/>
    <s v="davis chirwa"/>
    <s v="Mitundu"/>
    <s v="Prototype"/>
    <x v="1"/>
    <x v="0"/>
    <s v="COP_23"/>
    <s v="Quarter3"/>
    <x v="1"/>
    <s v="Qtr_4"/>
    <x v="9"/>
    <d v="2024-07-01T00:00:00"/>
    <d v="2024-07-31T00:00:00"/>
    <x v="3"/>
    <n v="1"/>
    <n v="0"/>
    <n v="1"/>
    <n v="0"/>
    <n v="0"/>
    <n v="0"/>
    <n v="0"/>
    <n v="0"/>
    <n v="0"/>
    <n v="0"/>
    <n v="0"/>
    <n v="0"/>
    <n v="0"/>
    <n v="0"/>
    <n v="0"/>
    <n v="0"/>
    <n v="0"/>
    <n v="0"/>
    <n v="0"/>
    <n v="0"/>
    <n v="0"/>
    <n v="0"/>
    <n v="0"/>
    <n v="0"/>
    <n v="0"/>
    <m/>
  </r>
  <r>
    <n v="812"/>
    <d v="2024-09-16T13:44:52"/>
    <d v="2024-09-16T13:45:17"/>
    <s v="dchirwa@lighthouse.org.mw"/>
    <s v="davis chirwa"/>
    <s v="Mitundu"/>
    <s v="Prototype"/>
    <x v="1"/>
    <x v="0"/>
    <s v="COP_23"/>
    <s v="Quarter3"/>
    <x v="1"/>
    <s v="Qtr_4"/>
    <x v="10"/>
    <d v="2024-08-01T00:00:00"/>
    <d v="2024-08-31T00:00:00"/>
    <x v="0"/>
    <n v="24"/>
    <n v="6"/>
    <n v="16"/>
    <n v="2"/>
    <n v="5"/>
    <n v="1"/>
    <n v="22"/>
    <n v="7"/>
    <n v="6"/>
    <n v="0"/>
    <n v="0"/>
    <n v="0"/>
    <n v="3"/>
    <n v="0"/>
    <n v="1"/>
    <n v="0"/>
    <n v="3"/>
    <n v="1"/>
    <n v="1"/>
    <n v="0"/>
    <n v="2"/>
    <n v="0"/>
    <n v="0"/>
    <n v="0"/>
    <n v="5"/>
    <m/>
  </r>
  <r>
    <n v="815"/>
    <d v="2024-09-16T14:00:09"/>
    <d v="2024-09-16T14:03:31"/>
    <s v="dchirwa@lighthouse.org.mw"/>
    <s v="davis chirwa"/>
    <s v="Mitundu"/>
    <s v="Prototype"/>
    <x v="1"/>
    <x v="0"/>
    <s v="COP_23"/>
    <s v="Quarter3"/>
    <x v="1"/>
    <s v="Qtr_4"/>
    <x v="10"/>
    <d v="2024-08-01T00:00:00"/>
    <d v="2024-08-31T00:00:00"/>
    <x v="4"/>
    <n v="0"/>
    <n v="0"/>
    <n v="0"/>
    <n v="0"/>
    <n v="0"/>
    <n v="0"/>
    <n v="0"/>
    <n v="0"/>
    <n v="0"/>
    <n v="0"/>
    <n v="0"/>
    <n v="0"/>
    <n v="0"/>
    <n v="0"/>
    <n v="0"/>
    <n v="0"/>
    <n v="0"/>
    <n v="0"/>
    <n v="0"/>
    <n v="0"/>
    <n v="0"/>
    <n v="0"/>
    <n v="0"/>
    <n v="0"/>
    <n v="0"/>
    <m/>
  </r>
  <r>
    <n v="816"/>
    <d v="2024-09-16T14:03:40"/>
    <d v="2024-09-16T14:06:34"/>
    <s v="dchirwa@lighthouse.org.mw"/>
    <s v="davis chirwa"/>
    <s v="Mitundu"/>
    <s v="Prototype"/>
    <x v="1"/>
    <x v="0"/>
    <s v="COP_23"/>
    <s v="Quarter3"/>
    <x v="1"/>
    <s v="Qtr_4"/>
    <x v="10"/>
    <d v="2024-08-01T00:00:00"/>
    <d v="2024-08-31T00:00:00"/>
    <x v="3"/>
    <n v="0"/>
    <n v="0"/>
    <n v="0"/>
    <n v="0"/>
    <n v="0"/>
    <n v="0"/>
    <n v="0"/>
    <n v="0"/>
    <n v="0"/>
    <n v="0"/>
    <n v="0"/>
    <n v="0"/>
    <n v="0"/>
    <n v="0"/>
    <n v="0"/>
    <n v="0"/>
    <n v="0"/>
    <n v="0"/>
    <n v="0"/>
    <n v="0"/>
    <n v="0"/>
    <n v="0"/>
    <n v="0"/>
    <n v="0"/>
    <n v="0"/>
    <m/>
  </r>
  <r>
    <n v="817"/>
    <d v="2024-09-16T14:06:46"/>
    <d v="2024-09-16T14:10:31"/>
    <s v="dchirwa@lighthouse.org.mw"/>
    <s v="davis chirwa"/>
    <s v="Mitundu"/>
    <s v="Prototype"/>
    <x v="1"/>
    <x v="1"/>
    <s v="COP_23"/>
    <s v="Quarter3"/>
    <x v="1"/>
    <s v="Qtr_4"/>
    <x v="10"/>
    <d v="2024-08-01T00:00:00"/>
    <d v="2024-08-31T00:00:00"/>
    <x v="5"/>
    <n v="15"/>
    <n v="1"/>
    <n v="1"/>
    <n v="0"/>
    <n v="0"/>
    <n v="1"/>
    <n v="2"/>
    <n v="0"/>
    <n v="0"/>
    <n v="0"/>
    <n v="0"/>
    <n v="0"/>
    <n v="1"/>
    <n v="0"/>
    <n v="1"/>
    <n v="0"/>
    <n v="1"/>
    <n v="1"/>
    <n v="0"/>
    <n v="0"/>
    <n v="1"/>
    <n v="0"/>
    <n v="0"/>
    <n v="0"/>
    <n v="0"/>
    <m/>
  </r>
  <r>
    <n v="819"/>
    <d v="2024-09-16T14:24:07"/>
    <d v="2024-09-16T14:41:20"/>
    <s v="dchirwa@lighthouse.org.mw"/>
    <s v="davis chirwa"/>
    <s v="Mitundu"/>
    <s v="Prototype"/>
    <x v="1"/>
    <x v="1"/>
    <s v="COP_23"/>
    <s v="Quarter3"/>
    <x v="1"/>
    <s v="Qtr_4"/>
    <x v="9"/>
    <d v="2024-07-01T00:00:00"/>
    <d v="2024-07-31T00:00:00"/>
    <x v="5"/>
    <n v="33"/>
    <n v="1"/>
    <n v="4"/>
    <n v="0"/>
    <n v="1"/>
    <n v="0"/>
    <n v="0"/>
    <n v="0"/>
    <n v="0"/>
    <n v="0"/>
    <n v="0"/>
    <n v="0"/>
    <n v="0"/>
    <n v="0"/>
    <n v="1"/>
    <n v="0"/>
    <n v="1"/>
    <n v="1"/>
    <n v="0"/>
    <n v="0"/>
    <n v="1"/>
    <n v="0"/>
    <n v="0"/>
    <n v="0"/>
    <n v="0"/>
    <m/>
  </r>
  <r>
    <n v="882"/>
    <d v="2024-10-04T08:41:53"/>
    <d v="2024-10-04T09:31:51"/>
    <s v="dchirwa@lighthouse.org.mw"/>
    <s v="davis chirwa"/>
    <s v="Mitundu"/>
    <s v="Prototype"/>
    <x v="1"/>
    <x v="1"/>
    <s v="COP_23"/>
    <s v="Quarter3"/>
    <x v="1"/>
    <s v="Qtr_4"/>
    <x v="2"/>
    <d v="2024-09-01T00:00:00"/>
    <d v="2024-09-30T00:00:00"/>
    <x v="0"/>
    <n v="42"/>
    <n v="7"/>
    <n v="28"/>
    <n v="6"/>
    <n v="3"/>
    <n v="5"/>
    <n v="41"/>
    <n v="13"/>
    <n v="12"/>
    <n v="2"/>
    <n v="1"/>
    <n v="1"/>
    <n v="10"/>
    <n v="1"/>
    <n v="1"/>
    <n v="0"/>
    <n v="5"/>
    <n v="1"/>
    <n v="2"/>
    <n v="0"/>
    <n v="2"/>
    <n v="1"/>
    <n v="1"/>
    <n v="0"/>
    <n v="5"/>
    <m/>
  </r>
  <r>
    <n v="883"/>
    <d v="2024-10-04T15:09:26"/>
    <d v="2024-10-04T15:09:39"/>
    <s v="dchirwa@lighthouse.org.mw"/>
    <s v="davis chirwa"/>
    <s v="Mitundu"/>
    <s v="Prototype"/>
    <x v="1"/>
    <x v="1"/>
    <s v="COP_23"/>
    <s v="Quarter3"/>
    <x v="1"/>
    <s v="Qtr_4"/>
    <x v="2"/>
    <d v="2024-09-01T00:00:00"/>
    <d v="2024-09-30T00:00:00"/>
    <x v="3"/>
    <n v="1"/>
    <n v="1"/>
    <n v="0"/>
    <n v="0"/>
    <n v="0"/>
    <n v="1"/>
    <n v="0"/>
    <n v="0"/>
    <n v="1"/>
    <n v="0"/>
    <n v="0"/>
    <n v="0"/>
    <n v="1"/>
    <n v="0"/>
    <n v="0"/>
    <n v="0"/>
    <n v="1"/>
    <n v="0"/>
    <n v="0"/>
    <n v="0"/>
    <n v="0"/>
    <n v="0"/>
    <n v="0"/>
    <n v="0"/>
    <n v="1"/>
    <m/>
  </r>
  <r>
    <n v="884"/>
    <d v="2024-10-04T15:11:19"/>
    <d v="2024-10-04T15:19:42"/>
    <s v="dchirwa@lighthouse.org.mw"/>
    <s v="davis chirwa"/>
    <s v="Mitundu"/>
    <s v="Prototype"/>
    <x v="1"/>
    <x v="1"/>
    <s v="COP_23"/>
    <s v="Quarter3"/>
    <x v="1"/>
    <s v="Qtr_4"/>
    <x v="2"/>
    <d v="2024-09-01T00:00:00"/>
    <d v="2024-09-30T00:00:00"/>
    <x v="5"/>
    <n v="3"/>
    <n v="1"/>
    <n v="0"/>
    <n v="2"/>
    <n v="0"/>
    <n v="1"/>
    <n v="3"/>
    <n v="3"/>
    <n v="2"/>
    <n v="0"/>
    <n v="0"/>
    <n v="0"/>
    <n v="1"/>
    <n v="1"/>
    <n v="0"/>
    <n v="0"/>
    <n v="0"/>
    <n v="0"/>
    <n v="1"/>
    <n v="0"/>
    <n v="1"/>
    <n v="0"/>
    <n v="0"/>
    <n v="0"/>
    <n v="0"/>
    <m/>
  </r>
  <r>
    <n v="887"/>
    <d v="2024-10-04T15:38:10"/>
    <d v="2024-10-04T15:44:27"/>
    <s v="dchirwa@lighthouse.org.mw"/>
    <s v="davis chirwa"/>
    <s v="Mitundu"/>
    <s v="Prototype"/>
    <x v="1"/>
    <x v="1"/>
    <s v="COP_23"/>
    <s v="Quarter3"/>
    <x v="1"/>
    <s v="Qtr_4"/>
    <x v="2"/>
    <d v="2024-09-01T00:00:00"/>
    <d v="2024-09-30T00:00:00"/>
    <x v="4"/>
    <n v="3"/>
    <n v="3"/>
    <n v="0"/>
    <n v="0"/>
    <n v="2"/>
    <n v="1"/>
    <n v="3"/>
    <n v="3"/>
    <n v="3"/>
    <n v="0"/>
    <n v="0"/>
    <n v="0"/>
    <n v="3"/>
    <n v="1"/>
    <n v="0"/>
    <n v="0"/>
    <n v="1"/>
    <n v="0"/>
    <n v="1"/>
    <n v="0"/>
    <n v="2"/>
    <n v="0"/>
    <n v="0"/>
    <n v="0"/>
    <n v="1"/>
    <m/>
  </r>
  <r>
    <n v="1061"/>
    <d v="2024-11-13T15:04:11"/>
    <d v="2024-11-13T15:11:50"/>
    <s v="dchirwa@lighthouse.org.mw"/>
    <s v="davis chirwa"/>
    <s v="Mitundu"/>
    <s v="Prototype"/>
    <x v="1"/>
    <x v="2"/>
    <s v="COP_24"/>
    <s v="Quarter4"/>
    <x v="0"/>
    <s v="Qtr_1"/>
    <x v="0"/>
    <d v="2024-10-01T00:00:00"/>
    <d v="2024-10-31T00:00:00"/>
    <x v="0"/>
    <n v="24"/>
    <n v="2"/>
    <n v="19"/>
    <n v="0"/>
    <n v="5"/>
    <n v="0"/>
    <n v="23"/>
    <n v="7"/>
    <n v="9"/>
    <n v="0"/>
    <n v="0"/>
    <n v="0"/>
    <n v="7"/>
    <n v="1"/>
    <n v="0"/>
    <n v="0"/>
    <n v="0"/>
    <n v="0"/>
    <n v="3"/>
    <n v="0"/>
    <n v="2"/>
    <n v="0"/>
    <n v="0"/>
    <n v="0"/>
    <n v="2"/>
    <m/>
  </r>
  <r>
    <n v="1063"/>
    <d v="2024-11-13T15:28:32"/>
    <d v="2024-11-13T15:33:08"/>
    <s v="dchirwa@lighthouse.org.mw"/>
    <s v="davis chirwa"/>
    <s v="Mitundu"/>
    <s v="Prototype"/>
    <x v="1"/>
    <x v="2"/>
    <s v="COP_24"/>
    <s v="Quarter4"/>
    <x v="0"/>
    <s v="Qtr_1"/>
    <x v="0"/>
    <d v="2024-10-01T00:00:00"/>
    <d v="2024-10-31T00:00:00"/>
    <x v="3"/>
    <n v="1"/>
    <n v="0"/>
    <n v="0"/>
    <n v="0"/>
    <n v="1"/>
    <n v="0"/>
    <n v="0"/>
    <n v="0"/>
    <n v="1"/>
    <n v="0"/>
    <n v="0"/>
    <n v="0"/>
    <n v="0"/>
    <n v="0"/>
    <n v="0"/>
    <n v="0"/>
    <n v="0"/>
    <n v="0"/>
    <n v="0"/>
    <n v="0"/>
    <n v="0"/>
    <n v="0"/>
    <n v="0"/>
    <n v="0"/>
    <n v="0"/>
    <m/>
  </r>
  <r>
    <n v="1064"/>
    <d v="2024-11-13T15:33:13"/>
    <d v="2024-11-13T15:44:27"/>
    <s v="dchirwa@lighthouse.org.mw"/>
    <s v="davis chirwa"/>
    <s v="Mitundu"/>
    <s v="Prototype"/>
    <x v="1"/>
    <x v="2"/>
    <s v="COP_24"/>
    <s v="Quarter4"/>
    <x v="0"/>
    <s v="Qtr_1"/>
    <x v="0"/>
    <d v="2024-10-01T00:00:00"/>
    <d v="2024-10-31T00:00:00"/>
    <x v="4"/>
    <n v="1"/>
    <n v="0"/>
    <n v="1"/>
    <n v="0"/>
    <n v="0"/>
    <n v="0"/>
    <n v="1"/>
    <n v="1"/>
    <n v="1"/>
    <n v="0"/>
    <n v="0"/>
    <n v="0"/>
    <n v="1"/>
    <n v="0"/>
    <n v="0"/>
    <n v="0"/>
    <n v="0"/>
    <n v="0"/>
    <n v="1"/>
    <n v="0"/>
    <n v="0"/>
    <n v="0"/>
    <n v="0"/>
    <n v="0"/>
    <n v="0"/>
    <m/>
  </r>
  <r>
    <n v="1065"/>
    <d v="2024-11-13T15:51:36"/>
    <d v="2024-11-13T15:51:48"/>
    <s v="dchirwa@lighthouse.org.mw"/>
    <s v="davis chirwa"/>
    <s v="Mitundu"/>
    <s v="Prototype"/>
    <x v="1"/>
    <x v="2"/>
    <s v="COP_24"/>
    <s v="Quarter4"/>
    <x v="0"/>
    <s v="Qtr_1"/>
    <x v="0"/>
    <d v="2024-10-01T00:00:00"/>
    <d v="2024-10-31T00:00:00"/>
    <x v="5"/>
    <n v="8"/>
    <n v="1"/>
    <n v="2"/>
    <n v="0"/>
    <n v="1"/>
    <n v="0"/>
    <n v="3"/>
    <n v="0"/>
    <n v="1"/>
    <n v="0"/>
    <n v="1"/>
    <n v="0"/>
    <n v="1"/>
    <n v="0"/>
    <n v="1"/>
    <n v="0"/>
    <n v="1"/>
    <n v="1"/>
    <n v="0"/>
    <n v="0"/>
    <n v="1"/>
    <n v="0"/>
    <n v="1"/>
    <n v="0"/>
    <n v="0"/>
    <m/>
  </r>
  <r>
    <n v="1132"/>
    <d v="2024-12-13T15:25:52"/>
    <d v="2024-12-13T15:26:09"/>
    <s v="dchirwa@lighthouse.org.mw"/>
    <s v="davis chirwa"/>
    <s v="Mitundu"/>
    <s v="Prototype"/>
    <x v="1"/>
    <x v="2"/>
    <s v="COP_24"/>
    <s v="Quarter4"/>
    <x v="0"/>
    <s v="Qtr_1"/>
    <x v="1"/>
    <d v="2024-11-01T00:00:00"/>
    <d v="2024-11-30T00:00:00"/>
    <x v="0"/>
    <n v="21"/>
    <n v="2"/>
    <n v="16"/>
    <n v="1"/>
    <n v="2"/>
    <n v="2"/>
    <n v="21"/>
    <n v="3"/>
    <n v="3"/>
    <n v="1"/>
    <n v="0"/>
    <n v="0"/>
    <n v="2"/>
    <n v="1"/>
    <n v="0"/>
    <n v="0"/>
    <n v="2"/>
    <n v="0"/>
    <n v="2"/>
    <n v="0"/>
    <n v="1"/>
    <n v="0"/>
    <n v="1"/>
    <n v="0"/>
    <n v="2"/>
    <m/>
  </r>
  <r>
    <n v="1133"/>
    <d v="2024-12-13T15:26:14"/>
    <d v="2024-12-13T15:33:21"/>
    <s v="dchirwa@lighthouse.org.mw"/>
    <s v="davis chirwa"/>
    <s v="Mitundu"/>
    <s v="Prototype"/>
    <x v="1"/>
    <x v="2"/>
    <s v="COP_24"/>
    <s v="Quarter4"/>
    <x v="0"/>
    <s v="Qtr_1"/>
    <x v="1"/>
    <d v="2024-11-01T00:00:00"/>
    <d v="2024-11-30T00:00:00"/>
    <x v="1"/>
    <n v="14"/>
    <n v="1"/>
    <n v="11"/>
    <n v="1"/>
    <n v="1"/>
    <n v="1"/>
    <n v="14"/>
    <n v="1"/>
    <n v="1"/>
    <n v="1"/>
    <n v="0"/>
    <n v="0"/>
    <n v="0"/>
    <n v="0"/>
    <n v="0"/>
    <n v="0"/>
    <n v="1"/>
    <n v="0"/>
    <n v="1"/>
    <n v="0"/>
    <n v="0"/>
    <n v="0"/>
    <n v="1"/>
    <n v="0"/>
    <n v="1"/>
    <m/>
  </r>
  <r>
    <n v="1134"/>
    <d v="2024-12-13T15:33:26"/>
    <d v="2024-12-13T15:40:26"/>
    <s v="dchirwa@lighthouse.org.mw"/>
    <s v="davis chirwa"/>
    <s v="Mitundu"/>
    <s v="Prototype"/>
    <x v="1"/>
    <x v="2"/>
    <s v="COP_24"/>
    <s v="Quarter4"/>
    <x v="0"/>
    <s v="Qtr_1"/>
    <x v="1"/>
    <d v="2024-11-01T00:00:00"/>
    <d v="2024-11-30T00:00:00"/>
    <x v="3"/>
    <n v="3"/>
    <n v="0"/>
    <n v="3"/>
    <n v="0"/>
    <n v="0"/>
    <n v="0"/>
    <n v="3"/>
    <n v="0"/>
    <n v="0"/>
    <n v="0"/>
    <n v="0"/>
    <n v="0"/>
    <n v="0"/>
    <n v="0"/>
    <n v="0"/>
    <n v="0"/>
    <n v="0"/>
    <n v="0"/>
    <n v="0"/>
    <n v="0"/>
    <n v="0"/>
    <n v="0"/>
    <n v="0"/>
    <n v="0"/>
    <n v="0"/>
    <m/>
  </r>
  <r>
    <n v="1135"/>
    <d v="2024-12-13T15:40:33"/>
    <d v="2024-12-13T15:44:26"/>
    <s v="dchirwa@lighthouse.org.mw"/>
    <s v="davis chirwa"/>
    <s v="Mitundu"/>
    <s v="Prototype"/>
    <x v="1"/>
    <x v="2"/>
    <s v="COP_24"/>
    <s v="Quarter4"/>
    <x v="0"/>
    <s v="Qtr_1"/>
    <x v="1"/>
    <d v="2024-11-01T00:00:00"/>
    <d v="2024-11-30T00:00:00"/>
    <x v="4"/>
    <n v="0"/>
    <n v="0"/>
    <n v="0"/>
    <n v="0"/>
    <n v="0"/>
    <n v="0"/>
    <n v="0"/>
    <n v="0"/>
    <n v="0"/>
    <n v="0"/>
    <n v="0"/>
    <n v="0"/>
    <n v="0"/>
    <n v="0"/>
    <n v="0"/>
    <n v="0"/>
    <n v="0"/>
    <n v="0"/>
    <n v="0"/>
    <n v="0"/>
    <n v="0"/>
    <n v="0"/>
    <n v="0"/>
    <n v="0"/>
    <n v="0"/>
    <m/>
  </r>
  <r>
    <n v="1136"/>
    <d v="2024-12-13T15:44:39"/>
    <d v="2024-12-13T15:47:23"/>
    <s v="dchirwa@lighthouse.org.mw"/>
    <s v="davis chirwa"/>
    <s v="Mitundu"/>
    <s v="Prototype"/>
    <x v="1"/>
    <x v="2"/>
    <s v="COP_24"/>
    <s v="Quarter4"/>
    <x v="0"/>
    <s v="Qtr_1"/>
    <x v="1"/>
    <d v="2024-11-01T00:00:00"/>
    <d v="2024-11-30T00:00:00"/>
    <x v="5"/>
    <n v="6"/>
    <n v="1"/>
    <n v="3"/>
    <n v="0"/>
    <n v="0"/>
    <n v="1"/>
    <n v="4"/>
    <n v="1"/>
    <n v="1"/>
    <n v="0"/>
    <n v="0"/>
    <n v="0"/>
    <n v="1"/>
    <n v="1"/>
    <n v="0"/>
    <n v="0"/>
    <n v="0"/>
    <n v="0"/>
    <n v="1"/>
    <n v="0"/>
    <n v="1"/>
    <n v="0"/>
    <n v="0"/>
    <n v="0"/>
    <n v="0"/>
    <m/>
  </r>
  <r>
    <n v="1137"/>
    <d v="2024-12-13T15:47:26"/>
    <d v="2024-12-13T15:52:36"/>
    <s v="dchirwa@lighthouse.org.mw"/>
    <s v="davis chirwa"/>
    <s v="Mitundu"/>
    <s v="Prototype"/>
    <x v="1"/>
    <x v="2"/>
    <s v="COP_24"/>
    <s v="Quarter4"/>
    <x v="0"/>
    <s v="Qtr_1"/>
    <x v="1"/>
    <d v="2024-11-01T00:00:00"/>
    <d v="2024-11-30T00:00:00"/>
    <x v="2"/>
    <n v="6"/>
    <n v="1"/>
    <n v="1"/>
    <n v="0"/>
    <n v="1"/>
    <n v="1"/>
    <n v="3"/>
    <n v="2"/>
    <n v="2"/>
    <n v="0"/>
    <n v="0"/>
    <n v="0"/>
    <n v="2"/>
    <n v="1"/>
    <n v="0"/>
    <n v="0"/>
    <n v="1"/>
    <n v="0"/>
    <n v="1"/>
    <n v="0"/>
    <n v="1"/>
    <n v="0"/>
    <n v="0"/>
    <n v="0"/>
    <n v="1"/>
    <m/>
  </r>
  <r>
    <n v="1284"/>
    <d v="2025-01-16T10:11:22"/>
    <d v="2025-01-16T10:18:08"/>
    <s v="dchirwa@lighthouse.org.mw"/>
    <s v="davis chirwa"/>
    <s v="Mitundu"/>
    <s v="Prototype"/>
    <x v="1"/>
    <x v="2"/>
    <s v="COP_24"/>
    <s v="Quarter4"/>
    <x v="0"/>
    <s v="Qtr_1"/>
    <x v="11"/>
    <d v="2024-12-01T00:00:00"/>
    <d v="2024-12-31T00:00:00"/>
    <x v="0"/>
    <n v="30"/>
    <n v="5"/>
    <n v="21"/>
    <n v="5"/>
    <n v="3"/>
    <n v="1"/>
    <n v="28"/>
    <n v="10"/>
    <n v="10"/>
    <n v="1"/>
    <n v="0"/>
    <n v="0"/>
    <n v="8"/>
    <n v="2"/>
    <n v="2"/>
    <n v="1"/>
    <n v="5"/>
    <n v="1"/>
    <n v="6"/>
    <n v="2"/>
    <n v="3"/>
    <n v="1"/>
    <n v="0"/>
    <n v="0"/>
    <n v="0"/>
    <m/>
  </r>
  <r>
    <n v="1285"/>
    <d v="2025-01-16T10:19:41"/>
    <d v="2025-01-16T10:24:25"/>
    <s v="dchirwa@lighthouse.org.mw"/>
    <s v="davis chirwa"/>
    <s v="Mitundu"/>
    <s v="Prototype"/>
    <x v="1"/>
    <x v="2"/>
    <s v="COP_24"/>
    <s v="Quarter4"/>
    <x v="0"/>
    <s v="Qtr_1"/>
    <x v="11"/>
    <d v="2024-12-01T00:00:00"/>
    <d v="2024-12-31T00:00:00"/>
    <x v="1"/>
    <n v="22"/>
    <n v="0"/>
    <n v="18"/>
    <n v="4"/>
    <n v="0"/>
    <n v="0"/>
    <n v="20"/>
    <n v="6"/>
    <n v="6"/>
    <n v="0"/>
    <n v="0"/>
    <n v="0"/>
    <n v="5"/>
    <n v="0"/>
    <n v="1"/>
    <n v="0"/>
    <n v="3"/>
    <n v="0"/>
    <n v="3"/>
    <n v="0"/>
    <n v="0"/>
    <n v="0"/>
    <n v="0"/>
    <n v="0"/>
    <n v="0"/>
    <m/>
  </r>
  <r>
    <n v="1286"/>
    <d v="2025-01-16T10:24:46"/>
    <d v="2025-01-16T10:28:59"/>
    <s v="dchirwa@lighthouse.org.mw"/>
    <s v="davis chirwa"/>
    <s v="Mitundu"/>
    <s v="Prototype"/>
    <x v="1"/>
    <x v="2"/>
    <s v="COP_24"/>
    <s v="Quarter4"/>
    <x v="0"/>
    <s v="Qtr_1"/>
    <x v="11"/>
    <d v="2024-12-01T00:00:00"/>
    <d v="2024-12-31T00:00:00"/>
    <x v="5"/>
    <n v="2"/>
    <n v="1"/>
    <n v="1"/>
    <n v="0"/>
    <n v="0"/>
    <n v="1"/>
    <n v="2"/>
    <n v="1"/>
    <n v="1"/>
    <n v="0"/>
    <n v="0"/>
    <n v="0"/>
    <n v="1"/>
    <n v="1"/>
    <n v="0"/>
    <n v="0"/>
    <n v="0"/>
    <n v="0"/>
    <n v="1"/>
    <n v="1"/>
    <n v="1"/>
    <n v="0"/>
    <n v="0"/>
    <n v="0"/>
    <n v="0"/>
    <m/>
  </r>
  <r>
    <n v="1287"/>
    <d v="2025-01-16T10:29:24"/>
    <d v="2025-01-16T10:33:42"/>
    <s v="dchirwa@lighthouse.org.mw"/>
    <s v="davis chirwa"/>
    <s v="Mitundu"/>
    <s v="Prototype"/>
    <x v="1"/>
    <x v="2"/>
    <s v="COP_24"/>
    <s v="Quarter4"/>
    <x v="0"/>
    <s v="Qtr_1"/>
    <x v="11"/>
    <d v="2024-12-01T00:00:00"/>
    <d v="2024-12-31T00:00:00"/>
    <x v="2"/>
    <n v="30"/>
    <n v="4"/>
    <n v="3"/>
    <n v="1"/>
    <n v="3"/>
    <n v="0"/>
    <n v="7"/>
    <n v="3"/>
    <n v="4"/>
    <n v="1"/>
    <n v="0"/>
    <n v="0"/>
    <n v="3"/>
    <n v="1"/>
    <n v="1"/>
    <n v="1"/>
    <n v="2"/>
    <n v="1"/>
    <n v="2"/>
    <n v="1"/>
    <n v="2"/>
    <n v="1"/>
    <n v="0"/>
    <n v="0"/>
    <n v="0"/>
    <m/>
  </r>
  <r>
    <n v="1288"/>
    <d v="2025-01-16T10:33:50"/>
    <d v="2025-01-16T10:35:27"/>
    <s v="dchirwa@lighthouse.org.mw"/>
    <s v="davis chirwa"/>
    <s v="Mitundu"/>
    <s v="Prototype"/>
    <x v="1"/>
    <x v="1"/>
    <s v="COP_24"/>
    <s v="Quarter4"/>
    <x v="0"/>
    <s v="Qtr_1"/>
    <x v="11"/>
    <d v="2024-12-01T00:00:00"/>
    <d v="2024-12-31T00:00:00"/>
    <x v="3"/>
    <n v="0"/>
    <n v="0"/>
    <n v="0"/>
    <n v="0"/>
    <n v="0"/>
    <n v="0"/>
    <n v="0"/>
    <n v="0"/>
    <n v="0"/>
    <n v="0"/>
    <n v="0"/>
    <n v="0"/>
    <n v="0"/>
    <n v="0"/>
    <n v="0"/>
    <n v="0"/>
    <n v="0"/>
    <n v="0"/>
    <n v="0"/>
    <n v="0"/>
    <n v="0"/>
    <n v="0"/>
    <n v="0"/>
    <n v="0"/>
    <n v="0"/>
    <m/>
  </r>
  <r>
    <n v="1290"/>
    <d v="2025-01-16T10:35:31"/>
    <d v="2025-01-16T10:36:56"/>
    <s v="dchirwa@lighthouse.org.mw"/>
    <s v="davis chirwa"/>
    <s v="Mitundu"/>
    <s v="Prototype"/>
    <x v="1"/>
    <x v="1"/>
    <s v="COP_24"/>
    <s v="Quarter4"/>
    <x v="0"/>
    <s v="Qtr_1"/>
    <x v="11"/>
    <d v="2024-12-01T00:00:00"/>
    <d v="2024-12-31T00:00:00"/>
    <x v="4"/>
    <n v="0"/>
    <n v="0"/>
    <n v="0"/>
    <n v="0"/>
    <n v="0"/>
    <n v="0"/>
    <n v="0"/>
    <n v="0"/>
    <n v="0"/>
    <n v="0"/>
    <n v="0"/>
    <n v="0"/>
    <n v="0"/>
    <n v="0"/>
    <n v="0"/>
    <n v="0"/>
    <n v="0"/>
    <n v="0"/>
    <n v="0"/>
    <n v="0"/>
    <n v="0"/>
    <n v="0"/>
    <n v="0"/>
    <n v="0"/>
    <n v="0"/>
    <m/>
  </r>
  <r>
    <n v="1291"/>
    <d v="2025-01-16T10:37:15"/>
    <d v="2025-01-16T10:39:55"/>
    <s v="dchirwa@lighthouse.org.mw"/>
    <s v="davis chirwa"/>
    <s v="Mitundu"/>
    <s v="Prototype"/>
    <x v="1"/>
    <x v="0"/>
    <s v="COP_24"/>
    <s v="Quarter4"/>
    <x v="0"/>
    <s v="Qtr_1"/>
    <x v="11"/>
    <d v="2024-12-01T00:00:00"/>
    <d v="2024-12-31T00:00:00"/>
    <x v="6"/>
    <n v="0"/>
    <n v="0"/>
    <n v="0"/>
    <n v="0"/>
    <n v="0"/>
    <n v="0"/>
    <n v="0"/>
    <n v="0"/>
    <n v="0"/>
    <n v="0"/>
    <n v="0"/>
    <n v="0"/>
    <n v="0"/>
    <n v="0"/>
    <n v="0"/>
    <n v="0"/>
    <n v="0"/>
    <n v="0"/>
    <n v="0"/>
    <n v="0"/>
    <n v="0"/>
    <n v="0"/>
    <n v="0"/>
    <n v="0"/>
    <n v="0"/>
    <m/>
  </r>
  <r>
    <n v="1412"/>
    <d v="2025-03-12T10:12:08"/>
    <d v="2025-03-12T10:12:26"/>
    <s v="dchirwa@lighthouse.org.mw"/>
    <s v="davis chirwa"/>
    <s v="Mitundu"/>
    <s v="Prototype"/>
    <x v="2"/>
    <x v="0"/>
    <s v="COP_24"/>
    <s v="Quarter1"/>
    <x v="2"/>
    <s v="Qtr_2"/>
    <x v="4"/>
    <d v="2025-01-01T00:00:00"/>
    <d v="2025-01-31T00:00:00"/>
    <x v="0"/>
    <n v="31"/>
    <n v="5"/>
    <n v="23"/>
    <n v="2"/>
    <n v="2"/>
    <n v="4"/>
    <n v="27"/>
    <n v="6"/>
    <n v="5"/>
    <n v="1"/>
    <n v="0"/>
    <n v="0"/>
    <n v="7"/>
    <n v="2"/>
    <n v="0"/>
    <n v="0"/>
    <n v="5"/>
    <n v="1"/>
    <n v="2"/>
    <n v="0"/>
    <n v="2"/>
    <n v="1"/>
    <n v="0"/>
    <n v="0"/>
    <n v="4"/>
    <m/>
  </r>
  <r>
    <n v="1413"/>
    <d v="2025-03-12T10:12:44"/>
    <d v="2025-03-12T10:20:08"/>
    <s v="dchirwa@lighthouse.org.mw"/>
    <s v="davis chirwa"/>
    <s v="Mitundu"/>
    <s v="Prototype"/>
    <x v="2"/>
    <x v="0"/>
    <s v="COP_24"/>
    <s v="Quarter1"/>
    <x v="2"/>
    <s v="Qtr_2"/>
    <x v="4"/>
    <d v="2025-01-01T00:00:00"/>
    <d v="2025-01-31T00:00:00"/>
    <x v="1"/>
    <n v="27"/>
    <n v="3"/>
    <n v="21"/>
    <n v="1"/>
    <n v="2"/>
    <n v="3"/>
    <n v="23"/>
    <n v="5"/>
    <n v="5"/>
    <n v="1"/>
    <n v="0"/>
    <n v="0"/>
    <n v="6"/>
    <n v="1"/>
    <n v="0"/>
    <n v="0"/>
    <n v="3"/>
    <n v="1"/>
    <n v="1"/>
    <n v="0"/>
    <n v="1"/>
    <n v="1"/>
    <n v="0"/>
    <n v="0"/>
    <n v="3"/>
    <m/>
  </r>
  <r>
    <n v="1414"/>
    <d v="2025-03-12T10:20:16"/>
    <d v="2025-03-12T10:36:19"/>
    <s v="dchirwa@lighthouse.org.mw"/>
    <s v="davis chirwa"/>
    <s v="Mitundu"/>
    <s v="Prototype"/>
    <x v="2"/>
    <x v="0"/>
    <s v="COP_24"/>
    <s v="Quarter1"/>
    <x v="2"/>
    <s v="Qtr_2"/>
    <x v="4"/>
    <d v="2025-01-01T00:00:00"/>
    <d v="2025-01-31T00:00:00"/>
    <x v="3"/>
    <n v="1"/>
    <n v="1"/>
    <n v="1"/>
    <n v="0"/>
    <n v="0"/>
    <n v="0"/>
    <n v="0"/>
    <n v="0"/>
    <n v="0"/>
    <n v="0"/>
    <n v="0"/>
    <n v="0"/>
    <n v="0"/>
    <n v="0"/>
    <n v="0"/>
    <n v="0"/>
    <n v="1"/>
    <n v="0"/>
    <n v="0"/>
    <n v="0"/>
    <n v="0"/>
    <n v="0"/>
    <n v="0"/>
    <n v="0"/>
    <n v="1"/>
    <m/>
  </r>
  <r>
    <n v="1415"/>
    <d v="2025-03-12T10:36:33"/>
    <d v="2025-03-12T10:42:16"/>
    <s v="dchirwa@lighthouse.org.mw"/>
    <s v="davis chirwa"/>
    <s v="Mitundu"/>
    <s v="Prototype"/>
    <x v="2"/>
    <x v="0"/>
    <s v="COP_24"/>
    <s v="Quarter1"/>
    <x v="2"/>
    <s v="Qtr_2"/>
    <x v="4"/>
    <d v="2025-01-01T00:00:00"/>
    <d v="2025-01-31T00:00:00"/>
    <x v="2"/>
    <n v="3"/>
    <n v="2"/>
    <n v="1"/>
    <n v="1"/>
    <n v="0"/>
    <n v="1"/>
    <n v="3"/>
    <n v="1"/>
    <n v="0"/>
    <n v="0"/>
    <n v="0"/>
    <n v="0"/>
    <n v="1"/>
    <n v="1"/>
    <n v="0"/>
    <n v="0"/>
    <n v="2"/>
    <n v="0"/>
    <n v="1"/>
    <n v="0"/>
    <n v="1"/>
    <n v="0"/>
    <n v="0"/>
    <n v="0"/>
    <n v="1"/>
    <m/>
  </r>
  <r>
    <n v="1416"/>
    <d v="2025-03-12T10:42:40"/>
    <d v="2025-03-12T10:52:50"/>
    <s v="dchirwa@lighthouse.org.mw"/>
    <s v="davis chirwa"/>
    <s v="Mitundu"/>
    <s v="Prototype"/>
    <x v="2"/>
    <x v="0"/>
    <s v="COP_24"/>
    <s v="Quarter1"/>
    <x v="2"/>
    <s v="Qtr_2"/>
    <x v="4"/>
    <d v="2025-01-01T00:00:00"/>
    <d v="2025-01-31T00:00:00"/>
    <x v="4"/>
    <n v="0"/>
    <n v="0"/>
    <n v="0"/>
    <n v="0"/>
    <n v="0"/>
    <n v="0"/>
    <n v="0"/>
    <n v="0"/>
    <n v="0"/>
    <n v="0"/>
    <n v="0"/>
    <n v="0"/>
    <n v="0"/>
    <n v="0"/>
    <n v="0"/>
    <n v="0"/>
    <n v="0"/>
    <n v="0"/>
    <n v="0"/>
    <n v="0"/>
    <n v="0"/>
    <n v="0"/>
    <n v="0"/>
    <n v="0"/>
    <n v="0"/>
    <m/>
  </r>
  <r>
    <n v="1417"/>
    <d v="2025-03-12T10:53:01"/>
    <d v="2025-03-12T10:57:37"/>
    <s v="dchirwa@lighthouse.org.mw"/>
    <s v="davis chirwa"/>
    <s v="Mitundu"/>
    <s v="Prototype"/>
    <x v="2"/>
    <x v="0"/>
    <s v="COP_24"/>
    <s v="Quarter1"/>
    <x v="2"/>
    <s v="Qtr_2"/>
    <x v="4"/>
    <d v="2025-01-01T00:00:00"/>
    <d v="2025-01-31T00:00:00"/>
    <x v="5"/>
    <n v="0"/>
    <n v="0"/>
    <n v="0"/>
    <n v="0"/>
    <n v="0"/>
    <n v="0"/>
    <n v="0"/>
    <n v="0"/>
    <n v="0"/>
    <n v="0"/>
    <n v="0"/>
    <n v="0"/>
    <n v="0"/>
    <n v="0"/>
    <n v="0"/>
    <n v="0"/>
    <n v="0"/>
    <n v="0"/>
    <n v="0"/>
    <n v="0"/>
    <n v="0"/>
    <n v="0"/>
    <n v="0"/>
    <n v="0"/>
    <n v="0"/>
    <m/>
  </r>
  <r>
    <n v="1418"/>
    <d v="2025-03-12T10:58:06"/>
    <d v="2025-03-12T11:00:56"/>
    <s v="dchirwa@lighthouse.org.mw"/>
    <s v="davis chirwa"/>
    <s v="Mitundu"/>
    <s v="Prototype"/>
    <x v="2"/>
    <x v="0"/>
    <s v="COP_24"/>
    <s v="Quarter1"/>
    <x v="2"/>
    <s v="Qtr_2"/>
    <x v="4"/>
    <d v="2025-01-01T00:00:00"/>
    <d v="2025-01-31T00:00:00"/>
    <x v="6"/>
    <n v="0"/>
    <n v="0"/>
    <n v="0"/>
    <n v="0"/>
    <n v="0"/>
    <n v="0"/>
    <n v="0"/>
    <n v="0"/>
    <n v="0"/>
    <n v="0"/>
    <n v="0"/>
    <n v="0"/>
    <n v="0"/>
    <n v="0"/>
    <n v="0"/>
    <n v="0"/>
    <n v="0"/>
    <n v="0"/>
    <n v="0"/>
    <n v="0"/>
    <n v="0"/>
    <n v="0"/>
    <n v="0"/>
    <n v="0"/>
    <n v="0"/>
    <m/>
  </r>
  <r>
    <n v="1419"/>
    <d v="2025-03-13T10:04:55"/>
    <d v="2025-03-13T10:11:18"/>
    <s v="dchirwa@lighthouse.org.mw"/>
    <s v="davis chirwa"/>
    <s v="Mitundu"/>
    <s v="Prototype"/>
    <x v="2"/>
    <x v="0"/>
    <s v="COP_24"/>
    <s v="Quarter1"/>
    <x v="2"/>
    <s v="Qtr_2"/>
    <x v="5"/>
    <d v="2025-02-01T00:00:00"/>
    <d v="2025-02-28T00:00:00"/>
    <x v="0"/>
    <n v="4"/>
    <n v="3"/>
    <n v="2"/>
    <n v="1"/>
    <n v="1"/>
    <n v="0"/>
    <n v="3"/>
    <n v="1"/>
    <n v="1"/>
    <n v="0"/>
    <n v="0"/>
    <n v="0"/>
    <n v="0"/>
    <n v="0"/>
    <n v="1"/>
    <n v="1"/>
    <n v="1"/>
    <n v="1"/>
    <n v="1"/>
    <n v="0"/>
    <n v="1"/>
    <n v="0"/>
    <n v="0"/>
    <n v="0"/>
    <n v="0"/>
    <m/>
  </r>
  <r>
    <n v="1420"/>
    <d v="2025-03-13T10:11:36"/>
    <d v="2025-03-13T10:22:22"/>
    <s v="dchirwa@lighthouse.org.mw"/>
    <s v="davis chirwa"/>
    <s v="Mitundu"/>
    <s v="Prototype"/>
    <x v="2"/>
    <x v="0"/>
    <s v="COP_24"/>
    <s v="Quarter1"/>
    <x v="2"/>
    <s v="Qtr_2"/>
    <x v="5"/>
    <d v="2025-02-01T00:00:00"/>
    <d v="2025-02-28T00:00:00"/>
    <x v="1"/>
    <n v="4"/>
    <n v="3"/>
    <n v="2"/>
    <n v="1"/>
    <n v="1"/>
    <n v="0"/>
    <n v="3"/>
    <n v="1"/>
    <n v="1"/>
    <n v="0"/>
    <n v="0"/>
    <n v="0"/>
    <n v="0"/>
    <n v="0"/>
    <n v="1"/>
    <n v="1"/>
    <n v="1"/>
    <n v="1"/>
    <n v="1"/>
    <n v="0"/>
    <n v="1"/>
    <n v="0"/>
    <n v="0"/>
    <n v="0"/>
    <n v="0"/>
    <m/>
  </r>
  <r>
    <n v="1421"/>
    <d v="2025-03-13T10:22:32"/>
    <d v="2025-03-13T10:26:04"/>
    <s v="dchirwa@lighthouse.org.mw"/>
    <s v="davis chirwa"/>
    <s v="Mitundu"/>
    <s v="Prototype"/>
    <x v="2"/>
    <x v="0"/>
    <s v="COP_24"/>
    <s v="Quarter1"/>
    <x v="2"/>
    <s v="Qtr_2"/>
    <x v="5"/>
    <d v="2025-02-01T00:00:00"/>
    <d v="2025-02-28T00:00:00"/>
    <x v="3"/>
    <n v="0"/>
    <n v="0"/>
    <n v="0"/>
    <n v="0"/>
    <n v="0"/>
    <n v="0"/>
    <n v="0"/>
    <n v="0"/>
    <n v="0"/>
    <n v="0"/>
    <n v="0"/>
    <n v="0"/>
    <n v="0"/>
    <n v="0"/>
    <n v="0"/>
    <n v="0"/>
    <n v="0"/>
    <n v="0"/>
    <n v="0"/>
    <n v="0"/>
    <n v="0"/>
    <n v="0"/>
    <n v="0"/>
    <n v="0"/>
    <n v="0"/>
    <m/>
  </r>
  <r>
    <n v="1422"/>
    <d v="2025-03-13T10:26:17"/>
    <d v="2025-03-13T10:28:25"/>
    <s v="dchirwa@lighthouse.org.mw"/>
    <s v="davis chirwa"/>
    <s v="Mitundu"/>
    <s v="Prototype"/>
    <x v="2"/>
    <x v="0"/>
    <s v="COP_24"/>
    <s v="Quarter1"/>
    <x v="2"/>
    <s v="Qtr_2"/>
    <x v="5"/>
    <d v="2025-02-01T00:00:00"/>
    <d v="2025-02-28T00:00:00"/>
    <x v="4"/>
    <n v="0"/>
    <n v="0"/>
    <n v="0"/>
    <n v="0"/>
    <n v="0"/>
    <n v="0"/>
    <n v="0"/>
    <n v="0"/>
    <n v="0"/>
    <n v="0"/>
    <n v="0"/>
    <n v="0"/>
    <n v="0"/>
    <n v="0"/>
    <n v="0"/>
    <n v="0"/>
    <n v="0"/>
    <n v="0"/>
    <n v="0"/>
    <n v="0"/>
    <n v="0"/>
    <n v="0"/>
    <n v="0"/>
    <n v="0"/>
    <n v="0"/>
    <m/>
  </r>
  <r>
    <n v="1423"/>
    <d v="2025-03-13T10:29:07"/>
    <d v="2025-03-13T10:32:34"/>
    <s v="dchirwa@lighthouse.org.mw"/>
    <s v="davis chirwa"/>
    <s v="Mitundu"/>
    <s v="Prototype"/>
    <x v="2"/>
    <x v="0"/>
    <s v="COP_24"/>
    <s v="Quarter1"/>
    <x v="2"/>
    <s v="Qtr_2"/>
    <x v="5"/>
    <d v="2025-02-01T00:00:00"/>
    <d v="2025-02-28T00:00:00"/>
    <x v="5"/>
    <n v="0"/>
    <n v="0"/>
    <n v="0"/>
    <n v="0"/>
    <n v="0"/>
    <n v="0"/>
    <n v="0"/>
    <n v="0"/>
    <n v="0"/>
    <n v="0"/>
    <n v="0"/>
    <n v="0"/>
    <n v="0"/>
    <n v="0"/>
    <n v="0"/>
    <n v="0"/>
    <n v="0"/>
    <n v="0"/>
    <n v="0"/>
    <n v="0"/>
    <n v="0"/>
    <n v="0"/>
    <n v="0"/>
    <n v="0"/>
    <n v="0"/>
    <m/>
  </r>
  <r>
    <n v="1424"/>
    <d v="2025-03-13T10:36:00"/>
    <d v="2025-03-13T10:38:25"/>
    <s v="dchirwa@lighthouse.org.mw"/>
    <s v="davis chirwa"/>
    <s v="Mitundu"/>
    <s v="Prototype"/>
    <x v="2"/>
    <x v="0"/>
    <s v="COP_24"/>
    <s v="Quarter1"/>
    <x v="2"/>
    <s v="Qtr_2"/>
    <x v="5"/>
    <d v="2025-02-01T00:00:00"/>
    <d v="2025-02-28T00:00:00"/>
    <x v="2"/>
    <n v="0"/>
    <n v="0"/>
    <n v="0"/>
    <n v="0"/>
    <n v="0"/>
    <n v="0"/>
    <n v="0"/>
    <n v="0"/>
    <n v="0"/>
    <n v="0"/>
    <n v="0"/>
    <n v="0"/>
    <n v="0"/>
    <n v="0"/>
    <n v="0"/>
    <n v="0"/>
    <n v="0"/>
    <n v="0"/>
    <n v="0"/>
    <n v="0"/>
    <n v="0"/>
    <n v="0"/>
    <n v="0"/>
    <n v="0"/>
    <n v="0"/>
    <m/>
  </r>
  <r>
    <n v="1425"/>
    <d v="2025-03-13T10:38:31"/>
    <d v="2025-03-13T10:40:44"/>
    <s v="dchirwa@lighthouse.org.mw"/>
    <s v="davis chirwa"/>
    <s v="Mitundu"/>
    <s v="Prototype"/>
    <x v="2"/>
    <x v="0"/>
    <s v="COP_24"/>
    <s v="Quarter1"/>
    <x v="2"/>
    <s v="Qtr_2"/>
    <x v="5"/>
    <d v="2025-02-01T00:00:00"/>
    <d v="2025-02-28T00:00:00"/>
    <x v="6"/>
    <n v="0"/>
    <n v="0"/>
    <n v="0"/>
    <n v="0"/>
    <n v="0"/>
    <n v="0"/>
    <n v="0"/>
    <n v="0"/>
    <n v="0"/>
    <n v="0"/>
    <n v="0"/>
    <n v="0"/>
    <n v="0"/>
    <n v="0"/>
    <n v="0"/>
    <n v="0"/>
    <n v="0"/>
    <n v="0"/>
    <n v="0"/>
    <n v="0"/>
    <n v="0"/>
    <n v="0"/>
    <n v="0"/>
    <n v="0"/>
    <n v="0"/>
    <m/>
  </r>
  <r>
    <n v="1527"/>
    <d v="2025-04-10T16:52:51"/>
    <d v="2025-04-10T16:59:41"/>
    <s v="jkenneth@lighthouse.org.mw"/>
    <s v="Joseph Kenneth"/>
    <s v="Mitundu"/>
    <s v="Prototype"/>
    <x v="2"/>
    <x v="0"/>
    <s v="COP_24"/>
    <s v="Quarter1"/>
    <x v="2"/>
    <s v="Qtr_2"/>
    <x v="3"/>
    <d v="2025-03-01T00:00:00"/>
    <d v="2025-03-31T00:00:00"/>
    <x v="5"/>
    <n v="3"/>
    <n v="0"/>
    <n v="1"/>
    <n v="2"/>
    <n v="0"/>
    <n v="0"/>
    <n v="3"/>
    <n v="0"/>
    <n v="0"/>
    <n v="0"/>
    <n v="0"/>
    <n v="0"/>
    <n v="0"/>
    <n v="0"/>
    <n v="0"/>
    <n v="0"/>
    <n v="0"/>
    <n v="0"/>
    <n v="0"/>
    <n v="0"/>
    <n v="0"/>
    <n v="0"/>
    <n v="0"/>
    <n v="0"/>
    <n v="0"/>
    <m/>
  </r>
  <r>
    <n v="1528"/>
    <d v="2025-04-10T16:59:58"/>
    <d v="2025-04-10T17:03:14"/>
    <s v="jkenneth@lighthouse.org.mw"/>
    <s v="Joseph Kenneth"/>
    <s v="Mitundu"/>
    <s v="Prototype"/>
    <x v="2"/>
    <x v="0"/>
    <s v="COP_24"/>
    <s v="Quarter1"/>
    <x v="2"/>
    <s v="Qtr_2"/>
    <x v="3"/>
    <d v="2025-03-01T00:00:00"/>
    <d v="2025-03-31T00:00:00"/>
    <x v="2"/>
    <n v="1"/>
    <n v="1"/>
    <n v="0"/>
    <n v="0"/>
    <n v="0"/>
    <n v="1"/>
    <n v="1"/>
    <n v="1"/>
    <n v="1"/>
    <n v="0"/>
    <n v="0"/>
    <n v="0"/>
    <n v="1"/>
    <n v="1"/>
    <n v="1"/>
    <n v="1"/>
    <n v="0"/>
    <n v="0"/>
    <n v="0"/>
    <n v="0"/>
    <n v="1"/>
    <n v="0"/>
    <n v="0"/>
    <n v="0"/>
    <n v="0"/>
    <m/>
  </r>
  <r>
    <n v="1529"/>
    <d v="2025-04-10T17:07:24"/>
    <d v="2025-04-10T17:12:38"/>
    <s v="jkenneth@lighthouse.org.mw"/>
    <s v="Joseph Kenneth"/>
    <s v="Mitundu"/>
    <s v="Prototype"/>
    <x v="2"/>
    <x v="0"/>
    <s v="COP_24"/>
    <s v="Quarter1"/>
    <x v="2"/>
    <s v="Qtr_2"/>
    <x v="3"/>
    <d v="2025-03-01T00:00:00"/>
    <d v="2025-03-31T00:00:00"/>
    <x v="1"/>
    <n v="25"/>
    <n v="4"/>
    <n v="16"/>
    <n v="2"/>
    <n v="4"/>
    <n v="3"/>
    <n v="21"/>
    <n v="10"/>
    <n v="10"/>
    <n v="0"/>
    <n v="0"/>
    <n v="0"/>
    <n v="10"/>
    <n v="1"/>
    <n v="2"/>
    <n v="0"/>
    <n v="10"/>
    <n v="0"/>
    <n v="7"/>
    <n v="1"/>
    <n v="1"/>
    <n v="0"/>
    <n v="0"/>
    <n v="0"/>
    <n v="4"/>
    <m/>
  </r>
  <r>
    <n v="1530"/>
    <d v="2025-04-10T17:12:56"/>
    <d v="2025-04-10T17:17:35"/>
    <s v="jkenneth@lighthouse.org.mw"/>
    <s v="Joseph Kenneth"/>
    <s v="Mitundu"/>
    <s v="Prototype"/>
    <x v="2"/>
    <x v="0"/>
    <s v="COP_24"/>
    <s v="Quarter1"/>
    <x v="2"/>
    <s v="Qtr_2"/>
    <x v="3"/>
    <d v="2025-03-01T00:00:00"/>
    <d v="2025-03-31T00:00:00"/>
    <x v="0"/>
    <n v="29"/>
    <n v="5"/>
    <n v="17"/>
    <n v="4"/>
    <n v="4"/>
    <n v="4"/>
    <n v="25"/>
    <n v="11"/>
    <n v="11"/>
    <n v="0"/>
    <n v="0"/>
    <n v="0"/>
    <n v="11"/>
    <n v="2"/>
    <n v="3"/>
    <n v="1"/>
    <n v="10"/>
    <n v="0"/>
    <n v="7"/>
    <n v="1"/>
    <n v="2"/>
    <n v="0"/>
    <n v="0"/>
    <n v="0"/>
    <n v="4"/>
    <m/>
  </r>
  <r>
    <n v="1532"/>
    <d v="2025-04-14T15:34:12"/>
    <d v="2025-04-14T15:35:40"/>
    <s v="jkenneth@lighthouse.org.mw"/>
    <s v="Joseph Kenneth"/>
    <s v="Mitundu"/>
    <s v="Prototype"/>
    <x v="2"/>
    <x v="0"/>
    <s v="COP_24"/>
    <s v="Quarter1"/>
    <x v="2"/>
    <s v="Qtr_2"/>
    <x v="3"/>
    <d v="2025-03-01T00:00:00"/>
    <d v="2025-03-31T00:00:00"/>
    <x v="6"/>
    <n v="0"/>
    <n v="0"/>
    <n v="0"/>
    <n v="0"/>
    <n v="0"/>
    <n v="0"/>
    <n v="0"/>
    <n v="0"/>
    <n v="0"/>
    <n v="0"/>
    <n v="0"/>
    <n v="0"/>
    <n v="0"/>
    <n v="0"/>
    <n v="0"/>
    <n v="0"/>
    <n v="0"/>
    <n v="0"/>
    <n v="0"/>
    <n v="0"/>
    <n v="0"/>
    <n v="0"/>
    <n v="0"/>
    <n v="0"/>
    <n v="0"/>
    <m/>
  </r>
  <r>
    <n v="1533"/>
    <d v="2025-04-14T15:35:43"/>
    <d v="2025-04-14T15:37:13"/>
    <s v="jkenneth@lighthouse.org.mw"/>
    <s v="Joseph Kenneth"/>
    <s v="Mitundu"/>
    <s v="Prototype"/>
    <x v="2"/>
    <x v="0"/>
    <s v="COP_24"/>
    <s v="Quarter1"/>
    <x v="2"/>
    <s v="Qtr_2"/>
    <x v="3"/>
    <d v="2025-03-01T00:00:00"/>
    <d v="2025-03-31T00:00:00"/>
    <x v="3"/>
    <n v="0"/>
    <n v="0"/>
    <n v="0"/>
    <n v="0"/>
    <n v="0"/>
    <n v="0"/>
    <n v="0"/>
    <n v="0"/>
    <n v="0"/>
    <n v="0"/>
    <n v="0"/>
    <n v="0"/>
    <n v="0"/>
    <n v="0"/>
    <n v="0"/>
    <n v="0"/>
    <n v="0"/>
    <n v="0"/>
    <n v="0"/>
    <n v="0"/>
    <n v="0"/>
    <n v="0"/>
    <n v="0"/>
    <n v="0"/>
    <n v="0"/>
    <m/>
  </r>
  <r>
    <n v="1534"/>
    <d v="2025-04-14T15:37:15"/>
    <d v="2025-04-14T15:38:43"/>
    <s v="jkenneth@lighthouse.org.mw"/>
    <s v="Joseph Kenneth"/>
    <s v="Mitundu"/>
    <s v="Prototype"/>
    <x v="2"/>
    <x v="0"/>
    <s v="COP_24"/>
    <s v="Quarter1"/>
    <x v="2"/>
    <s v="Qtr_2"/>
    <x v="3"/>
    <d v="2025-03-01T00:00:00"/>
    <d v="2025-03-31T00:00:00"/>
    <x v="4"/>
    <n v="0"/>
    <n v="0"/>
    <n v="0"/>
    <n v="0"/>
    <n v="0"/>
    <n v="0"/>
    <n v="0"/>
    <n v="0"/>
    <n v="0"/>
    <n v="0"/>
    <n v="0"/>
    <n v="0"/>
    <n v="0"/>
    <n v="0"/>
    <n v="0"/>
    <n v="0"/>
    <n v="0"/>
    <n v="0"/>
    <n v="0"/>
    <n v="0"/>
    <n v="0"/>
    <n v="0"/>
    <n v="0"/>
    <n v="0"/>
    <n v="0"/>
    <m/>
  </r>
  <r>
    <n v="1654"/>
    <d v="2025-06-10T07:44:21"/>
    <d v="2025-06-10T07:50:15"/>
    <s v="jkenneth@lighthouse.org.mw"/>
    <s v="Joseph Kenneth"/>
    <s v="Mitundu"/>
    <s v="Prototype"/>
    <x v="2"/>
    <x v="0"/>
    <m/>
    <s v="Quarter3"/>
    <x v="3"/>
    <m/>
    <x v="7"/>
    <d v="2025-04-01T00:00:00"/>
    <d v="2025-04-30T00:00:00"/>
    <x v="0"/>
    <n v="22"/>
    <n v="6"/>
    <n v="11"/>
    <n v="3"/>
    <n v="2"/>
    <n v="6"/>
    <n v="22"/>
    <n v="9"/>
    <n v="9"/>
    <n v="0"/>
    <n v="0"/>
    <n v="0"/>
    <n v="9"/>
    <n v="5"/>
    <n v="0"/>
    <n v="0"/>
    <n v="3"/>
    <n v="1"/>
    <n v="4"/>
    <n v="1"/>
    <n v="5"/>
    <n v="0"/>
    <n v="0"/>
    <n v="0"/>
    <n v="2"/>
    <m/>
  </r>
  <r>
    <n v="1655"/>
    <d v="2025-06-10T07:51:34"/>
    <d v="2025-06-10T07:54:59"/>
    <s v="jkenneth@lighthouse.org.mw"/>
    <s v="Joseph Kenneth"/>
    <s v="Mitundu"/>
    <s v="Prototype"/>
    <x v="2"/>
    <x v="0"/>
    <m/>
    <s v="Quarter3"/>
    <x v="3"/>
    <m/>
    <x v="7"/>
    <d v="2025-04-01T00:00:00"/>
    <d v="2025-04-30T00:00:00"/>
    <x v="4"/>
    <n v="1"/>
    <n v="1"/>
    <n v="0"/>
    <n v="0"/>
    <n v="0"/>
    <n v="1"/>
    <n v="1"/>
    <n v="0"/>
    <n v="0"/>
    <n v="0"/>
    <n v="0"/>
    <n v="0"/>
    <n v="0"/>
    <n v="0"/>
    <n v="0"/>
    <n v="0"/>
    <n v="0"/>
    <n v="0"/>
    <n v="0"/>
    <n v="0"/>
    <n v="0"/>
    <n v="0"/>
    <n v="0"/>
    <n v="0"/>
    <n v="1"/>
    <m/>
  </r>
  <r>
    <n v="1656"/>
    <d v="2025-06-10T07:55:06"/>
    <d v="2025-06-10T08:01:04"/>
    <s v="jkenneth@lighthouse.org.mw"/>
    <s v="Joseph Kenneth"/>
    <s v="Mitundu"/>
    <s v="Prototype"/>
    <x v="2"/>
    <x v="0"/>
    <m/>
    <s v="Quarter3"/>
    <x v="3"/>
    <m/>
    <x v="7"/>
    <d v="2025-04-01T00:00:00"/>
    <d v="2025-04-30T00:00:00"/>
    <x v="1"/>
    <n v="17"/>
    <n v="1"/>
    <n v="11"/>
    <n v="3"/>
    <n v="1"/>
    <n v="2"/>
    <n v="17"/>
    <n v="4"/>
    <n v="2"/>
    <n v="0"/>
    <n v="1"/>
    <n v="0"/>
    <n v="4"/>
    <n v="1"/>
    <n v="0"/>
    <n v="0"/>
    <n v="2"/>
    <n v="1"/>
    <n v="2"/>
    <n v="0"/>
    <n v="1"/>
    <n v="0"/>
    <n v="0"/>
    <n v="0"/>
    <n v="0"/>
    <m/>
  </r>
  <r>
    <n v="1657"/>
    <d v="2025-06-10T08:01:11"/>
    <d v="2025-06-10T08:07:32"/>
    <s v="jkenneth@lighthouse.org.mw"/>
    <s v="Joseph Kenneth"/>
    <s v="Mitundu"/>
    <s v="Prototype"/>
    <x v="2"/>
    <x v="0"/>
    <m/>
    <s v="Quarter3"/>
    <x v="3"/>
    <m/>
    <x v="7"/>
    <d v="2025-04-01T00:00:00"/>
    <d v="2025-04-30T00:00:00"/>
    <x v="2"/>
    <n v="5"/>
    <n v="4"/>
    <n v="0"/>
    <n v="0"/>
    <n v="1"/>
    <n v="4"/>
    <n v="5"/>
    <n v="5"/>
    <n v="5"/>
    <n v="0"/>
    <n v="0"/>
    <n v="0"/>
    <n v="5"/>
    <n v="4"/>
    <n v="0"/>
    <n v="0"/>
    <n v="3"/>
    <n v="2"/>
    <n v="2"/>
    <n v="1"/>
    <n v="4"/>
    <n v="0"/>
    <n v="0"/>
    <n v="0"/>
    <n v="1"/>
    <m/>
  </r>
  <r>
    <n v="1658"/>
    <d v="2025-06-10T08:07:40"/>
    <d v="2025-06-10T08:09:55"/>
    <s v="jkenneth@lighthouse.org.mw"/>
    <s v="Joseph Kenneth"/>
    <s v="Mitundu"/>
    <s v="Prototype"/>
    <x v="2"/>
    <x v="0"/>
    <m/>
    <s v="Quarter3"/>
    <x v="3"/>
    <m/>
    <x v="7"/>
    <d v="2025-04-01T00:00:00"/>
    <d v="2025-04-30T00:00:00"/>
    <x v="5"/>
    <n v="0"/>
    <n v="0"/>
    <n v="0"/>
    <n v="0"/>
    <n v="0"/>
    <n v="0"/>
    <n v="0"/>
    <n v="0"/>
    <n v="0"/>
    <n v="0"/>
    <n v="0"/>
    <n v="0"/>
    <n v="0"/>
    <n v="0"/>
    <n v="0"/>
    <n v="0"/>
    <n v="0"/>
    <n v="0"/>
    <n v="0"/>
    <n v="0"/>
    <n v="0"/>
    <n v="0"/>
    <n v="0"/>
    <n v="0"/>
    <n v="0"/>
    <m/>
  </r>
  <r>
    <n v="1659"/>
    <d v="2025-06-10T08:11:07"/>
    <d v="2025-06-10T08:12:28"/>
    <s v="jkenneth@lighthouse.org.mw"/>
    <s v="Joseph Kenneth"/>
    <s v="Mitundu"/>
    <s v="Prototype"/>
    <x v="2"/>
    <x v="0"/>
    <m/>
    <s v="Quarter3"/>
    <x v="3"/>
    <m/>
    <x v="7"/>
    <d v="2025-04-01T00:00:00"/>
    <d v="2025-04-30T00:00:00"/>
    <x v="3"/>
    <n v="0"/>
    <n v="0"/>
    <n v="0"/>
    <n v="0"/>
    <n v="0"/>
    <n v="0"/>
    <n v="0"/>
    <n v="0"/>
    <n v="0"/>
    <n v="0"/>
    <n v="0"/>
    <n v="0"/>
    <n v="0"/>
    <n v="0"/>
    <n v="0"/>
    <n v="0"/>
    <n v="0"/>
    <n v="0"/>
    <n v="0"/>
    <n v="0"/>
    <n v="0"/>
    <n v="0"/>
    <n v="0"/>
    <n v="0"/>
    <n v="0"/>
    <m/>
  </r>
  <r>
    <n v="1660"/>
    <d v="2025-06-10T08:12:41"/>
    <d v="2025-06-10T08:16:52"/>
    <s v="jkenneth@lighthouse.org.mw"/>
    <s v="Joseph Kenneth"/>
    <s v="Mitundu"/>
    <s v="Prototype"/>
    <x v="2"/>
    <x v="0"/>
    <m/>
    <s v="Quarter3"/>
    <x v="3"/>
    <m/>
    <x v="6"/>
    <d v="2025-05-01T00:00:00"/>
    <d v="2025-05-31T00:00:00"/>
    <x v="0"/>
    <n v="34"/>
    <n v="9"/>
    <n v="20"/>
    <n v="3"/>
    <n v="4"/>
    <n v="7"/>
    <n v="34"/>
    <n v="10"/>
    <n v="10"/>
    <n v="1"/>
    <n v="0"/>
    <n v="0"/>
    <n v="7"/>
    <n v="7"/>
    <n v="2"/>
    <n v="0"/>
    <n v="6"/>
    <n v="4"/>
    <n v="5"/>
    <n v="2"/>
    <n v="8"/>
    <n v="0"/>
    <n v="0"/>
    <n v="0"/>
    <n v="1"/>
    <m/>
  </r>
  <r>
    <n v="1661"/>
    <d v="2025-06-10T08:16:57"/>
    <d v="2025-06-10T08:22:45"/>
    <s v="jkenneth@lighthouse.org.mw"/>
    <s v="Joseph Kenneth"/>
    <s v="Mitundu"/>
    <s v="Prototype"/>
    <x v="2"/>
    <x v="0"/>
    <m/>
    <s v="Quarter2"/>
    <x v="3"/>
    <m/>
    <x v="6"/>
    <d v="2025-05-01T00:00:00"/>
    <d v="2025-05-31T00:00:00"/>
    <x v="1"/>
    <n v="30"/>
    <n v="5"/>
    <n v="20"/>
    <n v="3"/>
    <n v="4"/>
    <n v="3"/>
    <n v="29"/>
    <n v="7"/>
    <n v="6"/>
    <n v="1"/>
    <n v="0"/>
    <n v="0"/>
    <n v="6"/>
    <n v="4"/>
    <n v="2"/>
    <n v="0"/>
    <n v="3"/>
    <n v="2"/>
    <n v="4"/>
    <n v="1"/>
    <n v="5"/>
    <n v="0"/>
    <n v="0"/>
    <n v="0"/>
    <n v="1"/>
    <m/>
  </r>
  <r>
    <n v="1662"/>
    <d v="2025-06-10T08:22:56"/>
    <d v="2025-06-10T08:27:40"/>
    <s v="jkenneth@lighthouse.org.mw"/>
    <s v="Joseph Kenneth"/>
    <s v="Mitundu"/>
    <s v="Prototype"/>
    <x v="2"/>
    <x v="0"/>
    <m/>
    <s v="Quarter2"/>
    <x v="3"/>
    <m/>
    <x v="6"/>
    <d v="2025-05-01T00:00:00"/>
    <d v="2025-05-31T00:00:00"/>
    <x v="2"/>
    <n v="3"/>
    <n v="3"/>
    <n v="0"/>
    <n v="0"/>
    <n v="0"/>
    <n v="3"/>
    <n v="3"/>
    <n v="3"/>
    <n v="3"/>
    <n v="0"/>
    <n v="0"/>
    <n v="0"/>
    <n v="3"/>
    <n v="3"/>
    <n v="3"/>
    <n v="0"/>
    <n v="3"/>
    <n v="2"/>
    <n v="3"/>
    <n v="1"/>
    <n v="3"/>
    <n v="0"/>
    <n v="0"/>
    <n v="0"/>
    <n v="0"/>
    <m/>
  </r>
  <r>
    <n v="1663"/>
    <d v="2025-06-10T08:27:43"/>
    <d v="2025-06-10T08:35:23"/>
    <s v="jkenneth@lighthouse.org.mw"/>
    <s v="Joseph Kenneth"/>
    <s v="Mitundu"/>
    <s v="Prototype"/>
    <x v="2"/>
    <x v="0"/>
    <m/>
    <s v="Quarter2"/>
    <x v="3"/>
    <m/>
    <x v="6"/>
    <d v="2025-05-01T00:00:00"/>
    <d v="2025-05-31T00:00:00"/>
    <x v="5"/>
    <n v="1"/>
    <n v="1"/>
    <n v="0"/>
    <n v="0"/>
    <n v="0"/>
    <n v="1"/>
    <n v="1"/>
    <n v="1"/>
    <n v="1"/>
    <n v="0"/>
    <n v="0"/>
    <n v="0"/>
    <n v="1"/>
    <n v="1"/>
    <n v="0"/>
    <n v="0"/>
    <n v="1"/>
    <n v="1"/>
    <n v="0"/>
    <n v="0"/>
    <n v="1"/>
    <n v="0"/>
    <n v="0"/>
    <n v="0"/>
    <n v="0"/>
    <m/>
  </r>
  <r>
    <n v="1664"/>
    <d v="2025-06-10T08:35:26"/>
    <d v="2025-06-10T08:37:10"/>
    <s v="jkenneth@lighthouse.org.mw"/>
    <s v="Joseph Kenneth"/>
    <s v="Mitundu"/>
    <s v="Prototype"/>
    <x v="2"/>
    <x v="0"/>
    <m/>
    <s v="Quarter2"/>
    <x v="3"/>
    <m/>
    <x v="6"/>
    <d v="2025-05-01T00:00:00"/>
    <d v="2025-05-31T00:00:00"/>
    <x v="3"/>
    <n v="1"/>
    <n v="0"/>
    <n v="0"/>
    <n v="0"/>
    <n v="1"/>
    <n v="0"/>
    <n v="0"/>
    <n v="0"/>
    <n v="0"/>
    <n v="0"/>
    <n v="0"/>
    <n v="0"/>
    <n v="0"/>
    <n v="0"/>
    <n v="0"/>
    <n v="0"/>
    <n v="0"/>
    <n v="0"/>
    <n v="0"/>
    <n v="0"/>
    <n v="0"/>
    <n v="0"/>
    <n v="0"/>
    <n v="0"/>
    <n v="0"/>
    <m/>
  </r>
  <r>
    <n v="1730"/>
    <d v="2025-07-08T08:50:02"/>
    <d v="2025-07-08T08:54:12"/>
    <s v="jkenneth@lighthouse.org.mw"/>
    <s v="Joseph Kenneth"/>
    <s v="Mitundu"/>
    <s v="Prototype"/>
    <x v="2"/>
    <x v="0"/>
    <m/>
    <s v="Quarter2"/>
    <x v="3"/>
    <m/>
    <x v="8"/>
    <d v="2025-06-01T00:00:00"/>
    <d v="2025-06-30T00:00:00"/>
    <x v="0"/>
    <n v="30"/>
    <n v="5"/>
    <n v="18"/>
    <n v="3"/>
    <n v="3"/>
    <n v="6"/>
    <n v="30"/>
    <n v="13"/>
    <n v="13"/>
    <n v="0"/>
    <n v="0"/>
    <n v="0"/>
    <n v="13"/>
    <n v="4"/>
    <n v="1"/>
    <n v="0"/>
    <n v="4"/>
    <n v="2"/>
    <n v="6"/>
    <n v="4"/>
    <n v="5"/>
    <n v="0"/>
    <n v="0"/>
    <n v="2"/>
    <n v="2"/>
    <m/>
  </r>
  <r>
    <n v="1731"/>
    <d v="2025-07-08T08:54:28"/>
    <d v="2025-07-08T08:58:55"/>
    <s v="jkenneth@lighthouse.org.mw"/>
    <s v="Joseph Kenneth"/>
    <s v="Mitundu"/>
    <s v="Prototype"/>
    <x v="2"/>
    <x v="0"/>
    <m/>
    <s v="Quarter2"/>
    <x v="3"/>
    <m/>
    <x v="8"/>
    <d v="2025-06-01T00:00:00"/>
    <d v="2025-06-30T00:00:00"/>
    <x v="1"/>
    <n v="27"/>
    <n v="2"/>
    <n v="18"/>
    <n v="2"/>
    <n v="1"/>
    <n v="6"/>
    <n v="27"/>
    <n v="10"/>
    <n v="10"/>
    <n v="0"/>
    <n v="0"/>
    <n v="0"/>
    <n v="9"/>
    <n v="4"/>
    <n v="1"/>
    <n v="0"/>
    <n v="3"/>
    <n v="2"/>
    <n v="6"/>
    <n v="4"/>
    <n v="5"/>
    <n v="0"/>
    <n v="0"/>
    <n v="2"/>
    <n v="0"/>
    <m/>
  </r>
  <r>
    <n v="1732"/>
    <d v="2025-07-08T08:58:59"/>
    <d v="2025-07-08T09:01:24"/>
    <s v="jkenneth@lighthouse.org.mw"/>
    <s v="Joseph Kenneth"/>
    <s v="Mitundu"/>
    <s v="Prototype"/>
    <x v="2"/>
    <x v="0"/>
    <m/>
    <s v="Quarter2"/>
    <x v="3"/>
    <m/>
    <x v="8"/>
    <d v="2025-06-01T00:00:00"/>
    <d v="2025-06-30T00:00:00"/>
    <x v="2"/>
    <n v="1"/>
    <n v="1"/>
    <n v="0"/>
    <n v="0"/>
    <n v="1"/>
    <n v="0"/>
    <n v="1"/>
    <n v="1"/>
    <n v="1"/>
    <n v="0"/>
    <n v="0"/>
    <n v="0"/>
    <n v="1"/>
    <n v="0"/>
    <n v="0"/>
    <n v="0"/>
    <n v="0"/>
    <n v="0"/>
    <n v="0"/>
    <n v="0"/>
    <n v="0"/>
    <n v="0"/>
    <n v="0"/>
    <n v="0"/>
    <n v="1"/>
    <m/>
  </r>
  <r>
    <n v="1733"/>
    <d v="2025-07-08T09:01:40"/>
    <d v="2025-07-08T09:09:55"/>
    <s v="jkenneth@lighthouse.org.mw"/>
    <s v="Joseph Kenneth"/>
    <s v="Mitundu"/>
    <s v="Prototype"/>
    <x v="2"/>
    <x v="0"/>
    <m/>
    <s v="Quarter2"/>
    <x v="3"/>
    <m/>
    <x v="8"/>
    <d v="2025-06-01T00:00:00"/>
    <d v="2025-06-30T00:00:00"/>
    <x v="5"/>
    <n v="2"/>
    <n v="2"/>
    <n v="0"/>
    <n v="1"/>
    <n v="1"/>
    <n v="0"/>
    <n v="2"/>
    <n v="2"/>
    <n v="2"/>
    <n v="0"/>
    <n v="0"/>
    <n v="0"/>
    <n v="2"/>
    <n v="0"/>
    <n v="0"/>
    <n v="0"/>
    <n v="1"/>
    <n v="0"/>
    <n v="0"/>
    <n v="0"/>
    <n v="0"/>
    <n v="0"/>
    <n v="0"/>
    <n v="0"/>
    <n v="1"/>
    <m/>
  </r>
  <r>
    <n v="1734"/>
    <d v="2025-07-08T09:10:01"/>
    <d v="2025-07-08T09:11:21"/>
    <s v="jkenneth@lighthouse.org.mw"/>
    <s v="Joseph Kenneth"/>
    <s v="Mitundu"/>
    <s v="Prototype"/>
    <x v="2"/>
    <x v="0"/>
    <m/>
    <s v="Quarter2"/>
    <x v="3"/>
    <m/>
    <x v="8"/>
    <d v="2025-06-01T00:00:00"/>
    <d v="2025-06-30T00:00:00"/>
    <x v="3"/>
    <n v="0"/>
    <n v="0"/>
    <n v="0"/>
    <n v="0"/>
    <n v="0"/>
    <n v="0"/>
    <n v="0"/>
    <n v="0"/>
    <n v="0"/>
    <n v="0"/>
    <n v="0"/>
    <n v="0"/>
    <n v="0"/>
    <n v="0"/>
    <n v="0"/>
    <n v="0"/>
    <n v="0"/>
    <n v="0"/>
    <n v="0"/>
    <n v="0"/>
    <n v="0"/>
    <n v="0"/>
    <n v="0"/>
    <n v="0"/>
    <n v="0"/>
    <m/>
  </r>
  <r>
    <n v="1735"/>
    <d v="2025-07-08T09:11:24"/>
    <d v="2025-07-08T09:12:49"/>
    <s v="jkenneth@lighthouse.org.mw"/>
    <s v="Joseph Kenneth"/>
    <s v="Mitundu"/>
    <s v="Prototype"/>
    <x v="2"/>
    <x v="0"/>
    <m/>
    <s v="Quarter2"/>
    <x v="3"/>
    <m/>
    <x v="8"/>
    <d v="2025-06-01T00:00:00"/>
    <d v="2025-06-30T00:00:00"/>
    <x v="4"/>
    <n v="0"/>
    <n v="0"/>
    <n v="0"/>
    <n v="0"/>
    <n v="0"/>
    <n v="0"/>
    <n v="0"/>
    <n v="0"/>
    <n v="0"/>
    <n v="0"/>
    <n v="0"/>
    <n v="0"/>
    <n v="0"/>
    <n v="0"/>
    <n v="0"/>
    <n v="0"/>
    <n v="0"/>
    <n v="0"/>
    <n v="0"/>
    <n v="0"/>
    <n v="0"/>
    <n v="0"/>
    <n v="0"/>
    <n v="0"/>
    <n v="0"/>
    <m/>
  </r>
  <r>
    <n v="1736"/>
    <d v="2025-07-08T09:13:01"/>
    <d v="2025-07-08T09:15:08"/>
    <s v="jkenneth@lighthouse.org.mw"/>
    <s v="Joseph Kenneth"/>
    <s v="Mitundu"/>
    <s v="Prototype"/>
    <x v="2"/>
    <x v="0"/>
    <m/>
    <s v="Quarter2"/>
    <x v="3"/>
    <m/>
    <x v="8"/>
    <d v="2025-06-01T00:00:00"/>
    <d v="2025-06-30T00:00:00"/>
    <x v="6"/>
    <n v="0"/>
    <n v="0"/>
    <n v="0"/>
    <n v="0"/>
    <n v="0"/>
    <n v="0"/>
    <n v="0"/>
    <n v="0"/>
    <n v="0"/>
    <n v="0"/>
    <n v="0"/>
    <n v="0"/>
    <n v="0"/>
    <n v="0"/>
    <n v="0"/>
    <n v="0"/>
    <n v="0"/>
    <n v="0"/>
    <n v="0"/>
    <n v="0"/>
    <n v="0"/>
    <n v="0"/>
    <n v="0"/>
    <n v="0"/>
    <n v="0"/>
    <m/>
  </r>
  <r>
    <n v="53"/>
    <d v="2023-12-20T12:31:05"/>
    <d v="2023-12-20T12:31:53"/>
    <s v="mchirwa@lighthouse.org.mw"/>
    <s v="Margaret Chirwa"/>
    <s v="MPC_Bwaila"/>
    <s v="COE"/>
    <x v="0"/>
    <x v="0"/>
    <s v="COP_22"/>
    <s v="Quarter3"/>
    <x v="1"/>
    <s v="Qtr_4"/>
    <x v="2"/>
    <d v="2023-09-01T00:00:00"/>
    <d v="2023-09-30T00:00:00"/>
    <x v="0"/>
    <n v="108"/>
    <n v="7"/>
    <n v="19"/>
    <n v="6"/>
    <n v="10"/>
    <n v="5"/>
    <n v="31"/>
    <n v="25"/>
    <n v="37"/>
    <n v="0"/>
    <n v="0"/>
    <n v="0"/>
    <n v="38"/>
    <n v="1"/>
    <n v="11"/>
    <n v="0"/>
    <n v="10"/>
    <n v="6"/>
    <n v="39"/>
    <n v="3"/>
    <n v="3"/>
    <n v="0"/>
    <n v="0"/>
    <n v="2"/>
    <n v="22"/>
    <m/>
  </r>
  <r>
    <n v="54"/>
    <d v="2023-12-20T12:32:07"/>
    <d v="2023-12-20T12:36:14"/>
    <s v="mchirwa@lighthouse.org.mw"/>
    <s v="Margaret Chirwa"/>
    <s v="MPC_Bwaila"/>
    <s v="COE"/>
    <x v="0"/>
    <x v="0"/>
    <s v="COP_23"/>
    <s v="Quarter4"/>
    <x v="0"/>
    <s v="Qtr_1"/>
    <x v="0"/>
    <d v="2023-10-01T00:00:00"/>
    <d v="2023-10-31T00:00:00"/>
    <x v="0"/>
    <n v="120"/>
    <n v="21"/>
    <n v="24"/>
    <n v="6"/>
    <n v="14"/>
    <n v="13"/>
    <n v="53"/>
    <n v="34"/>
    <n v="43"/>
    <n v="0"/>
    <n v="0"/>
    <n v="0"/>
    <n v="47"/>
    <n v="11"/>
    <n v="8"/>
    <n v="0"/>
    <n v="11"/>
    <n v="6"/>
    <n v="34"/>
    <n v="7"/>
    <n v="15"/>
    <n v="7"/>
    <n v="0"/>
    <n v="1"/>
    <n v="10"/>
    <m/>
  </r>
  <r>
    <n v="55"/>
    <d v="2023-12-20T12:36:25"/>
    <d v="2023-12-20T12:39:39"/>
    <s v="mchirwa@lighthouse.org.mw"/>
    <s v="Margaret Chirwa"/>
    <s v="MPC_Bwaila"/>
    <s v="COE"/>
    <x v="0"/>
    <x v="0"/>
    <s v="COP_23"/>
    <s v="Quarter4"/>
    <x v="0"/>
    <s v="Qtr_1"/>
    <x v="1"/>
    <d v="2023-11-01T00:00:00"/>
    <d v="2023-11-30T00:00:00"/>
    <x v="0"/>
    <n v="139"/>
    <n v="29"/>
    <n v="20"/>
    <n v="9"/>
    <n v="19"/>
    <n v="20"/>
    <n v="66"/>
    <n v="45"/>
    <n v="49"/>
    <n v="0"/>
    <n v="2"/>
    <n v="0"/>
    <n v="51"/>
    <n v="10"/>
    <n v="7"/>
    <n v="2"/>
    <n v="17"/>
    <n v="6"/>
    <n v="33"/>
    <n v="4"/>
    <n v="14"/>
    <n v="0"/>
    <n v="0"/>
    <n v="4"/>
    <n v="16"/>
    <m/>
  </r>
  <r>
    <n v="98"/>
    <d v="2024-01-18T14:34:16"/>
    <d v="2024-01-18T14:34:56"/>
    <s v="mmsiska@lighthouse.org.mw"/>
    <s v="Michael Msiska"/>
    <s v="MPC_Bwaila"/>
    <s v="COE"/>
    <x v="0"/>
    <x v="0"/>
    <s v="COP_23"/>
    <s v="Quarter4"/>
    <x v="0"/>
    <s v="Qtr_1"/>
    <x v="11"/>
    <d v="2023-12-01T00:00:00"/>
    <d v="2023-12-31T00:00:00"/>
    <x v="0"/>
    <n v="76"/>
    <n v="9"/>
    <n v="33"/>
    <n v="16"/>
    <n v="8"/>
    <n v="12"/>
    <n v="66"/>
    <n v="33"/>
    <n v="44"/>
    <n v="1"/>
    <n v="1"/>
    <n v="0"/>
    <n v="44"/>
    <n v="9"/>
    <n v="2"/>
    <n v="0"/>
    <n v="5"/>
    <n v="1"/>
    <n v="19"/>
    <n v="2"/>
    <n v="11"/>
    <n v="0"/>
    <n v="1"/>
    <n v="1"/>
    <n v="13"/>
    <m/>
  </r>
  <r>
    <n v="100"/>
    <d v="2024-01-18T15:50:09"/>
    <d v="2024-01-18T15:50:22"/>
    <s v="mmsiska@lighthouse.org.mw"/>
    <s v="Michael Msiska"/>
    <s v="MPC_Bwaila"/>
    <s v="COE"/>
    <x v="0"/>
    <x v="0"/>
    <s v="COP_23"/>
    <s v="Quarter4"/>
    <x v="0"/>
    <s v="Qtr_1"/>
    <x v="11"/>
    <d v="2023-12-01T00:00:00"/>
    <d v="2023-12-31T00:00:00"/>
    <x v="3"/>
    <n v="4"/>
    <n v="0"/>
    <n v="4"/>
    <n v="0"/>
    <n v="0"/>
    <n v="0"/>
    <n v="0"/>
    <n v="0"/>
    <n v="4"/>
    <n v="0"/>
    <n v="0"/>
    <n v="0"/>
    <n v="3"/>
    <n v="0"/>
    <n v="0"/>
    <n v="0"/>
    <n v="0"/>
    <n v="0"/>
    <n v="0"/>
    <n v="0"/>
    <n v="0"/>
    <n v="0"/>
    <n v="0"/>
    <n v="0"/>
    <n v="0"/>
    <m/>
  </r>
  <r>
    <n v="101"/>
    <d v="2024-01-18T15:50:28"/>
    <d v="2024-01-18T15:53:06"/>
    <s v="mmsiska@lighthouse.org.mw"/>
    <s v="Michael Msiska"/>
    <s v="MPC_Bwaila"/>
    <s v="COE"/>
    <x v="0"/>
    <x v="0"/>
    <s v="COP_23"/>
    <s v="Quarter4"/>
    <x v="0"/>
    <s v="Qtr_1"/>
    <x v="11"/>
    <d v="2023-12-01T00:00:00"/>
    <d v="2023-12-31T00:00:00"/>
    <x v="5"/>
    <n v="21"/>
    <n v="0"/>
    <n v="11"/>
    <n v="2"/>
    <n v="3"/>
    <n v="0"/>
    <n v="16"/>
    <n v="5"/>
    <n v="15"/>
    <n v="0"/>
    <n v="0"/>
    <n v="0"/>
    <n v="14"/>
    <n v="0"/>
    <n v="0"/>
    <n v="0"/>
    <n v="0"/>
    <n v="0"/>
    <n v="2"/>
    <n v="0"/>
    <n v="0"/>
    <n v="0"/>
    <n v="0"/>
    <n v="0"/>
    <n v="4"/>
    <m/>
  </r>
  <r>
    <n v="103"/>
    <d v="2024-01-19T09:41:31"/>
    <d v="2024-01-19T09:42:49"/>
    <s v="mmsiska@lighthouse.org.mw"/>
    <s v="Michael Msiska"/>
    <s v="MPC_Bwaila"/>
    <s v="COE"/>
    <x v="0"/>
    <x v="0"/>
    <s v="COP_23"/>
    <s v="Quarter4"/>
    <x v="0"/>
    <s v="Qtr_1"/>
    <x v="0"/>
    <d v="2023-10-01T00:00:00"/>
    <d v="2023-10-31T00:00:00"/>
    <x v="3"/>
    <n v="0"/>
    <n v="0"/>
    <n v="0"/>
    <n v="0"/>
    <n v="0"/>
    <n v="0"/>
    <n v="0"/>
    <n v="0"/>
    <n v="0"/>
    <n v="0"/>
    <n v="0"/>
    <n v="0"/>
    <n v="0"/>
    <n v="0"/>
    <n v="0"/>
    <n v="0"/>
    <n v="0"/>
    <n v="0"/>
    <n v="0"/>
    <n v="0"/>
    <n v="0"/>
    <n v="0"/>
    <n v="0"/>
    <n v="0"/>
    <n v="0"/>
    <m/>
  </r>
  <r>
    <n v="104"/>
    <d v="2024-01-19T09:42:54"/>
    <d v="2024-01-19T09:46:15"/>
    <s v="mmsiska@lighthouse.org.mw"/>
    <s v="Michael Msiska"/>
    <s v="MPC_Bwaila"/>
    <s v="COE"/>
    <x v="0"/>
    <x v="0"/>
    <s v="COP_23"/>
    <s v="Quarter4"/>
    <x v="0"/>
    <s v="Qtr_1"/>
    <x v="0"/>
    <d v="2023-10-01T00:00:00"/>
    <d v="2023-10-31T00:00:00"/>
    <x v="5"/>
    <n v="6"/>
    <n v="1"/>
    <n v="2"/>
    <n v="1"/>
    <n v="1"/>
    <n v="1"/>
    <n v="5"/>
    <n v="1"/>
    <n v="5"/>
    <n v="0"/>
    <n v="0"/>
    <n v="0"/>
    <n v="4"/>
    <n v="1"/>
    <n v="0"/>
    <n v="0"/>
    <n v="0"/>
    <n v="0"/>
    <n v="3"/>
    <n v="0"/>
    <n v="1"/>
    <n v="0"/>
    <n v="0"/>
    <n v="0"/>
    <n v="2"/>
    <m/>
  </r>
  <r>
    <n v="106"/>
    <d v="2024-01-19T09:48:54"/>
    <d v="2024-01-19T09:49:58"/>
    <s v="mmsiska@lighthouse.org.mw"/>
    <s v="Michael Msiska"/>
    <s v="MPC_Bwaila"/>
    <s v="COE"/>
    <x v="0"/>
    <x v="0"/>
    <s v="COP_23"/>
    <s v="Quarter4"/>
    <x v="0"/>
    <s v="Qtr_1"/>
    <x v="1"/>
    <d v="2023-11-01T00:00:00"/>
    <d v="2023-11-30T00:00:00"/>
    <x v="3"/>
    <n v="0"/>
    <n v="0"/>
    <n v="0"/>
    <n v="0"/>
    <n v="0"/>
    <n v="0"/>
    <n v="0"/>
    <n v="0"/>
    <n v="0"/>
    <n v="0"/>
    <n v="0"/>
    <n v="0"/>
    <n v="0"/>
    <n v="0"/>
    <n v="0"/>
    <n v="0"/>
    <n v="0"/>
    <n v="0"/>
    <n v="0"/>
    <n v="0"/>
    <n v="0"/>
    <n v="0"/>
    <n v="0"/>
    <n v="0"/>
    <n v="0"/>
    <m/>
  </r>
  <r>
    <n v="107"/>
    <d v="2024-01-19T09:50:00"/>
    <d v="2024-01-19T09:52:03"/>
    <s v="mmsiska@lighthouse.org.mw"/>
    <s v="Michael Msiska"/>
    <s v="MPC_Bwaila"/>
    <s v="COE"/>
    <x v="0"/>
    <x v="0"/>
    <s v="COP_23"/>
    <s v="Quarter4"/>
    <x v="0"/>
    <s v="Qtr_1"/>
    <x v="1"/>
    <d v="2023-11-01T00:00:00"/>
    <d v="2023-11-30T00:00:00"/>
    <x v="5"/>
    <n v="3"/>
    <n v="0"/>
    <n v="2"/>
    <n v="0"/>
    <n v="1"/>
    <n v="0"/>
    <n v="2"/>
    <n v="1"/>
    <n v="3"/>
    <n v="0"/>
    <n v="0"/>
    <n v="0"/>
    <n v="3"/>
    <n v="0"/>
    <n v="0"/>
    <n v="0"/>
    <n v="0"/>
    <n v="0"/>
    <n v="1"/>
    <n v="0"/>
    <n v="0"/>
    <n v="0"/>
    <n v="0"/>
    <n v="0"/>
    <n v="0"/>
    <m/>
  </r>
  <r>
    <n v="223"/>
    <d v="2024-04-08T15:29:45"/>
    <d v="2024-04-08T15:30:32"/>
    <s v="mchirwa@lighthouse.org.mw"/>
    <s v="Margaret Chirwa"/>
    <s v="MPC_Bwaila"/>
    <s v="COE"/>
    <x v="1"/>
    <x v="0"/>
    <s v="COP_23"/>
    <s v="Quarter1"/>
    <x v="2"/>
    <s v="Qtr_2"/>
    <x v="3"/>
    <d v="2024-03-01T00:00:00"/>
    <d v="2024-03-31T00:00:00"/>
    <x v="3"/>
    <n v="8"/>
    <n v="0"/>
    <n v="7"/>
    <n v="0"/>
    <n v="1"/>
    <n v="0"/>
    <n v="0"/>
    <n v="0"/>
    <n v="8"/>
    <n v="0"/>
    <n v="8"/>
    <n v="0"/>
    <n v="7"/>
    <n v="0"/>
    <n v="0"/>
    <n v="0"/>
    <n v="0"/>
    <n v="0"/>
    <n v="1"/>
    <n v="0"/>
    <n v="0"/>
    <n v="0"/>
    <n v="0"/>
    <n v="0"/>
    <n v="1"/>
    <m/>
  </r>
  <r>
    <n v="224"/>
    <d v="2024-04-08T15:30:35"/>
    <d v="2024-04-08T15:36:32"/>
    <s v="mchirwa@lighthouse.org.mw"/>
    <s v="Margaret Chirwa"/>
    <s v="MPC_Bwaila"/>
    <s v="COE"/>
    <x v="1"/>
    <x v="0"/>
    <s v="COP_23"/>
    <s v="Quarter1"/>
    <x v="2"/>
    <s v="Qtr_2"/>
    <x v="3"/>
    <d v="2024-03-01T00:00:00"/>
    <d v="2024-03-31T00:00:00"/>
    <x v="4"/>
    <n v="7"/>
    <n v="0"/>
    <n v="6"/>
    <n v="0"/>
    <n v="1"/>
    <n v="0"/>
    <n v="6"/>
    <n v="0"/>
    <n v="4"/>
    <n v="0"/>
    <n v="4"/>
    <n v="0"/>
    <n v="4"/>
    <n v="0"/>
    <n v="0"/>
    <n v="0"/>
    <n v="0"/>
    <n v="0"/>
    <n v="0"/>
    <n v="0"/>
    <n v="0"/>
    <n v="0"/>
    <n v="0"/>
    <n v="0"/>
    <n v="0"/>
    <m/>
  </r>
  <r>
    <n v="225"/>
    <d v="2024-04-08T15:36:43"/>
    <d v="2024-04-08T15:39:47"/>
    <s v="mchirwa@lighthouse.org.mw"/>
    <s v="Margaret Chirwa"/>
    <s v="MPC_Bwaila"/>
    <s v="COE"/>
    <x v="1"/>
    <x v="0"/>
    <s v="COP_23"/>
    <s v="Quarter1"/>
    <x v="2"/>
    <s v="Qtr_2"/>
    <x v="3"/>
    <d v="2024-03-01T00:00:00"/>
    <d v="2024-03-31T00:00:00"/>
    <x v="5"/>
    <n v="84"/>
    <n v="2"/>
    <n v="49"/>
    <n v="2"/>
    <n v="0"/>
    <n v="0"/>
    <n v="45"/>
    <n v="9"/>
    <n v="24"/>
    <n v="0"/>
    <n v="24"/>
    <n v="0"/>
    <n v="24"/>
    <n v="0"/>
    <n v="0"/>
    <n v="0"/>
    <n v="0"/>
    <n v="0"/>
    <n v="3"/>
    <n v="0"/>
    <n v="0"/>
    <n v="0"/>
    <n v="0"/>
    <n v="0"/>
    <n v="1"/>
    <m/>
  </r>
  <r>
    <n v="227"/>
    <d v="2024-04-08T15:48:31"/>
    <d v="2024-04-08T15:54:08"/>
    <s v="mchirwa@lighthouse.org.mw"/>
    <s v="Margaret Chirwa"/>
    <s v="MPC_Bwaila"/>
    <s v="COE"/>
    <x v="1"/>
    <x v="0"/>
    <s v="COP_23"/>
    <s v="Quarter1"/>
    <x v="2"/>
    <s v="Qtr_2"/>
    <x v="3"/>
    <d v="2024-03-01T00:00:00"/>
    <d v="2024-03-31T00:00:00"/>
    <x v="0"/>
    <n v="219"/>
    <n v="19"/>
    <n v="161"/>
    <n v="18"/>
    <n v="34"/>
    <n v="9"/>
    <n v="210"/>
    <n v="57"/>
    <n v="92"/>
    <n v="0"/>
    <n v="2"/>
    <n v="0"/>
    <n v="91"/>
    <n v="3"/>
    <n v="2"/>
    <n v="0"/>
    <n v="18"/>
    <n v="9"/>
    <n v="41"/>
    <n v="6"/>
    <n v="5"/>
    <n v="0"/>
    <n v="0"/>
    <n v="2"/>
    <n v="23"/>
    <m/>
  </r>
  <r>
    <n v="291"/>
    <d v="2024-04-24T10:43:45"/>
    <d v="2024-04-24T10:44:33"/>
    <s v="mchirwa@lighthouse.org.mw"/>
    <s v="Margaret Chirwa"/>
    <s v="MPC_Bwaila"/>
    <s v="COE"/>
    <x v="1"/>
    <x v="0"/>
    <s v="COP_23"/>
    <s v="Quarter1"/>
    <x v="2"/>
    <s v="Qtr_2"/>
    <x v="5"/>
    <d v="2024-02-01T00:00:00"/>
    <d v="2024-02-29T00:00:00"/>
    <x v="3"/>
    <n v="3"/>
    <n v="0"/>
    <n v="3"/>
    <n v="0"/>
    <n v="0"/>
    <n v="0"/>
    <n v="0"/>
    <n v="0"/>
    <n v="0"/>
    <n v="0"/>
    <n v="0"/>
    <n v="0"/>
    <n v="0"/>
    <n v="0"/>
    <n v="0"/>
    <n v="0"/>
    <n v="0"/>
    <n v="0"/>
    <n v="0"/>
    <n v="0"/>
    <n v="0"/>
    <n v="0"/>
    <n v="0"/>
    <n v="0"/>
    <n v="0"/>
    <m/>
  </r>
  <r>
    <n v="292"/>
    <d v="2024-04-24T10:44:38"/>
    <d v="2024-04-24T10:46:22"/>
    <s v="mchirwa@lighthouse.org.mw"/>
    <s v="Margaret Chirwa"/>
    <s v="MPC_Bwaila"/>
    <s v="COE"/>
    <x v="1"/>
    <x v="0"/>
    <s v="COP_23"/>
    <s v="Quarter1"/>
    <x v="2"/>
    <s v="Qtr_2"/>
    <x v="5"/>
    <d v="2024-02-01T00:00:00"/>
    <d v="2024-02-29T00:00:00"/>
    <x v="4"/>
    <n v="4"/>
    <n v="2"/>
    <n v="2"/>
    <n v="0"/>
    <n v="2"/>
    <n v="0"/>
    <n v="4"/>
    <n v="0"/>
    <n v="4"/>
    <n v="0"/>
    <n v="0"/>
    <n v="0"/>
    <n v="4"/>
    <n v="0"/>
    <n v="0"/>
    <n v="0"/>
    <n v="0"/>
    <n v="0"/>
    <n v="0"/>
    <n v="0"/>
    <n v="0"/>
    <n v="0"/>
    <n v="0"/>
    <n v="0"/>
    <n v="0"/>
    <m/>
  </r>
  <r>
    <n v="293"/>
    <d v="2024-04-24T10:46:26"/>
    <d v="2024-04-24T10:48:08"/>
    <s v="mchirwa@lighthouse.org.mw"/>
    <s v="Margaret Chirwa"/>
    <s v="MPC_Bwaila"/>
    <s v="COE"/>
    <x v="1"/>
    <x v="0"/>
    <s v="COP_23"/>
    <s v="Quarter1"/>
    <x v="2"/>
    <s v="Qtr_2"/>
    <x v="5"/>
    <d v="2024-02-01T00:00:00"/>
    <d v="2024-02-29T00:00:00"/>
    <x v="0"/>
    <n v="213"/>
    <n v="30"/>
    <n v="145"/>
    <n v="31"/>
    <n v="20"/>
    <n v="16"/>
    <n v="209"/>
    <n v="57"/>
    <n v="103"/>
    <n v="5"/>
    <n v="4"/>
    <n v="0"/>
    <n v="102"/>
    <n v="12"/>
    <n v="0"/>
    <n v="0"/>
    <n v="13"/>
    <n v="2"/>
    <n v="39"/>
    <n v="4"/>
    <n v="16"/>
    <n v="2"/>
    <n v="2"/>
    <n v="0"/>
    <n v="14"/>
    <m/>
  </r>
  <r>
    <n v="298"/>
    <d v="2024-04-24T11:10:10"/>
    <d v="2024-04-24T11:13:30"/>
    <s v="mchirwa@lighthouse.org.mw"/>
    <s v="Margaret Chirwa"/>
    <s v="MPC_Bwaila"/>
    <s v="COE"/>
    <x v="1"/>
    <x v="0"/>
    <s v="COP_23"/>
    <s v="Quarter1"/>
    <x v="2"/>
    <s v="Qtr_2"/>
    <x v="4"/>
    <d v="2024-01-01T00:00:00"/>
    <d v="2024-01-31T00:00:00"/>
    <x v="3"/>
    <n v="14"/>
    <n v="1"/>
    <n v="13"/>
    <n v="0"/>
    <n v="1"/>
    <n v="0"/>
    <n v="2"/>
    <n v="0"/>
    <n v="13"/>
    <n v="0"/>
    <n v="0"/>
    <n v="0"/>
    <n v="13"/>
    <n v="2"/>
    <n v="0"/>
    <n v="0"/>
    <n v="0"/>
    <n v="0"/>
    <n v="0"/>
    <n v="0"/>
    <n v="0"/>
    <n v="0"/>
    <n v="0"/>
    <n v="0"/>
    <n v="2"/>
    <m/>
  </r>
  <r>
    <n v="299"/>
    <d v="2024-04-24T11:21:47"/>
    <d v="2024-04-24T11:27:54"/>
    <s v="mchirwa@lighthouse.org.mw"/>
    <s v="Margaret Chirwa"/>
    <s v="MPC_Bwaila"/>
    <s v="COE"/>
    <x v="1"/>
    <x v="0"/>
    <s v="COP_23"/>
    <s v="Quarter1"/>
    <x v="2"/>
    <s v="Qtr_2"/>
    <x v="4"/>
    <d v="2024-01-01T00:00:00"/>
    <d v="2024-01-31T00:00:00"/>
    <x v="4"/>
    <n v="15"/>
    <n v="0"/>
    <n v="15"/>
    <n v="0"/>
    <n v="0"/>
    <n v="0"/>
    <n v="13"/>
    <n v="0"/>
    <n v="13"/>
    <n v="0"/>
    <n v="0"/>
    <n v="0"/>
    <n v="13"/>
    <n v="0"/>
    <n v="0"/>
    <n v="0"/>
    <n v="0"/>
    <n v="0"/>
    <n v="0"/>
    <n v="0"/>
    <n v="0"/>
    <n v="0"/>
    <n v="0"/>
    <n v="0"/>
    <n v="1"/>
    <m/>
  </r>
  <r>
    <n v="300"/>
    <d v="2024-04-24T11:27:58"/>
    <d v="2024-04-24T11:30:58"/>
    <s v="mchirwa@lighthouse.org.mw"/>
    <s v="Margaret Chirwa"/>
    <s v="MPC_Bwaila"/>
    <s v="COE"/>
    <x v="1"/>
    <x v="0"/>
    <s v="COP_23"/>
    <s v="Quarter1"/>
    <x v="2"/>
    <s v="Qtr_2"/>
    <x v="4"/>
    <d v="2024-01-01T00:00:00"/>
    <d v="2024-01-31T00:00:00"/>
    <x v="5"/>
    <n v="47"/>
    <n v="5"/>
    <n v="27"/>
    <n v="3"/>
    <n v="5"/>
    <n v="4"/>
    <n v="35"/>
    <n v="10"/>
    <n v="32"/>
    <n v="0"/>
    <n v="0"/>
    <n v="0"/>
    <n v="32"/>
    <n v="2"/>
    <n v="1"/>
    <n v="0"/>
    <n v="2"/>
    <n v="1"/>
    <n v="4"/>
    <n v="0"/>
    <n v="3"/>
    <n v="0"/>
    <n v="0"/>
    <n v="1"/>
    <n v="5"/>
    <m/>
  </r>
  <r>
    <n v="303"/>
    <d v="2024-04-24T13:32:52"/>
    <d v="2024-04-24T13:35:28"/>
    <s v="mchirwa@lighthouse.org.mw"/>
    <s v="Margaret Chirwa"/>
    <s v="MPC_Bwaila"/>
    <s v="COE"/>
    <x v="1"/>
    <x v="0"/>
    <s v="COP_23"/>
    <s v="Quarter1"/>
    <x v="2"/>
    <s v="Qtr_2"/>
    <x v="4"/>
    <d v="2024-01-01T00:00:00"/>
    <d v="2024-01-31T00:00:00"/>
    <x v="0"/>
    <n v="242"/>
    <n v="49"/>
    <n v="162"/>
    <n v="26"/>
    <n v="34"/>
    <n v="20"/>
    <n v="218"/>
    <n v="65"/>
    <n v="132"/>
    <n v="1"/>
    <n v="3"/>
    <n v="1"/>
    <n v="128"/>
    <n v="15"/>
    <n v="5"/>
    <n v="0"/>
    <n v="12"/>
    <n v="8"/>
    <n v="37"/>
    <n v="6"/>
    <n v="17"/>
    <n v="3"/>
    <n v="0"/>
    <n v="3"/>
    <n v="25"/>
    <m/>
  </r>
  <r>
    <n v="349"/>
    <d v="2024-04-30T15:32:29"/>
    <d v="2024-04-30T15:35:14"/>
    <s v="mchirwa@lighthouse.org.mw"/>
    <s v="Margaret Chirwa"/>
    <s v="MPC_Bwaila"/>
    <s v="COE"/>
    <x v="1"/>
    <x v="0"/>
    <s v="COP_23"/>
    <s v="Quarter1"/>
    <x v="2"/>
    <s v="Qtr_2"/>
    <x v="5"/>
    <d v="2024-02-01T00:00:00"/>
    <d v="2024-02-29T00:00:00"/>
    <x v="5"/>
    <n v="38"/>
    <n v="0"/>
    <n v="22"/>
    <n v="1"/>
    <n v="0"/>
    <n v="0"/>
    <n v="23"/>
    <n v="4"/>
    <n v="22"/>
    <n v="0"/>
    <n v="0"/>
    <n v="0"/>
    <n v="22"/>
    <n v="1"/>
    <n v="0"/>
    <n v="0"/>
    <n v="2"/>
    <n v="0"/>
    <n v="4"/>
    <n v="0"/>
    <n v="1"/>
    <n v="0"/>
    <n v="0"/>
    <n v="0"/>
    <n v="0"/>
    <m/>
  </r>
  <r>
    <n v="622"/>
    <d v="2024-07-16T09:06:14"/>
    <d v="2024-07-16T13:44:13"/>
    <s v="jmakoza@lighthouse.org.mw"/>
    <s v="Jonathan Makoza"/>
    <s v="MPC_Bwaila"/>
    <s v="COE"/>
    <x v="1"/>
    <x v="0"/>
    <s v="COP_23"/>
    <s v="Quarter2"/>
    <x v="3"/>
    <s v="Qtr_3"/>
    <x v="7"/>
    <d v="2024-04-01T00:00:00"/>
    <d v="2024-04-30T00:00:00"/>
    <x v="3"/>
    <n v="4"/>
    <n v="1"/>
    <n v="2"/>
    <n v="0"/>
    <n v="1"/>
    <n v="1"/>
    <n v="1"/>
    <n v="0"/>
    <n v="1"/>
    <n v="0"/>
    <n v="0"/>
    <n v="0"/>
    <n v="2"/>
    <n v="0"/>
    <n v="0"/>
    <n v="0"/>
    <n v="0"/>
    <n v="0"/>
    <n v="0"/>
    <n v="0"/>
    <n v="0"/>
    <n v="0"/>
    <n v="0"/>
    <n v="0"/>
    <n v="1"/>
    <m/>
  </r>
  <r>
    <n v="624"/>
    <d v="2024-07-16T13:48:56"/>
    <d v="2024-07-16T13:53:32"/>
    <s v="jmakoza@lighthouse.org.mw"/>
    <s v="Jonathan Makoza"/>
    <s v="MPC_Bwaila"/>
    <s v="COE"/>
    <x v="1"/>
    <x v="0"/>
    <s v="COP_23"/>
    <s v="Quarter2"/>
    <x v="3"/>
    <s v="Qtr_3"/>
    <x v="7"/>
    <d v="2024-04-01T00:00:00"/>
    <d v="2024-04-30T00:00:00"/>
    <x v="4"/>
    <n v="13"/>
    <n v="1"/>
    <n v="3"/>
    <n v="0"/>
    <n v="1"/>
    <n v="0"/>
    <n v="4"/>
    <n v="2"/>
    <n v="3"/>
    <n v="0"/>
    <n v="0"/>
    <n v="0"/>
    <n v="0"/>
    <n v="3"/>
    <n v="0"/>
    <n v="0"/>
    <n v="0"/>
    <n v="0"/>
    <n v="0"/>
    <n v="0"/>
    <n v="0"/>
    <n v="0"/>
    <n v="0"/>
    <n v="0"/>
    <n v="1"/>
    <m/>
  </r>
  <r>
    <n v="625"/>
    <d v="2024-07-16T13:53:59"/>
    <d v="2024-07-16T13:58:55"/>
    <s v="jmakoza@lighthouse.org.mw"/>
    <s v="Jonathan Makoza"/>
    <s v="MPC_Bwaila"/>
    <s v="COE"/>
    <x v="1"/>
    <x v="0"/>
    <s v="COP_23"/>
    <s v="Quarter2"/>
    <x v="3"/>
    <s v="Qtr_3"/>
    <x v="7"/>
    <d v="2024-04-01T00:00:00"/>
    <d v="2024-04-30T00:00:00"/>
    <x v="5"/>
    <n v="52"/>
    <n v="3"/>
    <n v="23"/>
    <n v="0"/>
    <n v="4"/>
    <n v="1"/>
    <n v="28"/>
    <n v="7"/>
    <n v="8"/>
    <n v="1"/>
    <n v="1"/>
    <n v="1"/>
    <n v="8"/>
    <n v="0"/>
    <n v="1"/>
    <n v="0"/>
    <n v="1"/>
    <n v="1"/>
    <n v="1"/>
    <n v="0"/>
    <n v="1"/>
    <n v="1"/>
    <n v="0"/>
    <n v="0"/>
    <n v="1"/>
    <m/>
  </r>
  <r>
    <n v="627"/>
    <d v="2024-07-16T14:18:02"/>
    <d v="2024-07-16T14:21:34"/>
    <s v="jmakoza@lighthouse.org.mw"/>
    <s v="Jonathan Makoza"/>
    <s v="MPC_Bwaila"/>
    <s v="COE"/>
    <x v="1"/>
    <x v="0"/>
    <s v="COP_23"/>
    <s v="Quarter2"/>
    <x v="3"/>
    <s v="Qtr_3"/>
    <x v="7"/>
    <d v="2024-04-01T00:00:00"/>
    <d v="2024-04-30T00:00:00"/>
    <x v="0"/>
    <n v="163"/>
    <n v="26"/>
    <n v="118"/>
    <n v="7"/>
    <n v="31"/>
    <n v="7"/>
    <n v="151"/>
    <n v="58"/>
    <n v="55"/>
    <n v="3"/>
    <n v="4"/>
    <n v="2"/>
    <n v="55"/>
    <n v="3"/>
    <n v="6"/>
    <n v="2"/>
    <n v="8"/>
    <n v="4"/>
    <n v="22"/>
    <n v="0"/>
    <n v="10"/>
    <n v="4"/>
    <n v="0"/>
    <n v="0"/>
    <n v="18"/>
    <m/>
  </r>
  <r>
    <n v="630"/>
    <d v="2024-07-16T14:56:46"/>
    <d v="2024-07-16T15:01:37"/>
    <s v="jmakoza@lighthouse.org.mw"/>
    <s v="Jonathan Makoza"/>
    <s v="MPC_Bwaila"/>
    <s v="COE"/>
    <x v="1"/>
    <x v="0"/>
    <s v="COP_23"/>
    <s v="Quarter2"/>
    <x v="3"/>
    <s v="Qtr_3"/>
    <x v="6"/>
    <d v="2024-05-01T00:00:00"/>
    <d v="2024-05-31T00:00:00"/>
    <x v="4"/>
    <n v="5"/>
    <n v="0"/>
    <n v="2"/>
    <n v="1"/>
    <n v="0"/>
    <n v="0"/>
    <n v="3"/>
    <n v="1"/>
    <n v="3"/>
    <n v="0"/>
    <n v="0"/>
    <n v="0"/>
    <n v="3"/>
    <n v="0"/>
    <n v="0"/>
    <n v="0"/>
    <n v="0"/>
    <n v="0"/>
    <n v="0"/>
    <n v="0"/>
    <n v="0"/>
    <n v="0"/>
    <n v="0"/>
    <n v="0"/>
    <n v="0"/>
    <m/>
  </r>
  <r>
    <n v="631"/>
    <d v="2024-07-16T15:01:45"/>
    <d v="2024-07-16T15:04:05"/>
    <s v="jmakoza@lighthouse.org.mw"/>
    <s v="Jonathan Makoza"/>
    <s v="MPC_Bwaila"/>
    <s v="COE"/>
    <x v="1"/>
    <x v="0"/>
    <s v="COP_23"/>
    <s v="Quarter2"/>
    <x v="3"/>
    <s v="Qtr_3"/>
    <x v="6"/>
    <d v="2024-05-01T00:00:00"/>
    <d v="2024-05-31T00:00:00"/>
    <x v="5"/>
    <n v="21"/>
    <n v="0"/>
    <n v="17"/>
    <n v="1"/>
    <n v="0"/>
    <n v="0"/>
    <n v="17"/>
    <n v="3"/>
    <n v="4"/>
    <n v="0"/>
    <n v="0"/>
    <n v="0"/>
    <n v="2"/>
    <n v="0"/>
    <n v="0"/>
    <n v="0"/>
    <n v="0"/>
    <n v="0"/>
    <n v="2"/>
    <n v="0"/>
    <n v="0"/>
    <n v="0"/>
    <n v="0"/>
    <n v="0"/>
    <n v="0"/>
    <m/>
  </r>
  <r>
    <n v="633"/>
    <d v="2024-07-16T15:13:58"/>
    <d v="2024-07-16T15:18:51"/>
    <s v="jmakoza@lighthouse.org.mw"/>
    <s v="Jonathan Makoza"/>
    <s v="MPC_Bwaila"/>
    <s v="COE"/>
    <x v="1"/>
    <x v="0"/>
    <s v="COP_23"/>
    <s v="Quarter2"/>
    <x v="3"/>
    <s v="Qtr_3"/>
    <x v="6"/>
    <d v="2024-05-01T00:00:00"/>
    <d v="2024-05-31T00:00:00"/>
    <x v="0"/>
    <n v="138"/>
    <n v="23"/>
    <n v="96"/>
    <n v="9"/>
    <n v="28"/>
    <n v="4"/>
    <n v="133"/>
    <n v="40"/>
    <n v="49"/>
    <n v="0"/>
    <n v="0"/>
    <n v="0"/>
    <n v="7"/>
    <n v="0"/>
    <n v="2"/>
    <n v="1"/>
    <n v="3"/>
    <n v="0"/>
    <n v="37"/>
    <n v="2"/>
    <n v="4"/>
    <n v="0"/>
    <n v="0"/>
    <n v="2"/>
    <n v="11"/>
    <m/>
  </r>
  <r>
    <n v="635"/>
    <d v="2024-07-16T15:27:48"/>
    <d v="2024-07-16T15:32:51"/>
    <s v="jmakoza@lighthouse.org.mw"/>
    <s v="Jonathan Makoza"/>
    <s v="MPC_Bwaila"/>
    <s v="COE"/>
    <x v="1"/>
    <x v="0"/>
    <s v="COP_23"/>
    <s v="Quarter2"/>
    <x v="3"/>
    <s v="Qtr_3"/>
    <x v="6"/>
    <d v="2024-06-01T00:00:00"/>
    <d v="2024-06-30T00:00:00"/>
    <x v="3"/>
    <n v="7"/>
    <n v="0"/>
    <n v="5"/>
    <n v="2"/>
    <n v="0"/>
    <n v="0"/>
    <n v="0"/>
    <n v="0"/>
    <n v="5"/>
    <n v="0"/>
    <n v="0"/>
    <n v="0"/>
    <n v="0"/>
    <n v="0"/>
    <n v="0"/>
    <n v="0"/>
    <n v="0"/>
    <n v="0"/>
    <n v="3"/>
    <n v="0"/>
    <n v="0"/>
    <n v="0"/>
    <n v="0"/>
    <n v="0"/>
    <n v="0"/>
    <m/>
  </r>
  <r>
    <n v="636"/>
    <d v="2024-07-16T15:33:04"/>
    <d v="2024-07-16T15:41:30"/>
    <s v="jmakoza@lighthouse.org.mw"/>
    <s v="Jonathan Makoza"/>
    <s v="MPC_Bwaila"/>
    <s v="COE"/>
    <x v="1"/>
    <x v="0"/>
    <s v="COP_23"/>
    <s v="Quarter2"/>
    <x v="3"/>
    <s v="Qtr_3"/>
    <x v="8"/>
    <d v="2024-06-01T00:00:00"/>
    <d v="2024-06-30T00:00:00"/>
    <x v="4"/>
    <n v="12"/>
    <n v="0"/>
    <n v="12"/>
    <n v="0"/>
    <n v="0"/>
    <n v="0"/>
    <n v="9"/>
    <n v="1"/>
    <n v="0"/>
    <n v="0"/>
    <n v="0"/>
    <n v="0"/>
    <n v="0"/>
    <n v="2"/>
    <n v="0"/>
    <n v="0"/>
    <n v="0"/>
    <n v="0"/>
    <n v="0"/>
    <n v="11"/>
    <n v="0"/>
    <n v="0"/>
    <n v="0"/>
    <n v="0"/>
    <n v="0"/>
    <m/>
  </r>
  <r>
    <n v="637"/>
    <d v="2024-07-16T15:42:09"/>
    <d v="2024-07-16T15:44:02"/>
    <s v="jmakoza@lighthouse.org.mw"/>
    <s v="Jonathan Makoza"/>
    <s v="MPC_Bwaila"/>
    <s v="COE"/>
    <x v="1"/>
    <x v="0"/>
    <s v="COP_23"/>
    <s v="Quarter2"/>
    <x v="3"/>
    <s v="Qtr_3"/>
    <x v="8"/>
    <d v="2024-06-01T00:00:00"/>
    <d v="2024-06-30T00:00:00"/>
    <x v="5"/>
    <n v="22"/>
    <n v="0"/>
    <n v="21"/>
    <n v="1"/>
    <n v="0"/>
    <n v="0"/>
    <n v="16"/>
    <n v="2"/>
    <n v="5"/>
    <n v="0"/>
    <n v="0"/>
    <n v="0"/>
    <n v="2"/>
    <n v="0"/>
    <n v="0"/>
    <n v="0"/>
    <n v="0"/>
    <n v="0"/>
    <n v="14"/>
    <n v="0"/>
    <n v="0"/>
    <n v="0"/>
    <n v="0"/>
    <n v="0"/>
    <n v="0"/>
    <m/>
  </r>
  <r>
    <n v="639"/>
    <d v="2024-07-16T15:53:51"/>
    <d v="2024-07-16T15:55:23"/>
    <s v="jmakoza@lighthouse.org.mw"/>
    <s v="Jonathan Makoza"/>
    <s v="MPC_Bwaila"/>
    <s v="COE"/>
    <x v="1"/>
    <x v="0"/>
    <s v="COP_23"/>
    <s v="Quarter2"/>
    <x v="3"/>
    <s v="Qtr_3"/>
    <x v="8"/>
    <d v="2024-06-01T00:00:00"/>
    <d v="2024-06-30T00:00:00"/>
    <x v="0"/>
    <n v="92"/>
    <n v="8"/>
    <n v="67"/>
    <n v="8"/>
    <n v="14"/>
    <n v="3"/>
    <n v="81"/>
    <n v="28"/>
    <n v="35"/>
    <n v="0"/>
    <n v="0"/>
    <n v="0"/>
    <n v="2"/>
    <n v="2"/>
    <n v="1"/>
    <n v="0"/>
    <n v="0"/>
    <n v="0"/>
    <n v="23"/>
    <n v="1"/>
    <n v="0"/>
    <n v="0"/>
    <n v="0"/>
    <n v="0"/>
    <n v="5"/>
    <m/>
  </r>
  <r>
    <n v="99"/>
    <d v="2024-01-18T14:35:08"/>
    <d v="2024-01-18T15:30:58"/>
    <s v="mmsiska@lighthouse.org.mw"/>
    <s v="Michael Msiska"/>
    <s v="MPC_Bwaila"/>
    <s v="COE"/>
    <x v="0"/>
    <x v="0"/>
    <s v="COP_23"/>
    <s v="Quarter4"/>
    <x v="0"/>
    <s v="Qtr_1"/>
    <x v="11"/>
    <d v="2023-12-01T00:00:00"/>
    <d v="2023-12-31T00:00:00"/>
    <x v="1"/>
    <n v="42"/>
    <n v="3"/>
    <n v="20"/>
    <n v="13"/>
    <n v="1"/>
    <n v="8"/>
    <n v="39"/>
    <n v="22"/>
    <n v="19"/>
    <n v="0"/>
    <n v="0"/>
    <n v="0"/>
    <n v="19"/>
    <n v="6"/>
    <n v="1"/>
    <n v="0"/>
    <n v="5"/>
    <n v="1"/>
    <n v="14"/>
    <n v="2"/>
    <n v="8"/>
    <n v="0"/>
    <n v="0"/>
    <n v="1"/>
    <n v="4"/>
    <m/>
  </r>
  <r>
    <n v="102"/>
    <d v="2024-01-19T08:57:34"/>
    <d v="2024-01-19T09:41:25"/>
    <s v="mmsiska@lighthouse.org.mw"/>
    <s v="Michael Msiska"/>
    <s v="MPC_Bwaila"/>
    <s v="COE"/>
    <x v="0"/>
    <x v="2"/>
    <s v="COP_23"/>
    <s v="Quarter4"/>
    <x v="0"/>
    <s v="Qtr_1"/>
    <x v="0"/>
    <d v="2023-10-01T00:00:00"/>
    <d v="2023-10-31T00:00:00"/>
    <x v="1"/>
    <n v="31"/>
    <n v="8"/>
    <n v="16"/>
    <n v="4"/>
    <n v="5"/>
    <n v="6"/>
    <n v="31"/>
    <n v="22"/>
    <n v="24"/>
    <n v="0"/>
    <n v="0"/>
    <n v="0"/>
    <n v="25"/>
    <n v="6"/>
    <n v="3"/>
    <n v="0"/>
    <n v="6"/>
    <n v="4"/>
    <n v="18"/>
    <n v="3"/>
    <n v="8"/>
    <n v="0"/>
    <n v="0"/>
    <n v="1"/>
    <n v="6"/>
    <m/>
  </r>
  <r>
    <n v="105"/>
    <d v="2024-01-19T09:46:19"/>
    <d v="2024-01-19T09:48:49"/>
    <s v="mmsiska@lighthouse.org.mw"/>
    <s v="Michael Msiska"/>
    <s v="MPC_Bwaila"/>
    <s v="COE"/>
    <x v="0"/>
    <x v="0"/>
    <s v="COP_23"/>
    <s v="Quarter4"/>
    <x v="0"/>
    <s v="Qtr_1"/>
    <x v="1"/>
    <d v="2023-11-01T00:00:00"/>
    <d v="2023-11-30T00:00:00"/>
    <x v="1"/>
    <n v="36"/>
    <n v="11"/>
    <n v="14"/>
    <n v="9"/>
    <n v="4"/>
    <n v="9"/>
    <n v="36"/>
    <n v="22"/>
    <n v="23"/>
    <n v="0"/>
    <n v="0"/>
    <n v="0"/>
    <n v="23"/>
    <n v="4"/>
    <n v="4"/>
    <n v="1"/>
    <n v="7"/>
    <n v="3"/>
    <n v="17"/>
    <n v="2"/>
    <n v="7"/>
    <n v="0"/>
    <n v="0"/>
    <n v="2"/>
    <n v="8"/>
    <m/>
  </r>
  <r>
    <n v="169"/>
    <d v="2024-03-11T14:26:42"/>
    <d v="2024-03-11T14:31:25"/>
    <s v="mchirwa@lighthouse.org.mw"/>
    <s v="Margaret Chirwa"/>
    <s v="MPC_Bwaila"/>
    <s v="COE"/>
    <x v="1"/>
    <x v="0"/>
    <s v="COP_23"/>
    <s v="Quarter1"/>
    <x v="2"/>
    <s v="Qtr_2"/>
    <x v="5"/>
    <d v="2024-02-01T00:00:00"/>
    <d v="2024-02-29T00:00:00"/>
    <x v="1"/>
    <n v="155"/>
    <n v="16"/>
    <n v="84"/>
    <n v="27"/>
    <n v="9"/>
    <n v="11"/>
    <n v="131"/>
    <n v="39"/>
    <n v="39"/>
    <n v="3"/>
    <n v="3"/>
    <n v="0"/>
    <n v="39"/>
    <n v="9"/>
    <n v="0"/>
    <n v="0"/>
    <n v="4"/>
    <n v="1"/>
    <n v="24"/>
    <n v="2"/>
    <n v="9"/>
    <n v="1"/>
    <n v="2"/>
    <n v="0"/>
    <n v="5"/>
    <m/>
  </r>
  <r>
    <n v="222"/>
    <d v="2024-04-08T14:28:21"/>
    <d v="2024-04-08T14:41:43"/>
    <s v="mchirwa@lighthouse.org.mw"/>
    <s v="Margaret Chirwa"/>
    <s v="MPC_Bwaila"/>
    <s v="COE"/>
    <x v="1"/>
    <x v="0"/>
    <s v="COP_23"/>
    <s v="Quarter1"/>
    <x v="2"/>
    <s v="Qtr_2"/>
    <x v="3"/>
    <d v="2024-03-01T00:00:00"/>
    <d v="2024-03-31T00:00:00"/>
    <x v="1"/>
    <n v="136"/>
    <n v="8"/>
    <n v="62"/>
    <n v="11"/>
    <n v="22"/>
    <n v="4"/>
    <n v="95"/>
    <n v="28"/>
    <n v="33"/>
    <n v="0"/>
    <n v="1"/>
    <n v="0"/>
    <n v="33"/>
    <n v="0"/>
    <n v="2"/>
    <n v="0"/>
    <n v="7"/>
    <n v="5"/>
    <n v="23"/>
    <n v="3"/>
    <n v="7"/>
    <n v="0"/>
    <n v="0"/>
    <n v="1"/>
    <n v="11"/>
    <m/>
  </r>
  <r>
    <n v="296"/>
    <d v="2024-04-24T10:50:41"/>
    <d v="2024-04-24T11:02:40"/>
    <s v="mchirwa@lighthouse.org.mw"/>
    <s v="Margaret Chirwa"/>
    <s v="MPC_Bwaila"/>
    <s v="COE"/>
    <x v="1"/>
    <x v="2"/>
    <s v="COP_23"/>
    <s v="Quarter1"/>
    <x v="2"/>
    <s v="Qtr_2"/>
    <x v="4"/>
    <d v="2024-01-01T00:00:00"/>
    <d v="2024-01-31T00:00:00"/>
    <x v="1"/>
    <n v="144"/>
    <n v="32"/>
    <n v="89"/>
    <n v="22"/>
    <n v="21"/>
    <n v="12"/>
    <n v="143"/>
    <n v="49"/>
    <n v="57"/>
    <n v="1"/>
    <n v="2"/>
    <n v="1"/>
    <n v="52"/>
    <n v="6"/>
    <n v="3"/>
    <n v="0"/>
    <n v="6"/>
    <n v="3"/>
    <n v="30"/>
    <n v="5"/>
    <n v="9"/>
    <n v="1"/>
    <n v="0"/>
    <n v="2"/>
    <n v="13"/>
    <m/>
  </r>
  <r>
    <n v="623"/>
    <d v="2024-07-16T13:45:18"/>
    <d v="2024-07-16T13:48:49"/>
    <s v="jmakoza@lighthouse.org.mw"/>
    <s v="Jonathan Makoza"/>
    <s v="MPC_Bwaila"/>
    <s v="COE"/>
    <x v="1"/>
    <x v="2"/>
    <s v="COP_23"/>
    <s v="Quarter2"/>
    <x v="3"/>
    <s v="Qtr_3"/>
    <x v="7"/>
    <d v="2024-04-01T00:00:00"/>
    <d v="2024-04-30T00:00:00"/>
    <x v="1"/>
    <n v="129"/>
    <n v="18"/>
    <n v="79"/>
    <n v="6"/>
    <n v="21"/>
    <n v="4"/>
    <n v="126"/>
    <n v="39"/>
    <n v="36"/>
    <n v="1"/>
    <n v="1"/>
    <n v="0"/>
    <n v="35"/>
    <n v="2"/>
    <n v="5"/>
    <n v="2"/>
    <n v="6"/>
    <n v="3"/>
    <n v="13"/>
    <n v="0"/>
    <n v="8"/>
    <n v="0"/>
    <n v="1"/>
    <n v="0"/>
    <n v="11"/>
    <m/>
  </r>
  <r>
    <n v="628"/>
    <d v="2024-07-16T14:34:21"/>
    <d v="2024-07-16T14:43:26"/>
    <s v="jmakoza@lighthouse.org.mw"/>
    <s v="Jonathan Makoza"/>
    <s v="MPC_Bwaila"/>
    <s v="COE"/>
    <x v="1"/>
    <x v="2"/>
    <s v="COP_23"/>
    <s v="Quarter2"/>
    <x v="3"/>
    <s v="Qtr_3"/>
    <x v="6"/>
    <d v="2024-05-01T00:00:00"/>
    <d v="2024-05-30T00:00:00"/>
    <x v="1"/>
    <n v="134"/>
    <n v="21"/>
    <n v="67"/>
    <n v="8"/>
    <n v="26"/>
    <n v="5"/>
    <n v="130"/>
    <n v="34"/>
    <n v="43"/>
    <n v="0"/>
    <n v="0"/>
    <n v="0"/>
    <n v="4"/>
    <n v="0"/>
    <n v="2"/>
    <n v="1"/>
    <n v="1"/>
    <n v="0"/>
    <n v="32"/>
    <n v="2"/>
    <n v="4"/>
    <n v="0"/>
    <n v="0"/>
    <n v="2"/>
    <n v="8"/>
    <m/>
  </r>
  <r>
    <n v="634"/>
    <d v="2024-07-16T15:20:10"/>
    <d v="2024-07-16T15:27:35"/>
    <s v="jmakoza@lighthouse.org.mw"/>
    <s v="Jonathan Makoza"/>
    <s v="MPC_Bwaila"/>
    <s v="COE"/>
    <x v="1"/>
    <x v="2"/>
    <s v="COP_23"/>
    <s v="Quarter2"/>
    <x v="3"/>
    <s v="Qtr_3"/>
    <x v="8"/>
    <d v="2024-06-01T00:00:00"/>
    <d v="2024-06-30T00:00:00"/>
    <x v="1"/>
    <n v="98"/>
    <n v="6"/>
    <n v="44"/>
    <n v="7"/>
    <n v="12"/>
    <n v="3"/>
    <n v="90"/>
    <n v="29"/>
    <n v="34"/>
    <n v="0"/>
    <n v="0"/>
    <n v="0"/>
    <n v="0"/>
    <n v="0"/>
    <n v="1"/>
    <n v="0"/>
    <n v="0"/>
    <n v="0"/>
    <n v="8"/>
    <n v="0"/>
    <n v="0"/>
    <n v="0"/>
    <n v="0"/>
    <n v="0"/>
    <n v="5"/>
    <m/>
  </r>
  <r>
    <n v="226"/>
    <d v="2024-04-08T15:42:48"/>
    <d v="2024-04-08T15:48:23"/>
    <s v="mchirwa@lighthouse.org.mw"/>
    <s v="Margaret Chirwa"/>
    <s v="MPC_Bwaila"/>
    <s v="COE"/>
    <x v="1"/>
    <x v="2"/>
    <s v="COP_23"/>
    <s v="Quarter1"/>
    <x v="2"/>
    <s v="Qtr_2"/>
    <x v="3"/>
    <d v="2024-03-01T00:00:00"/>
    <d v="2024-03-31T00:00:00"/>
    <x v="2"/>
    <n v="49"/>
    <n v="4"/>
    <n v="37"/>
    <n v="3"/>
    <n v="5"/>
    <n v="4"/>
    <n v="49"/>
    <n v="15"/>
    <n v="25"/>
    <n v="0"/>
    <n v="0"/>
    <n v="0"/>
    <n v="25"/>
    <n v="1"/>
    <n v="2"/>
    <n v="0"/>
    <n v="7"/>
    <n v="1"/>
    <n v="12"/>
    <n v="2"/>
    <n v="4"/>
    <n v="0"/>
    <n v="0"/>
    <n v="0"/>
    <n v="3"/>
    <m/>
  </r>
  <r>
    <n v="302"/>
    <d v="2024-04-24T13:31:30"/>
    <d v="2024-04-24T13:32:38"/>
    <s v="mchirwa@lighthouse.org.mw"/>
    <s v="Margaret Chirwa"/>
    <s v="MPC_Bwaila"/>
    <s v="COE"/>
    <x v="1"/>
    <x v="2"/>
    <s v="COP_23"/>
    <s v="Quarter1"/>
    <x v="2"/>
    <s v="Qtr_2"/>
    <x v="4"/>
    <d v="2024-01-01T00:00:00"/>
    <d v="2024-01-31T00:00:00"/>
    <x v="2"/>
    <n v="16"/>
    <n v="2"/>
    <n v="12"/>
    <n v="0"/>
    <n v="1"/>
    <n v="1"/>
    <n v="14"/>
    <n v="4"/>
    <n v="7"/>
    <n v="0"/>
    <n v="1"/>
    <n v="0"/>
    <n v="7"/>
    <n v="1"/>
    <n v="0"/>
    <n v="0"/>
    <n v="1"/>
    <n v="1"/>
    <n v="0"/>
    <n v="0"/>
    <n v="2"/>
    <n v="0"/>
    <n v="0"/>
    <n v="0"/>
    <n v="0"/>
    <m/>
  </r>
  <r>
    <n v="350"/>
    <d v="2024-04-30T15:35:16"/>
    <d v="2024-04-30T15:36:34"/>
    <s v="mchirwa@lighthouse.org.mw"/>
    <s v="Margaret Chirwa"/>
    <s v="MPC_Bwaila"/>
    <s v="COE"/>
    <x v="1"/>
    <x v="2"/>
    <s v="COP_23"/>
    <s v="Quarter1"/>
    <x v="2"/>
    <s v="Qtr_2"/>
    <x v="5"/>
    <d v="2024-02-01T00:00:00"/>
    <d v="2024-02-29T00:00:00"/>
    <x v="2"/>
    <n v="36"/>
    <n v="6"/>
    <n v="20"/>
    <n v="2"/>
    <n v="4"/>
    <n v="3"/>
    <n v="29"/>
    <n v="7"/>
    <n v="24"/>
    <n v="2"/>
    <n v="1"/>
    <n v="0"/>
    <n v="24"/>
    <n v="2"/>
    <n v="0"/>
    <n v="0"/>
    <n v="4"/>
    <n v="0"/>
    <n v="7"/>
    <n v="0"/>
    <n v="2"/>
    <n v="1"/>
    <n v="0"/>
    <n v="0"/>
    <n v="5"/>
    <m/>
  </r>
  <r>
    <n v="626"/>
    <d v="2024-07-16T14:00:29"/>
    <d v="2024-07-16T14:12:25"/>
    <s v="jmakoza@lighthouse.org.mw"/>
    <s v="Jonathan Makoza"/>
    <s v="MPC_Bwaila"/>
    <s v="COE"/>
    <x v="1"/>
    <x v="2"/>
    <s v="COP_23"/>
    <s v="Quarter2"/>
    <x v="3"/>
    <s v="Qtr_3"/>
    <x v="7"/>
    <d v="2024-04-01T00:00:00"/>
    <d v="2024-04-30T00:00:00"/>
    <x v="2"/>
    <n v="32"/>
    <n v="0"/>
    <n v="24"/>
    <n v="1"/>
    <n v="6"/>
    <n v="1"/>
    <n v="32"/>
    <n v="12"/>
    <n v="12"/>
    <n v="2"/>
    <n v="2"/>
    <n v="2"/>
    <n v="12"/>
    <n v="0"/>
    <n v="1"/>
    <n v="0"/>
    <n v="2"/>
    <n v="1"/>
    <n v="4"/>
    <n v="0"/>
    <n v="1"/>
    <n v="2"/>
    <n v="0"/>
    <n v="0"/>
    <n v="3"/>
    <m/>
  </r>
  <r>
    <n v="632"/>
    <d v="2024-07-16T15:05:08"/>
    <d v="2024-07-16T15:12:50"/>
    <s v="jmakoza@lighthouse.org.mw"/>
    <s v="Jonathan Makoza"/>
    <s v="MPC_Bwaila"/>
    <s v="COE"/>
    <x v="1"/>
    <x v="2"/>
    <s v="COP_23"/>
    <s v="Quarter2"/>
    <x v="3"/>
    <s v="Qtr_3"/>
    <x v="6"/>
    <d v="2024-05-01T00:00:00"/>
    <d v="2024-05-31T00:00:00"/>
    <x v="2"/>
    <n v="53"/>
    <n v="2"/>
    <n v="12"/>
    <n v="0"/>
    <n v="2"/>
    <n v="0"/>
    <n v="13"/>
    <n v="2"/>
    <n v="2"/>
    <n v="0"/>
    <n v="0"/>
    <n v="0"/>
    <n v="1"/>
    <n v="0"/>
    <n v="0"/>
    <n v="0"/>
    <n v="2"/>
    <n v="0"/>
    <n v="2"/>
    <n v="0"/>
    <n v="0"/>
    <n v="0"/>
    <n v="0"/>
    <n v="0"/>
    <n v="2"/>
    <m/>
  </r>
  <r>
    <n v="855"/>
    <d v="2024-10-02T14:39:46"/>
    <d v="2024-10-02T14:45:18"/>
    <s v="jmakoza@lighthouse.org.mw"/>
    <s v="Jonathan Makoza"/>
    <s v="MPC_Bwaila"/>
    <s v="COE"/>
    <x v="1"/>
    <x v="1"/>
    <s v="COP_23"/>
    <s v="Quarter3"/>
    <x v="1"/>
    <s v="Qtr_4"/>
    <x v="9"/>
    <d v="2024-07-01T00:00:00"/>
    <d v="2024-07-31T00:00:00"/>
    <x v="1"/>
    <n v="99"/>
    <n v="14"/>
    <n v="69"/>
    <n v="7"/>
    <n v="17"/>
    <n v="6"/>
    <n v="92"/>
    <n v="27"/>
    <n v="33"/>
    <n v="0"/>
    <n v="0"/>
    <n v="0"/>
    <n v="0"/>
    <n v="0"/>
    <n v="0"/>
    <n v="0"/>
    <n v="11"/>
    <n v="4"/>
    <n v="3"/>
    <n v="14"/>
    <n v="6"/>
    <n v="0"/>
    <n v="0"/>
    <n v="0"/>
    <n v="15"/>
    <m/>
  </r>
  <r>
    <n v="864"/>
    <d v="2024-10-02T15:21:07"/>
    <d v="2024-10-02T15:23:14"/>
    <s v="jmakoza@lighthouse.org.mw"/>
    <s v="Jonathan Makoza"/>
    <s v="MPC_Bwaila"/>
    <s v="COE"/>
    <x v="1"/>
    <x v="1"/>
    <s v="COP_23"/>
    <s v="Quarter3"/>
    <x v="1"/>
    <s v="Qtr_4"/>
    <x v="10"/>
    <d v="2024-08-01T00:00:00"/>
    <d v="2024-08-31T00:00:00"/>
    <x v="1"/>
    <n v="123"/>
    <n v="2"/>
    <n v="76"/>
    <n v="7"/>
    <n v="19"/>
    <n v="8"/>
    <n v="106"/>
    <n v="28"/>
    <n v="30"/>
    <n v="0"/>
    <n v="0"/>
    <n v="0"/>
    <n v="3"/>
    <n v="2"/>
    <n v="0"/>
    <n v="0"/>
    <n v="3"/>
    <n v="2"/>
    <n v="4"/>
    <n v="0"/>
    <n v="9"/>
    <n v="0"/>
    <n v="0"/>
    <n v="0"/>
    <n v="15"/>
    <m/>
  </r>
  <r>
    <n v="955"/>
    <d v="2024-10-17T15:18:49"/>
    <d v="2024-10-17T15:25:01"/>
    <s v="jmakoza@lighthouse.org.mw"/>
    <s v="Jonathan Makoza"/>
    <s v="MPC_Bwaila"/>
    <s v="COE"/>
    <x v="1"/>
    <x v="1"/>
    <s v="COP_23"/>
    <s v="Quarter3"/>
    <x v="1"/>
    <s v="Qtr_4"/>
    <x v="2"/>
    <d v="2024-09-01T00:00:00"/>
    <d v="2024-09-30T00:00:00"/>
    <x v="1"/>
    <n v="93"/>
    <n v="10"/>
    <n v="61"/>
    <n v="5"/>
    <n v="18"/>
    <n v="11"/>
    <n v="92"/>
    <n v="29"/>
    <n v="25"/>
    <n v="1"/>
    <n v="3"/>
    <n v="0"/>
    <n v="25"/>
    <n v="2"/>
    <n v="3"/>
    <n v="1"/>
    <n v="8"/>
    <n v="4"/>
    <n v="18"/>
    <n v="1"/>
    <n v="4"/>
    <n v="0"/>
    <n v="0"/>
    <n v="0"/>
    <n v="3"/>
    <m/>
  </r>
  <r>
    <n v="638"/>
    <d v="2024-07-16T15:44:07"/>
    <d v="2024-07-16T15:46:07"/>
    <s v="jmakoza@lighthouse.org.mw"/>
    <s v="Jonathan Makoza"/>
    <s v="MPC_Bwaila"/>
    <s v="COE"/>
    <x v="1"/>
    <x v="2"/>
    <s v="COP_23"/>
    <s v="Quarter2"/>
    <x v="3"/>
    <s v="Qtr_3"/>
    <x v="8"/>
    <d v="2024-06-01T00:00:00"/>
    <d v="2024-06-30T00:00:00"/>
    <x v="2"/>
    <n v="50"/>
    <n v="1"/>
    <n v="5"/>
    <n v="1"/>
    <n v="1"/>
    <n v="0"/>
    <n v="6"/>
    <n v="1"/>
    <n v="1"/>
    <n v="0"/>
    <n v="0"/>
    <n v="0"/>
    <n v="0"/>
    <n v="0"/>
    <n v="0"/>
    <n v="0"/>
    <n v="0"/>
    <n v="0"/>
    <n v="0"/>
    <n v="0"/>
    <n v="0"/>
    <n v="0"/>
    <n v="0"/>
    <n v="0"/>
    <n v="0"/>
    <m/>
  </r>
  <r>
    <n v="859"/>
    <d v="2024-10-02T15:03:23"/>
    <d v="2024-10-02T15:05:29"/>
    <s v="jmakoza@lighthouse.org.mw"/>
    <s v="Jonathan Makoza"/>
    <s v="MPC_Bwaila"/>
    <s v="COE"/>
    <x v="1"/>
    <x v="1"/>
    <s v="COP_23"/>
    <s v="Quarter3"/>
    <x v="1"/>
    <s v="Qtr_4"/>
    <x v="9"/>
    <d v="2024-07-01T00:00:00"/>
    <d v="2024-07-31T00:00:00"/>
    <x v="2"/>
    <n v="11"/>
    <n v="1"/>
    <n v="9"/>
    <n v="0"/>
    <n v="2"/>
    <n v="0"/>
    <n v="11"/>
    <n v="1"/>
    <n v="0"/>
    <n v="0"/>
    <n v="0"/>
    <n v="0"/>
    <n v="0"/>
    <n v="0"/>
    <n v="0"/>
    <n v="0"/>
    <n v="0"/>
    <n v="0"/>
    <n v="0"/>
    <n v="0"/>
    <n v="0"/>
    <n v="0"/>
    <n v="0"/>
    <n v="0"/>
    <n v="0"/>
    <m/>
  </r>
  <r>
    <n v="770"/>
    <d v="2024-08-19T10:34:30"/>
    <d v="2024-08-19T10:38:22"/>
    <s v="mchirwa@lighthouse.org.mw"/>
    <s v="Margaret Chirwa"/>
    <s v="MPC_Bwaila"/>
    <s v="COE"/>
    <x v="1"/>
    <x v="2"/>
    <s v="COP_23"/>
    <s v="Quarter2"/>
    <x v="3"/>
    <s v="Qtr_3"/>
    <x v="8"/>
    <d v="2024-06-01T00:00:00"/>
    <d v="2024-06-30T00:00:00"/>
    <x v="3"/>
    <n v="7"/>
    <n v="0"/>
    <n v="5"/>
    <n v="2"/>
    <n v="0"/>
    <n v="0"/>
    <n v="0"/>
    <n v="0"/>
    <n v="5"/>
    <n v="0"/>
    <n v="0"/>
    <n v="0"/>
    <n v="0"/>
    <n v="0"/>
    <n v="0"/>
    <n v="0"/>
    <n v="0"/>
    <n v="0"/>
    <n v="3"/>
    <n v="0"/>
    <n v="0"/>
    <n v="0"/>
    <n v="0"/>
    <n v="0"/>
    <n v="0"/>
    <m/>
  </r>
  <r>
    <n v="862"/>
    <d v="2024-10-02T15:13:40"/>
    <d v="2024-10-02T15:17:18"/>
    <s v="jmakoza@lighthouse.org.mw"/>
    <s v="Jonathan Makoza"/>
    <s v="MPC_Bwaila"/>
    <s v="COE"/>
    <x v="1"/>
    <x v="1"/>
    <s v="COP_23"/>
    <s v="Quarter3"/>
    <x v="1"/>
    <s v="Qtr_4"/>
    <x v="10"/>
    <d v="2024-08-01T00:00:00"/>
    <d v="2024-08-31T00:00:00"/>
    <x v="2"/>
    <n v="37"/>
    <n v="0"/>
    <n v="10"/>
    <n v="2"/>
    <n v="0"/>
    <n v="0"/>
    <n v="12"/>
    <n v="1"/>
    <n v="1"/>
    <n v="0"/>
    <n v="0"/>
    <n v="0"/>
    <n v="0"/>
    <n v="0"/>
    <n v="0"/>
    <n v="0"/>
    <n v="0"/>
    <n v="0"/>
    <n v="0"/>
    <n v="0"/>
    <n v="0"/>
    <n v="0"/>
    <n v="0"/>
    <n v="0"/>
    <n v="0"/>
    <m/>
  </r>
  <r>
    <n v="951"/>
    <d v="2024-10-17T15:05:30"/>
    <d v="2024-10-17T15:11:33"/>
    <s v="jmakoza@lighthouse.org.mw"/>
    <s v="Jonathan Makoza"/>
    <s v="MPC_Bwaila"/>
    <s v="COE"/>
    <x v="1"/>
    <x v="1"/>
    <s v="COP_23"/>
    <s v="Quarter3"/>
    <x v="1"/>
    <s v="Qtr_4"/>
    <x v="2"/>
    <d v="2024-09-01T00:00:00"/>
    <d v="2024-09-30T00:00:00"/>
    <x v="2"/>
    <n v="40"/>
    <n v="0"/>
    <n v="8"/>
    <n v="1"/>
    <n v="3"/>
    <n v="1"/>
    <n v="13"/>
    <n v="5"/>
    <n v="6"/>
    <n v="0"/>
    <n v="0"/>
    <n v="0"/>
    <n v="6"/>
    <n v="0"/>
    <n v="0"/>
    <n v="0"/>
    <n v="3"/>
    <n v="1"/>
    <n v="4"/>
    <n v="0"/>
    <n v="1"/>
    <n v="0"/>
    <n v="0"/>
    <n v="0"/>
    <n v="1"/>
    <m/>
  </r>
  <r>
    <n v="856"/>
    <d v="2024-10-02T14:47:06"/>
    <d v="2024-10-02T14:50:48"/>
    <s v="jmakoza@lighthouse.org.mw"/>
    <s v="Jonathan Makoza"/>
    <s v="MPC_Bwaila"/>
    <s v="COE"/>
    <x v="1"/>
    <x v="1"/>
    <s v="COP_23"/>
    <s v="Quarter3"/>
    <x v="1"/>
    <s v="Qtr_4"/>
    <x v="9"/>
    <d v="2024-07-01T00:00:00"/>
    <d v="2024-07-31T00:00:00"/>
    <x v="3"/>
    <n v="6"/>
    <n v="1"/>
    <n v="4"/>
    <n v="0"/>
    <n v="2"/>
    <n v="0"/>
    <n v="0"/>
    <n v="0"/>
    <n v="5"/>
    <n v="0"/>
    <n v="0"/>
    <n v="0"/>
    <n v="0"/>
    <n v="0"/>
    <n v="0"/>
    <n v="0"/>
    <n v="2"/>
    <n v="1"/>
    <n v="1"/>
    <n v="1"/>
    <n v="1"/>
    <n v="0"/>
    <n v="0"/>
    <n v="0"/>
    <n v="2"/>
    <m/>
  </r>
  <r>
    <n v="857"/>
    <d v="2024-10-02T14:53:54"/>
    <d v="2024-10-02T15:00:15"/>
    <s v="jmakoza@lighthouse.org.mw"/>
    <s v="Jonathan Makoza"/>
    <s v="MPC_Bwaila"/>
    <s v="COE"/>
    <x v="1"/>
    <x v="1"/>
    <s v="COP_23"/>
    <s v="Quarter3"/>
    <x v="1"/>
    <s v="Qtr_4"/>
    <x v="9"/>
    <d v="2024-10-01T00:00:00"/>
    <d v="2024-10-31T00:00:00"/>
    <x v="4"/>
    <n v="6"/>
    <n v="1"/>
    <n v="3"/>
    <n v="1"/>
    <n v="2"/>
    <n v="0"/>
    <n v="6"/>
    <n v="1"/>
    <n v="0"/>
    <n v="0"/>
    <n v="0"/>
    <n v="0"/>
    <n v="0"/>
    <n v="0"/>
    <n v="0"/>
    <n v="0"/>
    <n v="0"/>
    <n v="0"/>
    <n v="1"/>
    <n v="0"/>
    <n v="0"/>
    <n v="0"/>
    <n v="0"/>
    <n v="0"/>
    <n v="2"/>
    <m/>
  </r>
  <r>
    <n v="858"/>
    <d v="2024-10-02T15:00:21"/>
    <d v="2024-10-02T15:03:10"/>
    <s v="jmakoza@lighthouse.org.mw"/>
    <s v="Jonathan Makoza"/>
    <s v="MPC_Bwaila"/>
    <s v="COE"/>
    <x v="1"/>
    <x v="1"/>
    <s v="COP_23"/>
    <s v="Quarter3"/>
    <x v="1"/>
    <s v="Qtr_4"/>
    <x v="9"/>
    <d v="2024-07-01T00:00:00"/>
    <d v="2024-07-31T00:00:00"/>
    <x v="5"/>
    <n v="19"/>
    <n v="2"/>
    <n v="17"/>
    <n v="0"/>
    <n v="0"/>
    <n v="2"/>
    <n v="18"/>
    <n v="4"/>
    <n v="3"/>
    <n v="0"/>
    <n v="0"/>
    <n v="0"/>
    <n v="0"/>
    <n v="0"/>
    <n v="0"/>
    <n v="0"/>
    <n v="0"/>
    <n v="0"/>
    <n v="1"/>
    <n v="1"/>
    <n v="1"/>
    <n v="0"/>
    <n v="0"/>
    <n v="0"/>
    <n v="0"/>
    <m/>
  </r>
  <r>
    <n v="860"/>
    <d v="2024-10-02T15:06:14"/>
    <d v="2024-10-02T15:09:52"/>
    <s v="jmakoza@lighthouse.org.mw"/>
    <s v="Jonathan Makoza"/>
    <s v="MPC_Bwaila"/>
    <s v="COE"/>
    <x v="1"/>
    <x v="1"/>
    <s v="COP_23"/>
    <s v="Quarter3"/>
    <x v="1"/>
    <s v="Qtr_4"/>
    <x v="9"/>
    <d v="2024-07-01T00:00:00"/>
    <d v="2024-07-31T00:00:00"/>
    <x v="0"/>
    <n v="129"/>
    <n v="17"/>
    <n v="95"/>
    <n v="7"/>
    <n v="19"/>
    <n v="8"/>
    <n v="121"/>
    <n v="32"/>
    <n v="36"/>
    <n v="0"/>
    <n v="0"/>
    <n v="0"/>
    <n v="0"/>
    <n v="0"/>
    <n v="0"/>
    <n v="0"/>
    <n v="11"/>
    <n v="4"/>
    <n v="15"/>
    <n v="4"/>
    <n v="7"/>
    <n v="0"/>
    <n v="0"/>
    <n v="0"/>
    <n v="16"/>
    <m/>
  </r>
  <r>
    <n v="861"/>
    <d v="2024-10-02T15:10:02"/>
    <d v="2024-10-02T15:13:25"/>
    <s v="jmakoza@lighthouse.org.mw"/>
    <s v="Jonathan Makoza"/>
    <s v="MPC_Bwaila"/>
    <s v="COE"/>
    <x v="1"/>
    <x v="1"/>
    <s v="COP_22"/>
    <s v="Quarter3"/>
    <x v="1"/>
    <s v="Qtr_4"/>
    <x v="10"/>
    <d v="2024-08-01T00:00:00"/>
    <d v="2024-08-31T00:00:00"/>
    <x v="0"/>
    <n v="141"/>
    <n v="3"/>
    <n v="103"/>
    <n v="9"/>
    <n v="20"/>
    <n v="9"/>
    <n v="131"/>
    <n v="30"/>
    <n v="44"/>
    <n v="0"/>
    <n v="0"/>
    <n v="0"/>
    <n v="11"/>
    <n v="3"/>
    <n v="0"/>
    <n v="0"/>
    <n v="5"/>
    <n v="4"/>
    <n v="13"/>
    <n v="2"/>
    <n v="11"/>
    <n v="0"/>
    <n v="0"/>
    <n v="0"/>
    <n v="15"/>
    <m/>
  </r>
  <r>
    <n v="863"/>
    <d v="2024-10-02T15:17:26"/>
    <d v="2024-10-02T15:20:47"/>
    <s v="jmakoza@lighthouse.org.mw"/>
    <s v="Jonathan Makoza"/>
    <s v="MPC_Bwaila"/>
    <s v="COE"/>
    <x v="1"/>
    <x v="0"/>
    <s v="COP_23"/>
    <s v="Quarter3"/>
    <x v="1"/>
    <s v="Qtr_4"/>
    <x v="10"/>
    <d v="2024-08-01T00:00:00"/>
    <d v="2024-08-31T00:00:00"/>
    <x v="5"/>
    <n v="56"/>
    <n v="0"/>
    <n v="11"/>
    <n v="1"/>
    <n v="0"/>
    <n v="1"/>
    <n v="9"/>
    <n v="1"/>
    <n v="7"/>
    <n v="0"/>
    <n v="0"/>
    <n v="0"/>
    <n v="6"/>
    <n v="1"/>
    <n v="0"/>
    <n v="0"/>
    <n v="1"/>
    <n v="1"/>
    <n v="2"/>
    <n v="0"/>
    <n v="0"/>
    <n v="0"/>
    <n v="0"/>
    <n v="0"/>
    <n v="0"/>
    <m/>
  </r>
  <r>
    <n v="865"/>
    <d v="2024-10-02T15:29:35"/>
    <d v="2024-10-02T15:31:29"/>
    <s v="jmakoza@lighthouse.org.mw"/>
    <s v="Jonathan Makoza"/>
    <s v="MPC_Bwaila"/>
    <s v="COE"/>
    <x v="1"/>
    <x v="1"/>
    <s v="COP_22"/>
    <s v="Quarter3"/>
    <x v="1"/>
    <s v="Qtr_4"/>
    <x v="10"/>
    <d v="2024-08-01T00:00:00"/>
    <d v="2024-08-31T00:00:00"/>
    <x v="3"/>
    <n v="9"/>
    <n v="0"/>
    <n v="8"/>
    <n v="0"/>
    <n v="1"/>
    <n v="0"/>
    <n v="1"/>
    <n v="0"/>
    <n v="9"/>
    <n v="0"/>
    <n v="0"/>
    <n v="0"/>
    <n v="6"/>
    <n v="0"/>
    <n v="0"/>
    <n v="0"/>
    <n v="0"/>
    <n v="4"/>
    <n v="0"/>
    <n v="0"/>
    <n v="0"/>
    <n v="0"/>
    <n v="0"/>
    <n v="0"/>
    <n v="0"/>
    <m/>
  </r>
  <r>
    <n v="866"/>
    <d v="2024-10-02T15:32:52"/>
    <d v="2024-10-02T15:34:50"/>
    <s v="jmakoza@lighthouse.org.mw"/>
    <s v="Jonathan Makoza"/>
    <s v="MPC_Bwaila"/>
    <s v="COE"/>
    <x v="1"/>
    <x v="0"/>
    <s v="COP_23"/>
    <s v="Quarter3"/>
    <x v="1"/>
    <s v="Qtr_4"/>
    <x v="10"/>
    <d v="2024-08-01T00:00:00"/>
    <d v="2024-08-31T00:00:00"/>
    <x v="4"/>
    <n v="8"/>
    <n v="1"/>
    <n v="5"/>
    <n v="0"/>
    <n v="1"/>
    <n v="2"/>
    <n v="8"/>
    <n v="1"/>
    <n v="1"/>
    <n v="0"/>
    <n v="0"/>
    <n v="0"/>
    <n v="1"/>
    <n v="1"/>
    <n v="0"/>
    <n v="0"/>
    <n v="5"/>
    <n v="0"/>
    <n v="6"/>
    <n v="1"/>
    <n v="2"/>
    <n v="0"/>
    <n v="0"/>
    <n v="0"/>
    <n v="0"/>
    <m/>
  </r>
  <r>
    <n v="950"/>
    <d v="2024-10-17T14:58:57"/>
    <d v="2024-10-17T15:04:41"/>
    <s v="jmakoza@lighthouse.org.mw"/>
    <s v="Jonathan Makoza"/>
    <s v="MPC_Bwaila"/>
    <s v="COE"/>
    <x v="1"/>
    <x v="0"/>
    <s v="COP_23"/>
    <s v="Quarter3"/>
    <x v="1"/>
    <s v="Qtr_4"/>
    <x v="2"/>
    <d v="2024-09-01T00:00:00"/>
    <d v="2024-09-30T00:00:00"/>
    <x v="0"/>
    <n v="117"/>
    <n v="13"/>
    <n v="75"/>
    <n v="6"/>
    <n v="22"/>
    <n v="14"/>
    <n v="114"/>
    <n v="39"/>
    <n v="36"/>
    <n v="2"/>
    <n v="5"/>
    <n v="0"/>
    <n v="35"/>
    <n v="4"/>
    <n v="3"/>
    <n v="1"/>
    <n v="14"/>
    <n v="6"/>
    <n v="24"/>
    <n v="1"/>
    <n v="6"/>
    <n v="0"/>
    <n v="0"/>
    <n v="0"/>
    <n v="5"/>
    <m/>
  </r>
  <r>
    <n v="952"/>
    <d v="2024-10-17T15:11:41"/>
    <d v="2024-10-17T15:14:10"/>
    <s v="jmakoza@lighthouse.org.mw"/>
    <s v="Jonathan Makoza"/>
    <s v="MPC_Bwaila"/>
    <s v="COE"/>
    <x v="1"/>
    <x v="0"/>
    <s v="COP_23"/>
    <s v="Quarter3"/>
    <x v="1"/>
    <s v="Qtr_4"/>
    <x v="2"/>
    <d v="2024-09-01T00:00:00"/>
    <d v="2024-09-30T00:00:00"/>
    <x v="5"/>
    <n v="50"/>
    <n v="0"/>
    <n v="8"/>
    <n v="1"/>
    <n v="0"/>
    <n v="0"/>
    <n v="9"/>
    <n v="3"/>
    <n v="3"/>
    <n v="0"/>
    <n v="0"/>
    <n v="0"/>
    <n v="3"/>
    <n v="0"/>
    <n v="0"/>
    <n v="0"/>
    <n v="3"/>
    <n v="1"/>
    <n v="1"/>
    <n v="0"/>
    <n v="0"/>
    <n v="0"/>
    <n v="0"/>
    <n v="0"/>
    <n v="1"/>
    <m/>
  </r>
  <r>
    <n v="953"/>
    <d v="2024-10-17T15:14:14"/>
    <d v="2024-10-17T15:16:35"/>
    <s v="jmakoza@lighthouse.org.mw"/>
    <s v="Jonathan Makoza"/>
    <s v="MPC_Bwaila"/>
    <s v="COE"/>
    <x v="1"/>
    <x v="0"/>
    <s v="COP_23"/>
    <s v="Quarter3"/>
    <x v="1"/>
    <s v="Qtr_4"/>
    <x v="2"/>
    <d v="2024-09-01T00:00:00"/>
    <d v="2024-09-30T00:00:00"/>
    <x v="4"/>
    <n v="3"/>
    <n v="0"/>
    <n v="0"/>
    <n v="0"/>
    <n v="0"/>
    <n v="2"/>
    <n v="2"/>
    <n v="2"/>
    <n v="2"/>
    <n v="0"/>
    <n v="0"/>
    <n v="0"/>
    <n v="2"/>
    <n v="0"/>
    <n v="0"/>
    <n v="0"/>
    <n v="0"/>
    <n v="0"/>
    <n v="1"/>
    <n v="0"/>
    <n v="0"/>
    <n v="0"/>
    <n v="0"/>
    <n v="0"/>
    <n v="0"/>
    <m/>
  </r>
  <r>
    <n v="954"/>
    <d v="2024-10-17T15:16:41"/>
    <d v="2024-10-17T15:18:37"/>
    <s v="jmakoza@lighthouse.org.mw"/>
    <s v="Jonathan Makoza"/>
    <s v="MPC_Bwaila"/>
    <s v="COE"/>
    <x v="1"/>
    <x v="0"/>
    <s v="COP_23"/>
    <s v="Quarter3"/>
    <x v="1"/>
    <s v="Qtr_4"/>
    <x v="2"/>
    <d v="2024-09-01T00:00:00"/>
    <d v="2024-09-30T00:00:00"/>
    <x v="3"/>
    <n v="5"/>
    <n v="0"/>
    <n v="2"/>
    <n v="0"/>
    <n v="1"/>
    <n v="0"/>
    <n v="2"/>
    <n v="0"/>
    <n v="0"/>
    <n v="0"/>
    <n v="0"/>
    <n v="0"/>
    <n v="0"/>
    <n v="0"/>
    <n v="0"/>
    <n v="0"/>
    <n v="0"/>
    <n v="0"/>
    <n v="0"/>
    <n v="0"/>
    <n v="0"/>
    <n v="0"/>
    <n v="0"/>
    <n v="0"/>
    <n v="0"/>
    <m/>
  </r>
  <r>
    <n v="1138"/>
    <d v="2024-12-17T13:56:54"/>
    <d v="2024-12-17T14:07:14"/>
    <s v="jmakoza@lighthouse.org.mw"/>
    <s v="Jonathan Makoza"/>
    <s v="MPC_Bwaila"/>
    <s v="COE"/>
    <x v="1"/>
    <x v="0"/>
    <s v="COP_24"/>
    <s v="Quarter4"/>
    <x v="0"/>
    <s v="Qtr_1"/>
    <x v="1"/>
    <d v="2024-11-01T00:00:00"/>
    <d v="2024-11-30T00:00:00"/>
    <x v="1"/>
    <n v="103"/>
    <n v="5"/>
    <n v="80"/>
    <n v="8"/>
    <n v="10"/>
    <n v="7"/>
    <n v="100"/>
    <n v="30"/>
    <n v="37"/>
    <n v="0"/>
    <n v="0"/>
    <n v="0"/>
    <n v="30"/>
    <n v="4"/>
    <n v="7"/>
    <n v="1"/>
    <n v="4"/>
    <n v="1"/>
    <n v="13"/>
    <n v="0"/>
    <n v="3"/>
    <n v="0"/>
    <n v="0"/>
    <n v="1"/>
    <n v="13"/>
    <m/>
  </r>
  <r>
    <n v="1139"/>
    <d v="2024-12-17T14:07:22"/>
    <d v="2024-12-17T14:12:10"/>
    <s v="jmakoza@lighthouse.org.mw"/>
    <s v="Jonathan Makoza"/>
    <s v="MPC_Bwaila"/>
    <s v="COE"/>
    <x v="1"/>
    <x v="0"/>
    <s v="COP_24"/>
    <s v="Quarter4"/>
    <x v="0"/>
    <s v="Qtr_1"/>
    <x v="1"/>
    <d v="2024-11-01T00:00:00"/>
    <d v="2024-11-30T00:00:00"/>
    <x v="3"/>
    <n v="5"/>
    <n v="0"/>
    <n v="3"/>
    <n v="0"/>
    <n v="1"/>
    <n v="1"/>
    <n v="5"/>
    <n v="0"/>
    <n v="5"/>
    <n v="0"/>
    <n v="0"/>
    <n v="0"/>
    <n v="4"/>
    <n v="1"/>
    <n v="0"/>
    <n v="0"/>
    <n v="0"/>
    <n v="0"/>
    <n v="1"/>
    <n v="0"/>
    <n v="0"/>
    <n v="0"/>
    <n v="0"/>
    <n v="0"/>
    <n v="1"/>
    <m/>
  </r>
  <r>
    <n v="1140"/>
    <d v="2024-12-17T14:12:14"/>
    <d v="2024-12-17T14:15:51"/>
    <s v="jmakoza@lighthouse.org.mw"/>
    <s v="Jonathan Makoza"/>
    <s v="MPC_Bwaila"/>
    <s v="COE"/>
    <x v="1"/>
    <x v="0"/>
    <s v="COP_24"/>
    <s v="Quarter4"/>
    <x v="0"/>
    <s v="Qtr_1"/>
    <x v="1"/>
    <d v="2024-11-01T00:00:00"/>
    <d v="2024-11-30T00:00:00"/>
    <x v="4"/>
    <n v="5"/>
    <n v="0"/>
    <n v="4"/>
    <n v="0"/>
    <n v="0"/>
    <n v="1"/>
    <n v="5"/>
    <n v="1"/>
    <n v="4"/>
    <n v="0"/>
    <n v="0"/>
    <n v="0"/>
    <n v="2"/>
    <n v="0"/>
    <n v="0"/>
    <n v="0"/>
    <n v="0"/>
    <n v="0"/>
    <n v="2"/>
    <n v="0"/>
    <n v="1"/>
    <n v="0"/>
    <n v="0"/>
    <n v="0"/>
    <n v="0"/>
    <m/>
  </r>
  <r>
    <n v="1141"/>
    <d v="2024-12-17T14:16:56"/>
    <d v="2024-12-17T14:23:11"/>
    <s v="jmakoza@lighthouse.org.mw"/>
    <s v="Jonathan Makoza"/>
    <s v="MPC_Bwaila"/>
    <s v="COE"/>
    <x v="1"/>
    <x v="0"/>
    <s v="COP_24"/>
    <s v="Quarter4"/>
    <x v="0"/>
    <s v="Qtr_1"/>
    <x v="1"/>
    <d v="2024-11-01T00:00:00"/>
    <d v="2024-11-30T00:00:00"/>
    <x v="5"/>
    <n v="52"/>
    <n v="3"/>
    <n v="36"/>
    <n v="1"/>
    <n v="0"/>
    <n v="3"/>
    <n v="34"/>
    <n v="4"/>
    <n v="9"/>
    <n v="0"/>
    <n v="0"/>
    <n v="0"/>
    <n v="11"/>
    <n v="1"/>
    <n v="1"/>
    <n v="1"/>
    <n v="0"/>
    <n v="0"/>
    <n v="6"/>
    <n v="1"/>
    <n v="3"/>
    <n v="0"/>
    <n v="0"/>
    <n v="0"/>
    <n v="1"/>
    <m/>
  </r>
  <r>
    <n v="1142"/>
    <d v="2024-12-17T14:23:46"/>
    <d v="2024-12-17T14:34:11"/>
    <s v="jmakoza@lighthouse.org.mw"/>
    <s v="Jonathan Makoza"/>
    <s v="MPC_Bwaila"/>
    <s v="COE"/>
    <x v="1"/>
    <x v="0"/>
    <s v="COP_24"/>
    <s v="Quarter4"/>
    <x v="0"/>
    <s v="Qtr_1"/>
    <x v="1"/>
    <d v="2024-11-01T00:00:00"/>
    <d v="2024-11-30T00:00:00"/>
    <x v="2"/>
    <n v="74"/>
    <n v="1"/>
    <n v="22"/>
    <n v="2"/>
    <n v="6"/>
    <n v="0"/>
    <n v="29"/>
    <n v="11"/>
    <n v="9"/>
    <n v="0"/>
    <n v="0"/>
    <n v="0"/>
    <n v="9"/>
    <n v="0"/>
    <n v="1"/>
    <n v="0"/>
    <n v="2"/>
    <n v="1"/>
    <n v="7"/>
    <n v="0"/>
    <n v="0"/>
    <n v="0"/>
    <n v="0"/>
    <n v="0"/>
    <n v="0"/>
    <m/>
  </r>
  <r>
    <n v="1143"/>
    <d v="2024-12-17T14:35:11"/>
    <d v="2024-12-17T14:38:49"/>
    <s v="jmakoza@lighthouse.org.mw"/>
    <s v="Jonathan Makoza"/>
    <s v="MPC_Bwaila"/>
    <s v="COE"/>
    <x v="1"/>
    <x v="0"/>
    <s v="COP_24"/>
    <s v="Quarter4"/>
    <x v="0"/>
    <s v="Qtr_1"/>
    <x v="1"/>
    <d v="2024-11-01T00:00:00"/>
    <d v="2024-11-30T00:00:00"/>
    <x v="0"/>
    <n v="177"/>
    <n v="9"/>
    <n v="140"/>
    <n v="10"/>
    <n v="17"/>
    <n v="10"/>
    <n v="170"/>
    <n v="42"/>
    <n v="60"/>
    <n v="0"/>
    <n v="0"/>
    <n v="0"/>
    <n v="50"/>
    <n v="5"/>
    <n v="9"/>
    <n v="2"/>
    <n v="6"/>
    <n v="2"/>
    <n v="26"/>
    <n v="1"/>
    <n v="6"/>
    <n v="0"/>
    <n v="0"/>
    <n v="1"/>
    <n v="17"/>
    <m/>
  </r>
  <r>
    <n v="1147"/>
    <d v="2024-12-17T14:52:22"/>
    <d v="2024-12-17T14:55:40"/>
    <s v="jmakoza@lighthouse.org.mw"/>
    <s v="Jonathan Makoza"/>
    <s v="MPC_Bwaila"/>
    <s v="COE"/>
    <x v="1"/>
    <x v="0"/>
    <s v="COP_24"/>
    <s v="Quarter4"/>
    <x v="0"/>
    <s v="Qtr_1"/>
    <x v="0"/>
    <d v="2024-10-01T00:00:00"/>
    <d v="2024-10-31T00:00:00"/>
    <x v="0"/>
    <n v="155"/>
    <n v="11"/>
    <n v="116"/>
    <n v="14"/>
    <n v="12"/>
    <n v="13"/>
    <n v="144"/>
    <n v="44"/>
    <n v="54"/>
    <n v="2"/>
    <n v="0"/>
    <n v="0"/>
    <n v="50"/>
    <n v="6"/>
    <n v="3"/>
    <n v="1"/>
    <n v="10"/>
    <n v="3"/>
    <n v="30"/>
    <n v="2"/>
    <n v="11"/>
    <n v="1"/>
    <n v="0"/>
    <n v="0"/>
    <n v="14"/>
    <m/>
  </r>
  <r>
    <n v="1148"/>
    <d v="2024-12-17T15:00:21"/>
    <d v="2024-12-17T15:00:46"/>
    <s v="jmakoza@lighthouse.org.mw"/>
    <s v="Jonathan Makoza"/>
    <s v="MPC_Bwaila"/>
    <s v="COE"/>
    <x v="1"/>
    <x v="0"/>
    <s v="COP_24"/>
    <s v="Quarter4"/>
    <x v="0"/>
    <s v="Qtr_1"/>
    <x v="0"/>
    <d v="2024-10-01T00:00:00"/>
    <d v="2024-10-31T00:00:00"/>
    <x v="2"/>
    <n v="66"/>
    <n v="3"/>
    <n v="5"/>
    <n v="3"/>
    <n v="0"/>
    <n v="3"/>
    <n v="11"/>
    <n v="5"/>
    <n v="4"/>
    <n v="1"/>
    <n v="0"/>
    <n v="0"/>
    <n v="5"/>
    <n v="1"/>
    <n v="0"/>
    <n v="0"/>
    <n v="0"/>
    <n v="0"/>
    <n v="4"/>
    <n v="0"/>
    <n v="1"/>
    <n v="0"/>
    <n v="0"/>
    <n v="0"/>
    <n v="3"/>
    <m/>
  </r>
  <r>
    <n v="1149"/>
    <d v="2024-12-17T15:01:03"/>
    <d v="2024-12-17T15:06:25"/>
    <s v="jmakoza@lighthouse.org.mw"/>
    <s v="Jonathan Makoza"/>
    <s v="MPC_Bwaila"/>
    <s v="COE"/>
    <x v="1"/>
    <x v="0"/>
    <s v="COP_24"/>
    <s v="Quarter4"/>
    <x v="0"/>
    <s v="Qtr_1"/>
    <x v="0"/>
    <d v="2024-10-01T00:00:00"/>
    <d v="2024-10-31T00:00:00"/>
    <x v="5"/>
    <n v="34"/>
    <n v="0"/>
    <n v="23"/>
    <n v="1"/>
    <n v="0"/>
    <n v="0"/>
    <n v="20"/>
    <n v="5"/>
    <n v="10"/>
    <n v="0"/>
    <n v="0"/>
    <n v="0"/>
    <n v="9"/>
    <n v="1"/>
    <n v="0"/>
    <n v="0"/>
    <n v="0"/>
    <n v="0"/>
    <n v="4"/>
    <n v="0"/>
    <n v="1"/>
    <n v="0"/>
    <n v="0"/>
    <n v="0"/>
    <n v="2"/>
    <m/>
  </r>
  <r>
    <n v="1150"/>
    <d v="2024-12-17T15:06:32"/>
    <d v="2024-12-17T15:15:04"/>
    <s v="jmakoza@lighthouse.org.mw"/>
    <s v="Jonathan Makoza"/>
    <s v="MPC_Bwaila"/>
    <s v="COE"/>
    <x v="1"/>
    <x v="0"/>
    <s v="COP_24"/>
    <s v="Quarter4"/>
    <x v="0"/>
    <s v="Qtr_1"/>
    <x v="0"/>
    <d v="2024-10-01T00:00:00"/>
    <d v="2024-10-31T00:00:00"/>
    <x v="4"/>
    <n v="9"/>
    <n v="0"/>
    <n v="7"/>
    <n v="0"/>
    <n v="0"/>
    <n v="2"/>
    <n v="7"/>
    <n v="2"/>
    <n v="7"/>
    <n v="0"/>
    <n v="0"/>
    <n v="0"/>
    <n v="7"/>
    <n v="0"/>
    <n v="0"/>
    <n v="0"/>
    <n v="2"/>
    <n v="0"/>
    <n v="3"/>
    <n v="0"/>
    <n v="0"/>
    <n v="0"/>
    <n v="0"/>
    <n v="0"/>
    <n v="3"/>
    <m/>
  </r>
  <r>
    <n v="1151"/>
    <d v="2024-12-17T15:15:50"/>
    <d v="2024-12-17T15:27:14"/>
    <s v="jmakoza@lighthouse.org.mw"/>
    <s v="Jonathan Makoza"/>
    <s v="MPC_Bwaila"/>
    <s v="COE"/>
    <x v="1"/>
    <x v="0"/>
    <s v="COP_24"/>
    <s v="Quarter4"/>
    <x v="0"/>
    <s v="Qtr_1"/>
    <x v="0"/>
    <d v="2024-10-01T00:00:00"/>
    <d v="2024-10-31T00:00:00"/>
    <x v="3"/>
    <n v="6"/>
    <n v="0"/>
    <n v="6"/>
    <n v="0"/>
    <n v="0"/>
    <n v="0"/>
    <n v="0"/>
    <n v="0"/>
    <n v="6"/>
    <n v="0"/>
    <n v="0"/>
    <n v="0"/>
    <n v="2"/>
    <n v="0"/>
    <n v="0"/>
    <n v="0"/>
    <n v="0"/>
    <n v="0"/>
    <n v="0"/>
    <n v="0"/>
    <n v="0"/>
    <n v="0"/>
    <n v="0"/>
    <n v="0"/>
    <n v="0"/>
    <m/>
  </r>
  <r>
    <n v="1152"/>
    <d v="2024-12-17T15:27:56"/>
    <d v="2024-12-17T15:31:00"/>
    <s v="jmakoza@lighthouse.org.mw"/>
    <s v="Jonathan Makoza"/>
    <s v="MPC_Bwaila"/>
    <s v="COE"/>
    <x v="1"/>
    <x v="0"/>
    <s v="COP_24"/>
    <s v="Quarter4"/>
    <x v="0"/>
    <s v="Qtr_1"/>
    <x v="0"/>
    <d v="2024-10-01T00:00:00"/>
    <d v="2024-10-31T00:00:00"/>
    <x v="1"/>
    <n v="111"/>
    <n v="7"/>
    <n v="84"/>
    <n v="11"/>
    <n v="12"/>
    <n v="9"/>
    <n v="109"/>
    <n v="32"/>
    <n v="38"/>
    <n v="1"/>
    <n v="0"/>
    <n v="0"/>
    <n v="34"/>
    <n v="3"/>
    <n v="3"/>
    <n v="1"/>
    <n v="10"/>
    <n v="3"/>
    <n v="22"/>
    <n v="2"/>
    <n v="8"/>
    <n v="1"/>
    <n v="0"/>
    <n v="0"/>
    <n v="10"/>
    <m/>
  </r>
  <r>
    <n v="1249"/>
    <d v="2025-01-13T13:28:09"/>
    <d v="2025-01-13T13:40:56"/>
    <s v="jmakoza@lighthouse.org.mw"/>
    <s v="Jonathan Makoza"/>
    <s v="MPC_Bwaila"/>
    <s v="COE"/>
    <x v="1"/>
    <x v="0"/>
    <s v="COP_24"/>
    <s v="Quarter4"/>
    <x v="0"/>
    <s v="Qtr_1"/>
    <x v="11"/>
    <d v="2024-12-01T00:00:00"/>
    <d v="2024-12-31T00:00:00"/>
    <x v="1"/>
    <n v="105"/>
    <n v="5"/>
    <n v="75"/>
    <n v="8"/>
    <n v="8"/>
    <n v="7"/>
    <n v="96"/>
    <n v="28"/>
    <n v="27"/>
    <n v="1"/>
    <n v="1"/>
    <n v="1"/>
    <n v="27"/>
    <n v="1"/>
    <n v="2"/>
    <n v="0"/>
    <n v="5"/>
    <n v="4"/>
    <n v="16"/>
    <n v="2"/>
    <n v="6"/>
    <n v="1"/>
    <n v="0"/>
    <n v="0"/>
    <n v="5"/>
    <m/>
  </r>
  <r>
    <n v="1252"/>
    <d v="2025-01-13T13:41:07"/>
    <d v="2025-01-13T13:45:17"/>
    <s v="jmakoza@lighthouse.org.mw"/>
    <s v="Jonathan Makoza"/>
    <s v="MPC_Bwaila"/>
    <s v="COE"/>
    <x v="1"/>
    <x v="0"/>
    <s v="COP_24"/>
    <s v="Quarter4"/>
    <x v="0"/>
    <s v="Qtr_1"/>
    <x v="11"/>
    <d v="2024-12-01T00:00:00"/>
    <d v="2024-12-31T00:00:00"/>
    <x v="2"/>
    <n v="61"/>
    <n v="3"/>
    <n v="13"/>
    <n v="1"/>
    <n v="2"/>
    <n v="2"/>
    <n v="18"/>
    <n v="6"/>
    <n v="7"/>
    <n v="0"/>
    <n v="0"/>
    <n v="0"/>
    <n v="7"/>
    <n v="1"/>
    <n v="1"/>
    <n v="0"/>
    <n v="1"/>
    <n v="1"/>
    <n v="4"/>
    <n v="0"/>
    <n v="4"/>
    <n v="0"/>
    <n v="0"/>
    <n v="0"/>
    <n v="0"/>
    <m/>
  </r>
  <r>
    <n v="1253"/>
    <d v="2025-01-13T13:45:55"/>
    <d v="2025-01-13T13:47:47"/>
    <s v="jmakoza@lighthouse.org.mw"/>
    <s v="Jonathan Makoza"/>
    <s v="MPC_Bwaila"/>
    <s v="COE"/>
    <x v="1"/>
    <x v="0"/>
    <s v="COP_24"/>
    <s v="Quarter4"/>
    <x v="0"/>
    <s v="Qtr_1"/>
    <x v="11"/>
    <d v="2024-12-01T00:00:00"/>
    <d v="2024-12-31T00:00:00"/>
    <x v="5"/>
    <n v="21"/>
    <n v="1"/>
    <n v="20"/>
    <n v="0"/>
    <n v="0"/>
    <n v="1"/>
    <n v="21"/>
    <n v="4"/>
    <n v="6"/>
    <n v="0"/>
    <n v="0"/>
    <n v="0"/>
    <n v="5"/>
    <n v="1"/>
    <n v="0"/>
    <n v="0"/>
    <n v="0"/>
    <n v="0"/>
    <n v="4"/>
    <n v="0"/>
    <n v="1"/>
    <n v="0"/>
    <n v="0"/>
    <n v="0"/>
    <n v="1"/>
    <m/>
  </r>
  <r>
    <n v="1254"/>
    <d v="2025-01-13T13:47:55"/>
    <d v="2025-01-13T13:49:35"/>
    <s v="jmakoza@lighthouse.org.mw"/>
    <s v="Jonathan Makoza"/>
    <s v="MPC_Bwaila"/>
    <s v="COE"/>
    <x v="1"/>
    <x v="0"/>
    <s v="COP_24"/>
    <s v="Quarter4"/>
    <x v="0"/>
    <s v="Qtr_1"/>
    <x v="11"/>
    <d v="2024-12-01T00:00:00"/>
    <d v="2024-12-31T00:00:00"/>
    <x v="3"/>
    <n v="6"/>
    <n v="1"/>
    <n v="4"/>
    <n v="0"/>
    <n v="1"/>
    <n v="1"/>
    <n v="0"/>
    <n v="0"/>
    <n v="1"/>
    <n v="0"/>
    <n v="0"/>
    <n v="0"/>
    <n v="1"/>
    <n v="1"/>
    <n v="0"/>
    <n v="0"/>
    <n v="1"/>
    <n v="1"/>
    <n v="0"/>
    <n v="0"/>
    <n v="2"/>
    <n v="0"/>
    <n v="0"/>
    <n v="0"/>
    <n v="1"/>
    <m/>
  </r>
  <r>
    <n v="1255"/>
    <d v="2025-01-13T13:49:38"/>
    <d v="2025-01-13T13:51:43"/>
    <s v="jmakoza@lighthouse.org.mw"/>
    <s v="Jonathan Makoza"/>
    <s v="MPC_Bwaila"/>
    <s v="COE"/>
    <x v="1"/>
    <x v="0"/>
    <s v="COP_24"/>
    <s v="Quarter4"/>
    <x v="0"/>
    <s v="Qtr_1"/>
    <x v="11"/>
    <d v="2024-12-01T00:00:00"/>
    <d v="2024-12-31T00:00:00"/>
    <x v="4"/>
    <n v="6"/>
    <n v="0"/>
    <n v="5"/>
    <n v="0"/>
    <n v="0"/>
    <n v="1"/>
    <n v="0"/>
    <n v="0"/>
    <n v="0"/>
    <n v="0"/>
    <n v="0"/>
    <n v="0"/>
    <n v="0"/>
    <n v="0"/>
    <n v="0"/>
    <n v="0"/>
    <n v="0"/>
    <n v="0"/>
    <n v="0"/>
    <n v="0"/>
    <n v="0"/>
    <n v="0"/>
    <n v="0"/>
    <n v="0"/>
    <n v="0"/>
    <m/>
  </r>
  <r>
    <n v="1304"/>
    <d v="2025-01-17T14:29:49"/>
    <d v="2025-01-17T14:37:15"/>
    <s v="eadisoni@lighthouse.org.mw"/>
    <s v="Eliza adisoni"/>
    <s v="MPC_Bwaila"/>
    <s v="COE"/>
    <x v="1"/>
    <x v="0"/>
    <s v="COP_24"/>
    <s v="Quarter4"/>
    <x v="0"/>
    <s v="Qtr_1"/>
    <x v="11"/>
    <d v="2024-12-01T00:00:00"/>
    <d v="2024-12-31T00:00:00"/>
    <x v="0"/>
    <n v="149"/>
    <n v="11"/>
    <n v="117"/>
    <n v="9"/>
    <n v="11"/>
    <n v="12"/>
    <n v="138"/>
    <n v="43"/>
    <n v="47"/>
    <n v="1"/>
    <n v="1"/>
    <n v="1"/>
    <n v="46"/>
    <n v="6"/>
    <n v="3"/>
    <n v="0"/>
    <n v="8"/>
    <n v="5"/>
    <n v="26"/>
    <n v="3"/>
    <n v="14"/>
    <n v="1"/>
    <n v="0"/>
    <n v="0"/>
    <n v="7"/>
    <m/>
  </r>
  <r>
    <n v="1327"/>
    <d v="2025-02-25T14:22:57"/>
    <d v="2025-02-25T14:29:31"/>
    <s v="eadisoni@lighthouse.org.mw"/>
    <s v="Eliza adisoni"/>
    <s v="MPC_Bwaila"/>
    <s v="COE"/>
    <x v="2"/>
    <x v="0"/>
    <s v="COP_24"/>
    <s v="Quarter1"/>
    <x v="2"/>
    <s v="Qtr_2"/>
    <x v="4"/>
    <d v="2025-01-01T00:00:00"/>
    <d v="2025-01-31T00:00:00"/>
    <x v="0"/>
    <n v="106"/>
    <n v="11"/>
    <n v="84"/>
    <n v="7"/>
    <n v="10"/>
    <n v="5"/>
    <n v="103"/>
    <n v="24"/>
    <n v="25"/>
    <n v="0"/>
    <n v="0"/>
    <n v="0"/>
    <n v="25"/>
    <n v="1"/>
    <n v="2"/>
    <n v="1"/>
    <n v="4"/>
    <n v="1"/>
    <n v="20"/>
    <n v="1"/>
    <n v="3"/>
    <n v="0"/>
    <n v="0"/>
    <n v="1"/>
    <n v="7"/>
    <m/>
  </r>
  <r>
    <n v="1328"/>
    <d v="2025-02-25T14:29:46"/>
    <d v="2025-02-25T14:32:11"/>
    <s v="eadisoni@lighthouse.org.mw"/>
    <s v="Eliza adisoni"/>
    <s v="MPC_Bwaila"/>
    <s v="COE"/>
    <x v="2"/>
    <x v="0"/>
    <s v="COP_24"/>
    <s v="Quarter1"/>
    <x v="2"/>
    <s v="Qtr_2"/>
    <x v="4"/>
    <d v="2025-01-01T00:00:00"/>
    <d v="2025-01-31T00:00:00"/>
    <x v="1"/>
    <n v="80"/>
    <n v="8"/>
    <n v="60"/>
    <n v="6"/>
    <n v="10"/>
    <n v="4"/>
    <n v="77"/>
    <n v="15"/>
    <n v="18"/>
    <n v="0"/>
    <n v="0"/>
    <n v="0"/>
    <n v="18"/>
    <n v="1"/>
    <n v="1"/>
    <n v="0"/>
    <n v="3"/>
    <n v="1"/>
    <n v="12"/>
    <n v="0"/>
    <n v="2"/>
    <n v="0"/>
    <n v="0"/>
    <n v="1"/>
    <n v="5"/>
    <m/>
  </r>
  <r>
    <n v="1329"/>
    <d v="2025-02-25T14:32:19"/>
    <d v="2025-02-25T14:34:25"/>
    <s v="eadisoni@lighthouse.org.mw"/>
    <s v="Eliza adisoni"/>
    <s v="MPC_Bwaila"/>
    <s v="COE"/>
    <x v="2"/>
    <x v="0"/>
    <s v="COP_24"/>
    <s v="Quarter1"/>
    <x v="2"/>
    <s v="Qtr_2"/>
    <x v="4"/>
    <d v="2025-01-01T00:00:00"/>
    <d v="2025-01-31T00:00:00"/>
    <x v="3"/>
    <n v="3"/>
    <n v="1"/>
    <n v="1"/>
    <n v="0"/>
    <n v="2"/>
    <n v="0"/>
    <n v="0"/>
    <n v="0"/>
    <n v="3"/>
    <n v="0"/>
    <n v="0"/>
    <n v="0"/>
    <n v="3"/>
    <n v="0"/>
    <n v="0"/>
    <n v="0"/>
    <n v="0"/>
    <n v="0"/>
    <n v="2"/>
    <n v="0"/>
    <n v="0"/>
    <n v="0"/>
    <n v="0"/>
    <n v="0"/>
    <n v="1"/>
    <m/>
  </r>
  <r>
    <n v="1330"/>
    <d v="2025-02-25T14:34:41"/>
    <d v="2025-02-25T14:37:11"/>
    <s v="eadisoni@lighthouse.org.mw"/>
    <s v="Eliza adisoni"/>
    <s v="MPC_Bwaila"/>
    <s v="COE"/>
    <x v="2"/>
    <x v="0"/>
    <s v="COP_24"/>
    <s v="Quarter1"/>
    <x v="2"/>
    <s v="Qtr_2"/>
    <x v="4"/>
    <d v="2025-01-01T00:00:00"/>
    <d v="2025-01-31T00:00:00"/>
    <x v="4"/>
    <n v="2"/>
    <n v="0"/>
    <n v="2"/>
    <n v="0"/>
    <n v="0"/>
    <n v="0"/>
    <n v="2"/>
    <n v="1"/>
    <n v="1"/>
    <n v="0"/>
    <n v="0"/>
    <n v="0"/>
    <n v="1"/>
    <n v="0"/>
    <n v="0"/>
    <n v="0"/>
    <n v="1"/>
    <n v="0"/>
    <n v="1"/>
    <n v="0"/>
    <n v="0"/>
    <n v="0"/>
    <n v="0"/>
    <n v="0"/>
    <n v="0"/>
    <m/>
  </r>
  <r>
    <n v="1331"/>
    <d v="2025-02-25T14:37:15"/>
    <d v="2025-02-25T14:39:52"/>
    <s v="eadisoni@lighthouse.org.mw"/>
    <s v="Eliza adisoni"/>
    <s v="MPC_Bwaila"/>
    <s v="COE"/>
    <x v="2"/>
    <x v="0"/>
    <s v="COP_24"/>
    <s v="Quarter1"/>
    <x v="2"/>
    <s v="Qtr_2"/>
    <x v="4"/>
    <d v="2025-01-01T00:00:00"/>
    <d v="2025-01-31T00:00:00"/>
    <x v="5"/>
    <n v="9"/>
    <n v="2"/>
    <n v="8"/>
    <n v="0"/>
    <n v="0"/>
    <n v="1"/>
    <n v="9"/>
    <n v="3"/>
    <n v="2"/>
    <n v="0"/>
    <n v="0"/>
    <n v="0"/>
    <n v="2"/>
    <n v="0"/>
    <n v="1"/>
    <n v="0"/>
    <n v="0"/>
    <n v="0"/>
    <n v="2"/>
    <n v="0"/>
    <n v="1"/>
    <n v="0"/>
    <n v="0"/>
    <n v="0"/>
    <n v="0"/>
    <m/>
  </r>
  <r>
    <n v="1332"/>
    <d v="2025-02-25T14:40:06"/>
    <d v="2025-02-25T14:42:33"/>
    <s v="eadisoni@lighthouse.org.mw"/>
    <s v="Eliza adisoni"/>
    <s v="MPC_Bwaila"/>
    <s v="COE"/>
    <x v="2"/>
    <x v="0"/>
    <s v="COP_24"/>
    <s v="Quarter1"/>
    <x v="2"/>
    <s v="Qtr_2"/>
    <x v="4"/>
    <d v="2025-01-01T00:00:00"/>
    <d v="2025-01-31T00:00:00"/>
    <x v="2"/>
    <n v="20"/>
    <n v="3"/>
    <n v="19"/>
    <n v="1"/>
    <n v="0"/>
    <n v="0"/>
    <n v="20"/>
    <n v="8"/>
    <n v="6"/>
    <n v="0"/>
    <n v="0"/>
    <n v="0"/>
    <n v="7"/>
    <n v="0"/>
    <n v="0"/>
    <n v="0"/>
    <n v="1"/>
    <n v="0"/>
    <n v="7"/>
    <n v="1"/>
    <n v="1"/>
    <n v="0"/>
    <n v="0"/>
    <n v="0"/>
    <n v="3"/>
    <m/>
  </r>
  <r>
    <n v="1392"/>
    <d v="2025-03-11T08:21:06"/>
    <d v="2025-03-11T08:31:16"/>
    <s v="lkaonga@lighthouse.org.mw"/>
    <s v="Lameck Kaonga"/>
    <s v="MPC_Bwaila"/>
    <s v="COE"/>
    <x v="2"/>
    <x v="0"/>
    <s v="COP_24"/>
    <s v="Quarter1"/>
    <x v="2"/>
    <s v="Qtr_2"/>
    <x v="5"/>
    <d v="2025-02-01T00:00:00"/>
    <d v="2025-02-28T00:00:00"/>
    <x v="0"/>
    <n v="87"/>
    <n v="11"/>
    <n v="49"/>
    <n v="14"/>
    <n v="15"/>
    <n v="8"/>
    <n v="23"/>
    <n v="23"/>
    <n v="26"/>
    <n v="3"/>
    <n v="1"/>
    <n v="0"/>
    <n v="26"/>
    <n v="3"/>
    <n v="2"/>
    <n v="0"/>
    <n v="5"/>
    <n v="1"/>
    <n v="7"/>
    <n v="2"/>
    <n v="5"/>
    <n v="1"/>
    <n v="0"/>
    <n v="0"/>
    <n v="2"/>
    <m/>
  </r>
  <r>
    <n v="1393"/>
    <d v="2025-03-11T08:31:25"/>
    <d v="2025-03-11T08:48:32"/>
    <s v="lkaonga@lighthouse.org.mw"/>
    <s v="Lameck Kaonga"/>
    <s v="MPC_Bwaila"/>
    <s v="COE"/>
    <x v="2"/>
    <x v="0"/>
    <s v="COP_24"/>
    <s v="Quarter1"/>
    <x v="2"/>
    <s v="Qtr_2"/>
    <x v="5"/>
    <d v="2025-02-01T00:00:00"/>
    <d v="2025-02-28T00:00:00"/>
    <x v="1"/>
    <n v="71"/>
    <n v="10"/>
    <n v="36"/>
    <n v="14"/>
    <n v="13"/>
    <n v="8"/>
    <n v="18"/>
    <n v="18"/>
    <n v="18"/>
    <n v="18"/>
    <n v="18"/>
    <n v="0"/>
    <n v="18"/>
    <n v="2"/>
    <n v="2"/>
    <n v="0"/>
    <n v="5"/>
    <n v="4"/>
    <n v="7"/>
    <n v="2"/>
    <n v="5"/>
    <n v="1"/>
    <n v="0"/>
    <n v="0"/>
    <n v="2"/>
    <m/>
  </r>
  <r>
    <n v="1394"/>
    <d v="2025-03-11T08:48:52"/>
    <d v="2025-03-11T08:57:35"/>
    <s v="lkaonga@lighthouse.org.mw"/>
    <s v="Lameck Kaonga"/>
    <s v="MPC_Bwaila"/>
    <s v="COE"/>
    <x v="2"/>
    <x v="0"/>
    <s v="COP_24"/>
    <s v="Quarter1"/>
    <x v="2"/>
    <s v="Qtr_2"/>
    <x v="5"/>
    <d v="2025-02-01T00:00:00"/>
    <d v="2025-02-28T00:00:00"/>
    <x v="3"/>
    <n v="1"/>
    <n v="0"/>
    <n v="0"/>
    <n v="0"/>
    <n v="0"/>
    <n v="0"/>
    <n v="0"/>
    <n v="0"/>
    <n v="0"/>
    <n v="0"/>
    <n v="0"/>
    <n v="0"/>
    <n v="0"/>
    <n v="0"/>
    <n v="0"/>
    <n v="0"/>
    <n v="0"/>
    <n v="0"/>
    <n v="0"/>
    <n v="0"/>
    <n v="0"/>
    <n v="0"/>
    <n v="0"/>
    <n v="0"/>
    <n v="0"/>
    <m/>
  </r>
  <r>
    <n v="1395"/>
    <d v="2025-03-11T08:58:42"/>
    <d v="2025-03-11T09:00:03"/>
    <s v="lkaonga@lighthouse.org.mw"/>
    <s v="Lameck Kaonga"/>
    <s v="MPC_Bwaila"/>
    <s v="COE"/>
    <x v="2"/>
    <x v="0"/>
    <s v="COP_24"/>
    <s v="Quarter1"/>
    <x v="2"/>
    <s v="Qtr_2"/>
    <x v="5"/>
    <d v="2025-02-01T00:00:00"/>
    <d v="2025-02-28T00:00:00"/>
    <x v="4"/>
    <n v="0"/>
    <n v="0"/>
    <n v="0"/>
    <n v="0"/>
    <n v="0"/>
    <n v="0"/>
    <n v="0"/>
    <n v="0"/>
    <n v="0"/>
    <n v="0"/>
    <n v="0"/>
    <n v="0"/>
    <n v="0"/>
    <n v="0"/>
    <n v="0"/>
    <n v="0"/>
    <n v="0"/>
    <n v="0"/>
    <n v="0"/>
    <n v="0"/>
    <n v="0"/>
    <n v="0"/>
    <n v="0"/>
    <n v="0"/>
    <n v="0"/>
    <m/>
  </r>
  <r>
    <n v="1396"/>
    <d v="2025-03-11T09:00:10"/>
    <d v="2025-03-11T09:03:01"/>
    <s v="lkaonga@lighthouse.org.mw"/>
    <s v="Lameck Kaonga"/>
    <s v="MPC_Bwaila"/>
    <s v="COE"/>
    <x v="2"/>
    <x v="0"/>
    <s v="COP_24"/>
    <s v="Quarter1"/>
    <x v="2"/>
    <s v="Qtr_2"/>
    <x v="5"/>
    <d v="2025-02-01T00:00:00"/>
    <d v="2025-02-28T00:00:00"/>
    <x v="5"/>
    <n v="3"/>
    <n v="0"/>
    <n v="3"/>
    <n v="0"/>
    <n v="0"/>
    <n v="0"/>
    <n v="3"/>
    <n v="1"/>
    <n v="0"/>
    <n v="0"/>
    <n v="1"/>
    <n v="0"/>
    <n v="1"/>
    <n v="0"/>
    <n v="0"/>
    <n v="0"/>
    <n v="0"/>
    <n v="0"/>
    <n v="0"/>
    <n v="0"/>
    <n v="0"/>
    <n v="0"/>
    <n v="0"/>
    <n v="0"/>
    <n v="0"/>
    <m/>
  </r>
  <r>
    <n v="1397"/>
    <d v="2025-03-11T09:03:13"/>
    <d v="2025-03-11T09:07:57"/>
    <s v="lkaonga@lighthouse.org.mw"/>
    <s v="Lameck Kaonga"/>
    <s v="MPC_Bwaila"/>
    <s v="COE"/>
    <x v="2"/>
    <x v="0"/>
    <s v="COP_24"/>
    <s v="Quarter1"/>
    <x v="2"/>
    <s v="Qtr_2"/>
    <x v="5"/>
    <d v="2025-02-01T00:00:00"/>
    <d v="2025-02-28T00:00:00"/>
    <x v="2"/>
    <n v="9"/>
    <n v="0"/>
    <n v="6"/>
    <n v="0"/>
    <n v="2"/>
    <n v="1"/>
    <n v="9"/>
    <n v="3"/>
    <n v="6"/>
    <n v="0"/>
    <n v="0"/>
    <n v="0"/>
    <n v="5"/>
    <n v="1"/>
    <n v="0"/>
    <n v="0"/>
    <n v="0"/>
    <n v="0"/>
    <n v="0"/>
    <n v="0"/>
    <n v="0"/>
    <n v="0"/>
    <n v="0"/>
    <n v="0"/>
    <n v="0"/>
    <m/>
  </r>
  <r>
    <n v="1398"/>
    <d v="2025-03-11T09:08:17"/>
    <d v="2025-03-11T09:09:18"/>
    <s v="lkaonga@lighthouse.org.mw"/>
    <s v="Lameck Kaonga"/>
    <s v="MPC_Bwaila"/>
    <s v="COE"/>
    <x v="2"/>
    <x v="0"/>
    <s v="COP_24"/>
    <s v="Quarter1"/>
    <x v="2"/>
    <s v="Qtr_2"/>
    <x v="5"/>
    <d v="2025-02-01T00:00:00"/>
    <d v="2025-02-28T00:00:00"/>
    <x v="6"/>
    <n v="0"/>
    <n v="0"/>
    <n v="0"/>
    <n v="0"/>
    <n v="0"/>
    <n v="0"/>
    <n v="0"/>
    <n v="0"/>
    <n v="0"/>
    <n v="0"/>
    <n v="0"/>
    <n v="0"/>
    <n v="0"/>
    <n v="0"/>
    <n v="0"/>
    <n v="0"/>
    <n v="0"/>
    <n v="0"/>
    <n v="0"/>
    <n v="0"/>
    <n v="0"/>
    <n v="0"/>
    <n v="0"/>
    <n v="0"/>
    <n v="0"/>
    <m/>
  </r>
  <r>
    <n v="1463"/>
    <d v="2025-03-20T10:09:49"/>
    <d v="2025-03-20T10:12:32"/>
    <s v="lkaonga@lighthouse.org.mw"/>
    <s v="Lameck Kaonga"/>
    <s v="MPC_Bwaila"/>
    <s v="COE"/>
    <x v="2"/>
    <x v="0"/>
    <s v="COP_24"/>
    <s v="Quarter1"/>
    <x v="2"/>
    <s v="Qtr_2"/>
    <x v="4"/>
    <d v="2025-01-01T00:00:00"/>
    <d v="2025-01-31T00:00:00"/>
    <x v="6"/>
    <n v="0"/>
    <n v="0"/>
    <n v="0"/>
    <n v="0"/>
    <n v="0"/>
    <n v="0"/>
    <n v="0"/>
    <n v="0"/>
    <n v="0"/>
    <n v="0"/>
    <n v="0"/>
    <n v="0"/>
    <n v="0"/>
    <n v="0"/>
    <n v="0"/>
    <n v="0"/>
    <n v="0"/>
    <n v="0"/>
    <n v="0"/>
    <n v="0"/>
    <n v="0"/>
    <n v="0"/>
    <n v="0"/>
    <n v="0"/>
    <n v="0"/>
    <m/>
  </r>
  <r>
    <n v="1467"/>
    <d v="2025-04-01T14:28:21"/>
    <d v="2025-04-01T14:37:08"/>
    <s v="eadisoni@lighthouse.org.mw"/>
    <s v="Eliza adisoni"/>
    <s v="MPC_Bwaila"/>
    <s v="COE"/>
    <x v="2"/>
    <x v="0"/>
    <s v="COP_24"/>
    <s v="Quarter1"/>
    <x v="2"/>
    <s v="Qtr_2"/>
    <x v="3"/>
    <d v="2025-03-01T00:00:00"/>
    <d v="2025-03-31T00:00:00"/>
    <x v="0"/>
    <n v="138"/>
    <n v="14"/>
    <n v="85"/>
    <n v="21"/>
    <n v="22"/>
    <n v="10"/>
    <n v="132"/>
    <n v="39"/>
    <n v="37"/>
    <n v="5"/>
    <n v="4"/>
    <n v="2"/>
    <n v="38"/>
    <n v="5"/>
    <n v="0"/>
    <n v="0"/>
    <n v="6"/>
    <n v="1"/>
    <n v="20"/>
    <n v="0"/>
    <n v="8"/>
    <n v="1"/>
    <n v="0"/>
    <n v="0"/>
    <n v="11"/>
    <m/>
  </r>
  <r>
    <n v="1468"/>
    <d v="2025-04-01T14:37:18"/>
    <d v="2025-04-01T14:40:58"/>
    <s v="eadisoni@lighthouse.org.mw"/>
    <s v="Eliza adisoni"/>
    <s v="MPC_Bwaila"/>
    <s v="COE"/>
    <x v="2"/>
    <x v="0"/>
    <s v="COP_24"/>
    <s v="Quarter1"/>
    <x v="2"/>
    <s v="Qtr_2"/>
    <x v="3"/>
    <d v="2025-03-01T00:00:00"/>
    <d v="2025-03-31T00:00:00"/>
    <x v="1"/>
    <n v="116"/>
    <n v="7"/>
    <n v="72"/>
    <n v="21"/>
    <n v="18"/>
    <n v="5"/>
    <n v="110"/>
    <n v="30"/>
    <n v="29"/>
    <n v="3"/>
    <n v="2"/>
    <n v="1"/>
    <n v="2"/>
    <n v="1"/>
    <n v="0"/>
    <n v="0"/>
    <n v="4"/>
    <n v="0"/>
    <n v="17"/>
    <n v="0"/>
    <n v="5"/>
    <n v="1"/>
    <n v="0"/>
    <n v="0"/>
    <n v="10"/>
    <m/>
  </r>
  <r>
    <n v="1469"/>
    <d v="2025-04-01T14:41:06"/>
    <d v="2025-04-01T14:43:34"/>
    <s v="eadisoni@lighthouse.org.mw"/>
    <s v="Eliza adisoni"/>
    <s v="MPC_Bwaila"/>
    <s v="COE"/>
    <x v="2"/>
    <x v="0"/>
    <s v="COP_24"/>
    <s v="Quarter1"/>
    <x v="2"/>
    <s v="Qtr_2"/>
    <x v="3"/>
    <d v="2025-03-01T00:00:00"/>
    <d v="2025-03-31T00:00:00"/>
    <x v="3"/>
    <n v="3"/>
    <n v="0"/>
    <n v="2"/>
    <n v="0"/>
    <n v="1"/>
    <n v="0"/>
    <n v="0"/>
    <n v="0"/>
    <n v="2"/>
    <n v="0"/>
    <n v="0"/>
    <n v="0"/>
    <n v="3"/>
    <n v="0"/>
    <n v="0"/>
    <n v="0"/>
    <n v="1"/>
    <n v="0"/>
    <n v="1"/>
    <n v="0"/>
    <n v="1"/>
    <n v="0"/>
    <n v="0"/>
    <n v="0"/>
    <n v="0"/>
    <m/>
  </r>
  <r>
    <n v="1470"/>
    <d v="2025-04-01T14:43:37"/>
    <d v="2025-04-01T14:45:50"/>
    <s v="eadisoni@lighthouse.org.mw"/>
    <s v="Eliza adisoni"/>
    <s v="MPC_Bwaila"/>
    <s v="COE"/>
    <x v="2"/>
    <x v="0"/>
    <s v="COP_24"/>
    <s v="Quarter1"/>
    <x v="2"/>
    <s v="Qtr_2"/>
    <x v="3"/>
    <d v="2025-03-01T00:00:00"/>
    <d v="2025-03-31T00:00:00"/>
    <x v="4"/>
    <n v="4"/>
    <n v="1"/>
    <n v="1"/>
    <n v="1"/>
    <n v="1"/>
    <n v="1"/>
    <n v="2"/>
    <n v="0"/>
    <n v="0"/>
    <n v="0"/>
    <n v="0"/>
    <n v="0"/>
    <n v="0"/>
    <n v="0"/>
    <n v="0"/>
    <n v="0"/>
    <n v="0"/>
    <n v="0"/>
    <n v="1"/>
    <n v="0"/>
    <n v="0"/>
    <n v="0"/>
    <n v="0"/>
    <n v="0"/>
    <n v="0"/>
    <m/>
  </r>
  <r>
    <n v="1471"/>
    <d v="2025-04-01T14:46:05"/>
    <d v="2025-04-01T14:48:24"/>
    <s v="eadisoni@lighthouse.org.mw"/>
    <s v="Eliza adisoni"/>
    <s v="MPC_Bwaila"/>
    <s v="COE"/>
    <x v="2"/>
    <x v="0"/>
    <s v="COP_24"/>
    <s v="Quarter1"/>
    <x v="2"/>
    <s v="Qtr_2"/>
    <x v="3"/>
    <d v="2025-03-01T00:00:00"/>
    <d v="2025-03-31T00:00:00"/>
    <x v="2"/>
    <n v="22"/>
    <n v="7"/>
    <n v="13"/>
    <n v="4"/>
    <n v="5"/>
    <n v="0"/>
    <n v="22"/>
    <n v="9"/>
    <n v="8"/>
    <n v="2"/>
    <n v="2"/>
    <n v="1"/>
    <n v="8"/>
    <n v="1"/>
    <n v="0"/>
    <n v="0"/>
    <n v="2"/>
    <n v="1"/>
    <n v="3"/>
    <n v="0"/>
    <n v="2"/>
    <n v="0"/>
    <n v="0"/>
    <n v="0"/>
    <n v="2"/>
    <m/>
  </r>
  <r>
    <n v="1472"/>
    <d v="2025-04-01T14:48:28"/>
    <d v="2025-04-01T14:50:45"/>
    <s v="eadisoni@lighthouse.org.mw"/>
    <s v="Eliza adisoni"/>
    <s v="MPC_Bwaila"/>
    <s v="COE"/>
    <x v="2"/>
    <x v="0"/>
    <s v="COP_24"/>
    <s v="Quarter1"/>
    <x v="2"/>
    <s v="Qtr_2"/>
    <x v="3"/>
    <d v="2025-03-01T00:00:00"/>
    <d v="2025-03-31T00:00:00"/>
    <x v="5"/>
    <n v="3"/>
    <n v="1"/>
    <n v="2"/>
    <n v="0"/>
    <n v="1"/>
    <n v="0"/>
    <n v="3"/>
    <n v="2"/>
    <n v="0"/>
    <n v="0"/>
    <n v="0"/>
    <n v="0"/>
    <n v="2"/>
    <n v="0"/>
    <n v="0"/>
    <n v="0"/>
    <n v="1"/>
    <n v="0"/>
    <n v="1"/>
    <n v="0"/>
    <n v="1"/>
    <n v="0"/>
    <n v="0"/>
    <n v="0"/>
    <n v="0"/>
    <m/>
  </r>
  <r>
    <n v="1608"/>
    <d v="2025-06-03T09:49:38"/>
    <d v="2025-06-03T09:53:51"/>
    <s v="eadisoni@lighthouse.org.mw"/>
    <s v="Eliza adisoni"/>
    <s v="MPC_Bwaila"/>
    <s v="COE"/>
    <x v="2"/>
    <x v="0"/>
    <m/>
    <s v="Quarter3"/>
    <x v="3"/>
    <m/>
    <x v="7"/>
    <d v="2025-04-01T00:00:00"/>
    <d v="2025-04-30T00:00:00"/>
    <x v="0"/>
    <n v="120"/>
    <n v="7"/>
    <n v="92"/>
    <n v="11"/>
    <n v="6"/>
    <n v="11"/>
    <n v="115"/>
    <n v="36"/>
    <n v="34"/>
    <n v="1"/>
    <n v="9"/>
    <n v="0"/>
    <n v="36"/>
    <n v="5"/>
    <n v="0"/>
    <n v="0"/>
    <n v="8"/>
    <n v="3"/>
    <n v="25"/>
    <n v="2"/>
    <n v="3"/>
    <n v="0"/>
    <n v="0"/>
    <n v="0"/>
    <n v="0"/>
    <m/>
  </r>
  <r>
    <n v="1609"/>
    <d v="2025-06-03T09:53:58"/>
    <d v="2025-06-03T09:56:39"/>
    <s v="eadisoni@lighthouse.org.mw"/>
    <s v="Eliza adisoni"/>
    <s v="MPC_Bwaila"/>
    <s v="COE"/>
    <x v="2"/>
    <x v="0"/>
    <m/>
    <s v="Quarter3"/>
    <x v="3"/>
    <m/>
    <x v="7"/>
    <d v="2025-04-01T00:00:00"/>
    <d v="2025-04-30T00:00:00"/>
    <x v="1"/>
    <n v="110"/>
    <n v="6"/>
    <n v="87"/>
    <n v="10"/>
    <n v="4"/>
    <n v="9"/>
    <n v="105"/>
    <n v="34"/>
    <n v="33"/>
    <n v="0"/>
    <n v="8"/>
    <n v="0"/>
    <n v="34"/>
    <n v="3"/>
    <n v="0"/>
    <n v="0"/>
    <n v="7"/>
    <n v="3"/>
    <n v="25"/>
    <n v="2"/>
    <n v="5"/>
    <n v="5"/>
    <n v="0"/>
    <n v="1"/>
    <n v="2"/>
    <m/>
  </r>
  <r>
    <n v="1610"/>
    <d v="2025-06-03T09:56:56"/>
    <d v="2025-06-03T10:00:17"/>
    <s v="eadisoni@lighthouse.org.mw"/>
    <s v="Eliza adisoni"/>
    <s v="MPC_Bwaila"/>
    <s v="COE"/>
    <x v="2"/>
    <x v="0"/>
    <m/>
    <s v="Quarter3"/>
    <x v="3"/>
    <m/>
    <x v="7"/>
    <d v="2025-04-01T00:00:00"/>
    <d v="2025-04-30T00:00:00"/>
    <x v="3"/>
    <n v="3"/>
    <n v="0"/>
    <n v="2"/>
    <n v="0"/>
    <n v="0"/>
    <n v="1"/>
    <n v="0"/>
    <n v="0"/>
    <n v="3"/>
    <n v="0"/>
    <n v="1"/>
    <n v="0"/>
    <n v="1"/>
    <n v="0"/>
    <n v="0"/>
    <n v="0"/>
    <n v="0"/>
    <n v="0"/>
    <n v="1"/>
    <n v="0"/>
    <n v="1"/>
    <n v="0"/>
    <n v="0"/>
    <n v="0"/>
    <n v="0"/>
    <m/>
  </r>
  <r>
    <n v="1611"/>
    <d v="2025-06-03T10:00:23"/>
    <d v="2025-06-03T10:02:30"/>
    <s v="eadisoni@lighthouse.org.mw"/>
    <s v="Eliza adisoni"/>
    <s v="MPC_Bwaila"/>
    <s v="COE"/>
    <x v="2"/>
    <x v="0"/>
    <m/>
    <s v="Quarter3"/>
    <x v="3"/>
    <m/>
    <x v="7"/>
    <d v="2025-04-01T00:00:00"/>
    <d v="2025-04-30T00:00:00"/>
    <x v="4"/>
    <n v="2"/>
    <n v="1"/>
    <n v="1"/>
    <n v="0"/>
    <n v="0"/>
    <n v="1"/>
    <n v="2"/>
    <n v="2"/>
    <n v="2"/>
    <n v="0"/>
    <n v="0"/>
    <n v="0"/>
    <n v="2"/>
    <n v="0"/>
    <n v="0"/>
    <n v="0"/>
    <n v="0"/>
    <n v="0"/>
    <n v="2"/>
    <n v="0"/>
    <n v="0"/>
    <n v="0"/>
    <n v="0"/>
    <n v="0"/>
    <n v="1"/>
    <m/>
  </r>
  <r>
    <n v="1613"/>
    <d v="2025-06-03T10:04:26"/>
    <d v="2025-06-03T10:06:39"/>
    <s v="eadisoni@lighthouse.org.mw"/>
    <s v="Eliza adisoni"/>
    <s v="MPC_Bwaila"/>
    <s v="COE"/>
    <x v="2"/>
    <x v="0"/>
    <m/>
    <s v="Quarter3"/>
    <x v="3"/>
    <m/>
    <x v="7"/>
    <d v="2025-04-01T00:00:00"/>
    <d v="2025-04-30T00:00:00"/>
    <x v="2"/>
    <n v="10"/>
    <n v="1"/>
    <n v="5"/>
    <n v="1"/>
    <n v="2"/>
    <n v="2"/>
    <n v="10"/>
    <n v="2"/>
    <n v="1"/>
    <n v="1"/>
    <n v="0"/>
    <n v="0"/>
    <n v="2"/>
    <n v="2"/>
    <n v="0"/>
    <n v="0"/>
    <n v="1"/>
    <n v="0"/>
    <n v="0"/>
    <n v="0"/>
    <n v="2"/>
    <n v="0"/>
    <n v="0"/>
    <n v="0"/>
    <n v="2"/>
    <m/>
  </r>
  <r>
    <n v="1621"/>
    <d v="2025-06-03T11:11:38"/>
    <d v="2025-06-03T11:12:05"/>
    <s v="eadisoni@lighthouse.org.mw"/>
    <s v="Eliza adisoni"/>
    <s v="MPC_Bwaila"/>
    <s v="COE"/>
    <x v="2"/>
    <x v="0"/>
    <m/>
    <s v="Quarter3"/>
    <x v="3"/>
    <m/>
    <x v="6"/>
    <d v="2025-05-01T00:00:00"/>
    <d v="2025-05-31T00:00:00"/>
    <x v="0"/>
    <n v="115"/>
    <n v="18"/>
    <n v="67"/>
    <n v="15"/>
    <n v="24"/>
    <n v="9"/>
    <n v="112"/>
    <n v="26"/>
    <n v="31"/>
    <n v="1"/>
    <n v="2"/>
    <n v="0"/>
    <n v="30"/>
    <n v="1"/>
    <n v="3"/>
    <n v="2"/>
    <n v="13"/>
    <n v="8"/>
    <n v="12"/>
    <n v="1"/>
    <n v="9"/>
    <n v="0"/>
    <n v="0"/>
    <n v="1"/>
    <n v="4"/>
    <m/>
  </r>
  <r>
    <n v="1624"/>
    <d v="2025-06-03T11:15:47"/>
    <d v="2025-06-03T11:17:51"/>
    <s v="eadisoni@lighthouse.org.mw"/>
    <s v="Eliza adisoni"/>
    <s v="MPC_Bwaila"/>
    <s v="COE"/>
    <x v="2"/>
    <x v="0"/>
    <m/>
    <s v="Quarter3"/>
    <x v="3"/>
    <m/>
    <x v="6"/>
    <d v="2025-05-01T00:00:00"/>
    <d v="2025-05-31T00:00:00"/>
    <x v="3"/>
    <n v="4"/>
    <n v="2"/>
    <n v="2"/>
    <n v="0"/>
    <n v="1"/>
    <n v="1"/>
    <n v="2"/>
    <n v="0"/>
    <n v="0"/>
    <n v="0"/>
    <n v="0"/>
    <n v="0"/>
    <n v="4"/>
    <n v="0"/>
    <n v="0"/>
    <n v="0"/>
    <n v="1"/>
    <n v="1"/>
    <n v="0"/>
    <n v="0"/>
    <n v="1"/>
    <n v="0"/>
    <n v="0"/>
    <n v="0"/>
    <n v="0"/>
    <m/>
  </r>
  <r>
    <n v="1626"/>
    <d v="2025-06-03T11:18:03"/>
    <d v="2025-06-03T11:20:11"/>
    <s v="eadisoni@lighthouse.org.mw"/>
    <s v="Eliza adisoni"/>
    <s v="MPC_Bwaila"/>
    <s v="COE"/>
    <x v="2"/>
    <x v="0"/>
    <m/>
    <s v="Quarter3"/>
    <x v="3"/>
    <m/>
    <x v="6"/>
    <d v="2025-05-01T00:00:00"/>
    <d v="2025-05-31T00:00:00"/>
    <x v="4"/>
    <n v="6"/>
    <n v="4"/>
    <n v="0"/>
    <n v="0"/>
    <n v="3"/>
    <n v="3"/>
    <n v="5"/>
    <n v="1"/>
    <n v="2"/>
    <n v="0"/>
    <n v="0"/>
    <n v="0"/>
    <n v="2"/>
    <n v="0"/>
    <n v="1"/>
    <n v="0"/>
    <n v="3"/>
    <n v="2"/>
    <n v="1"/>
    <n v="0"/>
    <n v="1"/>
    <n v="0"/>
    <n v="0"/>
    <n v="0"/>
    <n v="1"/>
    <m/>
  </r>
  <r>
    <n v="1629"/>
    <d v="2025-06-03T11:20:20"/>
    <d v="2025-06-03T11:23:40"/>
    <s v="eadisoni@lighthouse.org.mw"/>
    <s v="Eliza adisoni"/>
    <s v="MPC_Bwaila"/>
    <s v="COE"/>
    <x v="2"/>
    <x v="0"/>
    <m/>
    <s v="Quarter3"/>
    <x v="3"/>
    <m/>
    <x v="6"/>
    <d v="2025-05-01T00:00:00"/>
    <d v="2025-05-31T00:00:00"/>
    <x v="1"/>
    <n v="88"/>
    <n v="9"/>
    <n v="52"/>
    <n v="11"/>
    <n v="16"/>
    <n v="9"/>
    <n v="85"/>
    <n v="16"/>
    <n v="21"/>
    <n v="1"/>
    <n v="2"/>
    <n v="0"/>
    <n v="20"/>
    <n v="1"/>
    <n v="3"/>
    <n v="2"/>
    <n v="9"/>
    <n v="6"/>
    <n v="9"/>
    <n v="1"/>
    <n v="8"/>
    <n v="0"/>
    <n v="0"/>
    <n v="1"/>
    <n v="1"/>
    <m/>
  </r>
  <r>
    <n v="1631"/>
    <d v="2025-06-03T11:24:31"/>
    <d v="2025-06-03T11:26:33"/>
    <s v="eadisoni@lighthouse.org.mw"/>
    <s v="Eliza adisoni"/>
    <s v="MPC_Bwaila"/>
    <s v="COE"/>
    <x v="2"/>
    <x v="0"/>
    <m/>
    <s v="Quarter3"/>
    <x v="3"/>
    <m/>
    <x v="6"/>
    <d v="2025-05-01T00:00:00"/>
    <d v="2025-05-31T00:00:00"/>
    <x v="5"/>
    <n v="2"/>
    <n v="1"/>
    <n v="1"/>
    <n v="0"/>
    <n v="1"/>
    <n v="0"/>
    <n v="2"/>
    <n v="1"/>
    <n v="1"/>
    <n v="0"/>
    <n v="0"/>
    <n v="0"/>
    <n v="1"/>
    <n v="0"/>
    <n v="0"/>
    <n v="0"/>
    <n v="0"/>
    <n v="0"/>
    <n v="0"/>
    <n v="0"/>
    <n v="0"/>
    <n v="0"/>
    <n v="0"/>
    <n v="0"/>
    <n v="1"/>
    <m/>
  </r>
  <r>
    <n v="1632"/>
    <d v="2025-06-03T11:26:59"/>
    <d v="2025-06-03T11:29:41"/>
    <s v="eadisoni@lighthouse.org.mw"/>
    <s v="Eliza adisoni"/>
    <s v="MPC_Bwaila"/>
    <s v="COE"/>
    <x v="2"/>
    <x v="0"/>
    <m/>
    <s v="Quarter3"/>
    <x v="3"/>
    <m/>
    <x v="6"/>
    <d v="2025-05-01T00:00:00"/>
    <d v="2025-05-31T00:00:00"/>
    <x v="2"/>
    <n v="26"/>
    <n v="8"/>
    <n v="15"/>
    <n v="4"/>
    <n v="7"/>
    <n v="0"/>
    <n v="26"/>
    <n v="10"/>
    <n v="10"/>
    <n v="0"/>
    <n v="0"/>
    <n v="0"/>
    <n v="10"/>
    <n v="0"/>
    <n v="0"/>
    <n v="0"/>
    <n v="4"/>
    <n v="2"/>
    <n v="3"/>
    <n v="0"/>
    <n v="1"/>
    <n v="0"/>
    <n v="0"/>
    <n v="0"/>
    <n v="2"/>
    <m/>
  </r>
  <r>
    <n v="1719"/>
    <d v="2025-07-02T15:24:08"/>
    <d v="2025-07-02T15:27:21"/>
    <s v="eadisoni@lighthouse.org.mw"/>
    <s v="Eliza adisoni"/>
    <s v="MPC_Bwaila"/>
    <s v="COE"/>
    <x v="2"/>
    <x v="0"/>
    <m/>
    <s v="Quarter2"/>
    <x v="3"/>
    <m/>
    <x v="8"/>
    <d v="2025-06-01T00:00:00"/>
    <d v="2025-06-30T00:00:00"/>
    <x v="0"/>
    <n v="88"/>
    <n v="9"/>
    <n v="56"/>
    <n v="11"/>
    <n v="12"/>
    <n v="9"/>
    <n v="87"/>
    <n v="22"/>
    <n v="22"/>
    <n v="1"/>
    <n v="2"/>
    <n v="1"/>
    <n v="21"/>
    <n v="2"/>
    <n v="3"/>
    <n v="1"/>
    <n v="6"/>
    <n v="3"/>
    <n v="17"/>
    <n v="1"/>
    <n v="8"/>
    <n v="0"/>
    <n v="0"/>
    <n v="1"/>
    <n v="3"/>
    <m/>
  </r>
  <r>
    <n v="1720"/>
    <d v="2025-07-02T15:27:24"/>
    <d v="2025-07-02T15:28:55"/>
    <s v="eadisoni@lighthouse.org.mw"/>
    <s v="Eliza adisoni"/>
    <s v="MPC_Bwaila"/>
    <s v="COE"/>
    <x v="2"/>
    <x v="0"/>
    <m/>
    <s v="Quarter2"/>
    <x v="3"/>
    <m/>
    <x v="8"/>
    <d v="2025-06-01T00:00:00"/>
    <d v="2025-06-30T00:00:00"/>
    <x v="3"/>
    <n v="0"/>
    <n v="0"/>
    <n v="0"/>
    <n v="0"/>
    <n v="0"/>
    <n v="0"/>
    <n v="0"/>
    <n v="0"/>
    <n v="0"/>
    <n v="0"/>
    <n v="0"/>
    <n v="0"/>
    <n v="0"/>
    <n v="0"/>
    <n v="0"/>
    <n v="0"/>
    <n v="0"/>
    <n v="0"/>
    <n v="0"/>
    <n v="0"/>
    <n v="0"/>
    <n v="0"/>
    <n v="0"/>
    <n v="0"/>
    <n v="0"/>
    <m/>
  </r>
  <r>
    <n v="1721"/>
    <d v="2025-07-02T15:29:09"/>
    <d v="2025-07-02T15:32:14"/>
    <s v="eadisoni@lighthouse.org.mw"/>
    <s v="Eliza adisoni"/>
    <s v="MPC_Bwaila"/>
    <s v="COE"/>
    <x v="2"/>
    <x v="0"/>
    <m/>
    <s v="Quarter2"/>
    <x v="3"/>
    <m/>
    <x v="8"/>
    <d v="2025-06-01T00:00:00"/>
    <d v="2025-06-30T00:00:00"/>
    <x v="1"/>
    <n v="79"/>
    <n v="5"/>
    <n v="49"/>
    <n v="11"/>
    <n v="11"/>
    <n v="8"/>
    <n v="78"/>
    <n v="18"/>
    <n v="18"/>
    <n v="0"/>
    <n v="1"/>
    <n v="0"/>
    <n v="18"/>
    <n v="2"/>
    <n v="3"/>
    <n v="2"/>
    <n v="6"/>
    <n v="3"/>
    <n v="16"/>
    <n v="1"/>
    <n v="8"/>
    <n v="0"/>
    <n v="0"/>
    <n v="1"/>
    <n v="3"/>
    <m/>
  </r>
  <r>
    <n v="1722"/>
    <d v="2025-07-02T15:34:55"/>
    <d v="2025-07-02T15:37:34"/>
    <s v="eadisoni@lighthouse.org.mw"/>
    <s v="Eliza adisoni"/>
    <s v="MPC_Bwaila"/>
    <s v="COE"/>
    <x v="2"/>
    <x v="0"/>
    <m/>
    <s v="Quarter2"/>
    <x v="3"/>
    <m/>
    <x v="8"/>
    <d v="2025-06-01T00:00:00"/>
    <d v="2025-06-30T00:00:00"/>
    <x v="4"/>
    <n v="5"/>
    <n v="2"/>
    <n v="3"/>
    <n v="0"/>
    <n v="0"/>
    <n v="2"/>
    <n v="5"/>
    <n v="2"/>
    <n v="2"/>
    <n v="0"/>
    <n v="0"/>
    <n v="0"/>
    <n v="2"/>
    <n v="0"/>
    <n v="1"/>
    <n v="0"/>
    <n v="0"/>
    <n v="0"/>
    <n v="2"/>
    <n v="0"/>
    <n v="0"/>
    <n v="0"/>
    <n v="0"/>
    <n v="0"/>
    <n v="1"/>
    <m/>
  </r>
  <r>
    <n v="1723"/>
    <d v="2025-07-02T15:37:36"/>
    <d v="2025-07-02T15:38:52"/>
    <s v="eadisoni@lighthouse.org.mw"/>
    <s v="Eliza adisoni"/>
    <s v="MPC_Bwaila"/>
    <s v="COE"/>
    <x v="2"/>
    <x v="0"/>
    <m/>
    <s v="Quarter2"/>
    <x v="3"/>
    <m/>
    <x v="8"/>
    <d v="2025-06-01T00:00:00"/>
    <d v="2025-06-30T00:00:00"/>
    <x v="5"/>
    <n v="0"/>
    <n v="0"/>
    <n v="0"/>
    <n v="0"/>
    <n v="0"/>
    <n v="0"/>
    <n v="0"/>
    <n v="0"/>
    <n v="0"/>
    <n v="0"/>
    <n v="0"/>
    <n v="0"/>
    <n v="0"/>
    <n v="0"/>
    <n v="0"/>
    <n v="0"/>
    <n v="0"/>
    <n v="0"/>
    <n v="0"/>
    <n v="0"/>
    <n v="0"/>
    <n v="0"/>
    <n v="0"/>
    <n v="0"/>
    <n v="0"/>
    <m/>
  </r>
  <r>
    <n v="1724"/>
    <d v="2025-07-02T15:39:05"/>
    <d v="2025-07-02T15:41:50"/>
    <s v="eadisoni@lighthouse.org.mw"/>
    <s v="Eliza adisoni"/>
    <s v="MPC_Bwaila"/>
    <s v="COE"/>
    <x v="2"/>
    <x v="0"/>
    <m/>
    <s v="Quarter2"/>
    <x v="3"/>
    <m/>
    <x v="8"/>
    <d v="2025-06-01T00:00:00"/>
    <d v="2025-06-30T00:00:00"/>
    <x v="2"/>
    <n v="9"/>
    <n v="2"/>
    <n v="7"/>
    <n v="0"/>
    <n v="1"/>
    <n v="1"/>
    <n v="9"/>
    <n v="4"/>
    <n v="1"/>
    <n v="0"/>
    <n v="1"/>
    <n v="0"/>
    <n v="3"/>
    <n v="0"/>
    <n v="0"/>
    <n v="0"/>
    <n v="0"/>
    <n v="0"/>
    <n v="2"/>
    <n v="0"/>
    <n v="0"/>
    <n v="0"/>
    <n v="0"/>
    <n v="0"/>
    <n v="0"/>
    <m/>
  </r>
  <r>
    <n v="205"/>
    <d v="2024-04-05T11:23:49"/>
    <d v="2024-04-05T11:26:08"/>
    <s v="tsatumba@lighthouse.org.mw"/>
    <s v="Thomas Satumba"/>
    <s v="Nathenje"/>
    <s v="Prototype"/>
    <x v="1"/>
    <x v="0"/>
    <s v="COP_23"/>
    <s v="Quarter1"/>
    <x v="2"/>
    <s v="Qtr_2"/>
    <x v="4"/>
    <d v="2024-01-01T00:00:00"/>
    <d v="2024-01-31T00:00:00"/>
    <x v="3"/>
    <n v="0"/>
    <n v="0"/>
    <n v="0"/>
    <n v="0"/>
    <n v="0"/>
    <n v="0"/>
    <n v="0"/>
    <n v="0"/>
    <n v="0"/>
    <n v="0"/>
    <n v="0"/>
    <n v="0"/>
    <n v="0"/>
    <n v="0"/>
    <n v="0"/>
    <n v="0"/>
    <n v="0"/>
    <n v="0"/>
    <n v="0"/>
    <n v="0"/>
    <n v="0"/>
    <n v="0"/>
    <n v="0"/>
    <n v="0"/>
    <n v="0"/>
    <m/>
  </r>
  <r>
    <n v="206"/>
    <d v="2024-04-05T11:26:13"/>
    <d v="2024-04-05T11:30:57"/>
    <s v="tsatumba@lighthouse.org.mw"/>
    <s v="Thomas Satumba"/>
    <s v="Nathenje"/>
    <s v="Prototype"/>
    <x v="1"/>
    <x v="0"/>
    <s v="COP_23"/>
    <s v="Quarter1"/>
    <x v="2"/>
    <s v="Qtr_2"/>
    <x v="4"/>
    <d v="2024-01-01T00:00:00"/>
    <d v="2024-01-31T00:00:00"/>
    <x v="5"/>
    <n v="4"/>
    <n v="0"/>
    <n v="3"/>
    <n v="0"/>
    <n v="0"/>
    <n v="1"/>
    <n v="3"/>
    <n v="1"/>
    <n v="2"/>
    <n v="0"/>
    <n v="0"/>
    <n v="0"/>
    <n v="2"/>
    <n v="1"/>
    <n v="0"/>
    <n v="0"/>
    <n v="0"/>
    <n v="0"/>
    <n v="0"/>
    <n v="0"/>
    <n v="0"/>
    <n v="0"/>
    <n v="0"/>
    <n v="0"/>
    <n v="0"/>
    <m/>
  </r>
  <r>
    <n v="208"/>
    <d v="2024-04-05T11:42:42"/>
    <d v="2024-04-05T11:46:53"/>
    <s v="tsatumba@lighthouse.org.mw"/>
    <s v="Thomas Satumba"/>
    <s v="Nathenje"/>
    <s v="Prototype"/>
    <x v="1"/>
    <x v="0"/>
    <s v="COP_23"/>
    <s v="Quarter1"/>
    <x v="2"/>
    <s v="Qtr_2"/>
    <x v="4"/>
    <d v="2024-01-01T00:00:00"/>
    <d v="2024-01-31T00:00:00"/>
    <x v="4"/>
    <n v="1"/>
    <n v="0"/>
    <n v="1"/>
    <n v="0"/>
    <n v="0"/>
    <n v="0"/>
    <n v="0"/>
    <n v="0"/>
    <n v="1"/>
    <n v="0"/>
    <n v="0"/>
    <n v="0"/>
    <n v="1"/>
    <n v="0"/>
    <n v="0"/>
    <n v="0"/>
    <n v="0"/>
    <n v="0"/>
    <n v="0"/>
    <n v="0"/>
    <n v="0"/>
    <n v="0"/>
    <n v="0"/>
    <n v="0"/>
    <n v="0"/>
    <m/>
  </r>
  <r>
    <n v="211"/>
    <d v="2024-04-05T11:58:36"/>
    <d v="2024-04-05T12:02:05"/>
    <s v="tsatumba@lighthouse.org.mw"/>
    <s v="Thomas Satumba"/>
    <s v="Nathenje"/>
    <s v="Prototype"/>
    <x v="1"/>
    <x v="0"/>
    <s v="COP_23"/>
    <s v="Quarter1"/>
    <x v="2"/>
    <s v="Qtr_2"/>
    <x v="5"/>
    <d v="2024-02-01T00:00:00"/>
    <d v="2024-02-29T00:00:00"/>
    <x v="5"/>
    <n v="3"/>
    <n v="1"/>
    <n v="2"/>
    <n v="0"/>
    <n v="0"/>
    <n v="1"/>
    <n v="3"/>
    <n v="1"/>
    <n v="2"/>
    <n v="0"/>
    <n v="0"/>
    <n v="0"/>
    <n v="2"/>
    <n v="1"/>
    <n v="0"/>
    <n v="0"/>
    <n v="0"/>
    <n v="0"/>
    <n v="0"/>
    <n v="0"/>
    <n v="0"/>
    <n v="0"/>
    <n v="0"/>
    <n v="0"/>
    <n v="0"/>
    <m/>
  </r>
  <r>
    <n v="212"/>
    <d v="2024-04-05T12:02:09"/>
    <d v="2024-04-05T12:05:00"/>
    <s v="tsatumba@lighthouse.org.mw"/>
    <s v="Thomas Satumba"/>
    <s v="Nathenje"/>
    <s v="Prototype"/>
    <x v="1"/>
    <x v="0"/>
    <s v="COP_23"/>
    <s v="Quarter1"/>
    <x v="2"/>
    <s v="Qtr_2"/>
    <x v="5"/>
    <d v="2024-01-01T00:00:00"/>
    <d v="2024-02-29T00:00:00"/>
    <x v="4"/>
    <n v="1"/>
    <n v="0"/>
    <n v="1"/>
    <n v="0"/>
    <n v="0"/>
    <n v="0"/>
    <n v="0"/>
    <n v="0"/>
    <n v="0"/>
    <n v="0"/>
    <n v="0"/>
    <n v="0"/>
    <n v="1"/>
    <n v="0"/>
    <n v="0"/>
    <n v="0"/>
    <n v="0"/>
    <n v="0"/>
    <n v="0"/>
    <n v="0"/>
    <n v="0"/>
    <n v="0"/>
    <n v="0"/>
    <n v="0"/>
    <n v="0"/>
    <m/>
  </r>
  <r>
    <n v="215"/>
    <d v="2024-04-05T12:40:56"/>
    <d v="2024-04-05T12:42:36"/>
    <s v="tsatumba@lighthouse.org.mw"/>
    <s v="Thomas Satumba"/>
    <s v="Nathenje"/>
    <s v="Prototype"/>
    <x v="1"/>
    <x v="0"/>
    <s v="COP_23"/>
    <s v="Quarter1"/>
    <x v="2"/>
    <s v="Qtr_2"/>
    <x v="3"/>
    <d v="2024-03-01T00:00:00"/>
    <d v="2024-03-31T00:00:00"/>
    <x v="5"/>
    <n v="2"/>
    <n v="1"/>
    <n v="1"/>
    <n v="0"/>
    <n v="0"/>
    <n v="1"/>
    <n v="1"/>
    <n v="0"/>
    <n v="0"/>
    <n v="0"/>
    <n v="0"/>
    <n v="0"/>
    <n v="0"/>
    <n v="0"/>
    <n v="0"/>
    <n v="0"/>
    <n v="0"/>
    <n v="0"/>
    <n v="0"/>
    <n v="0"/>
    <n v="0"/>
    <n v="0"/>
    <n v="0"/>
    <n v="0"/>
    <n v="0"/>
    <m/>
  </r>
  <r>
    <n v="216"/>
    <d v="2024-04-05T12:42:46"/>
    <d v="2024-04-05T12:44:24"/>
    <s v="tsatumba@lighthouse.org.mw"/>
    <s v="Thomas Satumba"/>
    <s v="Nathenje"/>
    <s v="Prototype"/>
    <x v="1"/>
    <x v="0"/>
    <s v="COP_23"/>
    <s v="Quarter1"/>
    <x v="2"/>
    <s v="Qtr_2"/>
    <x v="3"/>
    <d v="2024-03-01T00:00:00"/>
    <d v="2024-03-31T00:00:00"/>
    <x v="3"/>
    <n v="1"/>
    <n v="0"/>
    <n v="1"/>
    <n v="0"/>
    <n v="0"/>
    <n v="0"/>
    <n v="0"/>
    <n v="0"/>
    <n v="0"/>
    <n v="0"/>
    <n v="0"/>
    <n v="0"/>
    <n v="1"/>
    <n v="0"/>
    <n v="0"/>
    <n v="0"/>
    <n v="0"/>
    <n v="0"/>
    <n v="0"/>
    <n v="0"/>
    <n v="0"/>
    <n v="0"/>
    <n v="0"/>
    <n v="0"/>
    <n v="0"/>
    <m/>
  </r>
  <r>
    <n v="244"/>
    <d v="2024-04-17T15:40:26"/>
    <d v="2024-04-17T15:45:09"/>
    <s v="tsatumba@lighthouse.org.mw"/>
    <s v="Thomas Satumba"/>
    <s v="Nathenje"/>
    <s v="Prototype"/>
    <x v="1"/>
    <x v="0"/>
    <s v="COP_23"/>
    <s v="Quarter1"/>
    <x v="2"/>
    <s v="Qtr_2"/>
    <x v="4"/>
    <d v="2024-01-01T00:00:00"/>
    <d v="2024-01-31T00:00:00"/>
    <x v="0"/>
    <n v="19"/>
    <n v="0"/>
    <n v="15"/>
    <n v="1"/>
    <n v="1"/>
    <n v="2"/>
    <n v="18"/>
    <n v="8"/>
    <n v="19"/>
    <n v="0"/>
    <n v="0"/>
    <n v="0"/>
    <n v="9"/>
    <n v="2"/>
    <n v="0"/>
    <n v="0"/>
    <n v="0"/>
    <n v="0"/>
    <n v="0"/>
    <n v="0"/>
    <n v="1"/>
    <n v="0"/>
    <n v="0"/>
    <n v="0"/>
    <n v="0"/>
    <m/>
  </r>
  <r>
    <n v="245"/>
    <d v="2024-04-17T15:45:21"/>
    <d v="2024-04-17T15:48:46"/>
    <s v="tsatumba@lighthouse.org.mw"/>
    <s v="Thomas Satumba"/>
    <s v="Nathenje"/>
    <s v="Prototype"/>
    <x v="1"/>
    <x v="0"/>
    <s v="COP_23"/>
    <s v="Quarter1"/>
    <x v="2"/>
    <s v="Qtr_2"/>
    <x v="5"/>
    <d v="2024-02-01T00:00:00"/>
    <d v="2024-02-29T00:00:00"/>
    <x v="0"/>
    <n v="19"/>
    <n v="1"/>
    <n v="11"/>
    <n v="5"/>
    <n v="0"/>
    <n v="3"/>
    <n v="18"/>
    <n v="8"/>
    <n v="11"/>
    <n v="0"/>
    <n v="0"/>
    <n v="0"/>
    <n v="14"/>
    <n v="5"/>
    <n v="0"/>
    <n v="0"/>
    <n v="0"/>
    <n v="0"/>
    <n v="0"/>
    <n v="0"/>
    <n v="4"/>
    <n v="0"/>
    <n v="0"/>
    <n v="0"/>
    <n v="0"/>
    <m/>
  </r>
  <r>
    <n v="246"/>
    <d v="2024-04-17T15:48:50"/>
    <d v="2024-04-17T15:51:56"/>
    <s v="tsatumba@lighthouse.org.mw"/>
    <s v="Thomas Satumba"/>
    <s v="Nathenje"/>
    <s v="Prototype"/>
    <x v="1"/>
    <x v="0"/>
    <s v="COP_23"/>
    <s v="Quarter1"/>
    <x v="2"/>
    <s v="Qtr_2"/>
    <x v="3"/>
    <d v="2024-03-01T00:00:00"/>
    <d v="2024-03-31T00:00:00"/>
    <x v="0"/>
    <n v="29"/>
    <n v="3"/>
    <n v="17"/>
    <n v="1"/>
    <n v="4"/>
    <n v="7"/>
    <n v="20"/>
    <n v="9"/>
    <n v="0"/>
    <n v="0"/>
    <n v="0"/>
    <n v="0"/>
    <n v="20"/>
    <n v="12"/>
    <n v="0"/>
    <n v="0"/>
    <n v="0"/>
    <n v="0"/>
    <n v="0"/>
    <n v="0"/>
    <n v="12"/>
    <n v="1"/>
    <n v="0"/>
    <n v="0"/>
    <n v="0"/>
    <m/>
  </r>
  <r>
    <n v="619"/>
    <d v="2024-07-16T08:57:07"/>
    <d v="2024-07-16T09:13:03"/>
    <s v="tsatumba@lighthouse.org.mw"/>
    <s v="Thomas Satumba"/>
    <s v="Nathenje"/>
    <s v="Prototype"/>
    <x v="1"/>
    <x v="0"/>
    <s v="COP_23"/>
    <s v="Quarter2"/>
    <x v="3"/>
    <s v="Qtr_3"/>
    <x v="7"/>
    <d v="2024-04-01T00:00:00"/>
    <d v="2024-04-30T00:00:00"/>
    <x v="0"/>
    <n v="15"/>
    <n v="0"/>
    <n v="10"/>
    <n v="3"/>
    <n v="1"/>
    <n v="1"/>
    <n v="15"/>
    <n v="2"/>
    <n v="2"/>
    <n v="0"/>
    <n v="0"/>
    <n v="0"/>
    <n v="2"/>
    <n v="1"/>
    <n v="0"/>
    <n v="0"/>
    <n v="0"/>
    <n v="0"/>
    <n v="0"/>
    <n v="0"/>
    <n v="1"/>
    <n v="0"/>
    <n v="0"/>
    <n v="0"/>
    <n v="0"/>
    <m/>
  </r>
  <r>
    <n v="620"/>
    <d v="2024-07-16T09:13:33"/>
    <d v="2024-07-16T09:17:49"/>
    <s v="tsatumba@lighthouse.org.mw"/>
    <s v="Thomas Satumba"/>
    <s v="Nathenje"/>
    <s v="Prototype"/>
    <x v="1"/>
    <x v="0"/>
    <s v="COP_23"/>
    <s v="Quarter2"/>
    <x v="3"/>
    <s v="Qtr_3"/>
    <x v="6"/>
    <d v="2024-05-01T00:00:00"/>
    <d v="2024-05-31T00:00:00"/>
    <x v="0"/>
    <n v="11"/>
    <n v="0"/>
    <n v="7"/>
    <n v="1"/>
    <n v="2"/>
    <n v="1"/>
    <n v="11"/>
    <n v="3"/>
    <n v="3"/>
    <n v="0"/>
    <n v="0"/>
    <n v="0"/>
    <n v="1"/>
    <n v="1"/>
    <n v="0"/>
    <n v="0"/>
    <n v="0"/>
    <n v="0"/>
    <n v="0"/>
    <n v="0"/>
    <n v="0"/>
    <n v="0"/>
    <n v="0"/>
    <n v="0"/>
    <n v="0"/>
    <m/>
  </r>
  <r>
    <n v="621"/>
    <d v="2024-07-16T09:20:29"/>
    <d v="2024-07-16T09:26:13"/>
    <s v="tsatumba@lighthouse.org.mw"/>
    <s v="Thomas Satumba"/>
    <s v="Nathenje"/>
    <s v="Prototype"/>
    <x v="1"/>
    <x v="0"/>
    <s v="COP_23"/>
    <s v="Quarter2"/>
    <x v="3"/>
    <s v="Qtr_3"/>
    <x v="8"/>
    <d v="2024-06-01T00:00:00"/>
    <d v="2024-06-30T00:00:00"/>
    <x v="0"/>
    <n v="12"/>
    <n v="0"/>
    <n v="10"/>
    <n v="1"/>
    <n v="1"/>
    <n v="0"/>
    <n v="10"/>
    <n v="5"/>
    <n v="5"/>
    <n v="0"/>
    <n v="0"/>
    <n v="0"/>
    <n v="0"/>
    <n v="0"/>
    <n v="0"/>
    <n v="0"/>
    <n v="0"/>
    <n v="0"/>
    <n v="0"/>
    <n v="0"/>
    <n v="0"/>
    <n v="0"/>
    <n v="0"/>
    <n v="0"/>
    <n v="0"/>
    <m/>
  </r>
  <r>
    <n v="683"/>
    <d v="2024-07-31T09:18:43"/>
    <d v="2024-07-31T09:21:33"/>
    <s v="tsatumba@lighthouse.org.mw"/>
    <s v="Thomas Satumba"/>
    <s v="Nathenje"/>
    <s v="Prototype"/>
    <x v="1"/>
    <x v="2"/>
    <s v="COP_23"/>
    <s v="Quarter2"/>
    <x v="3"/>
    <s v="Qtr_3"/>
    <x v="7"/>
    <d v="2024-04-01T00:00:00"/>
    <d v="2024-04-30T00:00:00"/>
    <x v="3"/>
    <n v="0"/>
    <n v="0"/>
    <n v="0"/>
    <n v="0"/>
    <n v="0"/>
    <n v="0"/>
    <n v="0"/>
    <n v="0"/>
    <n v="0"/>
    <n v="0"/>
    <n v="0"/>
    <n v="0"/>
    <n v="0"/>
    <n v="0"/>
    <n v="0"/>
    <n v="0"/>
    <n v="0"/>
    <n v="0"/>
    <n v="0"/>
    <n v="0"/>
    <n v="0"/>
    <n v="0"/>
    <n v="0"/>
    <n v="0"/>
    <n v="0"/>
    <m/>
  </r>
  <r>
    <n v="684"/>
    <d v="2024-07-31T09:22:01"/>
    <d v="2024-07-31T09:24:20"/>
    <s v="tsatumba@lighthouse.org.mw"/>
    <s v="Thomas Satumba"/>
    <s v="Nathenje"/>
    <s v="Prototype"/>
    <x v="1"/>
    <x v="0"/>
    <s v="COP_23"/>
    <s v="Quarter2"/>
    <x v="3"/>
    <s v="Qtr_3"/>
    <x v="6"/>
    <d v="2024-05-01T00:00:00"/>
    <d v="2024-05-31T00:00:00"/>
    <x v="3"/>
    <n v="0"/>
    <n v="0"/>
    <n v="0"/>
    <n v="0"/>
    <n v="0"/>
    <n v="0"/>
    <n v="0"/>
    <n v="0"/>
    <n v="0"/>
    <n v="0"/>
    <n v="0"/>
    <n v="0"/>
    <n v="0"/>
    <n v="0"/>
    <n v="0"/>
    <n v="0"/>
    <n v="0"/>
    <n v="0"/>
    <n v="0"/>
    <n v="0"/>
    <n v="0"/>
    <n v="0"/>
    <n v="0"/>
    <n v="0"/>
    <n v="0"/>
    <m/>
  </r>
  <r>
    <n v="685"/>
    <d v="2024-07-31T09:25:35"/>
    <d v="2024-07-31T09:29:15"/>
    <s v="tsatumba@lighthouse.org.mw"/>
    <s v="Thomas Satumba"/>
    <s v="Nathenje"/>
    <s v="Prototype"/>
    <x v="1"/>
    <x v="0"/>
    <s v="COP_23"/>
    <s v="Quarter2"/>
    <x v="3"/>
    <s v="Qtr_3"/>
    <x v="8"/>
    <d v="2024-06-01T00:00:00"/>
    <d v="2024-06-30T00:00:00"/>
    <x v="3"/>
    <n v="0"/>
    <n v="0"/>
    <n v="0"/>
    <n v="0"/>
    <n v="0"/>
    <n v="0"/>
    <n v="0"/>
    <n v="0"/>
    <n v="0"/>
    <n v="0"/>
    <n v="0"/>
    <n v="0"/>
    <n v="0"/>
    <n v="0"/>
    <n v="0"/>
    <n v="0"/>
    <n v="0"/>
    <n v="0"/>
    <n v="0"/>
    <n v="0"/>
    <n v="0"/>
    <n v="0"/>
    <n v="0"/>
    <n v="0"/>
    <n v="0"/>
    <m/>
  </r>
  <r>
    <n v="686"/>
    <d v="2024-07-31T09:29:34"/>
    <d v="2024-07-31T09:32:11"/>
    <s v="tsatumba@lighthouse.org.mw"/>
    <s v="Thomas Satumba"/>
    <s v="Nathenje"/>
    <s v="Prototype"/>
    <x v="1"/>
    <x v="0"/>
    <s v="COP_23"/>
    <s v="Quarter2"/>
    <x v="3"/>
    <s v="Qtr_3"/>
    <x v="7"/>
    <d v="2024-04-01T00:00:00"/>
    <d v="2024-04-30T00:00:00"/>
    <x v="4"/>
    <n v="0"/>
    <n v="0"/>
    <n v="0"/>
    <n v="0"/>
    <n v="0"/>
    <n v="0"/>
    <n v="0"/>
    <n v="0"/>
    <n v="0"/>
    <n v="0"/>
    <n v="0"/>
    <n v="0"/>
    <n v="0"/>
    <n v="0"/>
    <n v="0"/>
    <n v="0"/>
    <n v="0"/>
    <n v="0"/>
    <n v="0"/>
    <n v="0"/>
    <n v="0"/>
    <n v="0"/>
    <n v="0"/>
    <n v="0"/>
    <n v="0"/>
    <m/>
  </r>
  <r>
    <n v="688"/>
    <d v="2024-07-31T09:33:49"/>
    <d v="2024-07-31T09:34:51"/>
    <s v="tsatumba@lighthouse.org.mw"/>
    <s v="Thomas Satumba"/>
    <s v="Nathenje"/>
    <s v="Prototype"/>
    <x v="1"/>
    <x v="2"/>
    <s v="COP_23"/>
    <s v="Quarter2"/>
    <x v="3"/>
    <s v="Qtr_3"/>
    <x v="6"/>
    <d v="2024-05-01T00:00:00"/>
    <d v="2024-05-31T00:00:00"/>
    <x v="4"/>
    <n v="0"/>
    <n v="0"/>
    <n v="0"/>
    <n v="0"/>
    <n v="0"/>
    <n v="0"/>
    <n v="0"/>
    <n v="0"/>
    <n v="0"/>
    <n v="0"/>
    <n v="0"/>
    <n v="0"/>
    <n v="0"/>
    <n v="0"/>
    <n v="0"/>
    <n v="0"/>
    <n v="0"/>
    <n v="0"/>
    <n v="0"/>
    <n v="0"/>
    <n v="0"/>
    <n v="0"/>
    <n v="0"/>
    <n v="0"/>
    <n v="0"/>
    <m/>
  </r>
  <r>
    <n v="689"/>
    <d v="2024-07-31T09:34:55"/>
    <d v="2024-07-31T09:36:16"/>
    <s v="tsatumba@lighthouse.org.mw"/>
    <s v="Thomas Satumba"/>
    <s v="Nathenje"/>
    <s v="Prototype"/>
    <x v="1"/>
    <x v="2"/>
    <s v="COP_23"/>
    <s v="Quarter2"/>
    <x v="3"/>
    <s v="Qtr_3"/>
    <x v="8"/>
    <d v="2024-06-01T00:00:00"/>
    <d v="2024-06-30T00:00:00"/>
    <x v="4"/>
    <n v="0"/>
    <n v="0"/>
    <n v="0"/>
    <n v="0"/>
    <n v="0"/>
    <n v="0"/>
    <n v="0"/>
    <n v="0"/>
    <n v="0"/>
    <n v="0"/>
    <n v="0"/>
    <n v="0"/>
    <n v="0"/>
    <n v="0"/>
    <n v="0"/>
    <n v="0"/>
    <n v="0"/>
    <n v="0"/>
    <n v="0"/>
    <n v="0"/>
    <n v="0"/>
    <n v="0"/>
    <n v="0"/>
    <n v="0"/>
    <n v="0"/>
    <m/>
  </r>
  <r>
    <n v="690"/>
    <d v="2024-07-31T09:36:32"/>
    <d v="2024-07-31T10:10:24"/>
    <s v="tsatumba@lighthouse.org.mw"/>
    <s v="Thomas Satumba"/>
    <s v="Nathenje"/>
    <s v="Prototype"/>
    <x v="1"/>
    <x v="2"/>
    <s v="COP_23"/>
    <s v="Quarter2"/>
    <x v="3"/>
    <s v="Qtr_3"/>
    <x v="7"/>
    <d v="2024-04-01T00:00:00"/>
    <d v="2024-04-30T00:00:00"/>
    <x v="5"/>
    <n v="17"/>
    <n v="0"/>
    <n v="1"/>
    <n v="0"/>
    <n v="0"/>
    <n v="1"/>
    <n v="2"/>
    <n v="0"/>
    <n v="0"/>
    <n v="0"/>
    <n v="0"/>
    <n v="0"/>
    <n v="2"/>
    <n v="1"/>
    <n v="0"/>
    <n v="0"/>
    <n v="0"/>
    <n v="0"/>
    <n v="0"/>
    <n v="0"/>
    <n v="0"/>
    <n v="0"/>
    <n v="0"/>
    <n v="0"/>
    <n v="0"/>
    <m/>
  </r>
  <r>
    <n v="691"/>
    <d v="2024-07-31T10:10:35"/>
    <d v="2024-07-31T10:13:41"/>
    <s v="tsatumba@lighthouse.org.mw"/>
    <s v="Thomas Satumba"/>
    <s v="Nathenje"/>
    <s v="Prototype"/>
    <x v="1"/>
    <x v="2"/>
    <s v="COP_23"/>
    <s v="Quarter2"/>
    <x v="3"/>
    <s v="Qtr_3"/>
    <x v="6"/>
    <d v="2024-05-01T00:00:00"/>
    <d v="2024-05-31T00:00:00"/>
    <x v="5"/>
    <n v="7"/>
    <n v="0"/>
    <n v="1"/>
    <n v="0"/>
    <n v="2"/>
    <n v="0"/>
    <n v="3"/>
    <n v="1"/>
    <n v="1"/>
    <n v="0"/>
    <n v="0"/>
    <n v="0"/>
    <n v="0"/>
    <n v="0"/>
    <n v="0"/>
    <n v="0"/>
    <n v="0"/>
    <n v="0"/>
    <n v="0"/>
    <n v="0"/>
    <n v="0"/>
    <n v="0"/>
    <n v="0"/>
    <n v="0"/>
    <n v="0"/>
    <m/>
  </r>
  <r>
    <n v="692"/>
    <d v="2024-07-31T10:13:54"/>
    <d v="2024-07-31T10:15:16"/>
    <s v="tsatumba@lighthouse.org.mw"/>
    <s v="Thomas Satumba"/>
    <s v="Nathenje"/>
    <s v="Prototype"/>
    <x v="1"/>
    <x v="2"/>
    <s v="COP_23"/>
    <s v="Quarter2"/>
    <x v="3"/>
    <s v="Qtr_3"/>
    <x v="8"/>
    <d v="2024-06-01T00:00:00"/>
    <d v="2024-06-30T00:00:00"/>
    <x v="5"/>
    <n v="7"/>
    <n v="0"/>
    <n v="0"/>
    <n v="0"/>
    <n v="0"/>
    <n v="0"/>
    <n v="0"/>
    <n v="0"/>
    <n v="0"/>
    <n v="0"/>
    <n v="0"/>
    <n v="0"/>
    <n v="0"/>
    <n v="0"/>
    <n v="0"/>
    <n v="0"/>
    <n v="0"/>
    <n v="0"/>
    <n v="0"/>
    <n v="0"/>
    <n v="0"/>
    <n v="0"/>
    <n v="0"/>
    <n v="0"/>
    <n v="0"/>
    <m/>
  </r>
  <r>
    <n v="26"/>
    <d v="2023-12-18T07:55:19"/>
    <d v="2023-12-18T08:02:51"/>
    <s v="tsatumba@lighthouse.org.mw"/>
    <s v="Thomas Satumba"/>
    <s v="Nathenje"/>
    <s v="Prototype"/>
    <x v="0"/>
    <x v="2"/>
    <s v="COP_23"/>
    <s v="Quarter4"/>
    <x v="0"/>
    <s v="Qtr_1"/>
    <x v="0"/>
    <d v="2023-10-01T00:00:00"/>
    <d v="2023-10-31T00:00:00"/>
    <x v="1"/>
    <n v="10"/>
    <n v="0"/>
    <n v="6"/>
    <n v="0"/>
    <n v="1"/>
    <n v="1"/>
    <n v="0"/>
    <n v="0"/>
    <n v="0"/>
    <n v="0"/>
    <n v="0"/>
    <n v="0"/>
    <n v="4"/>
    <n v="2"/>
    <n v="0"/>
    <n v="0"/>
    <n v="0"/>
    <n v="0"/>
    <n v="0"/>
    <n v="0"/>
    <n v="2"/>
    <n v="0"/>
    <n v="0"/>
    <n v="0"/>
    <n v="1"/>
    <m/>
  </r>
  <r>
    <n v="27"/>
    <d v="2023-12-18T08:03:53"/>
    <d v="2023-12-18T08:08:02"/>
    <s v="tsatumba@lighthouse.org.mw"/>
    <s v="Thomas Satumba"/>
    <s v="Nathenje"/>
    <s v="Prototype"/>
    <x v="0"/>
    <x v="2"/>
    <s v="COP_23"/>
    <s v="Quarter4"/>
    <x v="0"/>
    <s v="Qtr_1"/>
    <x v="1"/>
    <d v="2023-11-01T00:00:00"/>
    <d v="2023-11-30T00:00:00"/>
    <x v="1"/>
    <n v="10"/>
    <n v="0"/>
    <n v="10"/>
    <n v="0"/>
    <n v="0"/>
    <n v="0"/>
    <n v="1"/>
    <n v="0"/>
    <n v="0"/>
    <n v="0"/>
    <n v="0"/>
    <n v="0"/>
    <n v="0"/>
    <n v="0"/>
    <n v="0"/>
    <n v="0"/>
    <n v="0"/>
    <n v="0"/>
    <n v="0"/>
    <n v="0"/>
    <n v="0"/>
    <n v="0"/>
    <n v="0"/>
    <n v="0"/>
    <n v="0"/>
    <m/>
  </r>
  <r>
    <n v="97"/>
    <d v="2024-01-18T11:56:20"/>
    <d v="2024-01-18T12:06:19"/>
    <s v="tsatumba@lighthouse.org.mw"/>
    <s v="Thomas Satumba"/>
    <s v="Nathenje"/>
    <s v="Prototype"/>
    <x v="0"/>
    <x v="2"/>
    <s v="COP_23"/>
    <s v="Quarter4"/>
    <x v="0"/>
    <s v="Qtr_1"/>
    <x v="11"/>
    <d v="2023-12-01T00:00:00"/>
    <d v="2023-12-31T00:00:00"/>
    <x v="1"/>
    <n v="8"/>
    <n v="0"/>
    <n v="7"/>
    <n v="1"/>
    <n v="0"/>
    <n v="0"/>
    <n v="8"/>
    <n v="1"/>
    <n v="0"/>
    <n v="1"/>
    <n v="0"/>
    <n v="0"/>
    <n v="0"/>
    <n v="0"/>
    <n v="0"/>
    <n v="0"/>
    <n v="0"/>
    <n v="0"/>
    <n v="0"/>
    <n v="0"/>
    <n v="0"/>
    <n v="0"/>
    <n v="0"/>
    <n v="0"/>
    <n v="1"/>
    <m/>
  </r>
  <r>
    <n v="207"/>
    <d v="2024-04-05T11:31:01"/>
    <d v="2024-04-05T11:42:34"/>
    <s v="tsatumba@lighthouse.org.mw"/>
    <s v="Thomas Satumba"/>
    <s v="Nathenje"/>
    <s v="Prototype"/>
    <x v="1"/>
    <x v="2"/>
    <s v="COP_23"/>
    <s v="Quarter1"/>
    <x v="2"/>
    <s v="Qtr_2"/>
    <x v="4"/>
    <d v="2024-01-01T00:00:00"/>
    <d v="2024-01-31T00:00:00"/>
    <x v="2"/>
    <n v="3"/>
    <n v="1"/>
    <n v="2"/>
    <n v="0"/>
    <n v="0"/>
    <n v="1"/>
    <n v="3"/>
    <n v="1"/>
    <n v="1"/>
    <n v="0"/>
    <n v="0"/>
    <n v="0"/>
    <n v="2"/>
    <n v="1"/>
    <n v="0"/>
    <n v="0"/>
    <n v="0"/>
    <n v="0"/>
    <n v="0"/>
    <n v="0"/>
    <n v="0"/>
    <n v="0"/>
    <n v="0"/>
    <n v="0"/>
    <n v="0"/>
    <m/>
  </r>
  <r>
    <n v="204"/>
    <d v="2024-04-05T11:09:55"/>
    <d v="2024-04-05T11:22:59"/>
    <s v="tsatumba@lighthouse.org.mw"/>
    <s v="Thomas Satumba"/>
    <s v="Nathenje"/>
    <s v="Prototype"/>
    <x v="1"/>
    <x v="2"/>
    <s v="COP_23"/>
    <s v="Quarter1"/>
    <x v="2"/>
    <s v="Qtr_2"/>
    <x v="4"/>
    <d v="2024-01-01T00:00:00"/>
    <d v="2024-01-31T00:00:00"/>
    <x v="1"/>
    <n v="12"/>
    <n v="1"/>
    <n v="9"/>
    <n v="1"/>
    <n v="1"/>
    <n v="4"/>
    <n v="12"/>
    <n v="5"/>
    <n v="4"/>
    <n v="0"/>
    <n v="0"/>
    <n v="0"/>
    <n v="5"/>
    <n v="2"/>
    <n v="0"/>
    <n v="0"/>
    <n v="0"/>
    <n v="0"/>
    <n v="0"/>
    <n v="0"/>
    <n v="2"/>
    <n v="0"/>
    <n v="0"/>
    <n v="0"/>
    <n v="0"/>
    <m/>
  </r>
  <r>
    <n v="209"/>
    <d v="2024-04-05T11:46:57"/>
    <d v="2024-04-05T11:52:48"/>
    <s v="tsatumba@lighthouse.org.mw"/>
    <s v="Thomas Satumba"/>
    <s v="Nathenje"/>
    <s v="Prototype"/>
    <x v="1"/>
    <x v="2"/>
    <s v="COP_23"/>
    <s v="Quarter1"/>
    <x v="2"/>
    <s v="Qtr_2"/>
    <x v="5"/>
    <d v="2024-02-01T00:00:00"/>
    <d v="2024-02-29T00:00:00"/>
    <x v="1"/>
    <n v="7"/>
    <n v="0"/>
    <n v="6"/>
    <n v="1"/>
    <n v="0"/>
    <n v="0"/>
    <n v="7"/>
    <n v="1"/>
    <n v="1"/>
    <n v="0"/>
    <n v="0"/>
    <n v="0"/>
    <n v="1"/>
    <n v="0"/>
    <n v="0"/>
    <n v="0"/>
    <n v="0"/>
    <n v="0"/>
    <n v="0"/>
    <n v="0"/>
    <n v="0"/>
    <n v="0"/>
    <n v="0"/>
    <n v="0"/>
    <n v="0"/>
    <m/>
  </r>
  <r>
    <n v="210"/>
    <d v="2024-04-05T11:52:54"/>
    <d v="2024-04-05T11:58:32"/>
    <s v="tsatumba@lighthouse.org.mw"/>
    <s v="Thomas Satumba"/>
    <s v="Nathenje"/>
    <s v="Prototype"/>
    <x v="1"/>
    <x v="2"/>
    <s v="COP_23"/>
    <s v="Quarter1"/>
    <x v="2"/>
    <s v="Qtr_2"/>
    <x v="5"/>
    <d v="2024-02-01T00:00:00"/>
    <d v="2024-02-29T00:00:00"/>
    <x v="2"/>
    <n v="9"/>
    <n v="3"/>
    <n v="2"/>
    <n v="4"/>
    <n v="0"/>
    <n v="3"/>
    <n v="8"/>
    <n v="3"/>
    <n v="5"/>
    <n v="0"/>
    <n v="0"/>
    <n v="0"/>
    <n v="9"/>
    <n v="3"/>
    <n v="0"/>
    <n v="0"/>
    <n v="0"/>
    <n v="0"/>
    <n v="0"/>
    <n v="0"/>
    <n v="0"/>
    <n v="0"/>
    <n v="0"/>
    <n v="0"/>
    <n v="0"/>
    <m/>
  </r>
  <r>
    <n v="214"/>
    <d v="2024-04-05T12:29:12"/>
    <d v="2024-04-05T12:40:53"/>
    <s v="tsatumba@lighthouse.org.mw"/>
    <s v="Thomas Satumba"/>
    <s v="Nathenje"/>
    <s v="Prototype"/>
    <x v="1"/>
    <x v="2"/>
    <s v="COP_23"/>
    <s v="Quarter1"/>
    <x v="2"/>
    <s v="Qtr_2"/>
    <x v="3"/>
    <d v="2024-03-01T00:00:00"/>
    <d v="2024-03-31T00:00:00"/>
    <x v="2"/>
    <n v="9"/>
    <n v="4"/>
    <n v="5"/>
    <n v="0"/>
    <n v="1"/>
    <n v="3"/>
    <n v="8"/>
    <n v="6"/>
    <n v="6"/>
    <n v="0"/>
    <n v="0"/>
    <n v="0"/>
    <n v="8"/>
    <n v="5"/>
    <n v="0"/>
    <n v="0"/>
    <n v="0"/>
    <n v="0"/>
    <n v="0"/>
    <n v="0"/>
    <n v="0"/>
    <n v="0"/>
    <n v="0"/>
    <n v="0"/>
    <n v="0"/>
    <m/>
  </r>
  <r>
    <n v="213"/>
    <d v="2024-04-05T12:05:12"/>
    <d v="2024-04-05T12:29:08"/>
    <s v="tsatumba@lighthouse.org.mw"/>
    <s v="Thomas Satumba"/>
    <s v="Nathenje"/>
    <s v="Prototype"/>
    <x v="1"/>
    <x v="2"/>
    <s v="COP_23"/>
    <s v="Quarter1"/>
    <x v="2"/>
    <s v="Qtr_2"/>
    <x v="3"/>
    <d v="2024-03-01T00:00:00"/>
    <d v="2024-03-31T00:00:00"/>
    <x v="1"/>
    <n v="15"/>
    <n v="4"/>
    <n v="10"/>
    <n v="1"/>
    <n v="2"/>
    <n v="4"/>
    <n v="15"/>
    <n v="3"/>
    <n v="2"/>
    <n v="0"/>
    <n v="0"/>
    <n v="0"/>
    <n v="9"/>
    <n v="5"/>
    <n v="0"/>
    <n v="0"/>
    <n v="0"/>
    <n v="0"/>
    <n v="0"/>
    <n v="0"/>
    <n v="0"/>
    <n v="0"/>
    <n v="0"/>
    <n v="0"/>
    <n v="0"/>
    <m/>
  </r>
  <r>
    <n v="693"/>
    <d v="2024-07-31T10:15:47"/>
    <d v="2024-07-31T10:19:54"/>
    <s v="tsatumba@lighthouse.org.mw"/>
    <s v="Thomas Satumba"/>
    <s v="Nathenje"/>
    <s v="Prototype"/>
    <x v="1"/>
    <x v="2"/>
    <s v="COP_23"/>
    <s v="Quarter2"/>
    <x v="3"/>
    <s v="Qtr_3"/>
    <x v="8"/>
    <d v="2024-06-01T00:00:00"/>
    <d v="2024-06-30T00:00:00"/>
    <x v="2"/>
    <n v="10"/>
    <n v="0"/>
    <n v="1"/>
    <n v="1"/>
    <n v="0"/>
    <n v="0"/>
    <n v="2"/>
    <n v="1"/>
    <n v="1"/>
    <n v="0"/>
    <n v="0"/>
    <n v="0"/>
    <n v="0"/>
    <n v="0"/>
    <n v="0"/>
    <n v="0"/>
    <n v="0"/>
    <n v="0"/>
    <n v="0"/>
    <n v="0"/>
    <n v="0"/>
    <n v="0"/>
    <n v="0"/>
    <n v="0"/>
    <n v="0"/>
    <m/>
  </r>
  <r>
    <n v="694"/>
    <d v="2024-07-31T10:20:01"/>
    <d v="2024-07-31T10:21:11"/>
    <s v="tsatumba@lighthouse.org.mw"/>
    <s v="Thomas Satumba"/>
    <s v="Nathenje"/>
    <s v="Prototype"/>
    <x v="1"/>
    <x v="2"/>
    <s v="COP_23"/>
    <s v="Quarter2"/>
    <x v="3"/>
    <s v="Qtr_3"/>
    <x v="7"/>
    <d v="2024-04-01T00:00:00"/>
    <d v="2024-04-30T00:00:00"/>
    <x v="2"/>
    <n v="17"/>
    <n v="0"/>
    <n v="0"/>
    <n v="0"/>
    <n v="0"/>
    <n v="0"/>
    <n v="0"/>
    <n v="0"/>
    <n v="0"/>
    <n v="0"/>
    <n v="0"/>
    <n v="0"/>
    <n v="0"/>
    <n v="0"/>
    <n v="0"/>
    <n v="0"/>
    <n v="0"/>
    <n v="0"/>
    <n v="0"/>
    <n v="0"/>
    <n v="0"/>
    <n v="0"/>
    <n v="0"/>
    <n v="0"/>
    <n v="0"/>
    <m/>
  </r>
  <r>
    <n v="680"/>
    <d v="2024-07-31T09:03:05"/>
    <d v="2024-07-31T09:09:00"/>
    <s v="tsatumba@lighthouse.org.mw"/>
    <s v="Thomas Satumba"/>
    <s v="Nathenje"/>
    <s v="Prototype"/>
    <x v="1"/>
    <x v="2"/>
    <s v="COP_23"/>
    <s v="Quarter2"/>
    <x v="3"/>
    <s v="Qtr_3"/>
    <x v="7"/>
    <d v="2024-04-01T00:00:00"/>
    <d v="2024-04-30T00:00:00"/>
    <x v="1"/>
    <n v="9"/>
    <n v="0"/>
    <n v="8"/>
    <n v="1"/>
    <n v="0"/>
    <n v="0"/>
    <n v="9"/>
    <n v="2"/>
    <n v="0"/>
    <n v="0"/>
    <n v="0"/>
    <n v="0"/>
    <n v="0"/>
    <n v="0"/>
    <n v="0"/>
    <n v="0"/>
    <n v="0"/>
    <n v="0"/>
    <n v="0"/>
    <n v="0"/>
    <n v="0"/>
    <n v="0"/>
    <n v="0"/>
    <n v="0"/>
    <n v="0"/>
    <m/>
  </r>
  <r>
    <n v="695"/>
    <d v="2024-07-31T10:21:24"/>
    <d v="2024-07-31T10:22:44"/>
    <s v="tsatumba@lighthouse.org.mw"/>
    <s v="Thomas Satumba"/>
    <s v="Nathenje"/>
    <s v="Prototype"/>
    <x v="1"/>
    <x v="2"/>
    <s v="COP_23"/>
    <s v="Quarter2"/>
    <x v="3"/>
    <s v="Qtr_3"/>
    <x v="6"/>
    <d v="2024-05-01T00:00:00"/>
    <d v="2024-05-31T00:00:00"/>
    <x v="2"/>
    <n v="10"/>
    <n v="0"/>
    <n v="0"/>
    <n v="0"/>
    <n v="0"/>
    <n v="0"/>
    <n v="0"/>
    <n v="0"/>
    <n v="0"/>
    <n v="0"/>
    <n v="0"/>
    <n v="0"/>
    <n v="0"/>
    <n v="0"/>
    <n v="0"/>
    <n v="0"/>
    <n v="0"/>
    <n v="0"/>
    <n v="0"/>
    <n v="0"/>
    <n v="0"/>
    <n v="0"/>
    <n v="0"/>
    <n v="0"/>
    <n v="0"/>
    <m/>
  </r>
  <r>
    <n v="681"/>
    <d v="2024-07-31T09:09:48"/>
    <d v="2024-07-31T09:13:40"/>
    <s v="tsatumba@lighthouse.org.mw"/>
    <s v="Thomas Satumba"/>
    <s v="Nathenje"/>
    <s v="Prototype"/>
    <x v="1"/>
    <x v="2"/>
    <s v="COP_23"/>
    <s v="Quarter2"/>
    <x v="3"/>
    <s v="Qtr_3"/>
    <x v="6"/>
    <d v="2024-05-01T00:00:00"/>
    <d v="2024-05-31T00:00:00"/>
    <x v="1"/>
    <n v="8"/>
    <n v="0"/>
    <n v="6"/>
    <n v="1"/>
    <n v="0"/>
    <n v="1"/>
    <n v="8"/>
    <n v="2"/>
    <n v="2"/>
    <n v="0"/>
    <n v="0"/>
    <n v="0"/>
    <n v="0"/>
    <n v="0"/>
    <n v="0"/>
    <n v="0"/>
    <n v="0"/>
    <n v="0"/>
    <n v="0"/>
    <n v="0"/>
    <n v="0"/>
    <n v="0"/>
    <n v="0"/>
    <n v="0"/>
    <n v="0"/>
    <m/>
  </r>
  <r>
    <n v="682"/>
    <d v="2024-07-31T09:14:03"/>
    <d v="2024-07-31T09:16:58"/>
    <s v="tsatumba@lighthouse.org.mw"/>
    <s v="Thomas Satumba"/>
    <s v="Nathenje"/>
    <s v="Prototype"/>
    <x v="1"/>
    <x v="2"/>
    <s v="COP_23"/>
    <s v="Quarter2"/>
    <x v="3"/>
    <s v="Qtr_3"/>
    <x v="8"/>
    <d v="2024-06-01T00:00:00"/>
    <d v="2024-06-30T00:00:00"/>
    <x v="1"/>
    <n v="10"/>
    <n v="0"/>
    <n v="9"/>
    <n v="0"/>
    <n v="1"/>
    <n v="0"/>
    <n v="8"/>
    <n v="4"/>
    <n v="4"/>
    <n v="0"/>
    <n v="0"/>
    <n v="0"/>
    <n v="0"/>
    <n v="0"/>
    <n v="0"/>
    <n v="0"/>
    <n v="0"/>
    <n v="0"/>
    <n v="0"/>
    <n v="0"/>
    <n v="0"/>
    <n v="0"/>
    <n v="0"/>
    <n v="0"/>
    <n v="0"/>
    <m/>
  </r>
  <r>
    <n v="923"/>
    <d v="2024-10-14T09:30:17"/>
    <d v="2024-10-14T09:30:39"/>
    <s v="tsatumba@lighthouse.org.mw"/>
    <s v="Thomas Satumba"/>
    <s v="Nathenje"/>
    <s v="Prototype"/>
    <x v="1"/>
    <x v="0"/>
    <s v="COP_23"/>
    <s v="Quarter3"/>
    <x v="1"/>
    <s v="Qtr_4"/>
    <x v="9"/>
    <d v="2024-07-01T00:00:00"/>
    <d v="2024-07-31T00:00:00"/>
    <x v="1"/>
    <n v="11"/>
    <n v="2"/>
    <n v="8"/>
    <n v="1"/>
    <n v="1"/>
    <n v="0"/>
    <n v="9"/>
    <n v="2"/>
    <n v="3"/>
    <n v="0"/>
    <n v="0"/>
    <n v="0"/>
    <n v="0"/>
    <n v="0"/>
    <n v="0"/>
    <n v="0"/>
    <n v="0"/>
    <n v="0"/>
    <n v="0"/>
    <n v="0"/>
    <n v="0"/>
    <n v="0"/>
    <n v="0"/>
    <n v="0"/>
    <n v="0"/>
    <m/>
  </r>
  <r>
    <n v="924"/>
    <d v="2024-10-14T09:30:54"/>
    <d v="2024-10-14T09:33:19"/>
    <s v="tsatumba@lighthouse.org.mw"/>
    <s v="Thomas Satumba"/>
    <s v="Nathenje"/>
    <s v="Prototype"/>
    <x v="1"/>
    <x v="0"/>
    <s v="COP_23"/>
    <s v="Quarter3"/>
    <x v="1"/>
    <s v="Qtr_4"/>
    <x v="10"/>
    <d v="2024-08-01T00:00:00"/>
    <d v="2024-08-31T00:00:00"/>
    <x v="1"/>
    <n v="13"/>
    <n v="0"/>
    <n v="10"/>
    <n v="1"/>
    <n v="1"/>
    <n v="0"/>
    <n v="12"/>
    <n v="3"/>
    <n v="0"/>
    <n v="0"/>
    <n v="0"/>
    <n v="0"/>
    <n v="0"/>
    <n v="0"/>
    <n v="0"/>
    <n v="0"/>
    <n v="0"/>
    <n v="0"/>
    <n v="0"/>
    <n v="0"/>
    <n v="0"/>
    <n v="0"/>
    <n v="0"/>
    <n v="0"/>
    <n v="0"/>
    <m/>
  </r>
  <r>
    <n v="925"/>
    <d v="2024-10-14T09:33:28"/>
    <d v="2024-10-14T09:35:34"/>
    <s v="tsatumba@lighthouse.org.mw"/>
    <s v="Thomas Satumba"/>
    <s v="Nathenje"/>
    <s v="Prototype"/>
    <x v="1"/>
    <x v="0"/>
    <s v="COP_23"/>
    <s v="Quarter3"/>
    <x v="1"/>
    <s v="Qtr_4"/>
    <x v="2"/>
    <d v="2024-09-01T00:00:00"/>
    <d v="2024-09-30T00:00:00"/>
    <x v="1"/>
    <n v="8"/>
    <n v="0"/>
    <n v="6"/>
    <n v="1"/>
    <n v="0"/>
    <n v="0"/>
    <n v="4"/>
    <n v="0"/>
    <n v="0"/>
    <n v="0"/>
    <n v="0"/>
    <n v="0"/>
    <n v="0"/>
    <n v="0"/>
    <n v="0"/>
    <n v="0"/>
    <n v="0"/>
    <n v="0"/>
    <n v="0"/>
    <n v="0"/>
    <n v="0"/>
    <n v="0"/>
    <n v="0"/>
    <n v="0"/>
    <n v="0"/>
    <m/>
  </r>
  <r>
    <n v="914"/>
    <d v="2024-10-10T14:27:00"/>
    <d v="2024-10-10T14:33:23"/>
    <s v="tsatumba@lighthouse.org.mw"/>
    <s v="Thomas Satumba"/>
    <s v="Nathenje"/>
    <s v="Prototype"/>
    <x v="1"/>
    <x v="0"/>
    <s v="COP_23"/>
    <s v="Quarter3"/>
    <x v="1"/>
    <s v="Qtr_4"/>
    <x v="9"/>
    <d v="2024-07-01T00:00:00"/>
    <d v="2024-07-31T00:00:00"/>
    <x v="0"/>
    <n v="12"/>
    <n v="2"/>
    <n v="10"/>
    <n v="1"/>
    <n v="1"/>
    <n v="0"/>
    <n v="11"/>
    <n v="2"/>
    <n v="3"/>
    <n v="0"/>
    <n v="0"/>
    <n v="0"/>
    <n v="0"/>
    <n v="0"/>
    <n v="0"/>
    <n v="0"/>
    <n v="0"/>
    <n v="0"/>
    <n v="0"/>
    <n v="0"/>
    <n v="0"/>
    <n v="0"/>
    <n v="0"/>
    <n v="0"/>
    <n v="0"/>
    <m/>
  </r>
  <r>
    <n v="915"/>
    <d v="2024-10-10T14:34:22"/>
    <d v="2024-10-10T14:44:49"/>
    <s v="tsatumba@lighthouse.org.mw"/>
    <s v="Thomas Satumba"/>
    <s v="Nathenje"/>
    <s v="Prototype"/>
    <x v="1"/>
    <x v="0"/>
    <s v="COP_23"/>
    <s v="Quarter3"/>
    <x v="1"/>
    <s v="Qtr_4"/>
    <x v="10"/>
    <d v="2024-08-01T00:00:00"/>
    <d v="2024-08-31T00:00:00"/>
    <x v="0"/>
    <n v="18"/>
    <n v="1"/>
    <n v="15"/>
    <n v="0"/>
    <n v="2"/>
    <n v="1"/>
    <n v="18"/>
    <n v="5"/>
    <n v="2"/>
    <n v="0"/>
    <n v="0"/>
    <n v="0"/>
    <n v="2"/>
    <n v="1"/>
    <n v="0"/>
    <n v="0"/>
    <n v="0"/>
    <n v="0"/>
    <n v="0"/>
    <n v="0"/>
    <n v="0"/>
    <n v="0"/>
    <n v="0"/>
    <n v="0"/>
    <n v="0"/>
    <m/>
  </r>
  <r>
    <n v="916"/>
    <d v="2024-10-10T14:50:40"/>
    <d v="2024-10-10T15:08:19"/>
    <s v="tsatumba@lighthouse.org.mw"/>
    <s v="Thomas Satumba"/>
    <s v="Nathenje"/>
    <s v="Prototype"/>
    <x v="1"/>
    <x v="0"/>
    <s v="COP_23"/>
    <s v="Quarter3"/>
    <x v="1"/>
    <s v="Qtr_4"/>
    <x v="2"/>
    <d v="2024-09-01T00:00:00"/>
    <d v="2024-09-30T00:00:00"/>
    <x v="0"/>
    <n v="17"/>
    <n v="0"/>
    <n v="13"/>
    <n v="1"/>
    <n v="1"/>
    <n v="2"/>
    <n v="11"/>
    <n v="2"/>
    <n v="1"/>
    <n v="0"/>
    <n v="0"/>
    <n v="0"/>
    <n v="7"/>
    <n v="3"/>
    <n v="0"/>
    <n v="0"/>
    <n v="0"/>
    <n v="0"/>
    <n v="0"/>
    <n v="0"/>
    <n v="4"/>
    <n v="0"/>
    <n v="0"/>
    <n v="0"/>
    <n v="0"/>
    <m/>
  </r>
  <r>
    <n v="917"/>
    <d v="2024-10-10T15:12:05"/>
    <d v="2024-10-10T15:19:14"/>
    <s v="tsatumba@lighthouse.org.mw"/>
    <s v="Thomas Satumba"/>
    <s v="Nathenje"/>
    <s v="Prototype"/>
    <x v="1"/>
    <x v="0"/>
    <s v="COP_23"/>
    <s v="Quarter3"/>
    <x v="1"/>
    <s v="Qtr_4"/>
    <x v="9"/>
    <d v="2024-07-01T00:00:00"/>
    <d v="2024-07-31T00:00:00"/>
    <x v="3"/>
    <n v="0"/>
    <n v="0"/>
    <n v="0"/>
    <n v="0"/>
    <n v="0"/>
    <n v="0"/>
    <n v="0"/>
    <n v="0"/>
    <n v="0"/>
    <n v="0"/>
    <n v="0"/>
    <n v="0"/>
    <n v="0"/>
    <n v="0"/>
    <n v="0"/>
    <n v="0"/>
    <n v="0"/>
    <n v="0"/>
    <n v="0"/>
    <n v="0"/>
    <n v="0"/>
    <n v="0"/>
    <n v="0"/>
    <n v="0"/>
    <n v="0"/>
    <m/>
  </r>
  <r>
    <n v="918"/>
    <d v="2024-10-10T15:19:17"/>
    <d v="2024-10-10T15:20:30"/>
    <s v="tsatumba@lighthouse.org.mw"/>
    <s v="Thomas Satumba"/>
    <s v="Nathenje"/>
    <s v="Prototype"/>
    <x v="1"/>
    <x v="0"/>
    <s v="COP_23"/>
    <s v="Quarter3"/>
    <x v="1"/>
    <s v="Qtr_4"/>
    <x v="10"/>
    <d v="2024-08-01T00:00:00"/>
    <d v="2024-08-31T00:00:00"/>
    <x v="3"/>
    <n v="0"/>
    <n v="0"/>
    <n v="0"/>
    <n v="0"/>
    <n v="0"/>
    <n v="0"/>
    <n v="0"/>
    <n v="0"/>
    <n v="0"/>
    <n v="0"/>
    <n v="0"/>
    <n v="0"/>
    <n v="0"/>
    <n v="0"/>
    <n v="0"/>
    <n v="0"/>
    <n v="0"/>
    <n v="0"/>
    <n v="0"/>
    <n v="0"/>
    <n v="0"/>
    <n v="0"/>
    <n v="0"/>
    <n v="0"/>
    <n v="0"/>
    <m/>
  </r>
  <r>
    <n v="919"/>
    <d v="2024-10-10T15:20:33"/>
    <d v="2024-10-10T15:21:50"/>
    <s v="tsatumba@lighthouse.org.mw"/>
    <s v="Thomas Satumba"/>
    <s v="Nathenje"/>
    <s v="Prototype"/>
    <x v="1"/>
    <x v="0"/>
    <s v="COP_23"/>
    <s v="Quarter3"/>
    <x v="1"/>
    <s v="Qtr_4"/>
    <x v="2"/>
    <d v="2024-09-01T00:00:00"/>
    <d v="2024-09-01T00:00:00"/>
    <x v="3"/>
    <n v="0"/>
    <n v="0"/>
    <n v="0"/>
    <n v="0"/>
    <n v="0"/>
    <n v="0"/>
    <n v="0"/>
    <n v="0"/>
    <n v="0"/>
    <n v="0"/>
    <n v="0"/>
    <n v="0"/>
    <n v="0"/>
    <n v="0"/>
    <n v="0"/>
    <n v="0"/>
    <n v="0"/>
    <n v="0"/>
    <n v="0"/>
    <n v="0"/>
    <n v="0"/>
    <n v="0"/>
    <n v="0"/>
    <n v="0"/>
    <n v="0"/>
    <m/>
  </r>
  <r>
    <n v="920"/>
    <d v="2024-10-10T15:22:06"/>
    <d v="2024-10-10T15:23:17"/>
    <s v="tsatumba@lighthouse.org.mw"/>
    <s v="Thomas Satumba"/>
    <s v="Nathenje"/>
    <s v="Prototype"/>
    <x v="1"/>
    <x v="0"/>
    <s v="COP_23"/>
    <s v="Quarter3"/>
    <x v="1"/>
    <s v="Qtr_4"/>
    <x v="9"/>
    <d v="2024-07-01T00:00:00"/>
    <d v="2024-07-31T00:00:00"/>
    <x v="6"/>
    <n v="0"/>
    <n v="0"/>
    <n v="0"/>
    <n v="0"/>
    <n v="0"/>
    <n v="0"/>
    <n v="0"/>
    <n v="0"/>
    <n v="0"/>
    <n v="0"/>
    <n v="0"/>
    <n v="0"/>
    <n v="0"/>
    <n v="0"/>
    <n v="0"/>
    <n v="0"/>
    <n v="0"/>
    <n v="0"/>
    <n v="0"/>
    <n v="0"/>
    <n v="0"/>
    <n v="0"/>
    <n v="0"/>
    <n v="0"/>
    <n v="0"/>
    <m/>
  </r>
  <r>
    <n v="921"/>
    <d v="2024-10-10T15:23:20"/>
    <d v="2024-10-10T15:24:43"/>
    <s v="tsatumba@lighthouse.org.mw"/>
    <s v="Thomas Satumba"/>
    <s v="Nathenje"/>
    <s v="Prototype"/>
    <x v="1"/>
    <x v="0"/>
    <s v="COP_23"/>
    <s v="Quarter3"/>
    <x v="1"/>
    <s v="Qtr_4"/>
    <x v="10"/>
    <d v="2024-08-01T00:00:00"/>
    <d v="2024-08-31T00:00:00"/>
    <x v="6"/>
    <n v="0"/>
    <n v="0"/>
    <n v="0"/>
    <n v="0"/>
    <n v="0"/>
    <n v="0"/>
    <n v="0"/>
    <n v="0"/>
    <n v="0"/>
    <n v="0"/>
    <n v="0"/>
    <n v="0"/>
    <n v="0"/>
    <n v="0"/>
    <n v="0"/>
    <n v="0"/>
    <n v="0"/>
    <n v="0"/>
    <n v="0"/>
    <n v="0"/>
    <n v="0"/>
    <n v="0"/>
    <n v="0"/>
    <n v="0"/>
    <n v="0"/>
    <m/>
  </r>
  <r>
    <n v="922"/>
    <d v="2024-10-10T15:24:46"/>
    <d v="2024-10-10T15:25:56"/>
    <s v="tsatumba@lighthouse.org.mw"/>
    <s v="Thomas Satumba"/>
    <s v="Nathenje"/>
    <s v="Prototype"/>
    <x v="1"/>
    <x v="0"/>
    <s v="COP_23"/>
    <s v="Quarter3"/>
    <x v="1"/>
    <s v="Qtr_4"/>
    <x v="2"/>
    <d v="2024-09-01T00:00:00"/>
    <d v="2024-09-30T00:00:00"/>
    <x v="6"/>
    <n v="0"/>
    <n v="0"/>
    <n v="0"/>
    <n v="0"/>
    <n v="0"/>
    <n v="0"/>
    <n v="0"/>
    <n v="0"/>
    <n v="0"/>
    <n v="0"/>
    <n v="0"/>
    <n v="0"/>
    <n v="0"/>
    <n v="0"/>
    <n v="0"/>
    <n v="0"/>
    <n v="0"/>
    <n v="0"/>
    <n v="0"/>
    <n v="0"/>
    <n v="0"/>
    <n v="0"/>
    <n v="0"/>
    <n v="0"/>
    <n v="0"/>
    <m/>
  </r>
  <r>
    <n v="947"/>
    <d v="2024-10-17T13:30:26"/>
    <d v="2024-10-17T13:32:27"/>
    <s v="tsatumba@lighthouse.org.mw"/>
    <s v="Thomas Satumba"/>
    <s v="Nathenje"/>
    <s v="Prototype"/>
    <x v="1"/>
    <x v="0"/>
    <s v="COP_23"/>
    <s v="Quarter3"/>
    <x v="1"/>
    <s v="Qtr_4"/>
    <x v="10"/>
    <d v="2024-08-01T00:00:00"/>
    <d v="2024-08-31T00:00:00"/>
    <x v="4"/>
    <n v="1"/>
    <n v="0"/>
    <n v="0"/>
    <n v="0"/>
    <n v="1"/>
    <n v="0"/>
    <n v="1"/>
    <n v="1"/>
    <n v="0"/>
    <n v="0"/>
    <n v="0"/>
    <n v="0"/>
    <n v="0"/>
    <n v="0"/>
    <n v="0"/>
    <n v="0"/>
    <n v="0"/>
    <n v="0"/>
    <n v="0"/>
    <n v="0"/>
    <n v="0"/>
    <n v="0"/>
    <n v="0"/>
    <n v="0"/>
    <n v="0"/>
    <m/>
  </r>
  <r>
    <n v="948"/>
    <d v="2024-10-17T13:32:32"/>
    <d v="2024-10-17T13:34:11"/>
    <s v="tsatumba@lighthouse.org.mw"/>
    <s v="Thomas Satumba"/>
    <s v="Nathenje"/>
    <s v="Prototype"/>
    <x v="1"/>
    <x v="0"/>
    <s v="COP_23"/>
    <s v="Quarter3"/>
    <x v="1"/>
    <s v="Qtr_4"/>
    <x v="2"/>
    <d v="2024-09-01T00:00:00"/>
    <d v="2024-09-30T00:00:00"/>
    <x v="4"/>
    <n v="1"/>
    <n v="0"/>
    <n v="0"/>
    <n v="1"/>
    <n v="0"/>
    <n v="0"/>
    <n v="0"/>
    <n v="0"/>
    <n v="0"/>
    <n v="0"/>
    <n v="0"/>
    <n v="0"/>
    <n v="0"/>
    <n v="0"/>
    <n v="0"/>
    <n v="0"/>
    <n v="0"/>
    <n v="0"/>
    <n v="0"/>
    <n v="0"/>
    <n v="0"/>
    <n v="0"/>
    <n v="0"/>
    <n v="0"/>
    <n v="0"/>
    <m/>
  </r>
  <r>
    <n v="949"/>
    <d v="2024-10-17T13:35:33"/>
    <d v="2024-10-17T13:38:18"/>
    <s v="tsatumba@lighthouse.org.mw"/>
    <s v="Thomas Satumba"/>
    <s v="Nathenje"/>
    <s v="Prototype"/>
    <x v="1"/>
    <x v="0"/>
    <s v="COP_23"/>
    <s v="Quarter3"/>
    <x v="1"/>
    <s v="Qtr_4"/>
    <x v="2"/>
    <d v="2024-09-01T00:00:00"/>
    <d v="2024-09-30T00:00:00"/>
    <x v="5"/>
    <n v="6"/>
    <n v="0"/>
    <n v="5"/>
    <n v="0"/>
    <n v="1"/>
    <n v="0"/>
    <n v="6"/>
    <n v="2"/>
    <n v="2"/>
    <n v="0"/>
    <n v="0"/>
    <n v="0"/>
    <n v="2"/>
    <n v="0"/>
    <n v="0"/>
    <n v="0"/>
    <n v="0"/>
    <n v="0"/>
    <n v="0"/>
    <n v="0"/>
    <n v="0"/>
    <n v="0"/>
    <n v="0"/>
    <n v="0"/>
    <n v="0"/>
    <m/>
  </r>
  <r>
    <n v="986"/>
    <d v="2024-10-24T11:05:30"/>
    <d v="2024-10-24T11:06:50"/>
    <s v="tsatumba@lighthouse.org.mw"/>
    <s v="Thomas Satumba"/>
    <s v="Nathenje"/>
    <s v="Prototype"/>
    <x v="1"/>
    <x v="0"/>
    <s v="COP_23"/>
    <s v="Quarter3"/>
    <x v="1"/>
    <s v="Qtr_4"/>
    <x v="10"/>
    <d v="2024-08-01T00:00:00"/>
    <d v="2024-08-31T00:00:00"/>
    <x v="5"/>
    <n v="0"/>
    <n v="0"/>
    <n v="0"/>
    <n v="0"/>
    <n v="0"/>
    <n v="0"/>
    <n v="0"/>
    <n v="0"/>
    <n v="0"/>
    <n v="0"/>
    <n v="0"/>
    <n v="0"/>
    <n v="0"/>
    <n v="0"/>
    <n v="0"/>
    <n v="0"/>
    <n v="0"/>
    <n v="0"/>
    <n v="0"/>
    <n v="0"/>
    <n v="0"/>
    <n v="0"/>
    <n v="0"/>
    <n v="0"/>
    <n v="0"/>
    <m/>
  </r>
  <r>
    <n v="987"/>
    <d v="2024-10-24T11:06:53"/>
    <d v="2024-10-24T11:07:53"/>
    <s v="tsatumba@lighthouse.org.mw"/>
    <s v="Thomas Satumba"/>
    <s v="Nathenje"/>
    <s v="Prototype"/>
    <x v="1"/>
    <x v="0"/>
    <s v="COP_23"/>
    <s v="Quarter3"/>
    <x v="1"/>
    <s v="Qtr_4"/>
    <x v="9"/>
    <d v="2024-07-01T00:00:00"/>
    <d v="2024-07-31T00:00:00"/>
    <x v="5"/>
    <n v="0"/>
    <n v="0"/>
    <n v="0"/>
    <n v="0"/>
    <n v="0"/>
    <n v="0"/>
    <n v="0"/>
    <n v="0"/>
    <n v="0"/>
    <n v="0"/>
    <n v="0"/>
    <n v="0"/>
    <n v="0"/>
    <n v="0"/>
    <n v="0"/>
    <n v="0"/>
    <n v="0"/>
    <n v="0"/>
    <n v="0"/>
    <n v="0"/>
    <n v="0"/>
    <n v="0"/>
    <n v="0"/>
    <n v="0"/>
    <n v="0"/>
    <m/>
  </r>
  <r>
    <n v="1110"/>
    <d v="2024-12-06T09:32:31"/>
    <d v="2024-12-06T09:37:33"/>
    <s v="tsatumba@lighthouse.org.mw"/>
    <s v="Thomas Satumba"/>
    <s v="Nathenje"/>
    <s v="Prototype"/>
    <x v="1"/>
    <x v="2"/>
    <s v="COP_24"/>
    <s v="Quarter4"/>
    <x v="0"/>
    <s v="Qtr_1"/>
    <x v="0"/>
    <d v="2024-10-01T00:00:00"/>
    <d v="2024-10-31T00:00:00"/>
    <x v="0"/>
    <n v="13"/>
    <n v="0"/>
    <n v="13"/>
    <n v="0"/>
    <n v="0"/>
    <n v="0"/>
    <n v="0"/>
    <n v="0"/>
    <n v="0"/>
    <n v="0"/>
    <n v="0"/>
    <n v="0"/>
    <n v="3"/>
    <n v="0"/>
    <n v="0"/>
    <n v="0"/>
    <n v="0"/>
    <n v="0"/>
    <n v="0"/>
    <n v="0"/>
    <n v="0"/>
    <n v="0"/>
    <n v="0"/>
    <n v="0"/>
    <n v="0"/>
    <m/>
  </r>
  <r>
    <n v="1111"/>
    <d v="2024-12-06T09:37:56"/>
    <d v="2024-12-06T09:40:10"/>
    <s v="tsatumba@lighthouse.org.mw"/>
    <s v="Thomas Satumba"/>
    <s v="Nathenje"/>
    <s v="Prototype"/>
    <x v="1"/>
    <x v="2"/>
    <s v="COP_24"/>
    <s v="Quarter4"/>
    <x v="0"/>
    <s v="Qtr_1"/>
    <x v="1"/>
    <d v="2024-11-01T00:00:00"/>
    <d v="2024-11-30T00:00:00"/>
    <x v="0"/>
    <n v="21"/>
    <n v="1"/>
    <n v="12"/>
    <n v="2"/>
    <n v="4"/>
    <n v="0"/>
    <n v="0"/>
    <n v="0"/>
    <n v="0"/>
    <n v="0"/>
    <n v="0"/>
    <n v="0"/>
    <n v="7"/>
    <n v="0"/>
    <n v="0"/>
    <n v="0"/>
    <n v="0"/>
    <n v="0"/>
    <n v="0"/>
    <n v="0"/>
    <n v="0"/>
    <n v="0"/>
    <n v="0"/>
    <n v="0"/>
    <n v="0"/>
    <m/>
  </r>
  <r>
    <n v="1239"/>
    <d v="2025-01-13T13:04:51"/>
    <d v="2025-01-13T13:12:07"/>
    <s v="tsatumba@lighthouse.org.mw"/>
    <s v="Thomas Satumba"/>
    <s v="Nathenje"/>
    <s v="Prototype"/>
    <x v="1"/>
    <x v="2"/>
    <s v="COP_24"/>
    <s v="Quarter4"/>
    <x v="0"/>
    <s v="Qtr_1"/>
    <x v="11"/>
    <d v="2024-12-01T00:00:00"/>
    <d v="2024-12-31T00:00:00"/>
    <x v="0"/>
    <n v="13"/>
    <n v="0"/>
    <n v="9"/>
    <n v="1"/>
    <n v="3"/>
    <n v="0"/>
    <n v="8"/>
    <n v="3"/>
    <n v="6"/>
    <n v="0"/>
    <n v="0"/>
    <n v="0"/>
    <n v="5"/>
    <n v="0"/>
    <n v="0"/>
    <n v="0"/>
    <n v="0"/>
    <n v="0"/>
    <n v="0"/>
    <n v="0"/>
    <n v="0"/>
    <n v="0"/>
    <n v="0"/>
    <n v="0"/>
    <n v="0"/>
    <m/>
  </r>
  <r>
    <n v="1240"/>
    <d v="2025-01-13T13:13:50"/>
    <d v="2025-01-13T13:17:47"/>
    <s v="tsatumba@lighthouse.org.mw"/>
    <s v="Thomas Satumba"/>
    <s v="Nathenje"/>
    <s v="Prototype"/>
    <x v="1"/>
    <x v="2"/>
    <s v="COP_24"/>
    <s v="Quarter4"/>
    <x v="0"/>
    <s v="Qtr_1"/>
    <x v="11"/>
    <d v="2024-12-01T00:00:00"/>
    <d v="2024-12-31T00:00:00"/>
    <x v="1"/>
    <n v="9"/>
    <n v="0"/>
    <n v="6"/>
    <n v="1"/>
    <n v="2"/>
    <n v="0"/>
    <n v="8"/>
    <n v="3"/>
    <n v="5"/>
    <n v="0"/>
    <n v="0"/>
    <n v="0"/>
    <n v="3"/>
    <n v="0"/>
    <n v="0"/>
    <n v="0"/>
    <n v="0"/>
    <n v="0"/>
    <n v="0"/>
    <n v="0"/>
    <n v="0"/>
    <n v="0"/>
    <n v="0"/>
    <n v="0"/>
    <n v="0"/>
    <m/>
  </r>
  <r>
    <n v="1241"/>
    <d v="2025-01-13T13:18:43"/>
    <d v="2025-01-13T13:20:31"/>
    <s v="tsatumba@lighthouse.org.mw"/>
    <s v="Thomas Satumba"/>
    <s v="Nathenje"/>
    <s v="Prototype"/>
    <x v="1"/>
    <x v="2"/>
    <s v="COP_24"/>
    <s v="Quarter4"/>
    <x v="0"/>
    <s v="Qtr_1"/>
    <x v="11"/>
    <d v="2024-12-01T00:00:00"/>
    <d v="2024-12-31T00:00:00"/>
    <x v="4"/>
    <n v="0"/>
    <n v="0"/>
    <n v="0"/>
    <n v="0"/>
    <n v="0"/>
    <n v="0"/>
    <n v="0"/>
    <n v="0"/>
    <n v="0"/>
    <n v="0"/>
    <n v="0"/>
    <n v="0"/>
    <n v="0"/>
    <n v="0"/>
    <n v="0"/>
    <n v="0"/>
    <n v="0"/>
    <n v="0"/>
    <n v="0"/>
    <n v="0"/>
    <n v="0"/>
    <n v="0"/>
    <n v="0"/>
    <n v="0"/>
    <n v="0"/>
    <m/>
  </r>
  <r>
    <n v="1242"/>
    <d v="2025-01-13T13:20:49"/>
    <d v="2025-01-13T13:24:42"/>
    <s v="tsatumba@lighthouse.org.mw"/>
    <s v="Thomas Satumba"/>
    <s v="Nathenje"/>
    <s v="Prototype"/>
    <x v="1"/>
    <x v="2"/>
    <s v="COP_24"/>
    <s v="Quarter4"/>
    <x v="0"/>
    <s v="Qtr_1"/>
    <x v="11"/>
    <d v="2024-12-01T00:00:00"/>
    <d v="2024-12-31T00:00:00"/>
    <x v="3"/>
    <n v="1"/>
    <n v="0"/>
    <n v="1"/>
    <n v="0"/>
    <n v="0"/>
    <n v="0"/>
    <n v="0"/>
    <n v="0"/>
    <n v="0"/>
    <n v="0"/>
    <n v="0"/>
    <n v="0"/>
    <n v="0"/>
    <n v="0"/>
    <n v="0"/>
    <n v="0"/>
    <n v="0"/>
    <n v="0"/>
    <n v="0"/>
    <n v="0"/>
    <n v="0"/>
    <n v="0"/>
    <n v="0"/>
    <n v="0"/>
    <n v="0"/>
    <m/>
  </r>
  <r>
    <n v="1243"/>
    <d v="2025-01-13T13:25:10"/>
    <d v="2025-01-13T13:26:50"/>
    <s v="tsatumba@lighthouse.org.mw"/>
    <s v="Thomas Satumba"/>
    <s v="Nathenje"/>
    <s v="Prototype"/>
    <x v="1"/>
    <x v="2"/>
    <s v="COP_24"/>
    <s v="Quarter4"/>
    <x v="0"/>
    <s v="Qtr_1"/>
    <x v="11"/>
    <d v="2024-12-01T00:00:00"/>
    <d v="2024-12-31T00:00:00"/>
    <x v="5"/>
    <n v="0"/>
    <n v="0"/>
    <n v="0"/>
    <n v="0"/>
    <n v="0"/>
    <n v="0"/>
    <n v="0"/>
    <n v="0"/>
    <n v="0"/>
    <n v="0"/>
    <n v="0"/>
    <n v="0"/>
    <n v="0"/>
    <n v="0"/>
    <n v="0"/>
    <n v="0"/>
    <n v="0"/>
    <n v="0"/>
    <n v="0"/>
    <n v="0"/>
    <n v="0"/>
    <n v="0"/>
    <n v="0"/>
    <n v="0"/>
    <n v="0"/>
    <m/>
  </r>
  <r>
    <n v="1245"/>
    <d v="2025-01-13T13:27:00"/>
    <d v="2025-01-13T13:28:47"/>
    <s v="tsatumba@lighthouse.org.mw"/>
    <s v="Thomas Satumba"/>
    <s v="Nathenje"/>
    <s v="Prototype"/>
    <x v="1"/>
    <x v="2"/>
    <s v="COP_24"/>
    <s v="Quarter4"/>
    <x v="0"/>
    <s v="Qtr_1"/>
    <x v="11"/>
    <d v="2024-12-01T00:00:00"/>
    <d v="2024-12-31T00:00:00"/>
    <x v="6"/>
    <n v="0"/>
    <n v="0"/>
    <n v="0"/>
    <n v="0"/>
    <n v="0"/>
    <n v="0"/>
    <n v="0"/>
    <n v="0"/>
    <n v="0"/>
    <n v="0"/>
    <n v="0"/>
    <n v="0"/>
    <n v="0"/>
    <n v="0"/>
    <n v="0"/>
    <n v="0"/>
    <n v="0"/>
    <n v="0"/>
    <n v="0"/>
    <n v="0"/>
    <n v="0"/>
    <n v="0"/>
    <n v="0"/>
    <n v="0"/>
    <n v="0"/>
    <m/>
  </r>
  <r>
    <n v="1246"/>
    <d v="2025-01-13T13:30:00"/>
    <d v="2025-01-13T13:32:49"/>
    <s v="tsatumba@lighthouse.org.mw"/>
    <s v="Thomas Satumba"/>
    <s v="Nathenje"/>
    <s v="Prototype"/>
    <x v="1"/>
    <x v="2"/>
    <s v="COP_24"/>
    <s v="Quarter4"/>
    <x v="0"/>
    <s v="Qtr_1"/>
    <x v="1"/>
    <d v="2024-11-01T00:00:00"/>
    <d v="2024-11-30T00:00:00"/>
    <x v="3"/>
    <n v="1"/>
    <n v="0"/>
    <n v="1"/>
    <n v="0"/>
    <n v="0"/>
    <n v="0"/>
    <n v="0"/>
    <n v="0"/>
    <n v="0"/>
    <n v="0"/>
    <n v="0"/>
    <n v="0"/>
    <n v="0"/>
    <n v="0"/>
    <n v="0"/>
    <n v="0"/>
    <n v="0"/>
    <n v="0"/>
    <n v="0"/>
    <n v="0"/>
    <n v="0"/>
    <n v="0"/>
    <n v="0"/>
    <n v="0"/>
    <n v="0"/>
    <m/>
  </r>
  <r>
    <n v="1247"/>
    <d v="2025-01-13T13:33:02"/>
    <d v="2025-01-13T13:37:00"/>
    <s v="tsatumba@lighthouse.org.mw"/>
    <s v="Thomas Satumba"/>
    <s v="Nathenje"/>
    <s v="Prototype"/>
    <x v="1"/>
    <x v="2"/>
    <s v="COP_24"/>
    <s v="Quarter4"/>
    <x v="0"/>
    <s v="Qtr_1"/>
    <x v="1"/>
    <d v="2024-11-01T00:00:00"/>
    <d v="2024-11-30T00:00:00"/>
    <x v="4"/>
    <n v="1"/>
    <n v="0"/>
    <n v="0"/>
    <n v="1"/>
    <n v="0"/>
    <n v="0"/>
    <n v="0"/>
    <n v="0"/>
    <n v="0"/>
    <n v="0"/>
    <n v="0"/>
    <n v="0"/>
    <n v="0"/>
    <n v="0"/>
    <n v="0"/>
    <n v="0"/>
    <n v="0"/>
    <n v="0"/>
    <n v="0"/>
    <n v="0"/>
    <n v="0"/>
    <n v="0"/>
    <n v="0"/>
    <n v="0"/>
    <n v="0"/>
    <m/>
  </r>
  <r>
    <n v="1248"/>
    <d v="2025-01-13T13:37:17"/>
    <d v="2025-01-13T13:39:19"/>
    <s v="tsatumba@lighthouse.org.mw"/>
    <s v="Thomas Satumba"/>
    <s v="Nathenje"/>
    <s v="Prototype"/>
    <x v="1"/>
    <x v="2"/>
    <s v="COP_24"/>
    <s v="Quarter4"/>
    <x v="0"/>
    <s v="Qtr_1"/>
    <x v="1"/>
    <d v="2024-11-01T00:00:00"/>
    <d v="2024-11-30T00:00:00"/>
    <x v="1"/>
    <n v="13"/>
    <n v="0"/>
    <n v="10"/>
    <n v="0"/>
    <n v="0"/>
    <n v="0"/>
    <n v="0"/>
    <n v="0"/>
    <n v="0"/>
    <n v="0"/>
    <n v="0"/>
    <n v="0"/>
    <n v="0"/>
    <n v="0"/>
    <n v="0"/>
    <n v="0"/>
    <n v="0"/>
    <n v="0"/>
    <n v="0"/>
    <n v="0"/>
    <n v="0"/>
    <n v="0"/>
    <n v="0"/>
    <n v="0"/>
    <n v="0"/>
    <m/>
  </r>
  <r>
    <n v="1250"/>
    <d v="2025-01-13T13:40:58"/>
    <d v="2025-01-13T13:43:09"/>
    <s v="tsatumba@lighthouse.org.mw"/>
    <s v="Thomas Satumba"/>
    <s v="Nathenje"/>
    <s v="Prototype"/>
    <x v="1"/>
    <x v="2"/>
    <s v="COP_24"/>
    <s v="Quarter4"/>
    <x v="0"/>
    <s v="Qtr_1"/>
    <x v="1"/>
    <d v="2024-11-01T00:00:00"/>
    <d v="2024-11-30T00:00:00"/>
    <x v="2"/>
    <n v="0"/>
    <n v="0"/>
    <n v="0"/>
    <n v="0"/>
    <n v="0"/>
    <n v="0"/>
    <n v="0"/>
    <n v="0"/>
    <n v="0"/>
    <n v="0"/>
    <n v="0"/>
    <n v="0"/>
    <n v="0"/>
    <n v="0"/>
    <n v="0"/>
    <n v="0"/>
    <n v="0"/>
    <n v="0"/>
    <n v="0"/>
    <n v="0"/>
    <n v="0"/>
    <n v="0"/>
    <n v="0"/>
    <n v="0"/>
    <n v="0"/>
    <m/>
  </r>
  <r>
    <n v="1251"/>
    <d v="2025-01-13T13:43:53"/>
    <d v="2025-01-13T13:45:05"/>
    <s v="tsatumba@lighthouse.org.mw"/>
    <s v="Thomas Satumba"/>
    <s v="Nathenje"/>
    <s v="Prototype"/>
    <x v="1"/>
    <x v="2"/>
    <s v="COP_24"/>
    <s v="Quarter4"/>
    <x v="0"/>
    <s v="Qtr_1"/>
    <x v="1"/>
    <d v="2024-11-01T00:00:00"/>
    <d v="2024-11-30T00:00:00"/>
    <x v="6"/>
    <n v="0"/>
    <n v="0"/>
    <n v="0"/>
    <n v="0"/>
    <n v="0"/>
    <n v="0"/>
    <n v="0"/>
    <n v="0"/>
    <n v="0"/>
    <n v="0"/>
    <n v="0"/>
    <n v="0"/>
    <n v="0"/>
    <n v="0"/>
    <n v="0"/>
    <n v="0"/>
    <n v="0"/>
    <n v="0"/>
    <n v="0"/>
    <n v="0"/>
    <n v="0"/>
    <n v="0"/>
    <n v="0"/>
    <n v="0"/>
    <n v="0"/>
    <m/>
  </r>
  <r>
    <n v="1256"/>
    <d v="2025-01-13T13:51:45"/>
    <d v="2025-01-13T13:54:44"/>
    <s v="tsatumba@lighthouse.org.mw"/>
    <s v="Thomas Satumba"/>
    <s v="Nathenje"/>
    <s v="Prototype"/>
    <x v="1"/>
    <x v="2"/>
    <s v="COP_24"/>
    <s v="Quarter4"/>
    <x v="0"/>
    <s v="Qtr_1"/>
    <x v="0"/>
    <d v="2024-10-01T00:00:00"/>
    <d v="2024-10-31T00:00:00"/>
    <x v="1"/>
    <n v="14"/>
    <n v="0"/>
    <n v="10"/>
    <n v="0"/>
    <n v="2"/>
    <n v="0"/>
    <n v="0"/>
    <n v="0"/>
    <n v="2"/>
    <n v="0"/>
    <n v="0"/>
    <n v="0"/>
    <n v="2"/>
    <n v="0"/>
    <n v="0"/>
    <n v="0"/>
    <n v="0"/>
    <n v="0"/>
    <n v="0"/>
    <n v="0"/>
    <n v="0"/>
    <n v="0"/>
    <n v="0"/>
    <n v="0"/>
    <n v="0"/>
    <m/>
  </r>
  <r>
    <n v="1257"/>
    <d v="2025-01-13T13:55:54"/>
    <d v="2025-01-13T13:57:03"/>
    <s v="tsatumba@lighthouse.org.mw"/>
    <s v="Thomas Satumba"/>
    <s v="Nathenje"/>
    <s v="Prototype"/>
    <x v="1"/>
    <x v="2"/>
    <s v="COP_24"/>
    <s v="Quarter4"/>
    <x v="0"/>
    <s v="Qtr_1"/>
    <x v="0"/>
    <d v="2024-10-01T00:00:00"/>
    <d v="2024-10-31T00:00:00"/>
    <x v="4"/>
    <n v="0"/>
    <n v="0"/>
    <n v="0"/>
    <n v="0"/>
    <n v="0"/>
    <n v="0"/>
    <n v="0"/>
    <n v="0"/>
    <n v="0"/>
    <n v="0"/>
    <n v="0"/>
    <n v="0"/>
    <n v="0"/>
    <n v="0"/>
    <n v="0"/>
    <n v="0"/>
    <n v="0"/>
    <n v="0"/>
    <n v="0"/>
    <n v="0"/>
    <n v="0"/>
    <n v="0"/>
    <n v="0"/>
    <n v="0"/>
    <n v="0"/>
    <m/>
  </r>
  <r>
    <n v="1258"/>
    <d v="2025-01-13T13:57:18"/>
    <d v="2025-01-13T13:58:25"/>
    <s v="tsatumba@lighthouse.org.mw"/>
    <s v="Thomas Satumba"/>
    <s v="Nathenje"/>
    <s v="Prototype"/>
    <x v="1"/>
    <x v="2"/>
    <s v="COP_24"/>
    <s v="Quarter4"/>
    <x v="0"/>
    <s v="Qtr_1"/>
    <x v="0"/>
    <d v="2024-10-01T00:00:00"/>
    <d v="2024-10-31T00:00:00"/>
    <x v="3"/>
    <n v="0"/>
    <n v="0"/>
    <n v="0"/>
    <n v="0"/>
    <n v="0"/>
    <n v="0"/>
    <n v="0"/>
    <n v="0"/>
    <n v="0"/>
    <n v="0"/>
    <n v="0"/>
    <n v="0"/>
    <n v="0"/>
    <n v="0"/>
    <n v="0"/>
    <n v="0"/>
    <n v="0"/>
    <n v="0"/>
    <n v="0"/>
    <n v="0"/>
    <n v="0"/>
    <n v="0"/>
    <n v="0"/>
    <n v="0"/>
    <n v="0"/>
    <m/>
  </r>
  <r>
    <n v="1259"/>
    <d v="2025-01-13T13:58:29"/>
    <d v="2025-01-13T13:59:45"/>
    <s v="tsatumba@lighthouse.org.mw"/>
    <s v="Thomas Satumba"/>
    <s v="Nathenje"/>
    <s v="Prototype"/>
    <x v="1"/>
    <x v="2"/>
    <s v="COP_24"/>
    <s v="Quarter4"/>
    <x v="0"/>
    <s v="Qtr_1"/>
    <x v="0"/>
    <d v="2024-10-01T00:00:00"/>
    <d v="2024-10-31T00:00:00"/>
    <x v="5"/>
    <n v="0"/>
    <n v="0"/>
    <n v="0"/>
    <n v="0"/>
    <n v="0"/>
    <n v="0"/>
    <n v="0"/>
    <n v="0"/>
    <n v="0"/>
    <n v="0"/>
    <n v="0"/>
    <n v="0"/>
    <n v="0"/>
    <n v="0"/>
    <n v="0"/>
    <n v="0"/>
    <n v="0"/>
    <n v="0"/>
    <n v="0"/>
    <n v="0"/>
    <n v="0"/>
    <n v="0"/>
    <n v="0"/>
    <n v="0"/>
    <n v="0"/>
    <m/>
  </r>
  <r>
    <n v="1260"/>
    <d v="2025-01-13T13:59:48"/>
    <d v="2025-01-13T14:00:56"/>
    <s v="tsatumba@lighthouse.org.mw"/>
    <s v="Thomas Satumba"/>
    <s v="Nathenje"/>
    <s v="Prototype"/>
    <x v="1"/>
    <x v="2"/>
    <s v="COP_24"/>
    <s v="Quarter4"/>
    <x v="0"/>
    <s v="Qtr_1"/>
    <x v="0"/>
    <d v="2024-10-01T00:00:00"/>
    <d v="2024-10-31T00:00:00"/>
    <x v="6"/>
    <n v="0"/>
    <n v="0"/>
    <n v="0"/>
    <n v="0"/>
    <n v="0"/>
    <n v="0"/>
    <n v="0"/>
    <n v="0"/>
    <n v="0"/>
    <n v="0"/>
    <n v="0"/>
    <n v="0"/>
    <n v="0"/>
    <n v="0"/>
    <n v="0"/>
    <n v="0"/>
    <n v="0"/>
    <n v="0"/>
    <n v="0"/>
    <n v="0"/>
    <n v="0"/>
    <n v="0"/>
    <n v="0"/>
    <n v="0"/>
    <n v="0"/>
    <m/>
  </r>
  <r>
    <n v="1379"/>
    <d v="2025-03-07T19:52:42"/>
    <d v="2025-03-07T20:20:41"/>
    <s v="tsatumba@lighthouse.org.mw"/>
    <s v="Thomas Satumba"/>
    <s v="Nathenje"/>
    <s v="Prototype"/>
    <x v="2"/>
    <x v="2"/>
    <s v="COP_24"/>
    <s v="Quarter1"/>
    <x v="2"/>
    <s v="Qtr_2"/>
    <x v="4"/>
    <d v="2025-01-01T00:00:00"/>
    <d v="2025-01-31T00:00:00"/>
    <x v="0"/>
    <n v="7"/>
    <n v="0"/>
    <n v="4"/>
    <n v="1"/>
    <n v="2"/>
    <n v="0"/>
    <n v="6"/>
    <n v="4"/>
    <n v="4"/>
    <n v="1"/>
    <n v="0"/>
    <n v="0"/>
    <n v="4"/>
    <n v="0"/>
    <n v="1"/>
    <n v="1"/>
    <n v="1"/>
    <n v="1"/>
    <n v="0"/>
    <n v="0"/>
    <n v="1"/>
    <n v="0"/>
    <n v="0"/>
    <n v="0"/>
    <n v="0"/>
    <m/>
  </r>
  <r>
    <n v="1380"/>
    <d v="2025-03-07T20:22:25"/>
    <d v="2025-03-07T20:31:44"/>
    <s v="tsatumba@lighthouse.org.mw"/>
    <s v="Thomas Satumba"/>
    <s v="Nathenje"/>
    <s v="Prototype"/>
    <x v="2"/>
    <x v="2"/>
    <s v="COP_24"/>
    <s v="Quarter1"/>
    <x v="2"/>
    <s v="Qtr_2"/>
    <x v="4"/>
    <d v="2025-01-01T00:00:00"/>
    <d v="2025-01-31T00:00:00"/>
    <x v="1"/>
    <n v="5"/>
    <n v="0"/>
    <n v="2"/>
    <n v="1"/>
    <n v="1"/>
    <n v="0"/>
    <n v="4"/>
    <n v="3"/>
    <n v="3"/>
    <n v="1"/>
    <n v="0"/>
    <n v="0"/>
    <n v="3"/>
    <n v="0"/>
    <n v="0"/>
    <n v="0"/>
    <n v="0"/>
    <n v="0"/>
    <n v="0"/>
    <n v="0"/>
    <n v="0"/>
    <n v="0"/>
    <n v="0"/>
    <n v="0"/>
    <n v="0"/>
    <m/>
  </r>
  <r>
    <n v="1381"/>
    <d v="2025-03-07T20:34:02"/>
    <d v="2025-03-07T20:38:22"/>
    <s v="tsatumba@lighthouse.org.mw"/>
    <s v="Thomas Satumba"/>
    <s v="Nathenje"/>
    <s v="Prototype"/>
    <x v="2"/>
    <x v="2"/>
    <s v="COP_24"/>
    <s v="Quarter1"/>
    <x v="2"/>
    <s v="Qtr_2"/>
    <x v="4"/>
    <d v="2025-01-01T00:00:00"/>
    <d v="2025-01-31T00:00:00"/>
    <x v="3"/>
    <n v="0"/>
    <n v="0"/>
    <n v="0"/>
    <n v="0"/>
    <n v="0"/>
    <n v="0"/>
    <n v="0"/>
    <n v="0"/>
    <n v="0"/>
    <n v="0"/>
    <n v="0"/>
    <n v="0"/>
    <n v="0"/>
    <n v="0"/>
    <n v="0"/>
    <n v="0"/>
    <n v="0"/>
    <n v="0"/>
    <n v="0"/>
    <n v="0"/>
    <n v="0"/>
    <n v="0"/>
    <n v="0"/>
    <n v="0"/>
    <n v="0"/>
    <m/>
  </r>
  <r>
    <n v="1382"/>
    <d v="2025-03-07T20:38:32"/>
    <d v="2025-03-07T20:39:44"/>
    <s v="tsatumba@lighthouse.org.mw"/>
    <s v="Thomas Satumba"/>
    <s v="Nathenje"/>
    <s v="Prototype"/>
    <x v="2"/>
    <x v="2"/>
    <s v="COP_24"/>
    <s v="Quarter1"/>
    <x v="2"/>
    <s v="Qtr_2"/>
    <x v="4"/>
    <d v="2025-01-01T00:00:00"/>
    <d v="2025-01-31T00:00:00"/>
    <x v="4"/>
    <n v="0"/>
    <n v="0"/>
    <n v="0"/>
    <n v="0"/>
    <n v="0"/>
    <n v="0"/>
    <n v="0"/>
    <n v="0"/>
    <n v="0"/>
    <n v="0"/>
    <n v="0"/>
    <n v="0"/>
    <n v="0"/>
    <n v="0"/>
    <n v="0"/>
    <n v="0"/>
    <n v="0"/>
    <n v="0"/>
    <n v="0"/>
    <n v="0"/>
    <n v="0"/>
    <n v="0"/>
    <n v="0"/>
    <n v="0"/>
    <n v="0"/>
    <m/>
  </r>
  <r>
    <n v="1383"/>
    <d v="2025-03-07T20:40:12"/>
    <d v="2025-03-07T20:43:27"/>
    <s v="tsatumba@lighthouse.org.mw"/>
    <s v="Thomas Satumba"/>
    <s v="Nathenje"/>
    <s v="Prototype"/>
    <x v="2"/>
    <x v="2"/>
    <s v="COP_24"/>
    <s v="Quarter1"/>
    <x v="2"/>
    <s v="Qtr_2"/>
    <x v="4"/>
    <d v="2025-01-01T00:00:00"/>
    <d v="2025-01-31T00:00:00"/>
    <x v="5"/>
    <n v="0"/>
    <n v="0"/>
    <n v="0"/>
    <n v="0"/>
    <n v="0"/>
    <n v="0"/>
    <n v="0"/>
    <n v="0"/>
    <n v="0"/>
    <n v="0"/>
    <n v="0"/>
    <n v="0"/>
    <n v="0"/>
    <n v="0"/>
    <n v="0"/>
    <n v="0"/>
    <n v="0"/>
    <n v="0"/>
    <n v="0"/>
    <n v="0"/>
    <n v="0"/>
    <n v="0"/>
    <n v="0"/>
    <n v="0"/>
    <n v="0"/>
    <m/>
  </r>
  <r>
    <n v="1384"/>
    <d v="2025-03-07T20:44:11"/>
    <d v="2025-03-07T20:46:45"/>
    <s v="tsatumba@lighthouse.org.mw"/>
    <s v="Thomas Satumba"/>
    <s v="Nathenje"/>
    <s v="Prototype"/>
    <x v="2"/>
    <x v="2"/>
    <s v="COP_24"/>
    <s v="Quarter1"/>
    <x v="2"/>
    <s v="Qtr_2"/>
    <x v="4"/>
    <d v="2025-01-01T00:00:00"/>
    <d v="2025-01-31T00:00:00"/>
    <x v="2"/>
    <n v="0"/>
    <n v="0"/>
    <n v="0"/>
    <n v="0"/>
    <n v="0"/>
    <n v="0"/>
    <n v="0"/>
    <n v="0"/>
    <n v="0"/>
    <n v="0"/>
    <n v="0"/>
    <n v="0"/>
    <n v="0"/>
    <n v="0"/>
    <n v="0"/>
    <n v="0"/>
    <n v="0"/>
    <n v="0"/>
    <n v="0"/>
    <n v="0"/>
    <n v="0"/>
    <n v="0"/>
    <n v="0"/>
    <n v="0"/>
    <n v="0"/>
    <m/>
  </r>
  <r>
    <n v="1385"/>
    <d v="2025-03-07T20:46:54"/>
    <d v="2025-03-07T20:47:58"/>
    <s v="tsatumba@lighthouse.org.mw"/>
    <s v="Thomas Satumba"/>
    <s v="Nathenje"/>
    <s v="Prototype"/>
    <x v="2"/>
    <x v="2"/>
    <s v="COP_24"/>
    <s v="Quarter1"/>
    <x v="2"/>
    <s v="Qtr_2"/>
    <x v="4"/>
    <d v="2025-01-01T00:00:00"/>
    <d v="2025-01-31T00:00:00"/>
    <x v="6"/>
    <n v="0"/>
    <n v="0"/>
    <n v="0"/>
    <n v="0"/>
    <n v="0"/>
    <n v="0"/>
    <n v="0"/>
    <n v="0"/>
    <n v="0"/>
    <n v="0"/>
    <n v="0"/>
    <n v="0"/>
    <n v="0"/>
    <n v="0"/>
    <n v="0"/>
    <n v="0"/>
    <n v="0"/>
    <n v="0"/>
    <n v="0"/>
    <n v="0"/>
    <n v="0"/>
    <n v="0"/>
    <n v="0"/>
    <n v="0"/>
    <n v="0"/>
    <m/>
  </r>
  <r>
    <n v="1386"/>
    <d v="2025-03-07T20:48:27"/>
    <d v="2025-03-07T20:51:48"/>
    <s v="tsatumba@lighthouse.org.mw"/>
    <s v="Thomas Satumba"/>
    <s v="Nathenje"/>
    <s v="Prototype"/>
    <x v="2"/>
    <x v="2"/>
    <s v="COP_24"/>
    <s v="Quarter1"/>
    <x v="2"/>
    <s v="Qtr_2"/>
    <x v="5"/>
    <d v="2025-02-01T00:00:00"/>
    <d v="2025-02-28T00:00:00"/>
    <x v="0"/>
    <n v="8"/>
    <n v="0"/>
    <n v="5"/>
    <n v="0"/>
    <n v="3"/>
    <n v="0"/>
    <n v="3"/>
    <n v="1"/>
    <n v="5"/>
    <n v="0"/>
    <n v="0"/>
    <n v="0"/>
    <n v="5"/>
    <n v="0"/>
    <n v="0"/>
    <n v="0"/>
    <n v="0"/>
    <n v="0"/>
    <n v="0"/>
    <n v="0"/>
    <n v="0"/>
    <n v="0"/>
    <n v="0"/>
    <n v="0"/>
    <n v="0"/>
    <m/>
  </r>
  <r>
    <n v="1387"/>
    <d v="2025-03-07T20:52:19"/>
    <d v="2025-03-07T20:54:49"/>
    <s v="tsatumba@lighthouse.org.mw"/>
    <s v="Thomas Satumba"/>
    <s v="Nathenje"/>
    <s v="Prototype"/>
    <x v="2"/>
    <x v="2"/>
    <s v="COP_24"/>
    <s v="Quarter1"/>
    <x v="2"/>
    <s v="Qtr_2"/>
    <x v="5"/>
    <d v="2025-02-01T00:00:00"/>
    <d v="2025-02-28T00:00:00"/>
    <x v="1"/>
    <n v="6"/>
    <n v="0"/>
    <n v="4"/>
    <n v="0"/>
    <n v="1"/>
    <n v="0"/>
    <n v="3"/>
    <n v="1"/>
    <n v="2"/>
    <n v="0"/>
    <n v="0"/>
    <n v="0"/>
    <n v="2"/>
    <n v="0"/>
    <n v="0"/>
    <n v="0"/>
    <n v="0"/>
    <n v="0"/>
    <n v="0"/>
    <n v="0"/>
    <n v="0"/>
    <n v="0"/>
    <n v="0"/>
    <n v="0"/>
    <n v="0"/>
    <m/>
  </r>
  <r>
    <n v="1388"/>
    <d v="2025-03-07T20:55:39"/>
    <d v="2025-03-07T20:57:22"/>
    <s v="tsatumba@lighthouse.org.mw"/>
    <s v="Thomas Satumba"/>
    <s v="Nathenje"/>
    <s v="Prototype"/>
    <x v="2"/>
    <x v="2"/>
    <s v="COP_24"/>
    <s v="Quarter1"/>
    <x v="2"/>
    <s v="Qtr_2"/>
    <x v="5"/>
    <d v="2025-02-01T00:00:00"/>
    <d v="2025-02-28T00:00:00"/>
    <x v="3"/>
    <n v="1"/>
    <n v="0"/>
    <n v="1"/>
    <n v="0"/>
    <n v="0"/>
    <n v="0"/>
    <n v="0"/>
    <n v="0"/>
    <n v="0"/>
    <n v="0"/>
    <n v="0"/>
    <n v="0"/>
    <n v="0"/>
    <n v="0"/>
    <n v="0"/>
    <n v="0"/>
    <n v="0"/>
    <n v="0"/>
    <n v="0"/>
    <n v="0"/>
    <n v="0"/>
    <n v="0"/>
    <n v="0"/>
    <n v="0"/>
    <n v="0"/>
    <m/>
  </r>
  <r>
    <n v="1389"/>
    <d v="2025-03-07T21:00:35"/>
    <d v="2025-03-07T21:02:35"/>
    <s v="tsatumba@lighthouse.org.mw"/>
    <s v="Thomas Satumba"/>
    <s v="Nathenje"/>
    <s v="Prototype"/>
    <x v="2"/>
    <x v="2"/>
    <s v="COP_24"/>
    <s v="Quarter1"/>
    <x v="2"/>
    <s v="Qtr_2"/>
    <x v="5"/>
    <d v="2025-02-01T00:00:00"/>
    <d v="2025-02-28T00:00:00"/>
    <x v="4"/>
    <n v="0"/>
    <n v="0"/>
    <n v="0"/>
    <n v="0"/>
    <n v="0"/>
    <n v="0"/>
    <n v="0"/>
    <n v="0"/>
    <n v="0"/>
    <n v="0"/>
    <n v="0"/>
    <n v="0"/>
    <n v="0"/>
    <n v="0"/>
    <n v="0"/>
    <n v="0"/>
    <n v="0"/>
    <n v="0"/>
    <n v="0"/>
    <n v="0"/>
    <n v="0"/>
    <n v="0"/>
    <n v="0"/>
    <n v="0"/>
    <n v="0"/>
    <m/>
  </r>
  <r>
    <n v="1390"/>
    <d v="2025-03-07T21:02:38"/>
    <d v="2025-03-07T21:05:04"/>
    <s v="tsatumba@lighthouse.org.mw"/>
    <s v="Thomas Satumba"/>
    <s v="Nathenje"/>
    <s v="Prototype"/>
    <x v="2"/>
    <x v="2"/>
    <s v="COP_24"/>
    <s v="Quarter1"/>
    <x v="2"/>
    <s v="Qtr_2"/>
    <x v="5"/>
    <d v="2025-02-01T00:00:00"/>
    <d v="2025-02-28T00:00:00"/>
    <x v="2"/>
    <n v="0"/>
    <n v="0"/>
    <n v="0"/>
    <n v="0"/>
    <n v="0"/>
    <n v="0"/>
    <n v="0"/>
    <n v="0"/>
    <n v="0"/>
    <n v="0"/>
    <n v="0"/>
    <n v="0"/>
    <n v="0"/>
    <n v="0"/>
    <n v="0"/>
    <n v="0"/>
    <n v="0"/>
    <n v="0"/>
    <n v="0"/>
    <n v="0"/>
    <n v="0"/>
    <n v="0"/>
    <n v="0"/>
    <n v="0"/>
    <n v="0"/>
    <m/>
  </r>
  <r>
    <n v="1391"/>
    <d v="2025-03-07T21:05:09"/>
    <d v="2025-03-07T21:06:40"/>
    <s v="tsatumba@lighthouse.org.mw"/>
    <s v="Thomas Satumba"/>
    <s v="Nathenje"/>
    <s v="Prototype"/>
    <x v="2"/>
    <x v="2"/>
    <s v="COP_24"/>
    <s v="Quarter1"/>
    <x v="2"/>
    <s v="Qtr_2"/>
    <x v="5"/>
    <d v="2025-02-01T00:00:00"/>
    <d v="2025-02-28T00:00:00"/>
    <x v="6"/>
    <n v="0"/>
    <n v="0"/>
    <n v="0"/>
    <n v="0"/>
    <n v="0"/>
    <n v="0"/>
    <n v="0"/>
    <n v="0"/>
    <n v="0"/>
    <n v="0"/>
    <n v="0"/>
    <n v="0"/>
    <n v="0"/>
    <n v="0"/>
    <n v="0"/>
    <n v="0"/>
    <n v="0"/>
    <n v="0"/>
    <n v="0"/>
    <n v="0"/>
    <n v="0"/>
    <n v="0"/>
    <n v="0"/>
    <n v="0"/>
    <n v="0"/>
    <m/>
  </r>
  <r>
    <n v="1431"/>
    <d v="2025-03-18T08:59:34"/>
    <d v="2025-03-18T09:02:23"/>
    <s v="tsatumba@lighthouse.org.mw"/>
    <s v="Thomas Satumba"/>
    <s v="Nathenje"/>
    <s v="Prototype"/>
    <x v="2"/>
    <x v="2"/>
    <s v="COP_24"/>
    <s v="Quarter1"/>
    <x v="2"/>
    <s v="Qtr_2"/>
    <x v="5"/>
    <d v="2025-02-01T00:00:00"/>
    <d v="2025-02-28T00:00:00"/>
    <x v="5"/>
    <n v="10"/>
    <n v="0"/>
    <n v="1"/>
    <n v="0"/>
    <n v="1"/>
    <n v="0"/>
    <n v="0"/>
    <n v="0"/>
    <n v="2"/>
    <n v="0"/>
    <n v="0"/>
    <n v="0"/>
    <n v="2"/>
    <n v="0"/>
    <n v="0"/>
    <n v="0"/>
    <n v="0"/>
    <n v="0"/>
    <n v="0"/>
    <n v="0"/>
    <n v="0"/>
    <n v="0"/>
    <n v="0"/>
    <n v="0"/>
    <n v="0"/>
    <m/>
  </r>
  <r>
    <n v="1535"/>
    <d v="2025-04-15T11:23:48"/>
    <d v="2025-04-15T11:30:15"/>
    <s v="tsatumba@lighthouse.org.mw"/>
    <s v="Thomas Satumba"/>
    <s v="Nathenje"/>
    <s v="Prototype"/>
    <x v="2"/>
    <x v="2"/>
    <s v="COP_24"/>
    <s v="Quarter1"/>
    <x v="2"/>
    <s v="Qtr_2"/>
    <x v="3"/>
    <d v="2025-03-01T00:00:00"/>
    <d v="2025-03-31T00:00:00"/>
    <x v="1"/>
    <n v="9"/>
    <n v="0"/>
    <n v="4"/>
    <n v="0"/>
    <n v="1"/>
    <n v="0"/>
    <n v="5"/>
    <n v="1"/>
    <n v="0"/>
    <n v="0"/>
    <n v="0"/>
    <n v="0"/>
    <n v="1"/>
    <n v="1"/>
    <n v="0"/>
    <n v="0"/>
    <n v="0"/>
    <n v="0"/>
    <n v="0"/>
    <n v="0"/>
    <n v="1"/>
    <n v="0"/>
    <n v="0"/>
    <n v="0"/>
    <n v="0"/>
    <m/>
  </r>
  <r>
    <n v="1536"/>
    <d v="2025-04-15T11:30:34"/>
    <d v="2025-04-15T11:32:20"/>
    <s v="tsatumba@lighthouse.org.mw"/>
    <s v="Thomas Satumba"/>
    <s v="Nathenje"/>
    <s v="Prototype"/>
    <x v="2"/>
    <x v="2"/>
    <s v="COP_24"/>
    <s v="Quarter1"/>
    <x v="2"/>
    <s v="Qtr_2"/>
    <x v="3"/>
    <d v="2025-03-01T00:00:00"/>
    <d v="2025-03-31T00:00:00"/>
    <x v="3"/>
    <n v="0"/>
    <n v="0"/>
    <n v="0"/>
    <n v="0"/>
    <n v="0"/>
    <n v="0"/>
    <n v="0"/>
    <n v="0"/>
    <n v="0"/>
    <n v="0"/>
    <n v="0"/>
    <n v="0"/>
    <n v="0"/>
    <n v="0"/>
    <n v="0"/>
    <n v="0"/>
    <n v="0"/>
    <n v="0"/>
    <n v="0"/>
    <n v="0"/>
    <n v="0"/>
    <n v="0"/>
    <n v="0"/>
    <n v="0"/>
    <n v="0"/>
    <m/>
  </r>
  <r>
    <n v="1537"/>
    <d v="2025-04-15T11:32:26"/>
    <d v="2025-04-15T11:33:32"/>
    <s v="tsatumba@lighthouse.org.mw"/>
    <s v="Thomas Satumba"/>
    <s v="Nathenje"/>
    <s v="Prototype"/>
    <x v="2"/>
    <x v="2"/>
    <s v="COP_24"/>
    <s v="Quarter1"/>
    <x v="2"/>
    <s v="Qtr_2"/>
    <x v="3"/>
    <d v="2025-03-01T00:00:00"/>
    <d v="2025-03-31T00:00:00"/>
    <x v="4"/>
    <n v="0"/>
    <n v="0"/>
    <n v="0"/>
    <n v="0"/>
    <n v="0"/>
    <n v="0"/>
    <n v="0"/>
    <n v="0"/>
    <n v="0"/>
    <n v="0"/>
    <n v="0"/>
    <n v="0"/>
    <n v="0"/>
    <n v="0"/>
    <n v="0"/>
    <n v="0"/>
    <n v="0"/>
    <n v="0"/>
    <n v="0"/>
    <n v="0"/>
    <n v="0"/>
    <n v="0"/>
    <n v="0"/>
    <n v="0"/>
    <n v="0"/>
    <m/>
  </r>
  <r>
    <n v="1538"/>
    <d v="2025-04-15T11:33:35"/>
    <d v="2025-04-15T11:35:11"/>
    <s v="tsatumba@lighthouse.org.mw"/>
    <s v="Thomas Satumba"/>
    <s v="Nathenje"/>
    <s v="Prototype"/>
    <x v="2"/>
    <x v="2"/>
    <s v="COP_24"/>
    <s v="Quarter1"/>
    <x v="2"/>
    <s v="Qtr_2"/>
    <x v="3"/>
    <d v="2025-03-01T00:00:00"/>
    <d v="2025-03-31T00:00:00"/>
    <x v="2"/>
    <n v="0"/>
    <n v="0"/>
    <n v="0"/>
    <n v="0"/>
    <n v="0"/>
    <n v="0"/>
    <n v="0"/>
    <n v="0"/>
    <n v="0"/>
    <n v="0"/>
    <n v="0"/>
    <n v="0"/>
    <n v="0"/>
    <n v="0"/>
    <n v="0"/>
    <n v="0"/>
    <n v="0"/>
    <n v="0"/>
    <n v="0"/>
    <n v="0"/>
    <n v="0"/>
    <n v="0"/>
    <n v="0"/>
    <n v="0"/>
    <n v="0"/>
    <m/>
  </r>
  <r>
    <n v="1539"/>
    <d v="2025-04-15T11:35:14"/>
    <d v="2025-04-15T11:37:14"/>
    <s v="tsatumba@lighthouse.org.mw"/>
    <s v="Thomas Satumba"/>
    <s v="Nathenje"/>
    <s v="Prototype"/>
    <x v="2"/>
    <x v="2"/>
    <s v="COP_24"/>
    <s v="Quarter1"/>
    <x v="2"/>
    <s v="Qtr_2"/>
    <x v="3"/>
    <d v="2025-03-01T00:00:00"/>
    <d v="2025-03-31T00:00:00"/>
    <x v="6"/>
    <n v="0"/>
    <n v="0"/>
    <n v="0"/>
    <n v="0"/>
    <n v="0"/>
    <n v="0"/>
    <n v="0"/>
    <n v="0"/>
    <n v="0"/>
    <n v="0"/>
    <n v="0"/>
    <n v="0"/>
    <n v="0"/>
    <n v="0"/>
    <n v="0"/>
    <n v="0"/>
    <n v="0"/>
    <n v="0"/>
    <n v="0"/>
    <n v="0"/>
    <n v="0"/>
    <n v="0"/>
    <n v="0"/>
    <n v="0"/>
    <n v="0"/>
    <m/>
  </r>
  <r>
    <n v="1540"/>
    <d v="2025-04-15T11:37:17"/>
    <d v="2025-04-15T11:43:05"/>
    <s v="tsatumba@lighthouse.org.mw"/>
    <s v="Thomas Satumba"/>
    <s v="Nathenje"/>
    <s v="Prototype"/>
    <x v="2"/>
    <x v="2"/>
    <s v="COP_24"/>
    <s v="Quarter1"/>
    <x v="2"/>
    <s v="Qtr_2"/>
    <x v="3"/>
    <d v="2025-03-01T00:00:00"/>
    <d v="2025-03-31T00:00:00"/>
    <x v="0"/>
    <n v="9"/>
    <n v="0"/>
    <n v="8"/>
    <n v="0"/>
    <n v="2"/>
    <n v="0"/>
    <n v="7"/>
    <n v="1"/>
    <n v="4"/>
    <n v="0"/>
    <n v="0"/>
    <n v="0"/>
    <n v="4"/>
    <n v="2"/>
    <n v="0"/>
    <n v="0"/>
    <n v="0"/>
    <n v="0"/>
    <n v="0"/>
    <n v="0"/>
    <n v="3"/>
    <n v="0"/>
    <n v="0"/>
    <n v="0"/>
    <n v="0"/>
    <m/>
  </r>
  <r>
    <n v="1541"/>
    <d v="2025-04-15T11:43:12"/>
    <d v="2025-04-15T11:50:26"/>
    <s v="tsatumba@lighthouse.org.mw"/>
    <s v="Thomas Satumba"/>
    <s v="Nathenje"/>
    <s v="Prototype"/>
    <x v="2"/>
    <x v="2"/>
    <s v="COP_24"/>
    <s v="Quarter1"/>
    <x v="2"/>
    <s v="Qtr_2"/>
    <x v="3"/>
    <d v="2025-03-01T00:00:00"/>
    <d v="2025-03-31T00:00:00"/>
    <x v="5"/>
    <n v="0"/>
    <n v="4"/>
    <n v="2"/>
    <n v="0"/>
    <n v="0"/>
    <n v="0"/>
    <n v="0"/>
    <n v="0"/>
    <n v="0"/>
    <n v="0"/>
    <n v="0"/>
    <n v="0"/>
    <n v="2"/>
    <n v="1"/>
    <n v="0"/>
    <n v="0"/>
    <n v="0"/>
    <n v="0"/>
    <n v="0"/>
    <n v="0"/>
    <n v="1"/>
    <n v="0"/>
    <n v="0"/>
    <n v="0"/>
    <n v="1"/>
    <m/>
  </r>
  <r>
    <n v="1620"/>
    <d v="2025-06-03T11:02:04"/>
    <d v="2025-06-03T11:09:09"/>
    <s v="tsatumba@lighthouse.org.mw"/>
    <s v="Thomas Satumba"/>
    <s v="Nathenje"/>
    <s v="Prototype"/>
    <x v="2"/>
    <x v="2"/>
    <m/>
    <s v="Quarter3"/>
    <x v="3"/>
    <m/>
    <x v="7"/>
    <d v="2025-04-01T00:00:00"/>
    <d v="2025-04-30T00:00:00"/>
    <x v="1"/>
    <n v="16"/>
    <n v="1"/>
    <n v="9"/>
    <n v="5"/>
    <n v="2"/>
    <n v="0"/>
    <n v="16"/>
    <n v="6"/>
    <n v="6"/>
    <n v="0"/>
    <n v="0"/>
    <n v="0"/>
    <n v="4"/>
    <n v="2"/>
    <n v="0"/>
    <n v="0"/>
    <n v="0"/>
    <n v="0"/>
    <n v="0"/>
    <n v="0"/>
    <n v="4"/>
    <n v="0"/>
    <n v="0"/>
    <n v="0"/>
    <n v="0"/>
    <m/>
  </r>
  <r>
    <n v="1622"/>
    <d v="2025-06-03T11:09:19"/>
    <d v="2025-06-03T11:15:17"/>
    <s v="tsatumba@lighthouse.org.mw"/>
    <s v="Thomas Satumba"/>
    <s v="Nathenje"/>
    <s v="Prototype"/>
    <x v="2"/>
    <x v="2"/>
    <m/>
    <s v="Quarter2"/>
    <x v="2"/>
    <m/>
    <x v="7"/>
    <d v="2025-04-01T00:00:00"/>
    <d v="2025-04-30T00:00:00"/>
    <x v="0"/>
    <n v="24"/>
    <n v="2"/>
    <n v="12"/>
    <n v="7"/>
    <n v="5"/>
    <n v="0"/>
    <n v="21"/>
    <n v="9"/>
    <n v="12"/>
    <n v="0"/>
    <n v="0"/>
    <n v="0"/>
    <n v="12"/>
    <n v="4"/>
    <n v="0"/>
    <n v="0"/>
    <n v="0"/>
    <n v="0"/>
    <n v="0"/>
    <n v="0"/>
    <n v="4"/>
    <n v="0"/>
    <n v="0"/>
    <n v="0"/>
    <n v="0"/>
    <m/>
  </r>
  <r>
    <n v="1623"/>
    <d v="2025-06-03T11:15:44"/>
    <d v="2025-06-03T11:17:33"/>
    <s v="tsatumba@lighthouse.org.mw"/>
    <s v="Thomas Satumba"/>
    <s v="Nathenje"/>
    <s v="Prototype"/>
    <x v="2"/>
    <x v="2"/>
    <m/>
    <s v="Quarter2"/>
    <x v="2"/>
    <m/>
    <x v="7"/>
    <d v="2025-04-01T00:00:00"/>
    <d v="2025-04-30T00:00:00"/>
    <x v="3"/>
    <n v="0"/>
    <n v="0"/>
    <n v="0"/>
    <n v="0"/>
    <n v="0"/>
    <n v="0"/>
    <n v="0"/>
    <n v="0"/>
    <n v="0"/>
    <n v="0"/>
    <n v="0"/>
    <n v="0"/>
    <n v="0"/>
    <n v="0"/>
    <n v="0"/>
    <n v="0"/>
    <n v="0"/>
    <n v="0"/>
    <n v="0"/>
    <n v="0"/>
    <n v="0"/>
    <n v="0"/>
    <n v="0"/>
    <n v="0"/>
    <n v="0"/>
    <m/>
  </r>
  <r>
    <n v="1625"/>
    <d v="2025-06-03T11:17:56"/>
    <d v="2025-06-03T11:19:40"/>
    <s v="tsatumba@lighthouse.org.mw"/>
    <s v="Thomas Satumba"/>
    <s v="Nathenje"/>
    <s v="Prototype"/>
    <x v="2"/>
    <x v="2"/>
    <m/>
    <s v="Quarter2"/>
    <x v="2"/>
    <m/>
    <x v="7"/>
    <d v="2025-04-01T00:00:00"/>
    <d v="2025-04-30T00:00:00"/>
    <x v="4"/>
    <n v="0"/>
    <n v="0"/>
    <n v="0"/>
    <n v="0"/>
    <n v="0"/>
    <n v="0"/>
    <n v="0"/>
    <n v="0"/>
    <n v="0"/>
    <n v="0"/>
    <n v="0"/>
    <n v="0"/>
    <n v="0"/>
    <n v="0"/>
    <n v="0"/>
    <n v="0"/>
    <n v="0"/>
    <n v="0"/>
    <n v="0"/>
    <n v="0"/>
    <n v="0"/>
    <n v="0"/>
    <n v="0"/>
    <n v="0"/>
    <n v="0"/>
    <m/>
  </r>
  <r>
    <n v="1627"/>
    <d v="2025-06-03T11:19:46"/>
    <d v="2025-06-03T11:22:01"/>
    <s v="tsatumba@lighthouse.org.mw"/>
    <s v="Thomas Satumba"/>
    <s v="Nathenje"/>
    <s v="Prototype"/>
    <x v="2"/>
    <x v="2"/>
    <m/>
    <s v="Quarter2"/>
    <x v="2"/>
    <m/>
    <x v="7"/>
    <d v="2025-04-01T00:00:00"/>
    <d v="2025-04-30T00:00:00"/>
    <x v="5"/>
    <n v="0"/>
    <n v="0"/>
    <n v="0"/>
    <n v="0"/>
    <n v="0"/>
    <n v="0"/>
    <n v="0"/>
    <n v="0"/>
    <n v="0"/>
    <n v="0"/>
    <n v="0"/>
    <n v="0"/>
    <n v="0"/>
    <n v="0"/>
    <n v="0"/>
    <n v="0"/>
    <n v="0"/>
    <n v="0"/>
    <n v="0"/>
    <n v="0"/>
    <n v="0"/>
    <n v="0"/>
    <n v="0"/>
    <n v="0"/>
    <n v="0"/>
    <m/>
  </r>
  <r>
    <n v="1628"/>
    <d v="2025-06-03T11:22:05"/>
    <d v="2025-06-03T11:23:26"/>
    <s v="tsatumba@lighthouse.org.mw"/>
    <s v="Thomas Satumba"/>
    <s v="Nathenje"/>
    <s v="Prototype"/>
    <x v="2"/>
    <x v="2"/>
    <m/>
    <s v="Quarter2"/>
    <x v="2"/>
    <m/>
    <x v="7"/>
    <d v="2025-04-01T00:00:00"/>
    <d v="2025-04-30T00:00:00"/>
    <x v="6"/>
    <n v="0"/>
    <n v="0"/>
    <n v="0"/>
    <n v="0"/>
    <n v="0"/>
    <n v="0"/>
    <n v="0"/>
    <n v="0"/>
    <n v="0"/>
    <n v="0"/>
    <n v="0"/>
    <n v="0"/>
    <n v="0"/>
    <n v="0"/>
    <n v="0"/>
    <n v="0"/>
    <n v="0"/>
    <n v="0"/>
    <n v="0"/>
    <n v="0"/>
    <n v="0"/>
    <n v="0"/>
    <n v="0"/>
    <n v="0"/>
    <n v="0"/>
    <m/>
  </r>
  <r>
    <n v="1633"/>
    <d v="2025-06-03T11:25:37"/>
    <d v="2025-06-03T11:37:13"/>
    <s v="tsatumba@lighthouse.org.mw"/>
    <s v="Thomas Satumba"/>
    <s v="Nathenje"/>
    <s v="Prototype"/>
    <x v="2"/>
    <x v="2"/>
    <m/>
    <s v="Quarter3"/>
    <x v="3"/>
    <m/>
    <x v="6"/>
    <d v="2025-05-01T00:00:00"/>
    <d v="2025-05-31T00:00:00"/>
    <x v="1"/>
    <n v="12"/>
    <n v="1"/>
    <n v="6"/>
    <n v="3"/>
    <n v="3"/>
    <n v="0"/>
    <n v="12"/>
    <n v="7"/>
    <n v="0"/>
    <n v="0"/>
    <n v="0"/>
    <n v="0"/>
    <n v="3"/>
    <n v="0"/>
    <n v="0"/>
    <n v="0"/>
    <n v="0"/>
    <n v="0"/>
    <n v="0"/>
    <n v="0"/>
    <n v="0"/>
    <n v="0"/>
    <n v="0"/>
    <n v="0"/>
    <n v="0"/>
    <m/>
  </r>
  <r>
    <n v="1634"/>
    <d v="2025-06-03T11:37:25"/>
    <d v="2025-06-03T11:41:05"/>
    <s v="tsatumba@lighthouse.org.mw"/>
    <s v="Thomas Satumba"/>
    <s v="Nathenje"/>
    <s v="Prototype"/>
    <x v="2"/>
    <x v="2"/>
    <m/>
    <s v="Quarter3"/>
    <x v="3"/>
    <m/>
    <x v="6"/>
    <d v="2025-05-01T00:00:00"/>
    <d v="2025-05-31T00:00:00"/>
    <x v="0"/>
    <n v="12"/>
    <n v="1"/>
    <n v="6"/>
    <n v="3"/>
    <n v="3"/>
    <n v="0"/>
    <n v="12"/>
    <n v="7"/>
    <n v="0"/>
    <n v="0"/>
    <n v="0"/>
    <n v="0"/>
    <n v="3"/>
    <n v="0"/>
    <n v="0"/>
    <n v="0"/>
    <n v="0"/>
    <n v="0"/>
    <n v="0"/>
    <n v="0"/>
    <n v="0"/>
    <n v="0"/>
    <n v="0"/>
    <n v="0"/>
    <n v="0"/>
    <m/>
  </r>
  <r>
    <n v="1635"/>
    <d v="2025-06-03T11:41:08"/>
    <d v="2025-06-03T11:42:28"/>
    <s v="tsatumba@lighthouse.org.mw"/>
    <s v="Thomas Satumba"/>
    <s v="Nathenje"/>
    <s v="Prototype"/>
    <x v="2"/>
    <x v="2"/>
    <m/>
    <s v="Quarter3"/>
    <x v="3"/>
    <m/>
    <x v="6"/>
    <d v="2025-05-01T00:00:00"/>
    <d v="2025-05-31T00:00:00"/>
    <x v="3"/>
    <n v="0"/>
    <n v="0"/>
    <n v="0"/>
    <n v="0"/>
    <n v="0"/>
    <n v="0"/>
    <n v="0"/>
    <n v="0"/>
    <n v="0"/>
    <n v="0"/>
    <n v="0"/>
    <n v="0"/>
    <n v="0"/>
    <n v="0"/>
    <n v="0"/>
    <n v="0"/>
    <n v="0"/>
    <n v="0"/>
    <n v="0"/>
    <n v="0"/>
    <n v="0"/>
    <n v="0"/>
    <n v="0"/>
    <n v="0"/>
    <n v="0"/>
    <m/>
  </r>
  <r>
    <n v="1636"/>
    <d v="2025-06-03T11:42:31"/>
    <d v="2025-06-03T11:43:41"/>
    <s v="tsatumba@lighthouse.org.mw"/>
    <s v="Thomas Satumba"/>
    <s v="Nathenje"/>
    <s v="Prototype"/>
    <x v="2"/>
    <x v="2"/>
    <m/>
    <s v="Quarter3"/>
    <x v="3"/>
    <m/>
    <x v="6"/>
    <d v="2025-05-01T00:00:00"/>
    <d v="2025-05-31T00:00:00"/>
    <x v="4"/>
    <n v="0"/>
    <n v="0"/>
    <n v="0"/>
    <n v="0"/>
    <n v="0"/>
    <n v="0"/>
    <n v="0"/>
    <n v="0"/>
    <n v="0"/>
    <n v="0"/>
    <n v="0"/>
    <n v="0"/>
    <n v="0"/>
    <n v="0"/>
    <n v="0"/>
    <n v="0"/>
    <n v="0"/>
    <n v="0"/>
    <n v="0"/>
    <n v="0"/>
    <n v="0"/>
    <n v="0"/>
    <n v="0"/>
    <n v="0"/>
    <n v="0"/>
    <m/>
  </r>
  <r>
    <n v="1637"/>
    <d v="2025-06-03T11:43:43"/>
    <d v="2025-06-03T11:45:05"/>
    <s v="tsatumba@lighthouse.org.mw"/>
    <s v="Thomas Satumba"/>
    <s v="Nathenje"/>
    <s v="Prototype"/>
    <x v="2"/>
    <x v="2"/>
    <m/>
    <s v="Quarter3"/>
    <x v="3"/>
    <m/>
    <x v="6"/>
    <d v="2025-05-01T00:00:00"/>
    <d v="2025-05-31T00:00:00"/>
    <x v="5"/>
    <n v="0"/>
    <n v="0"/>
    <n v="0"/>
    <n v="0"/>
    <n v="0"/>
    <n v="0"/>
    <n v="0"/>
    <n v="0"/>
    <n v="0"/>
    <n v="0"/>
    <n v="0"/>
    <n v="0"/>
    <n v="0"/>
    <n v="0"/>
    <n v="0"/>
    <n v="0"/>
    <n v="0"/>
    <n v="0"/>
    <n v="0"/>
    <n v="0"/>
    <n v="0"/>
    <n v="0"/>
    <n v="0"/>
    <n v="0"/>
    <n v="0"/>
    <m/>
  </r>
  <r>
    <n v="1638"/>
    <d v="2025-06-03T11:45:07"/>
    <d v="2025-06-03T11:46:44"/>
    <s v="tsatumba@lighthouse.org.mw"/>
    <s v="Thomas Satumba"/>
    <s v="Nathenje"/>
    <s v="Prototype"/>
    <x v="2"/>
    <x v="2"/>
    <m/>
    <s v="Quarter3"/>
    <x v="3"/>
    <m/>
    <x v="6"/>
    <d v="2025-05-01T00:00:00"/>
    <d v="2025-05-31T00:00:00"/>
    <x v="2"/>
    <n v="0"/>
    <n v="0"/>
    <n v="0"/>
    <n v="0"/>
    <n v="0"/>
    <n v="0"/>
    <n v="0"/>
    <n v="0"/>
    <n v="0"/>
    <n v="0"/>
    <n v="0"/>
    <n v="0"/>
    <n v="0"/>
    <n v="0"/>
    <n v="0"/>
    <n v="0"/>
    <n v="0"/>
    <n v="0"/>
    <n v="0"/>
    <n v="0"/>
    <n v="0"/>
    <n v="0"/>
    <n v="0"/>
    <n v="0"/>
    <n v="0"/>
    <m/>
  </r>
  <r>
    <n v="1639"/>
    <d v="2025-06-03T11:46:47"/>
    <d v="2025-06-03T11:48:25"/>
    <s v="tsatumba@lighthouse.org.mw"/>
    <s v="Thomas Satumba"/>
    <s v="Nathenje"/>
    <s v="Prototype"/>
    <x v="2"/>
    <x v="2"/>
    <m/>
    <s v="Quarter3"/>
    <x v="3"/>
    <m/>
    <x v="6"/>
    <d v="2025-05-01T00:00:00"/>
    <d v="2025-05-31T00:00:00"/>
    <x v="6"/>
    <n v="0"/>
    <n v="0"/>
    <n v="0"/>
    <n v="0"/>
    <n v="0"/>
    <n v="0"/>
    <n v="0"/>
    <n v="0"/>
    <n v="0"/>
    <n v="0"/>
    <n v="0"/>
    <n v="0"/>
    <n v="0"/>
    <n v="0"/>
    <n v="0"/>
    <n v="0"/>
    <n v="0"/>
    <n v="0"/>
    <n v="0"/>
    <n v="0"/>
    <n v="0"/>
    <n v="0"/>
    <n v="0"/>
    <n v="0"/>
    <n v="0"/>
    <m/>
  </r>
  <r>
    <n v="1653"/>
    <d v="2025-06-06T14:05:16"/>
    <d v="2025-06-06T14:08:33"/>
    <s v="tsatumba@lighthouse.org.mw"/>
    <s v="Thomas Satumba"/>
    <s v="Nathenje"/>
    <s v="Prototype"/>
    <x v="2"/>
    <x v="2"/>
    <m/>
    <s v="Quarter2"/>
    <x v="2"/>
    <m/>
    <x v="6"/>
    <d v="2025-05-01T00:00:00"/>
    <d v="2025-05-31T00:00:00"/>
    <x v="2"/>
    <n v="30"/>
    <n v="0"/>
    <n v="3"/>
    <n v="2"/>
    <n v="2"/>
    <n v="0"/>
    <n v="7"/>
    <n v="1"/>
    <n v="4"/>
    <n v="0"/>
    <n v="0"/>
    <n v="0"/>
    <n v="4"/>
    <n v="1"/>
    <n v="0"/>
    <n v="0"/>
    <n v="0"/>
    <n v="0"/>
    <n v="0"/>
    <n v="0"/>
    <n v="1"/>
    <n v="0"/>
    <n v="0"/>
    <n v="0"/>
    <n v="0"/>
    <m/>
  </r>
  <r>
    <n v="1782"/>
    <d v="2025-07-09T17:18:10"/>
    <d v="2025-07-09T17:19:20"/>
    <s v="tsatumba@lighthouse.org.mw"/>
    <s v="Thomas Satumba"/>
    <s v="Nathenje"/>
    <s v="Prototype"/>
    <x v="2"/>
    <x v="2"/>
    <m/>
    <s v="Quarter3"/>
    <x v="3"/>
    <m/>
    <x v="8"/>
    <d v="2025-06-01T00:00:00"/>
    <d v="2025-06-30T00:00:00"/>
    <x v="1"/>
    <n v="14"/>
    <n v="0"/>
    <n v="12"/>
    <n v="1"/>
    <n v="1"/>
    <n v="0"/>
    <n v="14"/>
    <n v="4"/>
    <n v="3"/>
    <n v="0"/>
    <n v="0"/>
    <n v="0"/>
    <n v="5"/>
    <n v="0"/>
    <n v="0"/>
    <n v="0"/>
    <n v="0"/>
    <n v="0"/>
    <n v="0"/>
    <n v="0"/>
    <n v="0"/>
    <n v="0"/>
    <n v="0"/>
    <n v="0"/>
    <n v="0"/>
    <m/>
  </r>
  <r>
    <n v="1783"/>
    <d v="2025-07-09T17:19:28"/>
    <d v="2025-07-09T17:21:56"/>
    <s v="tsatumba@lighthouse.org.mw"/>
    <s v="Thomas Satumba"/>
    <s v="Nathenje"/>
    <s v="Prototype"/>
    <x v="2"/>
    <x v="2"/>
    <m/>
    <s v="Quarter3"/>
    <x v="3"/>
    <m/>
    <x v="8"/>
    <d v="2025-06-01T00:00:00"/>
    <d v="2025-06-30T00:00:00"/>
    <x v="3"/>
    <n v="1"/>
    <n v="0"/>
    <n v="1"/>
    <n v="0"/>
    <n v="0"/>
    <n v="0"/>
    <n v="0"/>
    <n v="0"/>
    <n v="0"/>
    <n v="0"/>
    <n v="0"/>
    <n v="0"/>
    <n v="0"/>
    <n v="0"/>
    <n v="0"/>
    <n v="0"/>
    <n v="0"/>
    <n v="0"/>
    <n v="0"/>
    <n v="0"/>
    <n v="0"/>
    <n v="0"/>
    <n v="0"/>
    <n v="0"/>
    <n v="0"/>
    <m/>
  </r>
  <r>
    <n v="1784"/>
    <d v="2025-07-09T17:22:04"/>
    <d v="2025-07-09T17:26:45"/>
    <s v="tsatumba@lighthouse.org.mw"/>
    <s v="Thomas Satumba"/>
    <s v="Nathenje"/>
    <s v="Prototype"/>
    <x v="2"/>
    <x v="2"/>
    <m/>
    <s v="Quarter3"/>
    <x v="3"/>
    <m/>
    <x v="8"/>
    <d v="2025-06-01T00:00:00"/>
    <d v="2025-06-30T00:00:00"/>
    <x v="4"/>
    <n v="2"/>
    <n v="0"/>
    <n v="2"/>
    <n v="0"/>
    <n v="1"/>
    <n v="0"/>
    <n v="0"/>
    <n v="0"/>
    <n v="3"/>
    <n v="0"/>
    <n v="0"/>
    <n v="0"/>
    <n v="3"/>
    <n v="0"/>
    <n v="0"/>
    <n v="0"/>
    <n v="0"/>
    <n v="0"/>
    <n v="0"/>
    <n v="0"/>
    <n v="0"/>
    <n v="0"/>
    <n v="0"/>
    <n v="0"/>
    <n v="0"/>
    <m/>
  </r>
  <r>
    <n v="1785"/>
    <d v="2025-07-09T17:26:50"/>
    <d v="2025-07-09T17:31:08"/>
    <s v="tsatumba@lighthouse.org.mw"/>
    <s v="Thomas Satumba"/>
    <s v="Nathenje"/>
    <s v="Prototype"/>
    <x v="2"/>
    <x v="2"/>
    <m/>
    <s v="Quarter3"/>
    <x v="3"/>
    <m/>
    <x v="8"/>
    <d v="2025-06-01T00:00:00"/>
    <d v="2025-06-30T00:00:00"/>
    <x v="5"/>
    <n v="5"/>
    <n v="0"/>
    <n v="4"/>
    <n v="0"/>
    <n v="1"/>
    <n v="0"/>
    <n v="0"/>
    <n v="0"/>
    <n v="0"/>
    <n v="0"/>
    <n v="0"/>
    <n v="0"/>
    <n v="4"/>
    <n v="0"/>
    <n v="0"/>
    <n v="0"/>
    <n v="0"/>
    <n v="0"/>
    <n v="0"/>
    <n v="0"/>
    <n v="0"/>
    <n v="0"/>
    <n v="0"/>
    <n v="0"/>
    <n v="0"/>
    <m/>
  </r>
  <r>
    <n v="1799"/>
    <d v="2025-07-10T18:03:29"/>
    <d v="2025-07-10T18:10:36"/>
    <s v="tsatumba@lighthouse.org.mw"/>
    <s v="Thomas Satumba"/>
    <s v="Nathenje"/>
    <s v="Prototype"/>
    <x v="2"/>
    <x v="2"/>
    <m/>
    <s v="Quarter3"/>
    <x v="3"/>
    <m/>
    <x v="8"/>
    <d v="2025-06-01T00:00:00"/>
    <d v="2025-06-30T00:00:00"/>
    <x v="2"/>
    <n v="3"/>
    <n v="2"/>
    <n v="0"/>
    <n v="0"/>
    <n v="3"/>
    <n v="0"/>
    <n v="0"/>
    <n v="0"/>
    <n v="1"/>
    <n v="0"/>
    <n v="0"/>
    <n v="0"/>
    <n v="3"/>
    <n v="1"/>
    <n v="0"/>
    <n v="0"/>
    <n v="0"/>
    <n v="0"/>
    <n v="0"/>
    <n v="0"/>
    <n v="0"/>
    <n v="0"/>
    <n v="0"/>
    <n v="0"/>
    <n v="0"/>
    <m/>
  </r>
  <r>
    <n v="1800"/>
    <d v="2025-07-10T18:10:41"/>
    <d v="2025-07-10T18:12:33"/>
    <s v="tsatumba@lighthouse.org.mw"/>
    <s v="Thomas Satumba"/>
    <s v="Nathenje"/>
    <s v="Prototype"/>
    <x v="2"/>
    <x v="2"/>
    <m/>
    <s v="Quarter2"/>
    <x v="3"/>
    <m/>
    <x v="8"/>
    <d v="2025-06-01T00:00:00"/>
    <d v="2025-06-30T00:00:00"/>
    <x v="6"/>
    <n v="0"/>
    <n v="0"/>
    <n v="0"/>
    <n v="0"/>
    <n v="0"/>
    <n v="0"/>
    <n v="0"/>
    <n v="0"/>
    <n v="0"/>
    <n v="0"/>
    <n v="0"/>
    <n v="0"/>
    <n v="0"/>
    <n v="0"/>
    <n v="0"/>
    <n v="0"/>
    <n v="0"/>
    <n v="0"/>
    <n v="0"/>
    <n v="0"/>
    <n v="0"/>
    <n v="0"/>
    <n v="0"/>
    <n v="0"/>
    <n v="0"/>
    <m/>
  </r>
  <r>
    <n v="1801"/>
    <d v="2025-07-10T18:12:38"/>
    <d v="2025-07-10T18:16:06"/>
    <s v="tsatumba@lighthouse.org.mw"/>
    <s v="Thomas Satumba"/>
    <s v="Nathenje"/>
    <s v="Prototype"/>
    <x v="2"/>
    <x v="2"/>
    <m/>
    <s v="Quarter2"/>
    <x v="3"/>
    <m/>
    <x v="8"/>
    <d v="2025-06-01T00:00:00"/>
    <d v="2025-06-30T00:00:00"/>
    <x v="0"/>
    <n v="24"/>
    <n v="2"/>
    <n v="17"/>
    <n v="1"/>
    <n v="6"/>
    <n v="0"/>
    <n v="6"/>
    <n v="0"/>
    <n v="9"/>
    <n v="0"/>
    <n v="0"/>
    <n v="0"/>
    <n v="13"/>
    <n v="2"/>
    <n v="0"/>
    <n v="0"/>
    <n v="0"/>
    <n v="0"/>
    <n v="0"/>
    <n v="0"/>
    <n v="2"/>
    <n v="0"/>
    <n v="0"/>
    <n v="0"/>
    <n v="0"/>
    <m/>
  </r>
  <r>
    <n v="56"/>
    <d v="2023-12-21T10:34:05"/>
    <d v="2023-12-21T10:45:06"/>
    <s v="vngwira@lighthouse.org.mw"/>
    <s v="Vincent Ngwira"/>
    <s v="Rainbow_MCH"/>
    <s v="COE"/>
    <x v="0"/>
    <x v="0"/>
    <s v="COP_23"/>
    <s v="Quarter4"/>
    <x v="0"/>
    <s v="Qtr_1"/>
    <x v="1"/>
    <d v="2023-11-01T00:00:00"/>
    <d v="2023-11-30T00:00:00"/>
    <x v="6"/>
    <n v="40"/>
    <n v="36"/>
    <n v="0"/>
    <n v="0"/>
    <n v="31"/>
    <n v="9"/>
    <n v="38"/>
    <n v="11"/>
    <n v="40"/>
    <n v="2"/>
    <n v="2"/>
    <n v="1"/>
    <n v="37"/>
    <n v="4"/>
    <n v="4"/>
    <n v="0"/>
    <n v="8"/>
    <n v="1"/>
    <n v="10"/>
    <n v="0"/>
    <n v="2"/>
    <n v="1"/>
    <n v="0"/>
    <n v="0"/>
    <n v="9"/>
    <m/>
  </r>
  <r>
    <n v="57"/>
    <d v="2023-12-21T10:45:13"/>
    <d v="2023-12-21T10:48:52"/>
    <s v="vngwira@lighthouse.org.mw"/>
    <s v="Vincent Ngwira"/>
    <s v="Rainbow_MCH"/>
    <s v="COE"/>
    <x v="0"/>
    <x v="0"/>
    <s v="COP_23"/>
    <s v="Quarter4"/>
    <x v="0"/>
    <s v="Qtr_1"/>
    <x v="0"/>
    <d v="2023-10-01T00:00:00"/>
    <d v="2023-10-31T00:00:00"/>
    <x v="6"/>
    <n v="59"/>
    <n v="34"/>
    <n v="1"/>
    <n v="0"/>
    <n v="33"/>
    <n v="5"/>
    <n v="37"/>
    <n v="14"/>
    <n v="37"/>
    <n v="2"/>
    <n v="2"/>
    <n v="0"/>
    <n v="23"/>
    <n v="6"/>
    <n v="0"/>
    <n v="0"/>
    <n v="1"/>
    <n v="0"/>
    <n v="6"/>
    <n v="2"/>
    <n v="6"/>
    <n v="0"/>
    <n v="0"/>
    <n v="0"/>
    <n v="0"/>
    <m/>
  </r>
  <r>
    <n v="58"/>
    <d v="2023-12-21T10:49:11"/>
    <d v="2023-12-21T10:51:44"/>
    <s v="vngwira@lighthouse.org.mw"/>
    <s v="Vincent Ngwira"/>
    <s v="Rainbow_MCH"/>
    <s v="COE"/>
    <x v="0"/>
    <x v="1"/>
    <s v="COP_22"/>
    <s v="Quarter3"/>
    <x v="1"/>
    <s v="Qtr_4"/>
    <x v="2"/>
    <d v="2023-09-01T00:00:00"/>
    <d v="2023-09-30T00:00:00"/>
    <x v="6"/>
    <n v="23"/>
    <n v="18"/>
    <n v="1"/>
    <n v="0"/>
    <n v="19"/>
    <n v="3"/>
    <n v="19"/>
    <n v="12"/>
    <n v="21"/>
    <n v="1"/>
    <n v="1"/>
    <n v="0"/>
    <n v="22"/>
    <n v="1"/>
    <n v="1"/>
    <n v="0"/>
    <n v="8"/>
    <n v="3"/>
    <n v="10"/>
    <n v="3"/>
    <n v="6"/>
    <n v="1"/>
    <n v="0"/>
    <n v="0"/>
    <n v="13"/>
    <m/>
  </r>
  <r>
    <n v="59"/>
    <d v="2023-12-21T13:46:06"/>
    <d v="2023-12-21T13:46:20"/>
    <s v="vngwira@lighthouse.org.mw"/>
    <s v="Vincent Ngwira"/>
    <s v="Rainbow_MCH"/>
    <s v="COE"/>
    <x v="0"/>
    <x v="0"/>
    <s v="COP_23"/>
    <s v="Quarter4"/>
    <x v="0"/>
    <s v="Qtr_1"/>
    <x v="1"/>
    <d v="2023-11-01T00:00:00"/>
    <d v="2023-11-30T00:00:00"/>
    <x v="0"/>
    <n v="117"/>
    <n v="100"/>
    <n v="84"/>
    <n v="5"/>
    <n v="19"/>
    <n v="9"/>
    <n v="110"/>
    <n v="34"/>
    <n v="37"/>
    <n v="2"/>
    <n v="2"/>
    <n v="1"/>
    <n v="48"/>
    <n v="3"/>
    <n v="12"/>
    <n v="0"/>
    <n v="27"/>
    <n v="4"/>
    <n v="32"/>
    <n v="3"/>
    <n v="7"/>
    <n v="1"/>
    <n v="1"/>
    <n v="1"/>
    <n v="0"/>
    <m/>
  </r>
  <r>
    <n v="60"/>
    <d v="2023-12-21T13:46:43"/>
    <d v="2023-12-21T13:50:00"/>
    <s v="vngwira@lighthouse.org.mw"/>
    <s v="Vincent Ngwira"/>
    <s v="Rainbow_MCH"/>
    <s v="COE"/>
    <x v="0"/>
    <x v="0"/>
    <s v="COP_23"/>
    <s v="Quarter4"/>
    <x v="0"/>
    <s v="Qtr_1"/>
    <x v="0"/>
    <d v="2023-10-01T00:00:00"/>
    <d v="2023-10-31T00:00:00"/>
    <x v="0"/>
    <n v="119"/>
    <n v="13"/>
    <n v="92"/>
    <n v="0"/>
    <n v="18"/>
    <n v="9"/>
    <n v="114"/>
    <n v="38"/>
    <n v="50"/>
    <n v="3"/>
    <n v="2"/>
    <n v="0"/>
    <n v="40"/>
    <n v="3"/>
    <n v="26"/>
    <n v="1"/>
    <n v="36"/>
    <n v="25"/>
    <n v="29"/>
    <n v="22"/>
    <n v="5"/>
    <n v="1"/>
    <n v="1"/>
    <n v="0"/>
    <n v="4"/>
    <m/>
  </r>
  <r>
    <n v="61"/>
    <d v="2023-12-21T13:50:07"/>
    <d v="2023-12-21T13:52:31"/>
    <s v="vngwira@lighthouse.org.mw"/>
    <s v="Vincent Ngwira"/>
    <s v="Rainbow_MCH"/>
    <s v="COE"/>
    <x v="0"/>
    <x v="1"/>
    <s v="COP_22"/>
    <s v="Quarter3"/>
    <x v="1"/>
    <s v="Qtr_4"/>
    <x v="2"/>
    <d v="2023-09-01T00:00:00"/>
    <d v="2023-09-30T00:00:00"/>
    <x v="0"/>
    <n v="158"/>
    <n v="29"/>
    <n v="130"/>
    <n v="0"/>
    <n v="19"/>
    <n v="9"/>
    <n v="146"/>
    <n v="45"/>
    <n v="51"/>
    <n v="1"/>
    <n v="1"/>
    <n v="0"/>
    <n v="54"/>
    <n v="4"/>
    <n v="3"/>
    <n v="1"/>
    <n v="10"/>
    <n v="2"/>
    <n v="10"/>
    <n v="2"/>
    <n v="7"/>
    <n v="0"/>
    <n v="0"/>
    <n v="0"/>
    <n v="2"/>
    <m/>
  </r>
  <r>
    <n v="65"/>
    <d v="2024-01-11T09:04:52"/>
    <d v="2024-01-11T09:36:10"/>
    <s v="vngwira@lighthouse.org.mw"/>
    <s v="Vincent Ngwira"/>
    <s v="Rainbow_MCH"/>
    <s v="COE"/>
    <x v="0"/>
    <x v="0"/>
    <s v="COP_23"/>
    <s v="Quarter4"/>
    <x v="0"/>
    <s v="Qtr_1"/>
    <x v="0"/>
    <d v="2023-10-01T00:00:00"/>
    <d v="2023-10-31T00:00:00"/>
    <x v="3"/>
    <n v="0"/>
    <n v="0"/>
    <n v="0"/>
    <n v="0"/>
    <n v="0"/>
    <n v="0"/>
    <n v="0"/>
    <n v="0"/>
    <n v="0"/>
    <n v="0"/>
    <n v="0"/>
    <n v="0"/>
    <n v="0"/>
    <n v="0"/>
    <n v="0"/>
    <n v="0"/>
    <n v="0"/>
    <n v="0"/>
    <n v="0"/>
    <n v="0"/>
    <n v="0"/>
    <n v="0"/>
    <n v="0"/>
    <n v="0"/>
    <n v="0"/>
    <m/>
  </r>
  <r>
    <n v="66"/>
    <d v="2024-01-11T09:36:18"/>
    <d v="2024-01-11T09:42:41"/>
    <s v="vngwira@lighthouse.org.mw"/>
    <s v="Vincent Ngwira"/>
    <s v="Rainbow_MCH"/>
    <s v="COE"/>
    <x v="0"/>
    <x v="0"/>
    <s v="COP_23"/>
    <s v="Quarter4"/>
    <x v="0"/>
    <s v="Qtr_1"/>
    <x v="0"/>
    <d v="2023-10-01T00:00:00"/>
    <d v="2023-10-31T00:00:00"/>
    <x v="4"/>
    <n v="7"/>
    <n v="4"/>
    <n v="3"/>
    <n v="0"/>
    <n v="3"/>
    <n v="1"/>
    <n v="7"/>
    <n v="2"/>
    <n v="5"/>
    <n v="0"/>
    <n v="1"/>
    <n v="0"/>
    <n v="5"/>
    <n v="0"/>
    <n v="1"/>
    <n v="0"/>
    <n v="1"/>
    <n v="0"/>
    <n v="2"/>
    <n v="0"/>
    <n v="1"/>
    <n v="0"/>
    <n v="0"/>
    <n v="1"/>
    <n v="0"/>
    <m/>
  </r>
  <r>
    <n v="67"/>
    <d v="2024-01-11T09:42:45"/>
    <d v="2024-01-11T09:45:36"/>
    <s v="vngwira@lighthouse.org.mw"/>
    <s v="Vincent Ngwira"/>
    <s v="Rainbow_MCH"/>
    <s v="COE"/>
    <x v="0"/>
    <x v="0"/>
    <s v="COP_23"/>
    <s v="Quarter4"/>
    <x v="0"/>
    <s v="Qtr_1"/>
    <x v="0"/>
    <d v="2023-10-01T00:00:00"/>
    <d v="2023-10-31T00:00:00"/>
    <x v="5"/>
    <n v="11"/>
    <n v="0"/>
    <n v="9"/>
    <n v="0"/>
    <n v="1"/>
    <n v="1"/>
    <n v="11"/>
    <n v="5"/>
    <n v="5"/>
    <n v="0"/>
    <n v="0"/>
    <n v="0"/>
    <n v="2"/>
    <n v="0"/>
    <n v="2"/>
    <n v="0"/>
    <n v="3"/>
    <n v="1"/>
    <n v="3"/>
    <n v="1"/>
    <n v="1"/>
    <n v="0"/>
    <n v="0"/>
    <n v="0"/>
    <n v="1"/>
    <m/>
  </r>
  <r>
    <n v="69"/>
    <d v="2024-01-11T09:47:48"/>
    <d v="2024-01-11T09:49:45"/>
    <s v="vngwira@lighthouse.org.mw"/>
    <s v="Vincent Ngwira"/>
    <s v="Rainbow_MCH"/>
    <s v="COE"/>
    <x v="0"/>
    <x v="0"/>
    <s v="COP_23"/>
    <s v="Quarter4"/>
    <x v="0"/>
    <s v="Qtr_1"/>
    <x v="1"/>
    <d v="2023-11-01T00:00:00"/>
    <d v="2023-11-30T00:00:00"/>
    <x v="3"/>
    <n v="0"/>
    <n v="0"/>
    <n v="0"/>
    <n v="0"/>
    <n v="0"/>
    <n v="0"/>
    <n v="0"/>
    <n v="0"/>
    <n v="0"/>
    <n v="0"/>
    <n v="0"/>
    <n v="0"/>
    <n v="0"/>
    <n v="0"/>
    <n v="0"/>
    <n v="0"/>
    <n v="0"/>
    <n v="0"/>
    <n v="0"/>
    <n v="0"/>
    <n v="0"/>
    <n v="0"/>
    <n v="0"/>
    <n v="0"/>
    <n v="0"/>
    <m/>
  </r>
  <r>
    <n v="70"/>
    <d v="2024-01-11T09:49:59"/>
    <d v="2024-01-11T09:52:04"/>
    <s v="vngwira@lighthouse.org.mw"/>
    <s v="Vincent Ngwira"/>
    <s v="Rainbow_MCH"/>
    <s v="COE"/>
    <x v="0"/>
    <x v="0"/>
    <s v="COP_23"/>
    <s v="Quarter4"/>
    <x v="0"/>
    <s v="Qtr_1"/>
    <x v="1"/>
    <d v="2023-11-01T00:00:00"/>
    <d v="2023-11-30T00:00:00"/>
    <x v="4"/>
    <n v="13"/>
    <n v="2"/>
    <n v="10"/>
    <n v="0"/>
    <n v="2"/>
    <n v="1"/>
    <n v="13"/>
    <n v="1"/>
    <n v="3"/>
    <n v="0"/>
    <n v="0"/>
    <n v="0"/>
    <n v="3"/>
    <n v="0"/>
    <n v="0"/>
    <n v="0"/>
    <n v="1"/>
    <n v="1"/>
    <n v="1"/>
    <n v="0"/>
    <n v="1"/>
    <n v="0"/>
    <n v="0"/>
    <n v="0"/>
    <n v="1"/>
    <m/>
  </r>
  <r>
    <n v="71"/>
    <d v="2024-01-11T09:52:28"/>
    <d v="2024-01-11T09:55:08"/>
    <s v="vngwira@lighthouse.org.mw"/>
    <s v="Vincent Ngwira"/>
    <s v="Rainbow_MCH"/>
    <s v="COE"/>
    <x v="0"/>
    <x v="0"/>
    <s v="COP_23"/>
    <s v="Quarter4"/>
    <x v="0"/>
    <s v="Qtr_1"/>
    <x v="1"/>
    <d v="2023-11-01T00:00:00"/>
    <d v="2023-11-30T00:00:00"/>
    <x v="5"/>
    <n v="35"/>
    <n v="1"/>
    <n v="32"/>
    <n v="1"/>
    <n v="1"/>
    <n v="1"/>
    <n v="35"/>
    <n v="9"/>
    <n v="8"/>
    <n v="0"/>
    <n v="0"/>
    <n v="0"/>
    <n v="7"/>
    <n v="0"/>
    <n v="3"/>
    <n v="0"/>
    <n v="3"/>
    <n v="3"/>
    <n v="4"/>
    <n v="0"/>
    <n v="1"/>
    <n v="0"/>
    <n v="0"/>
    <n v="0"/>
    <n v="0"/>
    <m/>
  </r>
  <r>
    <n v="73"/>
    <d v="2024-01-11T09:58:19"/>
    <d v="2024-01-11T10:01:12"/>
    <s v="vngwira@lighthouse.org.mw"/>
    <s v="Vincent Ngwira"/>
    <s v="Rainbow_MCH"/>
    <s v="COE"/>
    <x v="0"/>
    <x v="0"/>
    <s v="COP_23"/>
    <s v="Quarter4"/>
    <x v="0"/>
    <s v="Qtr_1"/>
    <x v="11"/>
    <d v="2023-12-01T00:00:00"/>
    <d v="2023-12-31T00:00:00"/>
    <x v="6"/>
    <n v="41"/>
    <n v="41"/>
    <n v="0"/>
    <n v="0"/>
    <n v="25"/>
    <n v="16"/>
    <n v="40"/>
    <n v="20"/>
    <n v="41"/>
    <n v="2"/>
    <n v="3"/>
    <n v="2"/>
    <n v="38"/>
    <n v="5"/>
    <n v="4"/>
    <n v="0"/>
    <n v="7"/>
    <n v="1"/>
    <n v="13"/>
    <n v="6"/>
    <n v="10"/>
    <n v="2"/>
    <n v="1"/>
    <n v="1"/>
    <n v="5"/>
    <m/>
  </r>
  <r>
    <n v="74"/>
    <d v="2024-01-11T10:01:14"/>
    <d v="2024-01-11T10:03:06"/>
    <s v="vngwira@lighthouse.org.mw"/>
    <s v="Vincent Ngwira"/>
    <s v="Rainbow_MCH"/>
    <s v="COE"/>
    <x v="0"/>
    <x v="0"/>
    <s v="COP_23"/>
    <s v="Quarter4"/>
    <x v="0"/>
    <s v="Qtr_1"/>
    <x v="11"/>
    <d v="2023-12-01T00:00:00"/>
    <d v="2023-12-31T00:00:00"/>
    <x v="5"/>
    <n v="19"/>
    <n v="1"/>
    <n v="17"/>
    <n v="0"/>
    <n v="2"/>
    <n v="0"/>
    <n v="18"/>
    <n v="5"/>
    <n v="7"/>
    <n v="0"/>
    <n v="0"/>
    <n v="0"/>
    <n v="7"/>
    <n v="0"/>
    <n v="1"/>
    <n v="0"/>
    <n v="2"/>
    <n v="1"/>
    <n v="4"/>
    <n v="0"/>
    <n v="1"/>
    <n v="0"/>
    <n v="0"/>
    <n v="0"/>
    <n v="0"/>
    <m/>
  </r>
  <r>
    <n v="76"/>
    <d v="2024-01-11T10:05:58"/>
    <d v="2024-01-11T10:08:06"/>
    <s v="vngwira@lighthouse.org.mw"/>
    <s v="Vincent Ngwira"/>
    <s v="Rainbow_MCH"/>
    <s v="COE"/>
    <x v="0"/>
    <x v="0"/>
    <s v="COP_23"/>
    <s v="Quarter4"/>
    <x v="0"/>
    <s v="Qtr_1"/>
    <x v="11"/>
    <d v="2023-12-01T00:00:00"/>
    <d v="2023-12-31T00:00:00"/>
    <x v="4"/>
    <n v="5"/>
    <n v="2"/>
    <n v="3"/>
    <n v="0"/>
    <n v="2"/>
    <n v="0"/>
    <n v="4"/>
    <n v="1"/>
    <n v="2"/>
    <n v="1"/>
    <n v="2"/>
    <n v="1"/>
    <n v="2"/>
    <n v="0"/>
    <n v="1"/>
    <n v="0"/>
    <n v="1"/>
    <n v="0"/>
    <n v="2"/>
    <n v="0"/>
    <n v="1"/>
    <n v="1"/>
    <n v="0"/>
    <n v="0"/>
    <n v="0"/>
    <m/>
  </r>
  <r>
    <n v="77"/>
    <d v="2024-01-11T10:08:08"/>
    <d v="2024-01-11T10:09:59"/>
    <s v="vngwira@lighthouse.org.mw"/>
    <s v="Vincent Ngwira"/>
    <s v="Rainbow_MCH"/>
    <s v="COE"/>
    <x v="0"/>
    <x v="0"/>
    <s v="COP_23"/>
    <s v="Quarter4"/>
    <x v="0"/>
    <s v="Qtr_1"/>
    <x v="11"/>
    <d v="2023-12-01T00:00:00"/>
    <d v="2023-12-31T00:00:00"/>
    <x v="3"/>
    <n v="2"/>
    <n v="1"/>
    <n v="0"/>
    <n v="0"/>
    <n v="1"/>
    <n v="1"/>
    <n v="0"/>
    <n v="0"/>
    <n v="2"/>
    <n v="0"/>
    <n v="0"/>
    <n v="0"/>
    <n v="2"/>
    <n v="1"/>
    <n v="0"/>
    <n v="0"/>
    <n v="0"/>
    <n v="0"/>
    <n v="1"/>
    <n v="1"/>
    <n v="1"/>
    <n v="0"/>
    <n v="0"/>
    <n v="0"/>
    <n v="0"/>
    <m/>
  </r>
  <r>
    <n v="78"/>
    <d v="2024-01-11T10:10:04"/>
    <d v="2024-01-11T10:30:56"/>
    <s v="vngwira@lighthouse.org.mw"/>
    <s v="Vincent Ngwira"/>
    <s v="Rainbow_MCH"/>
    <s v="COE"/>
    <x v="0"/>
    <x v="0"/>
    <s v="COP_23"/>
    <s v="Quarter4"/>
    <x v="0"/>
    <s v="Qtr_1"/>
    <x v="11"/>
    <d v="2023-12-01T00:00:00"/>
    <d v="2023-12-31T00:00:00"/>
    <x v="0"/>
    <n v="136"/>
    <n v="62"/>
    <n v="46"/>
    <n v="1"/>
    <n v="47"/>
    <n v="42"/>
    <n v="130"/>
    <n v="55"/>
    <n v="83"/>
    <n v="5"/>
    <n v="6"/>
    <n v="4"/>
    <n v="74"/>
    <n v="7"/>
    <n v="14"/>
    <n v="0"/>
    <n v="20"/>
    <n v="8"/>
    <n v="38"/>
    <n v="11"/>
    <n v="22"/>
    <n v="4"/>
    <n v="2"/>
    <n v="2"/>
    <n v="6"/>
    <m/>
  </r>
  <r>
    <n v="138"/>
    <d v="2024-02-06T09:04:37"/>
    <d v="2024-02-06T09:20:39"/>
    <s v="vngwira@lighthouse.org.mw"/>
    <s v="Vincent Ngwira"/>
    <s v="Rainbow_MCH"/>
    <s v="COE"/>
    <x v="1"/>
    <x v="0"/>
    <s v="COP_23"/>
    <s v="Quarter1"/>
    <x v="2"/>
    <s v="Qtr_2"/>
    <x v="4"/>
    <d v="2024-01-01T00:00:00"/>
    <d v="2024-01-31T00:00:00"/>
    <x v="0"/>
    <n v="181"/>
    <n v="54"/>
    <n v="91"/>
    <n v="1"/>
    <n v="63"/>
    <n v="26"/>
    <n v="170"/>
    <n v="60"/>
    <n v="100"/>
    <n v="6"/>
    <n v="4"/>
    <n v="3"/>
    <n v="101"/>
    <n v="17"/>
    <n v="17"/>
    <n v="3"/>
    <n v="8"/>
    <n v="5"/>
    <n v="23"/>
    <n v="17"/>
    <n v="20"/>
    <n v="3"/>
    <n v="0"/>
    <n v="2"/>
    <n v="4"/>
    <m/>
  </r>
  <r>
    <n v="139"/>
    <d v="2024-02-06T09:20:44"/>
    <d v="2024-02-06T09:25:30"/>
    <s v="vngwira@lighthouse.org.mw"/>
    <s v="Vincent Ngwira"/>
    <s v="Rainbow_MCH"/>
    <s v="COE"/>
    <x v="1"/>
    <x v="0"/>
    <s v="COP_23"/>
    <s v="Quarter1"/>
    <x v="2"/>
    <s v="Qtr_2"/>
    <x v="4"/>
    <d v="2024-01-01T00:00:00"/>
    <d v="2024-01-31T00:00:00"/>
    <x v="6"/>
    <n v="41"/>
    <n v="29"/>
    <n v="4"/>
    <n v="1"/>
    <n v="26"/>
    <n v="10"/>
    <n v="38"/>
    <n v="12"/>
    <n v="35"/>
    <n v="2"/>
    <n v="2"/>
    <n v="2"/>
    <n v="32"/>
    <n v="7"/>
    <n v="0"/>
    <n v="0"/>
    <n v="4"/>
    <n v="2"/>
    <n v="10"/>
    <n v="7"/>
    <n v="7"/>
    <n v="2"/>
    <n v="0"/>
    <n v="0"/>
    <n v="3"/>
    <m/>
  </r>
  <r>
    <n v="140"/>
    <d v="2024-02-06T09:25:44"/>
    <d v="2024-02-06T09:29:40"/>
    <s v="vngwira@lighthouse.org.mw"/>
    <s v="Vincent Ngwira"/>
    <s v="Rainbow_MCH"/>
    <s v="COE"/>
    <x v="1"/>
    <x v="0"/>
    <s v="COP_23"/>
    <s v="Quarter1"/>
    <x v="2"/>
    <s v="Qtr_2"/>
    <x v="4"/>
    <d v="2024-01-01T00:00:00"/>
    <d v="2024-01-31T00:00:00"/>
    <x v="5"/>
    <n v="37"/>
    <n v="1"/>
    <n v="32"/>
    <n v="0"/>
    <n v="5"/>
    <n v="0"/>
    <n v="35"/>
    <n v="8"/>
    <n v="11"/>
    <n v="0"/>
    <n v="0"/>
    <n v="0"/>
    <n v="10"/>
    <n v="0"/>
    <n v="0"/>
    <n v="0"/>
    <n v="0"/>
    <n v="0"/>
    <n v="0"/>
    <n v="0"/>
    <n v="1"/>
    <n v="0"/>
    <n v="0"/>
    <n v="0"/>
    <n v="0"/>
    <m/>
  </r>
  <r>
    <n v="141"/>
    <d v="2024-02-06T09:30:02"/>
    <d v="2024-02-06T09:36:25"/>
    <s v="vngwira@lighthouse.org.mw"/>
    <s v="Vincent Ngwira"/>
    <s v="Rainbow_MCH"/>
    <s v="COE"/>
    <x v="1"/>
    <x v="0"/>
    <s v="COP_23"/>
    <s v="Quarter1"/>
    <x v="2"/>
    <s v="Qtr_2"/>
    <x v="4"/>
    <d v="2024-01-01T00:00:00"/>
    <d v="2024-01-31T00:00:00"/>
    <x v="4"/>
    <n v="9"/>
    <n v="0"/>
    <n v="7"/>
    <n v="0"/>
    <n v="2"/>
    <n v="0"/>
    <n v="9"/>
    <n v="3"/>
    <n v="4"/>
    <n v="0"/>
    <n v="0"/>
    <n v="0"/>
    <n v="3"/>
    <n v="0"/>
    <n v="0"/>
    <n v="0"/>
    <n v="0"/>
    <n v="0"/>
    <n v="0"/>
    <n v="0"/>
    <n v="0"/>
    <n v="0"/>
    <n v="0"/>
    <n v="0"/>
    <n v="0"/>
    <m/>
  </r>
  <r>
    <n v="142"/>
    <d v="2024-02-06T09:36:41"/>
    <d v="2024-02-06T09:43:54"/>
    <s v="vngwira@lighthouse.org.mw"/>
    <s v="Vincent Ngwira"/>
    <s v="Rainbow_MCH"/>
    <s v="COE"/>
    <x v="1"/>
    <x v="0"/>
    <s v="COP_23"/>
    <s v="Quarter1"/>
    <x v="2"/>
    <s v="Qtr_2"/>
    <x v="4"/>
    <d v="2024-01-01T00:00:00"/>
    <d v="2024-01-31T00:00:00"/>
    <x v="3"/>
    <n v="4"/>
    <n v="1"/>
    <n v="2"/>
    <n v="0"/>
    <n v="2"/>
    <n v="0"/>
    <n v="0"/>
    <n v="0"/>
    <n v="4"/>
    <n v="0"/>
    <n v="0"/>
    <n v="0"/>
    <n v="4"/>
    <n v="0"/>
    <n v="0"/>
    <n v="0"/>
    <n v="0"/>
    <n v="0"/>
    <n v="1"/>
    <n v="1"/>
    <n v="1"/>
    <n v="0"/>
    <n v="0"/>
    <n v="0"/>
    <n v="0"/>
    <m/>
  </r>
  <r>
    <n v="176"/>
    <d v="2024-03-20T08:03:44"/>
    <d v="2024-03-20T08:07:21"/>
    <s v="vngwira@lighthouse.org.mw"/>
    <s v="Vincent Ngwira"/>
    <s v="Rainbow_MCH"/>
    <s v="COE"/>
    <x v="1"/>
    <x v="0"/>
    <s v="COP_23"/>
    <s v="Quarter1"/>
    <x v="2"/>
    <s v="Qtr_2"/>
    <x v="5"/>
    <d v="2024-02-01T00:00:00"/>
    <d v="2024-02-29T00:00:00"/>
    <x v="0"/>
    <n v="175"/>
    <n v="64"/>
    <n v="66"/>
    <n v="3"/>
    <n v="76"/>
    <n v="30"/>
    <n v="164"/>
    <n v="55"/>
    <n v="110"/>
    <n v="7"/>
    <n v="5"/>
    <n v="2"/>
    <n v="112"/>
    <n v="20"/>
    <n v="5"/>
    <n v="0"/>
    <n v="8"/>
    <n v="5"/>
    <n v="30"/>
    <n v="7"/>
    <n v="21"/>
    <n v="2"/>
    <n v="4"/>
    <n v="0"/>
    <n v="17"/>
    <m/>
  </r>
  <r>
    <n v="177"/>
    <d v="2024-03-20T08:07:25"/>
    <d v="2024-03-20T08:10:12"/>
    <s v="vngwira@lighthouse.org.mw"/>
    <s v="Vincent Ngwira"/>
    <s v="Rainbow_MCH"/>
    <s v="COE"/>
    <x v="1"/>
    <x v="0"/>
    <s v="COP_23"/>
    <s v="Quarter1"/>
    <x v="2"/>
    <s v="Qtr_2"/>
    <x v="5"/>
    <d v="2024-02-01T00:00:00"/>
    <d v="2024-02-29T00:00:00"/>
    <x v="6"/>
    <n v="51"/>
    <n v="46"/>
    <n v="1"/>
    <n v="1"/>
    <n v="32"/>
    <n v="17"/>
    <n v="45"/>
    <n v="21"/>
    <n v="49"/>
    <n v="3"/>
    <n v="2"/>
    <n v="1"/>
    <n v="48"/>
    <n v="10"/>
    <n v="0"/>
    <n v="0"/>
    <n v="4"/>
    <n v="3"/>
    <n v="21"/>
    <n v="7"/>
    <n v="11"/>
    <n v="1"/>
    <n v="1"/>
    <n v="0"/>
    <n v="16"/>
    <m/>
  </r>
  <r>
    <n v="178"/>
    <d v="2024-03-20T08:10:20"/>
    <d v="2024-03-20T08:13:37"/>
    <s v="vngwira@lighthouse.org.mw"/>
    <s v="Vincent Ngwira"/>
    <s v="Rainbow_MCH"/>
    <s v="COE"/>
    <x v="1"/>
    <x v="0"/>
    <s v="COP_23"/>
    <s v="Quarter1"/>
    <x v="2"/>
    <s v="Qtr_2"/>
    <x v="5"/>
    <d v="2024-02-01T00:00:00"/>
    <d v="2024-02-29T00:00:00"/>
    <x v="5"/>
    <n v="34"/>
    <n v="0"/>
    <n v="29"/>
    <n v="1"/>
    <n v="2"/>
    <n v="2"/>
    <n v="32"/>
    <n v="8"/>
    <n v="10"/>
    <n v="3"/>
    <n v="2"/>
    <n v="0"/>
    <n v="10"/>
    <n v="0"/>
    <n v="0"/>
    <n v="0"/>
    <n v="0"/>
    <n v="0"/>
    <n v="0"/>
    <n v="0"/>
    <n v="0"/>
    <n v="0"/>
    <n v="3"/>
    <n v="0"/>
    <n v="0"/>
    <m/>
  </r>
  <r>
    <n v="180"/>
    <d v="2024-03-20T08:16:59"/>
    <d v="2024-03-20T08:18:40"/>
    <s v="vngwira@lighthouse.org.mw"/>
    <s v="Vincent Ngwira"/>
    <s v="Rainbow_MCH"/>
    <s v="COE"/>
    <x v="1"/>
    <x v="0"/>
    <s v="COP_23"/>
    <s v="Quarter1"/>
    <x v="2"/>
    <s v="Qtr_2"/>
    <x v="5"/>
    <d v="2024-02-01T00:00:00"/>
    <d v="2024-02-29T00:00:00"/>
    <x v="3"/>
    <n v="4"/>
    <n v="2"/>
    <n v="1"/>
    <n v="1"/>
    <n v="1"/>
    <n v="1"/>
    <n v="0"/>
    <n v="0"/>
    <n v="4"/>
    <n v="0"/>
    <n v="0"/>
    <n v="0"/>
    <n v="4"/>
    <n v="0"/>
    <n v="0"/>
    <n v="0"/>
    <n v="0"/>
    <n v="0"/>
    <n v="1"/>
    <n v="1"/>
    <n v="0"/>
    <n v="0"/>
    <n v="0"/>
    <n v="0"/>
    <n v="1"/>
    <m/>
  </r>
  <r>
    <n v="181"/>
    <d v="2024-03-20T08:18:43"/>
    <d v="2024-03-20T08:20:13"/>
    <s v="vngwira@lighthouse.org.mw"/>
    <s v="Vincent Ngwira"/>
    <s v="Rainbow_MCH"/>
    <s v="COE"/>
    <x v="1"/>
    <x v="0"/>
    <s v="COP_23"/>
    <s v="Quarter1"/>
    <x v="2"/>
    <s v="Qtr_2"/>
    <x v="5"/>
    <d v="2024-02-01T00:00:00"/>
    <d v="2024-02-29T00:00:00"/>
    <x v="4"/>
    <n v="9"/>
    <n v="1"/>
    <n v="5"/>
    <n v="0"/>
    <n v="3"/>
    <n v="1"/>
    <n v="8"/>
    <n v="2"/>
    <n v="6"/>
    <n v="0"/>
    <n v="0"/>
    <n v="0"/>
    <n v="6"/>
    <n v="1"/>
    <n v="0"/>
    <n v="0"/>
    <n v="0"/>
    <n v="0"/>
    <n v="1"/>
    <n v="0"/>
    <n v="1"/>
    <n v="0"/>
    <n v="0"/>
    <n v="0"/>
    <n v="2"/>
    <m/>
  </r>
  <r>
    <n v="235"/>
    <d v="2024-04-12T08:51:21"/>
    <d v="2024-04-12T08:55:35"/>
    <s v="vngwira@lighthouse.org.mw"/>
    <s v="Vincent Ngwira"/>
    <s v="Rainbow_MCH"/>
    <s v="COE"/>
    <x v="1"/>
    <x v="0"/>
    <s v="COP_23"/>
    <s v="Quarter1"/>
    <x v="2"/>
    <s v="Qtr_2"/>
    <x v="3"/>
    <d v="2024-03-01T00:00:00"/>
    <d v="2024-03-31T00:00:00"/>
    <x v="6"/>
    <n v="57"/>
    <n v="36"/>
    <n v="0"/>
    <n v="0"/>
    <n v="29"/>
    <n v="16"/>
    <n v="45"/>
    <n v="20"/>
    <n v="45"/>
    <n v="3"/>
    <n v="4"/>
    <n v="2"/>
    <n v="44"/>
    <n v="8"/>
    <n v="0"/>
    <n v="0"/>
    <n v="0"/>
    <n v="0"/>
    <n v="13"/>
    <n v="4"/>
    <n v="8"/>
    <n v="2"/>
    <n v="1"/>
    <n v="0"/>
    <n v="5"/>
    <m/>
  </r>
  <r>
    <n v="236"/>
    <d v="2024-04-12T08:56:28"/>
    <d v="2024-04-12T09:01:05"/>
    <s v="vngwira@lighthouse.org.mw"/>
    <s v="Vincent Ngwira"/>
    <s v="Rainbow_MCH"/>
    <s v="COE"/>
    <x v="1"/>
    <x v="0"/>
    <s v="COP_23"/>
    <s v="Quarter1"/>
    <x v="2"/>
    <s v="Qtr_2"/>
    <x v="3"/>
    <d v="2024-03-01T00:00:00"/>
    <d v="2024-03-31T00:00:00"/>
    <x v="0"/>
    <n v="175"/>
    <n v="48"/>
    <n v="59"/>
    <n v="7"/>
    <n v="73"/>
    <n v="24"/>
    <n v="155"/>
    <n v="57"/>
    <n v="102"/>
    <n v="6"/>
    <n v="7"/>
    <n v="5"/>
    <n v="100"/>
    <n v="13"/>
    <n v="1"/>
    <n v="0"/>
    <n v="4"/>
    <n v="1"/>
    <n v="24"/>
    <n v="5"/>
    <n v="13"/>
    <n v="5"/>
    <n v="1"/>
    <n v="0"/>
    <n v="7"/>
    <m/>
  </r>
  <r>
    <n v="237"/>
    <d v="2024-04-12T09:01:27"/>
    <d v="2024-04-12T09:13:06"/>
    <s v="vngwira@lighthouse.org.mw"/>
    <s v="Vincent Ngwira"/>
    <s v="Rainbow_MCH"/>
    <s v="COE"/>
    <x v="1"/>
    <x v="0"/>
    <s v="COP_23"/>
    <s v="Quarter1"/>
    <x v="2"/>
    <s v="Qtr_2"/>
    <x v="3"/>
    <d v="2024-03-01T00:00:00"/>
    <d v="2024-03-31T00:00:00"/>
    <x v="5"/>
    <n v="31"/>
    <n v="1"/>
    <n v="22"/>
    <n v="1"/>
    <n v="6"/>
    <n v="2"/>
    <n v="31"/>
    <n v="8"/>
    <n v="10"/>
    <n v="0"/>
    <n v="0"/>
    <n v="0"/>
    <n v="11"/>
    <n v="2"/>
    <n v="0"/>
    <n v="0"/>
    <n v="0"/>
    <n v="0"/>
    <n v="2"/>
    <n v="1"/>
    <n v="2"/>
    <n v="0"/>
    <n v="0"/>
    <n v="0"/>
    <n v="0"/>
    <m/>
  </r>
  <r>
    <n v="238"/>
    <d v="2024-04-12T09:13:43"/>
    <d v="2024-04-12T09:16:13"/>
    <s v="vngwira@lighthouse.org.mw"/>
    <s v="Vincent Ngwira"/>
    <s v="Rainbow_MCH"/>
    <s v="COE"/>
    <x v="1"/>
    <x v="0"/>
    <s v="COP_23"/>
    <s v="Quarter1"/>
    <x v="2"/>
    <s v="Qtr_2"/>
    <x v="3"/>
    <d v="2024-03-01T00:00:00"/>
    <d v="2024-03-31T00:00:00"/>
    <x v="3"/>
    <n v="0"/>
    <n v="0"/>
    <n v="0"/>
    <n v="0"/>
    <n v="0"/>
    <n v="0"/>
    <n v="0"/>
    <n v="0"/>
    <n v="0"/>
    <n v="0"/>
    <n v="0"/>
    <n v="0"/>
    <n v="0"/>
    <n v="0"/>
    <n v="0"/>
    <n v="0"/>
    <n v="0"/>
    <n v="0"/>
    <n v="0"/>
    <n v="0"/>
    <n v="0"/>
    <n v="0"/>
    <n v="0"/>
    <n v="0"/>
    <n v="0"/>
    <m/>
  </r>
  <r>
    <n v="242"/>
    <d v="2024-04-12T09:24:40"/>
    <d v="2024-04-12T09:26:05"/>
    <s v="vngwira@lighthouse.org.mw"/>
    <s v="Vincent Ngwira"/>
    <s v="Rainbow_MCH"/>
    <s v="COE"/>
    <x v="1"/>
    <x v="0"/>
    <s v="COP_23"/>
    <s v="Quarter1"/>
    <x v="2"/>
    <s v="Qtr_2"/>
    <x v="3"/>
    <d v="2024-03-01T00:00:00"/>
    <d v="2024-03-31T00:00:00"/>
    <x v="4"/>
    <n v="2"/>
    <n v="0"/>
    <n v="2"/>
    <n v="0"/>
    <n v="0"/>
    <n v="0"/>
    <n v="2"/>
    <n v="0"/>
    <n v="0"/>
    <n v="0"/>
    <n v="0"/>
    <n v="0"/>
    <n v="0"/>
    <n v="0"/>
    <n v="0"/>
    <n v="0"/>
    <n v="0"/>
    <n v="0"/>
    <n v="0"/>
    <n v="0"/>
    <n v="0"/>
    <n v="0"/>
    <n v="0"/>
    <n v="0"/>
    <n v="0"/>
    <m/>
  </r>
  <r>
    <n v="449"/>
    <d v="2024-05-21T13:01:51"/>
    <d v="2024-05-21T13:16:11"/>
    <s v="vngwira@lighthouse.org.mw"/>
    <s v="Vincent Ngwira"/>
    <s v="Rainbow_MCH"/>
    <s v="COE"/>
    <x v="1"/>
    <x v="2"/>
    <s v="COP_23"/>
    <s v="Quarter2"/>
    <x v="3"/>
    <s v="Qtr_3"/>
    <x v="7"/>
    <d v="2024-04-01T00:00:00"/>
    <d v="2024-04-30T00:00:00"/>
    <x v="3"/>
    <n v="4"/>
    <n v="2"/>
    <n v="0"/>
    <n v="2"/>
    <n v="1"/>
    <n v="1"/>
    <n v="4"/>
    <n v="1"/>
    <n v="3"/>
    <n v="0"/>
    <n v="0"/>
    <n v="0"/>
    <n v="0"/>
    <n v="0"/>
    <n v="0"/>
    <n v="0"/>
    <n v="2"/>
    <n v="1"/>
    <n v="2"/>
    <n v="0"/>
    <n v="0"/>
    <n v="0"/>
    <n v="0"/>
    <n v="0"/>
    <n v="2"/>
    <m/>
  </r>
  <r>
    <n v="451"/>
    <d v="2024-05-21T13:20:10"/>
    <d v="2024-05-21T13:37:15"/>
    <s v="vngwira@lighthouse.org.mw"/>
    <s v="Vincent Ngwira"/>
    <s v="Rainbow_MCH"/>
    <s v="COE"/>
    <x v="1"/>
    <x v="2"/>
    <s v="COP_23"/>
    <s v="Quarter2"/>
    <x v="3"/>
    <s v="Qtr_3"/>
    <x v="7"/>
    <d v="2024-04-01T00:00:00"/>
    <d v="2024-04-30T00:00:00"/>
    <x v="5"/>
    <n v="21"/>
    <n v="1"/>
    <n v="19"/>
    <n v="0"/>
    <n v="2"/>
    <n v="0"/>
    <n v="21"/>
    <n v="7"/>
    <n v="9"/>
    <n v="0"/>
    <n v="0"/>
    <n v="0"/>
    <n v="1"/>
    <n v="0"/>
    <n v="0"/>
    <n v="0"/>
    <n v="0"/>
    <n v="0"/>
    <n v="5"/>
    <n v="0"/>
    <n v="0"/>
    <n v="0"/>
    <n v="0"/>
    <n v="0"/>
    <n v="0"/>
    <m/>
  </r>
  <r>
    <n v="453"/>
    <d v="2024-05-21T13:43:33"/>
    <d v="2024-05-21T13:47:29"/>
    <s v="vngwira@lighthouse.org.mw"/>
    <s v="Vincent Ngwira"/>
    <s v="Rainbow_MCH"/>
    <s v="COE"/>
    <x v="1"/>
    <x v="2"/>
    <s v="COP_23"/>
    <s v="Quarter2"/>
    <x v="3"/>
    <s v="Qtr_3"/>
    <x v="7"/>
    <d v="2024-04-01T00:00:00"/>
    <d v="2024-04-30T00:00:00"/>
    <x v="6"/>
    <n v="55"/>
    <n v="52"/>
    <n v="0"/>
    <n v="0"/>
    <n v="45"/>
    <n v="10"/>
    <n v="54"/>
    <n v="22"/>
    <n v="55"/>
    <n v="2"/>
    <n v="1"/>
    <n v="1"/>
    <n v="18"/>
    <n v="4"/>
    <n v="0"/>
    <n v="0"/>
    <n v="3"/>
    <n v="2"/>
    <n v="15"/>
    <n v="2"/>
    <n v="5"/>
    <n v="2"/>
    <n v="0"/>
    <n v="0"/>
    <n v="12"/>
    <m/>
  </r>
  <r>
    <n v="454"/>
    <d v="2024-05-21T13:47:33"/>
    <d v="2024-05-21T13:52:28"/>
    <s v="vngwira@lighthouse.org.mw"/>
    <s v="Vincent Ngwira"/>
    <s v="Rainbow_MCH"/>
    <s v="COE"/>
    <x v="1"/>
    <x v="2"/>
    <s v="COP_23"/>
    <s v="Quarter2"/>
    <x v="3"/>
    <s v="Qtr_3"/>
    <x v="7"/>
    <d v="2024-04-08T00:00:00"/>
    <d v="2024-04-30T00:00:00"/>
    <x v="0"/>
    <n v="159"/>
    <n v="63"/>
    <n v="68"/>
    <n v="3"/>
    <n v="70"/>
    <n v="18"/>
    <n v="157"/>
    <n v="58"/>
    <n v="103"/>
    <n v="2"/>
    <n v="1"/>
    <n v="1"/>
    <n v="35"/>
    <n v="9"/>
    <n v="6"/>
    <n v="0"/>
    <n v="5"/>
    <n v="3"/>
    <n v="34"/>
    <n v="2"/>
    <n v="11"/>
    <n v="2"/>
    <n v="0"/>
    <n v="1"/>
    <n v="14"/>
    <m/>
  </r>
  <r>
    <n v="455"/>
    <d v="2024-05-21T13:52:31"/>
    <d v="2024-05-21T13:53:51"/>
    <s v="vngwira@lighthouse.org.mw"/>
    <s v="Vincent Ngwira"/>
    <s v="Rainbow_MCH"/>
    <s v="COE"/>
    <x v="1"/>
    <x v="2"/>
    <s v="COP_23"/>
    <s v="Quarter2"/>
    <x v="3"/>
    <s v="Qtr_3"/>
    <x v="7"/>
    <d v="2024-04-01T00:00:00"/>
    <d v="2024-04-30T00:00:00"/>
    <x v="4"/>
    <n v="4"/>
    <n v="0"/>
    <n v="4"/>
    <n v="0"/>
    <n v="0"/>
    <n v="0"/>
    <n v="4"/>
    <n v="0"/>
    <n v="0"/>
    <n v="0"/>
    <n v="0"/>
    <n v="0"/>
    <n v="0"/>
    <n v="0"/>
    <n v="0"/>
    <n v="0"/>
    <n v="0"/>
    <n v="0"/>
    <n v="0"/>
    <n v="0"/>
    <n v="0"/>
    <n v="0"/>
    <n v="0"/>
    <n v="0"/>
    <n v="0"/>
    <m/>
  </r>
  <r>
    <n v="516"/>
    <d v="2024-06-07T10:35:39"/>
    <d v="2024-06-07T10:51:42"/>
    <s v="vngwira@lighthouse.org.mw"/>
    <s v="Vincent Ngwira"/>
    <s v="Rainbow_MCH"/>
    <s v="COE"/>
    <x v="1"/>
    <x v="2"/>
    <s v="COP_23"/>
    <s v="Quarter2"/>
    <x v="3"/>
    <s v="Qtr_3"/>
    <x v="6"/>
    <d v="2024-05-01T00:00:00"/>
    <d v="2024-05-31T00:00:00"/>
    <x v="0"/>
    <n v="153"/>
    <n v="16"/>
    <n v="55"/>
    <n v="11"/>
    <n v="67"/>
    <n v="20"/>
    <n v="150"/>
    <n v="69"/>
    <n v="108"/>
    <n v="4"/>
    <n v="4"/>
    <n v="3"/>
    <n v="0"/>
    <n v="0"/>
    <n v="6"/>
    <n v="0"/>
    <n v="4"/>
    <n v="3"/>
    <n v="47"/>
    <n v="6"/>
    <n v="5"/>
    <n v="3"/>
    <n v="1"/>
    <n v="3"/>
    <n v="2"/>
    <m/>
  </r>
  <r>
    <n v="518"/>
    <d v="2024-06-07T10:53:16"/>
    <d v="2024-06-07T10:55:50"/>
    <s v="vngwira@lighthouse.org.mw"/>
    <s v="Vincent Ngwira"/>
    <s v="Rainbow_MCH"/>
    <s v="COE"/>
    <x v="1"/>
    <x v="2"/>
    <s v="COP_23"/>
    <s v="Quarter2"/>
    <x v="3"/>
    <s v="Qtr_3"/>
    <x v="6"/>
    <d v="2024-05-01T00:00:00"/>
    <d v="2024-05-31T00:00:00"/>
    <x v="6"/>
    <n v="53"/>
    <n v="4"/>
    <n v="2"/>
    <n v="0"/>
    <n v="37"/>
    <n v="14"/>
    <n v="52"/>
    <n v="31"/>
    <n v="50"/>
    <n v="3"/>
    <n v="4"/>
    <n v="2"/>
    <n v="0"/>
    <n v="0"/>
    <n v="0"/>
    <n v="0"/>
    <n v="1"/>
    <n v="1"/>
    <n v="18"/>
    <n v="5"/>
    <n v="3"/>
    <n v="2"/>
    <n v="1"/>
    <n v="1"/>
    <n v="0"/>
    <m/>
  </r>
  <r>
    <n v="520"/>
    <d v="2024-06-07T10:58:22"/>
    <d v="2024-06-07T10:59:57"/>
    <s v="vngwira@lighthouse.org.mw"/>
    <s v="Vincent Ngwira"/>
    <s v="Rainbow_MCH"/>
    <s v="COE"/>
    <x v="1"/>
    <x v="2"/>
    <s v="COP_23"/>
    <s v="Quarter2"/>
    <x v="3"/>
    <s v="Qtr_3"/>
    <x v="6"/>
    <d v="2024-05-01T00:00:00"/>
    <d v="2024-05-31T00:00:00"/>
    <x v="5"/>
    <n v="22"/>
    <n v="0"/>
    <n v="18"/>
    <n v="1"/>
    <n v="2"/>
    <n v="0"/>
    <n v="22"/>
    <n v="6"/>
    <n v="9"/>
    <n v="0"/>
    <n v="0"/>
    <n v="0"/>
    <n v="0"/>
    <n v="0"/>
    <n v="0"/>
    <n v="0"/>
    <n v="0"/>
    <n v="0"/>
    <n v="0"/>
    <n v="0"/>
    <n v="0"/>
    <n v="0"/>
    <n v="0"/>
    <n v="0"/>
    <n v="0"/>
    <m/>
  </r>
  <r>
    <n v="522"/>
    <d v="2024-06-07T10:59:59"/>
    <d v="2024-06-07T11:11:24"/>
    <s v="vngwira@lighthouse.org.mw"/>
    <s v="Vincent Ngwira"/>
    <s v="Rainbow_MCH"/>
    <s v="COE"/>
    <x v="1"/>
    <x v="2"/>
    <s v="COP_23"/>
    <s v="Quarter2"/>
    <x v="3"/>
    <s v="Qtr_3"/>
    <x v="6"/>
    <d v="2024-05-01T00:00:00"/>
    <d v="2024-05-31T00:00:00"/>
    <x v="3"/>
    <n v="2"/>
    <n v="1"/>
    <n v="1"/>
    <n v="0"/>
    <n v="1"/>
    <n v="0"/>
    <n v="0"/>
    <n v="0"/>
    <n v="2"/>
    <n v="0"/>
    <n v="0"/>
    <n v="0"/>
    <n v="0"/>
    <n v="0"/>
    <n v="0"/>
    <n v="0"/>
    <n v="0"/>
    <n v="0"/>
    <n v="2"/>
    <n v="0"/>
    <n v="0"/>
    <n v="0"/>
    <n v="0"/>
    <n v="0"/>
    <n v="0"/>
    <m/>
  </r>
  <r>
    <n v="525"/>
    <d v="2024-06-07T11:13:23"/>
    <d v="2024-06-07T11:17:15"/>
    <s v="vngwira@lighthouse.org.mw"/>
    <s v="Vincent Ngwira"/>
    <s v="Rainbow_MCH"/>
    <s v="COE"/>
    <x v="1"/>
    <x v="2"/>
    <s v="COP_23"/>
    <s v="Quarter2"/>
    <x v="3"/>
    <s v="Qtr_3"/>
    <x v="6"/>
    <d v="2024-05-01T00:00:00"/>
    <d v="2024-05-31T00:00:00"/>
    <x v="4"/>
    <n v="7"/>
    <n v="1"/>
    <n v="5"/>
    <n v="0"/>
    <n v="2"/>
    <n v="0"/>
    <n v="7"/>
    <n v="2"/>
    <n v="3"/>
    <n v="0"/>
    <n v="0"/>
    <n v="0"/>
    <n v="0"/>
    <n v="0"/>
    <n v="0"/>
    <n v="0"/>
    <n v="0"/>
    <n v="0"/>
    <n v="1"/>
    <n v="0"/>
    <n v="0"/>
    <n v="0"/>
    <n v="0"/>
    <n v="0"/>
    <n v="0"/>
    <m/>
  </r>
  <r>
    <n v="654"/>
    <d v="2024-07-26T19:56:13"/>
    <d v="2024-07-26T20:00:01"/>
    <s v="vngwira@lighthouse.org.mw"/>
    <s v="Vincent Ngwira"/>
    <s v="Rainbow_MCH"/>
    <s v="COE"/>
    <x v="1"/>
    <x v="2"/>
    <s v="COP_23"/>
    <s v="Quarter2"/>
    <x v="3"/>
    <s v="Qtr_3"/>
    <x v="8"/>
    <d v="2024-06-01T00:00:00"/>
    <d v="2024-06-30T00:00:00"/>
    <x v="0"/>
    <n v="146"/>
    <n v="64"/>
    <n v="61"/>
    <n v="5"/>
    <n v="69"/>
    <n v="11"/>
    <n v="141"/>
    <n v="49"/>
    <n v="98"/>
    <n v="5"/>
    <n v="5"/>
    <n v="5"/>
    <n v="0"/>
    <n v="0"/>
    <n v="3"/>
    <n v="2"/>
    <n v="5"/>
    <n v="2"/>
    <n v="60"/>
    <n v="3"/>
    <n v="6"/>
    <n v="5"/>
    <n v="0"/>
    <n v="1"/>
    <n v="20"/>
    <m/>
  </r>
  <r>
    <n v="655"/>
    <d v="2024-07-26T20:00:05"/>
    <d v="2024-07-26T20:06:24"/>
    <s v="vngwira@lighthouse.org.mw"/>
    <s v="Vincent Ngwira"/>
    <s v="Rainbow_MCH"/>
    <s v="COE"/>
    <x v="1"/>
    <x v="2"/>
    <s v="COP_23"/>
    <s v="Quarter2"/>
    <x v="3"/>
    <s v="Qtr_3"/>
    <x v="8"/>
    <d v="2024-06-01T00:00:00"/>
    <d v="2024-06-30T00:00:00"/>
    <x v="6"/>
    <n v="56"/>
    <n v="53"/>
    <n v="0"/>
    <n v="1"/>
    <n v="48"/>
    <n v="7"/>
    <n v="56"/>
    <n v="22"/>
    <n v="55"/>
    <n v="4"/>
    <n v="4"/>
    <n v="4"/>
    <n v="0"/>
    <n v="0"/>
    <n v="0"/>
    <n v="0"/>
    <n v="2"/>
    <n v="1"/>
    <n v="18"/>
    <n v="1"/>
    <n v="2"/>
    <n v="4"/>
    <n v="0"/>
    <n v="1"/>
    <n v="2"/>
    <m/>
  </r>
  <r>
    <n v="656"/>
    <d v="2024-07-26T20:06:27"/>
    <d v="2024-07-26T20:08:40"/>
    <s v="vngwira@lighthouse.org.mw"/>
    <s v="Vincent Ngwira"/>
    <s v="Rainbow_MCH"/>
    <s v="COE"/>
    <x v="1"/>
    <x v="2"/>
    <s v="COP_23"/>
    <s v="Quarter2"/>
    <x v="3"/>
    <s v="Qtr_3"/>
    <x v="8"/>
    <d v="2024-06-01T00:00:00"/>
    <d v="2024-06-30T00:00:00"/>
    <x v="3"/>
    <n v="6"/>
    <n v="3"/>
    <n v="4"/>
    <n v="0"/>
    <n v="2"/>
    <n v="0"/>
    <n v="0"/>
    <n v="0"/>
    <n v="6"/>
    <n v="0"/>
    <n v="0"/>
    <n v="0"/>
    <n v="0"/>
    <n v="0"/>
    <n v="0"/>
    <n v="0"/>
    <n v="0"/>
    <n v="0"/>
    <n v="6"/>
    <n v="1"/>
    <n v="1"/>
    <n v="0"/>
    <n v="0"/>
    <n v="0"/>
    <n v="0"/>
    <m/>
  </r>
  <r>
    <n v="659"/>
    <d v="2024-07-26T20:30:34"/>
    <d v="2024-07-26T20:32:36"/>
    <s v="vngwira@lighthouse.org.mw"/>
    <s v="Vincent Ngwira"/>
    <s v="Rainbow_MCH"/>
    <s v="COE"/>
    <x v="1"/>
    <x v="2"/>
    <s v="COP_23"/>
    <s v="Quarter2"/>
    <x v="3"/>
    <s v="Qtr_3"/>
    <x v="8"/>
    <d v="2024-06-01T00:00:00"/>
    <d v="2024-06-30T00:00:00"/>
    <x v="4"/>
    <n v="7"/>
    <n v="1"/>
    <n v="5"/>
    <n v="1"/>
    <n v="1"/>
    <n v="0"/>
    <n v="7"/>
    <n v="2"/>
    <n v="3"/>
    <n v="0"/>
    <n v="0"/>
    <n v="0"/>
    <n v="0"/>
    <n v="0"/>
    <n v="0"/>
    <n v="0"/>
    <n v="0"/>
    <n v="0"/>
    <n v="2"/>
    <n v="0"/>
    <n v="0"/>
    <n v="0"/>
    <n v="0"/>
    <n v="0"/>
    <n v="2"/>
    <m/>
  </r>
  <r>
    <n v="660"/>
    <d v="2024-07-26T20:32:40"/>
    <d v="2024-07-26T20:34:11"/>
    <s v="vngwira@lighthouse.org.mw"/>
    <s v="Vincent Ngwira"/>
    <s v="Rainbow_MCH"/>
    <s v="COE"/>
    <x v="1"/>
    <x v="2"/>
    <s v="COP_23"/>
    <s v="Quarter2"/>
    <x v="3"/>
    <s v="Qtr_3"/>
    <x v="8"/>
    <d v="2024-06-01T00:00:00"/>
    <d v="2024-06-30T00:00:00"/>
    <x v="5"/>
    <n v="21"/>
    <n v="1"/>
    <n v="14"/>
    <n v="3"/>
    <n v="3"/>
    <n v="1"/>
    <n v="19"/>
    <n v="8"/>
    <n v="11"/>
    <n v="1"/>
    <n v="1"/>
    <n v="1"/>
    <n v="0"/>
    <n v="0"/>
    <n v="0"/>
    <n v="0"/>
    <n v="0"/>
    <n v="0"/>
    <n v="11"/>
    <n v="0"/>
    <n v="0"/>
    <n v="1"/>
    <n v="0"/>
    <n v="0"/>
    <n v="3"/>
    <m/>
  </r>
  <r>
    <n v="759"/>
    <d v="2024-08-14T12:42:01"/>
    <d v="2024-08-14T12:44:32"/>
    <s v="vngwira@lighthouse.org.mw"/>
    <s v="Vincent Ngwira"/>
    <s v="Rainbow_MCH"/>
    <s v="COE"/>
    <x v="1"/>
    <x v="0"/>
    <s v="COP_23"/>
    <s v="Quarter3"/>
    <x v="1"/>
    <s v="Qtr_4"/>
    <x v="9"/>
    <d v="2024-07-01T00:00:00"/>
    <d v="2024-07-31T00:00:00"/>
    <x v="4"/>
    <n v="2"/>
    <n v="2"/>
    <n v="2"/>
    <n v="0"/>
    <n v="0"/>
    <n v="0"/>
    <n v="2"/>
    <n v="1"/>
    <n v="1"/>
    <n v="0"/>
    <n v="0"/>
    <n v="0"/>
    <n v="0"/>
    <n v="0"/>
    <n v="0"/>
    <n v="0"/>
    <n v="0"/>
    <n v="0"/>
    <n v="0"/>
    <n v="0"/>
    <n v="0"/>
    <n v="0"/>
    <n v="0"/>
    <n v="0"/>
    <n v="0"/>
    <m/>
  </r>
  <r>
    <n v="760"/>
    <d v="2024-08-14T12:44:37"/>
    <d v="2024-08-14T12:47:30"/>
    <s v="vngwira@lighthouse.org.mw"/>
    <s v="Vincent Ngwira"/>
    <s v="Rainbow_MCH"/>
    <s v="COE"/>
    <x v="1"/>
    <x v="0"/>
    <s v="COP_23"/>
    <s v="Quarter3"/>
    <x v="1"/>
    <s v="Qtr_4"/>
    <x v="9"/>
    <d v="2024-07-01T00:00:00"/>
    <d v="2024-07-31T00:00:00"/>
    <x v="3"/>
    <n v="2"/>
    <n v="1"/>
    <n v="0"/>
    <n v="1"/>
    <n v="0"/>
    <n v="1"/>
    <n v="1"/>
    <n v="0"/>
    <n v="1"/>
    <n v="0"/>
    <n v="0"/>
    <n v="0"/>
    <n v="0"/>
    <n v="0"/>
    <n v="0"/>
    <n v="0"/>
    <n v="0"/>
    <n v="0"/>
    <n v="0"/>
    <n v="0"/>
    <n v="0"/>
    <n v="0"/>
    <n v="0"/>
    <n v="0"/>
    <n v="0"/>
    <m/>
  </r>
  <r>
    <n v="761"/>
    <d v="2024-08-14T12:47:34"/>
    <d v="2024-08-14T12:49:34"/>
    <s v="vngwira@lighthouse.org.mw"/>
    <s v="Vincent Ngwira"/>
    <s v="Rainbow_MCH"/>
    <s v="COE"/>
    <x v="1"/>
    <x v="0"/>
    <s v="COP_23"/>
    <s v="Quarter3"/>
    <x v="1"/>
    <s v="Qtr_4"/>
    <x v="9"/>
    <d v="2024-07-01T00:00:00"/>
    <d v="2024-07-31T00:00:00"/>
    <x v="5"/>
    <n v="19"/>
    <n v="19"/>
    <n v="17"/>
    <n v="1"/>
    <n v="1"/>
    <n v="0"/>
    <n v="19"/>
    <n v="5"/>
    <n v="5"/>
    <n v="0"/>
    <n v="0"/>
    <n v="0"/>
    <n v="0"/>
    <n v="0"/>
    <n v="0"/>
    <n v="0"/>
    <n v="0"/>
    <n v="0"/>
    <n v="4"/>
    <n v="0"/>
    <n v="0"/>
    <n v="0"/>
    <n v="0"/>
    <n v="0"/>
    <n v="0"/>
    <m/>
  </r>
  <r>
    <n v="783"/>
    <d v="2024-08-20T10:15:25"/>
    <d v="2024-08-20T10:19:37"/>
    <s v="vngwira@lighthouse.org.mw"/>
    <s v="Vincent Ngwira"/>
    <s v="Rainbow_MCH"/>
    <s v="COE"/>
    <x v="1"/>
    <x v="0"/>
    <s v="COP_23"/>
    <s v="Quarter3"/>
    <x v="1"/>
    <s v="Qtr_4"/>
    <x v="9"/>
    <d v="2024-07-01T00:00:00"/>
    <d v="2024-07-31T00:00:00"/>
    <x v="6"/>
    <n v="45"/>
    <n v="43"/>
    <n v="3"/>
    <n v="0"/>
    <n v="32"/>
    <n v="10"/>
    <n v="42"/>
    <n v="18"/>
    <n v="45"/>
    <n v="1"/>
    <n v="3"/>
    <n v="1"/>
    <n v="0"/>
    <n v="0"/>
    <n v="1"/>
    <n v="1"/>
    <n v="3"/>
    <n v="1"/>
    <n v="24"/>
    <n v="8"/>
    <n v="9"/>
    <n v="1"/>
    <n v="2"/>
    <n v="1"/>
    <n v="32"/>
    <m/>
  </r>
  <r>
    <n v="784"/>
    <d v="2024-08-20T10:19:41"/>
    <d v="2024-08-20T10:24:06"/>
    <s v="vngwira@lighthouse.org.mw"/>
    <s v="Vincent Ngwira"/>
    <s v="Rainbow_MCH"/>
    <s v="COE"/>
    <x v="1"/>
    <x v="0"/>
    <s v="COP_23"/>
    <s v="Quarter3"/>
    <x v="1"/>
    <s v="Qtr_4"/>
    <x v="9"/>
    <d v="2024-07-01T00:00:00"/>
    <d v="2024-07-31T00:00:00"/>
    <x v="0"/>
    <n v="131"/>
    <n v="54"/>
    <n v="52"/>
    <n v="5"/>
    <n v="56"/>
    <n v="18"/>
    <n v="126"/>
    <n v="40"/>
    <n v="84"/>
    <n v="1"/>
    <n v="3"/>
    <n v="1"/>
    <n v="0"/>
    <n v="0"/>
    <n v="4"/>
    <n v="1"/>
    <n v="5"/>
    <n v="1"/>
    <n v="46"/>
    <n v="11"/>
    <n v="12"/>
    <n v="1"/>
    <n v="2"/>
    <n v="1"/>
    <n v="66"/>
    <m/>
  </r>
  <r>
    <n v="805"/>
    <d v="2024-09-16T08:50:56"/>
    <d v="2024-09-16T08:55:52"/>
    <s v="vngwira@lighthouse.org.mw"/>
    <s v="Vincent Ngwira"/>
    <s v="Rainbow_MCH"/>
    <s v="COE"/>
    <x v="1"/>
    <x v="0"/>
    <s v="COP_23"/>
    <s v="Quarter3"/>
    <x v="1"/>
    <s v="Qtr_4"/>
    <x v="10"/>
    <d v="2024-08-01T00:00:00"/>
    <d v="2024-08-31T00:00:00"/>
    <x v="0"/>
    <n v="185"/>
    <n v="85"/>
    <n v="65"/>
    <n v="2"/>
    <n v="74"/>
    <n v="44"/>
    <n v="159"/>
    <n v="58"/>
    <n v="147"/>
    <n v="9"/>
    <n v="6"/>
    <n v="0"/>
    <n v="52"/>
    <n v="1"/>
    <n v="8"/>
    <n v="0"/>
    <n v="0"/>
    <n v="0"/>
    <n v="90"/>
    <n v="22"/>
    <n v="19"/>
    <n v="1"/>
    <n v="2"/>
    <n v="0"/>
    <n v="99"/>
    <m/>
  </r>
  <r>
    <n v="806"/>
    <d v="2024-09-16T08:56:21"/>
    <d v="2024-09-16T08:58:37"/>
    <s v="vngwira@lighthouse.org.mw"/>
    <s v="Vincent Ngwira"/>
    <s v="Rainbow_MCH"/>
    <s v="COE"/>
    <x v="1"/>
    <x v="0"/>
    <s v="COP_23"/>
    <s v="Quarter3"/>
    <x v="1"/>
    <s v="Qtr_4"/>
    <x v="10"/>
    <d v="2024-08-01T00:00:00"/>
    <d v="2024-08-31T00:00:00"/>
    <x v="5"/>
    <n v="41"/>
    <n v="1"/>
    <n v="39"/>
    <n v="0"/>
    <n v="1"/>
    <n v="1"/>
    <n v="32"/>
    <n v="13"/>
    <n v="29"/>
    <n v="2"/>
    <n v="2"/>
    <n v="0"/>
    <n v="13"/>
    <n v="0"/>
    <n v="3"/>
    <n v="0"/>
    <n v="0"/>
    <n v="0"/>
    <n v="13"/>
    <n v="0"/>
    <n v="0"/>
    <n v="0"/>
    <n v="2"/>
    <n v="0"/>
    <n v="11"/>
    <m/>
  </r>
  <r>
    <n v="807"/>
    <d v="2024-09-16T08:58:39"/>
    <d v="2024-09-16T09:02:18"/>
    <s v="vngwira@lighthouse.org.mw"/>
    <s v="Vincent Ngwira"/>
    <s v="Rainbow_MCH"/>
    <s v="COE"/>
    <x v="1"/>
    <x v="0"/>
    <s v="COP_23"/>
    <s v="Quarter3"/>
    <x v="1"/>
    <s v="Qtr_4"/>
    <x v="10"/>
    <d v="2024-08-01T00:00:00"/>
    <d v="2024-08-31T00:00:00"/>
    <x v="3"/>
    <n v="5"/>
    <n v="0"/>
    <n v="5"/>
    <n v="0"/>
    <n v="0"/>
    <n v="0"/>
    <n v="0"/>
    <n v="0"/>
    <n v="5"/>
    <n v="0"/>
    <n v="0"/>
    <n v="0"/>
    <n v="1"/>
    <n v="0"/>
    <n v="0"/>
    <n v="0"/>
    <n v="0"/>
    <n v="0"/>
    <n v="2"/>
    <n v="0"/>
    <n v="0"/>
    <n v="0"/>
    <n v="0"/>
    <n v="0"/>
    <n v="0"/>
    <m/>
  </r>
  <r>
    <n v="808"/>
    <d v="2024-09-16T09:02:26"/>
    <d v="2024-09-16T09:04:39"/>
    <s v="vngwira@lighthouse.org.mw"/>
    <s v="Vincent Ngwira"/>
    <s v="Rainbow_MCH"/>
    <s v="COE"/>
    <x v="1"/>
    <x v="0"/>
    <s v="COP_23"/>
    <s v="Quarter3"/>
    <x v="1"/>
    <s v="Qtr_4"/>
    <x v="10"/>
    <d v="2024-08-01T00:00:00"/>
    <d v="2024-08-31T00:00:00"/>
    <x v="4"/>
    <n v="5"/>
    <n v="0"/>
    <n v="5"/>
    <n v="0"/>
    <n v="0"/>
    <n v="0"/>
    <n v="4"/>
    <n v="2"/>
    <n v="5"/>
    <n v="0"/>
    <n v="0"/>
    <n v="0"/>
    <n v="4"/>
    <n v="0"/>
    <n v="1"/>
    <n v="0"/>
    <n v="0"/>
    <n v="0"/>
    <n v="2"/>
    <n v="0"/>
    <n v="0"/>
    <n v="0"/>
    <n v="0"/>
    <n v="0"/>
    <n v="2"/>
    <m/>
  </r>
  <r>
    <n v="810"/>
    <d v="2024-09-16T09:07:47"/>
    <d v="2024-09-16T09:12:03"/>
    <s v="vngwira@lighthouse.org.mw"/>
    <s v="Vincent Ngwira"/>
    <s v="Rainbow_MCH"/>
    <s v="COE"/>
    <x v="1"/>
    <x v="0"/>
    <s v="COP_23"/>
    <s v="Quarter3"/>
    <x v="1"/>
    <s v="Qtr_4"/>
    <x v="10"/>
    <d v="2024-08-01T00:00:00"/>
    <d v="2024-08-31T00:00:00"/>
    <x v="6"/>
    <n v="68"/>
    <n v="63"/>
    <n v="2"/>
    <n v="0"/>
    <n v="44"/>
    <n v="22"/>
    <n v="62"/>
    <n v="26"/>
    <n v="66"/>
    <n v="4"/>
    <n v="4"/>
    <n v="0"/>
    <n v="18"/>
    <n v="1"/>
    <n v="0"/>
    <n v="0"/>
    <n v="8"/>
    <n v="4"/>
    <n v="48"/>
    <n v="18"/>
    <n v="15"/>
    <n v="1"/>
    <n v="0"/>
    <n v="0"/>
    <n v="50"/>
    <m/>
  </r>
  <r>
    <n v="68"/>
    <d v="2024-01-11T09:45:39"/>
    <d v="2024-01-11T09:47:44"/>
    <s v="vngwira@lighthouse.org.mw"/>
    <s v="Vincent Ngwira"/>
    <s v="Rainbow_MCH"/>
    <s v="COE"/>
    <x v="0"/>
    <x v="0"/>
    <s v="COP_23"/>
    <s v="Quarter4"/>
    <x v="0"/>
    <s v="Qtr_1"/>
    <x v="0"/>
    <d v="2023-10-01T00:00:00"/>
    <d v="2023-10-31T00:00:00"/>
    <x v="2"/>
    <n v="20"/>
    <n v="15"/>
    <n v="14"/>
    <n v="0"/>
    <n v="6"/>
    <n v="0"/>
    <n v="20"/>
    <n v="6"/>
    <n v="10"/>
    <n v="0"/>
    <n v="0"/>
    <n v="0"/>
    <n v="5"/>
    <n v="1"/>
    <n v="2"/>
    <n v="0"/>
    <n v="2"/>
    <n v="0"/>
    <n v="3"/>
    <n v="0"/>
    <n v="1"/>
    <n v="0"/>
    <n v="0"/>
    <n v="0"/>
    <n v="0"/>
    <m/>
  </r>
  <r>
    <n v="72"/>
    <d v="2024-01-11T09:55:13"/>
    <d v="2024-01-11T09:58:03"/>
    <s v="vngwira@lighthouse.org.mw"/>
    <s v="Vincent Ngwira"/>
    <s v="Rainbow_MCH"/>
    <s v="COE"/>
    <x v="0"/>
    <x v="0"/>
    <s v="COP_23"/>
    <s v="Quarter4"/>
    <x v="0"/>
    <s v="Qtr_1"/>
    <x v="1"/>
    <d v="2023-11-01T00:00:00"/>
    <d v="2023-11-30T00:00:00"/>
    <x v="2"/>
    <n v="16"/>
    <n v="1"/>
    <n v="12"/>
    <n v="0"/>
    <n v="3"/>
    <n v="1"/>
    <n v="16"/>
    <n v="6"/>
    <n v="6"/>
    <n v="1"/>
    <n v="1"/>
    <n v="1"/>
    <n v="7"/>
    <n v="0"/>
    <n v="1"/>
    <n v="0"/>
    <n v="4"/>
    <n v="0"/>
    <n v="5"/>
    <n v="0"/>
    <n v="0"/>
    <n v="1"/>
    <n v="0"/>
    <n v="0"/>
    <n v="0"/>
    <m/>
  </r>
  <r>
    <n v="75"/>
    <d v="2024-01-11T10:05:26"/>
    <d v="2024-01-11T10:05:54"/>
    <s v="vngwira@lighthouse.org.mw"/>
    <s v="Vincent Ngwira"/>
    <s v="Rainbow_MCH"/>
    <s v="COE"/>
    <x v="0"/>
    <x v="0"/>
    <s v="COP_23"/>
    <s v="Quarter4"/>
    <x v="0"/>
    <s v="Qtr_1"/>
    <x v="11"/>
    <d v="2023-12-01T00:00:00"/>
    <d v="2023-12-31T00:00:00"/>
    <x v="2"/>
    <n v="25"/>
    <n v="8"/>
    <n v="13"/>
    <n v="0"/>
    <n v="5"/>
    <n v="7"/>
    <n v="25"/>
    <n v="8"/>
    <n v="13"/>
    <n v="0"/>
    <n v="1"/>
    <n v="0"/>
    <n v="11"/>
    <n v="0"/>
    <n v="3"/>
    <n v="0"/>
    <n v="2"/>
    <n v="2"/>
    <n v="4"/>
    <n v="0"/>
    <n v="1"/>
    <n v="0"/>
    <n v="0"/>
    <n v="0"/>
    <n v="1"/>
    <m/>
  </r>
  <r>
    <n v="143"/>
    <d v="2024-02-06T09:44:31"/>
    <d v="2024-02-06T09:47:27"/>
    <s v="vngwira@lighthouse.org.mw"/>
    <s v="Vincent Ngwira"/>
    <s v="Rainbow_MCH"/>
    <s v="COE"/>
    <x v="1"/>
    <x v="0"/>
    <s v="COP_23"/>
    <s v="Quarter1"/>
    <x v="2"/>
    <s v="Qtr_2"/>
    <x v="4"/>
    <d v="2024-01-01T00:00:00"/>
    <d v="2024-01-31T00:00:00"/>
    <x v="2"/>
    <n v="23"/>
    <n v="6"/>
    <n v="19"/>
    <n v="0"/>
    <n v="4"/>
    <n v="0"/>
    <n v="23"/>
    <n v="8"/>
    <n v="9"/>
    <n v="0"/>
    <n v="0"/>
    <n v="0"/>
    <n v="9"/>
    <n v="3"/>
    <n v="0"/>
    <n v="0"/>
    <n v="2"/>
    <n v="2"/>
    <n v="3"/>
    <n v="3"/>
    <n v="3"/>
    <n v="0"/>
    <n v="0"/>
    <n v="0"/>
    <n v="0"/>
    <m/>
  </r>
  <r>
    <n v="179"/>
    <d v="2024-03-20T08:14:11"/>
    <d v="2024-03-20T08:16:23"/>
    <s v="vngwira@lighthouse.org.mw"/>
    <s v="Vincent Ngwira"/>
    <s v="Rainbow_MCH"/>
    <s v="COE"/>
    <x v="1"/>
    <x v="0"/>
    <s v="COP_23"/>
    <s v="Quarter1"/>
    <x v="2"/>
    <s v="Qtr_2"/>
    <x v="5"/>
    <d v="2024-02-01T00:00:00"/>
    <d v="2024-02-29T00:00:00"/>
    <x v="2"/>
    <n v="24"/>
    <n v="5"/>
    <n v="14"/>
    <n v="0"/>
    <n v="5"/>
    <n v="5"/>
    <n v="22"/>
    <n v="7"/>
    <n v="11"/>
    <n v="0"/>
    <n v="0"/>
    <n v="0"/>
    <n v="10"/>
    <n v="2"/>
    <n v="1"/>
    <n v="0"/>
    <n v="2"/>
    <n v="1"/>
    <n v="5"/>
    <n v="1"/>
    <n v="2"/>
    <n v="0"/>
    <n v="0"/>
    <n v="0"/>
    <n v="0"/>
    <m/>
  </r>
  <r>
    <n v="89"/>
    <d v="2024-01-16T15:32:12"/>
    <d v="2024-01-16T15:36:51"/>
    <s v="vngwira@lighthouse.org.mw"/>
    <s v="Vincent Ngwira"/>
    <s v="Rainbow_MCH"/>
    <s v="COE"/>
    <x v="0"/>
    <x v="0"/>
    <s v="COP_23"/>
    <s v="Quarter4"/>
    <x v="0"/>
    <s v="Qtr_1"/>
    <x v="0"/>
    <d v="2023-10-01T00:00:00"/>
    <d v="2023-10-31T00:00:00"/>
    <x v="1"/>
    <n v="54"/>
    <n v="13"/>
    <n v="32"/>
    <n v="0"/>
    <n v="16"/>
    <n v="6"/>
    <n v="54"/>
    <n v="23"/>
    <n v="29"/>
    <n v="2"/>
    <n v="2"/>
    <n v="1"/>
    <n v="20"/>
    <n v="4"/>
    <n v="12"/>
    <n v="0"/>
    <n v="13"/>
    <n v="3"/>
    <n v="17"/>
    <n v="3"/>
    <n v="5"/>
    <n v="1"/>
    <n v="0"/>
    <n v="0"/>
    <n v="1"/>
    <m/>
  </r>
  <r>
    <n v="241"/>
    <d v="2024-04-12T09:22:58"/>
    <d v="2024-04-12T09:24:33"/>
    <s v="vngwira@lighthouse.org.mw"/>
    <s v="Vincent Ngwira"/>
    <s v="Rainbow_MCH"/>
    <s v="COE"/>
    <x v="1"/>
    <x v="0"/>
    <s v="COP_23"/>
    <s v="Quarter1"/>
    <x v="2"/>
    <s v="Qtr_2"/>
    <x v="3"/>
    <d v="2024-03-01T00:00:00"/>
    <d v="2024-03-31T00:00:00"/>
    <x v="2"/>
    <n v="35"/>
    <n v="8"/>
    <n v="24"/>
    <n v="0"/>
    <n v="7"/>
    <n v="4"/>
    <n v="35"/>
    <n v="7"/>
    <n v="11"/>
    <n v="0"/>
    <n v="0"/>
    <n v="0"/>
    <n v="11"/>
    <n v="3"/>
    <n v="0"/>
    <n v="0"/>
    <n v="0"/>
    <n v="0"/>
    <n v="0"/>
    <n v="0"/>
    <n v="3"/>
    <n v="0"/>
    <n v="0"/>
    <n v="0"/>
    <n v="0"/>
    <m/>
  </r>
  <r>
    <n v="450"/>
    <d v="2024-05-21T13:16:18"/>
    <d v="2024-05-21T13:20:05"/>
    <s v="vngwira@lighthouse.org.mw"/>
    <s v="Vincent Ngwira"/>
    <s v="Rainbow_MCH"/>
    <s v="COE"/>
    <x v="1"/>
    <x v="2"/>
    <s v="COP_23"/>
    <s v="Quarter2"/>
    <x v="3"/>
    <s v="Qtr_3"/>
    <x v="7"/>
    <d v="2024-04-01T00:00:00"/>
    <d v="2024-04-30T00:00:00"/>
    <x v="2"/>
    <n v="18"/>
    <n v="4"/>
    <n v="11"/>
    <n v="1"/>
    <n v="6"/>
    <n v="0"/>
    <n v="18"/>
    <n v="6"/>
    <n v="8"/>
    <n v="0"/>
    <n v="0"/>
    <n v="0"/>
    <n v="0"/>
    <n v="0"/>
    <n v="0"/>
    <n v="0"/>
    <n v="0"/>
    <n v="0"/>
    <n v="7"/>
    <n v="6"/>
    <n v="0"/>
    <n v="0"/>
    <n v="0"/>
    <n v="0"/>
    <n v="3"/>
    <m/>
  </r>
  <r>
    <n v="90"/>
    <d v="2024-01-16T15:36:54"/>
    <d v="2024-01-16T15:39:11"/>
    <s v="vngwira@lighthouse.org.mw"/>
    <s v="Vincent Ngwira"/>
    <s v="Rainbow_MCH"/>
    <s v="COE"/>
    <x v="0"/>
    <x v="0"/>
    <s v="COP_23"/>
    <s v="Quarter4"/>
    <x v="0"/>
    <s v="Qtr_1"/>
    <x v="1"/>
    <d v="2023-11-01T00:00:00"/>
    <d v="2023-11-30T00:00:00"/>
    <x v="1"/>
    <n v="32"/>
    <n v="6"/>
    <n v="19"/>
    <n v="3"/>
    <n v="4"/>
    <n v="6"/>
    <n v="32"/>
    <n v="12"/>
    <n v="19"/>
    <n v="2"/>
    <n v="3"/>
    <n v="1"/>
    <n v="18"/>
    <n v="0"/>
    <n v="2"/>
    <n v="0"/>
    <n v="8"/>
    <n v="0"/>
    <n v="11"/>
    <n v="1"/>
    <n v="1"/>
    <n v="0"/>
    <n v="0"/>
    <n v="0"/>
    <n v="0"/>
    <m/>
  </r>
  <r>
    <n v="91"/>
    <d v="2024-01-16T15:39:14"/>
    <d v="2024-01-16T15:42:09"/>
    <s v="vngwira@lighthouse.org.mw"/>
    <s v="Vincent Ngwira"/>
    <s v="Rainbow_MCH"/>
    <s v="COE"/>
    <x v="0"/>
    <x v="0"/>
    <s v="COP_23"/>
    <s v="Quarter4"/>
    <x v="0"/>
    <s v="Qtr_1"/>
    <x v="11"/>
    <d v="2023-12-01T00:00:00"/>
    <d v="2023-12-31T00:00:00"/>
    <x v="1"/>
    <n v="40"/>
    <n v="12"/>
    <n v="19"/>
    <n v="0"/>
    <n v="13"/>
    <n v="8"/>
    <n v="40"/>
    <n v="23"/>
    <n v="27"/>
    <n v="1"/>
    <n v="1"/>
    <n v="1"/>
    <n v="23"/>
    <n v="4"/>
    <n v="6"/>
    <n v="0"/>
    <n v="9"/>
    <n v="5"/>
    <n v="12"/>
    <n v="3"/>
    <n v="14"/>
    <n v="1"/>
    <n v="0"/>
    <n v="1"/>
    <n v="4"/>
    <m/>
  </r>
  <r>
    <n v="144"/>
    <d v="2024-02-06T14:59:12"/>
    <d v="2024-02-06T15:02:26"/>
    <s v="vngwira@lighthouse.org.mw"/>
    <s v="Vincent Ngwira"/>
    <s v="Rainbow_MCH"/>
    <s v="COE"/>
    <x v="1"/>
    <x v="0"/>
    <s v="COP_23"/>
    <s v="Quarter1"/>
    <x v="2"/>
    <s v="Qtr_2"/>
    <x v="4"/>
    <d v="2024-01-01T00:00:00"/>
    <d v="2024-01-31T00:00:00"/>
    <x v="1"/>
    <n v="57"/>
    <n v="15"/>
    <n v="37"/>
    <n v="0"/>
    <n v="10"/>
    <n v="10"/>
    <n v="54"/>
    <n v="28"/>
    <n v="34"/>
    <n v="1"/>
    <n v="1"/>
    <n v="1"/>
    <n v="33"/>
    <n v="3"/>
    <n v="0"/>
    <n v="0"/>
    <n v="3"/>
    <n v="1"/>
    <n v="7"/>
    <n v="3"/>
    <n v="8"/>
    <n v="1"/>
    <n v="0"/>
    <n v="1"/>
    <n v="2"/>
    <m/>
  </r>
  <r>
    <n v="519"/>
    <d v="2024-06-07T10:56:05"/>
    <d v="2024-06-07T10:58:05"/>
    <s v="vngwira@lighthouse.org.mw"/>
    <s v="Vincent Ngwira"/>
    <s v="Rainbow_MCH"/>
    <s v="COE"/>
    <x v="1"/>
    <x v="2"/>
    <s v="COP_23"/>
    <s v="Quarter2"/>
    <x v="3"/>
    <s v="Qtr_3"/>
    <x v="6"/>
    <d v="2024-05-01T00:00:00"/>
    <d v="2024-05-31T00:00:00"/>
    <x v="2"/>
    <n v="33"/>
    <n v="7"/>
    <n v="16"/>
    <n v="4"/>
    <n v="11"/>
    <n v="2"/>
    <n v="31"/>
    <n v="11"/>
    <n v="17"/>
    <n v="0"/>
    <n v="0"/>
    <n v="0"/>
    <n v="0"/>
    <n v="0"/>
    <n v="1"/>
    <n v="0"/>
    <n v="2"/>
    <n v="1"/>
    <n v="9"/>
    <n v="7"/>
    <n v="2"/>
    <n v="0"/>
    <n v="0"/>
    <n v="0"/>
    <n v="0"/>
    <m/>
  </r>
  <r>
    <n v="175"/>
    <d v="2024-03-20T07:58:17"/>
    <d v="2024-03-20T08:03:38"/>
    <s v="vngwira@lighthouse.org.mw"/>
    <s v="Vincent Ngwira"/>
    <s v="Rainbow_MCH"/>
    <s v="COE"/>
    <x v="1"/>
    <x v="0"/>
    <s v="COP_23"/>
    <s v="Quarter1"/>
    <x v="2"/>
    <s v="Qtr_2"/>
    <x v="5"/>
    <d v="2024-02-01T00:00:00"/>
    <d v="2024-02-29T00:00:00"/>
    <x v="1"/>
    <n v="51"/>
    <n v="15"/>
    <n v="29"/>
    <n v="1"/>
    <n v="15"/>
    <n v="6"/>
    <n v="49"/>
    <n v="19"/>
    <n v="32"/>
    <n v="2"/>
    <n v="2"/>
    <n v="1"/>
    <n v="32"/>
    <n v="6"/>
    <n v="1"/>
    <n v="0"/>
    <n v="2"/>
    <n v="1"/>
    <n v="11"/>
    <n v="9"/>
    <n v="6"/>
    <n v="0"/>
    <n v="1"/>
    <n v="1"/>
    <n v="0"/>
    <m/>
  </r>
  <r>
    <n v="240"/>
    <d v="2024-04-12T09:20:25"/>
    <d v="2024-04-12T09:22:44"/>
    <s v="vngwira@lighthouse.org.mw"/>
    <s v="Vincent Ngwira"/>
    <s v="Rainbow_MCH"/>
    <s v="COE"/>
    <x v="1"/>
    <x v="0"/>
    <s v="COP_23"/>
    <s v="Quarter1"/>
    <x v="2"/>
    <s v="Qtr_2"/>
    <x v="3"/>
    <d v="2024-03-01T00:00:00"/>
    <d v="2024-03-31T00:00:00"/>
    <x v="1"/>
    <n v="37"/>
    <n v="7"/>
    <n v="19"/>
    <n v="5"/>
    <n v="12"/>
    <n v="1"/>
    <n v="37"/>
    <n v="17"/>
    <n v="21"/>
    <n v="0"/>
    <n v="1"/>
    <n v="1"/>
    <n v="20"/>
    <n v="5"/>
    <n v="0"/>
    <n v="0"/>
    <n v="3"/>
    <n v="1"/>
    <n v="6"/>
    <n v="6"/>
    <n v="5"/>
    <n v="0"/>
    <n v="0"/>
    <n v="0"/>
    <n v="1"/>
    <m/>
  </r>
  <r>
    <n v="657"/>
    <d v="2024-07-26T20:08:45"/>
    <d v="2024-07-26T20:24:50"/>
    <s v="vngwira@lighthouse.org.mw"/>
    <s v="Vincent Ngwira"/>
    <s v="Rainbow_MCH"/>
    <s v="COE"/>
    <x v="1"/>
    <x v="2"/>
    <s v="COP_23"/>
    <s v="Quarter2"/>
    <x v="3"/>
    <s v="Qtr_3"/>
    <x v="8"/>
    <d v="2024-06-01T00:00:00"/>
    <d v="2024-06-30T00:00:00"/>
    <x v="2"/>
    <n v="23"/>
    <n v="0"/>
    <n v="21"/>
    <n v="0"/>
    <n v="0"/>
    <n v="2"/>
    <n v="23"/>
    <n v="7"/>
    <n v="7"/>
    <n v="1"/>
    <n v="1"/>
    <n v="1"/>
    <n v="0"/>
    <n v="0"/>
    <n v="0"/>
    <n v="0"/>
    <n v="0"/>
    <n v="0"/>
    <n v="7"/>
    <n v="6"/>
    <n v="1"/>
    <n v="1"/>
    <n v="0"/>
    <n v="0"/>
    <n v="2"/>
    <m/>
  </r>
  <r>
    <n v="782"/>
    <d v="2024-08-20T10:11:57"/>
    <d v="2024-08-20T10:15:08"/>
    <s v="vngwira@lighthouse.org.mw"/>
    <s v="Vincent Ngwira"/>
    <s v="Rainbow_MCH"/>
    <s v="COE"/>
    <x v="1"/>
    <x v="0"/>
    <s v="COP_23"/>
    <s v="Quarter3"/>
    <x v="1"/>
    <s v="Qtr_4"/>
    <x v="9"/>
    <d v="2024-07-01T00:00:00"/>
    <d v="2024-07-31T00:00:00"/>
    <x v="2"/>
    <n v="29"/>
    <n v="4"/>
    <n v="23"/>
    <n v="0"/>
    <n v="4"/>
    <n v="2"/>
    <n v="29"/>
    <n v="8"/>
    <n v="12"/>
    <n v="0"/>
    <n v="0"/>
    <n v="0"/>
    <n v="0"/>
    <n v="0"/>
    <n v="1"/>
    <n v="1"/>
    <n v="1"/>
    <n v="0"/>
    <n v="7"/>
    <n v="1"/>
    <n v="1"/>
    <n v="0"/>
    <n v="0"/>
    <n v="0"/>
    <n v="9"/>
    <m/>
  </r>
  <r>
    <n v="452"/>
    <d v="2024-05-21T13:37:19"/>
    <d v="2024-05-21T13:43:29"/>
    <s v="vngwira@lighthouse.org.mw"/>
    <s v="Vincent Ngwira"/>
    <s v="Rainbow_MCH"/>
    <s v="COE"/>
    <x v="1"/>
    <x v="2"/>
    <s v="COP_23"/>
    <s v="Quarter2"/>
    <x v="3"/>
    <s v="Qtr_3"/>
    <x v="7"/>
    <d v="2024-04-01T00:00:00"/>
    <d v="2024-04-30T00:00:00"/>
    <x v="1"/>
    <n v="54"/>
    <n v="14"/>
    <n v="31"/>
    <n v="1"/>
    <n v="14"/>
    <n v="8"/>
    <n v="53"/>
    <n v="27"/>
    <n v="33"/>
    <n v="0"/>
    <n v="0"/>
    <n v="0"/>
    <n v="15"/>
    <n v="3"/>
    <n v="3"/>
    <n v="0"/>
    <n v="2"/>
    <n v="1"/>
    <n v="16"/>
    <n v="0"/>
    <n v="3"/>
    <n v="0"/>
    <n v="0"/>
    <n v="1"/>
    <n v="5"/>
    <m/>
  </r>
  <r>
    <n v="653"/>
    <d v="2024-07-26T19:55:39"/>
    <d v="2024-07-26T19:56:06"/>
    <s v="vngwira@lighthouse.org.mw"/>
    <s v="Vincent Ngwira"/>
    <s v="Rainbow_MCH"/>
    <s v="COE"/>
    <x v="1"/>
    <x v="2"/>
    <s v="COP_23"/>
    <s v="Quarter2"/>
    <x v="3"/>
    <s v="Qtr_3"/>
    <x v="6"/>
    <d v="2024-05-01T00:00:00"/>
    <d v="2024-05-31T00:00:00"/>
    <x v="1"/>
    <n v="46"/>
    <n v="8"/>
    <n v="14"/>
    <n v="7"/>
    <n v="19"/>
    <n v="6"/>
    <n v="46"/>
    <n v="28"/>
    <n v="42"/>
    <n v="1"/>
    <n v="1"/>
    <n v="1"/>
    <n v="0"/>
    <n v="0"/>
    <n v="5"/>
    <n v="0"/>
    <n v="1"/>
    <n v="1"/>
    <n v="24"/>
    <n v="1"/>
    <n v="1"/>
    <n v="1"/>
    <n v="0"/>
    <n v="1"/>
    <n v="2"/>
    <m/>
  </r>
  <r>
    <n v="811"/>
    <d v="2024-09-16T09:12:05"/>
    <d v="2024-09-16T09:14:32"/>
    <s v="vngwira@lighthouse.org.mw"/>
    <s v="Vincent Ngwira"/>
    <s v="Rainbow_MCH"/>
    <s v="COE"/>
    <x v="1"/>
    <x v="0"/>
    <s v="COP_23"/>
    <s v="Quarter3"/>
    <x v="1"/>
    <s v="Qtr_4"/>
    <x v="10"/>
    <d v="2024-08-01T00:00:00"/>
    <d v="2024-08-31T00:00:00"/>
    <x v="2"/>
    <n v="28"/>
    <n v="7"/>
    <n v="19"/>
    <n v="0"/>
    <n v="4"/>
    <n v="5"/>
    <n v="26"/>
    <n v="9"/>
    <n v="16"/>
    <n v="1"/>
    <n v="1"/>
    <n v="0"/>
    <n v="6"/>
    <n v="1"/>
    <n v="0"/>
    <n v="0"/>
    <n v="1"/>
    <n v="0"/>
    <n v="12"/>
    <n v="5"/>
    <n v="3"/>
    <n v="0"/>
    <n v="0"/>
    <n v="0"/>
    <n v="12"/>
    <m/>
  </r>
  <r>
    <n v="959"/>
    <d v="2024-10-18T12:41:21"/>
    <d v="2024-10-18T12:45:14"/>
    <s v="vngwira@lighthouse.org.mw"/>
    <s v="Vincent Ngwira"/>
    <s v="Rainbow_MCH"/>
    <s v="COE"/>
    <x v="1"/>
    <x v="0"/>
    <s v="COP_23"/>
    <s v="Quarter3"/>
    <x v="1"/>
    <s v="Qtr_4"/>
    <x v="2"/>
    <d v="2024-09-01T00:00:00"/>
    <d v="2024-09-30T00:00:00"/>
    <x v="2"/>
    <n v="28"/>
    <n v="4"/>
    <n v="23"/>
    <n v="0"/>
    <n v="2"/>
    <n v="3"/>
    <n v="28"/>
    <n v="6"/>
    <n v="7"/>
    <n v="0"/>
    <n v="1"/>
    <n v="0"/>
    <n v="7"/>
    <n v="1"/>
    <n v="0"/>
    <n v="0"/>
    <n v="2"/>
    <n v="1"/>
    <n v="4"/>
    <n v="2"/>
    <n v="3"/>
    <n v="0"/>
    <n v="0"/>
    <n v="0"/>
    <n v="4"/>
    <m/>
  </r>
  <r>
    <n v="658"/>
    <d v="2024-07-26T20:24:56"/>
    <d v="2024-07-26T20:30:18"/>
    <s v="vngwira@lighthouse.org.mw"/>
    <s v="Vincent Ngwira"/>
    <s v="Rainbow_MCH"/>
    <s v="COE"/>
    <x v="1"/>
    <x v="2"/>
    <s v="COP_23"/>
    <s v="Quarter2"/>
    <x v="3"/>
    <s v="Qtr_3"/>
    <x v="8"/>
    <d v="2024-06-01T00:00:00"/>
    <d v="2024-06-30T00:00:00"/>
    <x v="1"/>
    <n v="39"/>
    <n v="5"/>
    <n v="32"/>
    <n v="1"/>
    <n v="4"/>
    <n v="2"/>
    <n v="36"/>
    <n v="11"/>
    <n v="15"/>
    <n v="0"/>
    <n v="0"/>
    <n v="0"/>
    <n v="0"/>
    <n v="0"/>
    <n v="1"/>
    <n v="1"/>
    <n v="2"/>
    <n v="1"/>
    <n v="15"/>
    <n v="14"/>
    <n v="3"/>
    <n v="0"/>
    <n v="0"/>
    <n v="0"/>
    <n v="2"/>
    <m/>
  </r>
  <r>
    <n v="1071"/>
    <d v="2024-11-15T10:39:59"/>
    <d v="2024-11-15T10:42:04"/>
    <s v="vngwira@lighthouse.org.mw"/>
    <s v="Vincent Ngwira"/>
    <s v="Rainbow_MCH"/>
    <s v="COE"/>
    <x v="1"/>
    <x v="2"/>
    <s v="COP_24"/>
    <s v="Quarter4"/>
    <x v="0"/>
    <s v="Qtr_1"/>
    <x v="0"/>
    <d v="2024-10-01T00:00:00"/>
    <d v="2024-10-31T00:00:00"/>
    <x v="2"/>
    <n v="38"/>
    <n v="7"/>
    <n v="25"/>
    <n v="1"/>
    <n v="12"/>
    <n v="0"/>
    <n v="38"/>
    <n v="15"/>
    <n v="19"/>
    <n v="1"/>
    <n v="1"/>
    <n v="0"/>
    <n v="17"/>
    <n v="1"/>
    <n v="3"/>
    <n v="0"/>
    <n v="8"/>
    <n v="0"/>
    <n v="15"/>
    <n v="2"/>
    <n v="2"/>
    <n v="0"/>
    <n v="1"/>
    <n v="0"/>
    <n v="12"/>
    <m/>
  </r>
  <r>
    <n v="781"/>
    <d v="2024-08-20T10:10:23"/>
    <d v="2024-08-20T10:11:35"/>
    <s v="vngwira@lighthouse.org.mw"/>
    <s v="Vincent Ngwira"/>
    <s v="Rainbow_MCH"/>
    <s v="COE"/>
    <x v="1"/>
    <x v="0"/>
    <s v="COP_23"/>
    <s v="Quarter3"/>
    <x v="1"/>
    <s v="Qtr_4"/>
    <x v="9"/>
    <d v="2024-07-01T00:00:00"/>
    <d v="2024-07-31T00:00:00"/>
    <x v="1"/>
    <n v="31"/>
    <n v="4"/>
    <n v="20"/>
    <n v="2"/>
    <n v="8"/>
    <n v="1"/>
    <n v="31"/>
    <n v="8"/>
    <n v="31"/>
    <n v="1"/>
    <n v="1"/>
    <n v="1"/>
    <n v="0"/>
    <n v="0"/>
    <n v="5"/>
    <n v="0"/>
    <n v="1"/>
    <n v="1"/>
    <n v="9"/>
    <n v="1"/>
    <n v="1"/>
    <n v="1"/>
    <n v="0"/>
    <n v="1"/>
    <n v="6"/>
    <m/>
  </r>
  <r>
    <n v="809"/>
    <d v="2024-09-16T09:04:41"/>
    <d v="2024-09-16T09:07:29"/>
    <s v="vngwira@lighthouse.org.mw"/>
    <s v="Vincent Ngwira"/>
    <s v="Rainbow_MCH"/>
    <s v="COE"/>
    <x v="1"/>
    <x v="0"/>
    <s v="COP_23"/>
    <s v="Quarter3"/>
    <x v="1"/>
    <s v="Qtr_4"/>
    <x v="10"/>
    <d v="2024-08-01T00:00:00"/>
    <d v="2024-08-31T00:00:00"/>
    <x v="1"/>
    <n v="37"/>
    <n v="15"/>
    <n v="17"/>
    <n v="1"/>
    <n v="12"/>
    <n v="7"/>
    <n v="34"/>
    <n v="15"/>
    <n v="26"/>
    <n v="1"/>
    <n v="2"/>
    <n v="0"/>
    <n v="3"/>
    <n v="0"/>
    <n v="0"/>
    <n v="0"/>
    <n v="2"/>
    <n v="0"/>
    <n v="20"/>
    <n v="4"/>
    <n v="5"/>
    <n v="0"/>
    <n v="0"/>
    <n v="0"/>
    <n v="16"/>
    <m/>
  </r>
  <r>
    <n v="957"/>
    <d v="2024-10-18T12:34:09"/>
    <d v="2024-10-18T12:37:33"/>
    <s v="vngwira@lighthouse.org.mw"/>
    <s v="Vincent Ngwira"/>
    <s v="Rainbow_MCH"/>
    <s v="COE"/>
    <x v="1"/>
    <x v="0"/>
    <s v="COP_23"/>
    <s v="Quarter3"/>
    <x v="1"/>
    <s v="Qtr_4"/>
    <x v="2"/>
    <d v="2024-09-01T00:00:00"/>
    <d v="2024-09-30T00:00:00"/>
    <x v="1"/>
    <n v="29"/>
    <n v="6"/>
    <n v="20"/>
    <n v="1"/>
    <n v="5"/>
    <n v="3"/>
    <n v="29"/>
    <n v="14"/>
    <n v="22"/>
    <n v="0"/>
    <n v="2"/>
    <n v="0"/>
    <n v="19"/>
    <n v="3"/>
    <n v="0"/>
    <n v="0"/>
    <n v="4"/>
    <n v="3"/>
    <n v="6"/>
    <n v="4"/>
    <n v="5"/>
    <n v="0"/>
    <n v="0"/>
    <n v="0"/>
    <n v="3"/>
    <m/>
  </r>
  <r>
    <n v="956"/>
    <d v="2024-10-18T12:30:45"/>
    <d v="2024-10-18T12:34:04"/>
    <s v="vngwira@lighthouse.org.mw"/>
    <s v="Vincent Ngwira"/>
    <s v="Rainbow_MCH"/>
    <s v="COE"/>
    <x v="1"/>
    <x v="0"/>
    <s v="COP_23"/>
    <s v="Quarter3"/>
    <x v="1"/>
    <s v="Qtr_4"/>
    <x v="2"/>
    <d v="2024-09-01T00:00:00"/>
    <d v="2024-09-30T00:00:00"/>
    <x v="5"/>
    <n v="30"/>
    <n v="0"/>
    <n v="29"/>
    <n v="0"/>
    <n v="1"/>
    <n v="0"/>
    <n v="28"/>
    <n v="7"/>
    <n v="14"/>
    <n v="0"/>
    <n v="0"/>
    <n v="0"/>
    <n v="11"/>
    <n v="0"/>
    <n v="0"/>
    <n v="0"/>
    <n v="0"/>
    <n v="0"/>
    <n v="5"/>
    <n v="0"/>
    <n v="0"/>
    <n v="0"/>
    <n v="0"/>
    <n v="0"/>
    <n v="10"/>
    <m/>
  </r>
  <r>
    <n v="958"/>
    <d v="2024-10-18T12:37:37"/>
    <d v="2024-10-18T12:41:18"/>
    <s v="vngwira@lighthouse.org.mw"/>
    <s v="Vincent Ngwira"/>
    <s v="Rainbow_MCH"/>
    <s v="COE"/>
    <x v="1"/>
    <x v="0"/>
    <s v="COP_23"/>
    <s v="Quarter3"/>
    <x v="1"/>
    <s v="Qtr_4"/>
    <x v="2"/>
    <d v="2024-09-01T00:00:00"/>
    <d v="2024-09-30T00:00:00"/>
    <x v="6"/>
    <n v="34"/>
    <n v="32"/>
    <n v="0"/>
    <n v="0"/>
    <n v="17"/>
    <n v="17"/>
    <n v="32"/>
    <n v="15"/>
    <n v="32"/>
    <n v="0"/>
    <n v="4"/>
    <n v="0"/>
    <n v="31"/>
    <n v="9"/>
    <n v="1"/>
    <n v="0"/>
    <n v="10"/>
    <n v="6"/>
    <n v="12"/>
    <n v="7"/>
    <n v="11"/>
    <n v="0"/>
    <n v="0"/>
    <n v="0"/>
    <n v="23"/>
    <m/>
  </r>
  <r>
    <n v="960"/>
    <d v="2024-10-18T12:45:17"/>
    <d v="2024-10-18T12:49:05"/>
    <s v="vngwira@lighthouse.org.mw"/>
    <s v="Vincent Ngwira"/>
    <s v="Rainbow_MCH"/>
    <s v="COE"/>
    <x v="1"/>
    <x v="0"/>
    <s v="COP_23"/>
    <s v="Quarter3"/>
    <x v="1"/>
    <s v="Qtr_4"/>
    <x v="2"/>
    <d v="2024-09-01T00:00:00"/>
    <d v="2024-09-30T00:00:00"/>
    <x v="3"/>
    <n v="4"/>
    <n v="1"/>
    <n v="4"/>
    <n v="0"/>
    <n v="0"/>
    <n v="0"/>
    <n v="0"/>
    <n v="0"/>
    <n v="4"/>
    <n v="0"/>
    <n v="0"/>
    <n v="0"/>
    <n v="0"/>
    <n v="0"/>
    <n v="0"/>
    <n v="0"/>
    <n v="0"/>
    <n v="0"/>
    <n v="0"/>
    <n v="0"/>
    <n v="0"/>
    <n v="0"/>
    <n v="0"/>
    <n v="0"/>
    <n v="0"/>
    <m/>
  </r>
  <r>
    <n v="961"/>
    <d v="2024-10-18T12:49:08"/>
    <d v="2024-10-18T12:52:50"/>
    <s v="vngwira@lighthouse.org.mw"/>
    <s v="Vincent Ngwira"/>
    <s v="Rainbow_MCH"/>
    <s v="COE"/>
    <x v="1"/>
    <x v="0"/>
    <s v="COP_23"/>
    <s v="Quarter3"/>
    <x v="1"/>
    <s v="Qtr_4"/>
    <x v="2"/>
    <d v="2024-09-01T00:00:00"/>
    <d v="2024-09-30T00:00:00"/>
    <x v="4"/>
    <n v="3"/>
    <n v="0"/>
    <n v="2"/>
    <n v="0"/>
    <n v="1"/>
    <n v="0"/>
    <n v="3"/>
    <n v="0"/>
    <n v="1"/>
    <n v="0"/>
    <n v="0"/>
    <n v="0"/>
    <n v="1"/>
    <n v="0"/>
    <n v="0"/>
    <n v="0"/>
    <n v="0"/>
    <n v="0"/>
    <n v="0"/>
    <n v="0"/>
    <n v="0"/>
    <n v="0"/>
    <n v="0"/>
    <n v="0"/>
    <n v="1"/>
    <m/>
  </r>
  <r>
    <n v="962"/>
    <d v="2024-10-18T12:54:20"/>
    <d v="2024-10-18T13:02:03"/>
    <s v="vngwira@lighthouse.org.mw"/>
    <s v="Vincent Ngwira"/>
    <s v="Rainbow_MCH"/>
    <s v="COE"/>
    <x v="1"/>
    <x v="0"/>
    <s v="COP_23"/>
    <s v="Quarter3"/>
    <x v="1"/>
    <s v="Qtr_4"/>
    <x v="2"/>
    <d v="2024-09-01T00:00:00"/>
    <d v="2024-09-30T00:00:00"/>
    <x v="0"/>
    <n v="130"/>
    <n v="39"/>
    <n v="73"/>
    <n v="0"/>
    <n v="36"/>
    <n v="21"/>
    <n v="123"/>
    <n v="37"/>
    <n v="75"/>
    <n v="0"/>
    <n v="5"/>
    <n v="0"/>
    <n v="60"/>
    <n v="11"/>
    <n v="1"/>
    <n v="0"/>
    <n v="11"/>
    <n v="4"/>
    <n v="36"/>
    <n v="10"/>
    <n v="14"/>
    <n v="0"/>
    <n v="0"/>
    <n v="0"/>
    <n v="54"/>
    <m/>
  </r>
  <r>
    <n v="1067"/>
    <d v="2024-11-15T10:26:24"/>
    <d v="2024-11-15T10:30:29"/>
    <s v="vngwira@lighthouse.org.mw"/>
    <s v="Vincent Ngwira"/>
    <s v="Rainbow_MCH"/>
    <s v="COE"/>
    <x v="1"/>
    <x v="2"/>
    <s v="COP_24"/>
    <s v="Quarter4"/>
    <x v="0"/>
    <s v="Qtr_1"/>
    <x v="0"/>
    <d v="2024-10-01T00:00:00"/>
    <d v="2024-10-31T00:00:00"/>
    <x v="0"/>
    <n v="181"/>
    <n v="68"/>
    <n v="74"/>
    <n v="2"/>
    <n v="90"/>
    <n v="15"/>
    <n v="181"/>
    <n v="61"/>
    <n v="130"/>
    <n v="3"/>
    <n v="7"/>
    <n v="3"/>
    <n v="129"/>
    <n v="14"/>
    <n v="9"/>
    <n v="1"/>
    <n v="27"/>
    <n v="4"/>
    <n v="75"/>
    <n v="9"/>
    <n v="19"/>
    <n v="3"/>
    <n v="1"/>
    <n v="0"/>
    <n v="103"/>
    <m/>
  </r>
  <r>
    <n v="1068"/>
    <d v="2024-11-15T10:30:55"/>
    <d v="2024-11-15T10:35:12"/>
    <s v="vngwira@lighthouse.org.mw"/>
    <s v="Vincent Ngwira"/>
    <s v="Rainbow_MCH"/>
    <s v="COE"/>
    <x v="1"/>
    <x v="2"/>
    <s v="COP_24"/>
    <s v="Quarter4"/>
    <x v="0"/>
    <s v="Qtr_1"/>
    <x v="0"/>
    <d v="2024-10-01T00:00:00"/>
    <d v="2024-10-31T00:00:00"/>
    <x v="3"/>
    <n v="3"/>
    <n v="1"/>
    <n v="2"/>
    <n v="0"/>
    <n v="1"/>
    <n v="0"/>
    <n v="0"/>
    <n v="0"/>
    <n v="3"/>
    <n v="0"/>
    <n v="0"/>
    <n v="0"/>
    <n v="3"/>
    <n v="0"/>
    <n v="0"/>
    <n v="0"/>
    <n v="1"/>
    <n v="1"/>
    <n v="3"/>
    <n v="0"/>
    <n v="0"/>
    <n v="0"/>
    <n v="0"/>
    <n v="0"/>
    <n v="1"/>
    <m/>
  </r>
  <r>
    <n v="1069"/>
    <d v="2024-11-15T10:35:14"/>
    <d v="2024-11-15T10:36:54"/>
    <s v="vngwira@lighthouse.org.mw"/>
    <s v="Vincent Ngwira"/>
    <s v="Rainbow_MCH"/>
    <s v="COE"/>
    <x v="1"/>
    <x v="2"/>
    <s v="COP_24"/>
    <s v="Quarter4"/>
    <x v="0"/>
    <s v="Qtr_1"/>
    <x v="0"/>
    <d v="2024-10-01T00:00:00"/>
    <d v="2024-10-31T00:00:00"/>
    <x v="4"/>
    <n v="6"/>
    <n v="1"/>
    <n v="2"/>
    <n v="0"/>
    <n v="3"/>
    <n v="1"/>
    <n v="6"/>
    <n v="2"/>
    <n v="5"/>
    <n v="0"/>
    <n v="0"/>
    <n v="0"/>
    <n v="5"/>
    <n v="1"/>
    <n v="0"/>
    <n v="0"/>
    <n v="0"/>
    <n v="0"/>
    <n v="5"/>
    <n v="1"/>
    <n v="2"/>
    <n v="0"/>
    <n v="0"/>
    <n v="0"/>
    <n v="3"/>
    <m/>
  </r>
  <r>
    <n v="1070"/>
    <d v="2024-11-15T10:36:56"/>
    <d v="2024-11-15T10:39:56"/>
    <s v="vngwira@lighthouse.org.mw"/>
    <s v="Vincent Ngwira"/>
    <s v="Rainbow_MCH"/>
    <s v="COE"/>
    <x v="1"/>
    <x v="2"/>
    <s v="COP_24"/>
    <s v="Quarter4"/>
    <x v="0"/>
    <s v="Qtr_1"/>
    <x v="0"/>
    <d v="2024-10-01T00:00:00"/>
    <d v="2024-10-31T00:00:00"/>
    <x v="6"/>
    <n v="66"/>
    <n v="60"/>
    <n v="0"/>
    <n v="0"/>
    <n v="55"/>
    <n v="11"/>
    <n v="66"/>
    <n v="25"/>
    <n v="66"/>
    <n v="2"/>
    <n v="5"/>
    <n v="3"/>
    <n v="66"/>
    <n v="10"/>
    <n v="1"/>
    <n v="0"/>
    <n v="6"/>
    <n v="2"/>
    <n v="31"/>
    <n v="7"/>
    <n v="14"/>
    <n v="3"/>
    <n v="0"/>
    <n v="0"/>
    <n v="49"/>
    <m/>
  </r>
  <r>
    <n v="1072"/>
    <d v="2024-11-15T10:42:34"/>
    <d v="2024-11-15T10:44:06"/>
    <s v="vngwira@lighthouse.org.mw"/>
    <s v="Vincent Ngwira"/>
    <s v="Rainbow_MCH"/>
    <s v="COE"/>
    <x v="1"/>
    <x v="2"/>
    <s v="COP_24"/>
    <s v="Quarter4"/>
    <x v="0"/>
    <s v="Qtr_1"/>
    <x v="0"/>
    <d v="2024-10-01T00:00:00"/>
    <d v="2024-10-31T00:00:00"/>
    <x v="5"/>
    <n v="21"/>
    <n v="1"/>
    <n v="19"/>
    <n v="0"/>
    <n v="2"/>
    <n v="0"/>
    <n v="21"/>
    <n v="8"/>
    <n v="10"/>
    <n v="0"/>
    <n v="0"/>
    <n v="0"/>
    <n v="10"/>
    <n v="0"/>
    <n v="1"/>
    <n v="0"/>
    <n v="2"/>
    <n v="1"/>
    <n v="6"/>
    <n v="0"/>
    <n v="0"/>
    <n v="0"/>
    <n v="0"/>
    <n v="0"/>
    <n v="8"/>
    <m/>
  </r>
  <r>
    <n v="1088"/>
    <d v="2024-11-21T08:39:56"/>
    <d v="2024-11-21T08:44:30"/>
    <s v="vngwira@lighthouse.org.mw"/>
    <s v="Vincent Ngwira"/>
    <s v="Rainbow_MCH"/>
    <s v="COE"/>
    <x v="1"/>
    <x v="2"/>
    <s v="COP_24"/>
    <s v="Quarter4"/>
    <x v="0"/>
    <s v="Qtr_1"/>
    <x v="0"/>
    <d v="2024-10-01T00:00:00"/>
    <d v="2024-10-31T00:00:00"/>
    <x v="1"/>
    <n v="44"/>
    <n v="7"/>
    <n v="26"/>
    <n v="1"/>
    <n v="14"/>
    <n v="3"/>
    <n v="43"/>
    <n v="14"/>
    <n v="28"/>
    <n v="1"/>
    <n v="3"/>
    <n v="2"/>
    <n v="26"/>
    <n v="3"/>
    <n v="3"/>
    <n v="1"/>
    <n v="7"/>
    <n v="1"/>
    <n v="25"/>
    <n v="3"/>
    <n v="5"/>
    <n v="2"/>
    <n v="0"/>
    <n v="0"/>
    <n v="12"/>
    <m/>
  </r>
  <r>
    <n v="1156"/>
    <d v="2024-12-18T08:39:30"/>
    <d v="2024-12-18T08:45:45"/>
    <s v="vngwira@lighthouse.org.mw"/>
    <s v="Vincent Ngwira"/>
    <s v="Rainbow_MCH"/>
    <s v="COE"/>
    <x v="1"/>
    <x v="2"/>
    <s v="COP_24"/>
    <s v="Quarter4"/>
    <x v="0"/>
    <s v="Qtr_1"/>
    <x v="1"/>
    <d v="2024-11-01T00:00:00"/>
    <d v="2024-11-30T00:00:00"/>
    <x v="0"/>
    <n v="147"/>
    <n v="56"/>
    <n v="65"/>
    <n v="2"/>
    <n v="72"/>
    <n v="8"/>
    <n v="142"/>
    <n v="45"/>
    <n v="91"/>
    <n v="0"/>
    <n v="4"/>
    <n v="0"/>
    <n v="85"/>
    <n v="6"/>
    <n v="10"/>
    <n v="1"/>
    <n v="17"/>
    <n v="4"/>
    <n v="52"/>
    <n v="7"/>
    <n v="9"/>
    <n v="0"/>
    <n v="0"/>
    <n v="0"/>
    <n v="85"/>
    <m/>
  </r>
  <r>
    <n v="1157"/>
    <d v="2024-12-18T08:45:50"/>
    <d v="2024-12-18T08:49:37"/>
    <s v="vngwira@lighthouse.org.mw"/>
    <s v="Vincent Ngwira"/>
    <s v="Rainbow_MCH"/>
    <s v="COE"/>
    <x v="1"/>
    <x v="2"/>
    <s v="COP_24"/>
    <s v="Quarter4"/>
    <x v="0"/>
    <s v="Qtr_1"/>
    <x v="1"/>
    <d v="2024-11-01T00:00:00"/>
    <d v="2024-11-30T00:00:00"/>
    <x v="1"/>
    <n v="33"/>
    <n v="3"/>
    <n v="22"/>
    <n v="1"/>
    <n v="8"/>
    <n v="2"/>
    <n v="32"/>
    <n v="5"/>
    <n v="15"/>
    <n v="0"/>
    <n v="4"/>
    <n v="0"/>
    <n v="13"/>
    <n v="0"/>
    <n v="1"/>
    <n v="0"/>
    <n v="2"/>
    <n v="0"/>
    <n v="8"/>
    <n v="7"/>
    <n v="0"/>
    <n v="0"/>
    <n v="0"/>
    <n v="0"/>
    <n v="13"/>
    <m/>
  </r>
  <r>
    <n v="1158"/>
    <d v="2024-12-18T08:49:48"/>
    <d v="2024-12-18T08:51:26"/>
    <s v="vngwira@lighthouse.org.mw"/>
    <s v="Vincent Ngwira"/>
    <s v="Rainbow_MCH"/>
    <s v="COE"/>
    <x v="1"/>
    <x v="2"/>
    <s v="COP_24"/>
    <s v="Quarter4"/>
    <x v="0"/>
    <s v="Qtr_1"/>
    <x v="1"/>
    <d v="2024-11-01T00:00:00"/>
    <d v="2024-11-30T00:00:00"/>
    <x v="3"/>
    <n v="1"/>
    <n v="1"/>
    <n v="0"/>
    <n v="0"/>
    <n v="0"/>
    <n v="1"/>
    <n v="0"/>
    <n v="0"/>
    <n v="1"/>
    <n v="0"/>
    <n v="0"/>
    <n v="0"/>
    <n v="1"/>
    <n v="0"/>
    <n v="0"/>
    <n v="0"/>
    <n v="0"/>
    <n v="0"/>
    <n v="1"/>
    <n v="1"/>
    <n v="1"/>
    <n v="0"/>
    <n v="0"/>
    <n v="0"/>
    <n v="0"/>
    <m/>
  </r>
  <r>
    <n v="1159"/>
    <d v="2024-12-18T08:51:28"/>
    <d v="2024-12-18T08:53:11"/>
    <s v="vngwira@lighthouse.org.mw"/>
    <s v="Vincent Ngwira"/>
    <s v="Rainbow_MCH"/>
    <s v="COE"/>
    <x v="1"/>
    <x v="2"/>
    <s v="COP_24"/>
    <s v="Quarter4"/>
    <x v="0"/>
    <s v="Qtr_1"/>
    <x v="1"/>
    <d v="2024-11-01T00:00:00"/>
    <d v="2024-11-30T00:00:00"/>
    <x v="4"/>
    <n v="2"/>
    <n v="0"/>
    <n v="1"/>
    <n v="0"/>
    <n v="1"/>
    <n v="0"/>
    <n v="2"/>
    <n v="0"/>
    <n v="1"/>
    <n v="0"/>
    <n v="0"/>
    <n v="0"/>
    <n v="1"/>
    <n v="0"/>
    <n v="0"/>
    <n v="0"/>
    <n v="0"/>
    <n v="0"/>
    <n v="1"/>
    <n v="0"/>
    <n v="0"/>
    <n v="0"/>
    <n v="0"/>
    <n v="0"/>
    <n v="1"/>
    <m/>
  </r>
  <r>
    <n v="1160"/>
    <d v="2024-12-18T08:53:29"/>
    <d v="2024-12-18T08:55:19"/>
    <s v="vngwira@lighthouse.org.mw"/>
    <s v="Vincent Ngwira"/>
    <s v="Rainbow_MCH"/>
    <s v="COE"/>
    <x v="1"/>
    <x v="2"/>
    <s v="COP_24"/>
    <s v="Quarter4"/>
    <x v="0"/>
    <s v="Qtr_1"/>
    <x v="1"/>
    <d v="2024-11-01T00:00:00"/>
    <d v="2024-11-30T00:00:00"/>
    <x v="5"/>
    <n v="19"/>
    <n v="0"/>
    <n v="16"/>
    <n v="0"/>
    <n v="3"/>
    <n v="0"/>
    <n v="19"/>
    <n v="3"/>
    <n v="6"/>
    <n v="0"/>
    <n v="0"/>
    <n v="0"/>
    <n v="6"/>
    <n v="0"/>
    <n v="0"/>
    <n v="0"/>
    <n v="1"/>
    <n v="1"/>
    <n v="4"/>
    <n v="0"/>
    <n v="0"/>
    <n v="0"/>
    <n v="0"/>
    <n v="0"/>
    <n v="6"/>
    <m/>
  </r>
  <r>
    <n v="1161"/>
    <d v="2024-12-18T08:55:56"/>
    <d v="2024-12-18T08:58:52"/>
    <s v="vngwira@lighthouse.org.mw"/>
    <s v="Vincent Ngwira"/>
    <s v="Rainbow_MCH"/>
    <s v="COE"/>
    <x v="1"/>
    <x v="2"/>
    <s v="COP_24"/>
    <s v="Quarter4"/>
    <x v="0"/>
    <s v="Qtr_1"/>
    <x v="1"/>
    <d v="2024-11-01T00:00:00"/>
    <d v="2024-11-30T00:00:00"/>
    <x v="2"/>
    <n v="32"/>
    <n v="2"/>
    <n v="22"/>
    <n v="1"/>
    <n v="7"/>
    <n v="2"/>
    <n v="32"/>
    <n v="13"/>
    <n v="4"/>
    <n v="0"/>
    <n v="1"/>
    <n v="0"/>
    <n v="15"/>
    <n v="2"/>
    <n v="2"/>
    <n v="0"/>
    <n v="3"/>
    <n v="1"/>
    <n v="12"/>
    <n v="12"/>
    <n v="3"/>
    <n v="0"/>
    <n v="0"/>
    <n v="0"/>
    <n v="13"/>
    <m/>
  </r>
  <r>
    <n v="1162"/>
    <d v="2024-12-18T08:58:55"/>
    <d v="2024-12-18T09:01:53"/>
    <s v="vngwira@lighthouse.org.mw"/>
    <s v="Vincent Ngwira"/>
    <s v="Rainbow_MCH"/>
    <s v="COE"/>
    <x v="1"/>
    <x v="2"/>
    <s v="COP_24"/>
    <s v="Quarter4"/>
    <x v="0"/>
    <s v="Qtr_1"/>
    <x v="1"/>
    <d v="2024-11-01T00:00:00"/>
    <d v="2024-11-30T00:00:00"/>
    <x v="6"/>
    <n v="43"/>
    <n v="40"/>
    <n v="1"/>
    <n v="0"/>
    <n v="39"/>
    <n v="3"/>
    <n v="42"/>
    <n v="20"/>
    <n v="42"/>
    <n v="0"/>
    <n v="2"/>
    <n v="0"/>
    <n v="38"/>
    <n v="4"/>
    <n v="5"/>
    <n v="1"/>
    <n v="5"/>
    <n v="1"/>
    <n v="21"/>
    <n v="6"/>
    <n v="5"/>
    <n v="0"/>
    <n v="0"/>
    <n v="0"/>
    <n v="37"/>
    <m/>
  </r>
  <r>
    <n v="1306"/>
    <d v="2025-01-22T15:02:00"/>
    <d v="2025-01-22T15:08:13"/>
    <s v="vngwira@lighthouse.org.mw"/>
    <s v="Vincent Ngwira"/>
    <s v="Rainbow_MCH"/>
    <s v="COE"/>
    <x v="1"/>
    <x v="2"/>
    <s v="COP_24"/>
    <s v="Quarter4"/>
    <x v="0"/>
    <s v="Qtr_1"/>
    <x v="11"/>
    <d v="2024-12-01T00:00:00"/>
    <d v="2024-12-31T00:00:00"/>
    <x v="1"/>
    <n v="30"/>
    <n v="12"/>
    <n v="15"/>
    <n v="1"/>
    <n v="8"/>
    <n v="6"/>
    <n v="30"/>
    <n v="19"/>
    <n v="22"/>
    <n v="0"/>
    <n v="0"/>
    <n v="0"/>
    <n v="21"/>
    <n v="0"/>
    <n v="3"/>
    <n v="0"/>
    <n v="2"/>
    <n v="2"/>
    <n v="18"/>
    <n v="2"/>
    <n v="5"/>
    <n v="0"/>
    <n v="0"/>
    <n v="0"/>
    <n v="15"/>
    <m/>
  </r>
  <r>
    <n v="1307"/>
    <d v="2025-01-22T15:08:18"/>
    <d v="2025-01-22T15:10:19"/>
    <s v="vngwira@lighthouse.org.mw"/>
    <s v="Vincent Ngwira"/>
    <s v="Rainbow_MCH"/>
    <s v="COE"/>
    <x v="1"/>
    <x v="2"/>
    <s v="COP_24"/>
    <s v="Quarter4"/>
    <x v="0"/>
    <s v="Qtr_1"/>
    <x v="11"/>
    <d v="2024-12-01T00:00:00"/>
    <d v="2024-12-31T00:00:00"/>
    <x v="3"/>
    <n v="0"/>
    <n v="0"/>
    <n v="0"/>
    <n v="0"/>
    <n v="0"/>
    <n v="0"/>
    <n v="0"/>
    <n v="0"/>
    <n v="0"/>
    <n v="0"/>
    <n v="0"/>
    <n v="0"/>
    <n v="0"/>
    <n v="0"/>
    <n v="0"/>
    <n v="0"/>
    <n v="0"/>
    <n v="0"/>
    <n v="0"/>
    <n v="0"/>
    <n v="0"/>
    <n v="0"/>
    <n v="0"/>
    <n v="0"/>
    <n v="0"/>
    <m/>
  </r>
  <r>
    <n v="1308"/>
    <d v="2025-01-22T15:10:21"/>
    <d v="2025-01-22T15:17:45"/>
    <s v="vngwira@lighthouse.org.mw"/>
    <s v="Vincent Ngwira"/>
    <s v="Rainbow_MCH"/>
    <s v="COE"/>
    <x v="1"/>
    <x v="2"/>
    <s v="COP_24"/>
    <s v="Quarter4"/>
    <x v="0"/>
    <s v="Qtr_1"/>
    <x v="11"/>
    <d v="2024-12-01T00:00:00"/>
    <d v="2024-12-31T00:00:00"/>
    <x v="4"/>
    <n v="0"/>
    <n v="0"/>
    <n v="0"/>
    <n v="0"/>
    <n v="0"/>
    <n v="0"/>
    <n v="0"/>
    <n v="0"/>
    <n v="0"/>
    <n v="0"/>
    <n v="0"/>
    <n v="0"/>
    <n v="0"/>
    <n v="0"/>
    <n v="0"/>
    <n v="0"/>
    <n v="0"/>
    <n v="0"/>
    <n v="0"/>
    <n v="0"/>
    <n v="0"/>
    <n v="0"/>
    <n v="0"/>
    <n v="0"/>
    <n v="0"/>
    <m/>
  </r>
  <r>
    <n v="1310"/>
    <d v="2025-01-22T15:18:58"/>
    <d v="2025-01-22T15:21:47"/>
    <s v="vngwira@lighthouse.org.mw"/>
    <s v="Vincent Ngwira"/>
    <s v="Rainbow_MCH"/>
    <s v="COE"/>
    <x v="1"/>
    <x v="2"/>
    <s v="COP_24"/>
    <s v="Quarter4"/>
    <x v="0"/>
    <s v="Qtr_1"/>
    <x v="11"/>
    <d v="2024-12-01T00:00:00"/>
    <d v="2024-12-31T00:00:00"/>
    <x v="5"/>
    <n v="14"/>
    <n v="0"/>
    <n v="13"/>
    <n v="0"/>
    <n v="1"/>
    <n v="0"/>
    <n v="14"/>
    <n v="4"/>
    <n v="6"/>
    <n v="0"/>
    <n v="0"/>
    <n v="0"/>
    <n v="6"/>
    <n v="0"/>
    <n v="1"/>
    <n v="0"/>
    <n v="1"/>
    <n v="0"/>
    <n v="5"/>
    <n v="0"/>
    <n v="0"/>
    <n v="0"/>
    <n v="0"/>
    <n v="0"/>
    <n v="5"/>
    <m/>
  </r>
  <r>
    <n v="1311"/>
    <d v="2025-01-22T15:21:49"/>
    <d v="2025-01-22T15:24:05"/>
    <s v="vngwira@lighthouse.org.mw"/>
    <s v="Vincent Ngwira"/>
    <s v="Rainbow_MCH"/>
    <s v="COE"/>
    <x v="1"/>
    <x v="2"/>
    <s v="COP_24"/>
    <s v="Quarter4"/>
    <x v="0"/>
    <s v="Qtr_1"/>
    <x v="11"/>
    <d v="2024-12-01T00:00:00"/>
    <d v="2024-12-31T00:00:00"/>
    <x v="2"/>
    <n v="28"/>
    <n v="2"/>
    <n v="25"/>
    <n v="0"/>
    <n v="2"/>
    <n v="1"/>
    <n v="28"/>
    <n v="7"/>
    <n v="9"/>
    <n v="0"/>
    <n v="0"/>
    <n v="0"/>
    <n v="9"/>
    <n v="1"/>
    <n v="0"/>
    <n v="0"/>
    <n v="0"/>
    <n v="0"/>
    <n v="5"/>
    <n v="5"/>
    <n v="0"/>
    <n v="0"/>
    <n v="0"/>
    <n v="0"/>
    <n v="8"/>
    <m/>
  </r>
  <r>
    <n v="1312"/>
    <d v="2025-01-22T15:24:07"/>
    <d v="2025-01-22T15:27:16"/>
    <s v="vngwira@lighthouse.org.mw"/>
    <s v="Vincent Ngwira"/>
    <s v="Rainbow_MCH"/>
    <s v="COE"/>
    <x v="1"/>
    <x v="2"/>
    <s v="COP_24"/>
    <s v="Quarter4"/>
    <x v="0"/>
    <s v="Qtr_1"/>
    <x v="11"/>
    <d v="2024-12-01T00:00:00"/>
    <d v="2024-12-31T00:00:00"/>
    <x v="6"/>
    <n v="45"/>
    <n v="44"/>
    <n v="0"/>
    <n v="0"/>
    <n v="30"/>
    <n v="15"/>
    <n v="43"/>
    <n v="25"/>
    <n v="45"/>
    <n v="1"/>
    <n v="3"/>
    <n v="1"/>
    <n v="43"/>
    <n v="9"/>
    <n v="6"/>
    <n v="0"/>
    <n v="2"/>
    <n v="2"/>
    <n v="29"/>
    <n v="11"/>
    <n v="9"/>
    <n v="1"/>
    <n v="0"/>
    <n v="0"/>
    <n v="35"/>
    <m/>
  </r>
  <r>
    <n v="1314"/>
    <d v="2025-01-22T15:27:18"/>
    <d v="2025-01-22T15:41:08"/>
    <s v="vngwira@lighthouse.org.mw"/>
    <s v="Vincent Ngwira"/>
    <s v="Rainbow_MCH"/>
    <s v="COE"/>
    <x v="1"/>
    <x v="2"/>
    <s v="COP_24"/>
    <s v="Quarter4"/>
    <x v="0"/>
    <s v="Qtr_1"/>
    <x v="11"/>
    <d v="2024-12-01T00:00:00"/>
    <d v="2024-12-31T00:00:00"/>
    <x v="0"/>
    <n v="124"/>
    <n v="57"/>
    <n v="63"/>
    <n v="3"/>
    <n v="38"/>
    <n v="20"/>
    <n v="121"/>
    <n v="50"/>
    <n v="88"/>
    <n v="2"/>
    <n v="4"/>
    <n v="2"/>
    <n v="84"/>
    <n v="13"/>
    <n v="9"/>
    <n v="0"/>
    <n v="5"/>
    <n v="4"/>
    <n v="54"/>
    <n v="12"/>
    <n v="15"/>
    <n v="3"/>
    <n v="0"/>
    <n v="0"/>
    <n v="67"/>
    <m/>
  </r>
  <r>
    <n v="1553"/>
    <d v="2025-04-29T11:13:49"/>
    <d v="2025-04-29T11:20:09"/>
    <s v="vngwira@lighthouse.org.mw"/>
    <s v="Vincent Ngwira"/>
    <s v="Rainbow_MCH"/>
    <s v="COE"/>
    <x v="2"/>
    <x v="2"/>
    <s v="COP_24"/>
    <s v="Quarter1"/>
    <x v="2"/>
    <s v="Qtr_2"/>
    <x v="4"/>
    <d v="2025-01-01T00:00:00"/>
    <d v="2025-01-31T00:00:00"/>
    <x v="0"/>
    <n v="163"/>
    <n v="138"/>
    <n v="74"/>
    <n v="0"/>
    <n v="76"/>
    <n v="13"/>
    <n v="155"/>
    <n v="56"/>
    <n v="99"/>
    <n v="1"/>
    <n v="1"/>
    <n v="1"/>
    <n v="90"/>
    <n v="6"/>
    <n v="6"/>
    <n v="0"/>
    <n v="5"/>
    <n v="4"/>
    <n v="62"/>
    <n v="5"/>
    <n v="10"/>
    <n v="1"/>
    <n v="0"/>
    <n v="1"/>
    <n v="94"/>
    <m/>
  </r>
  <r>
    <n v="1554"/>
    <d v="2025-04-29T11:21:12"/>
    <d v="2025-04-29T11:24:17"/>
    <s v="vngwira@lighthouse.org.mw"/>
    <s v="Vincent Ngwira"/>
    <s v="Rainbow_MCH"/>
    <s v="COE"/>
    <x v="2"/>
    <x v="2"/>
    <s v="COP_24"/>
    <s v="Quarter1"/>
    <x v="2"/>
    <s v="Qtr_2"/>
    <x v="4"/>
    <d v="2025-01-01T00:00:00"/>
    <d v="2025-01-31T00:00:00"/>
    <x v="6"/>
    <n v="36"/>
    <n v="32"/>
    <n v="0"/>
    <n v="0"/>
    <n v="30"/>
    <n v="6"/>
    <n v="34"/>
    <n v="17"/>
    <n v="36"/>
    <n v="1"/>
    <n v="1"/>
    <n v="1"/>
    <n v="31"/>
    <n v="3"/>
    <n v="1"/>
    <n v="0"/>
    <n v="0"/>
    <n v="0"/>
    <n v="26"/>
    <n v="4"/>
    <n v="6"/>
    <n v="1"/>
    <n v="0"/>
    <n v="0"/>
    <n v="29"/>
    <m/>
  </r>
  <r>
    <n v="1555"/>
    <d v="2025-04-29T11:24:35"/>
    <d v="2025-04-29T11:26:09"/>
    <s v="vngwira@lighthouse.org.mw"/>
    <s v="Vincent Ngwira"/>
    <s v="Rainbow_MCH"/>
    <s v="COE"/>
    <x v="2"/>
    <x v="2"/>
    <s v="COP_24"/>
    <s v="Quarter1"/>
    <x v="2"/>
    <s v="Qtr_2"/>
    <x v="4"/>
    <d v="2025-01-01T00:00:00"/>
    <d v="2025-01-30T00:00:00"/>
    <x v="3"/>
    <n v="2"/>
    <n v="1"/>
    <n v="2"/>
    <n v="0"/>
    <n v="0"/>
    <n v="0"/>
    <n v="0"/>
    <n v="0"/>
    <n v="2"/>
    <n v="0"/>
    <n v="0"/>
    <n v="0"/>
    <n v="2"/>
    <n v="0"/>
    <n v="0"/>
    <n v="0"/>
    <n v="0"/>
    <n v="0"/>
    <n v="1"/>
    <n v="0"/>
    <n v="0"/>
    <n v="0"/>
    <n v="0"/>
    <n v="0"/>
    <n v="1"/>
    <m/>
  </r>
  <r>
    <n v="1556"/>
    <d v="2025-04-29T11:26:39"/>
    <d v="2025-04-29T11:28:07"/>
    <s v="vngwira@lighthouse.org.mw"/>
    <s v="Vincent Ngwira"/>
    <s v="Rainbow_MCH"/>
    <s v="COE"/>
    <x v="2"/>
    <x v="2"/>
    <s v="COP_24"/>
    <s v="Quarter1"/>
    <x v="2"/>
    <s v="Qtr_2"/>
    <x v="4"/>
    <d v="2025-01-01T00:00:00"/>
    <d v="2025-01-31T00:00:00"/>
    <x v="4"/>
    <n v="8"/>
    <n v="3"/>
    <n v="4"/>
    <n v="1"/>
    <n v="3"/>
    <n v="0"/>
    <n v="8"/>
    <n v="5"/>
    <n v="7"/>
    <n v="0"/>
    <n v="0"/>
    <n v="0"/>
    <n v="7"/>
    <n v="0"/>
    <n v="0"/>
    <n v="0"/>
    <n v="0"/>
    <n v="0"/>
    <n v="4"/>
    <n v="4"/>
    <n v="0"/>
    <n v="0"/>
    <n v="0"/>
    <n v="0"/>
    <n v="6"/>
    <m/>
  </r>
  <r>
    <n v="1557"/>
    <d v="2025-04-29T11:28:30"/>
    <d v="2025-04-29T11:30:25"/>
    <s v="vngwira@lighthouse.org.mw"/>
    <s v="Vincent Ngwira"/>
    <s v="Rainbow_MCH"/>
    <s v="COE"/>
    <x v="2"/>
    <x v="2"/>
    <s v="COP_24"/>
    <s v="Quarter1"/>
    <x v="2"/>
    <s v="Qtr_2"/>
    <x v="4"/>
    <d v="2025-01-01T00:00:00"/>
    <d v="2025-01-31T00:00:00"/>
    <x v="5"/>
    <n v="24"/>
    <n v="1"/>
    <n v="23"/>
    <n v="0"/>
    <n v="0"/>
    <n v="1"/>
    <n v="23"/>
    <n v="10"/>
    <n v="10"/>
    <n v="0"/>
    <n v="0"/>
    <n v="0"/>
    <n v="7"/>
    <n v="0"/>
    <n v="0"/>
    <n v="0"/>
    <n v="0"/>
    <n v="0"/>
    <n v="3"/>
    <n v="2"/>
    <n v="1"/>
    <n v="0"/>
    <n v="0"/>
    <n v="0"/>
    <n v="1"/>
    <m/>
  </r>
  <r>
    <n v="1558"/>
    <d v="2025-04-29T11:30:43"/>
    <d v="2025-04-29T11:32:53"/>
    <s v="vngwira@lighthouse.org.mw"/>
    <s v="Vincent Ngwira"/>
    <s v="Rainbow_MCH"/>
    <s v="COE"/>
    <x v="2"/>
    <x v="2"/>
    <s v="COP_24"/>
    <s v="Quarter1"/>
    <x v="2"/>
    <s v="Qtr_2"/>
    <x v="4"/>
    <d v="2025-01-01T00:00:00"/>
    <d v="2025-01-31T00:00:00"/>
    <x v="2"/>
    <n v="34"/>
    <n v="6"/>
    <n v="25"/>
    <n v="0"/>
    <n v="7"/>
    <n v="2"/>
    <n v="32"/>
    <n v="4"/>
    <n v="12"/>
    <n v="0"/>
    <n v="0"/>
    <n v="0"/>
    <n v="11"/>
    <n v="0"/>
    <n v="1"/>
    <n v="0"/>
    <n v="1"/>
    <n v="0"/>
    <n v="4"/>
    <n v="1"/>
    <n v="1"/>
    <n v="0"/>
    <n v="0"/>
    <n v="0"/>
    <n v="11"/>
    <m/>
  </r>
  <r>
    <n v="1559"/>
    <d v="2025-04-29T11:33:12"/>
    <d v="2025-04-29T11:36:32"/>
    <s v="vngwira@lighthouse.org.mw"/>
    <s v="Vincent Ngwira"/>
    <s v="Rainbow_MCH"/>
    <s v="COE"/>
    <x v="2"/>
    <x v="2"/>
    <s v="COP_24"/>
    <s v="Quarter1"/>
    <x v="2"/>
    <s v="Qtr_2"/>
    <x v="4"/>
    <d v="2025-01-01T00:00:00"/>
    <d v="2025-01-31T00:00:00"/>
    <x v="1"/>
    <n v="36"/>
    <n v="8"/>
    <n v="22"/>
    <n v="1"/>
    <n v="12"/>
    <n v="1"/>
    <n v="36"/>
    <n v="15"/>
    <n v="0"/>
    <n v="0"/>
    <n v="0"/>
    <n v="0"/>
    <n v="16"/>
    <n v="1"/>
    <n v="2"/>
    <n v="0"/>
    <n v="0"/>
    <n v="0"/>
    <n v="14"/>
    <n v="0"/>
    <n v="1"/>
    <n v="0"/>
    <n v="0"/>
    <n v="0"/>
    <n v="18"/>
    <m/>
  </r>
  <r>
    <n v="1589"/>
    <d v="2025-05-07T08:48:20"/>
    <d v="2025-05-07T09:19:09"/>
    <s v="vngwira@lighthouse.org.mw"/>
    <s v="Vincent Ngwira"/>
    <s v="Rainbow_MCH"/>
    <s v="COE"/>
    <x v="2"/>
    <x v="2"/>
    <m/>
    <s v="Quarter1"/>
    <x v="2"/>
    <m/>
    <x v="5"/>
    <d v="2025-02-01T00:00:00"/>
    <d v="2025-02-28T00:00:00"/>
    <x v="0"/>
    <n v="134"/>
    <n v="45"/>
    <n v="56"/>
    <n v="1"/>
    <n v="64"/>
    <n v="13"/>
    <n v="130"/>
    <n v="48"/>
    <n v="63"/>
    <n v="0"/>
    <n v="2"/>
    <n v="1"/>
    <n v="67"/>
    <n v="9"/>
    <n v="9"/>
    <n v="2"/>
    <n v="5"/>
    <n v="3"/>
    <n v="52"/>
    <n v="3"/>
    <n v="13"/>
    <n v="1"/>
    <n v="0"/>
    <n v="0"/>
    <n v="78"/>
    <m/>
  </r>
  <r>
    <n v="1590"/>
    <d v="2025-05-07T09:19:14"/>
    <d v="2025-05-07T09:22:05"/>
    <s v="vngwira@lighthouse.org.mw"/>
    <s v="Vincent Ngwira"/>
    <s v="Rainbow_MCH"/>
    <s v="COE"/>
    <x v="2"/>
    <x v="2"/>
    <m/>
    <s v="Quarter1"/>
    <x v="2"/>
    <m/>
    <x v="5"/>
    <d v="2025-02-01T00:00:00"/>
    <d v="2025-02-28T00:00:00"/>
    <x v="6"/>
    <n v="29"/>
    <n v="29"/>
    <n v="0"/>
    <n v="0"/>
    <n v="22"/>
    <n v="7"/>
    <n v="28"/>
    <n v="12"/>
    <n v="29"/>
    <n v="0"/>
    <n v="0"/>
    <n v="0"/>
    <n v="23"/>
    <n v="5"/>
    <n v="0"/>
    <n v="0"/>
    <n v="1"/>
    <n v="1"/>
    <n v="14"/>
    <n v="1"/>
    <n v="6"/>
    <n v="0"/>
    <n v="0"/>
    <n v="0"/>
    <n v="23"/>
    <m/>
  </r>
  <r>
    <n v="1591"/>
    <d v="2025-05-07T09:22:26"/>
    <d v="2025-05-07T09:23:51"/>
    <s v="vngwira@lighthouse.org.mw"/>
    <s v="Vincent Ngwira"/>
    <s v="Rainbow_MCH"/>
    <s v="COE"/>
    <x v="2"/>
    <x v="2"/>
    <m/>
    <s v="Quarter1"/>
    <x v="2"/>
    <m/>
    <x v="5"/>
    <d v="2025-02-01T00:00:00"/>
    <d v="2025-02-28T00:00:00"/>
    <x v="3"/>
    <n v="3"/>
    <n v="2"/>
    <n v="1"/>
    <n v="0"/>
    <n v="1"/>
    <n v="1"/>
    <n v="0"/>
    <n v="0"/>
    <n v="3"/>
    <n v="0"/>
    <n v="0"/>
    <n v="0"/>
    <n v="2"/>
    <n v="0"/>
    <n v="0"/>
    <n v="0"/>
    <n v="0"/>
    <n v="0"/>
    <n v="3"/>
    <n v="0"/>
    <n v="0"/>
    <n v="0"/>
    <n v="0"/>
    <n v="0"/>
    <n v="1"/>
    <m/>
  </r>
  <r>
    <n v="1592"/>
    <d v="2025-05-07T09:24:14"/>
    <d v="2025-05-07T09:26:28"/>
    <s v="vngwira@lighthouse.org.mw"/>
    <s v="Vincent Ngwira"/>
    <s v="Rainbow_MCH"/>
    <s v="COE"/>
    <x v="2"/>
    <x v="2"/>
    <m/>
    <s v="Quarter1"/>
    <x v="2"/>
    <m/>
    <x v="5"/>
    <d v="2025-02-01T00:00:00"/>
    <d v="2025-02-28T00:00:00"/>
    <x v="4"/>
    <n v="3"/>
    <n v="1"/>
    <n v="1"/>
    <n v="0"/>
    <n v="1"/>
    <n v="1"/>
    <n v="3"/>
    <n v="0"/>
    <n v="1"/>
    <n v="0"/>
    <n v="0"/>
    <n v="0"/>
    <n v="1"/>
    <n v="0"/>
    <n v="0"/>
    <n v="0"/>
    <n v="0"/>
    <n v="0"/>
    <n v="0"/>
    <n v="0"/>
    <n v="0"/>
    <n v="0"/>
    <n v="0"/>
    <n v="0"/>
    <n v="0"/>
    <m/>
  </r>
  <r>
    <n v="1593"/>
    <d v="2025-05-07T09:26:50"/>
    <d v="2025-05-07T09:28:58"/>
    <s v="vngwira@lighthouse.org.mw"/>
    <s v="Vincent Ngwira"/>
    <s v="Rainbow_MCH"/>
    <s v="COE"/>
    <x v="2"/>
    <x v="2"/>
    <s v="COP_24"/>
    <s v="Quarter1"/>
    <x v="2"/>
    <s v="Qtr_2"/>
    <x v="5"/>
    <d v="2025-02-01T00:00:00"/>
    <d v="2025-02-28T00:00:00"/>
    <x v="2"/>
    <n v="30"/>
    <n v="3"/>
    <n v="23"/>
    <n v="0"/>
    <n v="6"/>
    <n v="1"/>
    <n v="30"/>
    <n v="7"/>
    <n v="7"/>
    <n v="0"/>
    <n v="0"/>
    <n v="0"/>
    <n v="7"/>
    <n v="1"/>
    <n v="0"/>
    <n v="0"/>
    <n v="0"/>
    <n v="0"/>
    <n v="7"/>
    <n v="0"/>
    <n v="1"/>
    <n v="0"/>
    <n v="0"/>
    <n v="0"/>
    <n v="7"/>
    <m/>
  </r>
  <r>
    <n v="1594"/>
    <d v="2025-05-07T09:29:21"/>
    <d v="2025-05-07T09:32:23"/>
    <s v="vngwira@lighthouse.org.mw"/>
    <s v="Vincent Ngwira"/>
    <s v="Rainbow_MCH"/>
    <s v="COE"/>
    <x v="2"/>
    <x v="2"/>
    <m/>
    <s v="Quarter1"/>
    <x v="2"/>
    <m/>
    <x v="5"/>
    <d v="2025-02-01T00:00:00"/>
    <d v="2025-02-28T00:00:00"/>
    <x v="1"/>
    <n v="31"/>
    <n v="9"/>
    <n v="14"/>
    <n v="1"/>
    <n v="13"/>
    <n v="3"/>
    <n v="29"/>
    <n v="18"/>
    <n v="16"/>
    <n v="1"/>
    <n v="5"/>
    <n v="1"/>
    <n v="19"/>
    <n v="3"/>
    <n v="4"/>
    <n v="1"/>
    <n v="2"/>
    <n v="1"/>
    <n v="18"/>
    <n v="16"/>
    <n v="5"/>
    <n v="1"/>
    <n v="0"/>
    <n v="0"/>
    <n v="25"/>
    <m/>
  </r>
  <r>
    <n v="1595"/>
    <d v="2025-05-07T09:33:13"/>
    <d v="2025-05-07T09:36:01"/>
    <s v="vngwira@lighthouse.org.mw"/>
    <s v="Vincent Ngwira"/>
    <s v="Rainbow_MCH"/>
    <s v="COE"/>
    <x v="2"/>
    <x v="2"/>
    <m/>
    <s v="Quarter1"/>
    <x v="2"/>
    <m/>
    <x v="5"/>
    <d v="2025-02-01T00:00:00"/>
    <d v="2025-02-28T00:00:00"/>
    <x v="5"/>
    <n v="22"/>
    <n v="0"/>
    <n v="20"/>
    <n v="0"/>
    <n v="1"/>
    <n v="1"/>
    <n v="22"/>
    <n v="6"/>
    <n v="5"/>
    <n v="0"/>
    <n v="0"/>
    <n v="0"/>
    <n v="7"/>
    <n v="1"/>
    <n v="1"/>
    <n v="0"/>
    <n v="1"/>
    <n v="0"/>
    <n v="5"/>
    <n v="0"/>
    <n v="1"/>
    <n v="0"/>
    <n v="0"/>
    <n v="0"/>
    <n v="7"/>
    <m/>
  </r>
  <r>
    <n v="1596"/>
    <d v="2025-05-07T09:36:23"/>
    <d v="2025-05-07T09:44:18"/>
    <s v="vngwira@lighthouse.org.mw"/>
    <s v="Vincent Ngwira"/>
    <s v="Rainbow_MCH"/>
    <s v="COE"/>
    <x v="2"/>
    <x v="2"/>
    <m/>
    <s v="Quarter1"/>
    <x v="2"/>
    <m/>
    <x v="3"/>
    <d v="2025-03-01T00:00:00"/>
    <d v="2025-03-31T00:00:00"/>
    <x v="0"/>
    <n v="137"/>
    <n v="69"/>
    <n v="43"/>
    <n v="1"/>
    <n v="72"/>
    <n v="21"/>
    <n v="98"/>
    <n v="28"/>
    <n v="60"/>
    <n v="2"/>
    <n v="2"/>
    <n v="1"/>
    <n v="35"/>
    <n v="6"/>
    <n v="14"/>
    <n v="3"/>
    <n v="8"/>
    <n v="3"/>
    <n v="59"/>
    <n v="8"/>
    <n v="17"/>
    <n v="1"/>
    <n v="1"/>
    <n v="1"/>
    <n v="76"/>
    <m/>
  </r>
  <r>
    <n v="1600"/>
    <d v="2025-05-07T11:28:25"/>
    <d v="2025-05-07T11:28:35"/>
    <s v="vngwira@lighthouse.org.mw"/>
    <s v="Vincent Ngwira"/>
    <s v="Rainbow_MCH"/>
    <s v="COE"/>
    <x v="2"/>
    <x v="2"/>
    <m/>
    <s v="Quarter1"/>
    <x v="2"/>
    <m/>
    <x v="3"/>
    <d v="2025-03-01T00:00:00"/>
    <d v="2025-03-31T00:00:00"/>
    <x v="6"/>
    <n v="48"/>
    <n v="48"/>
    <n v="0"/>
    <n v="0"/>
    <n v="34"/>
    <n v="14"/>
    <n v="29"/>
    <n v="11"/>
    <n v="30"/>
    <n v="0"/>
    <n v="0"/>
    <n v="0"/>
    <n v="16"/>
    <n v="1"/>
    <n v="1"/>
    <n v="1"/>
    <n v="4"/>
    <n v="3"/>
    <n v="20"/>
    <n v="6"/>
    <n v="9"/>
    <n v="0"/>
    <n v="0"/>
    <n v="0"/>
    <n v="39"/>
    <m/>
  </r>
  <r>
    <n v="1603"/>
    <d v="2025-05-07T13:19:33"/>
    <d v="2025-05-07T13:20:12"/>
    <s v="vngwira@lighthouse.org.mw"/>
    <s v="Vincent Ngwira"/>
    <s v="Rainbow_MCH"/>
    <s v="COE"/>
    <x v="2"/>
    <x v="2"/>
    <m/>
    <s v="Quarter1"/>
    <x v="2"/>
    <m/>
    <x v="3"/>
    <d v="2025-03-01T00:00:00"/>
    <d v="2025-03-31T00:00:00"/>
    <x v="3"/>
    <n v="0"/>
    <n v="0"/>
    <n v="0"/>
    <n v="0"/>
    <n v="0"/>
    <n v="0"/>
    <n v="0"/>
    <n v="0"/>
    <n v="0"/>
    <n v="0"/>
    <n v="0"/>
    <n v="0"/>
    <n v="0"/>
    <n v="0"/>
    <n v="0"/>
    <n v="0"/>
    <n v="0"/>
    <n v="0"/>
    <n v="0"/>
    <n v="0"/>
    <n v="0"/>
    <n v="0"/>
    <n v="0"/>
    <n v="0"/>
    <n v="0"/>
    <m/>
  </r>
  <r>
    <n v="1604"/>
    <d v="2025-05-07T13:20:14"/>
    <d v="2025-05-07T13:22:18"/>
    <s v="vngwira@lighthouse.org.mw"/>
    <s v="Vincent Ngwira"/>
    <s v="Rainbow_MCH"/>
    <s v="COE"/>
    <x v="2"/>
    <x v="2"/>
    <m/>
    <s v="Quarter1"/>
    <x v="2"/>
    <m/>
    <x v="3"/>
    <d v="2025-03-01T00:00:00"/>
    <d v="2025-03-31T00:00:00"/>
    <x v="4"/>
    <n v="2"/>
    <n v="2"/>
    <n v="0"/>
    <n v="0"/>
    <n v="2"/>
    <n v="0"/>
    <n v="2"/>
    <n v="1"/>
    <n v="0"/>
    <n v="0"/>
    <n v="0"/>
    <n v="0"/>
    <n v="2"/>
    <n v="0"/>
    <n v="0"/>
    <n v="0"/>
    <n v="0"/>
    <n v="0"/>
    <n v="2"/>
    <n v="2"/>
    <n v="0"/>
    <n v="0"/>
    <n v="0"/>
    <n v="0"/>
    <n v="2"/>
    <m/>
  </r>
  <r>
    <n v="1605"/>
    <d v="2025-05-07T13:23:08"/>
    <d v="2025-05-07T13:25:56"/>
    <s v="vngwira@lighthouse.org.mw"/>
    <s v="Vincent Ngwira"/>
    <s v="Rainbow_MCH"/>
    <s v="COE"/>
    <x v="2"/>
    <x v="2"/>
    <m/>
    <s v="Quarter1"/>
    <x v="2"/>
    <m/>
    <x v="3"/>
    <d v="2025-03-01T00:00:00"/>
    <d v="2025-03-31T00:00:00"/>
    <x v="1"/>
    <n v="38"/>
    <n v="15"/>
    <n v="16"/>
    <n v="0"/>
    <n v="15"/>
    <n v="7"/>
    <n v="31"/>
    <n v="14"/>
    <n v="14"/>
    <n v="1"/>
    <n v="1"/>
    <n v="0"/>
    <n v="10"/>
    <n v="1"/>
    <n v="8"/>
    <n v="2"/>
    <n v="4"/>
    <n v="4"/>
    <n v="16"/>
    <n v="1"/>
    <n v="5"/>
    <n v="0"/>
    <n v="1"/>
    <n v="1"/>
    <n v="16"/>
    <m/>
  </r>
  <r>
    <n v="1606"/>
    <d v="2025-05-07T13:26:16"/>
    <d v="2025-05-07T13:27:42"/>
    <s v="vngwira@lighthouse.org.mw"/>
    <s v="Vincent Ngwira"/>
    <s v="Rainbow_MCH"/>
    <s v="COE"/>
    <x v="2"/>
    <x v="2"/>
    <m/>
    <s v="Quarter1"/>
    <x v="2"/>
    <m/>
    <x v="3"/>
    <d v="2025-03-01T00:00:00"/>
    <d v="2025-03-31T00:00:00"/>
    <x v="5"/>
    <n v="14"/>
    <n v="2"/>
    <n v="11"/>
    <n v="0"/>
    <n v="3"/>
    <n v="0"/>
    <n v="13"/>
    <n v="0"/>
    <n v="1"/>
    <n v="0"/>
    <n v="0"/>
    <n v="0"/>
    <n v="1"/>
    <n v="1"/>
    <n v="1"/>
    <n v="0"/>
    <n v="0"/>
    <n v="0"/>
    <n v="3"/>
    <n v="0"/>
    <n v="1"/>
    <n v="0"/>
    <n v="0"/>
    <n v="0"/>
    <n v="3"/>
    <m/>
  </r>
  <r>
    <n v="1607"/>
    <d v="2025-05-07T13:28:09"/>
    <d v="2025-05-07T13:29:46"/>
    <s v="vngwira@lighthouse.org.mw"/>
    <s v="Vincent Ngwira"/>
    <s v="Rainbow_MCH"/>
    <s v="COE"/>
    <x v="2"/>
    <x v="2"/>
    <m/>
    <s v="Quarter1"/>
    <x v="2"/>
    <m/>
    <x v="3"/>
    <d v="2025-03-01T00:00:00"/>
    <d v="2025-03-31T00:00:00"/>
    <x v="2"/>
    <n v="30"/>
    <n v="2"/>
    <n v="25"/>
    <n v="1"/>
    <n v="3"/>
    <n v="1"/>
    <n v="26"/>
    <n v="3"/>
    <n v="3"/>
    <n v="0"/>
    <n v="0"/>
    <n v="0"/>
    <n v="3"/>
    <n v="1"/>
    <n v="2"/>
    <n v="1"/>
    <n v="0"/>
    <n v="0"/>
    <n v="4"/>
    <n v="0"/>
    <n v="2"/>
    <n v="0"/>
    <n v="0"/>
    <n v="0"/>
    <n v="3"/>
    <m/>
  </r>
  <r>
    <n v="9"/>
    <d v="2023-12-16T12:09:45"/>
    <d v="2023-12-16T13:10:47"/>
    <s v="anhlema@lighthouse.org.mw"/>
    <s v="Angelina Nhlema"/>
    <s v="Tisungane_ZCH"/>
    <s v="COE"/>
    <x v="0"/>
    <x v="1"/>
    <s v="COP_22"/>
    <s v="Quarter3"/>
    <x v="1"/>
    <s v="Qtr_4"/>
    <x v="2"/>
    <d v="2023-09-01T00:00:00"/>
    <d v="2023-09-30T00:00:00"/>
    <x v="0"/>
    <n v="168"/>
    <n v="79"/>
    <n v="108"/>
    <n v="10"/>
    <n v="29"/>
    <n v="21"/>
    <n v="161"/>
    <n v="54"/>
    <n v="57"/>
    <n v="1"/>
    <n v="3"/>
    <n v="1"/>
    <n v="75"/>
    <n v="18"/>
    <n v="62"/>
    <n v="2"/>
    <n v="63"/>
    <n v="6"/>
    <n v="56"/>
    <n v="1"/>
    <n v="8"/>
    <n v="1"/>
    <n v="0"/>
    <n v="1"/>
    <n v="158"/>
    <m/>
  </r>
  <r>
    <n v="10"/>
    <d v="2023-12-16T13:10:53"/>
    <d v="2023-12-16T13:18:34"/>
    <s v="anhlema@lighthouse.org.mw"/>
    <s v="Angelina Nhlema"/>
    <s v="Tisungane_ZCH"/>
    <s v="COE"/>
    <x v="0"/>
    <x v="1"/>
    <s v="COP_22"/>
    <s v="Quarter3"/>
    <x v="1"/>
    <s v="Qtr_4"/>
    <x v="2"/>
    <d v="2023-09-01T00:00:00"/>
    <d v="2023-09-30T00:00:00"/>
    <x v="6"/>
    <n v="1"/>
    <n v="1"/>
    <n v="1"/>
    <n v="0"/>
    <n v="0"/>
    <n v="0"/>
    <n v="1"/>
    <n v="1"/>
    <n v="0"/>
    <n v="0"/>
    <n v="0"/>
    <n v="0"/>
    <n v="0"/>
    <n v="0"/>
    <n v="0"/>
    <n v="0"/>
    <n v="0"/>
    <n v="0"/>
    <n v="0"/>
    <n v="0"/>
    <n v="0"/>
    <n v="0"/>
    <n v="0"/>
    <n v="0"/>
    <n v="0"/>
    <m/>
  </r>
  <r>
    <n v="11"/>
    <d v="2023-12-16T13:18:47"/>
    <d v="2023-12-16T14:32:51"/>
    <s v="anhlema@lighthouse.org.mw"/>
    <s v="Angelina Nhlema"/>
    <s v="Tisungane_ZCH"/>
    <s v="COE"/>
    <x v="0"/>
    <x v="0"/>
    <s v="COP_23"/>
    <s v="Quarter4"/>
    <x v="0"/>
    <s v="Qtr_1"/>
    <x v="0"/>
    <d v="2023-10-01T00:00:00"/>
    <d v="2023-10-31T00:00:00"/>
    <x v="6"/>
    <n v="34"/>
    <n v="32"/>
    <n v="10"/>
    <n v="9"/>
    <n v="11"/>
    <n v="4"/>
    <n v="31"/>
    <n v="13"/>
    <n v="14"/>
    <n v="1"/>
    <n v="5"/>
    <n v="1"/>
    <n v="18"/>
    <n v="7"/>
    <n v="3"/>
    <n v="0"/>
    <n v="6"/>
    <n v="2"/>
    <n v="6"/>
    <n v="1"/>
    <n v="4"/>
    <n v="1"/>
    <n v="0"/>
    <n v="0"/>
    <n v="29"/>
    <m/>
  </r>
  <r>
    <n v="12"/>
    <d v="2023-12-16T15:11:50"/>
    <d v="2023-12-16T15:19:05"/>
    <s v="anhlema@lighthouse.org.mw"/>
    <s v="Angelina Nhlema"/>
    <s v="Tisungane_ZCH"/>
    <s v="COE"/>
    <x v="0"/>
    <x v="0"/>
    <s v="COP_23"/>
    <s v="Quarter4"/>
    <x v="0"/>
    <s v="Qtr_1"/>
    <x v="0"/>
    <d v="2023-10-01T00:00:00"/>
    <d v="2023-10-31T00:00:00"/>
    <x v="0"/>
    <n v="188"/>
    <n v="58"/>
    <n v="115"/>
    <n v="2"/>
    <n v="40"/>
    <n v="30"/>
    <n v="179"/>
    <n v="49"/>
    <n v="51"/>
    <n v="4"/>
    <n v="5"/>
    <n v="0"/>
    <n v="82"/>
    <n v="15"/>
    <n v="32"/>
    <n v="1"/>
    <n v="48"/>
    <n v="4"/>
    <n v="56"/>
    <n v="1"/>
    <n v="7"/>
    <n v="0"/>
    <n v="4"/>
    <n v="1"/>
    <n v="177"/>
    <m/>
  </r>
  <r>
    <n v="13"/>
    <d v="2023-12-16T15:39:57"/>
    <d v="2023-12-16T15:40:12"/>
    <s v="anhlema@lighthouse.org.mw"/>
    <s v="Angelina Nhlema"/>
    <s v="Tisungane_ZCH"/>
    <s v="COE"/>
    <x v="0"/>
    <x v="0"/>
    <s v="COP_23"/>
    <s v="Quarter4"/>
    <x v="0"/>
    <s v="Qtr_1"/>
    <x v="1"/>
    <d v="2023-11-01T00:00:00"/>
    <d v="2023-11-30T00:00:00"/>
    <x v="6"/>
    <n v="26"/>
    <n v="26"/>
    <n v="0"/>
    <n v="20"/>
    <n v="3"/>
    <n v="3"/>
    <n v="24"/>
    <n v="9"/>
    <n v="18"/>
    <n v="0"/>
    <n v="4"/>
    <n v="1"/>
    <n v="13"/>
    <n v="2"/>
    <n v="0"/>
    <n v="0"/>
    <n v="1"/>
    <n v="0"/>
    <n v="9"/>
    <n v="0"/>
    <n v="0"/>
    <n v="0"/>
    <n v="0"/>
    <n v="0"/>
    <n v="26"/>
    <m/>
  </r>
  <r>
    <n v="14"/>
    <d v="2023-12-16T15:40:15"/>
    <d v="2023-12-16T15:54:12"/>
    <s v="anhlema@lighthouse.org.mw"/>
    <s v="Angelina Nhlema"/>
    <s v="Tisungane_ZCH"/>
    <s v="COE"/>
    <x v="0"/>
    <x v="0"/>
    <s v="COP_23"/>
    <s v="Quarter4"/>
    <x v="0"/>
    <s v="Qtr_1"/>
    <x v="1"/>
    <d v="2023-11-01T00:00:00"/>
    <d v="2023-11-30T00:00:00"/>
    <x v="0"/>
    <n v="182"/>
    <n v="75"/>
    <n v="95"/>
    <n v="26"/>
    <n v="38"/>
    <n v="23"/>
    <n v="179"/>
    <n v="46"/>
    <n v="57"/>
    <n v="5"/>
    <n v="13"/>
    <n v="5"/>
    <n v="69"/>
    <n v="7"/>
    <n v="24"/>
    <n v="0"/>
    <n v="40"/>
    <n v="1"/>
    <n v="40"/>
    <n v="1"/>
    <n v="3"/>
    <n v="2"/>
    <n v="3"/>
    <n v="0"/>
    <n v="174"/>
    <m/>
  </r>
  <r>
    <n v="81"/>
    <d v="2024-01-11T15:57:25"/>
    <d v="2024-01-11T16:08:41"/>
    <s v="cdziwe@lighthouse.org.mw"/>
    <s v="Clement Dziwe"/>
    <s v="Tisungane_ZCH"/>
    <s v="COE"/>
    <x v="0"/>
    <x v="0"/>
    <s v="COP_23"/>
    <s v="Quarter4"/>
    <x v="0"/>
    <s v="Qtr_1"/>
    <x v="11"/>
    <d v="2023-12-01T00:00:00"/>
    <d v="2023-12-31T00:00:00"/>
    <x v="3"/>
    <n v="8"/>
    <n v="5"/>
    <n v="2"/>
    <n v="1"/>
    <n v="3"/>
    <n v="2"/>
    <n v="3"/>
    <n v="0"/>
    <n v="4"/>
    <n v="0"/>
    <n v="0"/>
    <n v="0"/>
    <n v="7"/>
    <n v="2"/>
    <n v="0"/>
    <n v="0"/>
    <n v="0"/>
    <n v="0"/>
    <n v="0"/>
    <n v="0"/>
    <n v="2"/>
    <n v="0"/>
    <n v="0"/>
    <n v="0"/>
    <n v="6"/>
    <m/>
  </r>
  <r>
    <n v="94"/>
    <d v="2024-01-17T14:40:22"/>
    <d v="2024-01-17T15:23:30"/>
    <s v="cdziwe@lighthouse.org.mw"/>
    <s v="Clement Dziwe"/>
    <s v="Tisungane_ZCH"/>
    <s v="COE"/>
    <x v="0"/>
    <x v="0"/>
    <s v="COP_23"/>
    <s v="Quarter4"/>
    <x v="0"/>
    <s v="Qtr_1"/>
    <x v="11"/>
    <d v="2023-12-01T00:00:00"/>
    <d v="2023-12-31T00:00:00"/>
    <x v="6"/>
    <n v="20"/>
    <n v="20"/>
    <n v="1"/>
    <n v="2"/>
    <n v="17"/>
    <n v="0"/>
    <n v="20"/>
    <n v="7"/>
    <n v="9"/>
    <n v="1"/>
    <n v="1"/>
    <n v="1"/>
    <n v="11"/>
    <n v="1"/>
    <n v="0"/>
    <n v="0"/>
    <n v="0"/>
    <n v="0"/>
    <n v="7"/>
    <n v="0"/>
    <n v="0"/>
    <n v="1"/>
    <n v="0"/>
    <n v="0"/>
    <n v="6"/>
    <m/>
  </r>
  <r>
    <n v="95"/>
    <d v="2024-01-17T15:28:02"/>
    <d v="2024-01-17T15:30:13"/>
    <s v="cdziwe@lighthouse.org.mw"/>
    <s v="Clement Dziwe"/>
    <s v="Tisungane_ZCH"/>
    <s v="COE"/>
    <x v="0"/>
    <x v="0"/>
    <s v="COP_23"/>
    <s v="Quarter4"/>
    <x v="0"/>
    <s v="Qtr_1"/>
    <x v="11"/>
    <d v="2023-12-01T00:00:00"/>
    <d v="2023-12-31T00:00:00"/>
    <x v="4"/>
    <n v="5"/>
    <n v="2"/>
    <n v="2"/>
    <n v="0"/>
    <n v="1"/>
    <n v="2"/>
    <n v="5"/>
    <n v="2"/>
    <n v="2"/>
    <n v="2"/>
    <n v="2"/>
    <n v="0"/>
    <n v="2"/>
    <n v="0"/>
    <n v="0"/>
    <n v="0"/>
    <n v="0"/>
    <n v="0"/>
    <n v="2"/>
    <n v="0"/>
    <n v="0"/>
    <n v="0"/>
    <n v="0"/>
    <n v="0"/>
    <n v="5"/>
    <m/>
  </r>
  <r>
    <n v="96"/>
    <d v="2024-01-17T15:47:17"/>
    <d v="2024-01-17T15:57:04"/>
    <s v="cdziwe@lighthouse.org.mw"/>
    <s v="Clement Dziwe"/>
    <s v="Tisungane_ZCH"/>
    <s v="COE"/>
    <x v="0"/>
    <x v="0"/>
    <s v="COP_23"/>
    <s v="Quarter4"/>
    <x v="0"/>
    <s v="Qtr_1"/>
    <x v="11"/>
    <d v="2023-12-01T00:00:00"/>
    <d v="2023-12-31T00:00:00"/>
    <x v="5"/>
    <n v="25"/>
    <n v="1"/>
    <n v="15"/>
    <n v="2"/>
    <n v="7"/>
    <n v="1"/>
    <n v="25"/>
    <n v="2"/>
    <n v="2"/>
    <n v="0"/>
    <n v="0"/>
    <n v="0"/>
    <n v="2"/>
    <n v="0"/>
    <n v="0"/>
    <n v="0"/>
    <n v="0"/>
    <n v="0"/>
    <n v="0"/>
    <n v="0"/>
    <n v="0"/>
    <n v="0"/>
    <n v="0"/>
    <n v="0"/>
    <n v="0"/>
    <m/>
  </r>
  <r>
    <n v="113"/>
    <d v="2024-01-23T16:04:15"/>
    <d v="2024-01-23T16:13:21"/>
    <s v="cdziwe@lighthouse.org.mw"/>
    <s v="Clement Dziwe"/>
    <s v="Tisungane_ZCH"/>
    <s v="COE"/>
    <x v="0"/>
    <x v="0"/>
    <s v="COP_23"/>
    <s v="Quarter4"/>
    <x v="0"/>
    <s v="Qtr_1"/>
    <x v="0"/>
    <d v="2023-10-01T00:00:00"/>
    <d v="2023-10-31T00:00:00"/>
    <x v="3"/>
    <n v="3"/>
    <n v="2"/>
    <n v="1"/>
    <n v="0"/>
    <n v="1"/>
    <n v="1"/>
    <n v="0"/>
    <n v="0"/>
    <n v="3"/>
    <n v="0"/>
    <n v="0"/>
    <n v="0"/>
    <n v="3"/>
    <n v="1"/>
    <n v="1"/>
    <n v="0"/>
    <n v="1"/>
    <n v="1"/>
    <n v="2"/>
    <n v="1"/>
    <n v="1"/>
    <n v="0"/>
    <n v="0"/>
    <n v="0"/>
    <n v="2"/>
    <m/>
  </r>
  <r>
    <n v="114"/>
    <d v="2024-01-23T16:13:35"/>
    <d v="2024-01-23T16:21:17"/>
    <s v="cdziwe@lighthouse.org.mw"/>
    <s v="Clement Dziwe"/>
    <s v="Tisungane_ZCH"/>
    <s v="COE"/>
    <x v="0"/>
    <x v="0"/>
    <s v="COP_23"/>
    <s v="Quarter4"/>
    <x v="0"/>
    <s v="Qtr_1"/>
    <x v="1"/>
    <d v="2023-11-01T00:00:00"/>
    <d v="2023-11-30T00:00:00"/>
    <x v="3"/>
    <n v="1"/>
    <n v="0"/>
    <n v="1"/>
    <n v="0"/>
    <n v="0"/>
    <n v="0"/>
    <n v="1"/>
    <n v="0"/>
    <n v="0"/>
    <n v="0"/>
    <n v="0"/>
    <n v="0"/>
    <n v="0"/>
    <n v="0"/>
    <n v="0"/>
    <n v="0"/>
    <n v="0"/>
    <n v="0"/>
    <n v="0"/>
    <n v="0"/>
    <n v="0"/>
    <n v="0"/>
    <n v="0"/>
    <n v="0"/>
    <n v="1"/>
    <m/>
  </r>
  <r>
    <n v="115"/>
    <d v="2024-01-23T16:21:33"/>
    <d v="2024-01-23T16:32:12"/>
    <s v="cdziwe@lighthouse.org.mw"/>
    <s v="Clement Dziwe"/>
    <s v="Tisungane_ZCH"/>
    <s v="COE"/>
    <x v="0"/>
    <x v="0"/>
    <s v="COP_23"/>
    <s v="Quarter4"/>
    <x v="0"/>
    <s v="Qtr_1"/>
    <x v="0"/>
    <d v="2023-10-01T00:00:00"/>
    <d v="2023-10-31T00:00:00"/>
    <x v="5"/>
    <n v="22"/>
    <n v="0"/>
    <n v="20"/>
    <n v="0"/>
    <n v="0"/>
    <n v="2"/>
    <n v="21"/>
    <n v="5"/>
    <n v="6"/>
    <n v="0"/>
    <n v="0"/>
    <n v="0"/>
    <n v="7"/>
    <n v="0"/>
    <n v="2"/>
    <n v="0"/>
    <n v="2"/>
    <n v="0"/>
    <n v="6"/>
    <n v="0"/>
    <n v="0"/>
    <n v="0"/>
    <n v="0"/>
    <n v="0"/>
    <n v="22"/>
    <m/>
  </r>
  <r>
    <n v="116"/>
    <d v="2024-01-23T16:32:46"/>
    <d v="2024-01-23T16:43:57"/>
    <s v="cdziwe@lighthouse.org.mw"/>
    <s v="Clement Dziwe"/>
    <s v="Tisungane_ZCH"/>
    <s v="COE"/>
    <x v="0"/>
    <x v="0"/>
    <s v="COP_23"/>
    <s v="Quarter4"/>
    <x v="0"/>
    <s v="Qtr_1"/>
    <x v="1"/>
    <d v="2023-11-01T00:00:00"/>
    <d v="2023-11-30T00:00:00"/>
    <x v="5"/>
    <n v="22"/>
    <n v="2"/>
    <n v="17"/>
    <n v="3"/>
    <n v="1"/>
    <n v="1"/>
    <n v="22"/>
    <n v="7"/>
    <n v="7"/>
    <n v="1"/>
    <n v="1"/>
    <n v="0"/>
    <n v="7"/>
    <n v="0"/>
    <n v="1"/>
    <n v="0"/>
    <n v="2"/>
    <n v="0"/>
    <n v="7"/>
    <n v="0"/>
    <n v="0"/>
    <n v="0"/>
    <n v="1"/>
    <n v="0"/>
    <n v="21"/>
    <m/>
  </r>
  <r>
    <n v="182"/>
    <d v="2024-03-21T10:22:57"/>
    <d v="2024-03-21T11:38:07"/>
    <s v="pchaula@lighthouse.org.mw"/>
    <s v="Pachalo Chaula"/>
    <s v="Tisungane_ZCH"/>
    <s v="COE"/>
    <x v="1"/>
    <x v="0"/>
    <s v="COP_23"/>
    <s v="Quarter1"/>
    <x v="2"/>
    <s v="Qtr_2"/>
    <x v="5"/>
    <d v="2024-02-01T00:00:00"/>
    <d v="2024-02-29T00:00:00"/>
    <x v="0"/>
    <n v="207"/>
    <n v="30"/>
    <n v="72"/>
    <n v="38"/>
    <n v="75"/>
    <n v="22"/>
    <n v="22"/>
    <n v="44"/>
    <n v="159"/>
    <n v="1"/>
    <n v="159"/>
    <n v="1"/>
    <n v="150"/>
    <n v="3"/>
    <n v="3"/>
    <n v="1"/>
    <n v="207"/>
    <n v="0"/>
    <n v="207"/>
    <n v="6"/>
    <n v="6"/>
    <n v="1"/>
    <n v="0"/>
    <n v="2"/>
    <n v="198"/>
    <m/>
  </r>
  <r>
    <n v="183"/>
    <d v="2024-03-21T11:39:55"/>
    <d v="2024-03-21T11:44:58"/>
    <s v="pchaula@lighthouse.org.mw"/>
    <s v="Pachalo Chaula"/>
    <s v="Tisungane_ZCH"/>
    <s v="COE"/>
    <x v="1"/>
    <x v="0"/>
    <s v="COP_23"/>
    <s v="Quarter1"/>
    <x v="2"/>
    <s v="Qtr_2"/>
    <x v="5"/>
    <d v="2024-02-01T00:00:00"/>
    <d v="2024-02-29T00:00:00"/>
    <x v="6"/>
    <n v="40"/>
    <n v="40"/>
    <n v="9"/>
    <n v="18"/>
    <n v="11"/>
    <n v="2"/>
    <n v="40"/>
    <n v="12"/>
    <n v="40"/>
    <n v="1"/>
    <n v="40"/>
    <n v="0"/>
    <n v="40"/>
    <n v="3"/>
    <n v="40"/>
    <n v="0"/>
    <n v="40"/>
    <n v="0"/>
    <n v="40"/>
    <n v="2"/>
    <n v="1"/>
    <n v="0"/>
    <n v="1"/>
    <n v="0"/>
    <n v="38"/>
    <m/>
  </r>
  <r>
    <n v="229"/>
    <d v="2024-04-09T09:20:50"/>
    <d v="2024-04-09T09:25:39"/>
    <s v="pchaula@lighthouse.org.mw"/>
    <s v="Pachalo Chaula"/>
    <s v="Tisungane_ZCH"/>
    <s v="COE"/>
    <x v="1"/>
    <x v="0"/>
    <s v="COP_23"/>
    <s v="Quarter1"/>
    <x v="2"/>
    <s v="Qtr_2"/>
    <x v="3"/>
    <d v="2024-03-01T00:00:00"/>
    <d v="2024-03-31T00:00:00"/>
    <x v="3"/>
    <n v="4"/>
    <n v="4"/>
    <n v="3"/>
    <n v="0"/>
    <n v="0"/>
    <n v="1"/>
    <n v="4"/>
    <n v="0"/>
    <n v="4"/>
    <n v="1"/>
    <n v="1"/>
    <n v="0"/>
    <n v="4"/>
    <n v="1"/>
    <n v="0"/>
    <n v="0"/>
    <n v="0"/>
    <n v="0"/>
    <n v="1"/>
    <n v="0"/>
    <n v="0"/>
    <n v="0"/>
    <n v="1"/>
    <n v="0"/>
    <n v="3"/>
    <m/>
  </r>
  <r>
    <n v="304"/>
    <d v="2024-04-25T07:43:17"/>
    <d v="2024-04-25T07:59:17"/>
    <s v="pchaula@lighthouse.org.mw"/>
    <s v="Pachalo Chaula"/>
    <s v="Tisungane_ZCH"/>
    <s v="COE"/>
    <x v="1"/>
    <x v="0"/>
    <s v="COP_23"/>
    <s v="Quarter1"/>
    <x v="2"/>
    <s v="Qtr_2"/>
    <x v="4"/>
    <d v="2024-01-01T00:00:00"/>
    <d v="2024-01-31T00:00:00"/>
    <x v="0"/>
    <n v="195"/>
    <n v="56"/>
    <n v="109"/>
    <n v="24"/>
    <n v="54"/>
    <n v="8"/>
    <n v="144"/>
    <n v="51"/>
    <n v="55"/>
    <n v="1"/>
    <n v="5"/>
    <n v="2"/>
    <n v="62"/>
    <n v="10"/>
    <n v="3"/>
    <n v="0"/>
    <n v="7"/>
    <n v="5"/>
    <n v="28"/>
    <n v="3"/>
    <n v="7"/>
    <n v="2"/>
    <n v="1"/>
    <n v="0"/>
    <n v="186"/>
    <m/>
  </r>
  <r>
    <n v="306"/>
    <d v="2024-04-25T08:19:41"/>
    <d v="2024-04-25T08:22:58"/>
    <s v="pchaula@lighthouse.org.mw"/>
    <s v="Pachalo Chaula"/>
    <s v="Tisungane_ZCH"/>
    <s v="COE"/>
    <x v="1"/>
    <x v="0"/>
    <s v="COP_23"/>
    <s v="Quarter1"/>
    <x v="2"/>
    <s v="Qtr_2"/>
    <x v="4"/>
    <d v="2024-01-01T00:00:00"/>
    <d v="2024-01-31T00:00:00"/>
    <x v="6"/>
    <n v="24"/>
    <n v="24"/>
    <n v="5"/>
    <n v="8"/>
    <n v="10"/>
    <n v="1"/>
    <n v="24"/>
    <n v="10"/>
    <n v="11"/>
    <n v="0"/>
    <n v="1"/>
    <n v="0"/>
    <n v="12"/>
    <n v="3"/>
    <n v="0"/>
    <n v="0"/>
    <n v="0"/>
    <n v="0"/>
    <n v="2"/>
    <n v="0"/>
    <n v="2"/>
    <n v="0"/>
    <n v="0"/>
    <n v="0"/>
    <n v="22"/>
    <m/>
  </r>
  <r>
    <n v="308"/>
    <d v="2024-04-25T08:31:19"/>
    <d v="2024-04-25T08:34:26"/>
    <s v="pchaula@lighthouse.org.mw"/>
    <s v="Pachalo Chaula"/>
    <s v="Tisungane_ZCH"/>
    <s v="COE"/>
    <x v="1"/>
    <x v="0"/>
    <s v="COP_23"/>
    <s v="Quarter1"/>
    <x v="2"/>
    <s v="Qtr_2"/>
    <x v="4"/>
    <d v="2024-01-01T00:00:00"/>
    <d v="2024-01-31T00:00:00"/>
    <x v="5"/>
    <n v="31"/>
    <n v="0"/>
    <n v="27"/>
    <n v="2"/>
    <n v="2"/>
    <n v="0"/>
    <n v="31"/>
    <n v="3"/>
    <n v="3"/>
    <n v="0"/>
    <n v="0"/>
    <n v="0"/>
    <n v="3"/>
    <n v="0"/>
    <n v="0"/>
    <n v="0"/>
    <n v="0"/>
    <n v="0"/>
    <n v="3"/>
    <n v="0"/>
    <n v="0"/>
    <n v="0"/>
    <n v="0"/>
    <n v="0"/>
    <n v="31"/>
    <m/>
  </r>
  <r>
    <n v="309"/>
    <d v="2024-04-25T08:34:43"/>
    <d v="2024-04-25T08:39:08"/>
    <s v="pchaula@lighthouse.org.mw"/>
    <s v="Pachalo Chaula"/>
    <s v="Tisungane_ZCH"/>
    <s v="COE"/>
    <x v="1"/>
    <x v="0"/>
    <s v="COP_23"/>
    <s v="Quarter1"/>
    <x v="2"/>
    <s v="Qtr_2"/>
    <x v="4"/>
    <d v="2024-01-01T00:00:00"/>
    <d v="2024-01-31T00:00:00"/>
    <x v="4"/>
    <n v="7"/>
    <n v="0"/>
    <n v="5"/>
    <n v="0"/>
    <n v="2"/>
    <n v="0"/>
    <n v="7"/>
    <n v="0"/>
    <n v="0"/>
    <n v="0"/>
    <n v="0"/>
    <n v="0"/>
    <n v="0"/>
    <n v="0"/>
    <n v="0"/>
    <n v="0"/>
    <n v="0"/>
    <n v="0"/>
    <n v="0"/>
    <n v="0"/>
    <n v="0"/>
    <n v="0"/>
    <n v="0"/>
    <n v="0"/>
    <n v="7"/>
    <m/>
  </r>
  <r>
    <n v="319"/>
    <d v="2024-04-29T14:05:48"/>
    <d v="2024-04-29T14:09:57"/>
    <s v="pchaula@lighthouse.org.mw"/>
    <s v="Pachalo Chaula"/>
    <s v="Tisungane_ZCH"/>
    <s v="COE"/>
    <x v="1"/>
    <x v="0"/>
    <s v="COP_23"/>
    <s v="Quarter1"/>
    <x v="2"/>
    <s v="Qtr_2"/>
    <x v="5"/>
    <d v="2024-02-01T00:00:00"/>
    <d v="2024-02-29T00:00:00"/>
    <x v="5"/>
    <n v="24"/>
    <n v="0"/>
    <n v="15"/>
    <n v="2"/>
    <n v="7"/>
    <n v="0"/>
    <n v="21"/>
    <n v="1"/>
    <n v="0"/>
    <n v="0"/>
    <n v="4"/>
    <n v="0"/>
    <n v="7"/>
    <n v="3"/>
    <n v="0"/>
    <n v="0"/>
    <n v="0"/>
    <n v="0"/>
    <n v="0"/>
    <n v="0"/>
    <n v="0"/>
    <n v="0"/>
    <n v="0"/>
    <n v="0"/>
    <n v="24"/>
    <m/>
  </r>
  <r>
    <n v="321"/>
    <d v="2024-04-29T14:34:12"/>
    <d v="2024-04-29T14:38:56"/>
    <s v="pchaula@lighthouse.org.mw"/>
    <s v="Pachalo Chaula"/>
    <s v="Tisungane_ZCH"/>
    <s v="COE"/>
    <x v="1"/>
    <x v="0"/>
    <s v="COP_23"/>
    <s v="Quarter1"/>
    <x v="2"/>
    <s v="Qtr_2"/>
    <x v="5"/>
    <d v="2024-02-01T00:00:00"/>
    <d v="2024-02-29T00:00:00"/>
    <x v="4"/>
    <n v="15"/>
    <n v="3"/>
    <n v="7"/>
    <n v="2"/>
    <n v="4"/>
    <n v="2"/>
    <n v="14"/>
    <n v="2"/>
    <n v="2"/>
    <n v="0"/>
    <n v="2"/>
    <n v="0"/>
    <n v="2"/>
    <n v="0"/>
    <n v="0"/>
    <n v="0"/>
    <n v="0"/>
    <n v="0"/>
    <n v="0"/>
    <n v="0"/>
    <n v="0"/>
    <n v="0"/>
    <n v="0"/>
    <n v="0"/>
    <n v="15"/>
    <m/>
  </r>
  <r>
    <n v="322"/>
    <d v="2024-04-29T14:40:24"/>
    <d v="2024-04-29T14:45:19"/>
    <s v="pchaula@lighthouse.org.mw"/>
    <s v="Pachalo Chaula"/>
    <s v="Tisungane_ZCH"/>
    <s v="COE"/>
    <x v="1"/>
    <x v="0"/>
    <s v="COP_23"/>
    <s v="Quarter1"/>
    <x v="2"/>
    <s v="Qtr_2"/>
    <x v="5"/>
    <d v="2024-02-01T00:00:00"/>
    <d v="2024-02-29T00:00:00"/>
    <x v="3"/>
    <n v="3"/>
    <n v="0"/>
    <n v="1"/>
    <n v="0"/>
    <n v="2"/>
    <n v="0"/>
    <n v="0"/>
    <n v="0"/>
    <n v="2"/>
    <n v="0"/>
    <n v="0"/>
    <n v="0"/>
    <n v="3"/>
    <n v="2"/>
    <n v="0"/>
    <n v="0"/>
    <n v="0"/>
    <n v="0"/>
    <n v="0"/>
    <n v="0"/>
    <n v="0"/>
    <n v="0"/>
    <n v="0"/>
    <n v="0"/>
    <n v="3"/>
    <m/>
  </r>
  <r>
    <n v="325"/>
    <d v="2024-04-29T15:01:33"/>
    <d v="2024-04-29T15:10:36"/>
    <s v="pchaula@lighthouse.org.mw"/>
    <s v="Pachalo Chaula"/>
    <s v="Tisungane_ZCH"/>
    <s v="COE"/>
    <x v="1"/>
    <x v="0"/>
    <s v="COP_23"/>
    <s v="Quarter1"/>
    <x v="2"/>
    <s v="Qtr_2"/>
    <x v="3"/>
    <d v="2024-03-01T00:00:00"/>
    <d v="2024-03-31T00:00:00"/>
    <x v="6"/>
    <n v="14"/>
    <n v="14"/>
    <n v="1"/>
    <n v="2"/>
    <n v="2"/>
    <n v="9"/>
    <n v="11"/>
    <n v="6"/>
    <n v="5"/>
    <n v="1"/>
    <n v="0"/>
    <n v="0"/>
    <n v="5"/>
    <n v="2"/>
    <n v="1"/>
    <n v="1"/>
    <n v="2"/>
    <n v="2"/>
    <n v="4"/>
    <n v="1"/>
    <n v="1"/>
    <n v="0"/>
    <n v="0"/>
    <n v="0"/>
    <n v="13"/>
    <m/>
  </r>
  <r>
    <n v="326"/>
    <d v="2024-04-29T15:10:47"/>
    <d v="2024-04-29T15:25:01"/>
    <s v="pchaula@lighthouse.org.mw"/>
    <s v="Pachalo Chaula"/>
    <s v="Tisungane_ZCH"/>
    <s v="COE"/>
    <x v="1"/>
    <x v="0"/>
    <s v="COP_23"/>
    <s v="Quarter1"/>
    <x v="2"/>
    <s v="Qtr_2"/>
    <x v="3"/>
    <d v="2024-03-01T00:00:00"/>
    <d v="2024-03-31T00:00:00"/>
    <x v="4"/>
    <n v="7"/>
    <n v="2"/>
    <n v="3"/>
    <n v="2"/>
    <n v="0"/>
    <n v="2"/>
    <n v="0"/>
    <n v="3"/>
    <n v="3"/>
    <n v="0"/>
    <n v="3"/>
    <n v="0"/>
    <n v="1"/>
    <n v="1"/>
    <n v="2"/>
    <n v="0"/>
    <n v="0"/>
    <n v="0"/>
    <n v="1"/>
    <n v="0"/>
    <n v="0"/>
    <n v="0"/>
    <n v="0"/>
    <n v="0"/>
    <n v="0"/>
    <m/>
  </r>
  <r>
    <n v="369"/>
    <d v="2024-05-08T11:24:29"/>
    <d v="2024-05-08T11:25:55"/>
    <s v="pchaula@lighthouse.org.mw"/>
    <s v="Pachalo Chaula"/>
    <s v="Tisungane_ZCH"/>
    <s v="COE"/>
    <x v="1"/>
    <x v="0"/>
    <s v="COP_23"/>
    <s v="Quarter1"/>
    <x v="2"/>
    <s v="Qtr_2"/>
    <x v="4"/>
    <d v="2024-01-01T00:00:00"/>
    <d v="2024-01-31T00:00:00"/>
    <x v="3"/>
    <n v="0"/>
    <n v="0"/>
    <n v="0"/>
    <n v="0"/>
    <n v="0"/>
    <n v="0"/>
    <n v="0"/>
    <n v="0"/>
    <n v="0"/>
    <n v="0"/>
    <n v="0"/>
    <n v="0"/>
    <n v="0"/>
    <n v="0"/>
    <n v="0"/>
    <n v="0"/>
    <n v="0"/>
    <n v="0"/>
    <n v="0"/>
    <n v="0"/>
    <n v="0"/>
    <n v="0"/>
    <n v="0"/>
    <n v="0"/>
    <n v="0"/>
    <m/>
  </r>
  <r>
    <n v="370"/>
    <d v="2024-05-08T11:26:01"/>
    <d v="2024-05-08T11:30:20"/>
    <s v="pchaula@lighthouse.org.mw"/>
    <s v="Pachalo Chaula"/>
    <s v="Tisungane_ZCH"/>
    <s v="COE"/>
    <x v="1"/>
    <x v="0"/>
    <s v="COP_23"/>
    <s v="Quarter1"/>
    <x v="2"/>
    <s v="Qtr_2"/>
    <x v="3"/>
    <d v="2024-03-01T00:00:00"/>
    <d v="2024-03-31T00:00:00"/>
    <x v="0"/>
    <n v="145"/>
    <n v="30"/>
    <n v="64"/>
    <n v="14"/>
    <n v="44"/>
    <n v="23"/>
    <n v="140"/>
    <n v="40"/>
    <n v="39"/>
    <n v="4"/>
    <n v="4"/>
    <n v="1"/>
    <n v="42"/>
    <n v="9"/>
    <n v="35"/>
    <n v="5"/>
    <n v="44"/>
    <n v="4"/>
    <n v="35"/>
    <n v="6"/>
    <n v="9"/>
    <n v="1"/>
    <n v="3"/>
    <n v="2"/>
    <n v="55"/>
    <m/>
  </r>
  <r>
    <n v="371"/>
    <d v="2024-05-08T11:30:39"/>
    <d v="2024-05-08T11:34:09"/>
    <s v="pchaula@lighthouse.org.mw"/>
    <s v="Pachalo Chaula"/>
    <s v="Tisungane_ZCH"/>
    <s v="COE"/>
    <x v="1"/>
    <x v="0"/>
    <s v="COP_23"/>
    <s v="Quarter1"/>
    <x v="2"/>
    <s v="Qtr_2"/>
    <x v="3"/>
    <d v="2024-03-01T00:00:00"/>
    <d v="2024-03-31T00:00:00"/>
    <x v="5"/>
    <n v="23"/>
    <n v="3"/>
    <n v="19"/>
    <n v="0"/>
    <n v="2"/>
    <n v="2"/>
    <n v="23"/>
    <n v="5"/>
    <n v="5"/>
    <n v="0"/>
    <n v="0"/>
    <n v="0"/>
    <n v="5"/>
    <n v="1"/>
    <n v="0"/>
    <n v="0"/>
    <n v="0"/>
    <n v="0"/>
    <n v="5"/>
    <n v="0"/>
    <n v="1"/>
    <n v="0"/>
    <n v="0"/>
    <n v="0"/>
    <n v="22"/>
    <m/>
  </r>
  <r>
    <n v="397"/>
    <d v="2024-05-09T14:41:32"/>
    <d v="2024-05-09T14:47:01"/>
    <s v="pchaula@lighthouse.org.mw"/>
    <s v="Pachalo Chaula"/>
    <s v="Tisungane_ZCH"/>
    <s v="COE"/>
    <x v="1"/>
    <x v="2"/>
    <s v="COP_23"/>
    <s v="Quarter2"/>
    <x v="3"/>
    <s v="Qtr_3"/>
    <x v="7"/>
    <d v="2024-04-01T00:00:00"/>
    <d v="2024-04-30T00:00:00"/>
    <x v="0"/>
    <n v="141"/>
    <n v="37"/>
    <n v="73"/>
    <n v="17"/>
    <n v="37"/>
    <n v="14"/>
    <n v="14"/>
    <n v="62"/>
    <n v="43"/>
    <n v="1"/>
    <n v="2"/>
    <n v="0"/>
    <n v="47"/>
    <n v="5"/>
    <n v="7"/>
    <n v="1"/>
    <n v="15"/>
    <n v="7"/>
    <n v="35"/>
    <n v="5"/>
    <n v="7"/>
    <n v="0"/>
    <n v="1"/>
    <n v="0"/>
    <n v="133"/>
    <m/>
  </r>
  <r>
    <n v="398"/>
    <d v="2024-05-09T14:47:19"/>
    <d v="2024-05-09T14:52:43"/>
    <s v="pchaula@lighthouse.org.mw"/>
    <s v="Pachalo Chaula"/>
    <s v="Tisungane_ZCH"/>
    <s v="COE"/>
    <x v="1"/>
    <x v="2"/>
    <s v="COP_23"/>
    <s v="Quarter2"/>
    <x v="3"/>
    <s v="Qtr_3"/>
    <x v="7"/>
    <d v="2024-04-01T00:00:00"/>
    <d v="2024-04-30T00:00:00"/>
    <x v="6"/>
    <n v="63"/>
    <n v="63"/>
    <n v="14"/>
    <n v="20"/>
    <n v="25"/>
    <n v="4"/>
    <n v="62"/>
    <n v="24"/>
    <n v="22"/>
    <n v="2"/>
    <n v="4"/>
    <n v="0"/>
    <n v="20"/>
    <n v="3"/>
    <n v="1"/>
    <n v="0"/>
    <n v="4"/>
    <n v="1"/>
    <n v="11"/>
    <n v="2"/>
    <n v="4"/>
    <n v="4"/>
    <n v="0"/>
    <n v="2"/>
    <n v="2"/>
    <m/>
  </r>
  <r>
    <n v="400"/>
    <d v="2024-05-09T14:58:09"/>
    <d v="2024-05-09T15:01:03"/>
    <s v="pchaula@lighthouse.org.mw"/>
    <s v="Pachalo Chaula"/>
    <s v="Tisungane_ZCH"/>
    <s v="COE"/>
    <x v="1"/>
    <x v="2"/>
    <s v="COP_23"/>
    <s v="Quarter2"/>
    <x v="3"/>
    <s v="Qtr_3"/>
    <x v="7"/>
    <d v="2024-04-01T00:00:00"/>
    <d v="2024-04-30T00:00:00"/>
    <x v="5"/>
    <n v="31"/>
    <n v="0"/>
    <n v="37"/>
    <n v="1"/>
    <n v="1"/>
    <n v="2"/>
    <n v="31"/>
    <n v="5"/>
    <n v="5"/>
    <n v="0"/>
    <n v="0"/>
    <n v="0"/>
    <n v="0"/>
    <n v="0"/>
    <n v="2"/>
    <n v="0"/>
    <n v="3"/>
    <n v="0"/>
    <n v="5"/>
    <n v="0"/>
    <n v="2"/>
    <n v="0"/>
    <n v="0"/>
    <n v="0"/>
    <n v="29"/>
    <m/>
  </r>
  <r>
    <n v="401"/>
    <d v="2024-05-09T15:01:17"/>
    <d v="2024-05-09T15:02:21"/>
    <s v="pchaula@lighthouse.org.mw"/>
    <s v="Pachalo Chaula"/>
    <s v="Tisungane_ZCH"/>
    <s v="COE"/>
    <x v="1"/>
    <x v="2"/>
    <s v="COP_23"/>
    <s v="Quarter2"/>
    <x v="3"/>
    <s v="Qtr_3"/>
    <x v="7"/>
    <d v="2024-04-01T00:00:00"/>
    <d v="2024-04-30T00:00:00"/>
    <x v="3"/>
    <n v="0"/>
    <n v="0"/>
    <n v="0"/>
    <n v="0"/>
    <n v="0"/>
    <n v="0"/>
    <n v="0"/>
    <n v="0"/>
    <n v="0"/>
    <n v="0"/>
    <n v="0"/>
    <n v="0"/>
    <n v="0"/>
    <n v="0"/>
    <n v="0"/>
    <n v="0"/>
    <n v="0"/>
    <n v="0"/>
    <n v="0"/>
    <n v="0"/>
    <n v="0"/>
    <n v="0"/>
    <n v="0"/>
    <n v="0"/>
    <n v="0"/>
    <m/>
  </r>
  <r>
    <n v="402"/>
    <d v="2024-05-09T15:02:34"/>
    <d v="2024-05-09T15:06:37"/>
    <s v="pchaula@lighthouse.org.mw"/>
    <s v="Pachalo Chaula"/>
    <s v="Tisungane_ZCH"/>
    <s v="COE"/>
    <x v="1"/>
    <x v="2"/>
    <s v="COP_23"/>
    <s v="Quarter2"/>
    <x v="3"/>
    <s v="Qtr_3"/>
    <x v="7"/>
    <d v="2024-04-01T00:00:00"/>
    <d v="2024-04-30T00:00:00"/>
    <x v="4"/>
    <n v="8"/>
    <n v="0"/>
    <n v="4"/>
    <n v="2"/>
    <n v="2"/>
    <n v="0"/>
    <n v="8"/>
    <n v="2"/>
    <n v="0"/>
    <n v="0"/>
    <n v="0"/>
    <n v="0"/>
    <n v="2"/>
    <n v="0"/>
    <n v="0"/>
    <n v="0"/>
    <n v="0"/>
    <n v="0"/>
    <n v="2"/>
    <n v="0"/>
    <n v="0"/>
    <n v="0"/>
    <n v="0"/>
    <n v="0"/>
    <n v="8"/>
    <m/>
  </r>
  <r>
    <n v="515"/>
    <d v="2024-06-07T10:43:26"/>
    <d v="2024-06-07T10:50:20"/>
    <s v="pchaula@lighthouse.org.mw"/>
    <s v="Pachalo Chaula"/>
    <s v="Tisungane_ZCH"/>
    <s v="COE"/>
    <x v="1"/>
    <x v="2"/>
    <s v="COP_23"/>
    <s v="Quarter2"/>
    <x v="3"/>
    <s v="Qtr_3"/>
    <x v="6"/>
    <d v="2024-05-01T00:00:00"/>
    <d v="2024-05-31T00:00:00"/>
    <x v="0"/>
    <n v="124"/>
    <n v="24"/>
    <n v="82"/>
    <n v="9"/>
    <n v="17"/>
    <n v="16"/>
    <n v="71"/>
    <n v="20"/>
    <n v="72"/>
    <n v="2"/>
    <n v="3"/>
    <n v="1"/>
    <n v="9"/>
    <n v="0"/>
    <n v="11"/>
    <n v="0"/>
    <n v="4"/>
    <n v="0"/>
    <n v="49"/>
    <n v="4"/>
    <n v="3"/>
    <n v="1"/>
    <n v="2"/>
    <n v="4"/>
    <n v="114"/>
    <m/>
  </r>
  <r>
    <n v="521"/>
    <d v="2024-06-07T10:54:53"/>
    <d v="2024-06-07T11:09:56"/>
    <s v="pchaula@lighthouse.org.mw"/>
    <s v="Pachalo Chaula"/>
    <s v="Tisungane_ZCH"/>
    <s v="COE"/>
    <x v="1"/>
    <x v="2"/>
    <s v="COP_23"/>
    <s v="Quarter2"/>
    <x v="3"/>
    <s v="Qtr_3"/>
    <x v="6"/>
    <d v="2024-05-01T00:00:00"/>
    <d v="2024-05-31T00:00:00"/>
    <x v="6"/>
    <n v="54"/>
    <n v="54"/>
    <n v="18"/>
    <n v="7"/>
    <n v="14"/>
    <n v="15"/>
    <n v="35"/>
    <n v="10"/>
    <n v="22"/>
    <n v="2"/>
    <n v="2"/>
    <n v="1"/>
    <n v="4"/>
    <n v="1"/>
    <n v="8"/>
    <n v="1"/>
    <n v="11"/>
    <n v="7"/>
    <n v="26"/>
    <n v="6"/>
    <n v="6"/>
    <n v="1"/>
    <n v="0"/>
    <n v="0"/>
    <n v="47"/>
    <m/>
  </r>
  <r>
    <n v="524"/>
    <d v="2024-06-07T11:13:00"/>
    <d v="2024-06-07T11:14:48"/>
    <s v="pchaula@lighthouse.org.mw"/>
    <s v="Pachalo Chaula"/>
    <s v="Tisungane_ZCH"/>
    <s v="COE"/>
    <x v="1"/>
    <x v="2"/>
    <s v="COP_23"/>
    <s v="Quarter2"/>
    <x v="3"/>
    <s v="Qtr_3"/>
    <x v="6"/>
    <d v="2024-05-01T00:00:00"/>
    <d v="2024-05-31T00:00:00"/>
    <x v="4"/>
    <n v="6"/>
    <n v="1"/>
    <n v="3"/>
    <n v="1"/>
    <n v="1"/>
    <n v="1"/>
    <n v="2"/>
    <n v="1"/>
    <n v="4"/>
    <n v="0"/>
    <n v="1"/>
    <n v="0"/>
    <n v="1"/>
    <n v="0"/>
    <n v="0"/>
    <n v="0"/>
    <n v="0"/>
    <n v="0"/>
    <n v="2"/>
    <n v="0"/>
    <n v="0"/>
    <n v="0"/>
    <n v="0"/>
    <n v="0"/>
    <n v="6"/>
    <m/>
  </r>
  <r>
    <n v="526"/>
    <d v="2024-06-07T11:15:26"/>
    <d v="2024-06-07T11:37:57"/>
    <s v="pchaula@lighthouse.org.mw"/>
    <s v="Pachalo Chaula"/>
    <s v="Tisungane_ZCH"/>
    <s v="COE"/>
    <x v="1"/>
    <x v="2"/>
    <s v="COP_23"/>
    <s v="Quarter2"/>
    <x v="3"/>
    <s v="Qtr_3"/>
    <x v="6"/>
    <d v="2024-05-01T00:00:00"/>
    <d v="2024-05-31T00:00:00"/>
    <x v="5"/>
    <n v="17"/>
    <n v="1"/>
    <n v="14"/>
    <n v="0"/>
    <n v="2"/>
    <n v="1"/>
    <n v="12"/>
    <n v="2"/>
    <n v="0"/>
    <n v="0"/>
    <n v="0"/>
    <n v="0"/>
    <n v="2"/>
    <n v="0"/>
    <n v="0"/>
    <n v="0"/>
    <n v="0"/>
    <n v="0"/>
    <n v="2"/>
    <n v="0"/>
    <n v="0"/>
    <n v="0"/>
    <n v="0"/>
    <n v="0"/>
    <n v="17"/>
    <m/>
  </r>
  <r>
    <n v="527"/>
    <d v="2024-06-07T15:41:11"/>
    <d v="2024-06-07T15:45:14"/>
    <s v="pchaula@lighthouse.org.mw"/>
    <s v="Pachalo Chaula"/>
    <s v="Tisungane_ZCH"/>
    <s v="COE"/>
    <x v="1"/>
    <x v="2"/>
    <s v="COP_23"/>
    <s v="Quarter2"/>
    <x v="3"/>
    <s v="Qtr_3"/>
    <x v="6"/>
    <d v="2024-05-01T00:00:00"/>
    <d v="2024-05-31T00:00:00"/>
    <x v="3"/>
    <n v="7"/>
    <n v="1"/>
    <n v="3"/>
    <n v="0"/>
    <n v="2"/>
    <n v="2"/>
    <n v="0"/>
    <n v="0"/>
    <n v="0"/>
    <n v="0"/>
    <n v="0"/>
    <n v="0"/>
    <n v="0"/>
    <n v="0"/>
    <n v="0"/>
    <n v="0"/>
    <n v="0"/>
    <n v="0"/>
    <n v="2"/>
    <n v="1"/>
    <n v="1"/>
    <n v="0"/>
    <n v="0"/>
    <n v="0"/>
    <n v="6"/>
    <m/>
  </r>
  <r>
    <n v="581"/>
    <d v="2024-07-04T13:27:16"/>
    <d v="2024-07-04T13:33:23"/>
    <s v="pchaula@lighthouse.org.mw"/>
    <s v="Pachalo Chaula"/>
    <s v="Tisungane_ZCH"/>
    <s v="COE"/>
    <x v="1"/>
    <x v="2"/>
    <s v="COP_23"/>
    <s v="Quarter2"/>
    <x v="3"/>
    <s v="Qtr_3"/>
    <x v="8"/>
    <d v="2024-06-01T00:00:00"/>
    <d v="2024-06-30T00:00:00"/>
    <x v="0"/>
    <n v="158"/>
    <n v="46"/>
    <n v="85"/>
    <n v="15"/>
    <n v="36"/>
    <n v="22"/>
    <n v="156"/>
    <n v="42"/>
    <n v="46"/>
    <n v="1"/>
    <n v="5"/>
    <n v="0"/>
    <n v="0"/>
    <n v="0"/>
    <n v="6"/>
    <n v="1"/>
    <n v="15"/>
    <n v="6"/>
    <n v="39"/>
    <n v="6"/>
    <n v="7"/>
    <n v="0"/>
    <n v="1"/>
    <n v="7"/>
    <n v="143"/>
    <m/>
  </r>
  <r>
    <n v="583"/>
    <d v="2024-07-04T13:37:42"/>
    <d v="2024-07-04T13:43:14"/>
    <s v="pchaula@lighthouse.org.mw"/>
    <s v="Pachalo Chaula"/>
    <s v="Tisungane_ZCH"/>
    <s v="COE"/>
    <x v="1"/>
    <x v="2"/>
    <s v="COP_23"/>
    <s v="Quarter2"/>
    <x v="3"/>
    <s v="Qtr_3"/>
    <x v="8"/>
    <d v="2024-06-01T00:00:00"/>
    <d v="2024-06-30T00:00:00"/>
    <x v="4"/>
    <n v="7"/>
    <n v="3"/>
    <n v="5"/>
    <n v="1"/>
    <n v="0"/>
    <n v="1"/>
    <n v="7"/>
    <n v="1"/>
    <n v="2"/>
    <n v="0"/>
    <n v="0"/>
    <n v="0"/>
    <n v="0"/>
    <n v="0"/>
    <n v="0"/>
    <n v="0"/>
    <n v="0"/>
    <n v="0"/>
    <n v="1"/>
    <n v="0"/>
    <n v="0"/>
    <n v="0"/>
    <n v="0"/>
    <n v="1"/>
    <n v="6"/>
    <m/>
  </r>
  <r>
    <n v="584"/>
    <d v="2024-07-04T13:45:33"/>
    <d v="2024-07-04T14:07:17"/>
    <s v="pchaula@lighthouse.org.mw"/>
    <s v="Pachalo Chaula"/>
    <s v="Tisungane_ZCH"/>
    <s v="COE"/>
    <x v="1"/>
    <x v="2"/>
    <s v="COP_23"/>
    <s v="Quarter2"/>
    <x v="3"/>
    <s v="Qtr_3"/>
    <x v="8"/>
    <d v="2024-06-01T00:00:00"/>
    <d v="2024-06-30T00:00:00"/>
    <x v="5"/>
    <n v="29"/>
    <n v="4"/>
    <n v="23"/>
    <n v="2"/>
    <n v="1"/>
    <n v="32"/>
    <n v="28"/>
    <n v="7"/>
    <n v="7"/>
    <n v="0"/>
    <n v="1"/>
    <n v="0"/>
    <n v="0"/>
    <n v="0"/>
    <n v="0"/>
    <n v="0"/>
    <n v="0"/>
    <n v="0"/>
    <n v="6"/>
    <n v="1"/>
    <n v="1"/>
    <n v="0"/>
    <n v="0"/>
    <n v="1"/>
    <n v="27"/>
    <m/>
  </r>
  <r>
    <n v="585"/>
    <d v="2024-07-04T14:07:26"/>
    <d v="2024-07-04T14:11:43"/>
    <s v="pchaula@lighthouse.org.mw"/>
    <s v="Pachalo Chaula"/>
    <s v="Tisungane_ZCH"/>
    <s v="COE"/>
    <x v="1"/>
    <x v="2"/>
    <s v="COP_23"/>
    <s v="Quarter2"/>
    <x v="3"/>
    <s v="Qtr_3"/>
    <x v="8"/>
    <d v="2024-06-01T00:00:00"/>
    <d v="2024-06-30T00:00:00"/>
    <x v="3"/>
    <n v="1"/>
    <n v="0"/>
    <n v="1"/>
    <n v="0"/>
    <n v="0"/>
    <n v="0"/>
    <n v="0"/>
    <n v="0"/>
    <n v="1"/>
    <n v="0"/>
    <n v="0"/>
    <n v="0"/>
    <n v="0"/>
    <n v="0"/>
    <n v="0"/>
    <n v="0"/>
    <n v="0"/>
    <n v="0"/>
    <n v="1"/>
    <n v="0"/>
    <n v="0"/>
    <n v="0"/>
    <n v="0"/>
    <n v="0"/>
    <n v="1"/>
    <m/>
  </r>
  <r>
    <n v="587"/>
    <d v="2024-07-04T14:16:07"/>
    <d v="2024-07-04T14:20:20"/>
    <s v="pchaula@lighthouse.org.mw"/>
    <s v="Pachalo Chaula"/>
    <s v="Tisungane_ZCH"/>
    <s v="COE"/>
    <x v="1"/>
    <x v="2"/>
    <s v="COP_23"/>
    <s v="Quarter2"/>
    <x v="3"/>
    <s v="Qtr_3"/>
    <x v="8"/>
    <d v="2024-06-01T00:00:00"/>
    <d v="2024-06-30T00:00:00"/>
    <x v="6"/>
    <n v="44"/>
    <n v="44"/>
    <n v="31"/>
    <n v="2"/>
    <n v="9"/>
    <n v="2"/>
    <n v="44"/>
    <n v="16"/>
    <n v="16"/>
    <n v="0"/>
    <n v="2"/>
    <n v="0"/>
    <n v="0"/>
    <n v="0"/>
    <n v="5"/>
    <n v="0"/>
    <n v="7"/>
    <n v="1"/>
    <n v="12"/>
    <n v="1"/>
    <n v="1"/>
    <n v="0"/>
    <n v="0"/>
    <n v="1"/>
    <n v="42"/>
    <m/>
  </r>
  <r>
    <n v="711"/>
    <d v="2024-08-05T13:56:32"/>
    <d v="2024-08-05T14:03:02"/>
    <s v="pchaula@lighthouse.org.mw"/>
    <s v="Pachalo Chaula"/>
    <s v="Tisungane_ZCH"/>
    <s v="COE"/>
    <x v="1"/>
    <x v="0"/>
    <s v="COP_23"/>
    <s v="Quarter3"/>
    <x v="1"/>
    <s v="Qtr_4"/>
    <x v="9"/>
    <d v="2024-07-01T00:00:00"/>
    <d v="2024-07-31T00:00:00"/>
    <x v="0"/>
    <n v="127"/>
    <n v="33"/>
    <n v="67"/>
    <n v="16"/>
    <n v="36"/>
    <n v="8"/>
    <n v="122"/>
    <n v="37"/>
    <n v="48"/>
    <n v="0"/>
    <n v="5"/>
    <n v="0"/>
    <n v="0"/>
    <n v="0"/>
    <n v="2"/>
    <n v="0"/>
    <n v="19"/>
    <n v="11"/>
    <n v="43"/>
    <n v="0"/>
    <n v="0"/>
    <n v="0"/>
    <n v="0"/>
    <n v="3"/>
    <n v="124"/>
    <m/>
  </r>
  <r>
    <n v="718"/>
    <d v="2024-08-05T15:01:43"/>
    <d v="2024-08-06T08:14:22"/>
    <s v="pchaula@lighthouse.org.mw"/>
    <s v="Pachalo Chaula"/>
    <s v="Tisungane_ZCH"/>
    <s v="COE"/>
    <x v="1"/>
    <x v="0"/>
    <s v="COP_23"/>
    <s v="Quarter3"/>
    <x v="1"/>
    <s v="Qtr_4"/>
    <x v="9"/>
    <d v="2024-07-01T00:00:00"/>
    <d v="2024-07-31T00:00:00"/>
    <x v="5"/>
    <n v="26"/>
    <n v="0"/>
    <n v="20"/>
    <n v="5"/>
    <n v="1"/>
    <n v="0"/>
    <n v="26"/>
    <n v="6"/>
    <n v="7"/>
    <n v="0"/>
    <n v="0"/>
    <n v="0"/>
    <n v="0"/>
    <n v="0"/>
    <n v="0"/>
    <n v="0"/>
    <n v="1"/>
    <n v="0"/>
    <n v="5"/>
    <n v="0"/>
    <n v="0"/>
    <n v="0"/>
    <n v="0"/>
    <n v="0"/>
    <n v="26"/>
    <m/>
  </r>
  <r>
    <n v="719"/>
    <d v="2024-08-06T08:14:26"/>
    <d v="2024-08-06T08:16:31"/>
    <s v="pchaula@lighthouse.org.mw"/>
    <s v="Pachalo Chaula"/>
    <s v="Tisungane_ZCH"/>
    <s v="COE"/>
    <x v="1"/>
    <x v="0"/>
    <s v="COP_23"/>
    <s v="Quarter3"/>
    <x v="1"/>
    <s v="Qtr_4"/>
    <x v="9"/>
    <d v="2024-07-01T00:00:00"/>
    <d v="2024-07-31T00:00:00"/>
    <x v="4"/>
    <n v="4"/>
    <n v="0"/>
    <n v="4"/>
    <n v="0"/>
    <n v="0"/>
    <n v="0"/>
    <n v="4"/>
    <n v="0"/>
    <n v="4"/>
    <n v="0"/>
    <n v="4"/>
    <n v="0"/>
    <n v="0"/>
    <n v="0"/>
    <n v="0"/>
    <n v="0"/>
    <n v="0"/>
    <n v="0"/>
    <n v="0"/>
    <n v="0"/>
    <n v="0"/>
    <n v="0"/>
    <n v="0"/>
    <n v="0"/>
    <n v="4"/>
    <m/>
  </r>
  <r>
    <n v="720"/>
    <d v="2024-08-06T08:16:57"/>
    <d v="2024-08-06T08:19:40"/>
    <s v="pchaula@lighthouse.org.mw"/>
    <s v="Pachalo Chaula"/>
    <s v="Tisungane_ZCH"/>
    <s v="COE"/>
    <x v="1"/>
    <x v="0"/>
    <s v="COP_23"/>
    <s v="Quarter3"/>
    <x v="1"/>
    <s v="Qtr_4"/>
    <x v="9"/>
    <d v="2024-07-01T00:00:00"/>
    <d v="2024-07-31T00:00:00"/>
    <x v="3"/>
    <n v="1"/>
    <n v="1"/>
    <n v="0"/>
    <n v="0"/>
    <n v="0"/>
    <n v="1"/>
    <n v="0"/>
    <n v="0"/>
    <n v="0"/>
    <n v="0"/>
    <n v="0"/>
    <n v="0"/>
    <n v="0"/>
    <n v="0"/>
    <n v="0"/>
    <n v="0"/>
    <n v="0"/>
    <n v="0"/>
    <n v="1"/>
    <n v="1"/>
    <n v="1"/>
    <n v="0"/>
    <n v="0"/>
    <n v="0"/>
    <n v="1"/>
    <m/>
  </r>
  <r>
    <n v="721"/>
    <d v="2024-08-06T08:19:52"/>
    <d v="2024-08-06T08:24:48"/>
    <s v="pchaula@lighthouse.org.mw"/>
    <s v="Pachalo Chaula"/>
    <s v="Tisungane_ZCH"/>
    <s v="COE"/>
    <x v="1"/>
    <x v="0"/>
    <s v="COP_23"/>
    <s v="Quarter3"/>
    <x v="1"/>
    <s v="Qtr_4"/>
    <x v="9"/>
    <d v="2024-07-01T00:00:00"/>
    <d v="2024-07-31T00:00:00"/>
    <x v="6"/>
    <n v="30"/>
    <n v="30"/>
    <n v="12"/>
    <n v="3"/>
    <n v="8"/>
    <n v="7"/>
    <n v="26"/>
    <n v="7"/>
    <n v="11"/>
    <n v="0"/>
    <n v="2"/>
    <n v="0"/>
    <n v="0"/>
    <n v="0"/>
    <n v="1"/>
    <n v="1"/>
    <n v="2"/>
    <n v="2"/>
    <n v="10"/>
    <n v="3"/>
    <n v="2"/>
    <n v="0"/>
    <n v="0"/>
    <n v="0"/>
    <n v="28"/>
    <m/>
  </r>
  <r>
    <n v="799"/>
    <d v="2024-09-12T08:54:16"/>
    <d v="2024-09-12T08:58:45"/>
    <s v="pchaula@lighthouse.org.mw"/>
    <s v="Pachalo Chaula"/>
    <s v="Tisungane_ZCH"/>
    <s v="COE"/>
    <x v="1"/>
    <x v="0"/>
    <s v="COP_23"/>
    <s v="Quarter3"/>
    <x v="1"/>
    <s v="Qtr_4"/>
    <x v="10"/>
    <d v="2024-08-01T00:00:00"/>
    <d v="2024-08-31T00:00:00"/>
    <x v="0"/>
    <n v="102"/>
    <n v="38"/>
    <n v="49"/>
    <n v="11"/>
    <n v="30"/>
    <n v="12"/>
    <n v="80"/>
    <n v="20"/>
    <n v="20"/>
    <n v="3"/>
    <n v="3"/>
    <n v="0"/>
    <n v="7"/>
    <n v="1"/>
    <n v="5"/>
    <n v="2"/>
    <n v="17"/>
    <n v="8"/>
    <n v="40"/>
    <n v="8"/>
    <n v="10"/>
    <n v="0"/>
    <n v="3"/>
    <n v="1"/>
    <n v="88"/>
    <m/>
  </r>
  <r>
    <n v="801"/>
    <d v="2024-09-12T09:03:53"/>
    <d v="2024-09-12T09:09:14"/>
    <s v="pchaula@lighthouse.org.mw"/>
    <s v="Pachalo Chaula"/>
    <s v="Tisungane_ZCH"/>
    <s v="COE"/>
    <x v="1"/>
    <x v="0"/>
    <s v="COP_23"/>
    <s v="Quarter3"/>
    <x v="1"/>
    <s v="Qtr_4"/>
    <x v="10"/>
    <d v="2024-08-31T00:00:00"/>
    <d v="2024-08-31T00:00:00"/>
    <x v="5"/>
    <n v="15"/>
    <n v="2"/>
    <n v="12"/>
    <n v="2"/>
    <n v="0"/>
    <n v="1"/>
    <n v="13"/>
    <n v="2"/>
    <n v="0"/>
    <n v="0"/>
    <n v="0"/>
    <n v="0"/>
    <n v="2"/>
    <n v="0"/>
    <n v="1"/>
    <n v="0"/>
    <n v="1"/>
    <n v="0"/>
    <n v="14"/>
    <n v="1"/>
    <n v="1"/>
    <n v="0"/>
    <n v="0"/>
    <n v="0"/>
    <n v="24"/>
    <m/>
  </r>
  <r>
    <n v="802"/>
    <d v="2024-09-12T09:09:28"/>
    <d v="2024-09-12T09:12:09"/>
    <s v="pchaula@lighthouse.org.mw"/>
    <s v="Pachalo Chaula"/>
    <s v="Tisungane_ZCH"/>
    <s v="COE"/>
    <x v="1"/>
    <x v="0"/>
    <s v="COP_23"/>
    <s v="Quarter3"/>
    <x v="1"/>
    <s v="Qtr_4"/>
    <x v="10"/>
    <d v="2024-08-01T00:00:00"/>
    <d v="2024-08-31T00:00:00"/>
    <x v="3"/>
    <n v="3"/>
    <n v="1"/>
    <n v="2"/>
    <n v="0"/>
    <n v="1"/>
    <n v="0"/>
    <n v="0"/>
    <n v="0"/>
    <n v="3"/>
    <n v="0"/>
    <n v="0"/>
    <n v="0"/>
    <n v="0"/>
    <n v="0"/>
    <n v="0"/>
    <n v="0"/>
    <n v="0"/>
    <n v="0"/>
    <n v="0"/>
    <n v="0"/>
    <n v="0"/>
    <n v="0"/>
    <n v="0"/>
    <n v="0"/>
    <n v="3"/>
    <m/>
  </r>
  <r>
    <n v="803"/>
    <d v="2024-09-12T09:12:20"/>
    <d v="2024-09-12T09:18:04"/>
    <s v="pchaula@lighthouse.org.mw"/>
    <s v="Pachalo Chaula"/>
    <s v="Tisungane_ZCH"/>
    <s v="COE"/>
    <x v="1"/>
    <x v="0"/>
    <s v="COP_23"/>
    <s v="Quarter3"/>
    <x v="1"/>
    <s v="Qtr_4"/>
    <x v="10"/>
    <d v="2024-08-01T00:00:00"/>
    <d v="2024-08-31T00:00:00"/>
    <x v="6"/>
    <n v="29"/>
    <n v="29"/>
    <n v="0"/>
    <n v="5"/>
    <n v="21"/>
    <n v="3"/>
    <n v="25"/>
    <n v="7"/>
    <n v="7"/>
    <n v="0"/>
    <n v="0"/>
    <n v="0"/>
    <n v="2"/>
    <n v="0"/>
    <n v="2"/>
    <n v="0"/>
    <n v="4"/>
    <n v="1"/>
    <n v="13"/>
    <n v="1"/>
    <n v="0"/>
    <n v="0"/>
    <n v="0"/>
    <n v="1"/>
    <n v="28"/>
    <m/>
  </r>
  <r>
    <n v="804"/>
    <d v="2024-09-12T09:18:15"/>
    <d v="2024-09-12T09:21:26"/>
    <s v="pchaula@lighthouse.org.mw"/>
    <s v="Pachalo Chaula"/>
    <s v="Tisungane_ZCH"/>
    <s v="COE"/>
    <x v="1"/>
    <x v="0"/>
    <s v="COP_23"/>
    <s v="Quarter3"/>
    <x v="1"/>
    <s v="Qtr_4"/>
    <x v="10"/>
    <d v="2024-08-01T00:00:00"/>
    <d v="2024-08-31T00:00:00"/>
    <x v="4"/>
    <n v="2"/>
    <n v="1"/>
    <n v="0"/>
    <n v="1"/>
    <n v="1"/>
    <n v="0"/>
    <n v="2"/>
    <n v="1"/>
    <n v="2"/>
    <n v="0"/>
    <n v="1"/>
    <n v="0"/>
    <n v="0"/>
    <n v="0"/>
    <n v="0"/>
    <n v="0"/>
    <n v="0"/>
    <n v="0"/>
    <n v="1"/>
    <n v="0"/>
    <n v="0"/>
    <n v="0"/>
    <n v="0"/>
    <n v="0"/>
    <n v="2"/>
    <m/>
  </r>
  <r>
    <n v="904"/>
    <d v="2024-10-08T15:12:18"/>
    <d v="2024-10-08T15:17:11"/>
    <s v="pchaula@lighthouse.org.mw"/>
    <s v="Pachalo Chaula"/>
    <s v="Tisungane_ZCH"/>
    <s v="COE"/>
    <x v="1"/>
    <x v="0"/>
    <s v="COP_23"/>
    <s v="Quarter3"/>
    <x v="1"/>
    <s v="Qtr_4"/>
    <x v="2"/>
    <d v="2024-09-01T00:00:00"/>
    <d v="2024-09-30T00:00:00"/>
    <x v="0"/>
    <n v="186"/>
    <n v="52"/>
    <n v="101"/>
    <n v="22"/>
    <n v="42"/>
    <n v="21"/>
    <n v="184"/>
    <n v="51"/>
    <n v="54"/>
    <n v="3"/>
    <n v="3"/>
    <n v="0"/>
    <n v="56"/>
    <n v="4"/>
    <n v="3"/>
    <n v="1"/>
    <n v="12"/>
    <n v="5"/>
    <n v="63"/>
    <n v="8"/>
    <n v="6"/>
    <n v="0"/>
    <n v="3"/>
    <n v="3"/>
    <n v="174"/>
    <m/>
  </r>
  <r>
    <n v="905"/>
    <d v="2024-10-08T15:17:20"/>
    <d v="2024-10-08T15:19:30"/>
    <s v="pchaula@lighthouse.org.mw"/>
    <s v="Pachalo Chaula"/>
    <s v="Tisungane_ZCH"/>
    <s v="COE"/>
    <x v="1"/>
    <x v="0"/>
    <s v="COP_23"/>
    <s v="Quarter3"/>
    <x v="1"/>
    <s v="Qtr_4"/>
    <x v="2"/>
    <d v="2024-09-01T00:00:00"/>
    <d v="2024-09-30T00:00:00"/>
    <x v="3"/>
    <n v="1"/>
    <n v="0"/>
    <n v="0"/>
    <n v="1"/>
    <n v="0"/>
    <n v="0"/>
    <n v="1"/>
    <n v="1"/>
    <n v="1"/>
    <n v="0"/>
    <n v="1"/>
    <n v="0"/>
    <n v="1"/>
    <n v="0"/>
    <n v="0"/>
    <n v="0"/>
    <n v="0"/>
    <n v="0"/>
    <n v="1"/>
    <n v="0"/>
    <n v="0"/>
    <n v="0"/>
    <n v="0"/>
    <n v="0"/>
    <n v="1"/>
    <m/>
  </r>
  <r>
    <n v="906"/>
    <d v="2024-10-08T15:19:37"/>
    <d v="2024-10-08T15:22:30"/>
    <s v="pchaula@lighthouse.org.mw"/>
    <s v="Pachalo Chaula"/>
    <s v="Tisungane_ZCH"/>
    <s v="COE"/>
    <x v="1"/>
    <x v="0"/>
    <s v="COP_23"/>
    <s v="Quarter3"/>
    <x v="1"/>
    <s v="Qtr_4"/>
    <x v="2"/>
    <d v="2024-09-01T00:00:00"/>
    <d v="2024-09-30T00:00:00"/>
    <x v="6"/>
    <n v="27"/>
    <n v="27"/>
    <n v="7"/>
    <n v="5"/>
    <n v="9"/>
    <n v="6"/>
    <n v="27"/>
    <n v="11"/>
    <n v="12"/>
    <n v="2"/>
    <n v="2"/>
    <n v="0"/>
    <n v="14"/>
    <n v="0"/>
    <n v="3"/>
    <n v="0"/>
    <n v="6"/>
    <n v="1"/>
    <n v="15"/>
    <n v="4"/>
    <n v="2"/>
    <n v="0"/>
    <n v="2"/>
    <n v="1"/>
    <n v="22"/>
    <m/>
  </r>
  <r>
    <n v="908"/>
    <d v="2024-10-08T15:26:49"/>
    <d v="2024-10-08T15:29:30"/>
    <s v="pchaula@lighthouse.org.mw"/>
    <s v="Pachalo Chaula"/>
    <s v="Tisungane_ZCH"/>
    <s v="COE"/>
    <x v="1"/>
    <x v="0"/>
    <s v="COP_23"/>
    <s v="Quarter3"/>
    <x v="1"/>
    <s v="Qtr_4"/>
    <x v="2"/>
    <d v="2024-09-01T00:00:00"/>
    <d v="2024-09-30T00:00:00"/>
    <x v="4"/>
    <n v="6"/>
    <n v="0"/>
    <n v="4"/>
    <n v="1"/>
    <n v="1"/>
    <n v="0"/>
    <n v="6"/>
    <n v="1"/>
    <n v="1"/>
    <n v="0"/>
    <n v="0"/>
    <n v="0"/>
    <n v="1"/>
    <n v="0"/>
    <n v="0"/>
    <n v="0"/>
    <n v="1"/>
    <n v="0"/>
    <n v="2"/>
    <n v="0"/>
    <n v="0"/>
    <n v="0"/>
    <n v="0"/>
    <n v="0"/>
    <n v="6"/>
    <m/>
  </r>
  <r>
    <n v="909"/>
    <d v="2024-10-08T15:29:43"/>
    <d v="2024-10-08T15:35:29"/>
    <s v="pchaula@lighthouse.org.mw"/>
    <s v="Pachalo Chaula"/>
    <s v="Tisungane_ZCH"/>
    <s v="COE"/>
    <x v="1"/>
    <x v="0"/>
    <s v="COP_23"/>
    <s v="Quarter3"/>
    <x v="1"/>
    <s v="Qtr_4"/>
    <x v="2"/>
    <d v="2024-09-01T00:00:00"/>
    <d v="2024-09-30T00:00:00"/>
    <x v="5"/>
    <n v="27"/>
    <n v="4"/>
    <n v="21"/>
    <n v="2"/>
    <n v="2"/>
    <n v="2"/>
    <n v="27"/>
    <n v="6"/>
    <n v="9"/>
    <n v="0"/>
    <n v="0"/>
    <n v="0"/>
    <n v="6"/>
    <n v="0"/>
    <n v="1"/>
    <n v="0"/>
    <n v="0"/>
    <n v="0"/>
    <n v="13"/>
    <n v="3"/>
    <n v="2"/>
    <n v="0"/>
    <n v="0"/>
    <n v="0"/>
    <n v="25"/>
    <m/>
  </r>
  <r>
    <n v="80"/>
    <d v="2024-01-11T15:34:00"/>
    <d v="2024-01-11T15:56:34"/>
    <s v="cdziwe@lighthouse.org.mw"/>
    <s v="Clement Dziwe"/>
    <s v="Tisungane_ZCH"/>
    <s v="COE"/>
    <x v="0"/>
    <x v="0"/>
    <s v="COP_23"/>
    <s v="Quarter4"/>
    <x v="0"/>
    <s v="Qtr_1"/>
    <x v="11"/>
    <d v="2023-12-01T00:00:00"/>
    <d v="2023-12-31T00:00:00"/>
    <x v="1"/>
    <n v="31"/>
    <n v="8"/>
    <n v="12"/>
    <n v="12"/>
    <n v="5"/>
    <n v="2"/>
    <n v="30"/>
    <n v="16"/>
    <n v="16"/>
    <n v="1"/>
    <n v="1"/>
    <n v="0"/>
    <n v="16"/>
    <n v="2"/>
    <n v="0"/>
    <n v="0"/>
    <n v="0"/>
    <n v="0"/>
    <n v="8"/>
    <n v="0"/>
    <n v="2"/>
    <n v="0"/>
    <n v="1"/>
    <n v="0"/>
    <n v="13"/>
    <m/>
  </r>
  <r>
    <n v="79"/>
    <d v="2024-01-11T15:14:34"/>
    <d v="2024-01-11T15:30:41"/>
    <s v="cdziwe@lighthouse.org.mw"/>
    <s v="Clement Dziwe"/>
    <s v="Tisungane_ZCH"/>
    <s v="COE"/>
    <x v="0"/>
    <x v="0"/>
    <s v="COP_23"/>
    <s v="Quarter4"/>
    <x v="0"/>
    <s v="Qtr_1"/>
    <x v="11"/>
    <d v="2023-12-01T00:00:00"/>
    <d v="2023-12-31T00:00:00"/>
    <x v="2"/>
    <n v="7"/>
    <n v="2"/>
    <n v="2"/>
    <n v="1"/>
    <n v="2"/>
    <n v="2"/>
    <n v="7"/>
    <n v="3"/>
    <n v="3"/>
    <n v="0"/>
    <n v="0"/>
    <n v="0"/>
    <n v="4"/>
    <n v="0"/>
    <n v="2"/>
    <n v="0"/>
    <n v="1"/>
    <n v="0"/>
    <n v="3"/>
    <n v="0"/>
    <n v="0"/>
    <n v="0"/>
    <n v="0"/>
    <n v="1"/>
    <n v="6"/>
    <m/>
  </r>
  <r>
    <n v="446"/>
    <d v="2024-05-21T12:36:10"/>
    <d v="2024-05-21T12:37:23"/>
    <s v="pchaula@lighthouse.org.mw"/>
    <s v="Pachalo Chaula"/>
    <s v="Tisungane_ZCH"/>
    <s v="COE"/>
    <x v="1"/>
    <x v="0"/>
    <s v="COP_23"/>
    <s v="Quarter1"/>
    <x v="2"/>
    <s v="Qtr_2"/>
    <x v="4"/>
    <d v="2024-02-01T00:00:00"/>
    <d v="2024-01-31T00:00:00"/>
    <x v="1"/>
    <n v="40"/>
    <n v="7"/>
    <n v="19"/>
    <n v="8"/>
    <n v="9"/>
    <n v="4"/>
    <n v="40"/>
    <n v="18"/>
    <n v="18"/>
    <n v="0"/>
    <n v="0"/>
    <n v="0"/>
    <n v="18"/>
    <n v="3"/>
    <n v="0"/>
    <n v="0"/>
    <n v="0"/>
    <n v="0"/>
    <n v="18"/>
    <n v="0"/>
    <n v="3"/>
    <n v="0"/>
    <n v="0"/>
    <n v="0"/>
    <n v="37"/>
    <m/>
  </r>
  <r>
    <n v="447"/>
    <d v="2024-05-21T12:37:35"/>
    <d v="2024-05-21T12:42:34"/>
    <s v="pchaula@lighthouse.org.mw"/>
    <s v="Pachalo Chaula"/>
    <s v="Tisungane_ZCH"/>
    <s v="COE"/>
    <x v="1"/>
    <x v="0"/>
    <s v="COP_23"/>
    <s v="Quarter1"/>
    <x v="2"/>
    <s v="Qtr_2"/>
    <x v="5"/>
    <d v="2024-02-01T00:00:00"/>
    <d v="2024-02-29T00:00:00"/>
    <x v="1"/>
    <n v="49"/>
    <n v="13"/>
    <n v="36"/>
    <n v="6"/>
    <n v="5"/>
    <n v="2"/>
    <n v="49"/>
    <n v="16"/>
    <n v="16"/>
    <n v="1"/>
    <n v="16"/>
    <n v="0"/>
    <n v="16"/>
    <n v="2"/>
    <n v="2"/>
    <n v="2"/>
    <n v="1"/>
    <n v="1"/>
    <n v="16"/>
    <n v="0"/>
    <n v="2"/>
    <n v="0"/>
    <n v="1"/>
    <n v="0"/>
    <n v="46"/>
    <m/>
  </r>
  <r>
    <n v="231"/>
    <d v="2024-04-09T09:42:35"/>
    <d v="2024-04-09T09:49:33"/>
    <s v="pchaula@lighthouse.org.mw"/>
    <s v="Pachalo Chaula"/>
    <s v="Tisungane_ZCH"/>
    <s v="COE"/>
    <x v="1"/>
    <x v="0"/>
    <s v="COP_23"/>
    <s v="Quarter1"/>
    <x v="2"/>
    <s v="Qtr_2"/>
    <x v="3"/>
    <d v="2024-03-01T00:00:00"/>
    <d v="2024-03-31T00:00:00"/>
    <x v="2"/>
    <n v="11"/>
    <n v="2"/>
    <n v="7"/>
    <n v="0"/>
    <n v="4"/>
    <n v="0"/>
    <n v="11"/>
    <n v="4"/>
    <n v="4"/>
    <n v="1"/>
    <n v="1"/>
    <n v="0"/>
    <n v="4"/>
    <n v="1"/>
    <n v="0"/>
    <n v="0"/>
    <n v="3"/>
    <n v="0"/>
    <n v="4"/>
    <n v="0"/>
    <n v="1"/>
    <n v="0"/>
    <n v="1"/>
    <n v="0"/>
    <n v="5"/>
    <m/>
  </r>
  <r>
    <n v="307"/>
    <d v="2024-04-25T08:23:09"/>
    <d v="2024-04-25T08:30:17"/>
    <s v="pchaula@lighthouse.org.mw"/>
    <s v="Pachalo Chaula"/>
    <s v="Tisungane_ZCH"/>
    <s v="COE"/>
    <x v="1"/>
    <x v="0"/>
    <s v="COP_23"/>
    <s v="Quarter1"/>
    <x v="2"/>
    <s v="Qtr_2"/>
    <x v="4"/>
    <d v="2024-01-01T00:00:00"/>
    <d v="2024-01-31T00:00:00"/>
    <x v="2"/>
    <n v="6"/>
    <n v="0"/>
    <n v="3"/>
    <n v="1"/>
    <n v="2"/>
    <n v="0"/>
    <n v="1"/>
    <n v="1"/>
    <n v="0"/>
    <n v="0"/>
    <n v="0"/>
    <n v="0"/>
    <n v="0"/>
    <n v="0"/>
    <n v="0"/>
    <n v="0"/>
    <n v="0"/>
    <n v="0"/>
    <n v="0"/>
    <n v="0"/>
    <n v="0"/>
    <n v="0"/>
    <n v="0"/>
    <n v="0"/>
    <n v="6"/>
    <m/>
  </r>
  <r>
    <n v="448"/>
    <d v="2024-05-21T12:43:03"/>
    <d v="2024-05-21T12:47:19"/>
    <s v="pchaula@lighthouse.org.mw"/>
    <s v="Pachalo Chaula"/>
    <s v="Tisungane_ZCH"/>
    <s v="COE"/>
    <x v="1"/>
    <x v="0"/>
    <s v="COP_23"/>
    <s v="Quarter1"/>
    <x v="2"/>
    <s v="Qtr_2"/>
    <x v="3"/>
    <d v="2024-03-01T00:00:00"/>
    <d v="2024-03-31T00:00:00"/>
    <x v="1"/>
    <n v="42"/>
    <n v="17"/>
    <n v="16"/>
    <n v="5"/>
    <n v="7"/>
    <n v="14"/>
    <n v="42"/>
    <n v="8"/>
    <n v="12"/>
    <n v="3"/>
    <n v="2"/>
    <n v="0"/>
    <n v="12"/>
    <n v="4"/>
    <n v="9"/>
    <n v="4"/>
    <n v="2"/>
    <n v="2"/>
    <n v="6"/>
    <n v="1"/>
    <n v="4"/>
    <n v="0"/>
    <n v="3"/>
    <n v="0"/>
    <n v="35"/>
    <m/>
  </r>
  <r>
    <n v="517"/>
    <d v="2024-06-07T10:50:30"/>
    <d v="2024-06-07T10:54:47"/>
    <s v="pchaula@lighthouse.org.mw"/>
    <s v="Pachalo Chaula"/>
    <s v="Tisungane_ZCH"/>
    <s v="COE"/>
    <x v="1"/>
    <x v="2"/>
    <s v="COP_23"/>
    <s v="Quarter2"/>
    <x v="3"/>
    <s v="Qtr_3"/>
    <x v="6"/>
    <d v="2024-05-01T00:00:00"/>
    <d v="2024-05-31T00:00:00"/>
    <x v="1"/>
    <n v="54"/>
    <n v="11"/>
    <n v="32"/>
    <n v="8"/>
    <n v="9"/>
    <n v="5"/>
    <n v="24"/>
    <n v="8"/>
    <n v="37"/>
    <n v="2"/>
    <n v="2"/>
    <n v="1"/>
    <n v="5"/>
    <n v="0"/>
    <n v="3"/>
    <n v="1"/>
    <n v="3"/>
    <n v="1"/>
    <n v="31"/>
    <n v="2"/>
    <n v="2"/>
    <n v="1"/>
    <n v="1"/>
    <n v="0"/>
    <n v="50"/>
    <m/>
  </r>
  <r>
    <n v="323"/>
    <d v="2024-04-29T14:46:21"/>
    <d v="2024-04-29T14:49:08"/>
    <s v="pchaula@lighthouse.org.mw"/>
    <s v="Pachalo Chaula"/>
    <s v="Tisungane_ZCH"/>
    <s v="COE"/>
    <x v="1"/>
    <x v="0"/>
    <s v="COP_23"/>
    <s v="Quarter1"/>
    <x v="2"/>
    <s v="Qtr_2"/>
    <x v="5"/>
    <d v="2024-02-02T00:00:00"/>
    <d v="2024-02-29T00:00:00"/>
    <x v="2"/>
    <n v="11"/>
    <n v="0"/>
    <n v="3"/>
    <n v="1"/>
    <n v="3"/>
    <n v="4"/>
    <n v="11"/>
    <n v="3"/>
    <n v="1"/>
    <n v="0"/>
    <n v="1"/>
    <n v="0"/>
    <n v="1"/>
    <n v="0"/>
    <n v="0"/>
    <n v="0"/>
    <n v="2"/>
    <n v="0"/>
    <n v="0"/>
    <n v="0"/>
    <n v="0"/>
    <n v="0"/>
    <n v="0"/>
    <n v="0"/>
    <n v="11"/>
    <m/>
  </r>
  <r>
    <n v="582"/>
    <d v="2024-07-04T13:33:32"/>
    <d v="2024-07-04T13:37:32"/>
    <s v="pchaula@lighthouse.org.mw"/>
    <s v="Pachalo Chaula"/>
    <s v="Tisungane_ZCH"/>
    <s v="COE"/>
    <x v="1"/>
    <x v="2"/>
    <s v="COP_23"/>
    <s v="Quarter2"/>
    <x v="3"/>
    <s v="Qtr_3"/>
    <x v="8"/>
    <d v="2024-06-01T00:00:00"/>
    <d v="2024-06-30T00:00:00"/>
    <x v="1"/>
    <n v="31"/>
    <n v="6"/>
    <n v="21"/>
    <n v="3"/>
    <n v="6"/>
    <n v="0"/>
    <n v="30"/>
    <n v="15"/>
    <n v="18"/>
    <n v="1"/>
    <n v="30"/>
    <n v="0"/>
    <n v="0"/>
    <n v="0"/>
    <n v="1"/>
    <n v="0"/>
    <n v="1"/>
    <n v="0"/>
    <n v="14"/>
    <n v="4"/>
    <n v="3"/>
    <n v="0"/>
    <n v="1"/>
    <n v="0"/>
    <n v="26"/>
    <m/>
  </r>
  <r>
    <n v="699"/>
    <d v="2024-07-31T12:46:13"/>
    <d v="2024-07-31T12:51:15"/>
    <s v="pchaula@lighthouse.org.mw"/>
    <s v="Pachalo Chaula"/>
    <s v="Tisungane_ZCH"/>
    <s v="COE"/>
    <x v="1"/>
    <x v="2"/>
    <s v="COP_23"/>
    <s v="Quarter2"/>
    <x v="3"/>
    <s v="Qtr_3"/>
    <x v="7"/>
    <d v="2024-04-01T00:00:00"/>
    <d v="2024-04-30T00:00:00"/>
    <x v="1"/>
    <n v="35"/>
    <n v="11"/>
    <n v="19"/>
    <n v="10"/>
    <n v="6"/>
    <n v="0"/>
    <n v="34"/>
    <n v="12"/>
    <n v="13"/>
    <n v="1"/>
    <n v="1"/>
    <n v="0"/>
    <n v="14"/>
    <n v="2"/>
    <n v="1"/>
    <n v="0"/>
    <n v="2"/>
    <n v="1"/>
    <n v="11"/>
    <n v="1"/>
    <n v="2"/>
    <n v="0"/>
    <n v="1"/>
    <n v="0"/>
    <n v="32"/>
    <m/>
  </r>
  <r>
    <n v="712"/>
    <d v="2024-08-05T14:03:08"/>
    <d v="2024-08-05T14:10:07"/>
    <s v="pchaula@lighthouse.org.mw"/>
    <s v="Pachalo Chaula"/>
    <s v="Tisungane_ZCH"/>
    <s v="COE"/>
    <x v="1"/>
    <x v="0"/>
    <s v="COP_23"/>
    <s v="Quarter3"/>
    <x v="1"/>
    <s v="Qtr_4"/>
    <x v="9"/>
    <d v="2024-07-01T00:00:00"/>
    <d v="2024-07-31T00:00:00"/>
    <x v="1"/>
    <n v="33"/>
    <n v="10"/>
    <n v="18"/>
    <n v="3"/>
    <n v="8"/>
    <n v="4"/>
    <n v="33"/>
    <n v="9"/>
    <n v="13"/>
    <n v="0"/>
    <n v="0"/>
    <n v="0"/>
    <n v="0"/>
    <n v="0"/>
    <n v="1"/>
    <n v="0"/>
    <n v="1"/>
    <n v="1"/>
    <n v="11"/>
    <n v="1"/>
    <n v="1"/>
    <n v="0"/>
    <n v="0"/>
    <n v="0"/>
    <n v="32"/>
    <m/>
  </r>
  <r>
    <n v="911"/>
    <d v="2024-10-08T15:37:19"/>
    <d v="2024-10-08T15:39:54"/>
    <s v="pchaula@lighthouse.org.mw"/>
    <s v="Pachalo Chaula"/>
    <s v="Tisungane_ZCH"/>
    <s v="COE"/>
    <x v="1"/>
    <x v="0"/>
    <s v="COP_23"/>
    <s v="Quarter3"/>
    <x v="1"/>
    <s v="Qtr_4"/>
    <x v="2"/>
    <d v="2024-09-01T00:00:00"/>
    <d v="2024-09-30T00:00:00"/>
    <x v="1"/>
    <n v="51"/>
    <n v="12"/>
    <n v="30"/>
    <n v="10"/>
    <n v="8"/>
    <n v="3"/>
    <n v="51"/>
    <n v="14"/>
    <n v="15"/>
    <n v="1"/>
    <n v="1"/>
    <n v="0"/>
    <n v="14"/>
    <n v="1"/>
    <n v="1"/>
    <n v="0"/>
    <n v="5"/>
    <n v="0"/>
    <n v="13"/>
    <n v="3"/>
    <n v="2"/>
    <n v="0"/>
    <n v="1"/>
    <n v="0"/>
    <n v="48"/>
    <m/>
  </r>
  <r>
    <n v="399"/>
    <d v="2024-05-09T14:53:04"/>
    <d v="2024-05-09T14:57:49"/>
    <s v="pchaula@lighthouse.org.mw"/>
    <s v="Pachalo Chaula"/>
    <s v="Tisungane_ZCH"/>
    <s v="COE"/>
    <x v="1"/>
    <x v="2"/>
    <s v="COP_23"/>
    <s v="Quarter2"/>
    <x v="3"/>
    <s v="Qtr_3"/>
    <x v="7"/>
    <d v="2024-04-01T00:00:00"/>
    <d v="2024-04-30T00:00:00"/>
    <x v="2"/>
    <n v="6"/>
    <n v="1"/>
    <n v="5"/>
    <n v="0"/>
    <n v="0"/>
    <n v="0"/>
    <n v="6"/>
    <n v="3"/>
    <n v="3"/>
    <n v="0"/>
    <n v="6"/>
    <n v="0"/>
    <n v="3"/>
    <n v="1"/>
    <n v="2"/>
    <n v="0"/>
    <n v="0"/>
    <n v="0"/>
    <n v="3"/>
    <n v="0"/>
    <n v="1"/>
    <n v="0"/>
    <n v="0"/>
    <n v="0"/>
    <n v="5"/>
    <m/>
  </r>
  <r>
    <n v="963"/>
    <d v="2024-10-18T15:39:52"/>
    <d v="2024-10-18T15:43:16"/>
    <s v="pchaula@lighthouse.org.mw"/>
    <s v="Pachalo Chaula"/>
    <s v="Tisungane_ZCH"/>
    <s v="COE"/>
    <x v="1"/>
    <x v="0"/>
    <s v="COP_23"/>
    <s v="Quarter3"/>
    <x v="1"/>
    <s v="Qtr_4"/>
    <x v="10"/>
    <d v="2024-08-01T00:00:00"/>
    <d v="2024-08-31T00:00:00"/>
    <x v="1"/>
    <n v="35"/>
    <n v="11"/>
    <n v="19"/>
    <n v="7"/>
    <n v="8"/>
    <n v="1"/>
    <n v="24"/>
    <n v="10"/>
    <n v="21"/>
    <n v="1"/>
    <n v="2"/>
    <n v="0"/>
    <n v="4"/>
    <n v="1"/>
    <n v="1"/>
    <n v="0"/>
    <n v="3"/>
    <n v="1"/>
    <n v="16"/>
    <n v="2"/>
    <n v="1"/>
    <n v="0"/>
    <n v="1"/>
    <n v="1"/>
    <n v="32"/>
    <m/>
  </r>
  <r>
    <n v="523"/>
    <d v="2024-06-07T11:10:01"/>
    <d v="2024-06-07T11:12:39"/>
    <s v="pchaula@lighthouse.org.mw"/>
    <s v="Pachalo Chaula"/>
    <s v="Tisungane_ZCH"/>
    <s v="COE"/>
    <x v="1"/>
    <x v="2"/>
    <s v="COP_23"/>
    <s v="Quarter2"/>
    <x v="3"/>
    <s v="Qtr_3"/>
    <x v="6"/>
    <d v="2024-05-01T00:00:00"/>
    <d v="2024-05-31T00:00:00"/>
    <x v="2"/>
    <n v="5"/>
    <n v="1"/>
    <n v="3"/>
    <n v="0"/>
    <n v="0"/>
    <n v="2"/>
    <n v="3"/>
    <n v="1"/>
    <n v="4"/>
    <n v="0"/>
    <n v="0"/>
    <n v="0"/>
    <n v="1"/>
    <n v="0"/>
    <n v="0"/>
    <n v="0"/>
    <n v="0"/>
    <n v="0"/>
    <n v="1"/>
    <n v="0"/>
    <n v="0"/>
    <n v="0"/>
    <n v="0"/>
    <n v="0"/>
    <n v="5"/>
    <m/>
  </r>
  <r>
    <n v="586"/>
    <d v="2024-07-04T14:11:55"/>
    <d v="2024-07-04T14:15:33"/>
    <s v="pchaula@lighthouse.org.mw"/>
    <s v="Pachalo Chaula"/>
    <s v="Tisungane_ZCH"/>
    <s v="COE"/>
    <x v="1"/>
    <x v="2"/>
    <s v="COP_23"/>
    <s v="Quarter2"/>
    <x v="3"/>
    <s v="Qtr_3"/>
    <x v="8"/>
    <d v="2024-06-01T00:00:00"/>
    <d v="2024-06-30T00:00:00"/>
    <x v="2"/>
    <n v="9"/>
    <n v="1"/>
    <n v="6"/>
    <n v="1"/>
    <n v="1"/>
    <n v="1"/>
    <n v="9"/>
    <n v="1"/>
    <n v="1"/>
    <n v="0"/>
    <n v="0"/>
    <n v="0"/>
    <n v="0"/>
    <n v="0"/>
    <n v="0"/>
    <n v="0"/>
    <n v="0"/>
    <n v="0"/>
    <n v="1"/>
    <n v="0"/>
    <n v="0"/>
    <n v="0"/>
    <n v="0"/>
    <n v="1"/>
    <n v="8"/>
    <m/>
  </r>
  <r>
    <n v="1034"/>
    <d v="2024-11-07T09:16:06"/>
    <d v="2024-11-07T09:37:32"/>
    <s v="pchaula@lighthouse.org.mw"/>
    <s v="Pachalo Chaula"/>
    <s v="Tisungane_ZCH"/>
    <s v="COE"/>
    <x v="1"/>
    <x v="2"/>
    <s v="COP_24"/>
    <s v="Quarter4"/>
    <x v="0"/>
    <s v="Qtr_1"/>
    <x v="0"/>
    <d v="2024-10-01T00:00:00"/>
    <d v="2024-10-31T00:00:00"/>
    <x v="1"/>
    <n v="24"/>
    <n v="7"/>
    <n v="13"/>
    <n v="5"/>
    <n v="4"/>
    <n v="2"/>
    <n v="22"/>
    <n v="7"/>
    <n v="9"/>
    <n v="1"/>
    <n v="1"/>
    <n v="0"/>
    <n v="8"/>
    <n v="0"/>
    <n v="2"/>
    <n v="0"/>
    <n v="4"/>
    <n v="2"/>
    <n v="9"/>
    <n v="0"/>
    <n v="0"/>
    <n v="0"/>
    <n v="1"/>
    <n v="0"/>
    <n v="23"/>
    <m/>
  </r>
  <r>
    <n v="713"/>
    <d v="2024-08-05T14:10:26"/>
    <d v="2024-08-05T14:16:14"/>
    <s v="pchaula@lighthouse.org.mw"/>
    <s v="Pachalo Chaula"/>
    <s v="Tisungane_ZCH"/>
    <s v="COE"/>
    <x v="1"/>
    <x v="0"/>
    <s v="COP_23"/>
    <s v="Quarter3"/>
    <x v="1"/>
    <s v="Qtr_4"/>
    <x v="9"/>
    <d v="2024-07-01T00:00:00"/>
    <d v="2024-07-31T00:00:00"/>
    <x v="2"/>
    <n v="11"/>
    <n v="5"/>
    <n v="4"/>
    <n v="2"/>
    <n v="4"/>
    <n v="1"/>
    <n v="9"/>
    <n v="5"/>
    <n v="6"/>
    <n v="0"/>
    <n v="1"/>
    <n v="0"/>
    <n v="0"/>
    <n v="0"/>
    <n v="1"/>
    <n v="0"/>
    <n v="1"/>
    <n v="1"/>
    <n v="6"/>
    <n v="1"/>
    <n v="0"/>
    <n v="0"/>
    <n v="0"/>
    <n v="0"/>
    <n v="11"/>
    <m/>
  </r>
  <r>
    <n v="800"/>
    <d v="2024-09-12T08:59:15"/>
    <d v="2024-09-12T09:03:25"/>
    <s v="pchaula@lighthouse.org.mw"/>
    <s v="Pachalo Chaula"/>
    <s v="Tisungane_ZCH"/>
    <s v="COE"/>
    <x v="1"/>
    <x v="0"/>
    <s v="COP_23"/>
    <s v="Quarter3"/>
    <x v="1"/>
    <s v="Qtr_4"/>
    <x v="10"/>
    <d v="2024-08-01T00:00:00"/>
    <d v="2024-08-31T00:00:00"/>
    <x v="2"/>
    <n v="4"/>
    <n v="2"/>
    <n v="0"/>
    <n v="0"/>
    <n v="4"/>
    <n v="0"/>
    <n v="3"/>
    <n v="0"/>
    <n v="4"/>
    <n v="0"/>
    <n v="0"/>
    <n v="0"/>
    <n v="0"/>
    <n v="0"/>
    <n v="0"/>
    <n v="0"/>
    <n v="1"/>
    <n v="1"/>
    <n v="1"/>
    <n v="0"/>
    <n v="0"/>
    <n v="0"/>
    <n v="0"/>
    <n v="0"/>
    <n v="4"/>
    <m/>
  </r>
  <r>
    <n v="907"/>
    <d v="2024-10-08T15:22:38"/>
    <d v="2024-10-08T15:25:05"/>
    <s v="pchaula@lighthouse.org.mw"/>
    <s v="Pachalo Chaula"/>
    <s v="Tisungane_ZCH"/>
    <s v="COE"/>
    <x v="1"/>
    <x v="0"/>
    <s v="COP_23"/>
    <s v="Quarter3"/>
    <x v="1"/>
    <s v="Qtr_4"/>
    <x v="2"/>
    <d v="2024-09-01T00:00:00"/>
    <d v="2024-09-30T00:00:00"/>
    <x v="2"/>
    <n v="10"/>
    <n v="4"/>
    <n v="5"/>
    <n v="0"/>
    <n v="2"/>
    <n v="3"/>
    <n v="9"/>
    <n v="5"/>
    <n v="5"/>
    <n v="1"/>
    <n v="1"/>
    <n v="0"/>
    <n v="6"/>
    <n v="0"/>
    <n v="1"/>
    <n v="1"/>
    <n v="2"/>
    <n v="0"/>
    <n v="6"/>
    <n v="2"/>
    <n v="2"/>
    <n v="0"/>
    <n v="1"/>
    <n v="0"/>
    <n v="7"/>
    <m/>
  </r>
  <r>
    <n v="1039"/>
    <d v="2024-11-07T09:53:41"/>
    <d v="2024-11-07T09:56:25"/>
    <s v="pchaula@lighthouse.org.mw"/>
    <s v="Pachalo Chaula"/>
    <s v="Tisungane_ZCH"/>
    <s v="COE"/>
    <x v="1"/>
    <x v="2"/>
    <s v="COP_24"/>
    <s v="Quarter4"/>
    <x v="0"/>
    <s v="Qtr_1"/>
    <x v="0"/>
    <d v="2024-10-01T00:00:00"/>
    <d v="2024-10-31T00:00:00"/>
    <x v="2"/>
    <n v="13"/>
    <n v="3"/>
    <n v="6"/>
    <n v="2"/>
    <n v="5"/>
    <n v="0"/>
    <n v="13"/>
    <n v="4"/>
    <n v="5"/>
    <n v="3"/>
    <n v="3"/>
    <n v="0"/>
    <n v="6"/>
    <n v="0"/>
    <n v="1"/>
    <n v="0"/>
    <n v="2"/>
    <n v="0"/>
    <n v="4"/>
    <n v="0"/>
    <n v="0"/>
    <n v="0"/>
    <n v="3"/>
    <n v="0"/>
    <n v="10"/>
    <m/>
  </r>
  <r>
    <n v="1033"/>
    <d v="2024-11-07T09:08:45"/>
    <d v="2024-11-07T09:15:44"/>
    <s v="pchaula@lighthouse.org.mw"/>
    <s v="Pachalo Chaula"/>
    <s v="Tisungane_ZCH"/>
    <s v="COE"/>
    <x v="1"/>
    <x v="2"/>
    <s v="COP_24"/>
    <s v="Quarter4"/>
    <x v="0"/>
    <s v="Qtr_1"/>
    <x v="0"/>
    <d v="2024-10-01T00:00:00"/>
    <d v="2024-10-31T00:00:00"/>
    <x v="0"/>
    <n v="147"/>
    <n v="67"/>
    <n v="71"/>
    <n v="14"/>
    <n v="47"/>
    <n v="15"/>
    <n v="132"/>
    <n v="32"/>
    <n v="53"/>
    <n v="6"/>
    <n v="6"/>
    <n v="0"/>
    <n v="68"/>
    <n v="4"/>
    <n v="10"/>
    <n v="0"/>
    <n v="14"/>
    <n v="2"/>
    <n v="48"/>
    <n v="2"/>
    <n v="5"/>
    <n v="0"/>
    <n v="6"/>
    <n v="1"/>
    <n v="125"/>
    <m/>
  </r>
  <r>
    <n v="1035"/>
    <d v="2024-11-07T09:39:47"/>
    <d v="2024-11-07T09:43:51"/>
    <s v="pchaula@lighthouse.org.mw"/>
    <s v="Pachalo Chaula"/>
    <s v="Tisungane_ZCH"/>
    <s v="COE"/>
    <x v="1"/>
    <x v="2"/>
    <s v="COP_24"/>
    <s v="Quarter4"/>
    <x v="0"/>
    <s v="Qtr_1"/>
    <x v="0"/>
    <d v="2024-10-01T00:00:00"/>
    <d v="2024-10-31T00:00:00"/>
    <x v="4"/>
    <n v="7"/>
    <n v="3"/>
    <n v="4"/>
    <n v="0"/>
    <n v="2"/>
    <n v="1"/>
    <n v="6"/>
    <n v="1"/>
    <n v="4"/>
    <n v="0"/>
    <n v="0"/>
    <n v="0"/>
    <n v="3"/>
    <n v="0"/>
    <n v="0"/>
    <n v="0"/>
    <n v="0"/>
    <n v="0"/>
    <n v="2"/>
    <n v="0"/>
    <n v="0"/>
    <n v="0"/>
    <n v="0"/>
    <n v="0"/>
    <n v="7"/>
    <m/>
  </r>
  <r>
    <n v="1036"/>
    <d v="2024-11-07T09:44:00"/>
    <d v="2024-11-07T09:46:40"/>
    <s v="pchaula@lighthouse.org.mw"/>
    <s v="Pachalo Chaula"/>
    <s v="Tisungane_ZCH"/>
    <s v="COE"/>
    <x v="1"/>
    <x v="2"/>
    <s v="COP_24"/>
    <s v="Quarter4"/>
    <x v="0"/>
    <s v="Qtr_1"/>
    <x v="0"/>
    <d v="2024-10-01T00:00:00"/>
    <d v="2024-10-31T00:00:00"/>
    <x v="3"/>
    <n v="2"/>
    <n v="1"/>
    <n v="1"/>
    <n v="0"/>
    <n v="0"/>
    <n v="1"/>
    <n v="0"/>
    <n v="0"/>
    <n v="2"/>
    <n v="0"/>
    <n v="0"/>
    <n v="0"/>
    <n v="1"/>
    <n v="1"/>
    <n v="0"/>
    <n v="0"/>
    <n v="1"/>
    <n v="0"/>
    <n v="1"/>
    <n v="0"/>
    <n v="0"/>
    <n v="0"/>
    <n v="0"/>
    <n v="0"/>
    <n v="2"/>
    <m/>
  </r>
  <r>
    <n v="1037"/>
    <d v="2024-11-07T09:46:51"/>
    <d v="2024-11-07T09:49:06"/>
    <s v="pchaula@lighthouse.org.mw"/>
    <s v="Pachalo Chaula"/>
    <s v="Tisungane_ZCH"/>
    <s v="COE"/>
    <x v="1"/>
    <x v="2"/>
    <s v="COP_24"/>
    <s v="Quarter4"/>
    <x v="0"/>
    <s v="Qtr_1"/>
    <x v="0"/>
    <d v="2024-10-01T00:00:00"/>
    <d v="2024-10-31T00:00:00"/>
    <x v="6"/>
    <n v="23"/>
    <n v="23"/>
    <n v="4"/>
    <n v="11"/>
    <n v="6"/>
    <n v="2"/>
    <n v="13"/>
    <n v="4"/>
    <n v="6"/>
    <n v="0"/>
    <n v="0"/>
    <n v="0"/>
    <n v="12"/>
    <n v="0"/>
    <n v="4"/>
    <n v="0"/>
    <n v="8"/>
    <n v="0"/>
    <n v="7"/>
    <n v="0"/>
    <n v="0"/>
    <n v="0"/>
    <n v="0"/>
    <n v="0"/>
    <n v="23"/>
    <m/>
  </r>
  <r>
    <n v="1038"/>
    <d v="2024-11-07T09:49:43"/>
    <d v="2024-11-07T09:53:19"/>
    <s v="pchaula@lighthouse.org.mw"/>
    <s v="Pachalo Chaula"/>
    <s v="Tisungane_ZCH"/>
    <s v="COE"/>
    <x v="1"/>
    <x v="2"/>
    <s v="COP_24"/>
    <s v="Quarter4"/>
    <x v="0"/>
    <s v="Qtr_1"/>
    <x v="0"/>
    <d v="2024-10-01T00:00:00"/>
    <d v="2024-10-31T00:00:00"/>
    <x v="5"/>
    <n v="18"/>
    <n v="1"/>
    <n v="17"/>
    <n v="0"/>
    <n v="0"/>
    <n v="1"/>
    <n v="16"/>
    <n v="3"/>
    <n v="7"/>
    <n v="0"/>
    <n v="0"/>
    <n v="0"/>
    <n v="6"/>
    <n v="0"/>
    <n v="1"/>
    <n v="0"/>
    <n v="1"/>
    <n v="0"/>
    <n v="7"/>
    <n v="0"/>
    <n v="0"/>
    <n v="0"/>
    <n v="0"/>
    <n v="0"/>
    <n v="18"/>
    <m/>
  </r>
  <r>
    <n v="1124"/>
    <d v="2024-12-06T10:30:11"/>
    <d v="2024-12-10T13:03:32"/>
    <s v="pchaula@lighthouse.org.mw"/>
    <s v="Pachalo Chaula"/>
    <s v="Tisungane_ZCH"/>
    <s v="COE"/>
    <x v="1"/>
    <x v="2"/>
    <s v="COP_24"/>
    <s v="Quarter4"/>
    <x v="0"/>
    <s v="Qtr_1"/>
    <x v="1"/>
    <d v="2024-11-01T00:00:00"/>
    <d v="2024-11-30T00:00:00"/>
    <x v="1"/>
    <n v="39"/>
    <n v="12"/>
    <n v="17"/>
    <n v="7"/>
    <n v="11"/>
    <n v="4"/>
    <n v="39"/>
    <n v="14"/>
    <n v="14"/>
    <n v="0"/>
    <n v="0"/>
    <n v="0"/>
    <n v="14"/>
    <n v="3"/>
    <n v="3"/>
    <n v="1"/>
    <n v="6"/>
    <n v="5"/>
    <n v="11"/>
    <n v="2"/>
    <n v="4"/>
    <n v="0"/>
    <n v="0"/>
    <n v="0"/>
    <n v="39"/>
    <m/>
  </r>
  <r>
    <n v="1125"/>
    <d v="2024-12-10T13:05:48"/>
    <d v="2024-12-10T13:09:47"/>
    <s v="pchaula@lighthouse.org.mw"/>
    <s v="Pachalo Chaula"/>
    <s v="Tisungane_ZCH"/>
    <s v="COE"/>
    <x v="1"/>
    <x v="2"/>
    <s v="COP_24"/>
    <s v="Quarter4"/>
    <x v="0"/>
    <s v="Qtr_1"/>
    <x v="1"/>
    <d v="2024-11-01T00:00:00"/>
    <d v="2024-11-30T00:00:00"/>
    <x v="5"/>
    <n v="41"/>
    <n v="3"/>
    <n v="34"/>
    <n v="3"/>
    <n v="3"/>
    <n v="1"/>
    <n v="0"/>
    <n v="8"/>
    <n v="8"/>
    <n v="0"/>
    <n v="0"/>
    <n v="0"/>
    <n v="8"/>
    <n v="0"/>
    <n v="1"/>
    <n v="0"/>
    <n v="4"/>
    <n v="0"/>
    <n v="31"/>
    <n v="0"/>
    <n v="0"/>
    <n v="0"/>
    <n v="0"/>
    <n v="0"/>
    <n v="41"/>
    <m/>
  </r>
  <r>
    <n v="1126"/>
    <d v="2024-12-10T13:10:00"/>
    <d v="2024-12-10T13:14:56"/>
    <s v="pchaula@lighthouse.org.mw"/>
    <s v="Pachalo Chaula"/>
    <s v="Tisungane_ZCH"/>
    <s v="COE"/>
    <x v="1"/>
    <x v="2"/>
    <s v="COP_24"/>
    <s v="Quarter4"/>
    <x v="0"/>
    <s v="Qtr_1"/>
    <x v="1"/>
    <d v="2024-11-01T00:00:00"/>
    <d v="2024-11-30T00:00:00"/>
    <x v="4"/>
    <n v="10"/>
    <n v="2"/>
    <n v="4"/>
    <n v="0"/>
    <n v="5"/>
    <n v="1"/>
    <n v="10"/>
    <n v="5"/>
    <n v="5"/>
    <n v="0"/>
    <n v="0"/>
    <n v="0"/>
    <n v="6"/>
    <n v="1"/>
    <n v="0"/>
    <n v="0"/>
    <n v="0"/>
    <n v="0"/>
    <n v="7"/>
    <n v="0"/>
    <n v="1"/>
    <n v="0"/>
    <n v="0"/>
    <n v="0"/>
    <n v="10"/>
    <m/>
  </r>
  <r>
    <n v="1127"/>
    <d v="2024-12-10T13:15:29"/>
    <d v="2024-12-10T13:27:50"/>
    <s v="pchaula@lighthouse.org.mw"/>
    <s v="Pachalo Chaula"/>
    <s v="Tisungane_ZCH"/>
    <s v="COE"/>
    <x v="1"/>
    <x v="2"/>
    <s v="COP_24"/>
    <s v="Quarter4"/>
    <x v="0"/>
    <s v="Qtr_1"/>
    <x v="1"/>
    <d v="2024-11-01T00:00:00"/>
    <d v="2024-11-30T00:00:00"/>
    <x v="3"/>
    <n v="1"/>
    <n v="1"/>
    <n v="0"/>
    <n v="1"/>
    <n v="0"/>
    <n v="0"/>
    <n v="1"/>
    <n v="0"/>
    <n v="1"/>
    <n v="0"/>
    <n v="0"/>
    <n v="0"/>
    <n v="1"/>
    <n v="0"/>
    <n v="0"/>
    <n v="0"/>
    <n v="0"/>
    <n v="0"/>
    <n v="1"/>
    <n v="0"/>
    <n v="0"/>
    <n v="0"/>
    <n v="0"/>
    <n v="0"/>
    <n v="1"/>
    <m/>
  </r>
  <r>
    <n v="1128"/>
    <d v="2024-12-10T13:28:05"/>
    <d v="2024-12-10T13:32:04"/>
    <s v="pchaula@lighthouse.org.mw"/>
    <s v="Pachalo Chaula"/>
    <s v="Tisungane_ZCH"/>
    <s v="COE"/>
    <x v="1"/>
    <x v="2"/>
    <s v="COP_24"/>
    <s v="Quarter4"/>
    <x v="0"/>
    <s v="Qtr_1"/>
    <x v="1"/>
    <d v="2024-11-01T00:00:00"/>
    <d v="2024-11-30T00:00:00"/>
    <x v="6"/>
    <n v="34"/>
    <n v="34"/>
    <n v="8"/>
    <n v="12"/>
    <n v="9"/>
    <n v="5"/>
    <n v="33"/>
    <n v="15"/>
    <n v="1"/>
    <n v="0"/>
    <n v="1"/>
    <n v="0"/>
    <n v="18"/>
    <n v="2"/>
    <n v="4"/>
    <n v="1"/>
    <n v="12"/>
    <n v="3"/>
    <n v="15"/>
    <n v="0"/>
    <n v="2"/>
    <n v="0"/>
    <n v="1"/>
    <n v="0"/>
    <n v="31"/>
    <m/>
  </r>
  <r>
    <n v="1129"/>
    <d v="2024-12-10T13:32:14"/>
    <d v="2024-12-10T13:35:55"/>
    <s v="pchaula@lighthouse.org.mw"/>
    <s v="Pachalo Chaula"/>
    <s v="Tisungane_ZCH"/>
    <s v="COE"/>
    <x v="1"/>
    <x v="2"/>
    <s v="COP_24"/>
    <s v="Quarter4"/>
    <x v="0"/>
    <s v="Qtr_1"/>
    <x v="1"/>
    <d v="2024-11-01T00:00:00"/>
    <d v="2024-11-30T00:00:00"/>
    <x v="2"/>
    <n v="19"/>
    <n v="2"/>
    <n v="11"/>
    <n v="5"/>
    <n v="2"/>
    <n v="1"/>
    <n v="19"/>
    <n v="5"/>
    <n v="6"/>
    <n v="2"/>
    <n v="2"/>
    <n v="0"/>
    <n v="5"/>
    <n v="0"/>
    <n v="0"/>
    <n v="0"/>
    <n v="2"/>
    <n v="0"/>
    <n v="6"/>
    <n v="0"/>
    <n v="0"/>
    <n v="0"/>
    <n v="2"/>
    <n v="0"/>
    <n v="17"/>
    <m/>
  </r>
  <r>
    <n v="1130"/>
    <d v="2024-12-12T14:05:38"/>
    <d v="2024-12-12T14:05:53"/>
    <s v="pchaula@lighthouse.org.mw"/>
    <s v="Pachalo Chaula"/>
    <s v="Tisungane_ZCH"/>
    <s v="COE"/>
    <x v="1"/>
    <x v="2"/>
    <s v="COP_24"/>
    <s v="Quarter4"/>
    <x v="0"/>
    <s v="Qtr_1"/>
    <x v="1"/>
    <d v="2024-11-01T00:00:00"/>
    <d v="2024-11-30T00:00:00"/>
    <x v="0"/>
    <n v="165"/>
    <n v="43"/>
    <n v="87"/>
    <n v="27"/>
    <n v="40"/>
    <n v="11"/>
    <n v="164"/>
    <n v="49"/>
    <n v="51"/>
    <n v="3"/>
    <n v="3"/>
    <n v="0"/>
    <n v="51"/>
    <n v="1"/>
    <n v="3"/>
    <n v="0"/>
    <n v="12"/>
    <n v="3"/>
    <n v="66"/>
    <n v="1"/>
    <n v="1"/>
    <n v="0"/>
    <n v="3"/>
    <n v="0"/>
    <n v="161"/>
    <m/>
  </r>
  <r>
    <n v="1276"/>
    <d v="2025-01-14T15:45:39"/>
    <d v="2025-01-14T15:47:07"/>
    <s v="pchaula@lighthouse.org.mw"/>
    <s v="Pachalo Chaula"/>
    <s v="Tisungane_ZCH"/>
    <s v="COE"/>
    <x v="1"/>
    <x v="2"/>
    <s v="COP_24"/>
    <s v="Quarter4"/>
    <x v="0"/>
    <s v="Qtr_1"/>
    <x v="11"/>
    <d v="2024-12-01T00:00:00"/>
    <d v="2024-12-31T00:00:00"/>
    <x v="3"/>
    <n v="0"/>
    <n v="0"/>
    <n v="0"/>
    <n v="0"/>
    <n v="0"/>
    <n v="0"/>
    <n v="0"/>
    <n v="0"/>
    <n v="0"/>
    <n v="0"/>
    <n v="0"/>
    <n v="0"/>
    <n v="0"/>
    <n v="0"/>
    <n v="0"/>
    <n v="0"/>
    <n v="0"/>
    <n v="0"/>
    <n v="0"/>
    <n v="0"/>
    <n v="0"/>
    <n v="0"/>
    <n v="0"/>
    <n v="0"/>
    <n v="0"/>
    <m/>
  </r>
  <r>
    <n v="1289"/>
    <d v="2025-01-16T10:35:44"/>
    <d v="2025-01-16T10:36:20"/>
    <s v="pchaula@lighthouse.org.mw"/>
    <s v="Pachalo Chaula"/>
    <s v="Tisungane_ZCH"/>
    <s v="COE"/>
    <x v="1"/>
    <x v="2"/>
    <s v="COP_24"/>
    <s v="Quarter4"/>
    <x v="0"/>
    <s v="Qtr_1"/>
    <x v="11"/>
    <d v="2024-12-01T00:00:00"/>
    <d v="2024-12-31T00:00:00"/>
    <x v="4"/>
    <n v="7"/>
    <n v="4"/>
    <n v="4"/>
    <n v="1"/>
    <n v="2"/>
    <n v="0"/>
    <n v="7"/>
    <n v="3"/>
    <n v="2"/>
    <n v="0"/>
    <n v="2"/>
    <n v="0"/>
    <n v="3"/>
    <n v="0"/>
    <n v="0"/>
    <n v="0"/>
    <n v="0"/>
    <n v="0"/>
    <n v="2"/>
    <n v="0"/>
    <n v="0"/>
    <n v="0"/>
    <n v="0"/>
    <n v="0"/>
    <n v="7"/>
    <m/>
  </r>
  <r>
    <n v="1292"/>
    <d v="2025-01-16T10:36:24"/>
    <d v="2025-01-16T10:40:24"/>
    <s v="pchaula@lighthouse.org.mw"/>
    <s v="Pachalo Chaula"/>
    <s v="Tisungane_ZCH"/>
    <s v="COE"/>
    <x v="1"/>
    <x v="2"/>
    <s v="COP_24"/>
    <s v="Quarter4"/>
    <x v="0"/>
    <s v="Qtr_1"/>
    <x v="11"/>
    <d v="2024-12-01T00:00:00"/>
    <d v="2024-12-31T00:00:00"/>
    <x v="0"/>
    <n v="163"/>
    <n v="78"/>
    <n v="72"/>
    <n v="10"/>
    <n v="62"/>
    <n v="19"/>
    <n v="157"/>
    <n v="43"/>
    <n v="47"/>
    <n v="2"/>
    <n v="6"/>
    <n v="0"/>
    <n v="49"/>
    <n v="4"/>
    <n v="17"/>
    <n v="0"/>
    <n v="27"/>
    <n v="14"/>
    <n v="63"/>
    <n v="9"/>
    <n v="7"/>
    <n v="0"/>
    <n v="1"/>
    <n v="5"/>
    <n v="0"/>
    <m/>
  </r>
  <r>
    <n v="1293"/>
    <d v="2025-01-16T10:40:40"/>
    <d v="2025-01-16T10:43:49"/>
    <s v="pchaula@lighthouse.org.mw"/>
    <s v="Pachalo Chaula"/>
    <s v="Tisungane_ZCH"/>
    <s v="COE"/>
    <x v="1"/>
    <x v="2"/>
    <s v="COP_24"/>
    <s v="Quarter4"/>
    <x v="0"/>
    <s v="Qtr_1"/>
    <x v="11"/>
    <d v="2024-12-01T00:00:00"/>
    <d v="2024-12-31T00:00:00"/>
    <x v="2"/>
    <n v="11"/>
    <n v="2"/>
    <n v="6"/>
    <n v="0"/>
    <n v="3"/>
    <n v="2"/>
    <n v="11"/>
    <n v="6"/>
    <n v="5"/>
    <n v="0"/>
    <n v="1"/>
    <n v="0"/>
    <n v="4"/>
    <n v="0"/>
    <n v="1"/>
    <n v="0"/>
    <n v="0"/>
    <n v="0"/>
    <n v="6"/>
    <n v="1"/>
    <n v="0"/>
    <n v="0"/>
    <n v="0"/>
    <n v="0"/>
    <n v="11"/>
    <m/>
  </r>
  <r>
    <n v="1294"/>
    <d v="2025-01-16T10:45:58"/>
    <d v="2025-01-16T11:19:12"/>
    <s v="pchaula@lighthouse.org.mw"/>
    <s v="Pachalo Chaula"/>
    <s v="Tisungane_ZCH"/>
    <s v="COE"/>
    <x v="1"/>
    <x v="2"/>
    <s v="COP_24"/>
    <s v="Quarter4"/>
    <x v="0"/>
    <s v="Qtr_1"/>
    <x v="11"/>
    <d v="2024-12-01T00:00:00"/>
    <d v="2024-12-31T00:00:00"/>
    <x v="5"/>
    <n v="24"/>
    <n v="4"/>
    <n v="21"/>
    <n v="0"/>
    <n v="2"/>
    <n v="1"/>
    <n v="23"/>
    <n v="5"/>
    <n v="4"/>
    <n v="1"/>
    <n v="1"/>
    <n v="0"/>
    <n v="4"/>
    <n v="0"/>
    <n v="0"/>
    <n v="0"/>
    <n v="0"/>
    <n v="0"/>
    <n v="6"/>
    <n v="1"/>
    <n v="1"/>
    <n v="0"/>
    <n v="1"/>
    <n v="0"/>
    <n v="22"/>
    <m/>
  </r>
  <r>
    <n v="1295"/>
    <d v="2025-01-16T12:08:42"/>
    <d v="2025-01-16T12:13:49"/>
    <s v="pchaula@lighthouse.org.mw"/>
    <s v="Pachalo Chaula"/>
    <s v="Tisungane_ZCH"/>
    <s v="COE"/>
    <x v="1"/>
    <x v="2"/>
    <s v="COP_24"/>
    <s v="Quarter4"/>
    <x v="0"/>
    <s v="Qtr_1"/>
    <x v="11"/>
    <d v="2024-12-01T00:00:00"/>
    <d v="2024-12-31T00:00:00"/>
    <x v="1"/>
    <n v="28"/>
    <n v="6"/>
    <n v="16"/>
    <n v="3"/>
    <n v="7"/>
    <n v="2"/>
    <n v="28"/>
    <n v="9"/>
    <n v="9"/>
    <n v="0"/>
    <n v="3"/>
    <n v="0"/>
    <n v="8"/>
    <n v="2"/>
    <n v="2"/>
    <n v="0"/>
    <n v="1"/>
    <n v="1"/>
    <n v="10"/>
    <n v="1"/>
    <n v="0"/>
    <n v="0"/>
    <n v="0"/>
    <n v="0"/>
    <n v="28"/>
    <m/>
  </r>
  <r>
    <n v="1309"/>
    <d v="2025-01-22T15:20:49"/>
    <d v="2025-01-22T15:20:59"/>
    <s v="pchaula@lighthouse.org.mw"/>
    <s v="Pachalo Chaula"/>
    <s v="Tisungane_ZCH"/>
    <s v="COE"/>
    <x v="1"/>
    <x v="2"/>
    <s v="COP_24"/>
    <s v="Quarter4"/>
    <x v="0"/>
    <s v="Qtr_1"/>
    <x v="11"/>
    <d v="2025-01-01T00:00:00"/>
    <d v="2024-12-31T00:00:00"/>
    <x v="6"/>
    <n v="27"/>
    <n v="23"/>
    <n v="14"/>
    <n v="0"/>
    <n v="9"/>
    <n v="4"/>
    <n v="25"/>
    <n v="8"/>
    <n v="9"/>
    <n v="1"/>
    <n v="2"/>
    <n v="0"/>
    <n v="6"/>
    <n v="1"/>
    <n v="1"/>
    <n v="0"/>
    <n v="6"/>
    <n v="3"/>
    <n v="10"/>
    <n v="0"/>
    <n v="2"/>
    <n v="0"/>
    <n v="1"/>
    <n v="1"/>
    <n v="23"/>
    <m/>
  </r>
  <r>
    <n v="1313"/>
    <d v="2025-01-22T15:21:02"/>
    <d v="2025-01-22T15:35:48"/>
    <s v="pchaula@lighthouse.org.mw"/>
    <s v="Pachalo Chaula"/>
    <s v="Tisungane_ZCH"/>
    <s v="COE"/>
    <x v="1"/>
    <x v="2"/>
    <s v="COP_24"/>
    <s v="Quarter4"/>
    <x v="0"/>
    <s v="Qtr_1"/>
    <x v="11"/>
    <d v="2024-12-01T00:00:00"/>
    <d v="2024-12-31T00:00:00"/>
    <x v="6"/>
    <n v="27"/>
    <n v="23"/>
    <n v="14"/>
    <n v="0"/>
    <n v="9"/>
    <n v="4"/>
    <n v="25"/>
    <n v="8"/>
    <n v="9"/>
    <n v="1"/>
    <n v="2"/>
    <n v="0"/>
    <n v="6"/>
    <n v="1"/>
    <n v="1"/>
    <n v="0"/>
    <n v="3"/>
    <n v="3"/>
    <n v="10"/>
    <n v="0"/>
    <n v="2"/>
    <n v="0"/>
    <n v="1"/>
    <n v="1"/>
    <n v="23"/>
    <m/>
  </r>
  <r>
    <n v="1399"/>
    <d v="2025-03-11T10:16:52"/>
    <d v="2025-03-11T10:32:17"/>
    <s v="pchaula@lighthouse.org.mw"/>
    <s v="Pachalo Chaula"/>
    <s v="Tisungane_ZCH"/>
    <s v="COE"/>
    <x v="2"/>
    <x v="2"/>
    <s v="COP_24"/>
    <s v="Quarter1"/>
    <x v="2"/>
    <s v="Qtr_2"/>
    <x v="5"/>
    <d v="2025-02-01T00:00:00"/>
    <d v="2025-02-28T00:00:00"/>
    <x v="0"/>
    <n v="104"/>
    <n v="43"/>
    <n v="44"/>
    <n v="19"/>
    <n v="32"/>
    <n v="9"/>
    <n v="101"/>
    <n v="29"/>
    <n v="0"/>
    <n v="0"/>
    <n v="0"/>
    <n v="0"/>
    <n v="27"/>
    <n v="0"/>
    <n v="0"/>
    <n v="0"/>
    <n v="3"/>
    <n v="2"/>
    <n v="33"/>
    <n v="1"/>
    <n v="1"/>
    <n v="0"/>
    <n v="0"/>
    <n v="0"/>
    <n v="10"/>
    <m/>
  </r>
  <r>
    <n v="1400"/>
    <d v="2025-03-11T10:32:30"/>
    <d v="2025-03-11T10:35:49"/>
    <s v="pchaula@lighthouse.org.mw"/>
    <s v="Pachalo Chaula"/>
    <s v="Tisungane_ZCH"/>
    <s v="COE"/>
    <x v="2"/>
    <x v="2"/>
    <s v="COP_24"/>
    <s v="Quarter1"/>
    <x v="2"/>
    <s v="Qtr_2"/>
    <x v="5"/>
    <d v="2025-02-01T00:00:00"/>
    <d v="2025-02-28T00:00:00"/>
    <x v="6"/>
    <n v="9"/>
    <n v="9"/>
    <n v="0"/>
    <n v="6"/>
    <n v="3"/>
    <n v="0"/>
    <n v="9"/>
    <n v="3"/>
    <n v="0"/>
    <n v="0"/>
    <n v="0"/>
    <n v="0"/>
    <n v="2"/>
    <n v="0"/>
    <n v="0"/>
    <n v="0"/>
    <n v="0"/>
    <n v="0"/>
    <n v="3"/>
    <n v="0"/>
    <n v="0"/>
    <n v="0"/>
    <n v="0"/>
    <n v="0"/>
    <n v="9"/>
    <m/>
  </r>
  <r>
    <n v="1401"/>
    <d v="2025-03-11T10:36:33"/>
    <d v="2025-03-11T10:42:30"/>
    <s v="pchaula@lighthouse.org.mw"/>
    <s v="Pachalo Chaula"/>
    <s v="Tisungane_ZCH"/>
    <s v="COE"/>
    <x v="2"/>
    <x v="2"/>
    <s v="COP_24"/>
    <s v="Quarter1"/>
    <x v="2"/>
    <s v="Qtr_2"/>
    <x v="5"/>
    <d v="2025-02-01T00:00:00"/>
    <d v="2025-02-28T00:00:00"/>
    <x v="5"/>
    <n v="8"/>
    <n v="2"/>
    <n v="6"/>
    <n v="2"/>
    <n v="0"/>
    <n v="0"/>
    <n v="8"/>
    <n v="4"/>
    <n v="0"/>
    <n v="0"/>
    <n v="0"/>
    <n v="0"/>
    <n v="2"/>
    <n v="0"/>
    <n v="0"/>
    <n v="0"/>
    <n v="0"/>
    <n v="0"/>
    <n v="6"/>
    <n v="0"/>
    <n v="0"/>
    <n v="0"/>
    <n v="0"/>
    <n v="0"/>
    <n v="0"/>
    <m/>
  </r>
  <r>
    <n v="1402"/>
    <d v="2025-03-11T10:42:38"/>
    <d v="2025-03-11T10:44:50"/>
    <s v="pchaula@lighthouse.org.mw"/>
    <s v="Pachalo Chaula"/>
    <s v="Tisungane_ZCH"/>
    <s v="COE"/>
    <x v="2"/>
    <x v="2"/>
    <s v="COP_24"/>
    <s v="Quarter1"/>
    <x v="2"/>
    <s v="Qtr_2"/>
    <x v="5"/>
    <d v="2025-02-01T00:00:00"/>
    <d v="2025-02-28T00:00:00"/>
    <x v="2"/>
    <n v="14"/>
    <n v="4"/>
    <n v="8"/>
    <n v="3"/>
    <n v="3"/>
    <n v="0"/>
    <n v="13"/>
    <n v="6"/>
    <n v="0"/>
    <n v="0"/>
    <n v="0"/>
    <n v="0"/>
    <n v="3"/>
    <n v="0"/>
    <n v="0"/>
    <n v="0"/>
    <n v="0"/>
    <n v="0"/>
    <n v="7"/>
    <n v="0"/>
    <n v="0"/>
    <n v="0"/>
    <n v="0"/>
    <n v="0"/>
    <n v="14"/>
    <m/>
  </r>
  <r>
    <n v="1403"/>
    <d v="2025-03-11T10:44:59"/>
    <d v="2025-03-11T10:47:49"/>
    <s v="pchaula@lighthouse.org.mw"/>
    <s v="Pachalo Chaula"/>
    <s v="Tisungane_ZCH"/>
    <s v="COE"/>
    <x v="2"/>
    <x v="2"/>
    <s v="COP_24"/>
    <s v="Quarter1"/>
    <x v="2"/>
    <s v="Qtr_2"/>
    <x v="5"/>
    <d v="2025-02-01T00:00:00"/>
    <d v="2025-02-28T00:00:00"/>
    <x v="4"/>
    <n v="2"/>
    <n v="1"/>
    <n v="0"/>
    <n v="2"/>
    <n v="0"/>
    <n v="0"/>
    <n v="2"/>
    <n v="2"/>
    <n v="0"/>
    <n v="0"/>
    <n v="0"/>
    <n v="0"/>
    <n v="1"/>
    <n v="0"/>
    <n v="0"/>
    <n v="0"/>
    <n v="0"/>
    <n v="0"/>
    <n v="2"/>
    <n v="0"/>
    <n v="0"/>
    <n v="0"/>
    <n v="0"/>
    <n v="0"/>
    <n v="2"/>
    <m/>
  </r>
  <r>
    <n v="1404"/>
    <d v="2025-03-11T10:48:01"/>
    <d v="2025-03-11T10:50:38"/>
    <s v="pchaula@lighthouse.org.mw"/>
    <s v="Pachalo Chaula"/>
    <s v="Tisungane_ZCH"/>
    <s v="COE"/>
    <x v="2"/>
    <x v="2"/>
    <s v="COP_24"/>
    <s v="Quarter1"/>
    <x v="2"/>
    <s v="Qtr_2"/>
    <x v="5"/>
    <d v="2025-03-01T00:00:00"/>
    <d v="2025-02-28T00:00:00"/>
    <x v="3"/>
    <n v="1"/>
    <n v="1"/>
    <n v="0"/>
    <n v="0"/>
    <n v="1"/>
    <n v="0"/>
    <n v="0"/>
    <n v="0"/>
    <n v="0"/>
    <n v="0"/>
    <n v="0"/>
    <n v="0"/>
    <n v="0"/>
    <n v="0"/>
    <n v="0"/>
    <n v="0"/>
    <n v="0"/>
    <n v="0"/>
    <n v="0"/>
    <n v="0"/>
    <n v="0"/>
    <n v="0"/>
    <n v="0"/>
    <n v="0"/>
    <n v="1"/>
    <m/>
  </r>
  <r>
    <n v="1405"/>
    <d v="2025-03-11T10:51:17"/>
    <d v="2025-03-11T10:56:20"/>
    <s v="pchaula@lighthouse.org.mw"/>
    <s v="Pachalo Chaula"/>
    <s v="Tisungane_ZCH"/>
    <s v="COE"/>
    <x v="2"/>
    <x v="2"/>
    <s v="COP_24"/>
    <s v="Quarter1"/>
    <x v="2"/>
    <s v="Qtr_2"/>
    <x v="5"/>
    <d v="2025-02-01T00:00:00"/>
    <d v="2025-02-28T00:00:00"/>
    <x v="1"/>
    <n v="19"/>
    <n v="6"/>
    <n v="12"/>
    <n v="7"/>
    <n v="0"/>
    <n v="0"/>
    <n v="19"/>
    <n v="8"/>
    <n v="0"/>
    <n v="0"/>
    <n v="0"/>
    <n v="0"/>
    <n v="0"/>
    <n v="0"/>
    <n v="0"/>
    <n v="0"/>
    <n v="0"/>
    <n v="0"/>
    <n v="8"/>
    <n v="0"/>
    <n v="0"/>
    <n v="0"/>
    <n v="0"/>
    <n v="0"/>
    <n v="19"/>
    <m/>
  </r>
  <r>
    <n v="1426"/>
    <d v="2025-03-14T10:49:03"/>
    <d v="2025-03-14T10:58:39"/>
    <s v="pchaula@lighthouse.org.mw"/>
    <s v="Pachalo Chaula"/>
    <s v="Tisungane_ZCH"/>
    <s v="COE"/>
    <x v="2"/>
    <x v="2"/>
    <s v="COP_24"/>
    <s v="Quarter1"/>
    <x v="2"/>
    <s v="Qtr_2"/>
    <x v="4"/>
    <d v="2025-01-01T00:00:00"/>
    <d v="2025-01-31T00:00:00"/>
    <x v="5"/>
    <n v="23"/>
    <n v="0"/>
    <n v="19"/>
    <n v="3"/>
    <n v="1"/>
    <n v="0"/>
    <n v="19"/>
    <n v="11"/>
    <n v="0"/>
    <n v="0"/>
    <n v="1"/>
    <n v="0"/>
    <n v="3"/>
    <n v="0"/>
    <n v="0"/>
    <n v="0"/>
    <n v="0"/>
    <n v="0"/>
    <n v="17"/>
    <n v="0"/>
    <n v="0"/>
    <n v="0"/>
    <n v="0"/>
    <n v="0"/>
    <n v="23"/>
    <m/>
  </r>
  <r>
    <n v="1427"/>
    <d v="2025-03-14T10:58:49"/>
    <d v="2025-03-14T11:01:23"/>
    <s v="pchaula@lighthouse.org.mw"/>
    <s v="Pachalo Chaula"/>
    <s v="Tisungane_ZCH"/>
    <s v="COE"/>
    <x v="2"/>
    <x v="2"/>
    <s v="COP_24"/>
    <s v="Quarter1"/>
    <x v="2"/>
    <s v="Qtr_2"/>
    <x v="4"/>
    <d v="2025-01-01T00:00:00"/>
    <d v="2025-01-31T00:00:00"/>
    <x v="2"/>
    <n v="8"/>
    <n v="2"/>
    <n v="2"/>
    <n v="3"/>
    <n v="2"/>
    <n v="1"/>
    <n v="7"/>
    <n v="1"/>
    <n v="0"/>
    <n v="0"/>
    <n v="0"/>
    <n v="0"/>
    <n v="2"/>
    <n v="1"/>
    <n v="1"/>
    <n v="1"/>
    <n v="1"/>
    <n v="1"/>
    <n v="4"/>
    <n v="1"/>
    <n v="1"/>
    <n v="0"/>
    <n v="0"/>
    <n v="0"/>
    <n v="7"/>
    <m/>
  </r>
  <r>
    <n v="1428"/>
    <d v="2025-03-14T11:06:54"/>
    <d v="2025-03-14T11:07:20"/>
    <s v="pchaula@lighthouse.org.mw"/>
    <s v="Pachalo Chaula"/>
    <s v="Tisungane_ZCH"/>
    <s v="COE"/>
    <x v="2"/>
    <x v="2"/>
    <s v="COP_24"/>
    <s v="Quarter1"/>
    <x v="2"/>
    <s v="Qtr_2"/>
    <x v="4"/>
    <d v="2025-01-01T00:00:00"/>
    <d v="2025-01-31T00:00:00"/>
    <x v="3"/>
    <n v="2"/>
    <n v="0"/>
    <n v="0"/>
    <n v="0"/>
    <n v="2"/>
    <n v="0"/>
    <n v="0"/>
    <n v="0"/>
    <n v="1"/>
    <n v="0"/>
    <n v="0"/>
    <n v="0"/>
    <n v="1"/>
    <n v="0"/>
    <n v="0"/>
    <n v="0"/>
    <n v="0"/>
    <n v="0"/>
    <n v="0"/>
    <n v="0"/>
    <n v="0"/>
    <n v="0"/>
    <n v="0"/>
    <n v="0"/>
    <n v="2"/>
    <m/>
  </r>
  <r>
    <n v="1429"/>
    <d v="2025-03-14T11:07:25"/>
    <d v="2025-03-14T11:26:11"/>
    <s v="pchaula@lighthouse.org.mw"/>
    <s v="Pachalo Chaula"/>
    <s v="Tisungane_ZCH"/>
    <s v="COE"/>
    <x v="2"/>
    <x v="2"/>
    <s v="COP_24"/>
    <s v="Quarter1"/>
    <x v="2"/>
    <s v="Qtr_2"/>
    <x v="4"/>
    <d v="2025-01-01T00:00:00"/>
    <d v="2025-01-31T00:00:00"/>
    <x v="4"/>
    <n v="19"/>
    <n v="7"/>
    <n v="10"/>
    <n v="4"/>
    <n v="4"/>
    <n v="1"/>
    <n v="15"/>
    <n v="2"/>
    <n v="0"/>
    <n v="0"/>
    <n v="0"/>
    <n v="0"/>
    <n v="5"/>
    <n v="0"/>
    <n v="1"/>
    <n v="0"/>
    <n v="1"/>
    <n v="0"/>
    <n v="11"/>
    <n v="0"/>
    <n v="0"/>
    <n v="0"/>
    <n v="0"/>
    <n v="0"/>
    <n v="19"/>
    <m/>
  </r>
  <r>
    <n v="1430"/>
    <d v="2025-03-14T11:26:22"/>
    <d v="2025-03-14T11:28:30"/>
    <s v="pchaula@lighthouse.org.mw"/>
    <s v="Pachalo Chaula"/>
    <s v="Tisungane_ZCH"/>
    <s v="COE"/>
    <x v="2"/>
    <x v="2"/>
    <s v="COP_24"/>
    <s v="Quarter1"/>
    <x v="2"/>
    <s v="Qtr_2"/>
    <x v="4"/>
    <d v="2025-01-01T00:00:00"/>
    <d v="2025-01-31T00:00:00"/>
    <x v="6"/>
    <n v="3"/>
    <n v="3"/>
    <n v="1"/>
    <n v="0"/>
    <n v="2"/>
    <n v="0"/>
    <n v="3"/>
    <n v="2"/>
    <n v="0"/>
    <n v="0"/>
    <n v="0"/>
    <n v="0"/>
    <n v="2"/>
    <n v="0"/>
    <n v="0"/>
    <n v="0"/>
    <n v="0"/>
    <n v="0"/>
    <n v="1"/>
    <n v="0"/>
    <n v="0"/>
    <n v="0"/>
    <n v="0"/>
    <n v="0"/>
    <n v="3"/>
    <m/>
  </r>
  <r>
    <n v="1466"/>
    <d v="2025-03-24T13:09:10"/>
    <d v="2025-03-24T13:13:33"/>
    <s v="pchaula@lighthouse.org.mw"/>
    <s v="Pachalo Chaula"/>
    <s v="Tisungane_ZCH"/>
    <s v="COE"/>
    <x v="2"/>
    <x v="2"/>
    <s v="COP_24"/>
    <s v="Quarter1"/>
    <x v="2"/>
    <s v="Qtr_2"/>
    <x v="4"/>
    <d v="2025-01-01T00:00:00"/>
    <d v="2025-01-31T00:00:00"/>
    <x v="0"/>
    <n v="171"/>
    <n v="61"/>
    <n v="96"/>
    <n v="23"/>
    <n v="44"/>
    <n v="8"/>
    <n v="152"/>
    <n v="40"/>
    <n v="16"/>
    <n v="1"/>
    <n v="4"/>
    <n v="1"/>
    <n v="59"/>
    <n v="5"/>
    <n v="9"/>
    <n v="1"/>
    <n v="10"/>
    <n v="2"/>
    <n v="69"/>
    <n v="2"/>
    <n v="5"/>
    <n v="1"/>
    <n v="0"/>
    <n v="0"/>
    <n v="165"/>
    <m/>
  </r>
  <r>
    <n v="1511"/>
    <d v="2025-04-07T14:33:43"/>
    <d v="2025-04-07T14:41:15"/>
    <s v="pchaula@lighthouse.org.mw"/>
    <s v="Pachalo Chaula"/>
    <s v="Tisungane_ZCH"/>
    <s v="COE"/>
    <x v="2"/>
    <x v="2"/>
    <s v="COP_24"/>
    <s v="Quarter1"/>
    <x v="2"/>
    <s v="Qtr_2"/>
    <x v="3"/>
    <d v="2025-03-01T00:00:00"/>
    <d v="2025-03-31T00:00:00"/>
    <x v="4"/>
    <n v="7"/>
    <n v="4"/>
    <n v="2"/>
    <n v="1"/>
    <n v="4"/>
    <n v="0"/>
    <n v="7"/>
    <n v="1"/>
    <n v="1"/>
    <n v="0"/>
    <n v="0"/>
    <n v="0"/>
    <n v="2"/>
    <n v="0"/>
    <n v="0"/>
    <n v="0"/>
    <n v="1"/>
    <n v="1"/>
    <n v="1"/>
    <n v="0"/>
    <n v="0"/>
    <n v="0"/>
    <n v="0"/>
    <n v="0"/>
    <n v="7"/>
    <m/>
  </r>
  <r>
    <n v="1512"/>
    <d v="2025-04-07T14:41:20"/>
    <d v="2025-04-07T14:44:58"/>
    <s v="pchaula@lighthouse.org.mw"/>
    <s v="Pachalo Chaula"/>
    <s v="Tisungane_ZCH"/>
    <s v="COE"/>
    <x v="2"/>
    <x v="2"/>
    <s v="COP_24"/>
    <s v="Quarter1"/>
    <x v="2"/>
    <s v="Qtr_2"/>
    <x v="3"/>
    <d v="2025-03-01T00:00:00"/>
    <d v="2025-03-31T00:00:00"/>
    <x v="6"/>
    <n v="37"/>
    <n v="37"/>
    <n v="8"/>
    <n v="10"/>
    <n v="11"/>
    <n v="8"/>
    <n v="37"/>
    <n v="20"/>
    <n v="4"/>
    <n v="0"/>
    <n v="0"/>
    <n v="0"/>
    <n v="19"/>
    <n v="2"/>
    <n v="4"/>
    <n v="1"/>
    <n v="11"/>
    <n v="3"/>
    <n v="20"/>
    <n v="3"/>
    <n v="6"/>
    <n v="0"/>
    <n v="0"/>
    <n v="0"/>
    <n v="31"/>
    <m/>
  </r>
  <r>
    <n v="1513"/>
    <d v="2025-04-07T14:45:22"/>
    <d v="2025-04-07T14:50:07"/>
    <s v="pchaula@lighthouse.org.mw"/>
    <s v="Pachalo Chaula"/>
    <s v="Tisungane_ZCH"/>
    <s v="COE"/>
    <x v="2"/>
    <x v="2"/>
    <s v="COP_24"/>
    <s v="Quarter1"/>
    <x v="2"/>
    <s v="Qtr_2"/>
    <x v="3"/>
    <d v="2025-03-01T00:00:00"/>
    <d v="2025-03-31T00:00:00"/>
    <x v="5"/>
    <n v="25"/>
    <n v="2"/>
    <n v="20"/>
    <n v="1"/>
    <n v="3"/>
    <n v="1"/>
    <n v="24"/>
    <n v="4"/>
    <n v="1"/>
    <n v="0"/>
    <n v="0"/>
    <n v="0"/>
    <n v="6"/>
    <n v="1"/>
    <n v="1"/>
    <n v="0"/>
    <n v="4"/>
    <n v="0"/>
    <n v="19"/>
    <n v="1"/>
    <n v="1"/>
    <n v="0"/>
    <n v="0"/>
    <n v="0"/>
    <n v="24"/>
    <m/>
  </r>
  <r>
    <n v="1514"/>
    <d v="2025-04-07T14:50:34"/>
    <d v="2025-04-07T14:52:47"/>
    <s v="pchaula@lighthouse.org.mw"/>
    <s v="Pachalo Chaula"/>
    <s v="Tisungane_ZCH"/>
    <s v="COE"/>
    <x v="2"/>
    <x v="2"/>
    <s v="COP_24"/>
    <s v="Quarter1"/>
    <x v="2"/>
    <s v="Qtr_2"/>
    <x v="3"/>
    <d v="2025-03-01T00:00:00"/>
    <d v="2025-03-31T00:00:00"/>
    <x v="2"/>
    <n v="12"/>
    <n v="6"/>
    <n v="5"/>
    <n v="2"/>
    <n v="3"/>
    <n v="2"/>
    <n v="12"/>
    <n v="3"/>
    <n v="0"/>
    <n v="0"/>
    <n v="0"/>
    <n v="0"/>
    <n v="3"/>
    <n v="0"/>
    <n v="0"/>
    <n v="0"/>
    <n v="4"/>
    <n v="0"/>
    <n v="4"/>
    <n v="0"/>
    <n v="0"/>
    <n v="0"/>
    <n v="0"/>
    <n v="0"/>
    <n v="12"/>
    <m/>
  </r>
  <r>
    <n v="1515"/>
    <d v="2025-04-07T14:53:08"/>
    <d v="2025-04-07T14:55:17"/>
    <s v="pchaula@lighthouse.org.mw"/>
    <s v="Pachalo Chaula"/>
    <s v="Tisungane_ZCH"/>
    <s v="COE"/>
    <x v="2"/>
    <x v="2"/>
    <s v="COP_24"/>
    <s v="Quarter1"/>
    <x v="2"/>
    <s v="Qtr_2"/>
    <x v="3"/>
    <m/>
    <d v="2025-03-31T00:00:00"/>
    <x v="3"/>
    <n v="2"/>
    <n v="1"/>
    <n v="0"/>
    <n v="0"/>
    <n v="2"/>
    <n v="0"/>
    <n v="0"/>
    <n v="0"/>
    <n v="0"/>
    <n v="0"/>
    <n v="0"/>
    <n v="0"/>
    <n v="2"/>
    <n v="1"/>
    <n v="1"/>
    <n v="0"/>
    <n v="1"/>
    <n v="0"/>
    <n v="1"/>
    <n v="1"/>
    <n v="1"/>
    <n v="0"/>
    <n v="0"/>
    <n v="0"/>
    <n v="2"/>
    <m/>
  </r>
  <r>
    <n v="1516"/>
    <d v="2025-04-07T15:24:34"/>
    <d v="2025-04-07T15:27:37"/>
    <s v="pchaula@lighthouse.org.mw"/>
    <s v="Pachalo Chaula"/>
    <s v="Tisungane_ZCH"/>
    <s v="COE"/>
    <x v="2"/>
    <x v="2"/>
    <s v="COP_24"/>
    <s v="Quarter1"/>
    <x v="2"/>
    <s v="Qtr_2"/>
    <x v="3"/>
    <d v="2025-03-01T00:00:00"/>
    <d v="2025-03-31T00:00:00"/>
    <x v="1"/>
    <n v="38"/>
    <n v="13"/>
    <n v="16"/>
    <n v="9"/>
    <n v="7"/>
    <n v="6"/>
    <n v="38"/>
    <n v="20"/>
    <n v="6"/>
    <n v="0"/>
    <n v="1"/>
    <n v="0"/>
    <n v="19"/>
    <n v="2"/>
    <n v="1"/>
    <n v="0"/>
    <n v="7"/>
    <n v="1"/>
    <n v="19"/>
    <n v="2"/>
    <n v="2"/>
    <n v="0"/>
    <n v="0"/>
    <n v="0"/>
    <n v="36"/>
    <m/>
  </r>
  <r>
    <n v="1531"/>
    <d v="2025-04-11T13:59:36"/>
    <d v="2025-04-11T14:02:51"/>
    <s v="pchaula@lighthouse.org.mw"/>
    <s v="Pachalo Chaula"/>
    <s v="Tisungane_ZCH"/>
    <s v="COE"/>
    <x v="2"/>
    <x v="2"/>
    <s v="COP_24"/>
    <s v="Quarter1"/>
    <x v="2"/>
    <s v="Qtr_2"/>
    <x v="4"/>
    <d v="2025-01-01T00:00:00"/>
    <d v="2025-01-31T00:00:00"/>
    <x v="1"/>
    <n v="37"/>
    <n v="3"/>
    <n v="24"/>
    <n v="2"/>
    <n v="10"/>
    <n v="1"/>
    <n v="31"/>
    <n v="9"/>
    <n v="6"/>
    <n v="1"/>
    <n v="1"/>
    <n v="1"/>
    <n v="14"/>
    <n v="1"/>
    <n v="3"/>
    <n v="0"/>
    <n v="4"/>
    <n v="1"/>
    <n v="16"/>
    <n v="1"/>
    <n v="0"/>
    <n v="0"/>
    <n v="1"/>
    <n v="0"/>
    <n v="37"/>
    <m/>
  </r>
  <r>
    <n v="15"/>
    <d v="2023-12-16T15:54:17"/>
    <d v="2023-12-16T16:10:46"/>
    <s v="anhlema@lighthouse.org.mw"/>
    <s v="Angelina Nhlema"/>
    <s v="UFC_Queens"/>
    <s v="COE"/>
    <x v="0"/>
    <x v="1"/>
    <s v="COP_22"/>
    <s v="Quarter3"/>
    <x v="1"/>
    <s v="Qtr_4"/>
    <x v="2"/>
    <d v="2023-09-01T00:00:00"/>
    <d v="2023-09-30T00:00:00"/>
    <x v="6"/>
    <n v="16"/>
    <n v="11"/>
    <n v="1"/>
    <n v="0"/>
    <n v="7"/>
    <n v="8"/>
    <n v="16"/>
    <n v="8"/>
    <n v="14"/>
    <n v="0"/>
    <n v="14"/>
    <n v="0"/>
    <n v="12"/>
    <n v="0"/>
    <n v="0"/>
    <n v="0"/>
    <n v="1"/>
    <n v="1"/>
    <n v="2"/>
    <n v="1"/>
    <n v="3"/>
    <n v="0"/>
    <n v="0"/>
    <n v="0"/>
    <n v="13"/>
    <m/>
  </r>
  <r>
    <n v="22"/>
    <d v="2023-12-16T17:12:47"/>
    <d v="2023-12-16T17:16:18"/>
    <s v="anhlema@lighthouse.org.mw"/>
    <s v="Angelina Nhlema"/>
    <s v="UFC_Queens"/>
    <s v="COE"/>
    <x v="0"/>
    <x v="0"/>
    <s v="COP_23"/>
    <s v="Quarter4"/>
    <x v="0"/>
    <s v="Qtr_1"/>
    <x v="1"/>
    <d v="2023-11-01T00:00:00"/>
    <d v="2023-11-30T00:00:00"/>
    <x v="0"/>
    <n v="239"/>
    <n v="0"/>
    <n v="154"/>
    <n v="57"/>
    <n v="14"/>
    <n v="9"/>
    <n v="239"/>
    <n v="58"/>
    <n v="63"/>
    <n v="3"/>
    <n v="3"/>
    <n v="0"/>
    <n v="61"/>
    <n v="1"/>
    <n v="0"/>
    <n v="0"/>
    <n v="0"/>
    <n v="0"/>
    <n v="21"/>
    <n v="0"/>
    <n v="3"/>
    <n v="3"/>
    <n v="0"/>
    <n v="1"/>
    <n v="232"/>
    <m/>
  </r>
  <r>
    <n v="25"/>
    <d v="2023-12-16T18:58:28"/>
    <d v="2023-12-16T19:07:43"/>
    <s v="anhlema@lighthouse.org.mw"/>
    <s v="Angelina Nhlema"/>
    <s v="UFC_Queens"/>
    <s v="COE"/>
    <x v="0"/>
    <x v="1"/>
    <s v="COP_22"/>
    <s v="Quarter3"/>
    <x v="1"/>
    <s v="Qtr_4"/>
    <x v="2"/>
    <d v="2023-09-01T00:00:00"/>
    <d v="2023-09-30T00:00:00"/>
    <x v="0"/>
    <n v="68"/>
    <n v="17"/>
    <n v="44"/>
    <n v="11"/>
    <n v="9"/>
    <n v="4"/>
    <n v="68"/>
    <n v="29"/>
    <n v="32"/>
    <n v="4"/>
    <n v="4"/>
    <n v="0"/>
    <n v="36"/>
    <n v="0"/>
    <n v="0"/>
    <n v="0"/>
    <n v="0"/>
    <n v="0"/>
    <n v="2"/>
    <n v="0"/>
    <n v="2"/>
    <n v="0"/>
    <n v="2"/>
    <n v="0"/>
    <n v="64"/>
    <m/>
  </r>
  <r>
    <n v="28"/>
    <d v="2023-12-18T08:48:14"/>
    <d v="2023-12-18T09:37:49"/>
    <s v="amakweti@lighthouse.org.mw"/>
    <s v="Alphat Makweti"/>
    <s v="UFC_Queens"/>
    <s v="COE"/>
    <x v="0"/>
    <x v="0"/>
    <s v="COP_23"/>
    <s v="Quarter4"/>
    <x v="0"/>
    <s v="Qtr_1"/>
    <x v="0"/>
    <d v="2023-10-01T00:00:00"/>
    <d v="2023-10-31T00:00:00"/>
    <x v="0"/>
    <n v="255"/>
    <n v="2"/>
    <n v="150"/>
    <n v="79"/>
    <n v="22"/>
    <n v="4"/>
    <n v="255"/>
    <n v="79"/>
    <n v="85"/>
    <n v="0"/>
    <n v="0"/>
    <n v="0"/>
    <n v="87"/>
    <n v="3"/>
    <n v="0"/>
    <n v="0"/>
    <n v="0"/>
    <n v="0"/>
    <n v="62"/>
    <n v="0"/>
    <n v="2"/>
    <n v="0"/>
    <n v="0"/>
    <n v="0"/>
    <n v="5"/>
    <m/>
  </r>
  <r>
    <n v="31"/>
    <d v="2023-12-18T09:51:14"/>
    <d v="2023-12-18T09:57:54"/>
    <s v="amakweti@lighthouse.org.mw"/>
    <s v="Alphat Makweti"/>
    <s v="UFC_Queens"/>
    <s v="COE"/>
    <x v="0"/>
    <x v="0"/>
    <s v="COP_23"/>
    <s v="Quarter4"/>
    <x v="0"/>
    <s v="Qtr_1"/>
    <x v="1"/>
    <d v="2023-11-01T00:00:00"/>
    <d v="2023-11-30T00:00:00"/>
    <x v="6"/>
    <n v="212"/>
    <n v="136"/>
    <n v="10"/>
    <n v="22"/>
    <n v="112"/>
    <n v="68"/>
    <n v="200"/>
    <n v="76"/>
    <n v="85"/>
    <n v="3"/>
    <n v="4"/>
    <n v="2"/>
    <n v="79"/>
    <n v="14"/>
    <n v="0"/>
    <n v="0"/>
    <n v="1"/>
    <n v="0"/>
    <n v="3"/>
    <n v="0"/>
    <n v="17"/>
    <n v="3"/>
    <n v="1"/>
    <n v="0"/>
    <n v="191"/>
    <m/>
  </r>
  <r>
    <n v="32"/>
    <d v="2023-12-18T09:58:06"/>
    <d v="2023-12-18T10:02:07"/>
    <s v="amakweti@lighthouse.org.mw"/>
    <s v="Alphat Makweti"/>
    <s v="UFC_Queens"/>
    <s v="COE"/>
    <x v="0"/>
    <x v="0"/>
    <s v="COP_23"/>
    <s v="Quarter4"/>
    <x v="0"/>
    <s v="Qtr_1"/>
    <x v="0"/>
    <d v="2023-10-01T00:00:00"/>
    <d v="2023-10-31T00:00:00"/>
    <x v="6"/>
    <n v="206"/>
    <n v="23"/>
    <n v="8"/>
    <n v="0"/>
    <n v="185"/>
    <n v="13"/>
    <n v="198"/>
    <n v="65"/>
    <n v="79"/>
    <n v="2"/>
    <n v="0"/>
    <n v="0"/>
    <n v="82"/>
    <n v="10"/>
    <n v="9"/>
    <n v="0"/>
    <n v="2"/>
    <n v="2"/>
    <n v="14"/>
    <n v="0"/>
    <n v="11"/>
    <n v="0"/>
    <n v="2"/>
    <n v="1"/>
    <n v="192"/>
    <m/>
  </r>
  <r>
    <n v="83"/>
    <d v="2024-01-12T15:17:39"/>
    <d v="2024-01-12T15:28:49"/>
    <s v="amakweti@lighthouse.org.mw"/>
    <s v="Alphat Makweti"/>
    <s v="UFC_Queens"/>
    <s v="COE"/>
    <x v="0"/>
    <x v="0"/>
    <s v="COP_23"/>
    <s v="Quarter4"/>
    <x v="0"/>
    <s v="Qtr_1"/>
    <x v="11"/>
    <d v="2023-12-01T00:00:00"/>
    <d v="2023-12-31T00:00:00"/>
    <x v="0"/>
    <n v="228"/>
    <n v="0"/>
    <n v="142"/>
    <n v="68"/>
    <n v="10"/>
    <n v="8"/>
    <n v="228"/>
    <n v="75"/>
    <n v="81"/>
    <n v="4"/>
    <n v="0"/>
    <n v="0"/>
    <n v="75"/>
    <n v="2"/>
    <n v="0"/>
    <n v="0"/>
    <n v="0"/>
    <n v="0"/>
    <n v="65"/>
    <n v="6"/>
    <n v="10"/>
    <n v="0"/>
    <n v="4"/>
    <n v="1"/>
    <n v="9"/>
    <m/>
  </r>
  <r>
    <n v="84"/>
    <d v="2024-01-12T15:33:56"/>
    <d v="2024-01-12T15:40:06"/>
    <s v="amakweti@lighthouse.org.mw"/>
    <s v="Alphat Makweti"/>
    <s v="UFC_Queens"/>
    <s v="COE"/>
    <x v="0"/>
    <x v="0"/>
    <s v="COP_23"/>
    <s v="Quarter4"/>
    <x v="0"/>
    <s v="Qtr_1"/>
    <x v="11"/>
    <d v="2023-12-01T00:00:00"/>
    <d v="2023-12-31T00:00:00"/>
    <x v="6"/>
    <n v="158"/>
    <n v="108"/>
    <n v="32"/>
    <n v="24"/>
    <n v="47"/>
    <n v="55"/>
    <n v="151"/>
    <n v="60"/>
    <n v="68"/>
    <n v="2"/>
    <n v="0"/>
    <n v="0"/>
    <n v="45"/>
    <n v="8"/>
    <n v="2"/>
    <n v="2"/>
    <n v="5"/>
    <n v="5"/>
    <n v="1"/>
    <n v="1"/>
    <n v="15"/>
    <n v="3"/>
    <n v="1"/>
    <n v="19"/>
    <n v="120"/>
    <m/>
  </r>
  <r>
    <n v="127"/>
    <d v="2024-01-26T13:19:07"/>
    <d v="2024-01-26T13:20:49"/>
    <s v="chbanda@lighthouse.org.mw"/>
    <s v="Chipiliro Banda"/>
    <s v="UFC_Queens"/>
    <s v="COE"/>
    <x v="0"/>
    <x v="0"/>
    <s v="COP_23"/>
    <s v="Quarter4"/>
    <x v="0"/>
    <s v="Qtr_1"/>
    <x v="0"/>
    <d v="2023-10-01T00:00:00"/>
    <d v="2023-10-31T00:00:00"/>
    <x v="3"/>
    <n v="0"/>
    <n v="0"/>
    <n v="0"/>
    <n v="0"/>
    <n v="0"/>
    <n v="0"/>
    <n v="0"/>
    <n v="0"/>
    <n v="0"/>
    <n v="0"/>
    <n v="0"/>
    <n v="0"/>
    <n v="0"/>
    <n v="0"/>
    <n v="0"/>
    <n v="0"/>
    <n v="0"/>
    <n v="0"/>
    <n v="0"/>
    <n v="0"/>
    <n v="0"/>
    <n v="0"/>
    <n v="0"/>
    <n v="0"/>
    <n v="0"/>
    <m/>
  </r>
  <r>
    <n v="128"/>
    <d v="2024-01-26T13:21:17"/>
    <d v="2024-01-26T13:25:50"/>
    <s v="chbanda@lighthouse.org.mw"/>
    <s v="Chipiliro Banda"/>
    <s v="UFC_Queens"/>
    <s v="COE"/>
    <x v="0"/>
    <x v="0"/>
    <s v="COP_23"/>
    <s v="Quarter4"/>
    <x v="0"/>
    <s v="Qtr_1"/>
    <x v="0"/>
    <d v="2023-10-01T00:00:00"/>
    <d v="2024-10-31T00:00:00"/>
    <x v="5"/>
    <n v="82"/>
    <n v="0"/>
    <n v="51"/>
    <n v="18"/>
    <n v="19"/>
    <n v="2"/>
    <n v="82"/>
    <n v="22"/>
    <n v="28"/>
    <n v="1"/>
    <n v="0"/>
    <n v="0"/>
    <n v="22"/>
    <n v="1"/>
    <n v="0"/>
    <n v="0"/>
    <n v="0"/>
    <n v="0"/>
    <n v="28"/>
    <n v="0"/>
    <n v="1"/>
    <n v="0"/>
    <n v="0"/>
    <n v="0"/>
    <n v="0"/>
    <m/>
  </r>
  <r>
    <n v="130"/>
    <d v="2024-01-26T13:29:48"/>
    <d v="2024-01-26T13:31:23"/>
    <s v="chbanda@lighthouse.org.mw"/>
    <s v="Chipiliro Banda"/>
    <s v="UFC_Queens"/>
    <s v="COE"/>
    <x v="0"/>
    <x v="0"/>
    <s v="COP_23"/>
    <s v="Quarter4"/>
    <x v="0"/>
    <s v="Qtr_1"/>
    <x v="1"/>
    <d v="2024-11-01T00:00:00"/>
    <d v="2024-11-30T00:00:00"/>
    <x v="3"/>
    <n v="1"/>
    <n v="0"/>
    <n v="1"/>
    <n v="0"/>
    <n v="0"/>
    <n v="0"/>
    <n v="1"/>
    <n v="0"/>
    <n v="0"/>
    <n v="0"/>
    <n v="0"/>
    <n v="0"/>
    <n v="0"/>
    <n v="0"/>
    <n v="0"/>
    <n v="0"/>
    <n v="0"/>
    <n v="0"/>
    <n v="0"/>
    <n v="0"/>
    <n v="0"/>
    <n v="0"/>
    <n v="0"/>
    <n v="0"/>
    <n v="0"/>
    <m/>
  </r>
  <r>
    <n v="132"/>
    <d v="2024-01-26T13:34:54"/>
    <d v="2024-01-26T13:38:03"/>
    <s v="chbanda@lighthouse.org.mw"/>
    <s v="Chipiliro Banda"/>
    <s v="UFC_Queens"/>
    <s v="COE"/>
    <x v="0"/>
    <x v="0"/>
    <s v="COP_23"/>
    <s v="Quarter4"/>
    <x v="0"/>
    <s v="Qtr_1"/>
    <x v="1"/>
    <d v="2024-11-01T00:00:00"/>
    <d v="2024-11-30T00:00:00"/>
    <x v="5"/>
    <n v="105"/>
    <n v="0"/>
    <n v="84"/>
    <n v="19"/>
    <n v="2"/>
    <n v="0"/>
    <n v="105"/>
    <n v="17"/>
    <n v="18"/>
    <n v="0"/>
    <n v="0"/>
    <n v="0"/>
    <n v="18"/>
    <n v="0"/>
    <n v="0"/>
    <n v="0"/>
    <n v="0"/>
    <n v="0"/>
    <n v="18"/>
    <n v="0"/>
    <n v="0"/>
    <n v="0"/>
    <n v="0"/>
    <n v="0"/>
    <n v="0"/>
    <m/>
  </r>
  <r>
    <n v="134"/>
    <d v="2024-01-26T13:40:57"/>
    <d v="2024-01-26T13:43:59"/>
    <s v="chbanda@lighthouse.org.mw"/>
    <s v="Chipiliro Banda"/>
    <s v="UFC_Queens"/>
    <s v="COE"/>
    <x v="0"/>
    <x v="0"/>
    <s v="COP_23"/>
    <s v="Quarter4"/>
    <x v="0"/>
    <s v="Qtr_1"/>
    <x v="11"/>
    <d v="2024-12-01T00:00:00"/>
    <d v="2024-12-31T00:00:00"/>
    <x v="5"/>
    <n v="94"/>
    <n v="0"/>
    <n v="60"/>
    <n v="27"/>
    <n v="6"/>
    <n v="1"/>
    <n v="94"/>
    <n v="29"/>
    <n v="36"/>
    <n v="1"/>
    <n v="1"/>
    <n v="0"/>
    <n v="38"/>
    <n v="3"/>
    <n v="0"/>
    <n v="0"/>
    <n v="0"/>
    <n v="0"/>
    <n v="35"/>
    <n v="0"/>
    <n v="0"/>
    <n v="0"/>
    <n v="1"/>
    <n v="0"/>
    <n v="0"/>
    <m/>
  </r>
  <r>
    <n v="135"/>
    <d v="2024-01-26T13:44:05"/>
    <d v="2024-01-26T13:45:32"/>
    <s v="chbanda@lighthouse.org.mw"/>
    <s v="Chipiliro Banda"/>
    <s v="UFC_Queens"/>
    <s v="COE"/>
    <x v="0"/>
    <x v="0"/>
    <s v="COP_23"/>
    <s v="Quarter4"/>
    <x v="0"/>
    <s v="Qtr_1"/>
    <x v="11"/>
    <d v="2024-12-01T00:00:00"/>
    <d v="2024-12-31T00:00:00"/>
    <x v="3"/>
    <n v="1"/>
    <n v="0"/>
    <n v="0"/>
    <n v="0"/>
    <n v="1"/>
    <n v="0"/>
    <n v="0"/>
    <n v="0"/>
    <n v="0"/>
    <n v="0"/>
    <n v="0"/>
    <n v="0"/>
    <n v="0"/>
    <n v="0"/>
    <n v="0"/>
    <n v="0"/>
    <n v="0"/>
    <n v="0"/>
    <n v="0"/>
    <n v="0"/>
    <n v="0"/>
    <n v="0"/>
    <n v="0"/>
    <n v="0"/>
    <n v="0"/>
    <m/>
  </r>
  <r>
    <n v="153"/>
    <d v="2024-02-13T11:55:18"/>
    <d v="2024-02-13T11:59:34"/>
    <s v="amakweti@lighthouse.org.mw"/>
    <s v="Alphat Makweti"/>
    <s v="UFC_Queens"/>
    <s v="COE"/>
    <x v="1"/>
    <x v="0"/>
    <s v="COP_23"/>
    <s v="Quarter1"/>
    <x v="2"/>
    <s v="Qtr_2"/>
    <x v="4"/>
    <d v="2024-01-01T00:00:00"/>
    <d v="2024-01-31T00:00:00"/>
    <x v="6"/>
    <n v="219"/>
    <n v="168"/>
    <n v="59"/>
    <n v="39"/>
    <n v="34"/>
    <n v="87"/>
    <n v="209"/>
    <n v="79"/>
    <n v="98"/>
    <n v="2"/>
    <n v="0"/>
    <n v="0"/>
    <n v="82"/>
    <n v="8"/>
    <n v="0"/>
    <n v="0"/>
    <n v="0"/>
    <n v="0"/>
    <n v="1"/>
    <n v="1"/>
    <n v="11"/>
    <n v="3"/>
    <n v="0"/>
    <n v="5"/>
    <n v="200"/>
    <m/>
  </r>
  <r>
    <n v="154"/>
    <d v="2024-02-13T12:07:58"/>
    <d v="2024-02-13T12:13:07"/>
    <s v="amakweti@lighthouse.org.mw"/>
    <s v="Alphat Makweti"/>
    <s v="UFC_Queens"/>
    <s v="COE"/>
    <x v="1"/>
    <x v="0"/>
    <s v="COP_23"/>
    <s v="Quarter1"/>
    <x v="2"/>
    <s v="Qtr_2"/>
    <x v="4"/>
    <d v="2024-01-01T00:00:00"/>
    <d v="2024-01-31T00:00:00"/>
    <x v="0"/>
    <n v="331"/>
    <n v="0"/>
    <n v="190"/>
    <n v="110"/>
    <n v="13"/>
    <n v="14"/>
    <n v="327"/>
    <n v="95"/>
    <n v="122"/>
    <n v="8"/>
    <n v="7"/>
    <n v="2"/>
    <n v="18"/>
    <n v="8"/>
    <n v="0"/>
    <n v="0"/>
    <n v="0"/>
    <n v="0"/>
    <n v="95"/>
    <n v="8"/>
    <n v="8"/>
    <n v="1"/>
    <n v="2"/>
    <n v="1"/>
    <n v="311"/>
    <m/>
  </r>
  <r>
    <n v="156"/>
    <d v="2024-02-13T12:18:40"/>
    <d v="2024-02-13T12:22:27"/>
    <s v="amakweti@lighthouse.org.mw"/>
    <s v="Alphat Makweti"/>
    <s v="UFC_Queens"/>
    <s v="COE"/>
    <x v="1"/>
    <x v="0"/>
    <s v="COP_23"/>
    <s v="Quarter1"/>
    <x v="2"/>
    <s v="Qtr_2"/>
    <x v="4"/>
    <d v="2024-01-01T00:00:00"/>
    <d v="2024-01-31T00:00:00"/>
    <x v="5"/>
    <n v="103"/>
    <n v="0"/>
    <n v="70"/>
    <n v="27"/>
    <n v="1"/>
    <n v="5"/>
    <n v="102"/>
    <n v="34"/>
    <n v="34"/>
    <n v="0"/>
    <n v="0"/>
    <n v="0"/>
    <n v="34"/>
    <n v="0"/>
    <n v="0"/>
    <n v="0"/>
    <n v="0"/>
    <n v="0"/>
    <n v="34"/>
    <n v="0"/>
    <n v="0"/>
    <n v="0"/>
    <n v="0"/>
    <n v="0"/>
    <n v="0"/>
    <m/>
  </r>
  <r>
    <n v="157"/>
    <d v="2024-02-14T08:04:24"/>
    <d v="2024-02-14T08:06:37"/>
    <s v="amakweti@lighthouse.org.mw"/>
    <s v="Alphat Makweti"/>
    <s v="UFC_Queens"/>
    <s v="COE"/>
    <x v="1"/>
    <x v="0"/>
    <s v="COP_23"/>
    <s v="Quarter1"/>
    <x v="2"/>
    <s v="Qtr_2"/>
    <x v="4"/>
    <d v="2024-01-01T00:00:00"/>
    <d v="2024-01-31T00:00:00"/>
    <x v="3"/>
    <n v="4"/>
    <n v="0"/>
    <n v="4"/>
    <n v="0"/>
    <n v="0"/>
    <n v="0"/>
    <n v="0"/>
    <n v="0"/>
    <n v="4"/>
    <n v="0"/>
    <n v="0"/>
    <n v="0"/>
    <n v="0"/>
    <n v="0"/>
    <n v="0"/>
    <n v="0"/>
    <n v="0"/>
    <n v="0"/>
    <n v="0"/>
    <n v="0"/>
    <n v="0"/>
    <n v="0"/>
    <n v="0"/>
    <n v="0"/>
    <n v="4"/>
    <m/>
  </r>
  <r>
    <n v="163"/>
    <d v="2024-03-08T14:13:19"/>
    <d v="2024-03-08T14:22:11"/>
    <s v="chbanda@lighthouse.org.mw"/>
    <s v="Chipiliro Banda"/>
    <s v="UFC_Queens"/>
    <s v="COE"/>
    <x v="1"/>
    <x v="0"/>
    <s v="COP_23"/>
    <s v="Quarter1"/>
    <x v="2"/>
    <s v="Qtr_2"/>
    <x v="5"/>
    <d v="2024-02-01T00:00:00"/>
    <d v="2024-02-29T00:00:00"/>
    <x v="0"/>
    <n v="538"/>
    <n v="142"/>
    <n v="237"/>
    <n v="105"/>
    <n v="78"/>
    <n v="118"/>
    <n v="314"/>
    <n v="152"/>
    <n v="154"/>
    <n v="4"/>
    <n v="3"/>
    <n v="0"/>
    <n v="129"/>
    <n v="12"/>
    <n v="2"/>
    <n v="2"/>
    <n v="0"/>
    <n v="0"/>
    <n v="63"/>
    <n v="8"/>
    <n v="18"/>
    <n v="3"/>
    <n v="0"/>
    <n v="7"/>
    <n v="510"/>
    <m/>
  </r>
  <r>
    <n v="217"/>
    <d v="2024-04-08T11:30:07"/>
    <d v="2024-04-08T11:45:00"/>
    <s v="chbanda@lighthouse.org.mw"/>
    <s v="Chipiliro Banda"/>
    <s v="UFC_Queens"/>
    <s v="COE"/>
    <x v="1"/>
    <x v="0"/>
    <s v="COP_23"/>
    <s v="Quarter1"/>
    <x v="2"/>
    <s v="Qtr_2"/>
    <x v="3"/>
    <d v="2024-03-01T00:00:00"/>
    <d v="2024-03-31T00:00:00"/>
    <x v="5"/>
    <n v="97"/>
    <n v="0"/>
    <n v="69"/>
    <n v="22"/>
    <n v="5"/>
    <n v="1"/>
    <n v="97"/>
    <n v="23"/>
    <n v="23"/>
    <n v="0"/>
    <n v="0"/>
    <n v="0"/>
    <n v="22"/>
    <n v="1"/>
    <n v="0"/>
    <n v="0"/>
    <n v="0"/>
    <n v="0"/>
    <n v="22"/>
    <n v="2"/>
    <n v="2"/>
    <n v="0"/>
    <n v="0"/>
    <n v="0"/>
    <n v="39"/>
    <m/>
  </r>
  <r>
    <n v="220"/>
    <d v="2024-04-08T11:52:54"/>
    <d v="2024-04-08T11:59:02"/>
    <s v="chbanda@lighthouse.org.mw"/>
    <s v="Chipiliro Banda"/>
    <s v="UFC_Queens"/>
    <s v="COE"/>
    <x v="1"/>
    <x v="0"/>
    <s v="COP_23"/>
    <s v="Quarter1"/>
    <x v="2"/>
    <s v="Qtr_2"/>
    <x v="3"/>
    <d v="2024-02-29T00:00:00"/>
    <d v="2024-03-31T00:00:00"/>
    <x v="0"/>
    <n v="333"/>
    <n v="0"/>
    <n v="191"/>
    <n v="101"/>
    <n v="28"/>
    <n v="13"/>
    <n v="317"/>
    <n v="77"/>
    <n v="87"/>
    <n v="1"/>
    <n v="2"/>
    <n v="1"/>
    <n v="84"/>
    <n v="3"/>
    <n v="0"/>
    <n v="0"/>
    <n v="0"/>
    <n v="0"/>
    <n v="71"/>
    <n v="9"/>
    <n v="14"/>
    <n v="1"/>
    <n v="0"/>
    <n v="0"/>
    <n v="110"/>
    <m/>
  </r>
  <r>
    <n v="221"/>
    <d v="2024-04-08T11:59:15"/>
    <d v="2024-04-08T12:02:03"/>
    <s v="chbanda@lighthouse.org.mw"/>
    <s v="Chipiliro Banda"/>
    <s v="UFC_Queens"/>
    <s v="COE"/>
    <x v="1"/>
    <x v="0"/>
    <s v="COP_23"/>
    <s v="Quarter1"/>
    <x v="2"/>
    <s v="Qtr_2"/>
    <x v="3"/>
    <d v="2024-03-01T00:00:00"/>
    <d v="2024-03-31T00:00:00"/>
    <x v="3"/>
    <n v="8"/>
    <n v="0"/>
    <n v="8"/>
    <n v="0"/>
    <n v="0"/>
    <n v="0"/>
    <n v="0"/>
    <n v="0"/>
    <n v="8"/>
    <n v="0"/>
    <n v="0"/>
    <n v="0"/>
    <n v="8"/>
    <n v="0"/>
    <n v="0"/>
    <n v="0"/>
    <n v="0"/>
    <n v="0"/>
    <n v="0"/>
    <n v="0"/>
    <n v="0"/>
    <n v="0"/>
    <n v="0"/>
    <n v="0"/>
    <n v="9"/>
    <m/>
  </r>
  <r>
    <n v="243"/>
    <d v="2024-04-12T14:33:27"/>
    <d v="2024-04-12T14:40:37"/>
    <s v="chbanda@lighthouse.org.mw"/>
    <s v="Chipiliro Banda"/>
    <s v="UFC_Queens"/>
    <s v="COE"/>
    <x v="1"/>
    <x v="0"/>
    <s v="COP_23"/>
    <s v="Quarter1"/>
    <x v="2"/>
    <s v="Qtr_2"/>
    <x v="3"/>
    <d v="2024-03-01T00:00:00"/>
    <d v="2024-03-31T00:00:00"/>
    <x v="6"/>
    <n v="198"/>
    <n v="154"/>
    <n v="42"/>
    <n v="44"/>
    <n v="51"/>
    <n v="61"/>
    <n v="185"/>
    <n v="74"/>
    <n v="85"/>
    <n v="6"/>
    <n v="5"/>
    <n v="2"/>
    <n v="53"/>
    <n v="6"/>
    <n v="0"/>
    <n v="0"/>
    <n v="0"/>
    <n v="0"/>
    <n v="5"/>
    <n v="3"/>
    <n v="8"/>
    <n v="6"/>
    <n v="0"/>
    <n v="3"/>
    <n v="181"/>
    <m/>
  </r>
  <r>
    <n v="263"/>
    <d v="2024-04-22T10:01:41"/>
    <d v="2024-04-22T10:07:16"/>
    <s v="chbanda@lighthouse.org.mw"/>
    <s v="Chipiliro Banda"/>
    <s v="UFC_Queens"/>
    <s v="COE"/>
    <x v="1"/>
    <x v="0"/>
    <s v="COP_23"/>
    <s v="Quarter1"/>
    <x v="2"/>
    <s v="Qtr_2"/>
    <x v="5"/>
    <d v="2024-02-01T00:00:00"/>
    <d v="2024-02-29T00:00:00"/>
    <x v="6"/>
    <n v="214"/>
    <n v="142"/>
    <n v="38"/>
    <n v="29"/>
    <n v="44"/>
    <n v="103"/>
    <n v="208"/>
    <n v="71"/>
    <n v="71"/>
    <n v="2"/>
    <n v="0"/>
    <n v="0"/>
    <n v="52"/>
    <n v="8"/>
    <n v="2"/>
    <n v="2"/>
    <n v="2"/>
    <n v="2"/>
    <n v="2"/>
    <n v="2"/>
    <n v="6"/>
    <n v="1"/>
    <n v="0"/>
    <n v="6"/>
    <n v="201"/>
    <m/>
  </r>
  <r>
    <n v="284"/>
    <d v="2024-04-24T09:20:47"/>
    <d v="2024-04-24T09:23:03"/>
    <s v="chbanda@lighthouse.org.mw"/>
    <s v="Chipiliro Banda"/>
    <s v="UFC_Queens"/>
    <s v="COE"/>
    <x v="1"/>
    <x v="0"/>
    <s v="COP_23"/>
    <s v="Quarter1"/>
    <x v="2"/>
    <s v="Qtr_2"/>
    <x v="5"/>
    <d v="2024-02-01T00:00:00"/>
    <d v="2024-02-29T00:00:00"/>
    <x v="3"/>
    <n v="0"/>
    <m/>
    <n v="0"/>
    <n v="0"/>
    <n v="0"/>
    <n v="0"/>
    <n v="0"/>
    <n v="0"/>
    <n v="0"/>
    <n v="0"/>
    <n v="0"/>
    <n v="0"/>
    <n v="0"/>
    <n v="0"/>
    <n v="0"/>
    <n v="0"/>
    <n v="0"/>
    <n v="0"/>
    <n v="0"/>
    <n v="0"/>
    <n v="0"/>
    <n v="0"/>
    <n v="0"/>
    <n v="0"/>
    <n v="0"/>
    <m/>
  </r>
  <r>
    <n v="286"/>
    <d v="2024-04-24T09:30:28"/>
    <d v="2024-04-24T09:38:00"/>
    <s v="chbanda@lighthouse.org.mw"/>
    <s v="Chipiliro Banda"/>
    <s v="UFC_Queens"/>
    <s v="COE"/>
    <x v="1"/>
    <x v="0"/>
    <s v="COP_23"/>
    <s v="Quarter1"/>
    <x v="2"/>
    <s v="Qtr_2"/>
    <x v="5"/>
    <d v="2024-02-01T00:00:00"/>
    <d v="2024-02-29T00:00:00"/>
    <x v="5"/>
    <n v="95"/>
    <n v="0"/>
    <n v="64"/>
    <n v="23"/>
    <n v="5"/>
    <n v="3"/>
    <n v="95"/>
    <n v="23"/>
    <n v="23"/>
    <n v="1"/>
    <n v="0"/>
    <n v="0"/>
    <n v="22"/>
    <n v="0"/>
    <n v="0"/>
    <n v="0"/>
    <n v="0"/>
    <n v="0"/>
    <n v="21"/>
    <n v="1"/>
    <n v="1"/>
    <n v="0"/>
    <n v="0"/>
    <n v="0"/>
    <n v="16"/>
    <m/>
  </r>
  <r>
    <n v="289"/>
    <d v="2024-04-24T09:55:51"/>
    <d v="2024-04-24T10:19:54"/>
    <s v="chbanda@lighthouse.org.mw"/>
    <s v="Chipiliro Banda"/>
    <s v="UFC_Queens"/>
    <s v="COE"/>
    <x v="1"/>
    <x v="0"/>
    <s v="COP_23"/>
    <s v="Quarter1"/>
    <x v="2"/>
    <s v="Qtr_2"/>
    <x v="3"/>
    <d v="2024-03-01T00:00:00"/>
    <d v="2024-03-31T00:00:00"/>
    <x v="4"/>
    <n v="8"/>
    <n v="0"/>
    <n v="7"/>
    <n v="1"/>
    <n v="0"/>
    <n v="0"/>
    <n v="8"/>
    <n v="2"/>
    <n v="0"/>
    <n v="0"/>
    <n v="0"/>
    <n v="0"/>
    <n v="2"/>
    <n v="0"/>
    <n v="0"/>
    <n v="0"/>
    <n v="0"/>
    <n v="0"/>
    <n v="2"/>
    <n v="0"/>
    <n v="0"/>
    <n v="0"/>
    <n v="0"/>
    <n v="0"/>
    <n v="12"/>
    <m/>
  </r>
  <r>
    <n v="290"/>
    <d v="2024-04-24T10:21:24"/>
    <d v="2024-04-24T10:23:00"/>
    <s v="chbanda@lighthouse.org.mw"/>
    <s v="Chipiliro Banda"/>
    <s v="UFC_Queens"/>
    <s v="COE"/>
    <x v="1"/>
    <x v="0"/>
    <s v="COP_23"/>
    <s v="Quarter1"/>
    <x v="2"/>
    <s v="Qtr_2"/>
    <x v="4"/>
    <d v="2024-01-01T00:00:00"/>
    <d v="2024-01-31T00:00:00"/>
    <x v="4"/>
    <n v="19"/>
    <n v="0"/>
    <n v="13"/>
    <n v="4"/>
    <n v="2"/>
    <n v="0"/>
    <n v="19"/>
    <n v="3"/>
    <n v="2"/>
    <n v="0"/>
    <n v="0"/>
    <n v="0"/>
    <n v="2"/>
    <n v="0"/>
    <n v="0"/>
    <n v="0"/>
    <n v="0"/>
    <n v="0"/>
    <n v="2"/>
    <n v="0"/>
    <n v="0"/>
    <n v="0"/>
    <n v="0"/>
    <n v="0"/>
    <n v="0"/>
    <m/>
  </r>
  <r>
    <n v="295"/>
    <d v="2024-04-24T10:52:46"/>
    <d v="2024-04-24T10:55:03"/>
    <s v="chbanda@lighthouse.org.mw"/>
    <s v="Chipiliro Banda"/>
    <s v="UFC_Queens"/>
    <s v="COE"/>
    <x v="1"/>
    <x v="0"/>
    <s v="COP_23"/>
    <s v="Quarter1"/>
    <x v="2"/>
    <s v="Qtr_2"/>
    <x v="5"/>
    <d v="2024-01-01T00:00:00"/>
    <d v="2024-01-31T00:00:00"/>
    <x v="4"/>
    <n v="19"/>
    <n v="0"/>
    <n v="13"/>
    <n v="4"/>
    <n v="2"/>
    <n v="0"/>
    <n v="19"/>
    <n v="3"/>
    <n v="0"/>
    <n v="0"/>
    <n v="0"/>
    <n v="0"/>
    <n v="2"/>
    <n v="0"/>
    <n v="0"/>
    <n v="0"/>
    <n v="0"/>
    <n v="0"/>
    <n v="2"/>
    <n v="0"/>
    <n v="0"/>
    <n v="0"/>
    <n v="0"/>
    <n v="0"/>
    <n v="18"/>
    <m/>
  </r>
  <r>
    <n v="403"/>
    <d v="2024-05-15T09:47:58"/>
    <d v="2024-05-15T10:02:34"/>
    <s v="chbanda@lighthouse.org.mw"/>
    <s v="Chipiliro Banda"/>
    <s v="UFC_Queens"/>
    <s v="COE"/>
    <x v="1"/>
    <x v="2"/>
    <s v="COP_23"/>
    <s v="Quarter2"/>
    <x v="3"/>
    <s v="Qtr_3"/>
    <x v="7"/>
    <d v="2024-04-01T00:00:00"/>
    <d v="2024-04-30T00:00:00"/>
    <x v="0"/>
    <n v="289"/>
    <n v="0"/>
    <n v="208"/>
    <n v="55"/>
    <n v="18"/>
    <n v="8"/>
    <n v="256"/>
    <n v="69"/>
    <n v="101"/>
    <n v="2"/>
    <n v="12"/>
    <n v="1"/>
    <n v="23"/>
    <n v="1"/>
    <n v="0"/>
    <n v="0"/>
    <n v="0"/>
    <n v="0"/>
    <n v="66"/>
    <n v="10"/>
    <n v="13"/>
    <n v="0"/>
    <n v="1"/>
    <n v="0"/>
    <n v="0"/>
    <m/>
  </r>
  <r>
    <n v="405"/>
    <d v="2024-05-15T10:13:41"/>
    <d v="2024-05-15T10:16:22"/>
    <s v="chbanda@lighthouse.org.mw"/>
    <s v="Chipiliro Banda"/>
    <s v="UFC_Queens"/>
    <s v="COE"/>
    <x v="1"/>
    <x v="2"/>
    <s v="COP_23"/>
    <s v="Quarter2"/>
    <x v="3"/>
    <s v="Qtr_3"/>
    <x v="7"/>
    <d v="2024-04-01T00:00:00"/>
    <d v="2024-04-30T00:00:00"/>
    <x v="5"/>
    <n v="102"/>
    <n v="0"/>
    <n v="81"/>
    <n v="18"/>
    <n v="3"/>
    <n v="0"/>
    <n v="92"/>
    <n v="20"/>
    <n v="20"/>
    <n v="0"/>
    <n v="0"/>
    <n v="0"/>
    <n v="20"/>
    <n v="2"/>
    <n v="0"/>
    <n v="0"/>
    <n v="0"/>
    <n v="0"/>
    <n v="15"/>
    <n v="2"/>
    <n v="2"/>
    <n v="0"/>
    <n v="0"/>
    <n v="0"/>
    <n v="0"/>
    <m/>
  </r>
  <r>
    <n v="463"/>
    <d v="2024-05-27T11:14:02"/>
    <d v="2024-05-27T11:59:23"/>
    <s v="chbanda@lighthouse.org.mw"/>
    <s v="Chipiliro Banda"/>
    <s v="UFC_Queens"/>
    <s v="COE"/>
    <x v="1"/>
    <x v="2"/>
    <s v="COP_23"/>
    <s v="Quarter2"/>
    <x v="3"/>
    <s v="Qtr_3"/>
    <x v="7"/>
    <d v="2024-04-01T00:00:00"/>
    <d v="2024-04-30T00:00:00"/>
    <x v="3"/>
    <n v="5"/>
    <n v="0"/>
    <n v="3"/>
    <n v="0"/>
    <n v="0"/>
    <n v="0"/>
    <n v="0"/>
    <n v="0"/>
    <n v="0"/>
    <n v="0"/>
    <n v="0"/>
    <n v="0"/>
    <n v="3"/>
    <n v="1"/>
    <n v="0"/>
    <n v="0"/>
    <n v="0"/>
    <n v="0"/>
    <n v="0"/>
    <n v="0"/>
    <n v="1"/>
    <n v="0"/>
    <n v="0"/>
    <n v="0"/>
    <n v="0"/>
    <m/>
  </r>
  <r>
    <n v="464"/>
    <d v="2024-05-27T12:02:24"/>
    <d v="2024-05-27T12:04:00"/>
    <s v="chbanda@lighthouse.org.mw"/>
    <s v="Chipiliro Banda"/>
    <s v="UFC_Queens"/>
    <s v="COE"/>
    <x v="1"/>
    <x v="2"/>
    <s v="COP_23"/>
    <s v="Quarter2"/>
    <x v="3"/>
    <s v="Qtr_3"/>
    <x v="7"/>
    <d v="2024-04-01T00:00:00"/>
    <d v="2024-04-30T00:00:00"/>
    <x v="4"/>
    <n v="14"/>
    <n v="0"/>
    <n v="12"/>
    <n v="1"/>
    <n v="1"/>
    <n v="0"/>
    <n v="13"/>
    <n v="0"/>
    <n v="0"/>
    <n v="0"/>
    <n v="0"/>
    <n v="0"/>
    <n v="0"/>
    <n v="0"/>
    <n v="0"/>
    <n v="0"/>
    <n v="0"/>
    <n v="0"/>
    <n v="0"/>
    <n v="0"/>
    <n v="0"/>
    <n v="0"/>
    <n v="0"/>
    <n v="0"/>
    <n v="0"/>
    <m/>
  </r>
  <r>
    <n v="547"/>
    <d v="2024-06-12T08:27:35"/>
    <d v="2024-06-12T08:32:55"/>
    <s v="chbanda@lighthouse.org.mw"/>
    <s v="Chipiliro Banda"/>
    <s v="UFC_Queens"/>
    <s v="COE"/>
    <x v="1"/>
    <x v="2"/>
    <s v="COP_23"/>
    <s v="Quarter2"/>
    <x v="3"/>
    <s v="Qtr_3"/>
    <x v="6"/>
    <d v="2024-05-01T00:00:00"/>
    <d v="2024-05-31T00:00:00"/>
    <x v="0"/>
    <n v="315"/>
    <n v="0"/>
    <n v="214"/>
    <n v="56"/>
    <n v="33"/>
    <n v="12"/>
    <n v="303"/>
    <n v="86"/>
    <n v="1"/>
    <n v="0"/>
    <n v="0"/>
    <n v="0"/>
    <n v="6"/>
    <n v="0"/>
    <n v="0"/>
    <n v="0"/>
    <n v="0"/>
    <n v="0"/>
    <n v="86"/>
    <n v="15"/>
    <n v="15"/>
    <n v="0"/>
    <n v="0"/>
    <n v="0"/>
    <n v="6"/>
    <m/>
  </r>
  <r>
    <n v="548"/>
    <d v="2024-06-12T08:33:45"/>
    <d v="2024-06-12T08:35:33"/>
    <s v="chbanda@lighthouse.org.mw"/>
    <s v="Chipiliro Banda"/>
    <s v="UFC_Queens"/>
    <s v="COE"/>
    <x v="1"/>
    <x v="2"/>
    <s v="COP_23"/>
    <s v="Quarter2"/>
    <x v="3"/>
    <s v="Qtr_3"/>
    <x v="6"/>
    <d v="2024-05-01T00:00:00"/>
    <d v="2024-05-31T00:00:00"/>
    <x v="3"/>
    <n v="8"/>
    <n v="0"/>
    <n v="4"/>
    <n v="3"/>
    <n v="1"/>
    <n v="0"/>
    <n v="2"/>
    <n v="2"/>
    <n v="0"/>
    <n v="0"/>
    <n v="0"/>
    <n v="0"/>
    <n v="5"/>
    <n v="0"/>
    <n v="0"/>
    <n v="0"/>
    <n v="0"/>
    <n v="0"/>
    <n v="0"/>
    <n v="0"/>
    <n v="0"/>
    <n v="0"/>
    <n v="0"/>
    <n v="0"/>
    <n v="0"/>
    <m/>
  </r>
  <r>
    <n v="549"/>
    <d v="2024-06-12T09:06:06"/>
    <d v="2024-06-12T09:09:34"/>
    <s v="chbanda@lighthouse.org.mw"/>
    <s v="Chipiliro Banda"/>
    <s v="UFC_Queens"/>
    <s v="COE"/>
    <x v="1"/>
    <x v="2"/>
    <s v="COP_23"/>
    <s v="Quarter2"/>
    <x v="3"/>
    <s v="Qtr_3"/>
    <x v="6"/>
    <d v="2024-05-01T00:00:00"/>
    <d v="2024-05-31T00:00:00"/>
    <x v="4"/>
    <n v="16"/>
    <n v="0"/>
    <n v="11"/>
    <n v="2"/>
    <n v="2"/>
    <n v="1"/>
    <n v="14"/>
    <n v="3"/>
    <n v="4"/>
    <n v="0"/>
    <n v="0"/>
    <n v="0"/>
    <n v="1"/>
    <n v="0"/>
    <n v="0"/>
    <n v="0"/>
    <n v="0"/>
    <n v="0"/>
    <n v="0"/>
    <n v="4"/>
    <n v="0"/>
    <n v="0"/>
    <n v="0"/>
    <n v="0"/>
    <n v="0"/>
    <m/>
  </r>
  <r>
    <n v="552"/>
    <d v="2024-06-12T09:54:22"/>
    <d v="2024-06-12T10:17:31"/>
    <s v="chbanda@lighthouse.org.mw"/>
    <s v="Chipiliro Banda"/>
    <s v="UFC_Queens"/>
    <s v="COE"/>
    <x v="1"/>
    <x v="2"/>
    <s v="COP_23"/>
    <s v="Quarter2"/>
    <x v="3"/>
    <s v="Qtr_3"/>
    <x v="6"/>
    <d v="2024-05-01T00:00:00"/>
    <d v="2024-05-31T00:00:00"/>
    <x v="5"/>
    <n v="98"/>
    <n v="0"/>
    <n v="71"/>
    <n v="20"/>
    <n v="4"/>
    <n v="3"/>
    <n v="96"/>
    <n v="29"/>
    <n v="29"/>
    <n v="0"/>
    <n v="0"/>
    <n v="0"/>
    <n v="0"/>
    <n v="0"/>
    <n v="0"/>
    <n v="0"/>
    <n v="0"/>
    <n v="0"/>
    <n v="31"/>
    <n v="4"/>
    <n v="4"/>
    <n v="0"/>
    <n v="0"/>
    <n v="0"/>
    <n v="0"/>
    <m/>
  </r>
  <r>
    <n v="553"/>
    <d v="2024-06-14T09:54:26"/>
    <d v="2024-06-14T09:56:31"/>
    <s v="chbanda@lighthouse.org.mw"/>
    <s v="Chipiliro Banda"/>
    <s v="UFC_Queens"/>
    <s v="COE"/>
    <x v="1"/>
    <x v="2"/>
    <s v="COP_23"/>
    <s v="Quarter2"/>
    <x v="3"/>
    <s v="Qtr_3"/>
    <x v="6"/>
    <d v="2024-05-01T00:00:00"/>
    <d v="2024-05-31T00:00:00"/>
    <x v="6"/>
    <n v="187"/>
    <n v="166"/>
    <n v="29"/>
    <n v="56"/>
    <n v="44"/>
    <n v="58"/>
    <n v="184"/>
    <n v="80"/>
    <n v="0"/>
    <n v="0"/>
    <n v="0"/>
    <n v="0"/>
    <n v="0"/>
    <n v="0"/>
    <n v="0"/>
    <n v="0"/>
    <n v="0"/>
    <n v="0"/>
    <n v="0"/>
    <n v="0"/>
    <n v="0"/>
    <n v="8"/>
    <n v="0"/>
    <n v="29"/>
    <n v="150"/>
    <m/>
  </r>
  <r>
    <n v="646"/>
    <d v="2024-07-18T09:11:19"/>
    <d v="2024-07-18T09:17:16"/>
    <s v="chbanda@lighthouse.org.mw"/>
    <s v="Chipiliro Banda"/>
    <s v="UFC_Queens"/>
    <s v="COE"/>
    <x v="1"/>
    <x v="2"/>
    <s v="COP_23"/>
    <s v="Quarter2"/>
    <x v="3"/>
    <s v="Qtr_3"/>
    <x v="8"/>
    <d v="2024-06-01T00:00:00"/>
    <d v="2024-06-30T00:00:00"/>
    <x v="6"/>
    <n v="170"/>
    <n v="135"/>
    <n v="38"/>
    <n v="48"/>
    <n v="26"/>
    <n v="52"/>
    <n v="170"/>
    <n v="80"/>
    <n v="0"/>
    <n v="0"/>
    <n v="0"/>
    <n v="0"/>
    <n v="0"/>
    <n v="0"/>
    <n v="0"/>
    <n v="0"/>
    <n v="0"/>
    <n v="0"/>
    <n v="0"/>
    <n v="0"/>
    <n v="5"/>
    <n v="20"/>
    <n v="1"/>
    <n v="28"/>
    <n v="116"/>
    <m/>
  </r>
  <r>
    <n v="647"/>
    <d v="2024-07-18T12:18:03"/>
    <d v="2024-07-18T12:20:40"/>
    <s v="chbanda@lighthouse.org.mw"/>
    <s v="Chipiliro Banda"/>
    <s v="UFC_Queens"/>
    <s v="COE"/>
    <x v="1"/>
    <x v="2"/>
    <s v="COP_23"/>
    <s v="Quarter2"/>
    <x v="3"/>
    <s v="Qtr_3"/>
    <x v="8"/>
    <d v="2024-06-01T00:00:00"/>
    <d v="2024-06-30T00:00:00"/>
    <x v="0"/>
    <n v="453"/>
    <n v="135"/>
    <n v="223"/>
    <n v="97"/>
    <n v="53"/>
    <n v="80"/>
    <n v="2"/>
    <n v="159"/>
    <n v="165"/>
    <n v="8"/>
    <n v="1"/>
    <n v="1"/>
    <n v="0"/>
    <n v="0"/>
    <n v="0"/>
    <n v="0"/>
    <n v="0"/>
    <n v="0"/>
    <n v="79"/>
    <n v="12"/>
    <n v="17"/>
    <n v="20"/>
    <n v="4"/>
    <n v="29"/>
    <n v="118"/>
    <m/>
  </r>
  <r>
    <n v="648"/>
    <d v="2024-07-18T13:43:22"/>
    <d v="2024-07-18T13:43:31"/>
    <s v="chbanda@lighthouse.org.mw"/>
    <s v="Chipiliro Banda"/>
    <s v="UFC_Queens"/>
    <s v="COE"/>
    <x v="1"/>
    <x v="2"/>
    <s v="COP_23"/>
    <s v="Quarter2"/>
    <x v="3"/>
    <s v="Qtr_3"/>
    <x v="8"/>
    <d v="2024-06-01T00:00:00"/>
    <d v="2024-06-30T00:00:00"/>
    <x v="5"/>
    <n v="123"/>
    <n v="0"/>
    <n v="93"/>
    <n v="21"/>
    <n v="7"/>
    <n v="2"/>
    <n v="122"/>
    <n v="32"/>
    <n v="32"/>
    <n v="1"/>
    <n v="0"/>
    <n v="0"/>
    <n v="0"/>
    <n v="0"/>
    <n v="0"/>
    <n v="0"/>
    <n v="0"/>
    <n v="0"/>
    <n v="33"/>
    <n v="2"/>
    <n v="2"/>
    <n v="0"/>
    <n v="0"/>
    <n v="0"/>
    <n v="0"/>
    <m/>
  </r>
  <r>
    <n v="649"/>
    <d v="2024-07-18T13:43:36"/>
    <d v="2024-07-18T13:45:26"/>
    <s v="chbanda@lighthouse.org.mw"/>
    <s v="Chipiliro Banda"/>
    <s v="UFC_Queens"/>
    <s v="COE"/>
    <x v="1"/>
    <x v="2"/>
    <s v="COP_23"/>
    <s v="Quarter2"/>
    <x v="3"/>
    <s v="Qtr_3"/>
    <x v="8"/>
    <d v="2024-06-01T00:00:00"/>
    <d v="2024-06-30T00:00:00"/>
    <x v="4"/>
    <n v="23"/>
    <n v="0"/>
    <n v="15"/>
    <n v="5"/>
    <n v="1"/>
    <n v="2"/>
    <n v="23"/>
    <n v="3"/>
    <n v="3"/>
    <n v="0"/>
    <n v="0"/>
    <n v="0"/>
    <n v="0"/>
    <n v="0"/>
    <n v="0"/>
    <n v="0"/>
    <n v="0"/>
    <n v="0"/>
    <n v="3"/>
    <n v="0"/>
    <n v="0"/>
    <n v="0"/>
    <n v="0"/>
    <n v="0"/>
    <n v="0"/>
    <m/>
  </r>
  <r>
    <n v="650"/>
    <d v="2024-07-18T13:45:29"/>
    <d v="2024-07-18T13:47:01"/>
    <s v="chbanda@lighthouse.org.mw"/>
    <s v="Chipiliro Banda"/>
    <s v="UFC_Queens"/>
    <s v="COE"/>
    <x v="1"/>
    <x v="2"/>
    <s v="COP_23"/>
    <s v="Quarter2"/>
    <x v="3"/>
    <s v="Qtr_3"/>
    <x v="8"/>
    <d v="2024-06-01T00:00:00"/>
    <d v="2024-06-30T00:00:00"/>
    <x v="3"/>
    <n v="10"/>
    <n v="1"/>
    <n v="0"/>
    <n v="1"/>
    <n v="0"/>
    <n v="0"/>
    <n v="0"/>
    <n v="0"/>
    <n v="1"/>
    <n v="0"/>
    <n v="0"/>
    <n v="0"/>
    <n v="0"/>
    <n v="0"/>
    <n v="0"/>
    <n v="0"/>
    <n v="0"/>
    <n v="0"/>
    <n v="0"/>
    <n v="0"/>
    <n v="0"/>
    <n v="0"/>
    <n v="0"/>
    <n v="0"/>
    <n v="0"/>
    <m/>
  </r>
  <r>
    <n v="780"/>
    <d v="2024-08-19T18:02:29"/>
    <d v="2024-08-19T18:07:22"/>
    <s v="anhlema@lighthouse.org.mw"/>
    <s v="Angelina Nhlema"/>
    <s v="UFC_Queens"/>
    <s v="COE"/>
    <x v="1"/>
    <x v="2"/>
    <s v="COP_23"/>
    <s v="Quarter2"/>
    <x v="3"/>
    <s v="Qtr_3"/>
    <x v="7"/>
    <d v="2024-04-01T00:00:00"/>
    <d v="2024-04-30T00:00:00"/>
    <x v="6"/>
    <n v="143"/>
    <n v="26"/>
    <n v="43"/>
    <n v="44"/>
    <n v="30"/>
    <n v="26"/>
    <n v="133"/>
    <n v="40"/>
    <n v="48"/>
    <n v="3"/>
    <n v="0"/>
    <n v="0"/>
    <n v="14"/>
    <n v="0"/>
    <n v="0"/>
    <n v="0"/>
    <n v="0"/>
    <n v="0"/>
    <n v="0"/>
    <n v="0"/>
    <n v="0"/>
    <n v="0"/>
    <n v="0"/>
    <n v="0"/>
    <n v="0"/>
    <m/>
  </r>
  <r>
    <n v="968"/>
    <d v="2024-10-21T11:17:06"/>
    <d v="2024-10-21T11:18:35"/>
    <s v="chbanda@lighthouse.org.mw"/>
    <s v="Chipiliro Banda"/>
    <s v="UFC_Queens"/>
    <s v="COE"/>
    <x v="1"/>
    <x v="0"/>
    <s v="COP_23"/>
    <s v="Quarter3"/>
    <x v="1"/>
    <s v="Qtr_4"/>
    <x v="10"/>
    <d v="2024-08-01T00:00:00"/>
    <d v="2024-08-31T00:00:00"/>
    <x v="6"/>
    <n v="116"/>
    <n v="102"/>
    <n v="11"/>
    <n v="47"/>
    <n v="36"/>
    <n v="22"/>
    <n v="113"/>
    <n v="54"/>
    <n v="58"/>
    <n v="4"/>
    <n v="1"/>
    <n v="0"/>
    <n v="4"/>
    <n v="1"/>
    <n v="0"/>
    <n v="0"/>
    <n v="0"/>
    <n v="0"/>
    <n v="1"/>
    <n v="0"/>
    <n v="2"/>
    <n v="1"/>
    <n v="5"/>
    <n v="15"/>
    <n v="84"/>
    <m/>
  </r>
  <r>
    <n v="969"/>
    <d v="2024-10-21T11:21:06"/>
    <d v="2024-10-21T11:29:17"/>
    <s v="chbanda@lighthouse.org.mw"/>
    <s v="Chipiliro Banda"/>
    <s v="UFC_Queens"/>
    <s v="COE"/>
    <x v="1"/>
    <x v="0"/>
    <s v="COP_23"/>
    <s v="Quarter3"/>
    <x v="1"/>
    <s v="Qtr_4"/>
    <x v="10"/>
    <d v="2024-08-01T00:00:00"/>
    <d v="2024-08-31T00:00:00"/>
    <x v="0"/>
    <n v="377"/>
    <n v="107"/>
    <n v="159"/>
    <n v="103"/>
    <n v="70"/>
    <n v="45"/>
    <n v="367"/>
    <n v="120"/>
    <n v="132"/>
    <n v="8"/>
    <n v="1"/>
    <n v="0"/>
    <n v="25"/>
    <n v="1"/>
    <n v="0"/>
    <n v="0"/>
    <n v="0"/>
    <n v="0"/>
    <n v="63"/>
    <n v="14"/>
    <n v="16"/>
    <n v="1"/>
    <n v="5"/>
    <n v="18"/>
    <n v="328"/>
    <m/>
  </r>
  <r>
    <n v="972"/>
    <d v="2024-10-21T11:54:58"/>
    <d v="2024-10-21T11:56:38"/>
    <s v="chbanda@lighthouse.org.mw"/>
    <s v="Chipiliro Banda"/>
    <s v="UFC_Queens"/>
    <s v="COE"/>
    <x v="1"/>
    <x v="0"/>
    <s v="COP_23"/>
    <s v="Quarter3"/>
    <x v="1"/>
    <s v="Qtr_4"/>
    <x v="10"/>
    <d v="2024-08-01T00:00:00"/>
    <d v="2024-08-31T00:00:00"/>
    <x v="3"/>
    <n v="2"/>
    <n v="0"/>
    <n v="0"/>
    <n v="2"/>
    <n v="0"/>
    <n v="0"/>
    <n v="0"/>
    <n v="0"/>
    <n v="2"/>
    <n v="0"/>
    <n v="0"/>
    <n v="0"/>
    <n v="0"/>
    <n v="0"/>
    <n v="0"/>
    <n v="0"/>
    <n v="0"/>
    <n v="0"/>
    <n v="0"/>
    <n v="0"/>
    <n v="0"/>
    <n v="0"/>
    <n v="0"/>
    <n v="1"/>
    <n v="1"/>
    <m/>
  </r>
  <r>
    <n v="973"/>
    <d v="2024-10-21T12:00:06"/>
    <d v="2024-10-21T12:02:27"/>
    <s v="chbanda@lighthouse.org.mw"/>
    <s v="Chipiliro Banda"/>
    <s v="UFC_Queens"/>
    <s v="COE"/>
    <x v="1"/>
    <x v="0"/>
    <s v="COP_23"/>
    <s v="Quarter3"/>
    <x v="1"/>
    <s v="Qtr_4"/>
    <x v="10"/>
    <d v="2024-08-01T00:00:00"/>
    <d v="2024-08-31T00:00:00"/>
    <x v="4"/>
    <n v="12"/>
    <n v="0"/>
    <n v="7"/>
    <n v="4"/>
    <n v="1"/>
    <n v="0"/>
    <n v="12"/>
    <n v="3"/>
    <n v="0"/>
    <n v="0"/>
    <n v="0"/>
    <n v="0"/>
    <n v="0"/>
    <n v="0"/>
    <n v="0"/>
    <n v="0"/>
    <n v="0"/>
    <n v="0"/>
    <n v="0"/>
    <n v="0"/>
    <n v="0"/>
    <n v="0"/>
    <n v="0"/>
    <n v="0"/>
    <n v="12"/>
    <m/>
  </r>
  <r>
    <n v="974"/>
    <d v="2024-10-21T12:26:11"/>
    <d v="2024-10-21T12:26:18"/>
    <s v="chbanda@lighthouse.org.mw"/>
    <s v="Chipiliro Banda"/>
    <s v="UFC_Queens"/>
    <s v="COE"/>
    <x v="1"/>
    <x v="0"/>
    <s v="COP_23"/>
    <s v="Quarter3"/>
    <x v="1"/>
    <s v="Qtr_4"/>
    <x v="10"/>
    <d v="2024-08-01T00:00:00"/>
    <d v="2024-08-31T00:00:00"/>
    <x v="5"/>
    <n v="82"/>
    <n v="0"/>
    <n v="66"/>
    <n v="14"/>
    <n v="2"/>
    <n v="0"/>
    <n v="81"/>
    <n v="18"/>
    <n v="18"/>
    <n v="0"/>
    <n v="0"/>
    <n v="0"/>
    <n v="7"/>
    <n v="0"/>
    <n v="0"/>
    <n v="0"/>
    <n v="0"/>
    <n v="0"/>
    <n v="18"/>
    <n v="2"/>
    <n v="2"/>
    <n v="0"/>
    <n v="0"/>
    <n v="0"/>
    <n v="80"/>
    <m/>
  </r>
  <r>
    <n v="981"/>
    <d v="2024-10-23T13:08:08"/>
    <d v="2024-10-23T13:21:44"/>
    <s v="chbanda@lighthouse.org.mw"/>
    <s v="Chipiliro Banda"/>
    <s v="UFC_Queens"/>
    <s v="COE"/>
    <x v="1"/>
    <x v="0"/>
    <s v="COP_23"/>
    <s v="Quarter3"/>
    <x v="1"/>
    <s v="Qtr_4"/>
    <x v="9"/>
    <d v="2024-07-01T00:00:00"/>
    <d v="2024-07-31T00:00:00"/>
    <x v="0"/>
    <n v="557"/>
    <n v="157"/>
    <n v="309"/>
    <n v="116"/>
    <n v="67"/>
    <n v="65"/>
    <n v="534"/>
    <n v="168"/>
    <n v="189"/>
    <n v="5"/>
    <n v="0"/>
    <n v="0"/>
    <n v="0"/>
    <n v="0"/>
    <n v="0"/>
    <n v="0"/>
    <n v="0"/>
    <n v="0"/>
    <n v="79"/>
    <n v="7"/>
    <n v="12"/>
    <n v="0"/>
    <n v="3"/>
    <n v="24"/>
    <n v="518"/>
    <m/>
  </r>
  <r>
    <n v="983"/>
    <d v="2024-10-23T14:15:47"/>
    <d v="2024-10-23T14:16:26"/>
    <s v="chbanda@lighthouse.org.mw"/>
    <s v="Chipiliro Banda"/>
    <s v="UFC_Queens"/>
    <s v="COE"/>
    <x v="1"/>
    <x v="0"/>
    <s v="COP_23"/>
    <s v="Quarter3"/>
    <x v="1"/>
    <s v="Qtr_4"/>
    <x v="9"/>
    <d v="2024-07-01T00:00:00"/>
    <d v="2024-07-31T00:00:00"/>
    <x v="5"/>
    <n v="148"/>
    <n v="0"/>
    <n v="125"/>
    <n v="18"/>
    <n v="4"/>
    <n v="1"/>
    <n v="128"/>
    <n v="30"/>
    <n v="41"/>
    <n v="1"/>
    <n v="0"/>
    <n v="0"/>
    <n v="0"/>
    <n v="0"/>
    <n v="0"/>
    <n v="0"/>
    <n v="0"/>
    <n v="0"/>
    <n v="28"/>
    <n v="5"/>
    <n v="5"/>
    <n v="0"/>
    <n v="0"/>
    <n v="0"/>
    <n v="143"/>
    <m/>
  </r>
  <r>
    <n v="984"/>
    <d v="2024-10-23T14:16:32"/>
    <d v="2024-10-23T14:18:44"/>
    <s v="chbanda@lighthouse.org.mw"/>
    <s v="Chipiliro Banda"/>
    <s v="UFC_Queens"/>
    <s v="COE"/>
    <x v="1"/>
    <x v="0"/>
    <s v="COP_23"/>
    <s v="Quarter3"/>
    <x v="1"/>
    <s v="Qtr_4"/>
    <x v="9"/>
    <d v="2024-07-01T00:00:00"/>
    <d v="2024-07-31T00:00:00"/>
    <x v="4"/>
    <n v="23"/>
    <n v="0"/>
    <n v="18"/>
    <n v="1"/>
    <n v="4"/>
    <n v="0"/>
    <n v="20"/>
    <n v="4"/>
    <n v="7"/>
    <n v="0"/>
    <n v="0"/>
    <n v="0"/>
    <n v="0"/>
    <n v="0"/>
    <n v="0"/>
    <n v="0"/>
    <n v="0"/>
    <n v="0"/>
    <n v="4"/>
    <n v="0"/>
    <n v="0"/>
    <n v="0"/>
    <n v="0"/>
    <n v="0"/>
    <n v="23"/>
    <m/>
  </r>
  <r>
    <n v="989"/>
    <d v="2024-10-24T15:22:21"/>
    <d v="2024-10-24T15:23:54"/>
    <s v="chbanda@lighthouse.org.mw"/>
    <s v="Chipiliro Banda"/>
    <s v="UFC_Queens"/>
    <s v="COE"/>
    <x v="1"/>
    <x v="0"/>
    <s v="COP_23"/>
    <s v="Quarter3"/>
    <x v="1"/>
    <s v="Qtr_4"/>
    <x v="2"/>
    <d v="2024-09-01T00:00:00"/>
    <d v="2024-09-30T00:00:00"/>
    <x v="4"/>
    <n v="17"/>
    <n v="0"/>
    <n v="8"/>
    <n v="4"/>
    <n v="5"/>
    <n v="0"/>
    <n v="17"/>
    <n v="4"/>
    <n v="4"/>
    <n v="0"/>
    <n v="0"/>
    <n v="0"/>
    <n v="4"/>
    <n v="0"/>
    <n v="0"/>
    <n v="0"/>
    <n v="0"/>
    <n v="0"/>
    <n v="3"/>
    <n v="0"/>
    <n v="0"/>
    <n v="0"/>
    <n v="0"/>
    <n v="0"/>
    <n v="17"/>
    <m/>
  </r>
  <r>
    <n v="991"/>
    <d v="2024-10-24T15:26:15"/>
    <d v="2024-10-24T15:28:17"/>
    <s v="chbanda@lighthouse.org.mw"/>
    <s v="Chipiliro Banda"/>
    <s v="UFC_Queens"/>
    <s v="COE"/>
    <x v="1"/>
    <x v="0"/>
    <s v="COP_23"/>
    <s v="Quarter3"/>
    <x v="1"/>
    <s v="Qtr_4"/>
    <x v="2"/>
    <d v="2024-09-01T00:00:00"/>
    <d v="2024-09-30T00:00:00"/>
    <x v="5"/>
    <n v="91"/>
    <n v="0"/>
    <n v="77"/>
    <n v="11"/>
    <n v="3"/>
    <n v="0"/>
    <n v="91"/>
    <n v="19"/>
    <n v="19"/>
    <n v="1"/>
    <n v="1"/>
    <n v="0"/>
    <n v="19"/>
    <n v="1"/>
    <n v="0"/>
    <n v="0"/>
    <n v="0"/>
    <n v="0"/>
    <n v="19"/>
    <n v="1"/>
    <n v="1"/>
    <n v="0"/>
    <n v="1"/>
    <n v="0"/>
    <n v="89"/>
    <m/>
  </r>
  <r>
    <n v="992"/>
    <d v="2024-10-24T15:28:47"/>
    <d v="2024-10-24T15:29:55"/>
    <s v="chbanda@lighthouse.org.mw"/>
    <s v="Chipiliro Banda"/>
    <s v="UFC_Queens"/>
    <s v="COE"/>
    <x v="1"/>
    <x v="0"/>
    <s v="COP_23"/>
    <s v="Quarter3"/>
    <x v="1"/>
    <s v="Qtr_4"/>
    <x v="2"/>
    <d v="2024-09-01T00:00:00"/>
    <d v="2024-09-30T00:00:00"/>
    <x v="3"/>
    <n v="1"/>
    <n v="0"/>
    <n v="0"/>
    <n v="0"/>
    <n v="1"/>
    <n v="0"/>
    <n v="0"/>
    <n v="0"/>
    <n v="1"/>
    <n v="0"/>
    <n v="0"/>
    <n v="0"/>
    <n v="0"/>
    <n v="0"/>
    <n v="0"/>
    <n v="0"/>
    <n v="0"/>
    <n v="0"/>
    <n v="0"/>
    <n v="0"/>
    <n v="0"/>
    <n v="0"/>
    <n v="0"/>
    <n v="0"/>
    <n v="1"/>
    <m/>
  </r>
  <r>
    <n v="993"/>
    <d v="2024-10-24T15:30:44"/>
    <d v="2024-10-24T15:32:36"/>
    <s v="chbanda@lighthouse.org.mw"/>
    <s v="Chipiliro Banda"/>
    <s v="UFC_Queens"/>
    <s v="COE"/>
    <x v="1"/>
    <x v="0"/>
    <s v="COP_23"/>
    <s v="Quarter3"/>
    <x v="1"/>
    <s v="Qtr_4"/>
    <x v="9"/>
    <d v="2024-07-01T00:00:00"/>
    <d v="2024-07-31T00:00:00"/>
    <x v="6"/>
    <n v="196"/>
    <n v="157"/>
    <n v="41"/>
    <n v="67"/>
    <n v="39"/>
    <n v="49"/>
    <n v="196"/>
    <n v="80"/>
    <n v="78"/>
    <n v="2"/>
    <n v="0"/>
    <n v="0"/>
    <n v="0"/>
    <n v="0"/>
    <n v="0"/>
    <n v="0"/>
    <n v="0"/>
    <n v="0"/>
    <n v="0"/>
    <n v="0"/>
    <n v="5"/>
    <n v="0"/>
    <n v="3"/>
    <n v="23"/>
    <n v="165"/>
    <m/>
  </r>
  <r>
    <n v="996"/>
    <d v="2024-10-30T13:19:25"/>
    <d v="2024-10-30T13:21:38"/>
    <s v="chbanda@lighthouse.org.mw"/>
    <s v="Chipiliro Banda"/>
    <s v="UFC_Queens"/>
    <s v="COE"/>
    <x v="1"/>
    <x v="0"/>
    <s v="COP_23"/>
    <s v="Quarter3"/>
    <x v="1"/>
    <s v="Qtr_4"/>
    <x v="9"/>
    <d v="2024-07-01T00:00:00"/>
    <d v="2024-07-31T00:00:00"/>
    <x v="3"/>
    <n v="20"/>
    <n v="0"/>
    <n v="15"/>
    <n v="2"/>
    <n v="2"/>
    <n v="1"/>
    <n v="0"/>
    <n v="0"/>
    <n v="20"/>
    <n v="0"/>
    <n v="0"/>
    <n v="0"/>
    <n v="0"/>
    <n v="0"/>
    <n v="0"/>
    <n v="0"/>
    <n v="0"/>
    <n v="0"/>
    <n v="0"/>
    <n v="0"/>
    <n v="0"/>
    <n v="0"/>
    <n v="0"/>
    <n v="0"/>
    <n v="20"/>
    <m/>
  </r>
  <r>
    <n v="998"/>
    <d v="2024-10-30T13:32:22"/>
    <d v="2024-10-30T13:36:06"/>
    <s v="chbanda@lighthouse.org.mw"/>
    <s v="Chipiliro Banda"/>
    <s v="UFC_Queens"/>
    <s v="COE"/>
    <x v="1"/>
    <x v="0"/>
    <s v="COP_23"/>
    <s v="Quarter3"/>
    <x v="1"/>
    <s v="Qtr_4"/>
    <x v="2"/>
    <d v="2024-09-01T00:00:00"/>
    <d v="2024-09-30T00:00:00"/>
    <x v="6"/>
    <n v="137"/>
    <n v="118"/>
    <n v="29"/>
    <n v="59"/>
    <n v="31"/>
    <n v="18"/>
    <n v="125"/>
    <n v="10"/>
    <n v="8"/>
    <n v="3"/>
    <n v="0"/>
    <n v="0"/>
    <n v="34"/>
    <n v="8"/>
    <n v="0"/>
    <n v="0"/>
    <n v="0"/>
    <n v="0"/>
    <n v="0"/>
    <n v="0"/>
    <n v="8"/>
    <n v="1"/>
    <n v="1"/>
    <n v="4"/>
    <n v="123"/>
    <m/>
  </r>
  <r>
    <n v="129"/>
    <d v="2024-01-26T13:26:08"/>
    <d v="2024-01-26T13:29:29"/>
    <s v="chbanda@lighthouse.org.mw"/>
    <s v="Chipiliro Banda"/>
    <s v="UFC_Queens"/>
    <s v="COE"/>
    <x v="0"/>
    <x v="0"/>
    <s v="COP_23"/>
    <s v="Quarter4"/>
    <x v="0"/>
    <s v="Qtr_1"/>
    <x v="0"/>
    <d v="2023-10-01T00:00:00"/>
    <d v="2024-10-31T00:00:00"/>
    <x v="1"/>
    <n v="76"/>
    <n v="76"/>
    <n v="45"/>
    <n v="23"/>
    <n v="8"/>
    <n v="9"/>
    <n v="76"/>
    <n v="27"/>
    <n v="30"/>
    <n v="0"/>
    <n v="0"/>
    <n v="0"/>
    <n v="30"/>
    <n v="2"/>
    <n v="0"/>
    <n v="0"/>
    <n v="0"/>
    <n v="0"/>
    <n v="30"/>
    <n v="0"/>
    <n v="2"/>
    <n v="0"/>
    <n v="0"/>
    <n v="0"/>
    <n v="0"/>
    <m/>
  </r>
  <r>
    <n v="131"/>
    <d v="2024-01-26T13:31:28"/>
    <d v="2024-01-26T13:34:47"/>
    <s v="chbanda@lighthouse.org.mw"/>
    <s v="Chipiliro Banda"/>
    <s v="UFC_Queens"/>
    <s v="COE"/>
    <x v="0"/>
    <x v="0"/>
    <s v="COP_23"/>
    <s v="Quarter4"/>
    <x v="0"/>
    <s v="Qtr_1"/>
    <x v="1"/>
    <d v="2024-11-01T00:00:00"/>
    <d v="2024-11-30T00:00:00"/>
    <x v="1"/>
    <n v="56"/>
    <n v="56"/>
    <n v="38"/>
    <n v="9"/>
    <n v="6"/>
    <n v="3"/>
    <n v="56"/>
    <n v="21"/>
    <n v="30"/>
    <n v="1"/>
    <n v="1"/>
    <n v="1"/>
    <n v="30"/>
    <n v="1"/>
    <n v="0"/>
    <n v="0"/>
    <n v="0"/>
    <n v="0"/>
    <n v="30"/>
    <n v="0"/>
    <n v="1"/>
    <n v="1"/>
    <n v="0"/>
    <n v="0"/>
    <n v="0"/>
    <m/>
  </r>
  <r>
    <n v="133"/>
    <d v="2024-01-26T13:38:15"/>
    <d v="2024-01-26T13:40:51"/>
    <s v="chbanda@lighthouse.org.mw"/>
    <s v="Chipiliro Banda"/>
    <s v="UFC_Queens"/>
    <s v="COE"/>
    <x v="0"/>
    <x v="0"/>
    <s v="COP_23"/>
    <s v="Quarter4"/>
    <x v="0"/>
    <s v="Qtr_1"/>
    <x v="11"/>
    <d v="2024-12-01T00:00:00"/>
    <d v="2024-12-31T00:00:00"/>
    <x v="1"/>
    <n v="49"/>
    <n v="0"/>
    <n v="37"/>
    <n v="20"/>
    <n v="0"/>
    <n v="2"/>
    <n v="49"/>
    <n v="23"/>
    <n v="25"/>
    <n v="0"/>
    <n v="0"/>
    <n v="0"/>
    <n v="25"/>
    <n v="0"/>
    <n v="0"/>
    <n v="0"/>
    <n v="0"/>
    <n v="0"/>
    <n v="25"/>
    <n v="2"/>
    <n v="2"/>
    <n v="0"/>
    <n v="0"/>
    <n v="0"/>
    <n v="0"/>
    <m/>
  </r>
  <r>
    <n v="155"/>
    <d v="2024-02-13T12:13:50"/>
    <d v="2024-02-13T12:18:34"/>
    <s v="amakweti@lighthouse.org.mw"/>
    <s v="Alphat Makweti"/>
    <s v="UFC_Queens"/>
    <s v="COE"/>
    <x v="1"/>
    <x v="0"/>
    <s v="COP_23"/>
    <s v="Quarter1"/>
    <x v="2"/>
    <s v="Qtr_2"/>
    <x v="4"/>
    <d v="2024-01-01T00:00:00"/>
    <d v="2024-01-31T00:00:00"/>
    <x v="1"/>
    <n v="74"/>
    <n v="0"/>
    <n v="46"/>
    <n v="18"/>
    <n v="4"/>
    <n v="6"/>
    <n v="74"/>
    <n v="31"/>
    <n v="34"/>
    <n v="1"/>
    <n v="0"/>
    <n v="0"/>
    <n v="34"/>
    <n v="3"/>
    <n v="0"/>
    <n v="0"/>
    <n v="0"/>
    <n v="0"/>
    <n v="34"/>
    <n v="3"/>
    <n v="3"/>
    <n v="0"/>
    <n v="1"/>
    <n v="0"/>
    <n v="0"/>
    <m/>
  </r>
  <r>
    <n v="218"/>
    <d v="2024-04-08T11:45:31"/>
    <d v="2024-04-08T11:49:46"/>
    <s v="chbanda@lighthouse.org.mw"/>
    <s v="Chipiliro Banda"/>
    <s v="UFC_Queens"/>
    <s v="COE"/>
    <x v="1"/>
    <x v="0"/>
    <s v="COP_23"/>
    <s v="Quarter1"/>
    <x v="2"/>
    <s v="Qtr_2"/>
    <x v="3"/>
    <d v="2024-03-01T00:00:00"/>
    <d v="2024-03-31T00:00:00"/>
    <x v="1"/>
    <n v="77"/>
    <n v="0"/>
    <n v="46"/>
    <n v="20"/>
    <n v="7"/>
    <n v="4"/>
    <n v="74"/>
    <n v="24"/>
    <n v="22"/>
    <n v="0"/>
    <n v="0"/>
    <n v="0"/>
    <n v="22"/>
    <n v="0"/>
    <n v="0"/>
    <n v="0"/>
    <n v="0"/>
    <n v="0"/>
    <n v="77"/>
    <n v="6"/>
    <n v="7"/>
    <n v="0"/>
    <n v="0"/>
    <n v="0"/>
    <n v="86"/>
    <m/>
  </r>
  <r>
    <n v="285"/>
    <d v="2024-04-24T09:23:30"/>
    <d v="2024-04-24T09:30:09"/>
    <s v="chbanda@lighthouse.org.mw"/>
    <s v="Chipiliro Banda"/>
    <s v="UFC_Queens"/>
    <s v="COE"/>
    <x v="1"/>
    <x v="0"/>
    <s v="COP_23"/>
    <s v="Quarter1"/>
    <x v="2"/>
    <s v="Qtr_2"/>
    <x v="5"/>
    <d v="2024-02-01T00:00:00"/>
    <d v="2024-02-29T00:00:00"/>
    <x v="1"/>
    <n v="81"/>
    <s v="y"/>
    <n v="56"/>
    <n v="12"/>
    <n v="8"/>
    <n v="5"/>
    <n v="81"/>
    <n v="22"/>
    <n v="22"/>
    <n v="0"/>
    <n v="0"/>
    <n v="0"/>
    <n v="20"/>
    <n v="2"/>
    <n v="0"/>
    <n v="0"/>
    <n v="0"/>
    <n v="0"/>
    <n v="23"/>
    <n v="3"/>
    <n v="5"/>
    <n v="0"/>
    <n v="0"/>
    <n v="0"/>
    <n v="56"/>
    <m/>
  </r>
  <r>
    <n v="219"/>
    <d v="2024-04-08T11:49:50"/>
    <d v="2024-04-08T11:52:50"/>
    <s v="chbanda@lighthouse.org.mw"/>
    <s v="Chipiliro Banda"/>
    <s v="UFC_Queens"/>
    <s v="COE"/>
    <x v="1"/>
    <x v="0"/>
    <s v="COP_23"/>
    <s v="Quarter1"/>
    <x v="2"/>
    <s v="Qtr_2"/>
    <x v="3"/>
    <d v="2024-03-01T00:00:00"/>
    <d v="2024-03-31T00:00:00"/>
    <x v="2"/>
    <n v="44"/>
    <n v="0"/>
    <n v="31"/>
    <n v="12"/>
    <n v="1"/>
    <n v="0"/>
    <n v="44"/>
    <n v="10"/>
    <n v="11"/>
    <n v="0"/>
    <n v="0"/>
    <n v="0"/>
    <n v="11"/>
    <n v="0"/>
    <n v="0"/>
    <n v="0"/>
    <n v="0"/>
    <n v="0"/>
    <n v="11"/>
    <n v="11"/>
    <n v="0"/>
    <n v="0"/>
    <n v="0"/>
    <n v="0"/>
    <n v="14"/>
    <m/>
  </r>
  <r>
    <n v="404"/>
    <d v="2024-05-15T10:05:28"/>
    <d v="2024-05-15T10:13:33"/>
    <s v="chbanda@lighthouse.org.mw"/>
    <s v="Chipiliro Banda"/>
    <s v="UFC_Queens"/>
    <s v="COE"/>
    <x v="1"/>
    <x v="2"/>
    <s v="COP_23"/>
    <s v="Quarter2"/>
    <x v="3"/>
    <s v="Qtr_3"/>
    <x v="7"/>
    <d v="2024-05-01T00:00:00"/>
    <d v="2024-04-30T00:00:00"/>
    <x v="1"/>
    <n v="118"/>
    <n v="0"/>
    <n v="50"/>
    <n v="17"/>
    <n v="11"/>
    <n v="7"/>
    <n v="75"/>
    <n v="36"/>
    <n v="42"/>
    <n v="0"/>
    <n v="30"/>
    <n v="0"/>
    <n v="32"/>
    <n v="6"/>
    <n v="0"/>
    <n v="0"/>
    <n v="0"/>
    <n v="0"/>
    <n v="30"/>
    <n v="6"/>
    <n v="6"/>
    <n v="0"/>
    <n v="0"/>
    <n v="0"/>
    <n v="0"/>
    <m/>
  </r>
  <r>
    <n v="287"/>
    <d v="2024-04-24T09:39:08"/>
    <d v="2024-04-24T09:42:59"/>
    <s v="chbanda@lighthouse.org.mw"/>
    <s v="Chipiliro Banda"/>
    <s v="UFC_Queens"/>
    <s v="COE"/>
    <x v="1"/>
    <x v="0"/>
    <s v="COP_23"/>
    <s v="Quarter1"/>
    <x v="2"/>
    <s v="Qtr_2"/>
    <x v="5"/>
    <d v="2024-02-01T00:00:00"/>
    <d v="2024-02-29T00:00:00"/>
    <x v="2"/>
    <n v="36"/>
    <n v="0"/>
    <n v="23"/>
    <n v="10"/>
    <n v="2"/>
    <n v="1"/>
    <n v="36"/>
    <n v="10"/>
    <n v="10"/>
    <n v="0"/>
    <n v="0"/>
    <n v="0"/>
    <n v="10"/>
    <n v="0"/>
    <n v="0"/>
    <n v="0"/>
    <n v="0"/>
    <n v="0"/>
    <n v="10"/>
    <n v="0"/>
    <n v="0"/>
    <n v="0"/>
    <n v="0"/>
    <n v="0"/>
    <n v="30"/>
    <m/>
  </r>
  <r>
    <n v="551"/>
    <d v="2024-06-12T09:54:03"/>
    <d v="2024-06-12T09:54:13"/>
    <s v="chbanda@lighthouse.org.mw"/>
    <s v="Chipiliro Banda"/>
    <s v="UFC_Queens"/>
    <s v="COE"/>
    <x v="1"/>
    <x v="2"/>
    <s v="COP_23"/>
    <s v="Quarter2"/>
    <x v="3"/>
    <s v="Qtr_3"/>
    <x v="6"/>
    <d v="2024-05-01T00:00:00"/>
    <d v="2024-05-31T00:00:00"/>
    <x v="1"/>
    <n v="102"/>
    <n v="0"/>
    <n v="48"/>
    <n v="27"/>
    <n v="14"/>
    <n v="3"/>
    <n v="87"/>
    <n v="37"/>
    <n v="47"/>
    <n v="1"/>
    <n v="0"/>
    <n v="0"/>
    <n v="0"/>
    <n v="0"/>
    <n v="0"/>
    <n v="0"/>
    <n v="0"/>
    <n v="0"/>
    <n v="28"/>
    <n v="5"/>
    <n v="5"/>
    <n v="0"/>
    <n v="0"/>
    <n v="0"/>
    <n v="0"/>
    <m/>
  </r>
  <r>
    <n v="294"/>
    <d v="2024-04-24T10:50:38"/>
    <d v="2024-04-24T10:52:38"/>
    <s v="chbanda@lighthouse.org.mw"/>
    <s v="Chipiliro Banda"/>
    <s v="UFC_Queens"/>
    <s v="COE"/>
    <x v="1"/>
    <x v="0"/>
    <s v="COP_23"/>
    <s v="Quarter1"/>
    <x v="2"/>
    <s v="Qtr_2"/>
    <x v="4"/>
    <d v="2024-01-01T00:00:00"/>
    <d v="2024-01-31T00:00:00"/>
    <x v="2"/>
    <n v="14"/>
    <n v="0"/>
    <n v="10"/>
    <n v="4"/>
    <n v="0"/>
    <n v="0"/>
    <n v="14"/>
    <n v="3"/>
    <n v="2"/>
    <n v="0"/>
    <n v="0"/>
    <n v="0"/>
    <n v="2"/>
    <n v="0"/>
    <n v="0"/>
    <n v="0"/>
    <n v="0"/>
    <n v="0"/>
    <n v="2"/>
    <n v="0"/>
    <n v="0"/>
    <n v="0"/>
    <n v="0"/>
    <n v="0"/>
    <n v="34"/>
    <m/>
  </r>
  <r>
    <n v="777"/>
    <d v="2024-08-19T12:33:08"/>
    <d v="2024-08-19T12:35:58"/>
    <s v="chbanda@lighthouse.org.mw"/>
    <s v="Chipiliro Banda"/>
    <s v="UFC_Queens"/>
    <s v="COE"/>
    <x v="1"/>
    <x v="2"/>
    <s v="COP_23"/>
    <s v="Quarter2"/>
    <x v="3"/>
    <s v="Qtr_3"/>
    <x v="8"/>
    <d v="2024-06-01T00:00:00"/>
    <d v="2024-06-30T00:00:00"/>
    <x v="1"/>
    <n v="72"/>
    <n v="15"/>
    <n v="38"/>
    <n v="16"/>
    <n v="12"/>
    <n v="6"/>
    <n v="72"/>
    <n v="38"/>
    <n v="40"/>
    <n v="2"/>
    <n v="1"/>
    <n v="1"/>
    <n v="0"/>
    <n v="0"/>
    <n v="0"/>
    <n v="0"/>
    <n v="0"/>
    <n v="0"/>
    <n v="41"/>
    <n v="6"/>
    <n v="7"/>
    <n v="1"/>
    <n v="1"/>
    <n v="0"/>
    <n v="29"/>
    <m/>
  </r>
  <r>
    <n v="970"/>
    <d v="2024-10-21T11:33:46"/>
    <d v="2024-10-21T11:38:27"/>
    <s v="chbanda@lighthouse.org.mw"/>
    <s v="Chipiliro Banda"/>
    <s v="UFC_Queens"/>
    <s v="COE"/>
    <x v="1"/>
    <x v="0"/>
    <s v="COP_23"/>
    <s v="Quarter3"/>
    <x v="1"/>
    <s v="Qtr_4"/>
    <x v="10"/>
    <d v="2024-08-01T00:00:00"/>
    <d v="2024-08-31T00:00:00"/>
    <x v="1"/>
    <n v="81"/>
    <n v="14"/>
    <n v="37"/>
    <n v="24"/>
    <n v="14"/>
    <n v="6"/>
    <n v="74"/>
    <n v="30"/>
    <n v="32"/>
    <n v="2"/>
    <n v="0"/>
    <n v="0"/>
    <n v="8"/>
    <n v="0"/>
    <n v="0"/>
    <n v="0"/>
    <n v="0"/>
    <n v="0"/>
    <n v="21"/>
    <n v="5"/>
    <n v="15"/>
    <n v="0"/>
    <n v="2"/>
    <n v="0"/>
    <n v="64"/>
    <m/>
  </r>
  <r>
    <n v="465"/>
    <d v="2024-05-27T12:04:12"/>
    <d v="2024-05-27T12:12:58"/>
    <s v="chbanda@lighthouse.org.mw"/>
    <s v="Chipiliro Banda"/>
    <s v="UFC_Queens"/>
    <s v="COE"/>
    <x v="1"/>
    <x v="2"/>
    <s v="COP_23"/>
    <s v="Quarter2"/>
    <x v="3"/>
    <s v="Qtr_3"/>
    <x v="7"/>
    <d v="2024-04-01T00:00:00"/>
    <d v="2024-04-30T00:00:00"/>
    <x v="2"/>
    <n v="50"/>
    <n v="0"/>
    <n v="31"/>
    <n v="6"/>
    <n v="1"/>
    <n v="0"/>
    <n v="37"/>
    <n v="7"/>
    <n v="8"/>
    <n v="1"/>
    <n v="0"/>
    <n v="0"/>
    <n v="0"/>
    <n v="0"/>
    <n v="0"/>
    <n v="0"/>
    <n v="0"/>
    <n v="0"/>
    <n v="8"/>
    <n v="0"/>
    <n v="0"/>
    <n v="0"/>
    <n v="0"/>
    <n v="0"/>
    <n v="0"/>
    <m/>
  </r>
  <r>
    <n v="994"/>
    <d v="2024-10-30T13:00:51"/>
    <d v="2024-10-30T13:01:11"/>
    <s v="chbanda@lighthouse.org.mw"/>
    <s v="Chipiliro Banda"/>
    <s v="UFC_Queens"/>
    <s v="COE"/>
    <x v="1"/>
    <x v="0"/>
    <s v="COP_23"/>
    <s v="Quarter3"/>
    <x v="1"/>
    <s v="Qtr_4"/>
    <x v="2"/>
    <d v="2024-09-01T00:00:00"/>
    <d v="2024-09-30T00:00:00"/>
    <x v="1"/>
    <n v="69"/>
    <n v="13"/>
    <n v="37"/>
    <n v="17"/>
    <n v="8"/>
    <n v="6"/>
    <n v="65"/>
    <n v="36"/>
    <n v="35"/>
    <n v="3"/>
    <n v="1"/>
    <n v="0"/>
    <n v="29"/>
    <n v="5"/>
    <n v="0"/>
    <n v="0"/>
    <n v="0"/>
    <n v="0"/>
    <n v="23"/>
    <n v="6"/>
    <n v="10"/>
    <n v="1"/>
    <n v="0"/>
    <n v="0"/>
    <n v="58"/>
    <m/>
  </r>
  <r>
    <n v="550"/>
    <d v="2024-06-12T09:09:50"/>
    <d v="2024-06-12T09:18:41"/>
    <s v="chbanda@lighthouse.org.mw"/>
    <s v="Chipiliro Banda"/>
    <s v="UFC_Queens"/>
    <s v="COE"/>
    <x v="1"/>
    <x v="2"/>
    <s v="COP_23"/>
    <s v="Quarter2"/>
    <x v="3"/>
    <s v="Qtr_3"/>
    <x v="6"/>
    <d v="2024-05-01T00:00:00"/>
    <d v="2024-05-31T00:00:00"/>
    <x v="2"/>
    <n v="67"/>
    <n v="0"/>
    <n v="35"/>
    <n v="6"/>
    <n v="1"/>
    <n v="1"/>
    <n v="42"/>
    <n v="8"/>
    <n v="11"/>
    <n v="0"/>
    <n v="0"/>
    <n v="0"/>
    <n v="0"/>
    <n v="0"/>
    <n v="0"/>
    <n v="0"/>
    <n v="0"/>
    <n v="0"/>
    <n v="12"/>
    <n v="1"/>
    <n v="1"/>
    <n v="0"/>
    <n v="0"/>
    <n v="0"/>
    <n v="0"/>
    <m/>
  </r>
  <r>
    <n v="652"/>
    <d v="2024-07-18T13:50:18"/>
    <d v="2024-07-18T14:10:56"/>
    <s v="chbanda@lighthouse.org.mw"/>
    <s v="Chipiliro Banda"/>
    <s v="UFC_Queens"/>
    <s v="COE"/>
    <x v="1"/>
    <x v="2"/>
    <s v="COP_23"/>
    <s v="Quarter2"/>
    <x v="3"/>
    <s v="Qtr_3"/>
    <x v="8"/>
    <d v="2024-06-01T00:00:00"/>
    <d v="2024-06-30T00:00:00"/>
    <x v="2"/>
    <n v="45"/>
    <n v="0"/>
    <n v="34"/>
    <n v="7"/>
    <n v="4"/>
    <n v="0"/>
    <n v="45"/>
    <n v="11"/>
    <n v="0"/>
    <n v="0"/>
    <n v="0"/>
    <n v="0"/>
    <n v="0"/>
    <n v="0"/>
    <n v="0"/>
    <n v="0"/>
    <n v="0"/>
    <n v="0"/>
    <n v="11"/>
    <n v="0"/>
    <n v="0"/>
    <n v="0"/>
    <n v="0"/>
    <n v="0"/>
    <n v="0"/>
    <m/>
  </r>
  <r>
    <n v="1000"/>
    <d v="2024-10-31T10:24:05"/>
    <d v="2024-10-31T10:29:12"/>
    <s v="chbanda@lighthouse.org.mw"/>
    <s v="Chipiliro Banda"/>
    <s v="UFC_Queens"/>
    <s v="COE"/>
    <x v="1"/>
    <x v="0"/>
    <s v="COP_23"/>
    <s v="Quarter3"/>
    <x v="1"/>
    <s v="Qtr_4"/>
    <x v="9"/>
    <d v="2024-07-01T00:00:00"/>
    <d v="2024-07-31T00:00:00"/>
    <x v="1"/>
    <n v="101"/>
    <n v="11"/>
    <n v="62"/>
    <n v="20"/>
    <n v="16"/>
    <n v="3"/>
    <n v="98"/>
    <n v="39"/>
    <n v="42"/>
    <n v="1"/>
    <n v="0"/>
    <n v="0"/>
    <n v="0"/>
    <n v="0"/>
    <n v="1"/>
    <n v="1"/>
    <n v="0"/>
    <n v="0"/>
    <n v="0"/>
    <n v="0"/>
    <n v="2"/>
    <n v="1"/>
    <n v="0"/>
    <n v="0"/>
    <n v="98"/>
    <m/>
  </r>
  <r>
    <n v="1066"/>
    <d v="2024-11-14T09:06:53"/>
    <d v="2024-11-14T09:13:15"/>
    <s v="chbanda@lighthouse.org.mw"/>
    <s v="Chipiliro Banda"/>
    <s v="UFC_Queens"/>
    <s v="COE"/>
    <x v="1"/>
    <x v="2"/>
    <s v="COP_24"/>
    <s v="Quarter4"/>
    <x v="0"/>
    <s v="Qtr_1"/>
    <x v="0"/>
    <d v="2024-10-01T00:00:00"/>
    <d v="2024-10-31T00:00:00"/>
    <x v="6"/>
    <n v="165"/>
    <n v="134"/>
    <n v="36"/>
    <n v="44"/>
    <n v="36"/>
    <n v="49"/>
    <n v="156"/>
    <n v="58"/>
    <n v="60"/>
    <n v="6"/>
    <n v="0"/>
    <n v="0"/>
    <n v="43"/>
    <n v="4"/>
    <n v="0"/>
    <n v="0"/>
    <n v="0"/>
    <n v="0"/>
    <n v="0"/>
    <n v="0"/>
    <n v="3"/>
    <n v="1"/>
    <n v="5"/>
    <n v="11"/>
    <n v="145"/>
    <m/>
  </r>
  <r>
    <n v="971"/>
    <d v="2024-10-21T11:43:30"/>
    <d v="2024-10-21T11:50:19"/>
    <s v="chbanda@lighthouse.org.mw"/>
    <s v="Chipiliro Banda"/>
    <s v="UFC_Queens"/>
    <s v="COE"/>
    <x v="1"/>
    <x v="0"/>
    <s v="COP_23"/>
    <s v="Quarter3"/>
    <x v="1"/>
    <s v="Qtr_4"/>
    <x v="10"/>
    <d v="2024-08-01T00:00:00"/>
    <d v="2024-08-31T00:00:00"/>
    <x v="2"/>
    <n v="44"/>
    <n v="0"/>
    <n v="32"/>
    <n v="9"/>
    <n v="1"/>
    <n v="2"/>
    <n v="44"/>
    <n v="11"/>
    <n v="11"/>
    <n v="0"/>
    <n v="0"/>
    <n v="0"/>
    <n v="2"/>
    <n v="0"/>
    <n v="0"/>
    <n v="0"/>
    <n v="0"/>
    <n v="0"/>
    <n v="11"/>
    <n v="2"/>
    <n v="2"/>
    <n v="0"/>
    <n v="0"/>
    <n v="0"/>
    <n v="42"/>
    <m/>
  </r>
  <r>
    <n v="988"/>
    <d v="2024-10-24T15:15:28"/>
    <d v="2024-10-24T15:21:07"/>
    <s v="chbanda@lighthouse.org.mw"/>
    <s v="Chipiliro Banda"/>
    <s v="UFC_Queens"/>
    <s v="COE"/>
    <x v="1"/>
    <x v="0"/>
    <s v="COP_23"/>
    <s v="Quarter3"/>
    <x v="1"/>
    <s v="Qtr_4"/>
    <x v="2"/>
    <d v="2024-09-01T00:00:00"/>
    <d v="2024-09-30T00:00:00"/>
    <x v="2"/>
    <n v="48"/>
    <n v="0"/>
    <n v="37"/>
    <n v="7"/>
    <n v="3"/>
    <n v="1"/>
    <n v="48"/>
    <n v="20"/>
    <n v="20"/>
    <n v="2"/>
    <n v="0"/>
    <n v="0"/>
    <n v="20"/>
    <n v="2"/>
    <n v="0"/>
    <n v="0"/>
    <n v="0"/>
    <n v="0"/>
    <n v="20"/>
    <n v="2"/>
    <n v="2"/>
    <n v="0"/>
    <n v="2"/>
    <n v="0"/>
    <n v="44"/>
    <m/>
  </r>
  <r>
    <n v="995"/>
    <d v="2024-10-30T13:17:42"/>
    <d v="2024-10-30T13:19:13"/>
    <s v="chbanda@lighthouse.org.mw"/>
    <s v="Chipiliro Banda"/>
    <s v="UFC_Queens"/>
    <s v="COE"/>
    <x v="1"/>
    <x v="0"/>
    <s v="COP_23"/>
    <s v="Quarter3"/>
    <x v="1"/>
    <s v="Qtr_4"/>
    <x v="9"/>
    <d v="2024-07-01T00:00:00"/>
    <d v="2024-07-31T00:00:00"/>
    <x v="2"/>
    <n v="64"/>
    <n v="0"/>
    <n v="53"/>
    <n v="8"/>
    <n v="2"/>
    <n v="1"/>
    <n v="64"/>
    <n v="17"/>
    <n v="16"/>
    <n v="1"/>
    <n v="0"/>
    <n v="0"/>
    <n v="0"/>
    <n v="0"/>
    <n v="0"/>
    <n v="0"/>
    <n v="0"/>
    <n v="0"/>
    <n v="17"/>
    <n v="0"/>
    <n v="0"/>
    <n v="0"/>
    <n v="0"/>
    <n v="0"/>
    <n v="0"/>
    <m/>
  </r>
  <r>
    <n v="1181"/>
    <d v="2025-01-06T09:12:38"/>
    <d v="2025-01-06T09:27:13"/>
    <s v="chbanda@lighthouse.org.mw"/>
    <s v="Chipiliro Banda"/>
    <s v="UFC_Queens"/>
    <s v="COE"/>
    <x v="1"/>
    <x v="2"/>
    <s v="COP_24"/>
    <s v="Quarter4"/>
    <x v="0"/>
    <s v="Qtr_1"/>
    <x v="0"/>
    <d v="2024-10-01T00:00:00"/>
    <d v="2024-10-31T00:00:00"/>
    <x v="5"/>
    <n v="87"/>
    <n v="0"/>
    <n v="73"/>
    <n v="8"/>
    <n v="5"/>
    <n v="1"/>
    <n v="83"/>
    <n v="18"/>
    <n v="24"/>
    <n v="0"/>
    <n v="0"/>
    <n v="0"/>
    <n v="20"/>
    <n v="1"/>
    <n v="0"/>
    <n v="0"/>
    <n v="0"/>
    <n v="0"/>
    <n v="14"/>
    <n v="1"/>
    <n v="4"/>
    <n v="0"/>
    <n v="0"/>
    <n v="0"/>
    <n v="0"/>
    <m/>
  </r>
  <r>
    <n v="1182"/>
    <d v="2025-01-06T10:23:13"/>
    <d v="2025-01-06T10:25:23"/>
    <s v="chbanda@lighthouse.org.mw"/>
    <s v="Chipiliro Banda"/>
    <s v="UFC_Queens"/>
    <s v="COE"/>
    <x v="1"/>
    <x v="2"/>
    <s v="COP_24"/>
    <s v="Quarter4"/>
    <x v="0"/>
    <s v="Qtr_1"/>
    <x v="0"/>
    <d v="2024-10-01T00:00:00"/>
    <d v="2024-10-31T00:00:00"/>
    <x v="0"/>
    <n v="440"/>
    <n v="134"/>
    <n v="228"/>
    <n v="92"/>
    <n v="64"/>
    <n v="56"/>
    <n v="419"/>
    <n v="119"/>
    <n v="127"/>
    <n v="11"/>
    <n v="3"/>
    <n v="0"/>
    <n v="102"/>
    <n v="7"/>
    <n v="0"/>
    <n v="0"/>
    <n v="0"/>
    <n v="0"/>
    <n v="67"/>
    <n v="13"/>
    <n v="16"/>
    <n v="1"/>
    <n v="10"/>
    <n v="12"/>
    <n v="401"/>
    <m/>
  </r>
  <r>
    <n v="1183"/>
    <d v="2025-01-06T10:25:28"/>
    <d v="2025-01-06T10:30:47"/>
    <s v="chbanda@lighthouse.org.mw"/>
    <s v="Chipiliro Banda"/>
    <s v="UFC_Queens"/>
    <s v="COE"/>
    <x v="1"/>
    <x v="2"/>
    <s v="COP_24"/>
    <s v="Quarter4"/>
    <x v="0"/>
    <s v="Qtr_1"/>
    <x v="0"/>
    <d v="2024-10-01T00:00:00"/>
    <d v="2024-10-31T00:00:00"/>
    <x v="2"/>
    <n v="41"/>
    <n v="0"/>
    <n v="32"/>
    <n v="4"/>
    <n v="3"/>
    <n v="2"/>
    <n v="41"/>
    <n v="11"/>
    <n v="11"/>
    <n v="0"/>
    <n v="0"/>
    <n v="0"/>
    <n v="11"/>
    <n v="1"/>
    <n v="0"/>
    <n v="0"/>
    <n v="0"/>
    <n v="0"/>
    <n v="11"/>
    <n v="1"/>
    <n v="1"/>
    <n v="0"/>
    <n v="0"/>
    <n v="0"/>
    <n v="40"/>
    <m/>
  </r>
  <r>
    <n v="1184"/>
    <d v="2025-01-06T10:32:53"/>
    <d v="2025-01-06T10:35:18"/>
    <s v="chbanda@lighthouse.org.mw"/>
    <s v="Chipiliro Banda"/>
    <s v="UFC_Queens"/>
    <s v="COE"/>
    <x v="1"/>
    <x v="2"/>
    <s v="COP_24"/>
    <s v="Quarter4"/>
    <x v="0"/>
    <s v="Qtr_1"/>
    <x v="0"/>
    <d v="2024-10-01T00:00:00"/>
    <d v="2024-10-31T00:00:00"/>
    <x v="3"/>
    <n v="9"/>
    <n v="0"/>
    <n v="4"/>
    <n v="0"/>
    <n v="3"/>
    <n v="2"/>
    <n v="0"/>
    <n v="0"/>
    <n v="9"/>
    <n v="0"/>
    <n v="0"/>
    <n v="0"/>
    <n v="9"/>
    <n v="1"/>
    <n v="0"/>
    <n v="0"/>
    <n v="0"/>
    <n v="0"/>
    <n v="0"/>
    <n v="0"/>
    <n v="1"/>
    <n v="0"/>
    <n v="0"/>
    <n v="0"/>
    <n v="8"/>
    <m/>
  </r>
  <r>
    <n v="1185"/>
    <d v="2025-01-06T10:37:25"/>
    <d v="2025-01-06T10:39:02"/>
    <s v="chbanda@lighthouse.org.mw"/>
    <s v="Chipiliro Banda"/>
    <s v="UFC_Queens"/>
    <s v="COE"/>
    <x v="1"/>
    <x v="2"/>
    <s v="COP_24"/>
    <s v="Quarter4"/>
    <x v="0"/>
    <s v="Qtr_1"/>
    <x v="0"/>
    <d v="2024-10-01T00:00:00"/>
    <d v="2024-10-31T00:00:00"/>
    <x v="4"/>
    <n v="10"/>
    <n v="0"/>
    <n v="7"/>
    <n v="2"/>
    <n v="1"/>
    <n v="0"/>
    <n v="10"/>
    <n v="2"/>
    <n v="2"/>
    <n v="0"/>
    <n v="0"/>
    <n v="0"/>
    <n v="2"/>
    <n v="0"/>
    <n v="0"/>
    <n v="0"/>
    <n v="0"/>
    <n v="0"/>
    <n v="2"/>
    <n v="0"/>
    <n v="0"/>
    <n v="0"/>
    <n v="0"/>
    <n v="0"/>
    <n v="10"/>
    <m/>
  </r>
  <r>
    <n v="1186"/>
    <d v="2025-01-06T10:41:51"/>
    <d v="2025-01-06T11:10:13"/>
    <s v="chbanda@lighthouse.org.mw"/>
    <s v="Chipiliro Banda"/>
    <s v="UFC_Queens"/>
    <s v="COE"/>
    <x v="1"/>
    <x v="2"/>
    <s v="COP_24"/>
    <s v="Quarter4"/>
    <x v="0"/>
    <s v="Qtr_1"/>
    <x v="0"/>
    <d v="2024-10-01T00:00:00"/>
    <d v="2024-10-31T00:00:00"/>
    <x v="1"/>
    <n v="86"/>
    <n v="12"/>
    <n v="49"/>
    <n v="20"/>
    <n v="13"/>
    <n v="4"/>
    <n v="82"/>
    <n v="28"/>
    <n v="30"/>
    <n v="4"/>
    <n v="3"/>
    <n v="0"/>
    <n v="24"/>
    <n v="2"/>
    <n v="0"/>
    <n v="0"/>
    <n v="0"/>
    <n v="0"/>
    <n v="21"/>
    <n v="5"/>
    <n v="6"/>
    <n v="0"/>
    <n v="4"/>
    <n v="0"/>
    <n v="76"/>
    <m/>
  </r>
  <r>
    <n v="1192"/>
    <d v="2025-01-06T13:31:31"/>
    <d v="2025-01-06T13:31:36"/>
    <s v="chbanda@lighthouse.org.mw"/>
    <s v="Chipiliro Banda"/>
    <s v="UFC_Queens"/>
    <s v="COE"/>
    <x v="1"/>
    <x v="2"/>
    <s v="COP_24"/>
    <s v="Quarter4"/>
    <x v="0"/>
    <s v="Qtr_1"/>
    <x v="1"/>
    <d v="2024-11-01T00:00:00"/>
    <d v="2024-11-30T00:00:00"/>
    <x v="0"/>
    <n v="478"/>
    <n v="170"/>
    <n v="227"/>
    <n v="100"/>
    <n v="89"/>
    <n v="62"/>
    <n v="465"/>
    <n v="140"/>
    <n v="155"/>
    <n v="7"/>
    <n v="1"/>
    <n v="0"/>
    <n v="127"/>
    <n v="12"/>
    <n v="0"/>
    <n v="0"/>
    <n v="1"/>
    <n v="1"/>
    <n v="185"/>
    <n v="7"/>
    <n v="16"/>
    <n v="1"/>
    <n v="5"/>
    <n v="10"/>
    <n v="446"/>
    <m/>
  </r>
  <r>
    <n v="1195"/>
    <d v="2025-01-06T13:34:42"/>
    <d v="2025-01-06T13:38:17"/>
    <s v="chbanda@lighthouse.org.mw"/>
    <s v="Chipiliro Banda"/>
    <s v="UFC_Queens"/>
    <s v="COE"/>
    <x v="1"/>
    <x v="2"/>
    <s v="COP_24"/>
    <s v="Quarter4"/>
    <x v="0"/>
    <s v="Qtr_1"/>
    <x v="1"/>
    <d v="2024-11-01T00:00:00"/>
    <d v="2024-11-30T00:00:00"/>
    <x v="6"/>
    <n v="198"/>
    <n v="170"/>
    <n v="32"/>
    <n v="51"/>
    <n v="64"/>
    <n v="51"/>
    <n v="191"/>
    <n v="65"/>
    <n v="0"/>
    <n v="0"/>
    <n v="0"/>
    <n v="0"/>
    <n v="59"/>
    <n v="9"/>
    <n v="0"/>
    <n v="0"/>
    <n v="0"/>
    <n v="0"/>
    <n v="0"/>
    <n v="0"/>
    <n v="7"/>
    <n v="1"/>
    <n v="4"/>
    <n v="7"/>
    <n v="179"/>
    <m/>
  </r>
  <r>
    <n v="1196"/>
    <d v="2025-01-06T14:21:17"/>
    <d v="2025-01-06T14:25:08"/>
    <s v="chbanda@lighthouse.org.mw"/>
    <s v="Chipiliro Banda"/>
    <s v="UFC_Queens"/>
    <s v="COE"/>
    <x v="1"/>
    <x v="2"/>
    <s v="COP_24"/>
    <s v="Quarter4"/>
    <x v="0"/>
    <s v="Qtr_1"/>
    <x v="1"/>
    <d v="2024-11-01T00:00:00"/>
    <d v="2024-11-30T00:00:00"/>
    <x v="1"/>
    <n v="107"/>
    <n v="11"/>
    <n v="67"/>
    <n v="18"/>
    <n v="13"/>
    <n v="9"/>
    <n v="105"/>
    <n v="43"/>
    <n v="45"/>
    <n v="1"/>
    <n v="0"/>
    <n v="0"/>
    <n v="41"/>
    <n v="4"/>
    <n v="0"/>
    <n v="0"/>
    <n v="1"/>
    <n v="1"/>
    <n v="32"/>
    <n v="6"/>
    <n v="9"/>
    <n v="0"/>
    <n v="1"/>
    <n v="0"/>
    <n v="70"/>
    <m/>
  </r>
  <r>
    <n v="1197"/>
    <d v="2025-01-06T14:35:37"/>
    <d v="2025-01-06T14:35:44"/>
    <s v="chbanda@lighthouse.org.mw"/>
    <s v="Chipiliro Banda"/>
    <s v="UFC_Queens"/>
    <s v="COE"/>
    <x v="1"/>
    <x v="2"/>
    <s v="COP_24"/>
    <s v="Quarter4"/>
    <x v="0"/>
    <s v="Qtr_1"/>
    <x v="1"/>
    <d v="2024-11-01T00:00:00"/>
    <d v="2024-11-30T00:00:00"/>
    <x v="3"/>
    <n v="1"/>
    <n v="0"/>
    <n v="0"/>
    <n v="0"/>
    <n v="0"/>
    <n v="1"/>
    <n v="0"/>
    <n v="0"/>
    <n v="0"/>
    <n v="0"/>
    <n v="0"/>
    <n v="0"/>
    <n v="0"/>
    <n v="0"/>
    <n v="0"/>
    <n v="0"/>
    <n v="0"/>
    <n v="0"/>
    <n v="0"/>
    <n v="0"/>
    <n v="0"/>
    <n v="0"/>
    <n v="0"/>
    <n v="0"/>
    <n v="1"/>
    <m/>
  </r>
  <r>
    <n v="1198"/>
    <d v="2025-01-06T14:35:48"/>
    <d v="2025-01-06T14:38:18"/>
    <s v="chbanda@lighthouse.org.mw"/>
    <s v="Chipiliro Banda"/>
    <s v="UFC_Queens"/>
    <s v="COE"/>
    <x v="1"/>
    <x v="2"/>
    <s v="COP_24"/>
    <s v="Quarter4"/>
    <x v="0"/>
    <s v="Qtr_1"/>
    <x v="1"/>
    <d v="2024-11-01T00:00:00"/>
    <d v="2024-11-30T00:00:00"/>
    <x v="4"/>
    <n v="11"/>
    <n v="0"/>
    <n v="5"/>
    <n v="3"/>
    <n v="1"/>
    <n v="2"/>
    <n v="11"/>
    <n v="2"/>
    <n v="2"/>
    <n v="0"/>
    <n v="0"/>
    <n v="0"/>
    <n v="2"/>
    <n v="0"/>
    <n v="0"/>
    <n v="0"/>
    <n v="0"/>
    <n v="0"/>
    <n v="0"/>
    <n v="0"/>
    <n v="0"/>
    <n v="0"/>
    <n v="0"/>
    <n v="0"/>
    <n v="11"/>
    <m/>
  </r>
  <r>
    <n v="1199"/>
    <d v="2025-01-06T14:42:22"/>
    <d v="2025-01-06T14:48:03"/>
    <s v="chbanda@lighthouse.org.mw"/>
    <s v="Chipiliro Banda"/>
    <s v="UFC_Queens"/>
    <s v="COE"/>
    <x v="1"/>
    <x v="2"/>
    <s v="COP_24"/>
    <s v="Quarter4"/>
    <x v="0"/>
    <s v="Qtr_1"/>
    <x v="1"/>
    <d v="2024-11-01T00:00:00"/>
    <d v="2024-11-30T00:00:00"/>
    <x v="2"/>
    <n v="29"/>
    <n v="0"/>
    <n v="21"/>
    <n v="6"/>
    <n v="2"/>
    <n v="0"/>
    <n v="29"/>
    <n v="5"/>
    <n v="5"/>
    <n v="0"/>
    <n v="0"/>
    <n v="0"/>
    <n v="5"/>
    <n v="0"/>
    <n v="0"/>
    <n v="0"/>
    <n v="0"/>
    <n v="0"/>
    <n v="5"/>
    <n v="0"/>
    <n v="0"/>
    <n v="0"/>
    <n v="0"/>
    <n v="0"/>
    <n v="29"/>
    <m/>
  </r>
  <r>
    <n v="1201"/>
    <d v="2025-01-06T14:49:07"/>
    <d v="2025-01-06T14:52:22"/>
    <s v="chbanda@lighthouse.org.mw"/>
    <s v="Chipiliro Banda"/>
    <s v="UFC_Queens"/>
    <s v="COE"/>
    <x v="1"/>
    <x v="2"/>
    <s v="COP_24"/>
    <s v="Quarter4"/>
    <x v="0"/>
    <s v="Qtr_1"/>
    <x v="1"/>
    <d v="2024-11-01T00:00:00"/>
    <d v="2024-11-30T00:00:00"/>
    <x v="5"/>
    <n v="84"/>
    <n v="0"/>
    <n v="71"/>
    <n v="7"/>
    <n v="6"/>
    <n v="0"/>
    <n v="81"/>
    <n v="25"/>
    <n v="26"/>
    <n v="1"/>
    <n v="1"/>
    <n v="0"/>
    <n v="24"/>
    <n v="0"/>
    <n v="0"/>
    <n v="0"/>
    <n v="0"/>
    <n v="0"/>
    <n v="24"/>
    <n v="1"/>
    <n v="1"/>
    <n v="0"/>
    <n v="0"/>
    <n v="0"/>
    <n v="83"/>
    <m/>
  </r>
  <r>
    <n v="1205"/>
    <d v="2025-01-06T14:56:24"/>
    <d v="2025-01-06T14:58:51"/>
    <s v="chbanda@lighthouse.org.mw"/>
    <s v="Chipiliro Banda"/>
    <s v="UFC_Queens"/>
    <s v="COE"/>
    <x v="1"/>
    <x v="2"/>
    <s v="COP_24"/>
    <s v="Quarter4"/>
    <x v="0"/>
    <s v="Qtr_1"/>
    <x v="11"/>
    <d v="2024-12-01T00:00:00"/>
    <d v="2024-12-31T00:00:00"/>
    <x v="6"/>
    <n v="135"/>
    <n v="120"/>
    <n v="25"/>
    <n v="32"/>
    <n v="49"/>
    <n v="29"/>
    <n v="127"/>
    <n v="42"/>
    <n v="47"/>
    <n v="3"/>
    <n v="0"/>
    <n v="0"/>
    <n v="36"/>
    <n v="10"/>
    <n v="0"/>
    <n v="0"/>
    <n v="0"/>
    <n v="0"/>
    <n v="0"/>
    <n v="0"/>
    <n v="6"/>
    <n v="0"/>
    <n v="3"/>
    <n v="12"/>
    <n v="114"/>
    <m/>
  </r>
  <r>
    <n v="1233"/>
    <d v="2025-01-13T09:02:19"/>
    <d v="2025-01-13T09:06:37"/>
    <s v="chbanda@lighthouse.org.mw"/>
    <s v="Chipiliro Banda"/>
    <s v="UFC_Queens"/>
    <s v="COE"/>
    <x v="1"/>
    <x v="2"/>
    <s v="COP_24"/>
    <s v="Quarter4"/>
    <x v="0"/>
    <s v="Qtr_1"/>
    <x v="11"/>
    <d v="2024-12-01T00:00:00"/>
    <d v="2024-12-31T00:00:00"/>
    <x v="0"/>
    <n v="453"/>
    <n v="150"/>
    <n v="219"/>
    <n v="99"/>
    <n v="87"/>
    <n v="48"/>
    <n v="440"/>
    <n v="139"/>
    <n v="149"/>
    <n v="7"/>
    <n v="4"/>
    <n v="2"/>
    <n v="124"/>
    <n v="14"/>
    <n v="0"/>
    <n v="0"/>
    <n v="0"/>
    <n v="0"/>
    <n v="91"/>
    <n v="13"/>
    <n v="23"/>
    <n v="2"/>
    <n v="5"/>
    <n v="14"/>
    <n v="409"/>
    <s v=" "/>
  </r>
  <r>
    <n v="1234"/>
    <d v="2025-01-13T09:07:16"/>
    <d v="2025-01-13T09:13:31"/>
    <s v="chbanda@lighthouse.org.mw"/>
    <s v="Chipiliro Banda"/>
    <s v="UFC_Queens"/>
    <s v="COE"/>
    <x v="1"/>
    <x v="2"/>
    <s v="COP_24"/>
    <s v="Quarter4"/>
    <x v="0"/>
    <s v="Qtr_1"/>
    <x v="11"/>
    <d v="2024-12-01T00:00:00"/>
    <d v="2024-12-31T00:00:00"/>
    <x v="4"/>
    <n v="14"/>
    <n v="0"/>
    <n v="12"/>
    <n v="1"/>
    <n v="1"/>
    <n v="0"/>
    <n v="14"/>
    <n v="2"/>
    <n v="2"/>
    <n v="0"/>
    <n v="0"/>
    <n v="0"/>
    <n v="2"/>
    <n v="0"/>
    <n v="0"/>
    <n v="0"/>
    <n v="0"/>
    <n v="0"/>
    <n v="2"/>
    <n v="0"/>
    <n v="0"/>
    <n v="0"/>
    <n v="0"/>
    <n v="0"/>
    <n v="14"/>
    <m/>
  </r>
  <r>
    <n v="1235"/>
    <d v="2025-01-13T09:13:36"/>
    <d v="2025-01-13T09:16:24"/>
    <s v="chbanda@lighthouse.org.mw"/>
    <s v="Chipiliro Banda"/>
    <s v="UFC_Queens"/>
    <s v="COE"/>
    <x v="1"/>
    <x v="2"/>
    <s v="COP_24"/>
    <s v="Quarter4"/>
    <x v="0"/>
    <s v="Qtr_1"/>
    <x v="11"/>
    <d v="2024-12-01T00:00:00"/>
    <d v="2024-12-31T00:00:00"/>
    <x v="1"/>
    <n v="104"/>
    <n v="19"/>
    <n v="61"/>
    <n v="19"/>
    <n v="15"/>
    <n v="9"/>
    <n v="101"/>
    <n v="40"/>
    <n v="43"/>
    <n v="2"/>
    <n v="1"/>
    <n v="0"/>
    <n v="43"/>
    <n v="5"/>
    <n v="0"/>
    <n v="0"/>
    <n v="0"/>
    <n v="0"/>
    <n v="31"/>
    <n v="6"/>
    <n v="9"/>
    <n v="0"/>
    <n v="2"/>
    <n v="2"/>
    <n v="91"/>
    <m/>
  </r>
  <r>
    <n v="1236"/>
    <d v="2025-01-13T09:16:43"/>
    <d v="2025-01-13T09:20:21"/>
    <s v="chbanda@lighthouse.org.mw"/>
    <s v="Chipiliro Banda"/>
    <s v="UFC_Queens"/>
    <s v="COE"/>
    <x v="1"/>
    <x v="2"/>
    <s v="COP_24"/>
    <s v="Quarter4"/>
    <x v="0"/>
    <s v="Qtr_1"/>
    <x v="11"/>
    <d v="2024-12-01T00:00:00"/>
    <d v="2024-12-31T00:00:00"/>
    <x v="3"/>
    <n v="3"/>
    <n v="0"/>
    <n v="1"/>
    <n v="1"/>
    <n v="1"/>
    <n v="0"/>
    <n v="1"/>
    <n v="0"/>
    <n v="2"/>
    <n v="0"/>
    <n v="0"/>
    <n v="0"/>
    <n v="1"/>
    <n v="0"/>
    <n v="0"/>
    <n v="0"/>
    <n v="0"/>
    <n v="0"/>
    <n v="0"/>
    <n v="0"/>
    <n v="0"/>
    <n v="0"/>
    <n v="0"/>
    <n v="0"/>
    <n v="3"/>
    <m/>
  </r>
  <r>
    <n v="1237"/>
    <d v="2025-01-13T09:20:35"/>
    <d v="2025-01-13T09:24:01"/>
    <s v="chbanda@lighthouse.org.mw"/>
    <s v="Chipiliro Banda"/>
    <s v="UFC_Queens"/>
    <s v="COE"/>
    <x v="1"/>
    <x v="2"/>
    <s v="COP_24"/>
    <s v="Quarter4"/>
    <x v="0"/>
    <s v="Qtr_1"/>
    <x v="11"/>
    <d v="2024-12-01T00:00:00"/>
    <d v="2024-12-31T00:00:00"/>
    <x v="2"/>
    <n v="50"/>
    <n v="0"/>
    <n v="37"/>
    <n v="7"/>
    <n v="3"/>
    <n v="3"/>
    <n v="50"/>
    <n v="16"/>
    <n v="16"/>
    <n v="1"/>
    <n v="1"/>
    <n v="0"/>
    <n v="16"/>
    <n v="3"/>
    <n v="0"/>
    <n v="0"/>
    <n v="0"/>
    <n v="0"/>
    <n v="13"/>
    <n v="4"/>
    <n v="7"/>
    <n v="0"/>
    <n v="1"/>
    <n v="0"/>
    <n v="42"/>
    <m/>
  </r>
  <r>
    <n v="1238"/>
    <d v="2025-01-13T09:24:30"/>
    <d v="2025-01-13T09:48:07"/>
    <s v="chbanda@lighthouse.org.mw"/>
    <s v="Chipiliro Banda"/>
    <s v="UFC_Queens"/>
    <s v="COE"/>
    <x v="1"/>
    <x v="2"/>
    <s v="COP_24"/>
    <s v="Quarter4"/>
    <x v="0"/>
    <s v="Qtr_1"/>
    <x v="11"/>
    <d v="2024-12-01T00:00:00"/>
    <d v="2024-12-31T00:00:00"/>
    <x v="5"/>
    <n v="74"/>
    <n v="0"/>
    <n v="59"/>
    <n v="10"/>
    <n v="4"/>
    <n v="1"/>
    <n v="74"/>
    <n v="23"/>
    <n v="23"/>
    <n v="2"/>
    <n v="2"/>
    <n v="1"/>
    <n v="23"/>
    <n v="1"/>
    <n v="0"/>
    <n v="0"/>
    <n v="0"/>
    <n v="0"/>
    <n v="23"/>
    <n v="0"/>
    <n v="1"/>
    <n v="1"/>
    <n v="1"/>
    <n v="0"/>
    <n v="71"/>
    <m/>
  </r>
  <r>
    <n v="1543"/>
    <d v="2025-04-23T14:14:29"/>
    <d v="2025-04-23T14:21:28"/>
    <s v="chbanda@lighthouse.org.mw"/>
    <s v="Chipiliro Banda"/>
    <s v="UFC_Queens"/>
    <s v="COE"/>
    <x v="2"/>
    <x v="2"/>
    <s v="COP_24"/>
    <s v="Quarter1"/>
    <x v="2"/>
    <s v="Qtr_2"/>
    <x v="5"/>
    <d v="2025-02-01T00:00:00"/>
    <d v="2025-02-28T00:00:00"/>
    <x v="3"/>
    <n v="0"/>
    <n v="0"/>
    <n v="0"/>
    <n v="0"/>
    <n v="0"/>
    <n v="0"/>
    <n v="0"/>
    <n v="0"/>
    <n v="0"/>
    <n v="0"/>
    <n v="0"/>
    <n v="0"/>
    <n v="0"/>
    <n v="0"/>
    <n v="0"/>
    <n v="0"/>
    <n v="0"/>
    <n v="0"/>
    <n v="0"/>
    <n v="0"/>
    <n v="0"/>
    <n v="0"/>
    <n v="0"/>
    <n v="0"/>
    <n v="0"/>
    <m/>
  </r>
  <r>
    <n v="1544"/>
    <d v="2025-04-23T14:21:45"/>
    <d v="2025-04-23T14:25:22"/>
    <s v="chbanda@lighthouse.org.mw"/>
    <s v="Chipiliro Banda"/>
    <s v="UFC_Queens"/>
    <s v="COE"/>
    <x v="2"/>
    <x v="2"/>
    <s v="COP_24"/>
    <s v="Quarter1"/>
    <x v="2"/>
    <s v="Qtr_2"/>
    <x v="5"/>
    <d v="2025-02-01T00:00:00"/>
    <d v="2025-02-28T00:00:00"/>
    <x v="0"/>
    <n v="170"/>
    <n v="14"/>
    <n v="89"/>
    <n v="35"/>
    <n v="28"/>
    <n v="18"/>
    <n v="164"/>
    <n v="50"/>
    <n v="51"/>
    <n v="6"/>
    <n v="6"/>
    <n v="1"/>
    <n v="46"/>
    <n v="2"/>
    <n v="0"/>
    <n v="0"/>
    <n v="0"/>
    <n v="0"/>
    <n v="50"/>
    <n v="3"/>
    <n v="5"/>
    <n v="1"/>
    <n v="5"/>
    <n v="0"/>
    <n v="159"/>
    <m/>
  </r>
  <r>
    <n v="1545"/>
    <d v="2025-04-23T14:27:32"/>
    <d v="2025-04-23T14:29:42"/>
    <s v="chbanda@lighthouse.org.mw"/>
    <s v="Chipiliro Banda"/>
    <s v="UFC_Queens"/>
    <s v="COE"/>
    <x v="2"/>
    <x v="2"/>
    <s v="COP_24"/>
    <s v="Quarter1"/>
    <x v="2"/>
    <s v="Qtr_2"/>
    <x v="5"/>
    <d v="2025-02-01T00:00:00"/>
    <d v="2025-02-28T00:00:00"/>
    <x v="5"/>
    <n v="32"/>
    <n v="0"/>
    <n v="22"/>
    <n v="5"/>
    <n v="1"/>
    <n v="4"/>
    <n v="32"/>
    <n v="10"/>
    <n v="10"/>
    <n v="3"/>
    <n v="3"/>
    <n v="0"/>
    <n v="10"/>
    <n v="0"/>
    <n v="0"/>
    <n v="0"/>
    <n v="0"/>
    <n v="0"/>
    <n v="10"/>
    <n v="0"/>
    <n v="0"/>
    <n v="0"/>
    <n v="3"/>
    <n v="0"/>
    <n v="29"/>
    <m/>
  </r>
  <r>
    <n v="1546"/>
    <d v="2025-04-23T14:36:27"/>
    <d v="2025-04-23T14:38:51"/>
    <s v="chbanda@lighthouse.org.mw"/>
    <s v="Chipiliro Banda"/>
    <s v="UFC_Queens"/>
    <s v="COE"/>
    <x v="2"/>
    <x v="2"/>
    <s v="COP_24"/>
    <s v="Quarter1"/>
    <x v="2"/>
    <s v="Qtr_2"/>
    <x v="5"/>
    <d v="2025-02-01T00:00:00"/>
    <d v="2025-02-28T00:00:00"/>
    <x v="4"/>
    <n v="7"/>
    <n v="0"/>
    <n v="4"/>
    <n v="1"/>
    <n v="1"/>
    <n v="1"/>
    <n v="7"/>
    <n v="2"/>
    <n v="2"/>
    <n v="0"/>
    <n v="0"/>
    <n v="0"/>
    <n v="2"/>
    <n v="0"/>
    <n v="0"/>
    <n v="0"/>
    <n v="0"/>
    <n v="0"/>
    <n v="2"/>
    <n v="0"/>
    <n v="0"/>
    <n v="0"/>
    <n v="0"/>
    <n v="0"/>
    <n v="7"/>
    <m/>
  </r>
  <r>
    <n v="1547"/>
    <d v="2025-04-23T14:39:06"/>
    <d v="2025-04-23T14:43:51"/>
    <s v="chbanda@lighthouse.org.mw"/>
    <s v="Chipiliro Banda"/>
    <s v="UFC_Queens"/>
    <s v="COE"/>
    <x v="2"/>
    <x v="2"/>
    <s v="COP_24"/>
    <s v="Quarter1"/>
    <x v="2"/>
    <s v="Qtr_2"/>
    <x v="5"/>
    <d v="2025-02-01T00:00:00"/>
    <d v="2025-02-28T00:00:00"/>
    <x v="2"/>
    <n v="26"/>
    <n v="0"/>
    <n v="22"/>
    <n v="1"/>
    <n v="2"/>
    <n v="1"/>
    <n v="26"/>
    <n v="5"/>
    <n v="5"/>
    <n v="1"/>
    <n v="0"/>
    <n v="0"/>
    <n v="5"/>
    <n v="0"/>
    <n v="0"/>
    <n v="0"/>
    <n v="0"/>
    <n v="0"/>
    <n v="0"/>
    <n v="0"/>
    <n v="0"/>
    <n v="0"/>
    <n v="0"/>
    <n v="0"/>
    <n v="0"/>
    <m/>
  </r>
  <r>
    <n v="1548"/>
    <d v="2025-04-23T14:44:27"/>
    <d v="2025-04-23T14:48:10"/>
    <s v="chbanda@lighthouse.org.mw"/>
    <s v="Chipiliro Banda"/>
    <s v="UFC_Queens"/>
    <s v="COE"/>
    <x v="2"/>
    <x v="2"/>
    <s v="COP_24"/>
    <s v="Quarter1"/>
    <x v="2"/>
    <s v="Qtr_2"/>
    <x v="4"/>
    <d v="2025-01-01T00:00:00"/>
    <d v="2025-01-31T00:00:00"/>
    <x v="0"/>
    <n v="247"/>
    <n v="7"/>
    <n v="161"/>
    <n v="44"/>
    <n v="29"/>
    <n v="13"/>
    <n v="233"/>
    <n v="71"/>
    <n v="93"/>
    <n v="5"/>
    <n v="4"/>
    <n v="3"/>
    <n v="74"/>
    <n v="3"/>
    <n v="0"/>
    <n v="0"/>
    <n v="0"/>
    <n v="0"/>
    <n v="74"/>
    <n v="3"/>
    <n v="6"/>
    <n v="3"/>
    <n v="2"/>
    <n v="2"/>
    <n v="234"/>
    <m/>
  </r>
  <r>
    <n v="1549"/>
    <d v="2025-04-23T14:48:19"/>
    <d v="2025-04-23T14:50:36"/>
    <s v="chbanda@lighthouse.org.mw"/>
    <s v="Chipiliro Banda"/>
    <s v="UFC_Queens"/>
    <s v="COE"/>
    <x v="2"/>
    <x v="2"/>
    <s v="COP_24"/>
    <s v="Quarter1"/>
    <x v="2"/>
    <s v="Qtr_2"/>
    <x v="4"/>
    <d v="2025-01-01T00:00:00"/>
    <d v="2025-01-31T00:00:00"/>
    <x v="4"/>
    <n v="7"/>
    <n v="0"/>
    <n v="4"/>
    <n v="1"/>
    <n v="1"/>
    <n v="1"/>
    <n v="7"/>
    <n v="2"/>
    <n v="2"/>
    <n v="0"/>
    <n v="0"/>
    <n v="0"/>
    <n v="2"/>
    <n v="0"/>
    <n v="0"/>
    <n v="0"/>
    <n v="0"/>
    <n v="0"/>
    <n v="0"/>
    <n v="0"/>
    <n v="0"/>
    <n v="0"/>
    <n v="0"/>
    <n v="0"/>
    <n v="0"/>
    <m/>
  </r>
  <r>
    <n v="1550"/>
    <d v="2025-04-23T14:50:54"/>
    <d v="2025-04-23T14:53:49"/>
    <s v="chbanda@lighthouse.org.mw"/>
    <s v="Chipiliro Banda"/>
    <s v="UFC_Queens"/>
    <s v="COE"/>
    <x v="2"/>
    <x v="2"/>
    <s v="COP_24"/>
    <s v="Quarter1"/>
    <x v="2"/>
    <s v="Qtr_2"/>
    <x v="4"/>
    <d v="2025-01-01T00:00:00"/>
    <d v="2025-01-31T00:00:00"/>
    <x v="3"/>
    <n v="8"/>
    <n v="0"/>
    <n v="5"/>
    <n v="0"/>
    <n v="2"/>
    <n v="1"/>
    <n v="0"/>
    <n v="0"/>
    <n v="8"/>
    <n v="0"/>
    <n v="0"/>
    <n v="0"/>
    <n v="4"/>
    <n v="1"/>
    <n v="0"/>
    <n v="0"/>
    <n v="0"/>
    <n v="0"/>
    <n v="0"/>
    <n v="0"/>
    <n v="1"/>
    <n v="0"/>
    <n v="0"/>
    <n v="0"/>
    <n v="0"/>
    <m/>
  </r>
  <r>
    <n v="1551"/>
    <d v="2025-04-23T15:08:35"/>
    <d v="2025-04-23T15:11:02"/>
    <s v="chbanda@lighthouse.org.mw"/>
    <s v="Chipiliro Banda"/>
    <s v="UFC_Queens"/>
    <s v="COE"/>
    <x v="2"/>
    <x v="2"/>
    <s v="COP_24"/>
    <s v="Quarter1"/>
    <x v="2"/>
    <s v="Qtr_2"/>
    <x v="4"/>
    <d v="2025-01-01T00:00:00"/>
    <d v="2025-01-31T00:00:00"/>
    <x v="2"/>
    <n v="44"/>
    <n v="0"/>
    <n v="34"/>
    <n v="5"/>
    <n v="3"/>
    <n v="2"/>
    <n v="44"/>
    <n v="9"/>
    <n v="9"/>
    <n v="2"/>
    <n v="2"/>
    <n v="1"/>
    <n v="9"/>
    <n v="1"/>
    <n v="0"/>
    <n v="0"/>
    <n v="0"/>
    <n v="0"/>
    <n v="8"/>
    <n v="1"/>
    <n v="2"/>
    <n v="1"/>
    <n v="1"/>
    <n v="0"/>
    <n v="40"/>
    <m/>
  </r>
  <r>
    <n v="1552"/>
    <d v="2025-04-25T15:31:39"/>
    <d v="2025-04-25T15:36:23"/>
    <s v="chbanda@lighthouse.org.mw"/>
    <s v="Chipiliro Banda"/>
    <s v="UFC_Queens"/>
    <s v="COE"/>
    <x v="2"/>
    <x v="2"/>
    <s v="COP_24"/>
    <s v="Quarter1"/>
    <x v="2"/>
    <s v="Qtr_2"/>
    <x v="3"/>
    <d v="2025-03-01T00:00:00"/>
    <d v="2025-03-31T00:00:00"/>
    <x v="0"/>
    <n v="429"/>
    <n v="151"/>
    <n v="204"/>
    <n v="89"/>
    <n v="96"/>
    <n v="40"/>
    <n v="423"/>
    <n v="122"/>
    <n v="116"/>
    <n v="6"/>
    <n v="6"/>
    <n v="2"/>
    <n v="111"/>
    <n v="6"/>
    <n v="0"/>
    <n v="0"/>
    <n v="0"/>
    <n v="0"/>
    <n v="0"/>
    <n v="0"/>
    <n v="2"/>
    <n v="2"/>
    <n v="4"/>
    <n v="0"/>
    <n v="421"/>
    <m/>
  </r>
  <r>
    <n v="1560"/>
    <d v="2025-05-05T09:35:02"/>
    <d v="2025-05-05T09:40:48"/>
    <s v="chbanda@lighthouse.org.mw"/>
    <s v="Chipiliro Banda"/>
    <s v="UFC_Queens"/>
    <s v="COE"/>
    <x v="2"/>
    <x v="2"/>
    <s v="COP_24"/>
    <s v="Quarter1"/>
    <x v="2"/>
    <s v="Qtr_2"/>
    <x v="3"/>
    <d v="2025-03-01T00:00:00"/>
    <d v="2025-03-31T00:00:00"/>
    <x v="5"/>
    <n v="49"/>
    <n v="0"/>
    <n v="32"/>
    <n v="10"/>
    <n v="6"/>
    <n v="1"/>
    <n v="48"/>
    <n v="12"/>
    <n v="13"/>
    <n v="0"/>
    <n v="0"/>
    <n v="0"/>
    <n v="13"/>
    <n v="0"/>
    <n v="0"/>
    <n v="0"/>
    <n v="0"/>
    <n v="0"/>
    <n v="12"/>
    <n v="0"/>
    <n v="0"/>
    <n v="0"/>
    <n v="0"/>
    <n v="0"/>
    <n v="0"/>
    <m/>
  </r>
  <r>
    <n v="1561"/>
    <d v="2025-05-05T09:42:54"/>
    <d v="2025-05-05T10:03:53"/>
    <s v="chbanda@lighthouse.org.mw"/>
    <s v="Chipiliro Banda"/>
    <s v="UFC_Queens"/>
    <s v="COE"/>
    <x v="2"/>
    <x v="2"/>
    <s v="COP_24"/>
    <s v="Quarter1"/>
    <x v="2"/>
    <s v="Qtr_2"/>
    <x v="3"/>
    <d v="2025-03-01T00:00:00"/>
    <d v="2025-03-31T00:00:00"/>
    <x v="4"/>
    <n v="18"/>
    <n v="0"/>
    <n v="9"/>
    <n v="5"/>
    <n v="3"/>
    <n v="1"/>
    <n v="17"/>
    <n v="2"/>
    <n v="18"/>
    <n v="2"/>
    <n v="0"/>
    <n v="0"/>
    <n v="3"/>
    <n v="0"/>
    <n v="0"/>
    <n v="0"/>
    <n v="0"/>
    <n v="0"/>
    <n v="2"/>
    <n v="0"/>
    <n v="0"/>
    <n v="0"/>
    <n v="0"/>
    <n v="0"/>
    <n v="0"/>
    <m/>
  </r>
  <r>
    <n v="1563"/>
    <d v="2025-05-05T11:05:22"/>
    <d v="2025-05-05T11:07:05"/>
    <s v="chbanda@lighthouse.org.mw"/>
    <s v="Chipiliro Banda"/>
    <s v="UFC_Queens"/>
    <s v="COE"/>
    <x v="2"/>
    <x v="2"/>
    <s v="COP_24"/>
    <s v="Quarter1"/>
    <x v="2"/>
    <s v="Qtr_2"/>
    <x v="3"/>
    <d v="2025-03-01T00:00:00"/>
    <d v="2025-03-31T00:00:00"/>
    <x v="3"/>
    <n v="3"/>
    <n v="0"/>
    <n v="1"/>
    <n v="0"/>
    <n v="0"/>
    <n v="2"/>
    <n v="0"/>
    <n v="0"/>
    <n v="3"/>
    <n v="0"/>
    <n v="0"/>
    <n v="0"/>
    <n v="3"/>
    <n v="1"/>
    <n v="0"/>
    <n v="0"/>
    <n v="0"/>
    <n v="0"/>
    <n v="0"/>
    <n v="0"/>
    <n v="1"/>
    <n v="0"/>
    <n v="0"/>
    <n v="0"/>
    <n v="2"/>
    <m/>
  </r>
  <r>
    <n v="1564"/>
    <d v="2025-05-05T11:07:20"/>
    <d v="2025-05-05T11:14:53"/>
    <s v="chbanda@lighthouse.org.mw"/>
    <s v="Chipiliro Banda"/>
    <s v="UFC_Queens"/>
    <s v="COE"/>
    <x v="2"/>
    <x v="2"/>
    <s v="COP_24"/>
    <s v="Quarter1"/>
    <x v="2"/>
    <s v="Qtr_2"/>
    <x v="3"/>
    <d v="2025-03-01T00:00:00"/>
    <d v="2025-03-31T00:00:00"/>
    <x v="2"/>
    <n v="24"/>
    <n v="0"/>
    <n v="14"/>
    <n v="6"/>
    <n v="4"/>
    <n v="0"/>
    <n v="24"/>
    <n v="4"/>
    <n v="4"/>
    <n v="0"/>
    <n v="0"/>
    <n v="0"/>
    <n v="4"/>
    <n v="1"/>
    <n v="0"/>
    <n v="0"/>
    <n v="0"/>
    <n v="0"/>
    <n v="3"/>
    <n v="1"/>
    <n v="2"/>
    <n v="0"/>
    <n v="0"/>
    <n v="0"/>
    <n v="0"/>
    <m/>
  </r>
  <r>
    <n v="1565"/>
    <d v="2025-05-05T11:15:42"/>
    <d v="2025-05-05T11:20:19"/>
    <s v="chbanda@lighthouse.org.mw"/>
    <s v="Chipiliro Banda"/>
    <s v="UFC_Queens"/>
    <s v="COE"/>
    <x v="2"/>
    <x v="2"/>
    <s v="COP_24"/>
    <s v="Quarter1"/>
    <x v="2"/>
    <s v="Qtr_2"/>
    <x v="3"/>
    <d v="2025-03-01T00:00:00"/>
    <d v="2025-03-31T00:00:00"/>
    <x v="1"/>
    <n v="61"/>
    <n v="0"/>
    <n v="40"/>
    <n v="12"/>
    <n v="4"/>
    <n v="5"/>
    <n v="59"/>
    <n v="19"/>
    <n v="19"/>
    <n v="0"/>
    <n v="0"/>
    <n v="0"/>
    <n v="20"/>
    <n v="2"/>
    <n v="0"/>
    <n v="0"/>
    <n v="0"/>
    <n v="0"/>
    <n v="16"/>
    <n v="1"/>
    <n v="3"/>
    <n v="0"/>
    <n v="0"/>
    <n v="0"/>
    <n v="0"/>
    <m/>
  </r>
  <r>
    <n v="1566"/>
    <d v="2025-05-05T12:16:49"/>
    <d v="2025-05-05T12:16:54"/>
    <s v="chbanda@lighthouse.org.mw"/>
    <s v="Chipiliro Banda"/>
    <s v="UFC_Queens"/>
    <s v="COE"/>
    <x v="2"/>
    <x v="2"/>
    <s v="COP_24"/>
    <s v="Quarter1"/>
    <x v="2"/>
    <s v="Qtr_2"/>
    <x v="4"/>
    <d v="2025-01-01T00:00:00"/>
    <d v="2025-01-31T00:00:00"/>
    <x v="6"/>
    <n v="186"/>
    <n v="168"/>
    <n v="16"/>
    <n v="42"/>
    <n v="86"/>
    <n v="42"/>
    <n v="179"/>
    <n v="68"/>
    <n v="71"/>
    <n v="6"/>
    <n v="0"/>
    <n v="0"/>
    <n v="54"/>
    <n v="10"/>
    <n v="0"/>
    <n v="0"/>
    <n v="0"/>
    <n v="0"/>
    <n v="0"/>
    <n v="0"/>
    <n v="10"/>
    <n v="0"/>
    <n v="3"/>
    <n v="16"/>
    <n v="157"/>
    <m/>
  </r>
  <r>
    <n v="1573"/>
    <d v="2025-05-06T10:44:34"/>
    <d v="2025-05-06T10:46:33"/>
    <s v="chbanda@lighthouse.org.mw"/>
    <s v="Chipiliro Banda"/>
    <s v="UFC_Queens"/>
    <s v="COE"/>
    <x v="2"/>
    <x v="2"/>
    <s v="COP_24"/>
    <s v="Quarter1"/>
    <x v="2"/>
    <s v="Qtr_2"/>
    <x v="4"/>
    <d v="2025-01-01T00:00:00"/>
    <d v="2025-01-31T00:00:00"/>
    <x v="1"/>
    <n v="54"/>
    <n v="0"/>
    <n v="28"/>
    <n v="11"/>
    <n v="10"/>
    <n v="5"/>
    <n v="51"/>
    <n v="24"/>
    <n v="26"/>
    <n v="1"/>
    <n v="1"/>
    <n v="1"/>
    <n v="26"/>
    <n v="2"/>
    <n v="0"/>
    <n v="0"/>
    <n v="0"/>
    <n v="0"/>
    <n v="22"/>
    <n v="2"/>
    <n v="4"/>
    <n v="1"/>
    <n v="0"/>
    <n v="0"/>
    <n v="49"/>
    <m/>
  </r>
  <r>
    <n v="1581"/>
    <d v="2025-05-06T14:14:39"/>
    <d v="2025-05-06T14:15:08"/>
    <s v="chbanda@lighthouse.org.mw"/>
    <s v="Chipiliro Banda"/>
    <s v="UFC_Queens"/>
    <s v="COE"/>
    <x v="2"/>
    <x v="2"/>
    <s v="COP_24"/>
    <s v="Quarter1"/>
    <x v="2"/>
    <s v="Qtr_2"/>
    <x v="5"/>
    <d v="2025-02-01T00:00:00"/>
    <d v="2025-02-28T00:00:00"/>
    <x v="1"/>
    <n v="42"/>
    <n v="0"/>
    <n v="23"/>
    <n v="9"/>
    <n v="7"/>
    <n v="3"/>
    <n v="42"/>
    <n v="15"/>
    <n v="15"/>
    <n v="1"/>
    <n v="1"/>
    <n v="0"/>
    <n v="14"/>
    <n v="0"/>
    <n v="0"/>
    <n v="0"/>
    <n v="0"/>
    <n v="0"/>
    <n v="14"/>
    <n v="1"/>
    <n v="0"/>
    <n v="0"/>
    <n v="0"/>
    <n v="0"/>
    <n v="0"/>
    <m/>
  </r>
  <r>
    <n v="1582"/>
    <d v="2025-05-06T16:10:56"/>
    <d v="2025-05-06T16:13:16"/>
    <s v="chbanda@lighthouse.org.mw"/>
    <s v="Chipiliro Banda"/>
    <s v="UFC_Queens"/>
    <s v="COE"/>
    <x v="2"/>
    <x v="2"/>
    <m/>
    <s v="Quarter1"/>
    <x v="2"/>
    <m/>
    <x v="4"/>
    <d v="2025-01-01T00:00:00"/>
    <d v="2025-01-31T00:00:00"/>
    <x v="5"/>
    <n v="95"/>
    <n v="0"/>
    <n v="81"/>
    <n v="8"/>
    <n v="6"/>
    <n v="0"/>
    <n v="92"/>
    <n v="31"/>
    <n v="37"/>
    <n v="1"/>
    <n v="1"/>
    <n v="0"/>
    <n v="35"/>
    <n v="0"/>
    <n v="0"/>
    <n v="0"/>
    <n v="0"/>
    <n v="0"/>
    <n v="24"/>
    <n v="1"/>
    <n v="1"/>
    <n v="0"/>
    <n v="0"/>
    <n v="0"/>
    <n v="94"/>
    <m/>
  </r>
  <r>
    <n v="1597"/>
    <d v="2025-05-07T10:01:24"/>
    <d v="2025-05-07T10:02:13"/>
    <s v="chbanda@lighthouse.org.mw"/>
    <s v="Chipiliro Banda"/>
    <s v="UFC_Queens"/>
    <s v="COE"/>
    <x v="2"/>
    <x v="2"/>
    <m/>
    <s v="Quarter1"/>
    <x v="2"/>
    <m/>
    <x v="5"/>
    <d v="2025-02-01T00:00:00"/>
    <d v="2025-02-28T00:00:00"/>
    <x v="6"/>
    <n v="0"/>
    <n v="0"/>
    <n v="0"/>
    <n v="0"/>
    <n v="0"/>
    <n v="0"/>
    <n v="0"/>
    <n v="0"/>
    <n v="0"/>
    <n v="0"/>
    <n v="0"/>
    <n v="0"/>
    <n v="0"/>
    <n v="0"/>
    <n v="0"/>
    <n v="0"/>
    <n v="0"/>
    <n v="0"/>
    <n v="0"/>
    <n v="0"/>
    <n v="0"/>
    <n v="0"/>
    <n v="0"/>
    <n v="0"/>
    <n v="0"/>
    <m/>
  </r>
  <r>
    <n v="1598"/>
    <d v="2025-05-07T10:02:15"/>
    <d v="2025-05-07T10:02:59"/>
    <s v="chbanda@lighthouse.org.mw"/>
    <s v="Chipiliro Banda"/>
    <s v="UFC_Queens"/>
    <s v="COE"/>
    <x v="2"/>
    <x v="2"/>
    <m/>
    <s v="Quarter1"/>
    <x v="2"/>
    <m/>
    <x v="3"/>
    <d v="2025-03-01T00:00:00"/>
    <d v="2025-03-31T00:00:00"/>
    <x v="6"/>
    <n v="0"/>
    <n v="0"/>
    <n v="0"/>
    <n v="0"/>
    <n v="0"/>
    <n v="0"/>
    <n v="0"/>
    <n v="0"/>
    <n v="0"/>
    <n v="0"/>
    <n v="0"/>
    <n v="0"/>
    <n v="0"/>
    <n v="0"/>
    <n v="0"/>
    <n v="0"/>
    <n v="0"/>
    <n v="0"/>
    <n v="0"/>
    <n v="0"/>
    <n v="0"/>
    <n v="0"/>
    <n v="0"/>
    <n v="0"/>
    <n v="0"/>
    <m/>
  </r>
  <r>
    <n v="1601"/>
    <d v="2025-05-07T12:11:46"/>
    <d v="2025-05-07T12:13:15"/>
    <s v="anhlema@lighthouse.org.mw"/>
    <s v="Angelina Nhlema"/>
    <s v="UFC_Queens"/>
    <s v="COE"/>
    <x v="2"/>
    <x v="2"/>
    <m/>
    <s v="Quarter1"/>
    <x v="2"/>
    <m/>
    <x v="5"/>
    <m/>
    <m/>
    <x v="6"/>
    <n v="0"/>
    <n v="0"/>
    <n v="0"/>
    <n v="0"/>
    <n v="0"/>
    <n v="0"/>
    <n v="0"/>
    <n v="0"/>
    <n v="0"/>
    <n v="0"/>
    <n v="0"/>
    <n v="0"/>
    <n v="0"/>
    <n v="0"/>
    <n v="0"/>
    <n v="0"/>
    <n v="0"/>
    <n v="0"/>
    <n v="0"/>
    <n v="0"/>
    <n v="0"/>
    <n v="0"/>
    <n v="0"/>
    <n v="0"/>
    <n v="0"/>
    <m/>
  </r>
  <r>
    <n v="1602"/>
    <d v="2025-05-07T12:15:00"/>
    <d v="2025-05-07T12:20:34"/>
    <s v="anhlema@lighthouse.org.mw"/>
    <s v="Angelina Nhlema"/>
    <s v="UFC_Queens"/>
    <s v="COE"/>
    <x v="2"/>
    <x v="2"/>
    <m/>
    <s v="Quarter1"/>
    <x v="2"/>
    <m/>
    <x v="3"/>
    <m/>
    <m/>
    <x v="6"/>
    <n v="0"/>
    <n v="0"/>
    <n v="0"/>
    <n v="0"/>
    <n v="0"/>
    <n v="0"/>
    <n v="0"/>
    <n v="0"/>
    <n v="0"/>
    <n v="0"/>
    <n v="0"/>
    <n v="0"/>
    <n v="0"/>
    <n v="0"/>
    <n v="0"/>
    <n v="0"/>
    <n v="0"/>
    <n v="0"/>
    <n v="0"/>
    <n v="0"/>
    <n v="0"/>
    <n v="0"/>
    <n v="0"/>
    <n v="0"/>
    <n v="0"/>
    <m/>
  </r>
  <r>
    <n v="1665"/>
    <d v="2025-06-10T08:31:06"/>
    <d v="2025-06-10T09:02:22"/>
    <s v="chbanda@lighthouse.org.mw"/>
    <s v="Chipiliro Banda"/>
    <s v="UFC_Queens"/>
    <s v="COE"/>
    <x v="2"/>
    <x v="2"/>
    <m/>
    <s v="Quarter2"/>
    <x v="3"/>
    <m/>
    <x v="7"/>
    <d v="2025-04-01T00:00:00"/>
    <d v="2025-04-30T00:00:00"/>
    <x v="0"/>
    <n v="528"/>
    <n v="216"/>
    <n v="315"/>
    <n v="69"/>
    <n v="85"/>
    <n v="59"/>
    <n v="501"/>
    <n v="160"/>
    <n v="186"/>
    <n v="9"/>
    <n v="2"/>
    <n v="0"/>
    <n v="134"/>
    <n v="20"/>
    <n v="0"/>
    <n v="0"/>
    <n v="0"/>
    <n v="0"/>
    <n v="142"/>
    <n v="6"/>
    <n v="27"/>
    <n v="2"/>
    <n v="7"/>
    <n v="29"/>
    <n v="463"/>
    <m/>
  </r>
  <r>
    <n v="1666"/>
    <d v="2025-06-10T09:03:04"/>
    <d v="2025-06-10T09:06:18"/>
    <s v="chbanda@lighthouse.org.mw"/>
    <s v="Chipiliro Banda"/>
    <s v="UFC_Queens"/>
    <s v="COE"/>
    <x v="2"/>
    <x v="2"/>
    <m/>
    <s v="Quarter2"/>
    <x v="3"/>
    <m/>
    <x v="7"/>
    <d v="2025-04-01T00:00:00"/>
    <d v="2025-04-30T00:00:00"/>
    <x v="6"/>
    <n v="116"/>
    <n v="112"/>
    <n v="12"/>
    <n v="15"/>
    <n v="51"/>
    <n v="38"/>
    <n v="107"/>
    <n v="40"/>
    <n v="44"/>
    <n v="4"/>
    <n v="0"/>
    <n v="0"/>
    <n v="24"/>
    <n v="6"/>
    <n v="0"/>
    <n v="0"/>
    <n v="0"/>
    <n v="0"/>
    <n v="0"/>
    <n v="0"/>
    <n v="7"/>
    <n v="2"/>
    <n v="2"/>
    <n v="29"/>
    <n v="76"/>
    <m/>
  </r>
  <r>
    <n v="1667"/>
    <d v="2025-06-10T09:34:58"/>
    <d v="2025-06-10T09:35:13"/>
    <s v="chbanda@lighthouse.org.mw"/>
    <s v="Chipiliro Banda"/>
    <s v="UFC_Queens"/>
    <s v="COE"/>
    <x v="2"/>
    <x v="2"/>
    <m/>
    <s v="Quarter2"/>
    <x v="3"/>
    <m/>
    <x v="7"/>
    <d v="2025-04-01T00:00:00"/>
    <d v="2025-04-30T00:00:00"/>
    <x v="4"/>
    <n v="11"/>
    <n v="0"/>
    <n v="8"/>
    <n v="3"/>
    <n v="0"/>
    <n v="0"/>
    <n v="11"/>
    <n v="1"/>
    <n v="1"/>
    <n v="0"/>
    <n v="0"/>
    <n v="0"/>
    <n v="1"/>
    <n v="0"/>
    <n v="0"/>
    <n v="0"/>
    <n v="0"/>
    <n v="0"/>
    <n v="1"/>
    <n v="0"/>
    <n v="0"/>
    <n v="0"/>
    <n v="0"/>
    <n v="0"/>
    <n v="11"/>
    <m/>
  </r>
  <r>
    <n v="1668"/>
    <d v="2025-06-10T09:37:00"/>
    <d v="2025-06-10T09:41:57"/>
    <s v="chbanda@lighthouse.org.mw"/>
    <s v="Chipiliro Banda"/>
    <s v="UFC_Queens"/>
    <s v="COE"/>
    <x v="2"/>
    <x v="2"/>
    <m/>
    <s v="Quarter2"/>
    <x v="3"/>
    <m/>
    <x v="7"/>
    <d v="2025-04-01T00:00:00"/>
    <d v="2025-04-30T00:00:00"/>
    <x v="3"/>
    <n v="13"/>
    <n v="0"/>
    <n v="8"/>
    <n v="2"/>
    <n v="1"/>
    <n v="2"/>
    <n v="0"/>
    <n v="0"/>
    <n v="12"/>
    <n v="0"/>
    <n v="0"/>
    <n v="0"/>
    <n v="11"/>
    <n v="0"/>
    <n v="0"/>
    <n v="0"/>
    <n v="0"/>
    <n v="0"/>
    <n v="0"/>
    <n v="0"/>
    <n v="1"/>
    <n v="0"/>
    <n v="0"/>
    <n v="0"/>
    <n v="12"/>
    <m/>
  </r>
  <r>
    <n v="1669"/>
    <d v="2025-06-10T09:42:17"/>
    <d v="2025-06-10T09:44:44"/>
    <s v="chbanda@lighthouse.org.mw"/>
    <s v="Chipiliro Banda"/>
    <s v="UFC_Queens"/>
    <s v="COE"/>
    <x v="2"/>
    <x v="2"/>
    <m/>
    <s v="Quarter2"/>
    <x v="3"/>
    <m/>
    <x v="7"/>
    <d v="2025-04-01T00:00:00"/>
    <d v="2025-04-30T00:00:00"/>
    <x v="2"/>
    <n v="35"/>
    <n v="0"/>
    <n v="30"/>
    <n v="1"/>
    <n v="4"/>
    <n v="0"/>
    <n v="34"/>
    <n v="6"/>
    <n v="6"/>
    <n v="0"/>
    <n v="0"/>
    <n v="0"/>
    <n v="6"/>
    <n v="0"/>
    <n v="0"/>
    <n v="0"/>
    <n v="0"/>
    <n v="0"/>
    <n v="6"/>
    <n v="0"/>
    <n v="1"/>
    <n v="0"/>
    <n v="0"/>
    <n v="0"/>
    <n v="34"/>
    <m/>
  </r>
  <r>
    <n v="1670"/>
    <d v="2025-06-10T09:44:58"/>
    <d v="2025-06-10T09:48:13"/>
    <s v="chbanda@lighthouse.org.mw"/>
    <s v="Chipiliro Banda"/>
    <s v="UFC_Queens"/>
    <s v="COE"/>
    <x v="2"/>
    <x v="2"/>
    <m/>
    <s v="Quarter2"/>
    <x v="3"/>
    <m/>
    <x v="7"/>
    <d v="2025-04-01T00:00:00"/>
    <d v="2025-04-30T00:00:00"/>
    <x v="5"/>
    <n v="94"/>
    <n v="0"/>
    <n v="69"/>
    <n v="7"/>
    <n v="4"/>
    <n v="2"/>
    <n v="68"/>
    <n v="16"/>
    <n v="20"/>
    <n v="1"/>
    <n v="0"/>
    <n v="0"/>
    <n v="16"/>
    <n v="0"/>
    <n v="0"/>
    <n v="0"/>
    <n v="0"/>
    <n v="0"/>
    <n v="14"/>
    <n v="1"/>
    <n v="1"/>
    <n v="0"/>
    <n v="0"/>
    <n v="0"/>
    <n v="81"/>
    <m/>
  </r>
  <r>
    <n v="1677"/>
    <d v="2025-06-17T08:44:39"/>
    <d v="2025-06-17T08:48:59"/>
    <s v="chbanda@lighthouse.org.mw"/>
    <s v="Chipiliro Banda"/>
    <s v="UFC_Queens"/>
    <s v="COE"/>
    <x v="2"/>
    <x v="2"/>
    <m/>
    <s v="Quarter2"/>
    <x v="3"/>
    <m/>
    <x v="7"/>
    <d v="2025-04-01T00:00:00"/>
    <d v="2025-04-30T00:00:00"/>
    <x v="1"/>
    <n v="88"/>
    <n v="4"/>
    <n v="59"/>
    <n v="15"/>
    <n v="5"/>
    <n v="2"/>
    <n v="77"/>
    <n v="31"/>
    <n v="35"/>
    <n v="1"/>
    <n v="1"/>
    <n v="0"/>
    <n v="35"/>
    <n v="4"/>
    <n v="0"/>
    <n v="0"/>
    <n v="0"/>
    <n v="0"/>
    <n v="33"/>
    <n v="4"/>
    <n v="8"/>
    <n v="0"/>
    <n v="1"/>
    <n v="0"/>
    <n v="72"/>
    <m/>
  </r>
  <r>
    <n v="1678"/>
    <d v="2025-06-17T08:51:44"/>
    <d v="2025-06-17T09:00:18"/>
    <s v="chbanda@lighthouse.org.mw"/>
    <s v="Chipiliro Banda"/>
    <s v="UFC_Queens"/>
    <s v="COE"/>
    <x v="2"/>
    <x v="2"/>
    <m/>
    <s v="Quarter2"/>
    <x v="3"/>
    <m/>
    <x v="6"/>
    <d v="2025-05-01T00:00:00"/>
    <d v="2025-05-31T00:00:00"/>
    <x v="6"/>
    <n v="182"/>
    <n v="136"/>
    <n v="31"/>
    <n v="44"/>
    <n v="49"/>
    <n v="58"/>
    <n v="174"/>
    <n v="70"/>
    <n v="0"/>
    <n v="0"/>
    <n v="0"/>
    <n v="0"/>
    <n v="22"/>
    <n v="2"/>
    <n v="0"/>
    <n v="0"/>
    <n v="0"/>
    <n v="0"/>
    <n v="0"/>
    <n v="0"/>
    <n v="5"/>
    <n v="0"/>
    <n v="0"/>
    <n v="8"/>
    <n v="169"/>
    <m/>
  </r>
  <r>
    <n v="1679"/>
    <d v="2025-06-17T09:11:34"/>
    <d v="2025-06-17T09:14:07"/>
    <s v="chbanda@lighthouse.org.mw"/>
    <s v="Chipiliro Banda"/>
    <s v="UFC_Queens"/>
    <s v="COE"/>
    <x v="2"/>
    <x v="2"/>
    <m/>
    <s v="Quarter2"/>
    <x v="3"/>
    <m/>
    <x v="6"/>
    <d v="2025-05-01T00:00:00"/>
    <d v="2025-05-31T00:00:00"/>
    <x v="3"/>
    <n v="7"/>
    <n v="0"/>
    <n v="2"/>
    <n v="1"/>
    <n v="2"/>
    <n v="2"/>
    <n v="0"/>
    <n v="0"/>
    <n v="7"/>
    <n v="1"/>
    <n v="0"/>
    <n v="0"/>
    <n v="4"/>
    <n v="0"/>
    <n v="0"/>
    <n v="0"/>
    <n v="0"/>
    <n v="0"/>
    <n v="0"/>
    <n v="0"/>
    <n v="0"/>
    <n v="0"/>
    <n v="1"/>
    <n v="0"/>
    <n v="6"/>
    <m/>
  </r>
  <r>
    <n v="1680"/>
    <d v="2025-06-17T11:02:30"/>
    <d v="2025-06-17T11:02:36"/>
    <s v="chbanda@lighthouse.org.mw"/>
    <s v="Chipiliro Banda"/>
    <s v="UFC_Queens"/>
    <s v="COE"/>
    <x v="2"/>
    <x v="2"/>
    <m/>
    <s v="Quarter2"/>
    <x v="3"/>
    <m/>
    <x v="6"/>
    <d v="2025-05-01T00:00:00"/>
    <d v="2025-05-31T00:00:00"/>
    <x v="4"/>
    <n v="13"/>
    <n v="0"/>
    <n v="12"/>
    <n v="1"/>
    <n v="0"/>
    <n v="0"/>
    <n v="13"/>
    <n v="2"/>
    <n v="2"/>
    <n v="0"/>
    <n v="0"/>
    <n v="0"/>
    <n v="2"/>
    <n v="0"/>
    <n v="0"/>
    <n v="0"/>
    <n v="0"/>
    <n v="0"/>
    <n v="2"/>
    <n v="0"/>
    <n v="0"/>
    <n v="0"/>
    <n v="0"/>
    <n v="0"/>
    <n v="13"/>
    <m/>
  </r>
  <r>
    <n v="1681"/>
    <d v="2025-06-17T11:04:09"/>
    <d v="2025-06-17T11:08:46"/>
    <s v="chbanda@lighthouse.org.mw"/>
    <s v="Chipiliro Banda"/>
    <s v="UFC_Queens"/>
    <s v="COE"/>
    <x v="2"/>
    <x v="2"/>
    <m/>
    <s v="Quarter2"/>
    <x v="3"/>
    <m/>
    <x v="6"/>
    <d v="2025-05-01T00:00:00"/>
    <d v="2025-05-31T00:00:00"/>
    <x v="2"/>
    <n v="69"/>
    <n v="0"/>
    <n v="30"/>
    <n v="4"/>
    <n v="2"/>
    <n v="0"/>
    <n v="35"/>
    <n v="2"/>
    <n v="3"/>
    <n v="0"/>
    <n v="0"/>
    <n v="0"/>
    <n v="3"/>
    <n v="0"/>
    <n v="0"/>
    <n v="0"/>
    <n v="0"/>
    <n v="0"/>
    <n v="2"/>
    <n v="0"/>
    <n v="0"/>
    <n v="0"/>
    <n v="0"/>
    <n v="0"/>
    <n v="36"/>
    <m/>
  </r>
  <r>
    <n v="1682"/>
    <d v="2025-06-17T13:11:20"/>
    <d v="2025-06-17T13:11:25"/>
    <s v="chbanda@lighthouse.org.mw"/>
    <s v="Chipiliro Banda"/>
    <s v="UFC_Queens"/>
    <s v="COE"/>
    <x v="2"/>
    <x v="2"/>
    <m/>
    <s v="Quarter2"/>
    <x v="3"/>
    <m/>
    <x v="6"/>
    <d v="2025-05-01T00:00:00"/>
    <d v="2025-05-31T00:00:00"/>
    <x v="5"/>
    <n v="88"/>
    <n v="0"/>
    <n v="62"/>
    <n v="3"/>
    <n v="6"/>
    <n v="1"/>
    <n v="71"/>
    <n v="24"/>
    <n v="22"/>
    <n v="0"/>
    <n v="0"/>
    <n v="0"/>
    <n v="23"/>
    <n v="2"/>
    <n v="0"/>
    <n v="0"/>
    <n v="0"/>
    <n v="0"/>
    <n v="20"/>
    <n v="1"/>
    <n v="3"/>
    <n v="0"/>
    <n v="0"/>
    <n v="0"/>
    <n v="69"/>
    <m/>
  </r>
  <r>
    <n v="1684"/>
    <d v="2025-06-17T14:01:12"/>
    <d v="2025-06-17T14:03:57"/>
    <s v="chbanda@lighthouse.org.mw"/>
    <s v="Chipiliro Banda"/>
    <s v="UFC_Queens"/>
    <s v="COE"/>
    <x v="2"/>
    <x v="2"/>
    <m/>
    <s v="Quarter2"/>
    <x v="3"/>
    <m/>
    <x v="6"/>
    <d v="2025-05-01T00:00:00"/>
    <d v="2025-05-31T00:00:00"/>
    <x v="0"/>
    <n v="471"/>
    <n v="173"/>
    <n v="236"/>
    <n v="74"/>
    <n v="85"/>
    <n v="76"/>
    <n v="449"/>
    <n v="147"/>
    <n v="86"/>
    <n v="5"/>
    <n v="1"/>
    <n v="0"/>
    <n v="106"/>
    <n v="8"/>
    <n v="0"/>
    <n v="0"/>
    <n v="0"/>
    <n v="0"/>
    <n v="54"/>
    <n v="2"/>
    <n v="14"/>
    <n v="0"/>
    <n v="1"/>
    <n v="9"/>
    <n v="447"/>
    <m/>
  </r>
  <r>
    <n v="1685"/>
    <d v="2025-06-17T14:24:27"/>
    <d v="2025-06-17T14:24:33"/>
    <s v="chbanda@lighthouse.org.mw"/>
    <s v="Chipiliro Banda"/>
    <s v="UFC_Queens"/>
    <s v="COE"/>
    <x v="2"/>
    <x v="2"/>
    <m/>
    <s v="Quarter2"/>
    <x v="3"/>
    <m/>
    <x v="6"/>
    <d v="2025-05-01T00:00:00"/>
    <d v="2025-05-31T00:00:00"/>
    <x v="1"/>
    <n v="93"/>
    <n v="0"/>
    <n v="47"/>
    <n v="23"/>
    <n v="20"/>
    <n v="9"/>
    <n v="93"/>
    <n v="46"/>
    <n v="51"/>
    <n v="3"/>
    <n v="1"/>
    <n v="0"/>
    <n v="37"/>
    <n v="3"/>
    <n v="0"/>
    <n v="0"/>
    <n v="0"/>
    <n v="0"/>
    <n v="0"/>
    <n v="0"/>
    <n v="5"/>
    <n v="0"/>
    <n v="3"/>
    <n v="0"/>
    <n v="91"/>
    <m/>
  </r>
  <r>
    <n v="1777"/>
    <d v="2025-07-09T14:41:02"/>
    <d v="2025-07-09T14:44:40"/>
    <s v="chbanda@lighthouse.org.mw"/>
    <s v="Chipiliro Banda"/>
    <s v="UFC_Queens"/>
    <s v="COE"/>
    <x v="2"/>
    <x v="2"/>
    <m/>
    <s v="Quarter2"/>
    <x v="3"/>
    <m/>
    <x v="8"/>
    <d v="2025-06-01T00:00:00"/>
    <d v="2025-06-30T00:00:00"/>
    <x v="6"/>
    <n v="163"/>
    <n v="136"/>
    <n v="16"/>
    <n v="33"/>
    <n v="56"/>
    <n v="58"/>
    <n v="156"/>
    <n v="58"/>
    <n v="62"/>
    <n v="2"/>
    <n v="0"/>
    <n v="0"/>
    <n v="43"/>
    <n v="10"/>
    <n v="0"/>
    <n v="0"/>
    <n v="0"/>
    <n v="0"/>
    <n v="0"/>
    <n v="0"/>
    <n v="6"/>
    <n v="0"/>
    <n v="1"/>
    <n v="21"/>
    <n v="135"/>
    <m/>
  </r>
  <r>
    <n v="1805"/>
    <d v="2025-07-14T12:37:58"/>
    <d v="2025-07-14T12:59:36"/>
    <s v="tsatumba@lighthouse.org.mw"/>
    <s v="Thomas Satumba"/>
    <s v="KCH_OPD1"/>
    <s v="Prototype"/>
    <x v="2"/>
    <x v="2"/>
    <m/>
    <s v="Quarter2"/>
    <x v="3"/>
    <m/>
    <x v="7"/>
    <d v="2025-04-01T00:00:00"/>
    <d v="2025-04-30T00:00:00"/>
    <x v="1"/>
    <n v="5"/>
    <n v="0"/>
    <n v="4"/>
    <n v="0"/>
    <n v="0"/>
    <n v="0"/>
    <n v="4"/>
    <n v="1"/>
    <n v="1"/>
    <n v="0"/>
    <n v="0"/>
    <n v="0"/>
    <n v="0"/>
    <n v="0"/>
    <n v="0"/>
    <n v="0"/>
    <n v="0"/>
    <n v="0"/>
    <n v="0"/>
    <n v="0"/>
    <n v="0"/>
    <n v="0"/>
    <n v="0"/>
    <n v="0"/>
    <n v="0"/>
    <m/>
  </r>
  <r>
    <n v="1806"/>
    <d v="2025-07-14T12:59:41"/>
    <d v="2025-07-14T13:01:28"/>
    <s v="tsatumba@lighthouse.org.mw"/>
    <s v="Thomas Satumba"/>
    <s v="KCH_OPD1"/>
    <s v="Prototype"/>
    <x v="2"/>
    <x v="2"/>
    <m/>
    <s v="Quarter2"/>
    <x v="3"/>
    <m/>
    <x v="7"/>
    <d v="2025-04-01T00:00:00"/>
    <d v="2025-04-30T00:00:00"/>
    <x v="3"/>
    <n v="0"/>
    <n v="0"/>
    <n v="0"/>
    <n v="0"/>
    <n v="0"/>
    <n v="0"/>
    <n v="0"/>
    <n v="0"/>
    <n v="0"/>
    <n v="0"/>
    <n v="0"/>
    <n v="0"/>
    <n v="0"/>
    <n v="0"/>
    <n v="0"/>
    <n v="0"/>
    <n v="0"/>
    <n v="0"/>
    <n v="0"/>
    <n v="0"/>
    <n v="0"/>
    <n v="0"/>
    <n v="0"/>
    <n v="0"/>
    <n v="0"/>
    <m/>
  </r>
  <r>
    <n v="1807"/>
    <d v="2025-07-14T13:01:30"/>
    <d v="2025-07-14T13:02:42"/>
    <s v="tsatumba@lighthouse.org.mw"/>
    <s v="Thomas Satumba"/>
    <s v="KCH_OPD1"/>
    <s v="Prototype"/>
    <x v="2"/>
    <x v="2"/>
    <m/>
    <s v="Quarter2"/>
    <x v="3"/>
    <m/>
    <x v="7"/>
    <d v="2025-04-01T00:00:00"/>
    <d v="2025-04-30T00:00:00"/>
    <x v="4"/>
    <n v="0"/>
    <n v="0"/>
    <n v="0"/>
    <n v="0"/>
    <n v="0"/>
    <n v="0"/>
    <n v="0"/>
    <n v="0"/>
    <n v="0"/>
    <n v="0"/>
    <n v="0"/>
    <n v="0"/>
    <n v="0"/>
    <n v="0"/>
    <n v="0"/>
    <n v="0"/>
    <n v="0"/>
    <n v="0"/>
    <n v="0"/>
    <n v="0"/>
    <n v="0"/>
    <n v="0"/>
    <n v="0"/>
    <n v="0"/>
    <n v="0"/>
    <m/>
  </r>
  <r>
    <n v="1808"/>
    <d v="2025-07-14T13:02:45"/>
    <d v="2025-07-14T13:04:57"/>
    <s v="tsatumba@lighthouse.org.mw"/>
    <s v="Thomas Satumba"/>
    <s v="KCH_OPD1"/>
    <s v="Prototype"/>
    <x v="2"/>
    <x v="2"/>
    <m/>
    <s v="Quarter2"/>
    <x v="3"/>
    <m/>
    <x v="7"/>
    <d v="2025-04-01T00:00:00"/>
    <d v="2025-04-30T00:00:00"/>
    <x v="2"/>
    <n v="0"/>
    <n v="0"/>
    <n v="0"/>
    <n v="0"/>
    <n v="0"/>
    <n v="0"/>
    <n v="0"/>
    <n v="0"/>
    <n v="0"/>
    <n v="0"/>
    <n v="0"/>
    <n v="0"/>
    <n v="0"/>
    <n v="0"/>
    <n v="0"/>
    <n v="0"/>
    <n v="0"/>
    <n v="0"/>
    <n v="0"/>
    <n v="0"/>
    <n v="0"/>
    <n v="0"/>
    <n v="0"/>
    <n v="0"/>
    <n v="0"/>
    <m/>
  </r>
  <r>
    <n v="1809"/>
    <d v="2025-07-14T13:05:01"/>
    <d v="2025-07-14T13:07:16"/>
    <s v="tsatumba@lighthouse.org.mw"/>
    <s v="Thomas Satumba"/>
    <s v="KCH_OPD1"/>
    <s v="Prototype"/>
    <x v="2"/>
    <x v="2"/>
    <m/>
    <s v="Quarter2"/>
    <x v="3"/>
    <m/>
    <x v="7"/>
    <d v="2025-04-01T00:00:00"/>
    <d v="2025-04-30T00:00:00"/>
    <x v="6"/>
    <n v="0"/>
    <n v="0"/>
    <n v="0"/>
    <n v="0"/>
    <n v="0"/>
    <n v="0"/>
    <n v="0"/>
    <n v="0"/>
    <n v="0"/>
    <n v="0"/>
    <n v="0"/>
    <n v="0"/>
    <n v="0"/>
    <n v="0"/>
    <n v="0"/>
    <n v="0"/>
    <n v="0"/>
    <n v="0"/>
    <n v="0"/>
    <n v="0"/>
    <n v="0"/>
    <n v="0"/>
    <n v="0"/>
    <n v="0"/>
    <n v="0"/>
    <m/>
  </r>
  <r>
    <n v="1810"/>
    <d v="2025-07-14T13:07:22"/>
    <d v="2025-07-14T13:12:22"/>
    <s v="tsatumba@lighthouse.org.mw"/>
    <s v="Thomas Satumba"/>
    <s v="KCH_OPD1"/>
    <s v="Prototype"/>
    <x v="2"/>
    <x v="2"/>
    <m/>
    <s v="Quarter2"/>
    <x v="3"/>
    <m/>
    <x v="7"/>
    <d v="2025-04-01T00:00:00"/>
    <d v="2025-04-30T00:00:00"/>
    <x v="0"/>
    <n v="5"/>
    <n v="1"/>
    <n v="4"/>
    <n v="0"/>
    <n v="0"/>
    <n v="1"/>
    <n v="5"/>
    <n v="2"/>
    <n v="2"/>
    <n v="0"/>
    <n v="0"/>
    <n v="0"/>
    <n v="2"/>
    <n v="1"/>
    <n v="0"/>
    <n v="0"/>
    <n v="0"/>
    <n v="0"/>
    <n v="1"/>
    <n v="0"/>
    <n v="1"/>
    <n v="0"/>
    <n v="0"/>
    <n v="0"/>
    <n v="0"/>
    <m/>
  </r>
  <r>
    <n v="1811"/>
    <d v="2025-07-14T13:14:09"/>
    <d v="2025-07-14T13:16:51"/>
    <s v="tsatumba@lighthouse.org.mw"/>
    <s v="Thomas Satumba"/>
    <s v="KCH_OPD1"/>
    <s v="Prototype"/>
    <x v="2"/>
    <x v="2"/>
    <m/>
    <s v="Quarter2"/>
    <x v="3"/>
    <m/>
    <x v="6"/>
    <d v="2025-05-01T00:00:00"/>
    <d v="2025-05-31T00:00:00"/>
    <x v="1"/>
    <n v="12"/>
    <n v="1"/>
    <n v="2"/>
    <n v="0"/>
    <n v="4"/>
    <n v="0"/>
    <n v="6"/>
    <n v="3"/>
    <n v="3"/>
    <n v="1"/>
    <n v="1"/>
    <n v="1"/>
    <n v="3"/>
    <n v="0"/>
    <n v="0"/>
    <n v="0"/>
    <n v="0"/>
    <n v="0"/>
    <n v="1"/>
    <n v="0"/>
    <n v="0"/>
    <n v="1"/>
    <n v="0"/>
    <n v="0"/>
    <n v="0"/>
    <m/>
  </r>
  <r>
    <n v="1812"/>
    <d v="2025-07-14T13:21:09"/>
    <d v="2025-07-14T13:22:32"/>
    <s v="tsatumba@lighthouse.org.mw"/>
    <s v="Thomas Satumba"/>
    <s v="KCH_OPD1"/>
    <s v="Prototype"/>
    <x v="2"/>
    <x v="2"/>
    <m/>
    <s v="Quarter2"/>
    <x v="3"/>
    <m/>
    <x v="6"/>
    <d v="2025-05-01T00:00:00"/>
    <d v="2025-05-31T00:00:00"/>
    <x v="3"/>
    <n v="0"/>
    <n v="0"/>
    <n v="0"/>
    <n v="0"/>
    <n v="0"/>
    <n v="0"/>
    <n v="0"/>
    <n v="0"/>
    <n v="0"/>
    <n v="0"/>
    <n v="0"/>
    <n v="0"/>
    <n v="0"/>
    <n v="0"/>
    <n v="0"/>
    <n v="0"/>
    <n v="0"/>
    <n v="0"/>
    <n v="0"/>
    <n v="0"/>
    <n v="0"/>
    <n v="0"/>
    <n v="0"/>
    <n v="0"/>
    <n v="0"/>
    <m/>
  </r>
  <r>
    <n v="1813"/>
    <d v="2025-07-14T13:22:35"/>
    <d v="2025-07-14T13:23:40"/>
    <s v="tsatumba@lighthouse.org.mw"/>
    <s v="Thomas Satumba"/>
    <s v="KCH_OPD1"/>
    <s v="Prototype"/>
    <x v="2"/>
    <x v="2"/>
    <m/>
    <s v="Quarter2"/>
    <x v="3"/>
    <m/>
    <x v="6"/>
    <d v="2025-05-01T00:00:00"/>
    <d v="2025-05-31T00:00:00"/>
    <x v="4"/>
    <n v="0"/>
    <n v="0"/>
    <n v="0"/>
    <n v="0"/>
    <n v="0"/>
    <n v="0"/>
    <n v="0"/>
    <n v="0"/>
    <n v="0"/>
    <n v="0"/>
    <n v="0"/>
    <n v="0"/>
    <n v="0"/>
    <n v="0"/>
    <n v="0"/>
    <n v="0"/>
    <n v="0"/>
    <n v="0"/>
    <n v="0"/>
    <n v="0"/>
    <n v="0"/>
    <n v="0"/>
    <n v="0"/>
    <n v="0"/>
    <n v="0"/>
    <m/>
  </r>
  <r>
    <n v="1814"/>
    <d v="2025-07-14T13:23:46"/>
    <d v="2025-07-14T13:25:05"/>
    <s v="tsatumba@lighthouse.org.mw"/>
    <s v="Thomas Satumba"/>
    <s v="KCH_OPD1"/>
    <s v="Prototype"/>
    <x v="2"/>
    <x v="2"/>
    <m/>
    <s v="Quarter2"/>
    <x v="3"/>
    <m/>
    <x v="6"/>
    <d v="2025-05-01T00:00:00"/>
    <d v="2025-05-31T00:00:00"/>
    <x v="5"/>
    <n v="0"/>
    <n v="0"/>
    <n v="0"/>
    <n v="0"/>
    <n v="0"/>
    <n v="0"/>
    <n v="0"/>
    <n v="0"/>
    <n v="0"/>
    <n v="0"/>
    <n v="0"/>
    <n v="0"/>
    <n v="0"/>
    <n v="0"/>
    <n v="0"/>
    <n v="0"/>
    <n v="0"/>
    <n v="0"/>
    <n v="0"/>
    <n v="0"/>
    <n v="0"/>
    <n v="0"/>
    <n v="0"/>
    <n v="0"/>
    <n v="0"/>
    <m/>
  </r>
  <r>
    <n v="1815"/>
    <d v="2025-07-14T13:25:10"/>
    <d v="2025-07-14T13:26:33"/>
    <s v="tsatumba@lighthouse.org.mw"/>
    <s v="Thomas Satumba"/>
    <s v="KCH_OPD1"/>
    <s v="Prototype"/>
    <x v="2"/>
    <x v="2"/>
    <m/>
    <s v="Quarter2"/>
    <x v="3"/>
    <m/>
    <x v="6"/>
    <d v="2025-05-01T00:00:00"/>
    <d v="2025-05-31T00:00:00"/>
    <x v="2"/>
    <n v="0"/>
    <n v="0"/>
    <n v="0"/>
    <n v="0"/>
    <n v="0"/>
    <n v="0"/>
    <n v="0"/>
    <n v="0"/>
    <n v="0"/>
    <n v="0"/>
    <n v="0"/>
    <n v="0"/>
    <n v="0"/>
    <n v="0"/>
    <n v="0"/>
    <n v="0"/>
    <n v="0"/>
    <n v="0"/>
    <n v="0"/>
    <n v="0"/>
    <n v="0"/>
    <n v="0"/>
    <n v="0"/>
    <n v="0"/>
    <n v="0"/>
    <m/>
  </r>
  <r>
    <n v="1816"/>
    <d v="2025-07-14T13:26:35"/>
    <d v="2025-07-14T13:27:58"/>
    <s v="tsatumba@lighthouse.org.mw"/>
    <s v="Thomas Satumba"/>
    <s v="KCH_OPD1"/>
    <s v="Prototype"/>
    <x v="2"/>
    <x v="2"/>
    <m/>
    <s v="Quarter2"/>
    <x v="3"/>
    <m/>
    <x v="6"/>
    <d v="2025-05-01T00:00:00"/>
    <d v="2025-05-31T00:00:00"/>
    <x v="6"/>
    <n v="0"/>
    <n v="0"/>
    <n v="0"/>
    <n v="0"/>
    <n v="0"/>
    <n v="0"/>
    <n v="0"/>
    <n v="0"/>
    <n v="0"/>
    <n v="0"/>
    <n v="0"/>
    <n v="0"/>
    <n v="0"/>
    <n v="0"/>
    <n v="0"/>
    <n v="0"/>
    <n v="0"/>
    <n v="0"/>
    <n v="0"/>
    <n v="0"/>
    <n v="0"/>
    <n v="0"/>
    <n v="0"/>
    <n v="0"/>
    <n v="0"/>
    <m/>
  </r>
  <r>
    <n v="1817"/>
    <d v="2025-07-14T13:28:02"/>
    <d v="2025-07-14T13:34:39"/>
    <s v="tsatumba@lighthouse.org.mw"/>
    <s v="Thomas Satumba"/>
    <s v="KCH_OPD1"/>
    <s v="Prototype"/>
    <x v="2"/>
    <x v="2"/>
    <m/>
    <s v="Quarter2"/>
    <x v="3"/>
    <m/>
    <x v="6"/>
    <d v="2025-05-01T00:00:00"/>
    <d v="2025-05-31T00:00:00"/>
    <x v="0"/>
    <n v="6"/>
    <n v="1"/>
    <n v="2"/>
    <n v="0"/>
    <n v="4"/>
    <n v="0"/>
    <n v="6"/>
    <n v="3"/>
    <n v="3"/>
    <n v="1"/>
    <n v="1"/>
    <n v="1"/>
    <n v="3"/>
    <n v="0"/>
    <n v="0"/>
    <n v="0"/>
    <n v="0"/>
    <n v="0"/>
    <n v="1"/>
    <n v="0"/>
    <n v="0"/>
    <n v="1"/>
    <n v="0"/>
    <n v="0"/>
    <n v="0"/>
    <m/>
  </r>
  <r>
    <n v="1818"/>
    <d v="2025-07-14T13:38:27"/>
    <d v="2025-07-14T13:43:09"/>
    <s v="tsatumba@lighthouse.org.mw"/>
    <s v="Thomas Satumba"/>
    <s v="KCH_OPD1"/>
    <s v="Prototype"/>
    <x v="2"/>
    <x v="2"/>
    <m/>
    <s v="Quarter2"/>
    <x v="3"/>
    <m/>
    <x v="8"/>
    <d v="2025-06-01T00:00:00"/>
    <d v="2025-06-30T00:00:00"/>
    <x v="0"/>
    <n v="7"/>
    <n v="4"/>
    <n v="2"/>
    <n v="1"/>
    <n v="2"/>
    <n v="2"/>
    <n v="7"/>
    <n v="5"/>
    <n v="6"/>
    <n v="1"/>
    <n v="1"/>
    <n v="0"/>
    <n v="6"/>
    <n v="1"/>
    <n v="0"/>
    <n v="0"/>
    <n v="0"/>
    <n v="0"/>
    <n v="6"/>
    <n v="0"/>
    <n v="1"/>
    <n v="0"/>
    <n v="1"/>
    <n v="1"/>
    <n v="2"/>
    <m/>
  </r>
  <r>
    <n v="1819"/>
    <d v="2025-07-14T13:43:12"/>
    <d v="2025-07-14T13:46:39"/>
    <s v="tsatumba@lighthouse.org.mw"/>
    <s v="Thomas Satumba"/>
    <s v="KCH_OPD1"/>
    <s v="Prototype"/>
    <x v="2"/>
    <x v="2"/>
    <m/>
    <s v="Quarter2"/>
    <x v="3"/>
    <m/>
    <x v="8"/>
    <d v="2025-06-01T00:00:00"/>
    <d v="2025-06-30T00:00:00"/>
    <x v="1"/>
    <n v="15"/>
    <n v="3"/>
    <n v="1"/>
    <n v="1"/>
    <n v="1"/>
    <n v="2"/>
    <n v="5"/>
    <n v="4"/>
    <n v="5"/>
    <n v="1"/>
    <n v="1"/>
    <n v="0"/>
    <n v="5"/>
    <n v="1"/>
    <n v="0"/>
    <n v="0"/>
    <n v="0"/>
    <n v="0"/>
    <n v="5"/>
    <n v="0"/>
    <n v="1"/>
    <n v="0"/>
    <n v="1"/>
    <n v="1"/>
    <n v="1"/>
    <m/>
  </r>
  <r>
    <n v="1820"/>
    <d v="2025-07-14T13:47:28"/>
    <d v="2025-07-14T13:48:39"/>
    <s v="tsatumba@lighthouse.org.mw"/>
    <s v="Thomas Satumba"/>
    <s v="KCH_OPD1"/>
    <s v="Prototype"/>
    <x v="2"/>
    <x v="2"/>
    <m/>
    <s v="Quarter2"/>
    <x v="3"/>
    <m/>
    <x v="8"/>
    <d v="2025-06-01T00:00:00"/>
    <d v="2025-06-30T00:00:00"/>
    <x v="3"/>
    <n v="0"/>
    <n v="0"/>
    <n v="0"/>
    <n v="0"/>
    <n v="0"/>
    <n v="0"/>
    <n v="0"/>
    <n v="0"/>
    <n v="0"/>
    <n v="0"/>
    <n v="0"/>
    <n v="0"/>
    <n v="0"/>
    <n v="0"/>
    <n v="0"/>
    <n v="0"/>
    <n v="0"/>
    <n v="0"/>
    <n v="0"/>
    <n v="0"/>
    <n v="0"/>
    <n v="0"/>
    <n v="0"/>
    <n v="0"/>
    <n v="0"/>
    <m/>
  </r>
  <r>
    <n v="1821"/>
    <d v="2025-07-14T13:48:42"/>
    <d v="2025-07-14T13:49:53"/>
    <s v="tsatumba@lighthouse.org.mw"/>
    <s v="Thomas Satumba"/>
    <s v="KCH_OPD1"/>
    <s v="Prototype"/>
    <x v="2"/>
    <x v="2"/>
    <m/>
    <s v="Quarter2"/>
    <x v="3"/>
    <m/>
    <x v="8"/>
    <d v="2025-06-01T00:00:00"/>
    <d v="2025-06-30T00:00:00"/>
    <x v="4"/>
    <n v="0"/>
    <n v="0"/>
    <n v="0"/>
    <n v="0"/>
    <n v="0"/>
    <n v="0"/>
    <n v="0"/>
    <n v="0"/>
    <n v="0"/>
    <n v="0"/>
    <n v="0"/>
    <n v="0"/>
    <n v="0"/>
    <n v="0"/>
    <n v="0"/>
    <n v="0"/>
    <n v="0"/>
    <n v="0"/>
    <n v="0"/>
    <n v="0"/>
    <n v="0"/>
    <n v="0"/>
    <n v="0"/>
    <n v="0"/>
    <n v="0"/>
    <m/>
  </r>
  <r>
    <n v="1822"/>
    <d v="2025-07-14T13:49:58"/>
    <d v="2025-07-14T13:52:11"/>
    <s v="tsatumba@lighthouse.org.mw"/>
    <s v="Thomas Satumba"/>
    <s v="KCH_OPD1"/>
    <s v="Prototype"/>
    <x v="2"/>
    <x v="2"/>
    <m/>
    <s v="Quarter2"/>
    <x v="3"/>
    <m/>
    <x v="8"/>
    <d v="2025-06-01T00:00:00"/>
    <d v="2025-06-30T00:00:00"/>
    <x v="2"/>
    <n v="0"/>
    <n v="0"/>
    <n v="0"/>
    <n v="0"/>
    <n v="0"/>
    <n v="0"/>
    <n v="0"/>
    <n v="0"/>
    <n v="0"/>
    <n v="0"/>
    <n v="0"/>
    <n v="0"/>
    <n v="0"/>
    <n v="0"/>
    <n v="0"/>
    <n v="0"/>
    <n v="0"/>
    <n v="0"/>
    <n v="0"/>
    <n v="0"/>
    <n v="0"/>
    <n v="0"/>
    <n v="0"/>
    <n v="0"/>
    <n v="0"/>
    <m/>
  </r>
  <r>
    <n v="1823"/>
    <d v="2025-07-14T13:52:14"/>
    <d v="2025-07-14T13:53:41"/>
    <s v="tsatumba@lighthouse.org.mw"/>
    <s v="Thomas Satumba"/>
    <s v="KCH_OPD1"/>
    <s v="Prototype"/>
    <x v="2"/>
    <x v="2"/>
    <m/>
    <s v="Quarter2"/>
    <x v="3"/>
    <m/>
    <x v="8"/>
    <d v="2025-06-01T00:00:00"/>
    <d v="2025-06-30T00:00:00"/>
    <x v="6"/>
    <n v="0"/>
    <n v="0"/>
    <n v="0"/>
    <n v="0"/>
    <n v="0"/>
    <n v="0"/>
    <n v="0"/>
    <n v="0"/>
    <n v="0"/>
    <n v="0"/>
    <n v="0"/>
    <n v="0"/>
    <n v="0"/>
    <n v="0"/>
    <n v="0"/>
    <n v="0"/>
    <n v="0"/>
    <n v="0"/>
    <n v="0"/>
    <n v="0"/>
    <n v="0"/>
    <n v="0"/>
    <n v="0"/>
    <n v="0"/>
    <n v="0"/>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3"/>
    <m/>
    <m/>
    <x v="7"/>
    <m/>
    <m/>
    <m/>
    <m/>
    <m/>
    <m/>
    <m/>
    <m/>
    <m/>
    <m/>
    <m/>
    <m/>
    <m/>
    <m/>
    <m/>
    <m/>
    <m/>
    <m/>
    <m/>
    <m/>
    <m/>
    <m/>
    <m/>
    <m/>
    <m/>
    <m/>
  </r>
  <r>
    <m/>
    <m/>
    <m/>
    <m/>
    <m/>
    <m/>
    <m/>
    <x v="3"/>
    <x v="3"/>
    <m/>
    <m/>
    <x v="4"/>
    <m/>
    <x v="12"/>
    <m/>
    <m/>
    <x v="7"/>
    <s v="   "/>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m/>
    <m/>
    <m/>
    <m/>
    <m/>
    <m/>
    <x v="3"/>
    <x v="3"/>
    <m/>
    <m/>
    <x v="4"/>
    <m/>
    <x v="12"/>
    <m/>
    <m/>
    <x v="7"/>
    <m/>
    <m/>
    <m/>
    <m/>
    <m/>
    <m/>
    <m/>
    <m/>
    <m/>
    <m/>
    <m/>
    <m/>
    <m/>
    <m/>
    <m/>
    <m/>
    <m/>
    <m/>
    <m/>
    <m/>
    <m/>
    <m/>
    <m/>
    <m/>
    <m/>
    <m/>
  </r>
  <r>
    <m/>
    <d v="2025-03-06T08:07:31"/>
    <m/>
    <m/>
    <m/>
    <m/>
    <m/>
    <x v="3"/>
    <x v="3"/>
    <m/>
    <m/>
    <x v="4"/>
    <m/>
    <x v="12"/>
    <m/>
    <m/>
    <x v="7"/>
    <m/>
    <m/>
    <m/>
    <m/>
    <m/>
    <m/>
    <m/>
    <m/>
    <m/>
    <m/>
    <m/>
    <m/>
    <m/>
    <m/>
    <m/>
    <m/>
    <m/>
    <m/>
    <m/>
    <m/>
    <m/>
    <m/>
    <m/>
    <m/>
    <m/>
    <m/>
  </r>
  <r>
    <m/>
    <m/>
    <m/>
    <m/>
    <m/>
    <m/>
    <m/>
    <x v="3"/>
    <x v="3"/>
    <m/>
    <m/>
    <x v="4"/>
    <m/>
    <x v="12"/>
    <m/>
    <m/>
    <x v="7"/>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25CB70-B125-42A9-8218-DF1661DECDFB}"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9">
  <location ref="L3:O9" firstHeaderRow="0" firstDataRow="1" firstDataCol="1"/>
  <pivotFields count="46">
    <pivotField showAll="0"/>
    <pivotField showAll="0"/>
    <pivotField showAll="0"/>
    <pivotField showAll="0"/>
    <pivotField showAll="0"/>
    <pivotField showAll="0">
      <items count="16">
        <item x="0"/>
        <item x="1"/>
        <item x="2"/>
        <item x="3"/>
        <item x="4"/>
        <item x="5"/>
        <item x="6"/>
        <item x="7"/>
        <item x="8"/>
        <item x="9"/>
        <item x="10"/>
        <item x="11"/>
        <item x="12"/>
        <item x="13"/>
        <item x="14"/>
        <item t="default"/>
      </items>
    </pivotField>
    <pivotField showAll="0"/>
    <pivotField showAll="0">
      <items count="5">
        <item h="1" x="0"/>
        <item x="1"/>
        <item x="2"/>
        <item x="3"/>
        <item t="default"/>
      </items>
    </pivotField>
    <pivotField showAll="0"/>
    <pivotField showAll="0"/>
    <pivotField showAll="0">
      <items count="7">
        <item m="1" x="5"/>
        <item x="2"/>
        <item x="3"/>
        <item x="1"/>
        <item x="0"/>
        <item x="4"/>
        <item t="default"/>
      </items>
    </pivotField>
    <pivotField showAll="0"/>
    <pivotField showAll="0"/>
    <pivotField showAll="0"/>
    <pivotField showAll="0"/>
    <pivotField showAll="0"/>
    <pivotField axis="axisRow" showAll="0">
      <items count="9">
        <item h="1" x="0"/>
        <item h="1" x="3"/>
        <item x="1"/>
        <item x="6"/>
        <item x="2"/>
        <item x="5"/>
        <item x="4"/>
        <item h="1" x="7"/>
        <item t="default"/>
      </items>
    </pivotField>
    <pivotField name="Total_number_of_ROC" showAll="0" sumSubtotal="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ataField="1" dragToRow="0" dragToCol="0" dragToPage="0" showAll="0" defaultSubtotal="0"/>
    <pivotField dataField="1" dragToRow="0" dragToCol="0" dragToPage="0" showAll="0" defaultSubtotal="0"/>
    <pivotField dataField="1" dragToRow="0" dragToCol="0" dragToPage="0" showAll="0" defaultSubtotal="0"/>
  </pivotFields>
  <rowFields count="1">
    <field x="16"/>
  </rowFields>
  <rowItems count="6">
    <i>
      <x v="2"/>
    </i>
    <i>
      <x v="3"/>
    </i>
    <i>
      <x v="4"/>
    </i>
    <i>
      <x v="5"/>
    </i>
    <i>
      <x v="6"/>
    </i>
    <i t="grand">
      <x/>
    </i>
  </rowItems>
  <colFields count="1">
    <field x="-2"/>
  </colFields>
  <colItems count="3">
    <i>
      <x/>
    </i>
    <i i="1">
      <x v="1"/>
    </i>
    <i i="2">
      <x v="2"/>
    </i>
  </colItems>
  <dataFields count="3">
    <dataField name="CD4-yield" fld="45" baseField="8" baseItem="0"/>
    <dataField name="LAM_pos%" fld="43" baseField="8" baseItem="0"/>
    <dataField name="CrAG_pos%" fld="44" baseField="8" baseItem="0"/>
  </dataFields>
  <formats count="2">
    <format dxfId="367">
      <pivotArea outline="0" collapsedLevelsAreSubtotals="1" fieldPosition="0"/>
    </format>
    <format dxfId="366">
      <pivotArea dataOnly="0" labelOnly="1" outline="0" fieldPosition="0">
        <references count="1">
          <reference field="4294967294" count="3">
            <x v="0"/>
            <x v="1"/>
            <x v="2"/>
          </reference>
        </references>
      </pivotArea>
    </format>
  </formats>
  <chartFormats count="6">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8" format="2" series="1">
      <pivotArea type="data" outline="0" fieldPosition="0">
        <references count="1">
          <reference field="4294967294" count="1" selected="0">
            <x v="2"/>
          </reference>
        </references>
      </pivotArea>
    </chartFormat>
    <chartFormat chart="25" format="3" series="1">
      <pivotArea type="data" outline="0" fieldPosition="0">
        <references count="1">
          <reference field="4294967294" count="1" selected="0">
            <x v="0"/>
          </reference>
        </references>
      </pivotArea>
    </chartFormat>
    <chartFormat chart="25" format="4" series="1">
      <pivotArea type="data" outline="0" fieldPosition="0">
        <references count="1">
          <reference field="4294967294" count="1" selected="0">
            <x v="1"/>
          </reference>
        </references>
      </pivotArea>
    </chartFormat>
    <chartFormat chart="25" format="5"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C9AB63-01E8-4805-8201-D57E396EF259}"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F3:AJ19" firstHeaderRow="0" firstDataRow="1" firstDataCol="1"/>
  <pivotFields count="46">
    <pivotField showAll="0"/>
    <pivotField showAll="0"/>
    <pivotField showAll="0"/>
    <pivotField showAll="0"/>
    <pivotField showAll="0"/>
    <pivotField showAll="0"/>
    <pivotField showAll="0"/>
    <pivotField axis="axisRow" showAll="0">
      <items count="5">
        <item x="0"/>
        <item x="1"/>
        <item x="2"/>
        <item x="3"/>
        <item t="default"/>
      </items>
    </pivotField>
    <pivotField showAll="0"/>
    <pivotField showAll="0"/>
    <pivotField axis="axisRow" showAll="0">
      <items count="7">
        <item m="1" x="5"/>
        <item x="2"/>
        <item x="3"/>
        <item x="1"/>
        <item x="0"/>
        <item x="4"/>
        <item t="default"/>
      </items>
    </pivotField>
    <pivotField showAll="0"/>
    <pivotField showAll="0"/>
    <pivotField showAll="0"/>
    <pivotField showAll="0"/>
    <pivotField showAll="0"/>
    <pivotField showAll="0"/>
    <pivotField name="Total_number_of_ROC" dataField="1" showAll="0" sumSubtotal="1"/>
    <pivotField showAll="0"/>
    <pivotField showAll="0"/>
    <pivotField showAll="0"/>
    <pivotField showAll="0"/>
    <pivotField showAll="0"/>
    <pivotField dataField="1" showAll="0"/>
    <pivotField showAll="0"/>
    <pivotField dataField="1"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2">
    <field x="7"/>
    <field x="10"/>
  </rowFields>
  <rowItems count="16">
    <i>
      <x/>
    </i>
    <i r="1">
      <x v="1"/>
    </i>
    <i r="1">
      <x v="3"/>
    </i>
    <i r="1">
      <x v="4"/>
    </i>
    <i>
      <x v="1"/>
    </i>
    <i r="1">
      <x v="1"/>
    </i>
    <i r="1">
      <x v="2"/>
    </i>
    <i r="1">
      <x v="3"/>
    </i>
    <i r="1">
      <x v="4"/>
    </i>
    <i>
      <x v="2"/>
    </i>
    <i r="1">
      <x v="1"/>
    </i>
    <i r="1">
      <x v="2"/>
    </i>
    <i r="1">
      <x v="3"/>
    </i>
    <i>
      <x v="3"/>
    </i>
    <i r="1">
      <x v="5"/>
    </i>
    <i t="grand">
      <x/>
    </i>
  </rowItems>
  <colFields count="1">
    <field x="-2"/>
  </colFields>
  <colItems count="4">
    <i>
      <x/>
    </i>
    <i i="1">
      <x v="1"/>
    </i>
    <i i="2">
      <x v="2"/>
    </i>
    <i i="3">
      <x v="3"/>
    </i>
  </colItems>
  <dataFields count="4">
    <dataField name="Sum of Total_number_of_ROC" fld="17" baseField="0" baseItem="0"/>
    <dataField name="Sum of CD4_tests" fld="23" baseField="0" baseItem="0"/>
    <dataField name="Sum of CrAg_tests" fld="25" baseField="0" baseItem="0"/>
    <dataField name="Sum of LAM_tests" fld="29" baseField="0" baseItem="0"/>
  </dataFields>
  <chartFormats count="4">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180DE3-1ADC-4694-8C43-68215DD689C7}"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Z3:AD19" firstHeaderRow="0" firstDataRow="1" firstDataCol="1"/>
  <pivotFields count="46">
    <pivotField showAll="0"/>
    <pivotField showAll="0"/>
    <pivotField showAll="0"/>
    <pivotField showAll="0"/>
    <pivotField showAll="0"/>
    <pivotField showAll="0"/>
    <pivotField showAll="0"/>
    <pivotField axis="axisRow" showAll="0">
      <items count="5">
        <item x="0"/>
        <item x="1"/>
        <item x="2"/>
        <item x="3"/>
        <item t="default"/>
      </items>
    </pivotField>
    <pivotField showAll="0"/>
    <pivotField showAll="0"/>
    <pivotField axis="axisRow" showAll="0">
      <items count="7">
        <item m="1" x="5"/>
        <item x="2"/>
        <item x="3"/>
        <item x="1"/>
        <item x="0"/>
        <item x="4"/>
        <item t="default"/>
      </items>
    </pivotField>
    <pivotField showAll="0"/>
    <pivotField showAll="0"/>
    <pivotField showAll="0"/>
    <pivotField showAll="0"/>
    <pivotField showAll="0"/>
    <pivotField showAll="0"/>
    <pivotField name="Total_number_of_ROC" dataField="1" showAll="0" sumSubtotal="1"/>
    <pivotField showAll="0"/>
    <pivotField showAll="0"/>
    <pivotField showAll="0"/>
    <pivotField showAll="0"/>
    <pivotField showAll="0"/>
    <pivotField dataField="1" showAll="0"/>
    <pivotField showAll="0"/>
    <pivotField dataField="1"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2">
    <field x="7"/>
    <field x="10"/>
  </rowFields>
  <rowItems count="16">
    <i>
      <x/>
    </i>
    <i r="1">
      <x v="1"/>
    </i>
    <i r="1">
      <x v="3"/>
    </i>
    <i r="1">
      <x v="4"/>
    </i>
    <i>
      <x v="1"/>
    </i>
    <i r="1">
      <x v="1"/>
    </i>
    <i r="1">
      <x v="2"/>
    </i>
    <i r="1">
      <x v="3"/>
    </i>
    <i r="1">
      <x v="4"/>
    </i>
    <i>
      <x v="2"/>
    </i>
    <i r="1">
      <x v="1"/>
    </i>
    <i r="1">
      <x v="2"/>
    </i>
    <i r="1">
      <x v="3"/>
    </i>
    <i>
      <x v="3"/>
    </i>
    <i r="1">
      <x v="5"/>
    </i>
    <i t="grand">
      <x/>
    </i>
  </rowItems>
  <colFields count="1">
    <field x="-2"/>
  </colFields>
  <colItems count="4">
    <i>
      <x/>
    </i>
    <i i="1">
      <x v="1"/>
    </i>
    <i i="2">
      <x v="2"/>
    </i>
    <i i="3">
      <x v="3"/>
    </i>
  </colItems>
  <dataFields count="4">
    <dataField name="Sum of Total_number_of_ROC" fld="17" baseField="0" baseItem="0"/>
    <dataField name="Sum of CD4_tests" fld="23" baseField="0" baseItem="0"/>
    <dataField name="Sum of CrAg_tests" fld="25" baseField="0" baseItem="0"/>
    <dataField name="Sum of LAM_tests" fld="29" baseField="0" baseItem="0"/>
  </dataFields>
  <chartFormats count="4">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D405F49-1533-4E34-B4CF-4BF86A1D9C38}"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D3:I9" firstHeaderRow="0" firstDataRow="1" firstDataCol="1"/>
  <pivotFields count="46">
    <pivotField showAll="0"/>
    <pivotField showAll="0"/>
    <pivotField showAll="0"/>
    <pivotField showAll="0"/>
    <pivotField showAll="0"/>
    <pivotField showAll="0">
      <items count="16">
        <item x="0"/>
        <item x="1"/>
        <item x="2"/>
        <item x="3"/>
        <item x="4"/>
        <item x="5"/>
        <item x="6"/>
        <item x="7"/>
        <item x="8"/>
        <item x="9"/>
        <item x="10"/>
        <item x="11"/>
        <item x="12"/>
        <item x="13"/>
        <item x="14"/>
        <item t="default"/>
      </items>
    </pivotField>
    <pivotField showAll="0"/>
    <pivotField showAll="0">
      <items count="5">
        <item h="1" x="0"/>
        <item x="1"/>
        <item x="2"/>
        <item x="3"/>
        <item t="default"/>
      </items>
    </pivotField>
    <pivotField showAll="0"/>
    <pivotField showAll="0"/>
    <pivotField showAll="0">
      <items count="7">
        <item m="1" x="5"/>
        <item x="2"/>
        <item x="3"/>
        <item x="1"/>
        <item x="0"/>
        <item x="4"/>
        <item t="default"/>
      </items>
    </pivotField>
    <pivotField showAll="0"/>
    <pivotField showAll="0"/>
    <pivotField showAll="0"/>
    <pivotField showAll="0"/>
    <pivotField showAll="0"/>
    <pivotField axis="axisRow" showAll="0">
      <items count="9">
        <item h="1" x="0"/>
        <item x="1"/>
        <item x="6"/>
        <item x="2"/>
        <item x="5"/>
        <item x="4"/>
        <item h="1" x="3"/>
        <item h="1" x="7"/>
        <item t="default"/>
      </items>
    </pivotField>
    <pivotField name="Total_number_of_ROC" dataField="1" showAll="0" sumSubtotal="1"/>
    <pivotField showAll="0"/>
    <pivotField showAll="0"/>
    <pivotField showAll="0"/>
    <pivotField showAll="0"/>
    <pivotField showAll="0"/>
    <pivotField dataField="1" showAll="0"/>
    <pivotField showAll="0"/>
    <pivotField dataField="1"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6"/>
  </rowFields>
  <rowItems count="6">
    <i>
      <x v="1"/>
    </i>
    <i>
      <x v="2"/>
    </i>
    <i>
      <x v="3"/>
    </i>
    <i>
      <x v="4"/>
    </i>
    <i>
      <x v="5"/>
    </i>
    <i t="grand">
      <x/>
    </i>
  </rowItems>
  <colFields count="1">
    <field x="-2"/>
  </colFields>
  <colItems count="5">
    <i>
      <x/>
    </i>
    <i i="1">
      <x v="1"/>
    </i>
    <i i="2">
      <x v="2"/>
    </i>
    <i i="3">
      <x v="3"/>
    </i>
    <i i="4">
      <x v="4"/>
    </i>
  </colItems>
  <dataFields count="5">
    <dataField name="Total-number-of-ROC" fld="17" baseField="7" baseItem="1"/>
    <dataField name="CD4-tests" fld="23" baseField="7" baseItem="1"/>
    <dataField name="CrAg-tests" fld="25" baseField="7" baseItem="1"/>
    <dataField name="LAM-tests" fld="29" baseField="0" baseItem="0"/>
    <dataField name="CD4_cov%" fld="41" baseField="7" baseItem="1" numFmtId="9"/>
  </dataFields>
  <chartFormats count="15">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1" format="5" series="1">
      <pivotArea type="data" outline="0" fieldPosition="0">
        <references count="1">
          <reference field="4294967294" count="1" selected="0">
            <x v="0"/>
          </reference>
        </references>
      </pivotArea>
    </chartFormat>
    <chartFormat chart="1" format="6" series="1">
      <pivotArea type="data" outline="0" fieldPosition="0">
        <references count="1">
          <reference field="4294967294" count="1" selected="0">
            <x v="4"/>
          </reference>
        </references>
      </pivotArea>
    </chartFormat>
    <chartFormat chart="6" format="9" series="1">
      <pivotArea type="data" outline="0" fieldPosition="0">
        <references count="1">
          <reference field="4294967294" count="1" selected="0">
            <x v="0"/>
          </reference>
        </references>
      </pivotArea>
    </chartFormat>
    <chartFormat chart="6" format="10" series="1">
      <pivotArea type="data" outline="0" fieldPosition="0">
        <references count="1">
          <reference field="4294967294" count="1" selected="0">
            <x v="1"/>
          </reference>
        </references>
      </pivotArea>
    </chartFormat>
    <chartFormat chart="6" format="12" series="1">
      <pivotArea type="data" outline="0" fieldPosition="0">
        <references count="1">
          <reference field="4294967294" count="1" selected="0">
            <x v="2"/>
          </reference>
        </references>
      </pivotArea>
    </chartFormat>
    <chartFormat chart="6" format="13" series="1">
      <pivotArea type="data" outline="0" fieldPosition="0">
        <references count="1">
          <reference field="4294967294" count="1" selected="0">
            <x v="3"/>
          </reference>
        </references>
      </pivotArea>
    </chartFormat>
    <chartFormat chart="6" format="14" series="1">
      <pivotArea type="data" outline="0" fieldPosition="0">
        <references count="1">
          <reference field="4294967294" count="1" selected="0">
            <x v="4"/>
          </reference>
        </references>
      </pivotArea>
    </chartFormat>
    <chartFormat chart="13" format="15" series="1">
      <pivotArea type="data" outline="0" fieldPosition="0">
        <references count="1">
          <reference field="4294967294" count="1" selected="0">
            <x v="0"/>
          </reference>
        </references>
      </pivotArea>
    </chartFormat>
    <chartFormat chart="13" format="16" series="1">
      <pivotArea type="data" outline="0" fieldPosition="0">
        <references count="1">
          <reference field="4294967294" count="1" selected="0">
            <x v="1"/>
          </reference>
        </references>
      </pivotArea>
    </chartFormat>
    <chartFormat chart="13" format="17" series="1">
      <pivotArea type="data" outline="0" fieldPosition="0">
        <references count="1">
          <reference field="4294967294" count="1" selected="0">
            <x v="2"/>
          </reference>
        </references>
      </pivotArea>
    </chartFormat>
    <chartFormat chart="13" format="18" series="1">
      <pivotArea type="data" outline="0" fieldPosition="0">
        <references count="1">
          <reference field="4294967294" count="1" selected="0">
            <x v="3"/>
          </reference>
        </references>
      </pivotArea>
    </chartFormat>
    <chartFormat chart="13" format="19"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0891118-FCB6-45B1-8D21-EB4EB3C84159}"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D3:I15" firstHeaderRow="0" firstDataRow="1" firstDataCol="1"/>
  <pivotFields count="46">
    <pivotField showAll="0"/>
    <pivotField showAll="0"/>
    <pivotField showAll="0"/>
    <pivotField showAll="0"/>
    <pivotField showAll="0"/>
    <pivotField showAll="0">
      <items count="16">
        <item x="0"/>
        <item x="1"/>
        <item x="2"/>
        <item x="3"/>
        <item x="4"/>
        <item x="5"/>
        <item x="6"/>
        <item x="7"/>
        <item x="8"/>
        <item x="9"/>
        <item x="10"/>
        <item x="11"/>
        <item x="12"/>
        <item x="13"/>
        <item x="14"/>
        <item t="default"/>
      </items>
    </pivotField>
    <pivotField showAll="0"/>
    <pivotField showAll="0">
      <items count="5">
        <item x="0"/>
        <item x="1"/>
        <item h="1" x="2"/>
        <item x="3"/>
        <item t="default"/>
      </items>
    </pivotField>
    <pivotField showAll="0"/>
    <pivotField axis="axisRow" showAll="0">
      <items count="5">
        <item x="1"/>
        <item x="0"/>
        <item x="2"/>
        <item x="3"/>
        <item t="default"/>
      </items>
    </pivotField>
    <pivotField showAll="0">
      <items count="7">
        <item h="1" m="1" x="5"/>
        <item x="2"/>
        <item x="3"/>
        <item x="1"/>
        <item x="0"/>
        <item h="1" x="4"/>
        <item t="default"/>
      </items>
    </pivotField>
    <pivotField showAll="0"/>
    <pivotField axis="axisRow" showAll="0">
      <items count="6">
        <item x="0"/>
        <item x="2"/>
        <item x="3"/>
        <item x="1"/>
        <item x="4"/>
        <item t="default"/>
      </items>
    </pivotField>
    <pivotField showAll="0"/>
    <pivotField showAll="0"/>
    <pivotField showAll="0"/>
    <pivotField showAll="0">
      <items count="9">
        <item h="1" x="0"/>
        <item h="1" x="2"/>
        <item h="1" x="3"/>
        <item h="1" x="6"/>
        <item h="1" x="1"/>
        <item x="4"/>
        <item h="1" x="5"/>
        <item h="1" x="7"/>
        <item t="default"/>
      </items>
    </pivotField>
    <pivotField name="Total_number_of_ROC" dataField="1" showAll="0" sumSubtotal="1"/>
    <pivotField showAll="0"/>
    <pivotField showAll="0"/>
    <pivotField showAll="0"/>
    <pivotField showAll="0"/>
    <pivotField showAll="0"/>
    <pivotField dataField="1" showAll="0"/>
    <pivotField showAll="0"/>
    <pivotField dataField="1"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2">
    <field x="9"/>
    <field x="12"/>
  </rowFields>
  <rowItems count="12">
    <i>
      <x/>
    </i>
    <i r="1">
      <x v="3"/>
    </i>
    <i>
      <x v="1"/>
    </i>
    <i r="1">
      <x/>
    </i>
    <i r="1">
      <x v="1"/>
    </i>
    <i r="1">
      <x v="2"/>
    </i>
    <i r="1">
      <x v="3"/>
    </i>
    <i>
      <x v="2"/>
    </i>
    <i r="1">
      <x/>
    </i>
    <i>
      <x v="3"/>
    </i>
    <i r="1">
      <x v="4"/>
    </i>
    <i t="grand">
      <x/>
    </i>
  </rowItems>
  <colFields count="1">
    <field x="-2"/>
  </colFields>
  <colItems count="5">
    <i>
      <x/>
    </i>
    <i i="1">
      <x v="1"/>
    </i>
    <i i="2">
      <x v="2"/>
    </i>
    <i i="3">
      <x v="3"/>
    </i>
    <i i="4">
      <x v="4"/>
    </i>
  </colItems>
  <dataFields count="5">
    <dataField name="Total-number-of-ROC" fld="17" baseField="7" baseItem="1"/>
    <dataField name="CD4-tests" fld="23" baseField="7" baseItem="1"/>
    <dataField name="CrAg-tests" fld="25" baseField="7" baseItem="1"/>
    <dataField name="LAM-tests" fld="29" baseField="0" baseItem="0"/>
    <dataField name="CD4_cov%" fld="41" baseField="7" baseItem="1" numFmtId="9"/>
  </dataFields>
  <chartFormats count="15">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1" format="5" series="1">
      <pivotArea type="data" outline="0" fieldPosition="0">
        <references count="1">
          <reference field="4294967294" count="1" selected="0">
            <x v="0"/>
          </reference>
        </references>
      </pivotArea>
    </chartFormat>
    <chartFormat chart="1" format="6" series="1">
      <pivotArea type="data" outline="0" fieldPosition="0">
        <references count="1">
          <reference field="4294967294" count="1" selected="0">
            <x v="4"/>
          </reference>
        </references>
      </pivotArea>
    </chartFormat>
    <chartFormat chart="6" format="9" series="1">
      <pivotArea type="data" outline="0" fieldPosition="0">
        <references count="1">
          <reference field="4294967294" count="1" selected="0">
            <x v="0"/>
          </reference>
        </references>
      </pivotArea>
    </chartFormat>
    <chartFormat chart="6" format="10" series="1">
      <pivotArea type="data" outline="0" fieldPosition="0">
        <references count="1">
          <reference field="4294967294" count="1" selected="0">
            <x v="1"/>
          </reference>
        </references>
      </pivotArea>
    </chartFormat>
    <chartFormat chart="6" format="12" series="1">
      <pivotArea type="data" outline="0" fieldPosition="0">
        <references count="1">
          <reference field="4294967294" count="1" selected="0">
            <x v="2"/>
          </reference>
        </references>
      </pivotArea>
    </chartFormat>
    <chartFormat chart="6" format="13" series="1">
      <pivotArea type="data" outline="0" fieldPosition="0">
        <references count="1">
          <reference field="4294967294" count="1" selected="0">
            <x v="3"/>
          </reference>
        </references>
      </pivotArea>
    </chartFormat>
    <chartFormat chart="6" format="14" series="1">
      <pivotArea type="data" outline="0" fieldPosition="0">
        <references count="1">
          <reference field="4294967294" count="1" selected="0">
            <x v="4"/>
          </reference>
        </references>
      </pivotArea>
    </chartFormat>
    <chartFormat chart="7" format="15" series="1">
      <pivotArea type="data" outline="0" fieldPosition="0">
        <references count="1">
          <reference field="4294967294" count="1" selected="0">
            <x v="0"/>
          </reference>
        </references>
      </pivotArea>
    </chartFormat>
    <chartFormat chart="7" format="16" series="1">
      <pivotArea type="data" outline="0" fieldPosition="0">
        <references count="1">
          <reference field="4294967294" count="1" selected="0">
            <x v="1"/>
          </reference>
        </references>
      </pivotArea>
    </chartFormat>
    <chartFormat chart="7" format="17" series="1">
      <pivotArea type="data" outline="0" fieldPosition="0">
        <references count="1">
          <reference field="4294967294" count="1" selected="0">
            <x v="2"/>
          </reference>
        </references>
      </pivotArea>
    </chartFormat>
    <chartFormat chart="7" format="18" series="1">
      <pivotArea type="data" outline="0" fieldPosition="0">
        <references count="1">
          <reference field="4294967294" count="1" selected="0">
            <x v="3"/>
          </reference>
        </references>
      </pivotArea>
    </chartFormat>
    <chartFormat chart="7" format="19"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DCEEBA6-B741-4AD8-AA91-EF7239FEE8F3}"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L3:O15" firstHeaderRow="0" firstDataRow="1" firstDataCol="1"/>
  <pivotFields count="46">
    <pivotField showAll="0"/>
    <pivotField showAll="0"/>
    <pivotField showAll="0"/>
    <pivotField showAll="0"/>
    <pivotField showAll="0"/>
    <pivotField showAll="0">
      <items count="16">
        <item x="0"/>
        <item x="1"/>
        <item x="2"/>
        <item x="3"/>
        <item x="4"/>
        <item x="5"/>
        <item x="6"/>
        <item x="7"/>
        <item x="8"/>
        <item x="9"/>
        <item x="10"/>
        <item x="11"/>
        <item x="12"/>
        <item x="13"/>
        <item x="14"/>
        <item t="default"/>
      </items>
    </pivotField>
    <pivotField showAll="0"/>
    <pivotField showAll="0">
      <items count="5">
        <item x="0"/>
        <item x="1"/>
        <item h="1" x="2"/>
        <item x="3"/>
        <item t="default"/>
      </items>
    </pivotField>
    <pivotField showAll="0"/>
    <pivotField axis="axisRow" showAll="0">
      <items count="5">
        <item x="1"/>
        <item x="0"/>
        <item x="2"/>
        <item x="3"/>
        <item t="default"/>
      </items>
    </pivotField>
    <pivotField showAll="0">
      <items count="7">
        <item h="1" m="1" x="5"/>
        <item x="2"/>
        <item x="3"/>
        <item x="1"/>
        <item x="0"/>
        <item h="1" x="4"/>
        <item t="default"/>
      </items>
    </pivotField>
    <pivotField showAll="0"/>
    <pivotField axis="axisRow" showAll="0">
      <items count="6">
        <item x="0"/>
        <item x="2"/>
        <item x="3"/>
        <item x="1"/>
        <item x="4"/>
        <item t="default"/>
      </items>
    </pivotField>
    <pivotField showAll="0"/>
    <pivotField showAll="0"/>
    <pivotField showAll="0"/>
    <pivotField showAll="0">
      <items count="9">
        <item h="1" x="0"/>
        <item h="1" x="2"/>
        <item h="1" x="3"/>
        <item h="1" x="6"/>
        <item h="1" x="1"/>
        <item x="4"/>
        <item h="1" x="5"/>
        <item h="1" x="7"/>
        <item t="default"/>
      </items>
    </pivotField>
    <pivotField name="Total_number_of_ROC" showAll="0" sumSubtotal="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ataField="1" dragToRow="0" dragToCol="0" dragToPage="0" showAll="0" defaultSubtotal="0"/>
    <pivotField dataField="1" dragToRow="0" dragToCol="0" dragToPage="0" showAll="0" defaultSubtotal="0"/>
    <pivotField dataField="1" dragToRow="0" dragToCol="0" dragToPage="0" showAll="0" defaultSubtotal="0"/>
  </pivotFields>
  <rowFields count="2">
    <field x="9"/>
    <field x="12"/>
  </rowFields>
  <rowItems count="12">
    <i>
      <x/>
    </i>
    <i r="1">
      <x v="3"/>
    </i>
    <i>
      <x v="1"/>
    </i>
    <i r="1">
      <x/>
    </i>
    <i r="1">
      <x v="1"/>
    </i>
    <i r="1">
      <x v="2"/>
    </i>
    <i r="1">
      <x v="3"/>
    </i>
    <i>
      <x v="2"/>
    </i>
    <i r="1">
      <x/>
    </i>
    <i>
      <x v="3"/>
    </i>
    <i r="1">
      <x v="4"/>
    </i>
    <i t="grand">
      <x/>
    </i>
  </rowItems>
  <colFields count="1">
    <field x="-2"/>
  </colFields>
  <colItems count="3">
    <i>
      <x/>
    </i>
    <i i="1">
      <x v="1"/>
    </i>
    <i i="2">
      <x v="2"/>
    </i>
  </colItems>
  <dataFields count="3">
    <dataField name="CD4-yield" fld="45" baseField="8" baseItem="0"/>
    <dataField name="LAM_pos%" fld="43" baseField="8" baseItem="0"/>
    <dataField name="CrAG_pos%" fld="44" baseField="8" baseItem="0"/>
  </dataFields>
  <formats count="2">
    <format dxfId="365">
      <pivotArea outline="0" collapsedLevelsAreSubtotals="1" fieldPosition="0"/>
    </format>
    <format dxfId="364">
      <pivotArea dataOnly="0" labelOnly="1" outline="0" fieldPosition="0">
        <references count="1">
          <reference field="4294967294" count="3">
            <x v="0"/>
            <x v="1"/>
            <x v="2"/>
          </reference>
        </references>
      </pivotArea>
    </format>
  </formats>
  <chartFormats count="6">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8" format="2" series="1">
      <pivotArea type="data" outline="0" fieldPosition="0">
        <references count="1">
          <reference field="4294967294" count="1" selected="0">
            <x v="2"/>
          </reference>
        </references>
      </pivotArea>
    </chartFormat>
    <chartFormat chart="13" format="3"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1"/>
          </reference>
        </references>
      </pivotArea>
    </chartFormat>
    <chartFormat chart="13" format="5"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1A7C02D-2E61-466B-A190-2085D611AC49}"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F3:AJ19" firstHeaderRow="0" firstDataRow="1" firstDataCol="1"/>
  <pivotFields count="46">
    <pivotField showAll="0"/>
    <pivotField showAll="0"/>
    <pivotField showAll="0"/>
    <pivotField showAll="0"/>
    <pivotField showAll="0"/>
    <pivotField showAll="0"/>
    <pivotField showAll="0"/>
    <pivotField axis="axisRow" showAll="0">
      <items count="5">
        <item x="0"/>
        <item x="1"/>
        <item x="2"/>
        <item x="3"/>
        <item t="default"/>
      </items>
    </pivotField>
    <pivotField showAll="0"/>
    <pivotField showAll="0"/>
    <pivotField axis="axisRow" showAll="0">
      <items count="7">
        <item m="1" x="5"/>
        <item x="2"/>
        <item x="3"/>
        <item x="1"/>
        <item x="0"/>
        <item x="4"/>
        <item t="default"/>
      </items>
    </pivotField>
    <pivotField showAll="0"/>
    <pivotField showAll="0"/>
    <pivotField showAll="0"/>
    <pivotField showAll="0"/>
    <pivotField showAll="0"/>
    <pivotField showAll="0"/>
    <pivotField name="Total_number_of_ROC" dataField="1" showAll="0" sumSubtotal="1"/>
    <pivotField showAll="0"/>
    <pivotField showAll="0"/>
    <pivotField showAll="0"/>
    <pivotField showAll="0"/>
    <pivotField showAll="0"/>
    <pivotField dataField="1" showAll="0"/>
    <pivotField showAll="0"/>
    <pivotField dataField="1"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2">
    <field x="7"/>
    <field x="10"/>
  </rowFields>
  <rowItems count="16">
    <i>
      <x/>
    </i>
    <i r="1">
      <x v="1"/>
    </i>
    <i r="1">
      <x v="3"/>
    </i>
    <i r="1">
      <x v="4"/>
    </i>
    <i>
      <x v="1"/>
    </i>
    <i r="1">
      <x v="1"/>
    </i>
    <i r="1">
      <x v="2"/>
    </i>
    <i r="1">
      <x v="3"/>
    </i>
    <i r="1">
      <x v="4"/>
    </i>
    <i>
      <x v="2"/>
    </i>
    <i r="1">
      <x v="1"/>
    </i>
    <i r="1">
      <x v="2"/>
    </i>
    <i r="1">
      <x v="3"/>
    </i>
    <i>
      <x v="3"/>
    </i>
    <i r="1">
      <x v="5"/>
    </i>
    <i t="grand">
      <x/>
    </i>
  </rowItems>
  <colFields count="1">
    <field x="-2"/>
  </colFields>
  <colItems count="4">
    <i>
      <x/>
    </i>
    <i i="1">
      <x v="1"/>
    </i>
    <i i="2">
      <x v="2"/>
    </i>
    <i i="3">
      <x v="3"/>
    </i>
  </colItems>
  <dataFields count="4">
    <dataField name="Sum of Total_number_of_ROC" fld="17" baseField="0" baseItem="0"/>
    <dataField name="Sum of CD4_tests" fld="23" baseField="0" baseItem="0"/>
    <dataField name="Sum of CrAg_tests" fld="25" baseField="0" baseItem="0"/>
    <dataField name="Sum of LAM_tests" fld="29" baseField="0" baseItem="0"/>
  </dataFields>
  <chartFormats count="4">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B16FFB4-EF70-4FA8-9FA6-A7B782A9EDC5}"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Z3:AD19" firstHeaderRow="0" firstDataRow="1" firstDataCol="1"/>
  <pivotFields count="46">
    <pivotField showAll="0"/>
    <pivotField showAll="0"/>
    <pivotField showAll="0"/>
    <pivotField showAll="0"/>
    <pivotField showAll="0"/>
    <pivotField showAll="0"/>
    <pivotField showAll="0"/>
    <pivotField axis="axisRow" showAll="0">
      <items count="5">
        <item x="0"/>
        <item x="1"/>
        <item x="2"/>
        <item x="3"/>
        <item t="default"/>
      </items>
    </pivotField>
    <pivotField showAll="0"/>
    <pivotField showAll="0"/>
    <pivotField axis="axisRow" showAll="0">
      <items count="7">
        <item m="1" x="5"/>
        <item x="2"/>
        <item x="3"/>
        <item x="1"/>
        <item x="0"/>
        <item x="4"/>
        <item t="default"/>
      </items>
    </pivotField>
    <pivotField showAll="0"/>
    <pivotField showAll="0"/>
    <pivotField showAll="0"/>
    <pivotField showAll="0"/>
    <pivotField showAll="0"/>
    <pivotField showAll="0"/>
    <pivotField name="Total_number_of_ROC" dataField="1" showAll="0" sumSubtotal="1"/>
    <pivotField showAll="0"/>
    <pivotField showAll="0"/>
    <pivotField showAll="0"/>
    <pivotField showAll="0"/>
    <pivotField showAll="0"/>
    <pivotField dataField="1" showAll="0"/>
    <pivotField showAll="0"/>
    <pivotField dataField="1"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2">
    <field x="7"/>
    <field x="10"/>
  </rowFields>
  <rowItems count="16">
    <i>
      <x/>
    </i>
    <i r="1">
      <x v="1"/>
    </i>
    <i r="1">
      <x v="3"/>
    </i>
    <i r="1">
      <x v="4"/>
    </i>
    <i>
      <x v="1"/>
    </i>
    <i r="1">
      <x v="1"/>
    </i>
    <i r="1">
      <x v="2"/>
    </i>
    <i r="1">
      <x v="3"/>
    </i>
    <i r="1">
      <x v="4"/>
    </i>
    <i>
      <x v="2"/>
    </i>
    <i r="1">
      <x v="1"/>
    </i>
    <i r="1">
      <x v="2"/>
    </i>
    <i r="1">
      <x v="3"/>
    </i>
    <i>
      <x v="3"/>
    </i>
    <i r="1">
      <x v="5"/>
    </i>
    <i t="grand">
      <x/>
    </i>
  </rowItems>
  <colFields count="1">
    <field x="-2"/>
  </colFields>
  <colItems count="4">
    <i>
      <x/>
    </i>
    <i i="1">
      <x v="1"/>
    </i>
    <i i="2">
      <x v="2"/>
    </i>
    <i i="3">
      <x v="3"/>
    </i>
  </colItems>
  <dataFields count="4">
    <dataField name="Sum of Total_number_of_ROC" fld="17" baseField="0" baseItem="0"/>
    <dataField name="Sum of CD4_tests" fld="23" baseField="0" baseItem="0"/>
    <dataField name="Sum of CrAg_tests" fld="25" baseField="0" baseItem="0"/>
    <dataField name="Sum of LAM_tests" fld="29" baseField="0" baseItem="0"/>
  </dataFields>
  <chartFormats count="4">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E187B9F-E916-44A4-86AB-5F33F33AD179}"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I13" firstHeaderRow="0" firstDataRow="1" firstDataCol="1"/>
  <pivotFields count="43">
    <pivotField showAll="0"/>
    <pivotField showAll="0"/>
    <pivotField showAll="0"/>
    <pivotField showAll="0"/>
    <pivotField showAll="0"/>
    <pivotField showAll="0"/>
    <pivotField showAll="0"/>
    <pivotField showAll="0">
      <items count="5">
        <item x="0"/>
        <item x="1"/>
        <item x="2"/>
        <item x="3"/>
        <item t="default"/>
      </items>
    </pivotField>
    <pivotField axis="axisRow" showAll="0">
      <items count="7">
        <item h="1" x="1"/>
        <item x="0"/>
        <item x="2"/>
        <item h="1" m="1" x="4"/>
        <item h="1" m="1" x="5"/>
        <item h="1" x="3"/>
        <item t="default"/>
      </items>
    </pivotField>
    <pivotField showAll="0"/>
    <pivotField showAll="0"/>
    <pivotField axis="axisRow" showAll="0">
      <items count="6">
        <item x="0"/>
        <item x="2"/>
        <item x="3"/>
        <item x="1"/>
        <item x="4"/>
        <item t="default"/>
      </items>
    </pivotField>
    <pivotField showAll="0"/>
    <pivotField showAll="0">
      <items count="15">
        <item x="4"/>
        <item x="5"/>
        <item x="3"/>
        <item x="7"/>
        <item x="6"/>
        <item x="8"/>
        <item x="9"/>
        <item x="10"/>
        <item x="2"/>
        <item x="0"/>
        <item x="1"/>
        <item x="11"/>
        <item x="13"/>
        <item x="12"/>
        <item t="default"/>
      </items>
    </pivotField>
    <pivotField showAll="0"/>
    <pivotField showAll="0"/>
    <pivotField showAll="0">
      <items count="9">
        <item x="0"/>
        <item h="1" x="2"/>
        <item h="1" x="3"/>
        <item x="6"/>
        <item h="1" x="1"/>
        <item h="1" x="4"/>
        <item h="1" x="5"/>
        <item h="1"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s>
  <rowFields count="2">
    <field x="8"/>
    <field x="11"/>
  </rowFields>
  <rowItems count="10">
    <i>
      <x v="1"/>
    </i>
    <i r="1">
      <x/>
    </i>
    <i r="1">
      <x v="1"/>
    </i>
    <i r="1">
      <x v="2"/>
    </i>
    <i r="1">
      <x v="3"/>
    </i>
    <i>
      <x v="2"/>
    </i>
    <i r="1">
      <x/>
    </i>
    <i r="1">
      <x v="1"/>
    </i>
    <i r="1">
      <x v="2"/>
    </i>
    <i t="grand">
      <x/>
    </i>
  </rowItems>
  <colFields count="1">
    <field x="-2"/>
  </colFields>
  <colItems count="8">
    <i>
      <x/>
    </i>
    <i i="1">
      <x v="1"/>
    </i>
    <i i="2">
      <x v="2"/>
    </i>
    <i i="3">
      <x v="3"/>
    </i>
    <i i="4">
      <x v="4"/>
    </i>
    <i i="5">
      <x v="5"/>
    </i>
    <i i="6">
      <x v="6"/>
    </i>
    <i i="7">
      <x v="7"/>
    </i>
  </colItems>
  <dataFields count="8">
    <dataField name="Sum of Gene_Xpert_done" fld="31" baseField="0" baseItem="0"/>
    <dataField name="Sum of Gene_Xpert+" fld="32" baseField="0" baseItem="0"/>
    <dataField name="Sum of Chest_Xlay" fld="33" baseField="0" baseItem="0"/>
    <dataField name="Sum of Chest_Xlay_abnormal" fld="34" baseField="0" baseItem="0"/>
    <dataField name="Sum of FASH" fld="35" baseField="0" baseItem="0"/>
    <dataField name="Sum of FASH+" fld="36" baseField="0" baseItem="0"/>
    <dataField name="Sum of LAM_tests" fld="29" baseField="0" baseItem="0"/>
    <dataField name="Sum of LAM+" fld="3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D968A7F-9EED-47F7-A99C-E9C99E40EEFC}"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D3:I13" firstHeaderRow="0" firstDataRow="1" firstDataCol="1"/>
  <pivotFields count="46">
    <pivotField showAll="0"/>
    <pivotField showAll="0"/>
    <pivotField showAll="0"/>
    <pivotField showAll="0"/>
    <pivotField showAll="0"/>
    <pivotField showAll="0">
      <items count="16">
        <item x="0"/>
        <item x="1"/>
        <item x="2"/>
        <item x="3"/>
        <item x="4"/>
        <item x="5"/>
        <item x="6"/>
        <item x="7"/>
        <item x="8"/>
        <item x="9"/>
        <item x="10"/>
        <item x="11"/>
        <item x="12"/>
        <item x="13"/>
        <item x="14"/>
        <item t="default"/>
      </items>
    </pivotField>
    <pivotField showAll="0"/>
    <pivotField showAll="0">
      <items count="5">
        <item h="1" x="0"/>
        <item x="1"/>
        <item x="2"/>
        <item x="3"/>
        <item t="default"/>
      </items>
    </pivotField>
    <pivotField showAll="0"/>
    <pivotField axis="axisRow" showAll="0">
      <items count="5">
        <item x="1"/>
        <item x="0"/>
        <item x="2"/>
        <item x="3"/>
        <item t="default"/>
      </items>
    </pivotField>
    <pivotField showAll="0">
      <items count="7">
        <item m="1" x="5"/>
        <item x="2"/>
        <item x="3"/>
        <item x="1"/>
        <item x="0"/>
        <item x="4"/>
        <item t="default"/>
      </items>
    </pivotField>
    <pivotField showAll="0"/>
    <pivotField axis="axisRow" showAll="0">
      <items count="6">
        <item x="0"/>
        <item x="2"/>
        <item x="3"/>
        <item x="1"/>
        <item x="4"/>
        <item t="default"/>
      </items>
    </pivotField>
    <pivotField showAll="0">
      <items count="15">
        <item x="4"/>
        <item x="5"/>
        <item x="3"/>
        <item x="7"/>
        <item x="6"/>
        <item x="8"/>
        <item x="9"/>
        <item x="10"/>
        <item x="2"/>
        <item x="0"/>
        <item x="1"/>
        <item x="11"/>
        <item x="13"/>
        <item x="12"/>
        <item t="default"/>
      </items>
    </pivotField>
    <pivotField showAll="0"/>
    <pivotField showAll="0"/>
    <pivotField showAll="0">
      <items count="9">
        <item h="1" x="0"/>
        <item h="1" x="2"/>
        <item h="1" x="3"/>
        <item h="1" x="6"/>
        <item x="1"/>
        <item h="1" x="4"/>
        <item h="1" x="5"/>
        <item h="1" x="7"/>
        <item t="default"/>
      </items>
    </pivotField>
    <pivotField name="Total_number_of_ROC" dataField="1" showAll="0" sumSubtotal="1"/>
    <pivotField showAll="0"/>
    <pivotField showAll="0"/>
    <pivotField showAll="0"/>
    <pivotField showAll="0"/>
    <pivotField showAll="0"/>
    <pivotField dataField="1" showAll="0"/>
    <pivotField showAll="0"/>
    <pivotField dataField="1"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2">
    <field x="9"/>
    <field x="12"/>
  </rowFields>
  <rowItems count="10">
    <i>
      <x v="1"/>
    </i>
    <i r="1">
      <x v="1"/>
    </i>
    <i r="1">
      <x v="2"/>
    </i>
    <i r="1">
      <x v="3"/>
    </i>
    <i>
      <x v="2"/>
    </i>
    <i r="1">
      <x/>
    </i>
    <i r="1">
      <x v="1"/>
    </i>
    <i>
      <x v="3"/>
    </i>
    <i r="1">
      <x v="4"/>
    </i>
    <i t="grand">
      <x/>
    </i>
  </rowItems>
  <colFields count="1">
    <field x="-2"/>
  </colFields>
  <colItems count="5">
    <i>
      <x/>
    </i>
    <i i="1">
      <x v="1"/>
    </i>
    <i i="2">
      <x v="2"/>
    </i>
    <i i="3">
      <x v="3"/>
    </i>
    <i i="4">
      <x v="4"/>
    </i>
  </colItems>
  <dataFields count="5">
    <dataField name="Total number_of_ROC" fld="17" baseField="8" baseItem="0"/>
    <dataField name="CD4 tests" fld="23" baseField="8" baseItem="0"/>
    <dataField name="CrAg tests" fld="25" baseField="8" baseItem="0"/>
    <dataField name="LAM tests" fld="29" baseField="8" baseItem="0"/>
    <dataField name="CD4_Cov%" fld="41" baseField="7" baseItem="1" numFmtId="9"/>
  </dataFields>
  <chartFormats count="5">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1" format="5" series="1">
      <pivotArea type="data" outline="0" fieldPosition="0">
        <references count="1">
          <reference field="4294967294" count="1" selected="0">
            <x v="0"/>
          </reference>
        </references>
      </pivotArea>
    </chartFormat>
    <chartFormat chart="1" format="6"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2B06A4D-EAD3-474A-96BD-F7E595FBEC55}"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L3:O13" firstHeaderRow="0" firstDataRow="1" firstDataCol="1"/>
  <pivotFields count="46">
    <pivotField showAll="0"/>
    <pivotField showAll="0"/>
    <pivotField showAll="0"/>
    <pivotField showAll="0"/>
    <pivotField showAll="0"/>
    <pivotField showAll="0">
      <items count="16">
        <item x="0"/>
        <item x="1"/>
        <item x="2"/>
        <item x="3"/>
        <item x="4"/>
        <item x="5"/>
        <item x="6"/>
        <item x="7"/>
        <item x="8"/>
        <item x="9"/>
        <item x="10"/>
        <item x="11"/>
        <item x="12"/>
        <item x="13"/>
        <item x="14"/>
        <item t="default"/>
      </items>
    </pivotField>
    <pivotField showAll="0"/>
    <pivotField showAll="0">
      <items count="5">
        <item h="1" x="0"/>
        <item x="1"/>
        <item x="2"/>
        <item x="3"/>
        <item t="default"/>
      </items>
    </pivotField>
    <pivotField showAll="0"/>
    <pivotField axis="axisRow" showAll="0">
      <items count="5">
        <item x="1"/>
        <item x="0"/>
        <item x="2"/>
        <item x="3"/>
        <item t="default"/>
      </items>
    </pivotField>
    <pivotField showAll="0">
      <items count="7">
        <item m="1" x="5"/>
        <item x="2"/>
        <item x="3"/>
        <item x="1"/>
        <item x="0"/>
        <item x="4"/>
        <item t="default"/>
      </items>
    </pivotField>
    <pivotField showAll="0"/>
    <pivotField axis="axisRow" showAll="0">
      <items count="6">
        <item x="0"/>
        <item x="2"/>
        <item x="3"/>
        <item x="1"/>
        <item x="4"/>
        <item t="default"/>
      </items>
    </pivotField>
    <pivotField showAll="0"/>
    <pivotField showAll="0"/>
    <pivotField showAll="0"/>
    <pivotField showAll="0">
      <items count="9">
        <item h="1" x="0"/>
        <item h="1" x="2"/>
        <item h="1" x="3"/>
        <item h="1" x="6"/>
        <item x="1"/>
        <item h="1" x="4"/>
        <item h="1" x="5"/>
        <item h="1" x="7"/>
        <item t="default"/>
      </items>
    </pivotField>
    <pivotField name="Total_number_of_ROC" showAll="0" sumSubtotal="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ataField="1" dragToRow="0" dragToCol="0" dragToPage="0" showAll="0" defaultSubtotal="0"/>
    <pivotField dataField="1" dragToRow="0" dragToCol="0" dragToPage="0" showAll="0" defaultSubtotal="0"/>
    <pivotField dataField="1" dragToRow="0" dragToCol="0" dragToPage="0" showAll="0" defaultSubtotal="0"/>
  </pivotFields>
  <rowFields count="2">
    <field x="9"/>
    <field x="12"/>
  </rowFields>
  <rowItems count="10">
    <i>
      <x v="1"/>
    </i>
    <i r="1">
      <x v="1"/>
    </i>
    <i r="1">
      <x v="2"/>
    </i>
    <i r="1">
      <x v="3"/>
    </i>
    <i>
      <x v="2"/>
    </i>
    <i r="1">
      <x/>
    </i>
    <i r="1">
      <x v="1"/>
    </i>
    <i>
      <x v="3"/>
    </i>
    <i r="1">
      <x v="4"/>
    </i>
    <i t="grand">
      <x/>
    </i>
  </rowItems>
  <colFields count="1">
    <field x="-2"/>
  </colFields>
  <colItems count="3">
    <i>
      <x/>
    </i>
    <i i="1">
      <x v="1"/>
    </i>
    <i i="2">
      <x v="2"/>
    </i>
  </colItems>
  <dataFields count="3">
    <dataField name="CrAG +%" fld="44" baseField="8" baseItem="0" numFmtId="9"/>
    <dataField name="CD4_&lt;200" fld="45" baseField="8" baseItem="0" numFmtId="9"/>
    <dataField name="LAM +%" fld="43" baseField="8" baseItem="0" numFmtId="9"/>
  </dataFields>
  <chartFormats count="4">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8" format="2" series="1">
      <pivotArea type="data" outline="0" fieldPosition="0">
        <references count="1">
          <reference field="4294967294" count="1" selected="0">
            <x v="2"/>
          </reference>
        </references>
      </pivotArea>
    </chartFormat>
    <chartFormat chart="8" format="4">
      <pivotArea type="data" outline="0" fieldPosition="0">
        <references count="3">
          <reference field="4294967294" count="1" selected="0">
            <x v="2"/>
          </reference>
          <reference field="9"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1043F8A-1D05-43E0-8025-8977B810FBF1}"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F3:AJ19" firstHeaderRow="0" firstDataRow="1" firstDataCol="1"/>
  <pivotFields count="46">
    <pivotField showAll="0"/>
    <pivotField showAll="0"/>
    <pivotField showAll="0"/>
    <pivotField showAll="0"/>
    <pivotField showAll="0"/>
    <pivotField showAll="0"/>
    <pivotField showAll="0"/>
    <pivotField axis="axisRow" showAll="0">
      <items count="5">
        <item x="0"/>
        <item x="1"/>
        <item x="2"/>
        <item x="3"/>
        <item t="default"/>
      </items>
    </pivotField>
    <pivotField showAll="0"/>
    <pivotField showAll="0"/>
    <pivotField axis="axisRow" showAll="0">
      <items count="7">
        <item m="1" x="5"/>
        <item x="2"/>
        <item x="3"/>
        <item x="1"/>
        <item x="0"/>
        <item x="4"/>
        <item t="default"/>
      </items>
    </pivotField>
    <pivotField showAll="0"/>
    <pivotField showAll="0"/>
    <pivotField showAll="0"/>
    <pivotField showAll="0"/>
    <pivotField showAll="0"/>
    <pivotField showAll="0"/>
    <pivotField name="Total_number_of_ROC" dataField="1" showAll="0" sumSubtotal="1"/>
    <pivotField showAll="0"/>
    <pivotField showAll="0"/>
    <pivotField showAll="0"/>
    <pivotField showAll="0"/>
    <pivotField showAll="0"/>
    <pivotField dataField="1" showAll="0"/>
    <pivotField showAll="0"/>
    <pivotField dataField="1"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2">
    <field x="7"/>
    <field x="10"/>
  </rowFields>
  <rowItems count="16">
    <i>
      <x/>
    </i>
    <i r="1">
      <x v="1"/>
    </i>
    <i r="1">
      <x v="3"/>
    </i>
    <i r="1">
      <x v="4"/>
    </i>
    <i>
      <x v="1"/>
    </i>
    <i r="1">
      <x v="1"/>
    </i>
    <i r="1">
      <x v="2"/>
    </i>
    <i r="1">
      <x v="3"/>
    </i>
    <i r="1">
      <x v="4"/>
    </i>
    <i>
      <x v="2"/>
    </i>
    <i r="1">
      <x v="1"/>
    </i>
    <i r="1">
      <x v="2"/>
    </i>
    <i r="1">
      <x v="3"/>
    </i>
    <i>
      <x v="3"/>
    </i>
    <i r="1">
      <x v="5"/>
    </i>
    <i t="grand">
      <x/>
    </i>
  </rowItems>
  <colFields count="1">
    <field x="-2"/>
  </colFields>
  <colItems count="4">
    <i>
      <x/>
    </i>
    <i i="1">
      <x v="1"/>
    </i>
    <i i="2">
      <x v="2"/>
    </i>
    <i i="3">
      <x v="3"/>
    </i>
  </colItems>
  <dataFields count="4">
    <dataField name="Sum of Total_number_of_ROC" fld="17" baseField="0" baseItem="0"/>
    <dataField name="Sum of CD4_tests" fld="23" baseField="0" baseItem="0"/>
    <dataField name="Sum of CrAg_tests" fld="25" baseField="0" baseItem="0"/>
    <dataField name="Sum of LAM_tests" fld="29" baseField="0" baseItem="0"/>
  </dataFields>
  <chartFormats count="4">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39C2DB9-98BB-437F-9DA4-EC1D25968F59}"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Z3:AD19" firstHeaderRow="0" firstDataRow="1" firstDataCol="1"/>
  <pivotFields count="46">
    <pivotField showAll="0"/>
    <pivotField showAll="0"/>
    <pivotField showAll="0"/>
    <pivotField showAll="0"/>
    <pivotField showAll="0"/>
    <pivotField showAll="0"/>
    <pivotField showAll="0"/>
    <pivotField axis="axisRow" showAll="0">
      <items count="5">
        <item x="0"/>
        <item x="1"/>
        <item x="2"/>
        <item x="3"/>
        <item t="default"/>
      </items>
    </pivotField>
    <pivotField showAll="0"/>
    <pivotField showAll="0">
      <items count="5">
        <item x="1"/>
        <item x="0"/>
        <item x="2"/>
        <item x="3"/>
        <item t="default"/>
      </items>
    </pivotField>
    <pivotField axis="axisRow" showAll="0">
      <items count="7">
        <item m="1" x="5"/>
        <item x="2"/>
        <item x="3"/>
        <item x="1"/>
        <item x="0"/>
        <item x="4"/>
        <item t="default"/>
      </items>
    </pivotField>
    <pivotField showAll="0"/>
    <pivotField showAll="0"/>
    <pivotField showAll="0"/>
    <pivotField showAll="0"/>
    <pivotField showAll="0"/>
    <pivotField showAll="0"/>
    <pivotField name="Total_number_of_ROC" dataField="1" showAll="0" sumSubtotal="1"/>
    <pivotField showAll="0"/>
    <pivotField showAll="0"/>
    <pivotField showAll="0"/>
    <pivotField showAll="0"/>
    <pivotField showAll="0"/>
    <pivotField dataField="1" showAll="0"/>
    <pivotField showAll="0"/>
    <pivotField dataField="1"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2">
    <field x="7"/>
    <field x="10"/>
  </rowFields>
  <rowItems count="16">
    <i>
      <x/>
    </i>
    <i r="1">
      <x v="1"/>
    </i>
    <i r="1">
      <x v="3"/>
    </i>
    <i r="1">
      <x v="4"/>
    </i>
    <i>
      <x v="1"/>
    </i>
    <i r="1">
      <x v="1"/>
    </i>
    <i r="1">
      <x v="2"/>
    </i>
    <i r="1">
      <x v="3"/>
    </i>
    <i r="1">
      <x v="4"/>
    </i>
    <i>
      <x v="2"/>
    </i>
    <i r="1">
      <x v="1"/>
    </i>
    <i r="1">
      <x v="2"/>
    </i>
    <i r="1">
      <x v="3"/>
    </i>
    <i>
      <x v="3"/>
    </i>
    <i r="1">
      <x v="5"/>
    </i>
    <i t="grand">
      <x/>
    </i>
  </rowItems>
  <colFields count="1">
    <field x="-2"/>
  </colFields>
  <colItems count="4">
    <i>
      <x/>
    </i>
    <i i="1">
      <x v="1"/>
    </i>
    <i i="2">
      <x v="2"/>
    </i>
    <i i="3">
      <x v="3"/>
    </i>
  </colItems>
  <dataFields count="4">
    <dataField name="Sum of Total_number_of_ROC" fld="17" baseField="0" baseItem="0"/>
    <dataField name="Sum of CD4_tests" fld="23" baseField="0" baseItem="0"/>
    <dataField name="Sum of CrAg_tests" fld="25" baseField="0" baseItem="0"/>
    <dataField name="Sum of LAM_tests" fld="29" baseField="0" baseItem="0"/>
  </dataFields>
  <chartFormats count="4">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795BE51-190F-4F89-A761-90E603270AB7}"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Z3:AD19" firstHeaderRow="0" firstDataRow="1" firstDataCol="1"/>
  <pivotFields count="46">
    <pivotField showAll="0"/>
    <pivotField showAll="0"/>
    <pivotField showAll="0"/>
    <pivotField showAll="0"/>
    <pivotField showAll="0"/>
    <pivotField showAll="0"/>
    <pivotField showAll="0"/>
    <pivotField axis="axisRow" showAll="0">
      <items count="5">
        <item x="0"/>
        <item x="1"/>
        <item x="2"/>
        <item x="3"/>
        <item t="default"/>
      </items>
    </pivotField>
    <pivotField showAll="0"/>
    <pivotField showAll="0"/>
    <pivotField axis="axisRow" showAll="0">
      <items count="7">
        <item m="1" x="5"/>
        <item x="2"/>
        <item x="3"/>
        <item x="1"/>
        <item x="0"/>
        <item x="4"/>
        <item t="default"/>
      </items>
    </pivotField>
    <pivotField showAll="0"/>
    <pivotField showAll="0"/>
    <pivotField showAll="0"/>
    <pivotField showAll="0"/>
    <pivotField showAll="0"/>
    <pivotField showAll="0"/>
    <pivotField name="Total_number_of_ROC" dataField="1" showAll="0" sumSubtotal="1"/>
    <pivotField showAll="0"/>
    <pivotField showAll="0"/>
    <pivotField showAll="0"/>
    <pivotField showAll="0"/>
    <pivotField showAll="0"/>
    <pivotField dataField="1" showAll="0"/>
    <pivotField showAll="0"/>
    <pivotField dataField="1"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2">
    <field x="7"/>
    <field x="10"/>
  </rowFields>
  <rowItems count="16">
    <i>
      <x/>
    </i>
    <i r="1">
      <x v="1"/>
    </i>
    <i r="1">
      <x v="3"/>
    </i>
    <i r="1">
      <x v="4"/>
    </i>
    <i>
      <x v="1"/>
    </i>
    <i r="1">
      <x v="1"/>
    </i>
    <i r="1">
      <x v="2"/>
    </i>
    <i r="1">
      <x v="3"/>
    </i>
    <i r="1">
      <x v="4"/>
    </i>
    <i>
      <x v="2"/>
    </i>
    <i r="1">
      <x v="1"/>
    </i>
    <i r="1">
      <x v="2"/>
    </i>
    <i r="1">
      <x v="3"/>
    </i>
    <i>
      <x v="3"/>
    </i>
    <i r="1">
      <x v="5"/>
    </i>
    <i t="grand">
      <x/>
    </i>
  </rowItems>
  <colFields count="1">
    <field x="-2"/>
  </colFields>
  <colItems count="4">
    <i>
      <x/>
    </i>
    <i i="1">
      <x v="1"/>
    </i>
    <i i="2">
      <x v="2"/>
    </i>
    <i i="3">
      <x v="3"/>
    </i>
  </colItems>
  <dataFields count="4">
    <dataField name="Sum of Total_number_of_ROC" fld="17" baseField="0" baseItem="0"/>
    <dataField name="Sum of CD4_tests" fld="23" baseField="0" baseItem="0"/>
    <dataField name="Sum of CrAg_tests" fld="25" baseField="0" baseItem="0"/>
    <dataField name="Sum of LAM_tests" fld="29" baseField="0" baseItem="0"/>
  </dataFields>
  <chartFormats count="4">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35D9080-1A34-47C1-B771-C32B887B25E6}"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D3:H16" firstHeaderRow="0" firstDataRow="1" firstDataCol="1"/>
  <pivotFields count="46">
    <pivotField showAll="0"/>
    <pivotField showAll="0"/>
    <pivotField showAll="0"/>
    <pivotField showAll="0"/>
    <pivotField showAll="0"/>
    <pivotField showAll="0">
      <items count="16">
        <item x="0"/>
        <item x="1"/>
        <item x="2"/>
        <item x="3"/>
        <item x="4"/>
        <item x="5"/>
        <item x="6"/>
        <item x="7"/>
        <item x="8"/>
        <item x="9"/>
        <item x="10"/>
        <item x="11"/>
        <item x="12"/>
        <item x="13"/>
        <item x="14"/>
        <item t="default"/>
      </items>
    </pivotField>
    <pivotField showAll="0"/>
    <pivotField showAll="0">
      <items count="5">
        <item x="0"/>
        <item x="1"/>
        <item x="2"/>
        <item x="3"/>
        <item t="default"/>
      </items>
    </pivotField>
    <pivotField showAll="0"/>
    <pivotField axis="axisRow" showAll="0">
      <items count="5">
        <item x="1"/>
        <item x="0"/>
        <item x="2"/>
        <item x="3"/>
        <item t="default"/>
      </items>
    </pivotField>
    <pivotField showAll="0">
      <items count="7">
        <item h="1" m="1" x="5"/>
        <item x="2"/>
        <item x="3"/>
        <item x="1"/>
        <item x="0"/>
        <item h="1" x="4"/>
        <item t="default"/>
      </items>
    </pivotField>
    <pivotField showAll="0"/>
    <pivotField axis="axisRow" showAll="0">
      <items count="6">
        <item x="0"/>
        <item x="2"/>
        <item x="3"/>
        <item x="1"/>
        <item x="4"/>
        <item t="default"/>
      </items>
    </pivotField>
    <pivotField showAll="0"/>
    <pivotField showAll="0"/>
    <pivotField showAll="0"/>
    <pivotField showAll="0">
      <items count="9">
        <item h="1" x="0"/>
        <item h="1" x="2"/>
        <item x="3"/>
        <item h="1" x="6"/>
        <item h="1" x="1"/>
        <item h="1" x="4"/>
        <item h="1" x="5"/>
        <item h="1" x="7"/>
        <item t="default"/>
      </items>
    </pivotField>
    <pivotField name="Total_number_of_ROC" dataField="1" showAll="0" sumSubtotal="1"/>
    <pivotField showAll="0"/>
    <pivotField showAll="0"/>
    <pivotField showAll="0"/>
    <pivotField showAll="0"/>
    <pivotField showAll="0"/>
    <pivotField showAll="0"/>
    <pivotField showAll="0"/>
    <pivotField dataField="1"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2">
    <field x="9"/>
    <field x="12"/>
  </rowFields>
  <rowItems count="13">
    <i>
      <x/>
    </i>
    <i r="1">
      <x v="3"/>
    </i>
    <i>
      <x v="1"/>
    </i>
    <i r="1">
      <x/>
    </i>
    <i r="1">
      <x v="1"/>
    </i>
    <i r="1">
      <x v="2"/>
    </i>
    <i r="1">
      <x v="3"/>
    </i>
    <i>
      <x v="2"/>
    </i>
    <i r="1">
      <x/>
    </i>
    <i r="1">
      <x v="1"/>
    </i>
    <i>
      <x v="3"/>
    </i>
    <i r="1">
      <x v="4"/>
    </i>
    <i t="grand">
      <x/>
    </i>
  </rowItems>
  <colFields count="1">
    <field x="-2"/>
  </colFields>
  <colItems count="4">
    <i>
      <x/>
    </i>
    <i i="1">
      <x v="1"/>
    </i>
    <i i="2">
      <x v="2"/>
    </i>
    <i i="3">
      <x v="3"/>
    </i>
  </colItems>
  <dataFields count="4">
    <dataField name="Total-number-of-ROC" fld="17" baseField="7" baseItem="1"/>
    <dataField name="CrAg-tests" fld="25" baseField="7" baseItem="1"/>
    <dataField name="LAM-tests" fld="29" baseField="0" baseItem="0"/>
    <dataField name="LAM-cov%" fld="42" baseField="8" baseItem="1" numFmtId="9"/>
  </dataFields>
  <chartFormats count="18">
    <chartFormat chart="1" format="2" series="1">
      <pivotArea type="data" outline="0" fieldPosition="0">
        <references count="1">
          <reference field="4294967294" count="1" selected="0">
            <x v="1"/>
          </reference>
        </references>
      </pivotArea>
    </chartFormat>
    <chartFormat chart="1" format="3" series="1">
      <pivotArea type="data" outline="0" fieldPosition="0">
        <references count="1">
          <reference field="4294967294" count="1" selected="0">
            <x v="2"/>
          </reference>
        </references>
      </pivotArea>
    </chartFormat>
    <chartFormat chart="1" format="5"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0"/>
          </reference>
        </references>
      </pivotArea>
    </chartFormat>
    <chartFormat chart="6" format="12" series="1">
      <pivotArea type="data" outline="0" fieldPosition="0">
        <references count="1">
          <reference field="4294967294" count="1" selected="0">
            <x v="1"/>
          </reference>
        </references>
      </pivotArea>
    </chartFormat>
    <chartFormat chart="6" format="13" series="1">
      <pivotArea type="data" outline="0" fieldPosition="0">
        <references count="1">
          <reference field="4294967294" count="1" selected="0">
            <x v="2"/>
          </reference>
        </references>
      </pivotArea>
    </chartFormat>
    <chartFormat chart="7" format="15" series="1">
      <pivotArea type="data" outline="0" fieldPosition="0">
        <references count="1">
          <reference field="4294967294" count="1" selected="0">
            <x v="0"/>
          </reference>
        </references>
      </pivotArea>
    </chartFormat>
    <chartFormat chart="7" format="17" series="1">
      <pivotArea type="data" outline="0" fieldPosition="0">
        <references count="1">
          <reference field="4294967294" count="1" selected="0">
            <x v="1"/>
          </reference>
        </references>
      </pivotArea>
    </chartFormat>
    <chartFormat chart="7" format="18" series="1">
      <pivotArea type="data" outline="0" fieldPosition="0">
        <references count="1">
          <reference field="4294967294" count="1" selected="0">
            <x v="2"/>
          </reference>
        </references>
      </pivotArea>
    </chartFormat>
    <chartFormat chart="8" format="21" series="1">
      <pivotArea type="data" outline="0" fieldPosition="0">
        <references count="1">
          <reference field="4294967294" count="1" selected="0">
            <x v="0"/>
          </reference>
        </references>
      </pivotArea>
    </chartFormat>
    <chartFormat chart="8" format="23" series="1">
      <pivotArea type="data" outline="0" fieldPosition="0">
        <references count="1">
          <reference field="4294967294" count="1" selected="0">
            <x v="1"/>
          </reference>
        </references>
      </pivotArea>
    </chartFormat>
    <chartFormat chart="8" format="25" series="1">
      <pivotArea type="data" outline="0" fieldPosition="0">
        <references count="1">
          <reference field="4294967294" count="1" selected="0">
            <x v="2"/>
          </reference>
        </references>
      </pivotArea>
    </chartFormat>
    <chartFormat chart="9" format="27" series="1">
      <pivotArea type="data" outline="0" fieldPosition="0">
        <references count="1">
          <reference field="4294967294" count="1" selected="0">
            <x v="0"/>
          </reference>
        </references>
      </pivotArea>
    </chartFormat>
    <chartFormat chart="9" format="29" series="1">
      <pivotArea type="data" outline="0" fieldPosition="0">
        <references count="1">
          <reference field="4294967294" count="1" selected="0">
            <x v="1"/>
          </reference>
        </references>
      </pivotArea>
    </chartFormat>
    <chartFormat chart="9" format="31" series="1">
      <pivotArea type="data" outline="0" fieldPosition="0">
        <references count="1">
          <reference field="4294967294" count="1" selected="0">
            <x v="2"/>
          </reference>
        </references>
      </pivotArea>
    </chartFormat>
    <chartFormat chart="9" format="33" series="1">
      <pivotArea type="data" outline="0" fieldPosition="0">
        <references count="1">
          <reference field="4294967294" count="1" selected="0">
            <x v="3"/>
          </reference>
        </references>
      </pivotArea>
    </chartFormat>
    <chartFormat chart="9" format="34">
      <pivotArea type="data" outline="0" fieldPosition="0">
        <references count="3">
          <reference field="4294967294" count="1" selected="0">
            <x v="3"/>
          </reference>
          <reference field="9" count="1" selected="0">
            <x v="2"/>
          </reference>
          <reference field="12" count="1" selected="0">
            <x v="0"/>
          </reference>
        </references>
      </pivotArea>
    </chartFormat>
    <chartFormat chart="9" format="35">
      <pivotArea type="data" outline="0" fieldPosition="0">
        <references count="3">
          <reference field="4294967294" count="1" selected="0">
            <x v="3"/>
          </reference>
          <reference field="9" count="1" selected="0">
            <x v="1"/>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22E5953-DE59-4278-8B62-36F6FCCFBFD5}"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K3:M16" firstHeaderRow="0" firstDataRow="1" firstDataCol="1"/>
  <pivotFields count="46">
    <pivotField showAll="0"/>
    <pivotField showAll="0"/>
    <pivotField showAll="0"/>
    <pivotField showAll="0"/>
    <pivotField showAll="0"/>
    <pivotField showAll="0">
      <items count="16">
        <item x="0"/>
        <item x="1"/>
        <item x="2"/>
        <item x="3"/>
        <item x="4"/>
        <item x="5"/>
        <item x="6"/>
        <item x="7"/>
        <item x="8"/>
        <item x="9"/>
        <item x="10"/>
        <item x="11"/>
        <item x="12"/>
        <item x="13"/>
        <item x="14"/>
        <item t="default"/>
      </items>
    </pivotField>
    <pivotField showAll="0"/>
    <pivotField showAll="0">
      <items count="5">
        <item x="0"/>
        <item x="1"/>
        <item x="2"/>
        <item x="3"/>
        <item t="default"/>
      </items>
    </pivotField>
    <pivotField showAll="0"/>
    <pivotField axis="axisRow" showAll="0">
      <items count="5">
        <item x="1"/>
        <item x="0"/>
        <item x="2"/>
        <item x="3"/>
        <item t="default"/>
      </items>
    </pivotField>
    <pivotField showAll="0">
      <items count="7">
        <item h="1" m="1" x="5"/>
        <item x="2"/>
        <item x="3"/>
        <item x="1"/>
        <item x="0"/>
        <item h="1" x="4"/>
        <item t="default"/>
      </items>
    </pivotField>
    <pivotField showAll="0"/>
    <pivotField axis="axisRow" showAll="0">
      <items count="6">
        <item x="0"/>
        <item x="2"/>
        <item x="3"/>
        <item x="1"/>
        <item x="4"/>
        <item t="default"/>
      </items>
    </pivotField>
    <pivotField showAll="0"/>
    <pivotField showAll="0"/>
    <pivotField showAll="0"/>
    <pivotField showAll="0">
      <items count="9">
        <item h="1" x="0"/>
        <item h="1" x="2"/>
        <item x="3"/>
        <item h="1" x="6"/>
        <item h="1" x="1"/>
        <item h="1" x="4"/>
        <item h="1" x="5"/>
        <item h="1" x="7"/>
        <item t="default"/>
      </items>
    </pivotField>
    <pivotField name="Total_number_of_ROC" showAll="0" sumSubtotal="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ataField="1" dragToRow="0" dragToCol="0" dragToPage="0" showAll="0" defaultSubtotal="0"/>
    <pivotField dataField="1" dragToRow="0" dragToCol="0" dragToPage="0" showAll="0" defaultSubtotal="0"/>
    <pivotField dragToRow="0" dragToCol="0" dragToPage="0" showAll="0" defaultSubtotal="0"/>
  </pivotFields>
  <rowFields count="2">
    <field x="9"/>
    <field x="12"/>
  </rowFields>
  <rowItems count="13">
    <i>
      <x/>
    </i>
    <i r="1">
      <x v="3"/>
    </i>
    <i>
      <x v="1"/>
    </i>
    <i r="1">
      <x/>
    </i>
    <i r="1">
      <x v="1"/>
    </i>
    <i r="1">
      <x v="2"/>
    </i>
    <i r="1">
      <x v="3"/>
    </i>
    <i>
      <x v="2"/>
    </i>
    <i r="1">
      <x/>
    </i>
    <i r="1">
      <x v="1"/>
    </i>
    <i>
      <x v="3"/>
    </i>
    <i r="1">
      <x v="4"/>
    </i>
    <i t="grand">
      <x/>
    </i>
  </rowItems>
  <colFields count="1">
    <field x="-2"/>
  </colFields>
  <colItems count="2">
    <i>
      <x/>
    </i>
    <i i="1">
      <x v="1"/>
    </i>
  </colItems>
  <dataFields count="2">
    <dataField name="LAM_pos%" fld="43" baseField="8" baseItem="1" numFmtId="9"/>
    <dataField name="CrAG_pos+%" fld="44" baseField="8" baseItem="1" numFmtId="9"/>
  </dataFields>
  <chartFormats count="2">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E1D9ADB-CEDC-4E2E-B334-76322419FFF7}"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F3:AJ19" firstHeaderRow="0" firstDataRow="1" firstDataCol="1"/>
  <pivotFields count="46">
    <pivotField showAll="0"/>
    <pivotField showAll="0"/>
    <pivotField showAll="0"/>
    <pivotField showAll="0"/>
    <pivotField showAll="0"/>
    <pivotField showAll="0"/>
    <pivotField showAll="0"/>
    <pivotField axis="axisRow" showAll="0">
      <items count="5">
        <item x="0"/>
        <item x="1"/>
        <item x="2"/>
        <item x="3"/>
        <item t="default"/>
      </items>
    </pivotField>
    <pivotField showAll="0"/>
    <pivotField showAll="0"/>
    <pivotField axis="axisRow" showAll="0">
      <items count="7">
        <item m="1" x="5"/>
        <item x="2"/>
        <item x="3"/>
        <item x="1"/>
        <item x="0"/>
        <item x="4"/>
        <item t="default"/>
      </items>
    </pivotField>
    <pivotField showAll="0"/>
    <pivotField showAll="0"/>
    <pivotField showAll="0"/>
    <pivotField showAll="0"/>
    <pivotField showAll="0"/>
    <pivotField showAll="0"/>
    <pivotField name="Total_number_of_ROC" dataField="1" showAll="0" sumSubtotal="1"/>
    <pivotField showAll="0"/>
    <pivotField showAll="0"/>
    <pivotField showAll="0"/>
    <pivotField showAll="0"/>
    <pivotField showAll="0"/>
    <pivotField dataField="1" showAll="0"/>
    <pivotField showAll="0"/>
    <pivotField dataField="1"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2">
    <field x="7"/>
    <field x="10"/>
  </rowFields>
  <rowItems count="16">
    <i>
      <x/>
    </i>
    <i r="1">
      <x v="1"/>
    </i>
    <i r="1">
      <x v="3"/>
    </i>
    <i r="1">
      <x v="4"/>
    </i>
    <i>
      <x v="1"/>
    </i>
    <i r="1">
      <x v="1"/>
    </i>
    <i r="1">
      <x v="2"/>
    </i>
    <i r="1">
      <x v="3"/>
    </i>
    <i r="1">
      <x v="4"/>
    </i>
    <i>
      <x v="2"/>
    </i>
    <i r="1">
      <x v="1"/>
    </i>
    <i r="1">
      <x v="2"/>
    </i>
    <i r="1">
      <x v="3"/>
    </i>
    <i>
      <x v="3"/>
    </i>
    <i r="1">
      <x v="5"/>
    </i>
    <i t="grand">
      <x/>
    </i>
  </rowItems>
  <colFields count="1">
    <field x="-2"/>
  </colFields>
  <colItems count="4">
    <i>
      <x/>
    </i>
    <i i="1">
      <x v="1"/>
    </i>
    <i i="2">
      <x v="2"/>
    </i>
    <i i="3">
      <x v="3"/>
    </i>
  </colItems>
  <dataFields count="4">
    <dataField name="Sum of Total_number_of_ROC" fld="17" baseField="0" baseItem="0"/>
    <dataField name="Sum of CD4_tests" fld="23" baseField="0" baseItem="0"/>
    <dataField name="Sum of CrAg_tests" fld="25" baseField="0" baseItem="0"/>
    <dataField name="Sum of LAM_tests" fld="29" baseField="0" baseItem="0"/>
  </dataFields>
  <chartFormats count="4">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7406E55-3085-4122-9E3B-9E0E236BD93C}"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Z3:AD19" firstHeaderRow="0" firstDataRow="1" firstDataCol="1"/>
  <pivotFields count="46">
    <pivotField showAll="0"/>
    <pivotField showAll="0"/>
    <pivotField showAll="0"/>
    <pivotField showAll="0"/>
    <pivotField showAll="0"/>
    <pivotField showAll="0"/>
    <pivotField showAll="0"/>
    <pivotField axis="axisRow" showAll="0">
      <items count="5">
        <item x="0"/>
        <item x="1"/>
        <item x="2"/>
        <item x="3"/>
        <item t="default"/>
      </items>
    </pivotField>
    <pivotField showAll="0"/>
    <pivotField showAll="0"/>
    <pivotField axis="axisRow" showAll="0">
      <items count="7">
        <item m="1" x="5"/>
        <item x="2"/>
        <item x="3"/>
        <item x="1"/>
        <item x="0"/>
        <item x="4"/>
        <item t="default"/>
      </items>
    </pivotField>
    <pivotField showAll="0"/>
    <pivotField showAll="0"/>
    <pivotField showAll="0"/>
    <pivotField showAll="0"/>
    <pivotField showAll="0"/>
    <pivotField showAll="0"/>
    <pivotField name="Total_number_of_ROC" dataField="1" showAll="0" sumSubtotal="1"/>
    <pivotField showAll="0"/>
    <pivotField showAll="0"/>
    <pivotField showAll="0"/>
    <pivotField showAll="0"/>
    <pivotField showAll="0"/>
    <pivotField dataField="1" showAll="0"/>
    <pivotField showAll="0"/>
    <pivotField dataField="1"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2">
    <field x="7"/>
    <field x="10"/>
  </rowFields>
  <rowItems count="16">
    <i>
      <x/>
    </i>
    <i r="1">
      <x v="1"/>
    </i>
    <i r="1">
      <x v="3"/>
    </i>
    <i r="1">
      <x v="4"/>
    </i>
    <i>
      <x v="1"/>
    </i>
    <i r="1">
      <x v="1"/>
    </i>
    <i r="1">
      <x v="2"/>
    </i>
    <i r="1">
      <x v="3"/>
    </i>
    <i r="1">
      <x v="4"/>
    </i>
    <i>
      <x v="2"/>
    </i>
    <i r="1">
      <x v="1"/>
    </i>
    <i r="1">
      <x v="2"/>
    </i>
    <i r="1">
      <x v="3"/>
    </i>
    <i>
      <x v="3"/>
    </i>
    <i r="1">
      <x v="5"/>
    </i>
    <i t="grand">
      <x/>
    </i>
  </rowItems>
  <colFields count="1">
    <field x="-2"/>
  </colFields>
  <colItems count="4">
    <i>
      <x/>
    </i>
    <i i="1">
      <x v="1"/>
    </i>
    <i i="2">
      <x v="2"/>
    </i>
    <i i="3">
      <x v="3"/>
    </i>
  </colItems>
  <dataFields count="4">
    <dataField name="Sum of Total_number_of_ROC" fld="17" baseField="0" baseItem="0"/>
    <dataField name="Sum of CD4_tests" fld="23" baseField="0" baseItem="0"/>
    <dataField name="Sum of CrAg_tests" fld="25" baseField="0" baseItem="0"/>
    <dataField name="Sum of LAM_tests" fld="29" baseField="0" baseItem="0"/>
  </dataFields>
  <chartFormats count="4">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E8D18119-DCB6-4161-806B-F297507661C6}"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F3:AJ19" firstHeaderRow="0" firstDataRow="1" firstDataCol="1"/>
  <pivotFields count="46">
    <pivotField showAll="0"/>
    <pivotField showAll="0"/>
    <pivotField showAll="0"/>
    <pivotField showAll="0"/>
    <pivotField showAll="0"/>
    <pivotField showAll="0"/>
    <pivotField showAll="0"/>
    <pivotField axis="axisRow" showAll="0">
      <items count="5">
        <item x="0"/>
        <item x="1"/>
        <item x="2"/>
        <item x="3"/>
        <item t="default"/>
      </items>
    </pivotField>
    <pivotField showAll="0"/>
    <pivotField showAll="0"/>
    <pivotField axis="axisRow" showAll="0">
      <items count="7">
        <item m="1" x="5"/>
        <item x="2"/>
        <item x="3"/>
        <item x="1"/>
        <item x="0"/>
        <item x="4"/>
        <item t="default"/>
      </items>
    </pivotField>
    <pivotField showAll="0"/>
    <pivotField showAll="0"/>
    <pivotField showAll="0"/>
    <pivotField showAll="0"/>
    <pivotField showAll="0"/>
    <pivotField showAll="0"/>
    <pivotField name="Total_number_of_ROC" dataField="1" showAll="0" sumSubtotal="1"/>
    <pivotField showAll="0"/>
    <pivotField showAll="0"/>
    <pivotField showAll="0"/>
    <pivotField showAll="0"/>
    <pivotField showAll="0"/>
    <pivotField dataField="1" showAll="0"/>
    <pivotField showAll="0"/>
    <pivotField dataField="1"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2">
    <field x="7"/>
    <field x="10"/>
  </rowFields>
  <rowItems count="16">
    <i>
      <x/>
    </i>
    <i r="1">
      <x v="1"/>
    </i>
    <i r="1">
      <x v="3"/>
    </i>
    <i r="1">
      <x v="4"/>
    </i>
    <i>
      <x v="1"/>
    </i>
    <i r="1">
      <x v="1"/>
    </i>
    <i r="1">
      <x v="2"/>
    </i>
    <i r="1">
      <x v="3"/>
    </i>
    <i r="1">
      <x v="4"/>
    </i>
    <i>
      <x v="2"/>
    </i>
    <i r="1">
      <x v="1"/>
    </i>
    <i r="1">
      <x v="2"/>
    </i>
    <i r="1">
      <x v="3"/>
    </i>
    <i>
      <x v="3"/>
    </i>
    <i r="1">
      <x v="5"/>
    </i>
    <i t="grand">
      <x/>
    </i>
  </rowItems>
  <colFields count="1">
    <field x="-2"/>
  </colFields>
  <colItems count="4">
    <i>
      <x/>
    </i>
    <i i="1">
      <x v="1"/>
    </i>
    <i i="2">
      <x v="2"/>
    </i>
    <i i="3">
      <x v="3"/>
    </i>
  </colItems>
  <dataFields count="4">
    <dataField name="Sum of Total_number_of_ROC" fld="17" baseField="0" baseItem="0"/>
    <dataField name="Sum of CD4_tests" fld="23" baseField="0" baseItem="0"/>
    <dataField name="Sum of CrAg_tests" fld="25" baseField="0" baseItem="0"/>
    <dataField name="Sum of LAM_tests" fld="29" baseField="0" baseItem="0"/>
  </dataFields>
  <chartFormats count="4">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76BBE2E-118E-469A-80B6-54B9507EA261}"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L3:O11" firstHeaderRow="0" firstDataRow="1" firstDataCol="1"/>
  <pivotFields count="46">
    <pivotField showAll="0"/>
    <pivotField showAll="0"/>
    <pivotField showAll="0"/>
    <pivotField showAll="0"/>
    <pivotField showAll="0"/>
    <pivotField showAll="0">
      <items count="16">
        <item x="0"/>
        <item x="1"/>
        <item x="2"/>
        <item x="3"/>
        <item x="4"/>
        <item x="5"/>
        <item x="6"/>
        <item x="7"/>
        <item x="8"/>
        <item x="9"/>
        <item x="10"/>
        <item x="11"/>
        <item x="12"/>
        <item x="13"/>
        <item x="14"/>
        <item t="default"/>
      </items>
    </pivotField>
    <pivotField showAll="0"/>
    <pivotField showAll="0">
      <items count="5">
        <item x="0"/>
        <item x="1"/>
        <item x="2"/>
        <item x="3"/>
        <item t="default"/>
      </items>
    </pivotField>
    <pivotField showAll="0"/>
    <pivotField axis="axisRow" showAll="0">
      <items count="5">
        <item h="1" x="1"/>
        <item x="0"/>
        <item h="1" x="2"/>
        <item x="3"/>
        <item t="default"/>
      </items>
    </pivotField>
    <pivotField showAll="0">
      <items count="7">
        <item m="1" x="5"/>
        <item x="2"/>
        <item x="3"/>
        <item x="1"/>
        <item x="0"/>
        <item x="4"/>
        <item t="default"/>
      </items>
    </pivotField>
    <pivotField showAll="0"/>
    <pivotField axis="axisRow" showAll="0">
      <items count="6">
        <item x="0"/>
        <item x="2"/>
        <item x="3"/>
        <item x="1"/>
        <item x="4"/>
        <item t="default"/>
      </items>
    </pivotField>
    <pivotField showAll="0"/>
    <pivotField showAll="0"/>
    <pivotField showAll="0"/>
    <pivotField showAll="0">
      <items count="9">
        <item h="1" x="0"/>
        <item h="1" x="2"/>
        <item h="1" x="3"/>
        <item x="6"/>
        <item h="1" x="1"/>
        <item h="1" x="4"/>
        <item h="1" x="5"/>
        <item h="1" x="7"/>
        <item t="default"/>
      </items>
    </pivotField>
    <pivotField name="Total_number_of_ROC" showAll="0" sumSubtotal="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ataField="1" dragToRow="0" dragToCol="0" dragToPage="0" showAll="0" defaultSubtotal="0"/>
    <pivotField dataField="1" dragToRow="0" dragToCol="0" dragToPage="0" showAll="0" defaultSubtotal="0"/>
    <pivotField dataField="1" dragToRow="0" dragToCol="0" dragToPage="0" showAll="0" defaultSubtotal="0"/>
  </pivotFields>
  <rowFields count="2">
    <field x="9"/>
    <field x="12"/>
  </rowFields>
  <rowItems count="8">
    <i>
      <x v="1"/>
    </i>
    <i r="1">
      <x/>
    </i>
    <i r="1">
      <x v="1"/>
    </i>
    <i r="1">
      <x v="2"/>
    </i>
    <i r="1">
      <x v="3"/>
    </i>
    <i>
      <x v="3"/>
    </i>
    <i r="1">
      <x v="4"/>
    </i>
    <i t="grand">
      <x/>
    </i>
  </rowItems>
  <colFields count="1">
    <field x="-2"/>
  </colFields>
  <colItems count="3">
    <i>
      <x/>
    </i>
    <i i="1">
      <x v="1"/>
    </i>
    <i i="2">
      <x v="2"/>
    </i>
  </colItems>
  <dataFields count="3">
    <dataField name="CD4-yield" fld="45" baseField="8" baseItem="0"/>
    <dataField name="LAM_pos%" fld="43" baseField="8" baseItem="0"/>
    <dataField name="CrAG_pos%" fld="44" baseField="8" baseItem="0"/>
  </dataFields>
  <formats count="2">
    <format dxfId="320">
      <pivotArea outline="0" collapsedLevelsAreSubtotals="1" fieldPosition="0"/>
    </format>
    <format dxfId="319">
      <pivotArea dataOnly="0" labelOnly="1" outline="0" fieldPosition="0">
        <references count="1">
          <reference field="4294967294" count="3">
            <x v="0"/>
            <x v="1"/>
            <x v="2"/>
          </reference>
        </references>
      </pivotArea>
    </format>
  </formats>
  <chartFormats count="3">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8"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174C84C9-894E-4184-82D8-A5768559ABAC}"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D3:I11" firstHeaderRow="0" firstDataRow="1" firstDataCol="1"/>
  <pivotFields count="46">
    <pivotField showAll="0"/>
    <pivotField showAll="0"/>
    <pivotField showAll="0"/>
    <pivotField showAll="0"/>
    <pivotField showAll="0"/>
    <pivotField showAll="0">
      <items count="16">
        <item x="0"/>
        <item x="1"/>
        <item x="2"/>
        <item x="3"/>
        <item x="4"/>
        <item x="5"/>
        <item x="6"/>
        <item x="7"/>
        <item x="8"/>
        <item x="9"/>
        <item x="10"/>
        <item x="11"/>
        <item x="12"/>
        <item x="13"/>
        <item x="14"/>
        <item t="default"/>
      </items>
    </pivotField>
    <pivotField showAll="0"/>
    <pivotField showAll="0">
      <items count="5">
        <item x="0"/>
        <item x="1"/>
        <item x="2"/>
        <item x="3"/>
        <item t="default"/>
      </items>
    </pivotField>
    <pivotField showAll="0"/>
    <pivotField axis="axisRow" showAll="0">
      <items count="5">
        <item h="1" x="1"/>
        <item x="0"/>
        <item h="1" x="2"/>
        <item x="3"/>
        <item t="default"/>
      </items>
    </pivotField>
    <pivotField showAll="0">
      <items count="7">
        <item m="1" x="5"/>
        <item x="2"/>
        <item x="3"/>
        <item x="1"/>
        <item x="0"/>
        <item x="4"/>
        <item t="default"/>
      </items>
    </pivotField>
    <pivotField showAll="0"/>
    <pivotField axis="axisRow" showAll="0">
      <items count="6">
        <item x="0"/>
        <item x="2"/>
        <item x="3"/>
        <item x="1"/>
        <item x="4"/>
        <item t="default"/>
      </items>
    </pivotField>
    <pivotField showAll="0"/>
    <pivotField showAll="0"/>
    <pivotField showAll="0"/>
    <pivotField showAll="0">
      <items count="9">
        <item h="1" x="0"/>
        <item h="1" x="2"/>
        <item h="1" x="3"/>
        <item x="6"/>
        <item h="1" x="1"/>
        <item h="1" x="4"/>
        <item h="1" x="5"/>
        <item h="1" x="7"/>
        <item t="default"/>
      </items>
    </pivotField>
    <pivotField name="Total_number_of_ROC" dataField="1" showAll="0" sumSubtotal="1"/>
    <pivotField showAll="0"/>
    <pivotField showAll="0"/>
    <pivotField showAll="0"/>
    <pivotField showAll="0"/>
    <pivotField showAll="0"/>
    <pivotField dataField="1" showAll="0"/>
    <pivotField showAll="0"/>
    <pivotField dataField="1"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2">
    <field x="9"/>
    <field x="12"/>
  </rowFields>
  <rowItems count="8">
    <i>
      <x v="1"/>
    </i>
    <i r="1">
      <x/>
    </i>
    <i r="1">
      <x v="1"/>
    </i>
    <i r="1">
      <x v="2"/>
    </i>
    <i r="1">
      <x v="3"/>
    </i>
    <i>
      <x v="3"/>
    </i>
    <i r="1">
      <x v="4"/>
    </i>
    <i t="grand">
      <x/>
    </i>
  </rowItems>
  <colFields count="1">
    <field x="-2"/>
  </colFields>
  <colItems count="5">
    <i>
      <x/>
    </i>
    <i i="1">
      <x v="1"/>
    </i>
    <i i="2">
      <x v="2"/>
    </i>
    <i i="3">
      <x v="3"/>
    </i>
    <i i="4">
      <x v="4"/>
    </i>
  </colItems>
  <dataFields count="5">
    <dataField name="Total-number-of-ROC" fld="17" baseField="7" baseItem="1"/>
    <dataField name="CD4-tests" fld="23" baseField="7" baseItem="1"/>
    <dataField name="CrAg-tests" fld="25" baseField="7" baseItem="1"/>
    <dataField name="LAM-tests" fld="29" baseField="0" baseItem="0"/>
    <dataField name="CD4_cov%" fld="41" baseField="7" baseItem="1" numFmtId="9"/>
  </dataFields>
  <chartFormats count="10">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1" format="5" series="1">
      <pivotArea type="data" outline="0" fieldPosition="0">
        <references count="1">
          <reference field="4294967294" count="1" selected="0">
            <x v="0"/>
          </reference>
        </references>
      </pivotArea>
    </chartFormat>
    <chartFormat chart="1" format="6" series="1">
      <pivotArea type="data" outline="0" fieldPosition="0">
        <references count="1">
          <reference field="4294967294" count="1" selected="0">
            <x v="4"/>
          </reference>
        </references>
      </pivotArea>
    </chartFormat>
    <chartFormat chart="6" format="9" series="1">
      <pivotArea type="data" outline="0" fieldPosition="0">
        <references count="1">
          <reference field="4294967294" count="1" selected="0">
            <x v="0"/>
          </reference>
        </references>
      </pivotArea>
    </chartFormat>
    <chartFormat chart="6" format="10" series="1">
      <pivotArea type="data" outline="0" fieldPosition="0">
        <references count="1">
          <reference field="4294967294" count="1" selected="0">
            <x v="1"/>
          </reference>
        </references>
      </pivotArea>
    </chartFormat>
    <chartFormat chart="6" format="12" series="1">
      <pivotArea type="data" outline="0" fieldPosition="0">
        <references count="1">
          <reference field="4294967294" count="1" selected="0">
            <x v="2"/>
          </reference>
        </references>
      </pivotArea>
    </chartFormat>
    <chartFormat chart="6" format="13" series="1">
      <pivotArea type="data" outline="0" fieldPosition="0">
        <references count="1">
          <reference field="4294967294" count="1" selected="0">
            <x v="3"/>
          </reference>
        </references>
      </pivotArea>
    </chartFormat>
    <chartFormat chart="6" format="1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709C5A35-B512-4516-B461-7539331AABB5}"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D3:I24" firstHeaderRow="0" firstDataRow="1" firstDataCol="1"/>
  <pivotFields count="46">
    <pivotField showAll="0"/>
    <pivotField showAll="0"/>
    <pivotField showAll="0"/>
    <pivotField showAll="0"/>
    <pivotField showAll="0"/>
    <pivotField showAll="0">
      <items count="16">
        <item x="0"/>
        <item x="1"/>
        <item x="2"/>
        <item x="3"/>
        <item x="4"/>
        <item h="1" x="5"/>
        <item x="6"/>
        <item x="7"/>
        <item x="8"/>
        <item h="1" x="9"/>
        <item x="10"/>
        <item h="1" x="11"/>
        <item h="1" x="12"/>
        <item h="1" x="13"/>
        <item x="14"/>
        <item t="default"/>
      </items>
    </pivotField>
    <pivotField showAll="0"/>
    <pivotField axis="axisRow" showAll="0">
      <items count="5">
        <item h="1" x="0"/>
        <item x="1"/>
        <item x="2"/>
        <item h="1" x="3"/>
        <item t="default"/>
      </items>
    </pivotField>
    <pivotField showAll="0"/>
    <pivotField showAll="0">
      <items count="5">
        <item x="1"/>
        <item x="0"/>
        <item x="2"/>
        <item x="3"/>
        <item t="default"/>
      </items>
    </pivotField>
    <pivotField showAll="0">
      <items count="7">
        <item h="1" m="1" x="5"/>
        <item x="2"/>
        <item x="3"/>
        <item x="1"/>
        <item x="0"/>
        <item h="1" x="4"/>
        <item t="default"/>
      </items>
    </pivotField>
    <pivotField showAll="0"/>
    <pivotField showAll="0"/>
    <pivotField axis="axisRow" showAll="0">
      <items count="15">
        <item x="4"/>
        <item x="5"/>
        <item x="3"/>
        <item x="7"/>
        <item x="6"/>
        <item x="8"/>
        <item x="9"/>
        <item x="10"/>
        <item x="2"/>
        <item x="0"/>
        <item x="1"/>
        <item x="11"/>
        <item x="13"/>
        <item x="12"/>
        <item t="default"/>
      </items>
    </pivotField>
    <pivotField showAll="0"/>
    <pivotField showAll="0"/>
    <pivotField showAll="0">
      <items count="9">
        <item h="1" x="0"/>
        <item x="2"/>
        <item h="1" x="3"/>
        <item h="1" x="6"/>
        <item h="1" x="1"/>
        <item h="1" x="4"/>
        <item h="1" x="5"/>
        <item h="1" x="7"/>
        <item t="default"/>
      </items>
    </pivotField>
    <pivotField name="Total_number_of_ROC" dataField="1" showAll="0" sumSubtotal="1"/>
    <pivotField showAll="0"/>
    <pivotField showAll="0"/>
    <pivotField showAll="0"/>
    <pivotField showAll="0"/>
    <pivotField showAll="0"/>
    <pivotField dataField="1" showAll="0"/>
    <pivotField showAll="0"/>
    <pivotField dataField="1"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2">
    <field x="7"/>
    <field x="13"/>
  </rowFields>
  <rowItems count="21">
    <i>
      <x v="1"/>
    </i>
    <i r="1">
      <x/>
    </i>
    <i r="1">
      <x v="1"/>
    </i>
    <i r="1">
      <x v="2"/>
    </i>
    <i r="1">
      <x v="3"/>
    </i>
    <i r="1">
      <x v="4"/>
    </i>
    <i r="1">
      <x v="5"/>
    </i>
    <i r="1">
      <x v="6"/>
    </i>
    <i r="1">
      <x v="7"/>
    </i>
    <i r="1">
      <x v="8"/>
    </i>
    <i r="1">
      <x v="9"/>
    </i>
    <i r="1">
      <x v="10"/>
    </i>
    <i r="1">
      <x v="11"/>
    </i>
    <i>
      <x v="2"/>
    </i>
    <i r="1">
      <x/>
    </i>
    <i r="1">
      <x v="1"/>
    </i>
    <i r="1">
      <x v="2"/>
    </i>
    <i r="1">
      <x v="3"/>
    </i>
    <i r="1">
      <x v="4"/>
    </i>
    <i r="1">
      <x v="5"/>
    </i>
    <i t="grand">
      <x/>
    </i>
  </rowItems>
  <colFields count="1">
    <field x="-2"/>
  </colFields>
  <colItems count="5">
    <i>
      <x/>
    </i>
    <i i="1">
      <x v="1"/>
    </i>
    <i i="2">
      <x v="2"/>
    </i>
    <i i="3">
      <x v="3"/>
    </i>
    <i i="4">
      <x v="4"/>
    </i>
  </colItems>
  <dataFields count="5">
    <dataField name="Total-number-of-ROC" fld="17" baseField="7" baseItem="1"/>
    <dataField name="CD4-tests" fld="23" baseField="7" baseItem="1"/>
    <dataField name="CrAg-tests" fld="25" baseField="7" baseItem="1"/>
    <dataField name="LAM-tests" fld="29" baseField="0" baseItem="0"/>
    <dataField name="CD4_cov%" fld="41" baseField="7" baseItem="1" numFmtId="9"/>
  </dataFields>
  <chartFormats count="20">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1" format="5" series="1">
      <pivotArea type="data" outline="0" fieldPosition="0">
        <references count="1">
          <reference field="4294967294" count="1" selected="0">
            <x v="0"/>
          </reference>
        </references>
      </pivotArea>
    </chartFormat>
    <chartFormat chart="1" format="6" series="1">
      <pivotArea type="data" outline="0" fieldPosition="0">
        <references count="1">
          <reference field="4294967294" count="1" selected="0">
            <x v="4"/>
          </reference>
        </references>
      </pivotArea>
    </chartFormat>
    <chartFormat chart="6" format="9" series="1">
      <pivotArea type="data" outline="0" fieldPosition="0">
        <references count="1">
          <reference field="4294967294" count="1" selected="0">
            <x v="0"/>
          </reference>
        </references>
      </pivotArea>
    </chartFormat>
    <chartFormat chart="6" format="10" series="1">
      <pivotArea type="data" outline="0" fieldPosition="0">
        <references count="1">
          <reference field="4294967294" count="1" selected="0">
            <x v="1"/>
          </reference>
        </references>
      </pivotArea>
    </chartFormat>
    <chartFormat chart="6" format="12" series="1">
      <pivotArea type="data" outline="0" fieldPosition="0">
        <references count="1">
          <reference field="4294967294" count="1" selected="0">
            <x v="2"/>
          </reference>
        </references>
      </pivotArea>
    </chartFormat>
    <chartFormat chart="6" format="13" series="1">
      <pivotArea type="data" outline="0" fieldPosition="0">
        <references count="1">
          <reference field="4294967294" count="1" selected="0">
            <x v="3"/>
          </reference>
        </references>
      </pivotArea>
    </chartFormat>
    <chartFormat chart="6" format="14" series="1">
      <pivotArea type="data" outline="0" fieldPosition="0">
        <references count="1">
          <reference field="4294967294" count="1" selected="0">
            <x v="4"/>
          </reference>
        </references>
      </pivotArea>
    </chartFormat>
    <chartFormat chart="7" format="15" series="1">
      <pivotArea type="data" outline="0" fieldPosition="0">
        <references count="1">
          <reference field="4294967294" count="1" selected="0">
            <x v="0"/>
          </reference>
        </references>
      </pivotArea>
    </chartFormat>
    <chartFormat chart="7" format="16" series="1">
      <pivotArea type="data" outline="0" fieldPosition="0">
        <references count="1">
          <reference field="4294967294" count="1" selected="0">
            <x v="1"/>
          </reference>
        </references>
      </pivotArea>
    </chartFormat>
    <chartFormat chart="7" format="17" series="1">
      <pivotArea type="data" outline="0" fieldPosition="0">
        <references count="1">
          <reference field="4294967294" count="1" selected="0">
            <x v="2"/>
          </reference>
        </references>
      </pivotArea>
    </chartFormat>
    <chartFormat chart="7" format="18" series="1">
      <pivotArea type="data" outline="0" fieldPosition="0">
        <references count="1">
          <reference field="4294967294" count="1" selected="0">
            <x v="3"/>
          </reference>
        </references>
      </pivotArea>
    </chartFormat>
    <chartFormat chart="7" format="19" series="1">
      <pivotArea type="data" outline="0" fieldPosition="0">
        <references count="1">
          <reference field="4294967294" count="1" selected="0">
            <x v="4"/>
          </reference>
        </references>
      </pivotArea>
    </chartFormat>
    <chartFormat chart="8" format="21" series="1">
      <pivotArea type="data" outline="0" fieldPosition="0">
        <references count="1">
          <reference field="4294967294" count="1" selected="0">
            <x v="0"/>
          </reference>
        </references>
      </pivotArea>
    </chartFormat>
    <chartFormat chart="8" format="22" series="1">
      <pivotArea type="data" outline="0" fieldPosition="0">
        <references count="1">
          <reference field="4294967294" count="1" selected="0">
            <x v="1"/>
          </reference>
        </references>
      </pivotArea>
    </chartFormat>
    <chartFormat chart="8" format="23" series="1">
      <pivotArea type="data" outline="0" fieldPosition="0">
        <references count="1">
          <reference field="4294967294" count="1" selected="0">
            <x v="2"/>
          </reference>
        </references>
      </pivotArea>
    </chartFormat>
    <chartFormat chart="8" format="25" series="1">
      <pivotArea type="data" outline="0" fieldPosition="0">
        <references count="1">
          <reference field="4294967294" count="1" selected="0">
            <x v="3"/>
          </reference>
        </references>
      </pivotArea>
    </chartFormat>
    <chartFormat chart="8" format="26"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352ECE22-6300-405D-BE21-7E377AADBB45}"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Z3:AD19" firstHeaderRow="0" firstDataRow="1" firstDataCol="1"/>
  <pivotFields count="46">
    <pivotField showAll="0"/>
    <pivotField showAll="0"/>
    <pivotField showAll="0"/>
    <pivotField showAll="0"/>
    <pivotField showAll="0"/>
    <pivotField showAll="0"/>
    <pivotField showAll="0"/>
    <pivotField axis="axisRow" showAll="0">
      <items count="5">
        <item x="0"/>
        <item x="1"/>
        <item x="2"/>
        <item x="3"/>
        <item t="default"/>
      </items>
    </pivotField>
    <pivotField showAll="0"/>
    <pivotField showAll="0"/>
    <pivotField axis="axisRow" showAll="0">
      <items count="7">
        <item m="1" x="5"/>
        <item x="2"/>
        <item x="3"/>
        <item x="1"/>
        <item x="0"/>
        <item x="4"/>
        <item t="default"/>
      </items>
    </pivotField>
    <pivotField showAll="0"/>
    <pivotField showAll="0"/>
    <pivotField showAll="0"/>
    <pivotField showAll="0"/>
    <pivotField showAll="0"/>
    <pivotField showAll="0"/>
    <pivotField name="Total_number_of_ROC" dataField="1" showAll="0" sumSubtotal="1"/>
    <pivotField showAll="0"/>
    <pivotField showAll="0"/>
    <pivotField showAll="0"/>
    <pivotField showAll="0"/>
    <pivotField showAll="0"/>
    <pivotField dataField="1" showAll="0"/>
    <pivotField showAll="0"/>
    <pivotField dataField="1"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2">
    <field x="7"/>
    <field x="10"/>
  </rowFields>
  <rowItems count="16">
    <i>
      <x/>
    </i>
    <i r="1">
      <x v="1"/>
    </i>
    <i r="1">
      <x v="3"/>
    </i>
    <i r="1">
      <x v="4"/>
    </i>
    <i>
      <x v="1"/>
    </i>
    <i r="1">
      <x v="1"/>
    </i>
    <i r="1">
      <x v="2"/>
    </i>
    <i r="1">
      <x v="3"/>
    </i>
    <i r="1">
      <x v="4"/>
    </i>
    <i>
      <x v="2"/>
    </i>
    <i r="1">
      <x v="1"/>
    </i>
    <i r="1">
      <x v="2"/>
    </i>
    <i r="1">
      <x v="3"/>
    </i>
    <i>
      <x v="3"/>
    </i>
    <i r="1">
      <x v="5"/>
    </i>
    <i t="grand">
      <x/>
    </i>
  </rowItems>
  <colFields count="1">
    <field x="-2"/>
  </colFields>
  <colItems count="4">
    <i>
      <x/>
    </i>
    <i i="1">
      <x v="1"/>
    </i>
    <i i="2">
      <x v="2"/>
    </i>
    <i i="3">
      <x v="3"/>
    </i>
  </colItems>
  <dataFields count="4">
    <dataField name="Sum of Total_number_of_ROC" fld="17" baseField="0" baseItem="0"/>
    <dataField name="Sum of CD4_tests" fld="23" baseField="0" baseItem="0"/>
    <dataField name="Sum of CrAg_tests" fld="25" baseField="0" baseItem="0"/>
    <dataField name="Sum of LAM_tests" fld="29" baseField="0" baseItem="0"/>
  </dataFields>
  <chartFormats count="4">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F94B89AC-75C4-48D1-846E-9210995AC7DF}"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F3:AJ19" firstHeaderRow="0" firstDataRow="1" firstDataCol="1"/>
  <pivotFields count="46">
    <pivotField showAll="0"/>
    <pivotField showAll="0"/>
    <pivotField showAll="0"/>
    <pivotField showAll="0"/>
    <pivotField showAll="0"/>
    <pivotField showAll="0"/>
    <pivotField showAll="0"/>
    <pivotField axis="axisRow" showAll="0">
      <items count="5">
        <item x="0"/>
        <item x="1"/>
        <item x="2"/>
        <item x="3"/>
        <item t="default"/>
      </items>
    </pivotField>
    <pivotField showAll="0"/>
    <pivotField showAll="0"/>
    <pivotField axis="axisRow" showAll="0">
      <items count="7">
        <item m="1" x="5"/>
        <item x="2"/>
        <item x="3"/>
        <item x="1"/>
        <item x="0"/>
        <item x="4"/>
        <item t="default"/>
      </items>
    </pivotField>
    <pivotField showAll="0"/>
    <pivotField showAll="0"/>
    <pivotField showAll="0"/>
    <pivotField showAll="0"/>
    <pivotField showAll="0"/>
    <pivotField showAll="0"/>
    <pivotField name="Total_number_of_ROC" dataField="1" showAll="0" sumSubtotal="1"/>
    <pivotField showAll="0"/>
    <pivotField showAll="0"/>
    <pivotField showAll="0"/>
    <pivotField showAll="0"/>
    <pivotField showAll="0"/>
    <pivotField dataField="1" showAll="0"/>
    <pivotField showAll="0"/>
    <pivotField dataField="1"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2">
    <field x="7"/>
    <field x="10"/>
  </rowFields>
  <rowItems count="16">
    <i>
      <x/>
    </i>
    <i r="1">
      <x v="1"/>
    </i>
    <i r="1">
      <x v="3"/>
    </i>
    <i r="1">
      <x v="4"/>
    </i>
    <i>
      <x v="1"/>
    </i>
    <i r="1">
      <x v="1"/>
    </i>
    <i r="1">
      <x v="2"/>
    </i>
    <i r="1">
      <x v="3"/>
    </i>
    <i r="1">
      <x v="4"/>
    </i>
    <i>
      <x v="2"/>
    </i>
    <i r="1">
      <x v="1"/>
    </i>
    <i r="1">
      <x v="2"/>
    </i>
    <i r="1">
      <x v="3"/>
    </i>
    <i>
      <x v="3"/>
    </i>
    <i r="1">
      <x v="5"/>
    </i>
    <i t="grand">
      <x/>
    </i>
  </rowItems>
  <colFields count="1">
    <field x="-2"/>
  </colFields>
  <colItems count="4">
    <i>
      <x/>
    </i>
    <i i="1">
      <x v="1"/>
    </i>
    <i i="2">
      <x v="2"/>
    </i>
    <i i="3">
      <x v="3"/>
    </i>
  </colItems>
  <dataFields count="4">
    <dataField name="Sum of Total_number_of_ROC" fld="17" baseField="0" baseItem="0"/>
    <dataField name="Sum of CD4_tests" fld="23" baseField="0" baseItem="0"/>
    <dataField name="Sum of CrAg_tests" fld="25" baseField="0" baseItem="0"/>
    <dataField name="Sum of LAM_tests" fld="29" baseField="0" baseItem="0"/>
  </dataFields>
  <chartFormats count="4">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1B0F9B03-2CFA-453B-92DF-DEDAF3B55F71}"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L3:O24" firstHeaderRow="0" firstDataRow="1" firstDataCol="1"/>
  <pivotFields count="46">
    <pivotField showAll="0"/>
    <pivotField showAll="0"/>
    <pivotField showAll="0"/>
    <pivotField showAll="0"/>
    <pivotField showAll="0"/>
    <pivotField showAll="0">
      <items count="16">
        <item x="0"/>
        <item x="1"/>
        <item x="2"/>
        <item x="3"/>
        <item x="4"/>
        <item h="1" x="5"/>
        <item x="6"/>
        <item x="7"/>
        <item x="8"/>
        <item h="1" x="9"/>
        <item x="10"/>
        <item h="1" x="11"/>
        <item h="1" x="12"/>
        <item h="1" x="13"/>
        <item x="14"/>
        <item t="default"/>
      </items>
    </pivotField>
    <pivotField showAll="0"/>
    <pivotField axis="axisRow" showAll="0">
      <items count="5">
        <item h="1" x="0"/>
        <item x="1"/>
        <item x="2"/>
        <item h="1" x="3"/>
        <item t="default"/>
      </items>
    </pivotField>
    <pivotField showAll="0"/>
    <pivotField showAll="0"/>
    <pivotField showAll="0">
      <items count="7">
        <item h="1" m="1" x="5"/>
        <item x="2"/>
        <item x="3"/>
        <item x="1"/>
        <item x="0"/>
        <item h="1" x="4"/>
        <item t="default"/>
      </items>
    </pivotField>
    <pivotField showAll="0"/>
    <pivotField showAll="0"/>
    <pivotField axis="axisRow" showAll="0">
      <items count="15">
        <item x="4"/>
        <item x="5"/>
        <item x="3"/>
        <item x="7"/>
        <item x="6"/>
        <item x="8"/>
        <item x="9"/>
        <item x="10"/>
        <item x="2"/>
        <item x="0"/>
        <item x="1"/>
        <item x="11"/>
        <item x="13"/>
        <item x="12"/>
        <item t="default"/>
      </items>
    </pivotField>
    <pivotField showAll="0"/>
    <pivotField showAll="0"/>
    <pivotField showAll="0">
      <items count="9">
        <item h="1" x="0"/>
        <item x="2"/>
        <item h="1" x="3"/>
        <item h="1" x="6"/>
        <item h="1" x="1"/>
        <item h="1" x="4"/>
        <item h="1" x="5"/>
        <item h="1" x="7"/>
        <item t="default"/>
      </items>
    </pivotField>
    <pivotField name="Total_number_of_ROC" showAll="0" sumSubtotal="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ataField="1" dragToRow="0" dragToCol="0" dragToPage="0" showAll="0" defaultSubtotal="0"/>
    <pivotField dataField="1" dragToRow="0" dragToCol="0" dragToPage="0" showAll="0" defaultSubtotal="0"/>
    <pivotField dataField="1" dragToRow="0" dragToCol="0" dragToPage="0" showAll="0" defaultSubtotal="0"/>
  </pivotFields>
  <rowFields count="2">
    <field x="7"/>
    <field x="13"/>
  </rowFields>
  <rowItems count="21">
    <i>
      <x v="1"/>
    </i>
    <i r="1">
      <x/>
    </i>
    <i r="1">
      <x v="1"/>
    </i>
    <i r="1">
      <x v="2"/>
    </i>
    <i r="1">
      <x v="3"/>
    </i>
    <i r="1">
      <x v="4"/>
    </i>
    <i r="1">
      <x v="5"/>
    </i>
    <i r="1">
      <x v="6"/>
    </i>
    <i r="1">
      <x v="7"/>
    </i>
    <i r="1">
      <x v="8"/>
    </i>
    <i r="1">
      <x v="9"/>
    </i>
    <i r="1">
      <x v="10"/>
    </i>
    <i r="1">
      <x v="11"/>
    </i>
    <i>
      <x v="2"/>
    </i>
    <i r="1">
      <x/>
    </i>
    <i r="1">
      <x v="1"/>
    </i>
    <i r="1">
      <x v="2"/>
    </i>
    <i r="1">
      <x v="3"/>
    </i>
    <i r="1">
      <x v="4"/>
    </i>
    <i r="1">
      <x v="5"/>
    </i>
    <i t="grand">
      <x/>
    </i>
  </rowItems>
  <colFields count="1">
    <field x="-2"/>
  </colFields>
  <colItems count="3">
    <i>
      <x/>
    </i>
    <i i="1">
      <x v="1"/>
    </i>
    <i i="2">
      <x v="2"/>
    </i>
  </colItems>
  <dataFields count="3">
    <dataField name="LAM_pos%" fld="43" baseField="8" baseItem="1" numFmtId="9"/>
    <dataField name="CrAG_pos%" fld="44" baseField="8" baseItem="1" numFmtId="9"/>
    <dataField name="CD4-yield" fld="45" baseField="8" baseItem="1" numFmtId="9"/>
  </dataFields>
  <chartFormats count="12">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0" format="2" series="1">
      <pivotArea type="data" outline="0" fieldPosition="0">
        <references count="1">
          <reference field="4294967294" count="1" selected="0">
            <x v="2"/>
          </reference>
        </references>
      </pivotArea>
    </chartFormat>
    <chartFormat chart="16" format="3"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1"/>
          </reference>
        </references>
      </pivotArea>
    </chartFormat>
    <chartFormat chart="16" format="5" series="1">
      <pivotArea type="data" outline="0" fieldPosition="0">
        <references count="1">
          <reference field="4294967294" count="1" selected="0">
            <x v="2"/>
          </reference>
        </references>
      </pivotArea>
    </chartFormat>
    <chartFormat chart="17" format="6" series="1">
      <pivotArea type="data" outline="0" fieldPosition="0">
        <references count="1">
          <reference field="4294967294" count="1" selected="0">
            <x v="0"/>
          </reference>
        </references>
      </pivotArea>
    </chartFormat>
    <chartFormat chart="17" format="7" series="1">
      <pivotArea type="data" outline="0" fieldPosition="0">
        <references count="1">
          <reference field="4294967294" count="1" selected="0">
            <x v="1"/>
          </reference>
        </references>
      </pivotArea>
    </chartFormat>
    <chartFormat chart="17" format="8" series="1">
      <pivotArea type="data" outline="0" fieldPosition="0">
        <references count="1">
          <reference field="4294967294" count="1" selected="0">
            <x v="2"/>
          </reference>
        </references>
      </pivotArea>
    </chartFormat>
    <chartFormat chart="28" format="3" series="1">
      <pivotArea type="data" outline="0" fieldPosition="0">
        <references count="1">
          <reference field="4294967294" count="1" selected="0">
            <x v="0"/>
          </reference>
        </references>
      </pivotArea>
    </chartFormat>
    <chartFormat chart="28" format="4" series="1">
      <pivotArea type="data" outline="0" fieldPosition="0">
        <references count="1">
          <reference field="4294967294" count="1" selected="0">
            <x v="1"/>
          </reference>
        </references>
      </pivotArea>
    </chartFormat>
    <chartFormat chart="28" format="5"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F6E20E60-E608-4EDF-B798-ACE3F48915BC}"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Z3:AD19" firstHeaderRow="0" firstDataRow="1" firstDataCol="1"/>
  <pivotFields count="46">
    <pivotField showAll="0"/>
    <pivotField showAll="0"/>
    <pivotField showAll="0"/>
    <pivotField showAll="0"/>
    <pivotField showAll="0"/>
    <pivotField showAll="0"/>
    <pivotField showAll="0"/>
    <pivotField axis="axisRow" showAll="0">
      <items count="5">
        <item x="0"/>
        <item x="1"/>
        <item x="2"/>
        <item x="3"/>
        <item t="default"/>
      </items>
    </pivotField>
    <pivotField showAll="0"/>
    <pivotField showAll="0"/>
    <pivotField axis="axisRow" showAll="0">
      <items count="7">
        <item m="1" x="5"/>
        <item x="2"/>
        <item x="3"/>
        <item x="1"/>
        <item x="0"/>
        <item x="4"/>
        <item t="default"/>
      </items>
    </pivotField>
    <pivotField showAll="0"/>
    <pivotField showAll="0"/>
    <pivotField showAll="0"/>
    <pivotField showAll="0"/>
    <pivotField showAll="0"/>
    <pivotField showAll="0"/>
    <pivotField name="Total_number_of_ROC" dataField="1" showAll="0" sumSubtotal="1"/>
    <pivotField showAll="0"/>
    <pivotField showAll="0"/>
    <pivotField showAll="0"/>
    <pivotField showAll="0"/>
    <pivotField showAll="0"/>
    <pivotField dataField="1" showAll="0"/>
    <pivotField showAll="0"/>
    <pivotField dataField="1"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2">
    <field x="7"/>
    <field x="10"/>
  </rowFields>
  <rowItems count="16">
    <i>
      <x/>
    </i>
    <i r="1">
      <x v="1"/>
    </i>
    <i r="1">
      <x v="3"/>
    </i>
    <i r="1">
      <x v="4"/>
    </i>
    <i>
      <x v="1"/>
    </i>
    <i r="1">
      <x v="1"/>
    </i>
    <i r="1">
      <x v="2"/>
    </i>
    <i r="1">
      <x v="3"/>
    </i>
    <i r="1">
      <x v="4"/>
    </i>
    <i>
      <x v="2"/>
    </i>
    <i r="1">
      <x v="1"/>
    </i>
    <i r="1">
      <x v="2"/>
    </i>
    <i r="1">
      <x v="3"/>
    </i>
    <i>
      <x v="3"/>
    </i>
    <i r="1">
      <x v="5"/>
    </i>
    <i t="grand">
      <x/>
    </i>
  </rowItems>
  <colFields count="1">
    <field x="-2"/>
  </colFields>
  <colItems count="4">
    <i>
      <x/>
    </i>
    <i i="1">
      <x v="1"/>
    </i>
    <i i="2">
      <x v="2"/>
    </i>
    <i i="3">
      <x v="3"/>
    </i>
  </colItems>
  <dataFields count="4">
    <dataField name="Sum of Total_number_of_ROC" fld="17" baseField="0" baseItem="0"/>
    <dataField name="Sum of CD4_tests" fld="23" baseField="0" baseItem="0"/>
    <dataField name="Sum of CrAg_tests" fld="25" baseField="0" baseItem="0"/>
    <dataField name="Sum of LAM_tests" fld="29" baseField="0" baseItem="0"/>
  </dataFields>
  <chartFormats count="4">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A143E418-B9BA-4169-BC65-EFA7DB5DFBEA}"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D3:I15" firstHeaderRow="0" firstDataRow="1" firstDataCol="1"/>
  <pivotFields count="46">
    <pivotField showAll="0"/>
    <pivotField showAll="0"/>
    <pivotField showAll="0"/>
    <pivotField showAll="0"/>
    <pivotField showAll="0"/>
    <pivotField showAll="0">
      <items count="16">
        <item x="0"/>
        <item x="1"/>
        <item x="2"/>
        <item x="3"/>
        <item x="4"/>
        <item h="1" x="5"/>
        <item x="6"/>
        <item x="7"/>
        <item x="8"/>
        <item h="1" x="9"/>
        <item x="10"/>
        <item h="1" x="11"/>
        <item h="1" x="12"/>
        <item h="1" x="13"/>
        <item x="14"/>
        <item t="default"/>
      </items>
    </pivotField>
    <pivotField showAll="0"/>
    <pivotField showAll="0">
      <items count="5">
        <item h="1" x="0"/>
        <item x="1"/>
        <item x="2"/>
        <item x="3"/>
        <item t="default"/>
      </items>
    </pivotField>
    <pivotField showAll="0"/>
    <pivotField axis="axisRow" showAll="0">
      <items count="5">
        <item x="1"/>
        <item x="0"/>
        <item x="2"/>
        <item x="3"/>
        <item t="default"/>
      </items>
    </pivotField>
    <pivotField showAll="0">
      <items count="7">
        <item m="1" x="5"/>
        <item x="2"/>
        <item x="3"/>
        <item x="1"/>
        <item x="0"/>
        <item x="4"/>
        <item t="default"/>
      </items>
    </pivotField>
    <pivotField showAll="0"/>
    <pivotField axis="axisRow" showAll="0">
      <items count="6">
        <item x="0"/>
        <item x="2"/>
        <item x="3"/>
        <item x="1"/>
        <item x="4"/>
        <item t="default"/>
      </items>
    </pivotField>
    <pivotField showAll="0"/>
    <pivotField showAll="0"/>
    <pivotField showAll="0"/>
    <pivotField showAll="0">
      <items count="9">
        <item h="1" x="0"/>
        <item h="1" x="2"/>
        <item h="1" x="3"/>
        <item h="1" x="6"/>
        <item h="1" x="1"/>
        <item h="1" x="4"/>
        <item x="5"/>
        <item h="1" x="7"/>
        <item t="default"/>
      </items>
    </pivotField>
    <pivotField name="Total_number_of_ROC" dataField="1" showAll="0" sumSubtotal="1"/>
    <pivotField showAll="0"/>
    <pivotField showAll="0"/>
    <pivotField showAll="0"/>
    <pivotField showAll="0"/>
    <pivotField showAll="0"/>
    <pivotField dataField="1" showAll="0"/>
    <pivotField showAll="0"/>
    <pivotField dataField="1"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2">
    <field x="9"/>
    <field x="12"/>
  </rowFields>
  <rowItems count="12">
    <i>
      <x/>
    </i>
    <i r="1">
      <x v="3"/>
    </i>
    <i>
      <x v="1"/>
    </i>
    <i r="1">
      <x v="1"/>
    </i>
    <i r="1">
      <x v="2"/>
    </i>
    <i r="1">
      <x v="3"/>
    </i>
    <i>
      <x v="2"/>
    </i>
    <i r="1">
      <x/>
    </i>
    <i r="1">
      <x v="1"/>
    </i>
    <i>
      <x v="3"/>
    </i>
    <i r="1">
      <x v="4"/>
    </i>
    <i t="grand">
      <x/>
    </i>
  </rowItems>
  <colFields count="1">
    <field x="-2"/>
  </colFields>
  <colItems count="5">
    <i>
      <x/>
    </i>
    <i i="1">
      <x v="1"/>
    </i>
    <i i="2">
      <x v="2"/>
    </i>
    <i i="3">
      <x v="3"/>
    </i>
    <i i="4">
      <x v="4"/>
    </i>
  </colItems>
  <dataFields count="5">
    <dataField name="Total-number-of-ROC" fld="17" baseField="7" baseItem="1"/>
    <dataField name="CD4-tests" fld="23" baseField="7" baseItem="1"/>
    <dataField name="CrAg-tests" fld="25" baseField="7" baseItem="1"/>
    <dataField name="LAM-tests" fld="29" baseField="0" baseItem="0"/>
    <dataField name="CD4_cov%" fld="41" baseField="7" baseItem="1" numFmtId="9"/>
  </dataFields>
  <chartFormats count="15">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1" format="5" series="1">
      <pivotArea type="data" outline="0" fieldPosition="0">
        <references count="1">
          <reference field="4294967294" count="1" selected="0">
            <x v="0"/>
          </reference>
        </references>
      </pivotArea>
    </chartFormat>
    <chartFormat chart="1" format="6" series="1">
      <pivotArea type="data" outline="0" fieldPosition="0">
        <references count="1">
          <reference field="4294967294" count="1" selected="0">
            <x v="4"/>
          </reference>
        </references>
      </pivotArea>
    </chartFormat>
    <chartFormat chart="6" format="9" series="1">
      <pivotArea type="data" outline="0" fieldPosition="0">
        <references count="1">
          <reference field="4294967294" count="1" selected="0">
            <x v="0"/>
          </reference>
        </references>
      </pivotArea>
    </chartFormat>
    <chartFormat chart="6" format="10" series="1">
      <pivotArea type="data" outline="0" fieldPosition="0">
        <references count="1">
          <reference field="4294967294" count="1" selected="0">
            <x v="1"/>
          </reference>
        </references>
      </pivotArea>
    </chartFormat>
    <chartFormat chart="6" format="12" series="1">
      <pivotArea type="data" outline="0" fieldPosition="0">
        <references count="1">
          <reference field="4294967294" count="1" selected="0">
            <x v="2"/>
          </reference>
        </references>
      </pivotArea>
    </chartFormat>
    <chartFormat chart="6" format="13" series="1">
      <pivotArea type="data" outline="0" fieldPosition="0">
        <references count="1">
          <reference field="4294967294" count="1" selected="0">
            <x v="3"/>
          </reference>
        </references>
      </pivotArea>
    </chartFormat>
    <chartFormat chart="6" format="14" series="1">
      <pivotArea type="data" outline="0" fieldPosition="0">
        <references count="1">
          <reference field="4294967294" count="1" selected="0">
            <x v="4"/>
          </reference>
        </references>
      </pivotArea>
    </chartFormat>
    <chartFormat chart="7" format="15" series="1">
      <pivotArea type="data" outline="0" fieldPosition="0">
        <references count="1">
          <reference field="4294967294" count="1" selected="0">
            <x v="0"/>
          </reference>
        </references>
      </pivotArea>
    </chartFormat>
    <chartFormat chart="7" format="16" series="1">
      <pivotArea type="data" outline="0" fieldPosition="0">
        <references count="1">
          <reference field="4294967294" count="1" selected="0">
            <x v="1"/>
          </reference>
        </references>
      </pivotArea>
    </chartFormat>
    <chartFormat chart="7" format="17" series="1">
      <pivotArea type="data" outline="0" fieldPosition="0">
        <references count="1">
          <reference field="4294967294" count="1" selected="0">
            <x v="2"/>
          </reference>
        </references>
      </pivotArea>
    </chartFormat>
    <chartFormat chart="7" format="18" series="1">
      <pivotArea type="data" outline="0" fieldPosition="0">
        <references count="1">
          <reference field="4294967294" count="1" selected="0">
            <x v="3"/>
          </reference>
        </references>
      </pivotArea>
    </chartFormat>
    <chartFormat chart="7" format="19"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1409D7A0-73E8-4242-978B-683E31151729}"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M3:P15" firstHeaderRow="0" firstDataRow="1" firstDataCol="1"/>
  <pivotFields count="46">
    <pivotField showAll="0"/>
    <pivotField showAll="0"/>
    <pivotField showAll="0"/>
    <pivotField showAll="0"/>
    <pivotField showAll="0"/>
    <pivotField showAll="0">
      <items count="16">
        <item x="0"/>
        <item x="1"/>
        <item x="2"/>
        <item x="3"/>
        <item x="4"/>
        <item h="1" x="5"/>
        <item x="6"/>
        <item x="7"/>
        <item x="8"/>
        <item h="1" x="9"/>
        <item x="10"/>
        <item h="1" x="11"/>
        <item h="1" x="12"/>
        <item h="1" x="13"/>
        <item x="14"/>
        <item t="default"/>
      </items>
    </pivotField>
    <pivotField showAll="0"/>
    <pivotField showAll="0">
      <items count="5">
        <item h="1" x="0"/>
        <item x="1"/>
        <item x="2"/>
        <item x="3"/>
        <item t="default"/>
      </items>
    </pivotField>
    <pivotField showAll="0"/>
    <pivotField axis="axisRow" showAll="0">
      <items count="5">
        <item x="1"/>
        <item x="0"/>
        <item x="2"/>
        <item x="3"/>
        <item t="default"/>
      </items>
    </pivotField>
    <pivotField showAll="0">
      <items count="7">
        <item m="1" x="5"/>
        <item x="2"/>
        <item x="3"/>
        <item x="1"/>
        <item x="0"/>
        <item x="4"/>
        <item t="default"/>
      </items>
    </pivotField>
    <pivotField showAll="0"/>
    <pivotField axis="axisRow" showAll="0">
      <items count="6">
        <item x="0"/>
        <item x="2"/>
        <item x="3"/>
        <item x="1"/>
        <item x="4"/>
        <item t="default"/>
      </items>
    </pivotField>
    <pivotField showAll="0"/>
    <pivotField showAll="0"/>
    <pivotField showAll="0"/>
    <pivotField showAll="0">
      <items count="9">
        <item h="1" x="0"/>
        <item h="1" x="2"/>
        <item h="1" x="3"/>
        <item h="1" x="6"/>
        <item h="1" x="1"/>
        <item h="1" x="4"/>
        <item x="5"/>
        <item h="1" x="7"/>
        <item t="default"/>
      </items>
    </pivotField>
    <pivotField name="Total_number_of_ROC" showAll="0" sumSubtotal="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ataField="1" dragToRow="0" dragToCol="0" dragToPage="0" showAll="0" defaultSubtotal="0"/>
    <pivotField dataField="1" dragToRow="0" dragToCol="0" dragToPage="0" showAll="0" defaultSubtotal="0"/>
    <pivotField dataField="1" dragToRow="0" dragToCol="0" dragToPage="0" showAll="0" defaultSubtotal="0"/>
  </pivotFields>
  <rowFields count="2">
    <field x="9"/>
    <field x="12"/>
  </rowFields>
  <rowItems count="12">
    <i>
      <x/>
    </i>
    <i r="1">
      <x v="3"/>
    </i>
    <i>
      <x v="1"/>
    </i>
    <i r="1">
      <x v="1"/>
    </i>
    <i r="1">
      <x v="2"/>
    </i>
    <i r="1">
      <x v="3"/>
    </i>
    <i>
      <x v="2"/>
    </i>
    <i r="1">
      <x/>
    </i>
    <i r="1">
      <x v="1"/>
    </i>
    <i>
      <x v="3"/>
    </i>
    <i r="1">
      <x v="4"/>
    </i>
    <i t="grand">
      <x/>
    </i>
  </rowItems>
  <colFields count="1">
    <field x="-2"/>
  </colFields>
  <colItems count="3">
    <i>
      <x/>
    </i>
    <i i="1">
      <x v="1"/>
    </i>
    <i i="2">
      <x v="2"/>
    </i>
  </colItems>
  <dataFields count="3">
    <dataField name="Sum of CD4_yield" fld="45" baseField="0" baseItem="0"/>
    <dataField name="Sum of LAM+%" fld="43" baseField="0" baseItem="0"/>
    <dataField name="Sum of CrAG+%" fld="44" baseField="0" baseItem="0"/>
  </dataFields>
  <formats count="1">
    <format dxfId="318">
      <pivotArea outline="0" collapsedLevelsAreSubtotals="1" fieldPosition="0"/>
    </format>
  </formats>
  <chartFormats count="3">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1"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964B9F93-5B5A-4FF7-98B5-5CE8271C8033}"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F3:AJ19" firstHeaderRow="0" firstDataRow="1" firstDataCol="1"/>
  <pivotFields count="46">
    <pivotField showAll="0"/>
    <pivotField showAll="0"/>
    <pivotField showAll="0"/>
    <pivotField showAll="0"/>
    <pivotField showAll="0"/>
    <pivotField showAll="0"/>
    <pivotField showAll="0"/>
    <pivotField axis="axisRow" showAll="0">
      <items count="5">
        <item x="0"/>
        <item x="1"/>
        <item x="2"/>
        <item x="3"/>
        <item t="default"/>
      </items>
    </pivotField>
    <pivotField showAll="0"/>
    <pivotField showAll="0"/>
    <pivotField axis="axisRow" showAll="0">
      <items count="7">
        <item m="1" x="5"/>
        <item x="2"/>
        <item x="3"/>
        <item x="1"/>
        <item x="0"/>
        <item x="4"/>
        <item t="default"/>
      </items>
    </pivotField>
    <pivotField showAll="0"/>
    <pivotField showAll="0"/>
    <pivotField showAll="0"/>
    <pivotField showAll="0"/>
    <pivotField showAll="0"/>
    <pivotField showAll="0"/>
    <pivotField name="Total_number_of_ROC" dataField="1" showAll="0" sumSubtotal="1"/>
    <pivotField showAll="0"/>
    <pivotField showAll="0"/>
    <pivotField showAll="0"/>
    <pivotField showAll="0"/>
    <pivotField showAll="0"/>
    <pivotField dataField="1" showAll="0"/>
    <pivotField showAll="0"/>
    <pivotField dataField="1"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2">
    <field x="7"/>
    <field x="10"/>
  </rowFields>
  <rowItems count="16">
    <i>
      <x/>
    </i>
    <i r="1">
      <x v="1"/>
    </i>
    <i r="1">
      <x v="3"/>
    </i>
    <i r="1">
      <x v="4"/>
    </i>
    <i>
      <x v="1"/>
    </i>
    <i r="1">
      <x v="1"/>
    </i>
    <i r="1">
      <x v="2"/>
    </i>
    <i r="1">
      <x v="3"/>
    </i>
    <i r="1">
      <x v="4"/>
    </i>
    <i>
      <x v="2"/>
    </i>
    <i r="1">
      <x v="1"/>
    </i>
    <i r="1">
      <x v="2"/>
    </i>
    <i r="1">
      <x v="3"/>
    </i>
    <i>
      <x v="3"/>
    </i>
    <i r="1">
      <x v="5"/>
    </i>
    <i t="grand">
      <x/>
    </i>
  </rowItems>
  <colFields count="1">
    <field x="-2"/>
  </colFields>
  <colItems count="4">
    <i>
      <x/>
    </i>
    <i i="1">
      <x v="1"/>
    </i>
    <i i="2">
      <x v="2"/>
    </i>
    <i i="3">
      <x v="3"/>
    </i>
  </colItems>
  <dataFields count="4">
    <dataField name="Sum of Total_number_of_ROC" fld="17" baseField="0" baseItem="0"/>
    <dataField name="Sum of CD4_tests" fld="23" baseField="0" baseItem="0"/>
    <dataField name="Sum of CrAg_tests" fld="25" baseField="0" baseItem="0"/>
    <dataField name="Sum of LAM_tests" fld="29" baseField="0" baseItem="0"/>
  </dataFields>
  <chartFormats count="4">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6715E8FC-5A9D-49F3-8B82-CFF8381DBD24}" name="PivotTable3"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7">
  <location ref="A16:B18" firstHeaderRow="1" firstDataRow="1" firstDataCol="1"/>
  <pivotFields count="44">
    <pivotField showAll="0"/>
    <pivotField showAll="0"/>
    <pivotField showAll="0"/>
    <pivotField showAll="0"/>
    <pivotField showAll="0"/>
    <pivotField showAll="0">
      <items count="16">
        <item h="1" x="0"/>
        <item h="1" x="1"/>
        <item h="1" x="2"/>
        <item h="1" x="3"/>
        <item h="1" x="4"/>
        <item h="1" x="5"/>
        <item h="1" x="6"/>
        <item h="1" x="7"/>
        <item h="1" x="8"/>
        <item h="1" x="9"/>
        <item h="1" x="10"/>
        <item h="1" x="11"/>
        <item h="1" x="12"/>
        <item x="13"/>
        <item h="1" x="14"/>
        <item t="default"/>
      </items>
    </pivotField>
    <pivotField showAll="0"/>
    <pivotField showAll="0">
      <items count="5">
        <item h="1" x="0"/>
        <item x="1"/>
        <item x="2"/>
        <item h="1" x="3"/>
        <item t="default"/>
      </items>
    </pivotField>
    <pivotField showAll="0"/>
    <pivotField showAll="0"/>
    <pivotField showAll="0"/>
    <pivotField showAll="0"/>
    <pivotField showAll="0"/>
    <pivotField showAll="0"/>
    <pivotField showAll="0"/>
    <pivotField showAll="0"/>
    <pivotField showAll="0">
      <items count="10">
        <item h="1" m="1" x="8"/>
        <item h="1" x="0"/>
        <item x="2"/>
        <item h="1" x="3"/>
        <item h="1" x="6"/>
        <item h="1" x="1"/>
        <item h="1" x="4"/>
        <item h="1" x="5"/>
        <item h="1" x="7"/>
        <item t="default"/>
      </items>
    </pivotField>
    <pivotField name="Total_number_of_ROC"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
  </rowFields>
  <rowItems count="2">
    <i>
      <x/>
    </i>
    <i i="1">
      <x v="1"/>
    </i>
  </rowItems>
  <colItems count="1">
    <i/>
  </colItems>
  <dataFields count="2">
    <dataField name="CrAg-tests" fld="25" baseField="0" baseItem="0"/>
    <dataField name="CrAg_pos" fld="26" baseField="0" baseItem="0"/>
  </dataFields>
  <chartFormats count="6">
    <chartFormat chart="136" format="0" series="1">
      <pivotArea type="data" outline="0" fieldPosition="0">
        <references count="1">
          <reference field="4294967294" count="1" selected="0">
            <x v="0"/>
          </reference>
        </references>
      </pivotArea>
    </chartFormat>
    <chartFormat chart="136" format="1">
      <pivotArea type="data" outline="0" fieldPosition="0">
        <references count="1">
          <reference field="4294967294" count="1" selected="0">
            <x v="1"/>
          </reference>
        </references>
      </pivotArea>
    </chartFormat>
    <chartFormat chart="136" format="2">
      <pivotArea type="data" outline="0" fieldPosition="0">
        <references count="1">
          <reference field="4294967294" count="1" selected="0">
            <x v="0"/>
          </reference>
        </references>
      </pivotArea>
    </chartFormat>
    <chartFormat chart="142" format="6" series="1">
      <pivotArea type="data" outline="0" fieldPosition="0">
        <references count="1">
          <reference field="4294967294" count="1" selected="0">
            <x v="0"/>
          </reference>
        </references>
      </pivotArea>
    </chartFormat>
    <chartFormat chart="142" format="7">
      <pivotArea type="data" outline="0" fieldPosition="0">
        <references count="1">
          <reference field="4294967294" count="1" selected="0">
            <x v="0"/>
          </reference>
        </references>
      </pivotArea>
    </chartFormat>
    <chartFormat chart="142" format="8">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4A99ADB8-52BE-42AA-9B16-088EF4326D72}" name="PivotTable1"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4">
  <location ref="A5:B7" firstHeaderRow="1" firstDataRow="1" firstDataCol="1"/>
  <pivotFields count="44">
    <pivotField showAll="0"/>
    <pivotField showAll="0"/>
    <pivotField showAll="0"/>
    <pivotField showAll="0"/>
    <pivotField showAll="0"/>
    <pivotField showAll="0">
      <items count="16">
        <item h="1" x="0"/>
        <item h="1" x="1"/>
        <item h="1" x="2"/>
        <item h="1" x="3"/>
        <item h="1" x="4"/>
        <item h="1" x="5"/>
        <item h="1" x="6"/>
        <item h="1" x="7"/>
        <item h="1" x="8"/>
        <item h="1" x="9"/>
        <item h="1" x="10"/>
        <item h="1" x="11"/>
        <item h="1" x="12"/>
        <item x="13"/>
        <item h="1" x="14"/>
        <item t="default"/>
      </items>
    </pivotField>
    <pivotField showAll="0"/>
    <pivotField showAll="0">
      <items count="5">
        <item h="1" x="0"/>
        <item x="1"/>
        <item x="2"/>
        <item h="1" x="3"/>
        <item t="default"/>
      </items>
    </pivotField>
    <pivotField showAll="0"/>
    <pivotField showAll="0"/>
    <pivotField showAll="0"/>
    <pivotField showAll="0"/>
    <pivotField showAll="0"/>
    <pivotField showAll="0"/>
    <pivotField showAll="0"/>
    <pivotField showAll="0"/>
    <pivotField showAll="0">
      <items count="10">
        <item h="1" m="1" x="8"/>
        <item h="1" x="0"/>
        <item x="2"/>
        <item h="1" x="3"/>
        <item h="1" x="6"/>
        <item h="1" x="1"/>
        <item h="1" x="4"/>
        <item h="1" x="5"/>
        <item h="1" x="7"/>
        <item t="default"/>
      </items>
    </pivotField>
    <pivotField name="Total_number_of_ROC"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
  </rowFields>
  <rowItems count="2">
    <i>
      <x/>
    </i>
    <i i="1">
      <x v="1"/>
    </i>
  </rowItems>
  <colItems count="1">
    <i/>
  </colItems>
  <dataFields count="2">
    <dataField name=" CD4_tests" fld="23" baseField="0" baseItem="0"/>
    <dataField name="CD4 &lt;200" fld="24" baseField="0" baseItem="0"/>
  </dataFields>
  <chartFormats count="15">
    <chartFormat chart="7" format="0" series="1">
      <pivotArea type="data" outline="0" fieldPosition="0">
        <references count="1">
          <reference field="4294967294" count="1" selected="0">
            <x v="0"/>
          </reference>
        </references>
      </pivotArea>
    </chartFormat>
    <chartFormat chart="52" format="40" series="1">
      <pivotArea type="data" outline="0" fieldPosition="0">
        <references count="1">
          <reference field="4294967294" count="1" selected="0">
            <x v="0"/>
          </reference>
        </references>
      </pivotArea>
    </chartFormat>
    <chartFormat chart="53" format="44" series="1">
      <pivotArea type="data" outline="0" fieldPosition="0">
        <references count="1">
          <reference field="4294967294" count="1" selected="0">
            <x v="0"/>
          </reference>
        </references>
      </pivotArea>
    </chartFormat>
    <chartFormat chart="56" format="44" series="1">
      <pivotArea type="data" outline="0" fieldPosition="0">
        <references count="1">
          <reference field="4294967294" count="1" selected="0">
            <x v="0"/>
          </reference>
        </references>
      </pivotArea>
    </chartFormat>
    <chartFormat chart="57" format="48" series="1">
      <pivotArea type="data" outline="0" fieldPosition="0">
        <references count="1">
          <reference field="4294967294" count="1" selected="0">
            <x v="0"/>
          </reference>
        </references>
      </pivotArea>
    </chartFormat>
    <chartFormat chart="17" format="48" series="1">
      <pivotArea type="data" outline="0" fieldPosition="0">
        <references count="1">
          <reference field="4294967294" count="1" selected="0">
            <x v="0"/>
          </reference>
        </references>
      </pivotArea>
    </chartFormat>
    <chartFormat chart="122" format="52" series="1">
      <pivotArea type="data" outline="0" fieldPosition="0">
        <references count="1">
          <reference field="4294967294" count="1" selected="0">
            <x v="0"/>
          </reference>
        </references>
      </pivotArea>
    </chartFormat>
    <chartFormat chart="125" format="64" series="1">
      <pivotArea type="data" outline="0" fieldPosition="0">
        <references count="1">
          <reference field="4294967294" count="1" selected="0">
            <x v="0"/>
          </reference>
        </references>
      </pivotArea>
    </chartFormat>
    <chartFormat chart="128" format="0" series="1">
      <pivotArea type="data" outline="0" fieldPosition="0">
        <references count="1">
          <reference field="4294967294" count="1" selected="0">
            <x v="0"/>
          </reference>
        </references>
      </pivotArea>
    </chartFormat>
    <chartFormat chart="128" format="1" series="1">
      <pivotArea type="data" outline="0" fieldPosition="0">
        <references count="1">
          <reference field="4294967294" count="1" selected="0">
            <x v="1"/>
          </reference>
        </references>
      </pivotArea>
    </chartFormat>
    <chartFormat chart="128" format="3">
      <pivotArea type="data" outline="0" fieldPosition="0">
        <references count="1">
          <reference field="4294967294" count="1" selected="0">
            <x v="1"/>
          </reference>
        </references>
      </pivotArea>
    </chartFormat>
    <chartFormat chart="128" format="4">
      <pivotArea type="data" outline="0" fieldPosition="0">
        <references count="1">
          <reference field="4294967294" count="1" selected="0">
            <x v="0"/>
          </reference>
        </references>
      </pivotArea>
    </chartFormat>
    <chartFormat chart="137" format="8" series="1">
      <pivotArea type="data" outline="0" fieldPosition="0">
        <references count="1">
          <reference field="4294967294" count="1" selected="0">
            <x v="0"/>
          </reference>
        </references>
      </pivotArea>
    </chartFormat>
    <chartFormat chart="137" format="9">
      <pivotArea type="data" outline="0" fieldPosition="0">
        <references count="1">
          <reference field="4294967294" count="1" selected="0">
            <x v="0"/>
          </reference>
        </references>
      </pivotArea>
    </chartFormat>
    <chartFormat chart="137" format="10">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C83950B5-8232-47D4-AEB8-1B7181B2BA9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6">
  <location ref="G5:I22" firstHeaderRow="1" firstDataRow="1" firstDataCol="0"/>
  <pivotFields count="44">
    <pivotField showAll="0"/>
    <pivotField showAll="0"/>
    <pivotField showAll="0"/>
    <pivotField showAll="0"/>
    <pivotField showAll="0"/>
    <pivotField showAll="0">
      <items count="16">
        <item h="1" x="0"/>
        <item h="1" x="1"/>
        <item h="1" x="2"/>
        <item h="1" x="3"/>
        <item h="1" x="4"/>
        <item h="1" x="5"/>
        <item h="1" x="6"/>
        <item h="1" x="7"/>
        <item h="1" x="8"/>
        <item h="1" x="9"/>
        <item h="1" x="10"/>
        <item h="1" x="11"/>
        <item h="1" x="12"/>
        <item x="13"/>
        <item h="1" x="14"/>
        <item t="default"/>
      </items>
    </pivotField>
    <pivotField showAll="0"/>
    <pivotField showAll="0">
      <items count="5">
        <item h="1" x="0"/>
        <item x="1"/>
        <item x="2"/>
        <item h="1" x="3"/>
        <item t="default"/>
      </items>
    </pivotField>
    <pivotField showAll="0"/>
    <pivotField showAll="0"/>
    <pivotField showAll="0"/>
    <pivotField showAll="0"/>
    <pivotField showAll="0"/>
    <pivotField showAll="0"/>
    <pivotField showAll="0"/>
    <pivotField showAll="0"/>
    <pivotField showAll="0">
      <items count="10">
        <item h="1" m="1" x="8"/>
        <item h="1" x="0"/>
        <item x="2"/>
        <item h="1" x="3"/>
        <item h="1" x="6"/>
        <item h="1" x="1"/>
        <item h="1" x="4"/>
        <item h="1" x="5"/>
        <item h="1" x="7"/>
        <item t="default"/>
      </items>
    </pivotField>
    <pivotField name="Total_number_of_ROC"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B42175D2-27A7-45AA-8EFA-6F8D81954F2F}" name="PivotTable4"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2">
  <location ref="A25:B27" firstHeaderRow="1" firstDataRow="1" firstDataCol="1"/>
  <pivotFields count="44">
    <pivotField showAll="0"/>
    <pivotField showAll="0"/>
    <pivotField showAll="0"/>
    <pivotField showAll="0"/>
    <pivotField showAll="0"/>
    <pivotField showAll="0">
      <items count="16">
        <item h="1" x="0"/>
        <item h="1" x="1"/>
        <item h="1" x="2"/>
        <item h="1" x="3"/>
        <item h="1" x="4"/>
        <item h="1" x="5"/>
        <item h="1" x="6"/>
        <item h="1" x="7"/>
        <item h="1" x="8"/>
        <item h="1" x="9"/>
        <item h="1" x="10"/>
        <item h="1" x="11"/>
        <item h="1" x="12"/>
        <item x="13"/>
        <item h="1" x="14"/>
        <item t="default"/>
      </items>
    </pivotField>
    <pivotField showAll="0"/>
    <pivotField showAll="0">
      <items count="5">
        <item h="1" x="0"/>
        <item x="1"/>
        <item x="2"/>
        <item h="1" x="3"/>
        <item t="default"/>
      </items>
    </pivotField>
    <pivotField showAll="0"/>
    <pivotField showAll="0"/>
    <pivotField showAll="0"/>
    <pivotField showAll="0"/>
    <pivotField showAll="0"/>
    <pivotField showAll="0"/>
    <pivotField showAll="0"/>
    <pivotField showAll="0"/>
    <pivotField showAll="0">
      <items count="10">
        <item h="1" m="1" x="8"/>
        <item h="1" x="0"/>
        <item x="2"/>
        <item h="1" x="3"/>
        <item h="1" x="6"/>
        <item h="1" x="1"/>
        <item h="1" x="4"/>
        <item h="1" x="5"/>
        <item h="1" x="7"/>
        <item t="default"/>
      </items>
    </pivotField>
    <pivotField name="Total_number_of_ROC"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
  </rowFields>
  <rowItems count="2">
    <i>
      <x/>
    </i>
    <i i="1">
      <x v="1"/>
    </i>
  </rowItems>
  <colItems count="1">
    <i/>
  </colItems>
  <dataFields count="2">
    <dataField name="LAM-tests" fld="29" baseField="0" baseItem="0"/>
    <dataField name="LAM_pos" fld="30" baseField="0" baseItem="0"/>
  </dataFields>
  <chartFormats count="6">
    <chartFormat chart="135" format="0" series="1">
      <pivotArea type="data" outline="0" fieldPosition="0">
        <references count="1">
          <reference field="4294967294" count="1" selected="0">
            <x v="0"/>
          </reference>
        </references>
      </pivotArea>
    </chartFormat>
    <chartFormat chart="135" format="1">
      <pivotArea type="data" outline="0" fieldPosition="0">
        <references count="1">
          <reference field="4294967294" count="1" selected="0">
            <x v="0"/>
          </reference>
        </references>
      </pivotArea>
    </chartFormat>
    <chartFormat chart="135" format="2">
      <pivotArea type="data" outline="0" fieldPosition="0">
        <references count="1">
          <reference field="4294967294" count="1" selected="0">
            <x v="1"/>
          </reference>
        </references>
      </pivotArea>
    </chartFormat>
    <chartFormat chart="137" format="6" series="1">
      <pivotArea type="data" outline="0" fieldPosition="0">
        <references count="1">
          <reference field="4294967294" count="1" selected="0">
            <x v="0"/>
          </reference>
        </references>
      </pivotArea>
    </chartFormat>
    <chartFormat chart="137" format="7">
      <pivotArea type="data" outline="0" fieldPosition="0">
        <references count="1">
          <reference field="4294967294" count="1" selected="0">
            <x v="0"/>
          </reference>
        </references>
      </pivotArea>
    </chartFormat>
    <chartFormat chart="137" format="8">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31DB42C9-E5CB-4ABD-BD5E-290EEB06415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9">
  <location ref="H5:J25" firstHeaderRow="0" firstDataRow="1" firstDataCol="1"/>
  <pivotFields count="44">
    <pivotField showAll="0"/>
    <pivotField showAll="0"/>
    <pivotField showAll="0"/>
    <pivotField showAll="0"/>
    <pivotField showAll="0"/>
    <pivotField showAll="0">
      <items count="16">
        <item h="1" x="0"/>
        <item h="1" x="1"/>
        <item h="1" x="2"/>
        <item h="1" x="3"/>
        <item h="1" x="4"/>
        <item h="1" x="5"/>
        <item h="1" x="6"/>
        <item h="1" x="7"/>
        <item h="1" x="8"/>
        <item h="1" x="9"/>
        <item h="1" x="10"/>
        <item h="1" x="11"/>
        <item h="1" x="12"/>
        <item x="13"/>
        <item h="1" x="14"/>
        <item t="default"/>
      </items>
    </pivotField>
    <pivotField showAll="0"/>
    <pivotField axis="axisRow" showAll="0">
      <items count="5">
        <item h="1" x="0"/>
        <item x="1"/>
        <item h="1" x="3"/>
        <item x="2"/>
        <item t="default"/>
      </items>
    </pivotField>
    <pivotField showAll="0"/>
    <pivotField showAll="0"/>
    <pivotField showAll="0"/>
    <pivotField showAll="0"/>
    <pivotField showAll="0"/>
    <pivotField axis="axisRow" showAll="0">
      <items count="15">
        <item x="4"/>
        <item x="5"/>
        <item x="3"/>
        <item x="7"/>
        <item x="6"/>
        <item x="8"/>
        <item x="9"/>
        <item x="10"/>
        <item x="2"/>
        <item x="0"/>
        <item x="1"/>
        <item x="11"/>
        <item x="12"/>
        <item x="13"/>
        <item t="default"/>
      </items>
    </pivotField>
    <pivotField showAll="0"/>
    <pivotField showAll="0"/>
    <pivotField showAll="0">
      <items count="10">
        <item h="1" m="1" x="8"/>
        <item h="1" x="0"/>
        <item h="1" x="2"/>
        <item x="3"/>
        <item h="1" x="6"/>
        <item h="1" x="1"/>
        <item h="1" x="4"/>
        <item h="1" x="5"/>
        <item h="1" x="7"/>
        <item t="default"/>
      </items>
    </pivotField>
    <pivotField name="Total_number_of_ROC"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ataField="1"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s>
  <rowFields count="2">
    <field x="7"/>
    <field x="13"/>
  </rowFields>
  <rowItems count="20">
    <i>
      <x v="1"/>
    </i>
    <i r="1">
      <x/>
    </i>
    <i r="1">
      <x v="1"/>
    </i>
    <i r="1">
      <x v="2"/>
    </i>
    <i r="1">
      <x v="3"/>
    </i>
    <i r="1">
      <x v="4"/>
    </i>
    <i r="1">
      <x v="5"/>
    </i>
    <i r="1">
      <x v="6"/>
    </i>
    <i r="1">
      <x v="7"/>
    </i>
    <i r="1">
      <x v="8"/>
    </i>
    <i r="1">
      <x v="9"/>
    </i>
    <i r="1">
      <x v="10"/>
    </i>
    <i r="1">
      <x v="11"/>
    </i>
    <i>
      <x v="3"/>
    </i>
    <i r="1">
      <x/>
    </i>
    <i r="1">
      <x v="1"/>
    </i>
    <i r="1">
      <x v="2"/>
    </i>
    <i r="1">
      <x v="3"/>
    </i>
    <i r="1">
      <x v="4"/>
    </i>
    <i t="grand">
      <x/>
    </i>
  </rowItems>
  <colFields count="1">
    <field x="-2"/>
  </colFields>
  <colItems count="2">
    <i>
      <x/>
    </i>
    <i i="1">
      <x v="1"/>
    </i>
  </colItems>
  <dataFields count="2">
    <dataField name=" LAM+%" fld="41" baseField="6" baseItem="0"/>
    <dataField name=" CrAg+%" fld="40" baseField="6" baseItem="0"/>
  </dataFields>
  <formats count="2">
    <format dxfId="317">
      <pivotArea collapsedLevelsAreSubtotals="1" fieldPosition="0">
        <references count="1">
          <reference field="7" count="1">
            <x v="0"/>
          </reference>
        </references>
      </pivotArea>
    </format>
    <format dxfId="316">
      <pivotArea collapsedLevelsAreSubtotals="1" fieldPosition="0">
        <references count="1">
          <reference field="7" count="1">
            <x v="1"/>
          </reference>
        </references>
      </pivotArea>
    </format>
  </formats>
  <chartFormats count="34">
    <chartFormat chart="13" format="1" series="1">
      <pivotArea type="data" outline="0" fieldPosition="0">
        <references count="1">
          <reference field="4294967294" count="1" selected="0">
            <x v="1"/>
          </reference>
        </references>
      </pivotArea>
    </chartFormat>
    <chartFormat chart="13" format="2"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0"/>
          </reference>
        </references>
      </pivotArea>
    </chartFormat>
    <chartFormat chart="19" format="8" series="1">
      <pivotArea type="data" outline="0" fieldPosition="0">
        <references count="1">
          <reference field="4294967294" count="1" selected="0">
            <x v="1"/>
          </reference>
        </references>
      </pivotArea>
    </chartFormat>
    <chartFormat chart="49" format="14" series="1">
      <pivotArea type="data" outline="0" fieldPosition="0">
        <references count="1">
          <reference field="4294967294" count="1" selected="0">
            <x v="0"/>
          </reference>
        </references>
      </pivotArea>
    </chartFormat>
    <chartFormat chart="49" format="20" series="1">
      <pivotArea type="data" outline="0" fieldPosition="0">
        <references count="1">
          <reference field="4294967294" count="1" selected="0">
            <x v="1"/>
          </reference>
        </references>
      </pivotArea>
    </chartFormat>
    <chartFormat chart="50" format="21" series="1">
      <pivotArea type="data" outline="0" fieldPosition="0">
        <references count="1">
          <reference field="4294967294" count="1" selected="0">
            <x v="0"/>
          </reference>
        </references>
      </pivotArea>
    </chartFormat>
    <chartFormat chart="50" format="27" series="1">
      <pivotArea type="data" outline="0" fieldPosition="0">
        <references count="1">
          <reference field="4294967294" count="1" selected="0">
            <x v="1"/>
          </reference>
        </references>
      </pivotArea>
    </chartFormat>
    <chartFormat chart="89" format="47" series="1">
      <pivotArea type="data" outline="0" fieldPosition="0">
        <references count="1">
          <reference field="4294967294" count="1" selected="0">
            <x v="0"/>
          </reference>
        </references>
      </pivotArea>
    </chartFormat>
    <chartFormat chart="89" format="56" series="1">
      <pivotArea type="data" outline="0" fieldPosition="0">
        <references count="1">
          <reference field="4294967294" count="1" selected="0">
            <x v="1"/>
          </reference>
        </references>
      </pivotArea>
    </chartFormat>
    <chartFormat chart="90" format="58" series="1">
      <pivotArea type="data" outline="0" fieldPosition="0">
        <references count="1">
          <reference field="4294967294" count="1" selected="0">
            <x v="0"/>
          </reference>
        </references>
      </pivotArea>
    </chartFormat>
    <chartFormat chart="90" format="68" series="1">
      <pivotArea type="data" outline="0" fieldPosition="0">
        <references count="1">
          <reference field="4294967294" count="1" selected="0">
            <x v="1"/>
          </reference>
        </references>
      </pivotArea>
    </chartFormat>
    <chartFormat chart="91" format="69" series="1">
      <pivotArea type="data" outline="0" fieldPosition="0">
        <references count="1">
          <reference field="4294967294" count="1" selected="0">
            <x v="0"/>
          </reference>
        </references>
      </pivotArea>
    </chartFormat>
    <chartFormat chart="91" format="79" series="1">
      <pivotArea type="data" outline="0" fieldPosition="0">
        <references count="1">
          <reference field="4294967294" count="1" selected="0">
            <x v="1"/>
          </reference>
        </references>
      </pivotArea>
    </chartFormat>
    <chartFormat chart="89" format="58">
      <pivotArea type="data" outline="0" fieldPosition="0">
        <references count="3">
          <reference field="4294967294" count="1" selected="0">
            <x v="0"/>
          </reference>
          <reference field="7" count="1" selected="0">
            <x v="1"/>
          </reference>
          <reference field="13" count="1" selected="0">
            <x v="1"/>
          </reference>
        </references>
      </pivotArea>
    </chartFormat>
    <chartFormat chart="89" format="59">
      <pivotArea type="data" outline="0" fieldPosition="0">
        <references count="3">
          <reference field="4294967294" count="1" selected="0">
            <x v="0"/>
          </reference>
          <reference field="7" count="1" selected="0">
            <x v="1"/>
          </reference>
          <reference field="13" count="1" selected="0">
            <x v="2"/>
          </reference>
        </references>
      </pivotArea>
    </chartFormat>
    <chartFormat chart="89" format="60">
      <pivotArea type="data" outline="0" fieldPosition="0">
        <references count="3">
          <reference field="4294967294" count="1" selected="0">
            <x v="0"/>
          </reference>
          <reference field="7" count="1" selected="0">
            <x v="1"/>
          </reference>
          <reference field="13" count="1" selected="0">
            <x v="3"/>
          </reference>
        </references>
      </pivotArea>
    </chartFormat>
    <chartFormat chart="89" format="61">
      <pivotArea type="data" outline="0" fieldPosition="0">
        <references count="3">
          <reference field="4294967294" count="1" selected="0">
            <x v="0"/>
          </reference>
          <reference field="7" count="1" selected="0">
            <x v="1"/>
          </reference>
          <reference field="13" count="1" selected="0">
            <x v="4"/>
          </reference>
        </references>
      </pivotArea>
    </chartFormat>
    <chartFormat chart="89" format="62">
      <pivotArea type="data" outline="0" fieldPosition="0">
        <references count="3">
          <reference field="4294967294" count="1" selected="0">
            <x v="0"/>
          </reference>
          <reference field="7" count="1" selected="0">
            <x v="1"/>
          </reference>
          <reference field="13" count="1" selected="0">
            <x v="5"/>
          </reference>
        </references>
      </pivotArea>
    </chartFormat>
    <chartFormat chart="89" format="63">
      <pivotArea type="data" outline="0" fieldPosition="0">
        <references count="3">
          <reference field="4294967294" count="1" selected="0">
            <x v="0"/>
          </reference>
          <reference field="7" count="1" selected="0">
            <x v="1"/>
          </reference>
          <reference field="13" count="1" selected="0">
            <x v="6"/>
          </reference>
        </references>
      </pivotArea>
    </chartFormat>
    <chartFormat chart="89" format="64">
      <pivotArea type="data" outline="0" fieldPosition="0">
        <references count="3">
          <reference field="4294967294" count="1" selected="0">
            <x v="0"/>
          </reference>
          <reference field="7" count="1" selected="0">
            <x v="1"/>
          </reference>
          <reference field="13" count="1" selected="0">
            <x v="7"/>
          </reference>
        </references>
      </pivotArea>
    </chartFormat>
    <chartFormat chart="89" format="65">
      <pivotArea type="data" outline="0" fieldPosition="0">
        <references count="3">
          <reference field="4294967294" count="1" selected="0">
            <x v="0"/>
          </reference>
          <reference field="7" count="1" selected="0">
            <x v="1"/>
          </reference>
          <reference field="13" count="1" selected="0">
            <x v="8"/>
          </reference>
        </references>
      </pivotArea>
    </chartFormat>
    <chartFormat chart="89" format="66">
      <pivotArea type="data" outline="0" fieldPosition="0">
        <references count="3">
          <reference field="4294967294" count="1" selected="0">
            <x v="0"/>
          </reference>
          <reference field="7" count="1" selected="0">
            <x v="1"/>
          </reference>
          <reference field="13" count="1" selected="0">
            <x v="9"/>
          </reference>
        </references>
      </pivotArea>
    </chartFormat>
    <chartFormat chart="19" format="20">
      <pivotArea type="data" outline="0" fieldPosition="0">
        <references count="3">
          <reference field="4294967294" count="1" selected="0">
            <x v="0"/>
          </reference>
          <reference field="7" count="1" selected="0">
            <x v="1"/>
          </reference>
          <reference field="13" count="1" selected="0">
            <x v="1"/>
          </reference>
        </references>
      </pivotArea>
    </chartFormat>
    <chartFormat chart="19" format="21">
      <pivotArea type="data" outline="0" fieldPosition="0">
        <references count="3">
          <reference field="4294967294" count="1" selected="0">
            <x v="0"/>
          </reference>
          <reference field="7" count="1" selected="0">
            <x v="1"/>
          </reference>
          <reference field="13" count="1" selected="0">
            <x v="2"/>
          </reference>
        </references>
      </pivotArea>
    </chartFormat>
    <chartFormat chart="19" format="22">
      <pivotArea type="data" outline="0" fieldPosition="0">
        <references count="3">
          <reference field="4294967294" count="1" selected="0">
            <x v="0"/>
          </reference>
          <reference field="7" count="1" selected="0">
            <x v="1"/>
          </reference>
          <reference field="13" count="1" selected="0">
            <x v="3"/>
          </reference>
        </references>
      </pivotArea>
    </chartFormat>
    <chartFormat chart="19" format="23">
      <pivotArea type="data" outline="0" fieldPosition="0">
        <references count="3">
          <reference field="4294967294" count="1" selected="0">
            <x v="0"/>
          </reference>
          <reference field="7" count="1" selected="0">
            <x v="1"/>
          </reference>
          <reference field="13" count="1" selected="0">
            <x v="4"/>
          </reference>
        </references>
      </pivotArea>
    </chartFormat>
    <chartFormat chart="19" format="24">
      <pivotArea type="data" outline="0" fieldPosition="0">
        <references count="3">
          <reference field="4294967294" count="1" selected="0">
            <x v="0"/>
          </reference>
          <reference field="7" count="1" selected="0">
            <x v="1"/>
          </reference>
          <reference field="13" count="1" selected="0">
            <x v="5"/>
          </reference>
        </references>
      </pivotArea>
    </chartFormat>
    <chartFormat chart="19" format="25">
      <pivotArea type="data" outline="0" fieldPosition="0">
        <references count="3">
          <reference field="4294967294" count="1" selected="0">
            <x v="0"/>
          </reference>
          <reference field="7" count="1" selected="0">
            <x v="1"/>
          </reference>
          <reference field="13" count="1" selected="0">
            <x v="6"/>
          </reference>
        </references>
      </pivotArea>
    </chartFormat>
    <chartFormat chart="19" format="26">
      <pivotArea type="data" outline="0" fieldPosition="0">
        <references count="3">
          <reference field="4294967294" count="1" selected="0">
            <x v="0"/>
          </reference>
          <reference field="7" count="1" selected="0">
            <x v="1"/>
          </reference>
          <reference field="13" count="1" selected="0">
            <x v="7"/>
          </reference>
        </references>
      </pivotArea>
    </chartFormat>
    <chartFormat chart="19" format="27">
      <pivotArea type="data" outline="0" fieldPosition="0">
        <references count="3">
          <reference field="4294967294" count="1" selected="0">
            <x v="0"/>
          </reference>
          <reference field="7" count="1" selected="0">
            <x v="1"/>
          </reference>
          <reference field="13" count="1" selected="0">
            <x v="8"/>
          </reference>
        </references>
      </pivotArea>
    </chartFormat>
    <chartFormat chart="19" format="28">
      <pivotArea type="data" outline="0" fieldPosition="0">
        <references count="3">
          <reference field="4294967294" count="1" selected="0">
            <x v="0"/>
          </reference>
          <reference field="7" count="1" selected="0">
            <x v="1"/>
          </reference>
          <reference field="13" count="1" selected="0">
            <x v="9"/>
          </reference>
        </references>
      </pivotArea>
    </chartFormat>
    <chartFormat chart="19" format="29">
      <pivotArea type="data" outline="0" fieldPosition="0">
        <references count="3">
          <reference field="4294967294" count="1" selected="0">
            <x v="0"/>
          </reference>
          <reference field="7" count="1" selected="0">
            <x v="3"/>
          </reference>
          <reference field="13" count="1" selected="0">
            <x v="1"/>
          </reference>
        </references>
      </pivotArea>
    </chartFormat>
    <chartFormat chart="19" format="30">
      <pivotArea type="data" outline="0" fieldPosition="0">
        <references count="3">
          <reference field="4294967294" count="1" selected="0">
            <x v="0"/>
          </reference>
          <reference field="7" count="1" selected="0">
            <x v="3"/>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FF23756D-7295-4C90-B0DA-5D802DACF9B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3">
  <location ref="A5:D25" firstHeaderRow="0" firstDataRow="1" firstDataCol="1"/>
  <pivotFields count="44">
    <pivotField showAll="0"/>
    <pivotField showAll="0"/>
    <pivotField showAll="0"/>
    <pivotField showAll="0"/>
    <pivotField showAll="0"/>
    <pivotField showAll="0">
      <items count="16">
        <item h="1" x="0"/>
        <item h="1" x="1"/>
        <item h="1" x="2"/>
        <item h="1" x="3"/>
        <item h="1" x="4"/>
        <item h="1" x="5"/>
        <item h="1" x="6"/>
        <item h="1" x="7"/>
        <item h="1" x="8"/>
        <item h="1" x="9"/>
        <item h="1" x="10"/>
        <item h="1" x="11"/>
        <item h="1" x="12"/>
        <item x="13"/>
        <item h="1" x="14"/>
        <item t="default"/>
      </items>
    </pivotField>
    <pivotField showAll="0"/>
    <pivotField axis="axisRow" showAll="0" sortType="ascending">
      <items count="5">
        <item h="1" x="0"/>
        <item x="1"/>
        <item x="2"/>
        <item h="1" x="3"/>
        <item t="default"/>
      </items>
    </pivotField>
    <pivotField showAll="0"/>
    <pivotField showAll="0"/>
    <pivotField showAll="0"/>
    <pivotField showAll="0"/>
    <pivotField showAll="0"/>
    <pivotField axis="axisRow" showAll="0">
      <items count="15">
        <item x="4"/>
        <item x="5"/>
        <item x="3"/>
        <item x="7"/>
        <item x="6"/>
        <item x="8"/>
        <item x="9"/>
        <item x="10"/>
        <item x="2"/>
        <item x="0"/>
        <item x="1"/>
        <item x="11"/>
        <item x="12"/>
        <item x="13"/>
        <item t="default"/>
      </items>
    </pivotField>
    <pivotField showAll="0"/>
    <pivotField showAll="0"/>
    <pivotField showAll="0">
      <items count="10">
        <item h="1" m="1" x="8"/>
        <item h="1" x="0"/>
        <item h="1" x="2"/>
        <item x="3"/>
        <item h="1" x="6"/>
        <item h="1" x="1"/>
        <item h="1" x="4"/>
        <item h="1" x="5"/>
        <item h="1" x="7"/>
        <item t="default"/>
      </items>
    </pivotField>
    <pivotField name="Total_number_of_ROC" showAll="0"/>
    <pivotField showAll="0"/>
    <pivotField showAll="0"/>
    <pivotField showAll="0"/>
    <pivotField showAll="0"/>
    <pivotField showAll="0"/>
    <pivotField showAll="0"/>
    <pivotField showAll="0"/>
    <pivotField dataField="1"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s>
  <rowFields count="2">
    <field x="7"/>
    <field x="13"/>
  </rowFields>
  <rowItems count="20">
    <i>
      <x v="1"/>
    </i>
    <i r="1">
      <x/>
    </i>
    <i r="1">
      <x v="1"/>
    </i>
    <i r="1">
      <x v="2"/>
    </i>
    <i r="1">
      <x v="3"/>
    </i>
    <i r="1">
      <x v="4"/>
    </i>
    <i r="1">
      <x v="5"/>
    </i>
    <i r="1">
      <x v="6"/>
    </i>
    <i r="1">
      <x v="7"/>
    </i>
    <i r="1">
      <x v="8"/>
    </i>
    <i r="1">
      <x v="9"/>
    </i>
    <i r="1">
      <x v="10"/>
    </i>
    <i r="1">
      <x v="11"/>
    </i>
    <i>
      <x v="2"/>
    </i>
    <i r="1">
      <x/>
    </i>
    <i r="1">
      <x v="1"/>
    </i>
    <i r="1">
      <x v="2"/>
    </i>
    <i r="1">
      <x v="3"/>
    </i>
    <i r="1">
      <x v="4"/>
    </i>
    <i t="grand">
      <x/>
    </i>
  </rowItems>
  <colFields count="1">
    <field x="-2"/>
  </colFields>
  <colItems count="3">
    <i>
      <x/>
    </i>
    <i i="1">
      <x v="1"/>
    </i>
    <i i="2">
      <x v="2"/>
    </i>
  </colItems>
  <dataFields count="3">
    <dataField name=" LAM_tests" fld="29" baseField="0" baseItem="0"/>
    <dataField name="CrAg-tests" fld="25" baseField="6" baseItem="0"/>
    <dataField name=" LAM_COV%" fld="43" baseField="6" baseItem="0" numFmtId="9"/>
  </dataFields>
  <chartFormats count="32">
    <chartFormat chart="7"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0"/>
          </reference>
        </references>
      </pivotArea>
    </chartFormat>
    <chartFormat chart="63" format="40" series="1">
      <pivotArea type="data" outline="0" fieldPosition="0">
        <references count="1">
          <reference field="4294967294" count="1" selected="0">
            <x v="0"/>
          </reference>
        </references>
      </pivotArea>
    </chartFormat>
    <chartFormat chart="63" format="41" series="1">
      <pivotArea type="data" outline="0" fieldPosition="0">
        <references count="1">
          <reference field="4294967294" count="1" selected="0">
            <x v="1"/>
          </reference>
        </references>
      </pivotArea>
    </chartFormat>
    <chartFormat chart="63" format="42" series="1">
      <pivotArea type="data" outline="0" fieldPosition="0">
        <references count="1">
          <reference field="4294967294" count="1" selected="0">
            <x v="2"/>
          </reference>
        </references>
      </pivotArea>
    </chartFormat>
    <chartFormat chart="64" format="43" series="1">
      <pivotArea type="data" outline="0" fieldPosition="0">
        <references count="1">
          <reference field="4294967294" count="1" selected="0">
            <x v="0"/>
          </reference>
        </references>
      </pivotArea>
    </chartFormat>
    <chartFormat chart="64" format="44" series="1">
      <pivotArea type="data" outline="0" fieldPosition="0">
        <references count="1">
          <reference field="4294967294" count="1" selected="0">
            <x v="1"/>
          </reference>
        </references>
      </pivotArea>
    </chartFormat>
    <chartFormat chart="64" format="45" series="1">
      <pivotArea type="data" outline="0" fieldPosition="0">
        <references count="1">
          <reference field="4294967294" count="1" selected="0">
            <x v="2"/>
          </reference>
        </references>
      </pivotArea>
    </chartFormat>
    <chartFormat chart="17" format="45" series="1">
      <pivotArea type="data" outline="0" fieldPosition="0">
        <references count="1">
          <reference field="4294967294" count="1" selected="0">
            <x v="0"/>
          </reference>
        </references>
      </pivotArea>
    </chartFormat>
    <chartFormat chart="17" format="46" series="1">
      <pivotArea type="data" outline="0" fieldPosition="0">
        <references count="1">
          <reference field="4294967294" count="1" selected="0">
            <x v="1"/>
          </reference>
        </references>
      </pivotArea>
    </chartFormat>
    <chartFormat chart="17" format="47" series="1">
      <pivotArea type="data" outline="0" fieldPosition="0">
        <references count="1">
          <reference field="4294967294" count="1" selected="0">
            <x v="2"/>
          </reference>
        </references>
      </pivotArea>
    </chartFormat>
    <chartFormat chart="119" format="48" series="1">
      <pivotArea type="data" outline="0" fieldPosition="0">
        <references count="1">
          <reference field="4294967294" count="1" selected="0">
            <x v="0"/>
          </reference>
        </references>
      </pivotArea>
    </chartFormat>
    <chartFormat chart="119" format="49" series="1">
      <pivotArea type="data" outline="0" fieldPosition="0">
        <references count="1">
          <reference field="4294967294" count="1" selected="0">
            <x v="1"/>
          </reference>
        </references>
      </pivotArea>
    </chartFormat>
    <chartFormat chart="119" format="50" series="1">
      <pivotArea type="data" outline="0" fieldPosition="0">
        <references count="1">
          <reference field="4294967294" count="1" selected="0">
            <x v="2"/>
          </reference>
        </references>
      </pivotArea>
    </chartFormat>
    <chartFormat chart="120" format="51" series="1">
      <pivotArea type="data" outline="0" fieldPosition="0">
        <references count="1">
          <reference field="4294967294" count="1" selected="0">
            <x v="0"/>
          </reference>
        </references>
      </pivotArea>
    </chartFormat>
    <chartFormat chart="120" format="52" series="1">
      <pivotArea type="data" outline="0" fieldPosition="0">
        <references count="1">
          <reference field="4294967294" count="1" selected="0">
            <x v="1"/>
          </reference>
        </references>
      </pivotArea>
    </chartFormat>
    <chartFormat chart="120" format="53" series="1">
      <pivotArea type="data" outline="0" fieldPosition="0">
        <references count="1">
          <reference field="4294967294" count="1" selected="0">
            <x v="2"/>
          </reference>
        </references>
      </pivotArea>
    </chartFormat>
    <chartFormat chart="126" format="57" series="1">
      <pivotArea type="data" outline="0" fieldPosition="0">
        <references count="1">
          <reference field="4294967294" count="1" selected="0">
            <x v="0"/>
          </reference>
        </references>
      </pivotArea>
    </chartFormat>
    <chartFormat chart="126" format="58" series="1">
      <pivotArea type="data" outline="0" fieldPosition="0">
        <references count="1">
          <reference field="4294967294" count="1" selected="0">
            <x v="1"/>
          </reference>
        </references>
      </pivotArea>
    </chartFormat>
    <chartFormat chart="126" format="59" series="1">
      <pivotArea type="data" outline="0" fieldPosition="0">
        <references count="1">
          <reference field="4294967294" count="1" selected="0">
            <x v="2"/>
          </reference>
        </references>
      </pivotArea>
    </chartFormat>
    <chartFormat chart="128" format="48" series="1">
      <pivotArea type="data" outline="0" fieldPosition="0">
        <references count="1">
          <reference field="4294967294" count="1" selected="0">
            <x v="0"/>
          </reference>
        </references>
      </pivotArea>
    </chartFormat>
    <chartFormat chart="128" format="49" series="1">
      <pivotArea type="data" outline="0" fieldPosition="0">
        <references count="1">
          <reference field="4294967294" count="1" selected="0">
            <x v="1"/>
          </reference>
        </references>
      </pivotArea>
    </chartFormat>
    <chartFormat chart="128" format="50" series="1">
      <pivotArea type="data" outline="0" fieldPosition="0">
        <references count="1">
          <reference field="4294967294" count="1" selected="0">
            <x v="2"/>
          </reference>
        </references>
      </pivotArea>
    </chartFormat>
    <chartFormat chart="129" format="51" series="1">
      <pivotArea type="data" outline="0" fieldPosition="0">
        <references count="1">
          <reference field="4294967294" count="1" selected="0">
            <x v="0"/>
          </reference>
        </references>
      </pivotArea>
    </chartFormat>
    <chartFormat chart="129" format="52" series="1">
      <pivotArea type="data" outline="0" fieldPosition="0">
        <references count="1">
          <reference field="4294967294" count="1" selected="0">
            <x v="1"/>
          </reference>
        </references>
      </pivotArea>
    </chartFormat>
    <chartFormat chart="129" format="53" series="1">
      <pivotArea type="data" outline="0" fieldPosition="0">
        <references count="1">
          <reference field="4294967294" count="1" selected="0">
            <x v="2"/>
          </reference>
        </references>
      </pivotArea>
    </chartFormat>
    <chartFormat chart="132" format="60" series="1">
      <pivotArea type="data" outline="0" fieldPosition="0">
        <references count="1">
          <reference field="4294967294" count="1" selected="0">
            <x v="0"/>
          </reference>
        </references>
      </pivotArea>
    </chartFormat>
    <chartFormat chart="132" format="61" series="1">
      <pivotArea type="data" outline="0" fieldPosition="0">
        <references count="1">
          <reference field="4294967294" count="1" selected="0">
            <x v="1"/>
          </reference>
        </references>
      </pivotArea>
    </chartFormat>
    <chartFormat chart="132" format="62" series="1">
      <pivotArea type="data" outline="0" fieldPosition="0">
        <references count="1">
          <reference field="4294967294" count="1" selected="0">
            <x v="2"/>
          </reference>
        </references>
      </pivotArea>
    </chartFormat>
    <chartFormat chart="133" format="63" series="1">
      <pivotArea type="data" outline="0" fieldPosition="0">
        <references count="1">
          <reference field="4294967294" count="1" selected="0">
            <x v="0"/>
          </reference>
        </references>
      </pivotArea>
    </chartFormat>
    <chartFormat chart="133" format="64" series="1">
      <pivotArea type="data" outline="0" fieldPosition="0">
        <references count="1">
          <reference field="4294967294" count="1" selected="0">
            <x v="1"/>
          </reference>
        </references>
      </pivotArea>
    </chartFormat>
    <chartFormat chart="133" format="65"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BF32E873-219A-4F16-8801-E1967B0E1F6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7">
  <location ref="A5:E42" firstHeaderRow="0" firstDataRow="1" firstDataCol="1"/>
  <pivotFields count="44">
    <pivotField showAll="0"/>
    <pivotField showAll="0"/>
    <pivotField showAll="0"/>
    <pivotField showAll="0"/>
    <pivotField showAll="0"/>
    <pivotField showAll="0">
      <items count="16">
        <item h="1" x="0"/>
        <item h="1" x="1"/>
        <item h="1" x="2"/>
        <item h="1" x="3"/>
        <item h="1" x="4"/>
        <item h="1" x="5"/>
        <item h="1" x="6"/>
        <item h="1" x="7"/>
        <item h="1" x="8"/>
        <item h="1" x="9"/>
        <item h="1" x="10"/>
        <item h="1" x="11"/>
        <item h="1" x="12"/>
        <item x="13"/>
        <item h="1" x="14"/>
        <item t="default"/>
      </items>
    </pivotField>
    <pivotField showAll="0"/>
    <pivotField axis="axisRow" showAll="0">
      <items count="5">
        <item h="1" x="0"/>
        <item x="1"/>
        <item h="1" x="3"/>
        <item x="2"/>
        <item t="default"/>
      </items>
    </pivotField>
    <pivotField showAll="0"/>
    <pivotField showAll="0"/>
    <pivotField showAll="0"/>
    <pivotField showAll="0"/>
    <pivotField showAll="0"/>
    <pivotField axis="axisRow" showAll="0">
      <items count="15">
        <item x="4"/>
        <item x="5"/>
        <item x="3"/>
        <item x="7"/>
        <item x="6"/>
        <item x="8"/>
        <item x="9"/>
        <item x="10"/>
        <item x="2"/>
        <item x="0"/>
        <item x="1"/>
        <item x="11"/>
        <item x="12"/>
        <item x="13"/>
        <item t="default"/>
      </items>
    </pivotField>
    <pivotField showAll="0"/>
    <pivotField showAll="0"/>
    <pivotField showAll="0">
      <items count="10">
        <item h="1" m="1" x="8"/>
        <item h="1" x="0"/>
        <item h="1" x="2"/>
        <item h="1" x="3"/>
        <item h="1" x="6"/>
        <item h="1" x="1"/>
        <item x="4"/>
        <item h="1" x="5"/>
        <item h="1" x="7"/>
        <item t="default"/>
      </items>
    </pivotField>
    <pivotField name="Total_number_of_ROC" axis="axisRow" showAll="0">
      <items count="195">
        <item x="21"/>
        <item x="18"/>
        <item x="20"/>
        <item x="30"/>
        <item x="33"/>
        <item x="54"/>
        <item x="37"/>
        <item x="31"/>
        <item x="39"/>
        <item x="25"/>
        <item x="49"/>
        <item x="36"/>
        <item x="29"/>
        <item x="23"/>
        <item x="42"/>
        <item x="57"/>
        <item x="44"/>
        <item x="51"/>
        <item x="60"/>
        <item x="61"/>
        <item x="53"/>
        <item x="16"/>
        <item x="26"/>
        <item x="17"/>
        <item x="52"/>
        <item x="9"/>
        <item x="59"/>
        <item x="62"/>
        <item x="56"/>
        <item x="34"/>
        <item x="2"/>
        <item x="28"/>
        <item x="43"/>
        <item x="81"/>
        <item x="41"/>
        <item x="0"/>
        <item x="38"/>
        <item x="40"/>
        <item x="58"/>
        <item x="64"/>
        <item x="65"/>
        <item x="55"/>
        <item x="32"/>
        <item x="19"/>
        <item x="5"/>
        <item x="8"/>
        <item x="50"/>
        <item x="63"/>
        <item x="4"/>
        <item x="123"/>
        <item x="11"/>
        <item x="10"/>
        <item x="13"/>
        <item x="3"/>
        <item x="48"/>
        <item x="1"/>
        <item x="7"/>
        <item x="108"/>
        <item x="14"/>
        <item x="136"/>
        <item x="67"/>
        <item x="68"/>
        <item x="12"/>
        <item x="154"/>
        <item x="46"/>
        <item x="15"/>
        <item x="35"/>
        <item x="144"/>
        <item x="182"/>
        <item x="6"/>
        <item x="131"/>
        <item x="98"/>
        <item x="100"/>
        <item x="47"/>
        <item x="111"/>
        <item x="69"/>
        <item x="101"/>
        <item x="70"/>
        <item x="66"/>
        <item x="112"/>
        <item x="185"/>
        <item x="130"/>
        <item x="45"/>
        <item x="78"/>
        <item x="84"/>
        <item x="179"/>
        <item x="118"/>
        <item x="124"/>
        <item x="163"/>
        <item x="170"/>
        <item x="96"/>
        <item x="166"/>
        <item x="122"/>
        <item x="86"/>
        <item x="90"/>
        <item x="183"/>
        <item x="155"/>
        <item x="92"/>
        <item x="157"/>
        <item x="94"/>
        <item x="129"/>
        <item x="74"/>
        <item x="109"/>
        <item x="133"/>
        <item x="79"/>
        <item x="27"/>
        <item x="132"/>
        <item x="126"/>
        <item x="181"/>
        <item x="85"/>
        <item x="24"/>
        <item x="77"/>
        <item x="22"/>
        <item x="147"/>
        <item x="83"/>
        <item x="99"/>
        <item x="145"/>
        <item x="142"/>
        <item x="121"/>
        <item x="187"/>
        <item x="88"/>
        <item x="148"/>
        <item x="117"/>
        <item x="110"/>
        <item x="95"/>
        <item x="125"/>
        <item x="103"/>
        <item x="176"/>
        <item x="120"/>
        <item x="153"/>
        <item x="141"/>
        <item x="146"/>
        <item x="102"/>
        <item x="128"/>
        <item x="76"/>
        <item x="80"/>
        <item x="119"/>
        <item x="97"/>
        <item x="73"/>
        <item x="137"/>
        <item x="140"/>
        <item x="93"/>
        <item x="116"/>
        <item x="82"/>
        <item x="87"/>
        <item x="91"/>
        <item x="174"/>
        <item x="71"/>
        <item x="139"/>
        <item x="127"/>
        <item x="138"/>
        <item x="150"/>
        <item x="75"/>
        <item x="143"/>
        <item x="156"/>
        <item x="173"/>
        <item x="149"/>
        <item x="152"/>
        <item x="180"/>
        <item x="168"/>
        <item x="89"/>
        <item x="161"/>
        <item x="151"/>
        <item x="160"/>
        <item x="114"/>
        <item x="169"/>
        <item x="113"/>
        <item x="162"/>
        <item x="158"/>
        <item x="115"/>
        <item x="188"/>
        <item x="159"/>
        <item x="72"/>
        <item x="171"/>
        <item x="172"/>
        <item x="164"/>
        <item x="167"/>
        <item x="177"/>
        <item x="189"/>
        <item x="184"/>
        <item x="175"/>
        <item x="186"/>
        <item x="165"/>
        <item x="178"/>
        <item x="192"/>
        <item x="104"/>
        <item x="105"/>
        <item x="106"/>
        <item x="107"/>
        <item x="134"/>
        <item x="135"/>
        <item x="190"/>
        <item x="191"/>
        <item x="193"/>
        <item t="default"/>
      </items>
    </pivotField>
    <pivotField showAll="0"/>
    <pivotField showAll="0"/>
    <pivotField showAll="0"/>
    <pivotField showAll="0"/>
    <pivotField showAll="0"/>
    <pivotField dataField="1" showAll="0"/>
    <pivotField showAll="0"/>
    <pivotField dataField="1"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s>
  <rowFields count="3">
    <field x="7"/>
    <field x="13"/>
    <field x="17"/>
  </rowFields>
  <rowItems count="37">
    <i>
      <x v="1"/>
    </i>
    <i r="1">
      <x/>
    </i>
    <i r="2">
      <x v="19"/>
    </i>
    <i r="1">
      <x v="1"/>
    </i>
    <i r="2">
      <x v="19"/>
    </i>
    <i r="1">
      <x v="2"/>
    </i>
    <i r="2">
      <x v="8"/>
    </i>
    <i r="1">
      <x v="3"/>
    </i>
    <i r="2">
      <x v="14"/>
    </i>
    <i r="1">
      <x v="4"/>
    </i>
    <i r="2">
      <x v="16"/>
    </i>
    <i r="1">
      <x v="5"/>
    </i>
    <i r="2">
      <x v="23"/>
    </i>
    <i r="1">
      <x v="6"/>
    </i>
    <i r="2">
      <x v="23"/>
    </i>
    <i r="1">
      <x v="7"/>
    </i>
    <i r="2">
      <x v="12"/>
    </i>
    <i r="1">
      <x v="8"/>
    </i>
    <i r="2">
      <x v="17"/>
    </i>
    <i r="1">
      <x v="9"/>
    </i>
    <i r="2">
      <x v="10"/>
    </i>
    <i r="1">
      <x v="10"/>
    </i>
    <i r="2">
      <x v="11"/>
    </i>
    <i r="1">
      <x v="11"/>
    </i>
    <i r="2">
      <x v="14"/>
    </i>
    <i>
      <x v="3"/>
    </i>
    <i r="1">
      <x/>
    </i>
    <i r="2">
      <x v="7"/>
    </i>
    <i r="1">
      <x v="1"/>
    </i>
    <i r="2">
      <x v="7"/>
    </i>
    <i r="1">
      <x v="2"/>
    </i>
    <i r="2">
      <x v="18"/>
    </i>
    <i r="1">
      <x v="3"/>
    </i>
    <i r="2">
      <x v="11"/>
    </i>
    <i r="1">
      <x v="4"/>
    </i>
    <i r="2">
      <x v="13"/>
    </i>
    <i t="grand">
      <x/>
    </i>
  </rowItems>
  <colFields count="1">
    <field x="-2"/>
  </colFields>
  <colItems count="4">
    <i>
      <x/>
    </i>
    <i i="1">
      <x v="1"/>
    </i>
    <i i="2">
      <x v="2"/>
    </i>
    <i i="3">
      <x v="3"/>
    </i>
  </colItems>
  <dataFields count="4">
    <dataField name=" CD4_tests" fld="23" baseField="0" baseItem="0"/>
    <dataField name=" LAM_tests" fld="29" baseField="0" baseItem="0"/>
    <dataField name="CrAg-tests" fld="25" baseField="6" baseItem="0"/>
    <dataField name=" AHD_screening_cov%" fld="42" baseField="6" baseItem="0" numFmtId="9"/>
  </dataFields>
  <formats count="1">
    <format dxfId="313">
      <pivotArea outline="0" collapsedLevelsAreSubtotals="1" fieldPosition="0">
        <references count="1">
          <reference field="4294967294" count="1" selected="0">
            <x v="3"/>
          </reference>
        </references>
      </pivotArea>
    </format>
  </formats>
  <chartFormats count="29">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2"/>
          </reference>
        </references>
      </pivotArea>
    </chartFormat>
    <chartFormat chart="7" format="2" series="1">
      <pivotArea type="data" outline="0" fieldPosition="0">
        <references count="1">
          <reference field="4294967294" count="1" selected="0">
            <x v="1"/>
          </reference>
        </references>
      </pivotArea>
    </chartFormat>
    <chartFormat chart="7" format="15" series="1">
      <pivotArea type="data" outline="0" fieldPosition="0">
        <references count="1">
          <reference field="4294967294" count="1" selected="0">
            <x v="3"/>
          </reference>
        </references>
      </pivotArea>
    </chartFormat>
    <chartFormat chart="17" format="35" series="1">
      <pivotArea type="data" outline="0" fieldPosition="0">
        <references count="1">
          <reference field="4294967294" count="1" selected="0">
            <x v="0"/>
          </reference>
        </references>
      </pivotArea>
    </chartFormat>
    <chartFormat chart="17" format="36" series="1">
      <pivotArea type="data" outline="0" fieldPosition="0">
        <references count="1">
          <reference field="4294967294" count="1" selected="0">
            <x v="1"/>
          </reference>
        </references>
      </pivotArea>
    </chartFormat>
    <chartFormat chart="17" format="37" series="1">
      <pivotArea type="data" outline="0" fieldPosition="0">
        <references count="1">
          <reference field="4294967294" count="1" selected="0">
            <x v="2"/>
          </reference>
        </references>
      </pivotArea>
    </chartFormat>
    <chartFormat chart="17" format="38" series="1">
      <pivotArea type="data" outline="0" fieldPosition="0">
        <references count="1">
          <reference field="4294967294" count="1" selected="0">
            <x v="3"/>
          </reference>
        </references>
      </pivotArea>
    </chartFormat>
    <chartFormat chart="18" format="40" series="1">
      <pivotArea type="data" outline="0" fieldPosition="0">
        <references count="1">
          <reference field="4294967294" count="1" selected="0">
            <x v="0"/>
          </reference>
        </references>
      </pivotArea>
    </chartFormat>
    <chartFormat chart="18" format="41" series="1">
      <pivotArea type="data" outline="0" fieldPosition="0">
        <references count="1">
          <reference field="4294967294" count="1" selected="0">
            <x v="1"/>
          </reference>
        </references>
      </pivotArea>
    </chartFormat>
    <chartFormat chart="18" format="42" series="1">
      <pivotArea type="data" outline="0" fieldPosition="0">
        <references count="1">
          <reference field="4294967294" count="1" selected="0">
            <x v="2"/>
          </reference>
        </references>
      </pivotArea>
    </chartFormat>
    <chartFormat chart="18" format="43" series="1">
      <pivotArea type="data" outline="0" fieldPosition="0">
        <references count="1">
          <reference field="4294967294" count="1" selected="0">
            <x v="3"/>
          </reference>
        </references>
      </pivotArea>
    </chartFormat>
    <chartFormat chart="20" format="44" series="1">
      <pivotArea type="data" outline="0" fieldPosition="0">
        <references count="1">
          <reference field="4294967294" count="1" selected="0">
            <x v="0"/>
          </reference>
        </references>
      </pivotArea>
    </chartFormat>
    <chartFormat chart="20" format="45" series="1">
      <pivotArea type="data" outline="0" fieldPosition="0">
        <references count="1">
          <reference field="4294967294" count="1" selected="0">
            <x v="1"/>
          </reference>
        </references>
      </pivotArea>
    </chartFormat>
    <chartFormat chart="20" format="46" series="1">
      <pivotArea type="data" outline="0" fieldPosition="0">
        <references count="1">
          <reference field="4294967294" count="1" selected="0">
            <x v="2"/>
          </reference>
        </references>
      </pivotArea>
    </chartFormat>
    <chartFormat chart="20" format="47" series="1">
      <pivotArea type="data" outline="0" fieldPosition="0">
        <references count="1">
          <reference field="4294967294" count="1" selected="0">
            <x v="3"/>
          </reference>
        </references>
      </pivotArea>
    </chartFormat>
    <chartFormat chart="21" format="49" series="1">
      <pivotArea type="data" outline="0" fieldPosition="0">
        <references count="1">
          <reference field="4294967294" count="1" selected="0">
            <x v="0"/>
          </reference>
        </references>
      </pivotArea>
    </chartFormat>
    <chartFormat chart="21" format="50" series="1">
      <pivotArea type="data" outline="0" fieldPosition="0">
        <references count="1">
          <reference field="4294967294" count="1" selected="0">
            <x v="1"/>
          </reference>
        </references>
      </pivotArea>
    </chartFormat>
    <chartFormat chart="21" format="51" series="1">
      <pivotArea type="data" outline="0" fieldPosition="0">
        <references count="1">
          <reference field="4294967294" count="1" selected="0">
            <x v="2"/>
          </reference>
        </references>
      </pivotArea>
    </chartFormat>
    <chartFormat chart="21" format="52" series="1">
      <pivotArea type="data" outline="0" fieldPosition="0">
        <references count="1">
          <reference field="4294967294" count="1" selected="0">
            <x v="3"/>
          </reference>
        </references>
      </pivotArea>
    </chartFormat>
    <chartFormat chart="132" format="69" series="1">
      <pivotArea type="data" outline="0" fieldPosition="0">
        <references count="1">
          <reference field="4294967294" count="1" selected="0">
            <x v="0"/>
          </reference>
        </references>
      </pivotArea>
    </chartFormat>
    <chartFormat chart="132" format="70" series="1">
      <pivotArea type="data" outline="0" fieldPosition="0">
        <references count="1">
          <reference field="4294967294" count="1" selected="0">
            <x v="1"/>
          </reference>
        </references>
      </pivotArea>
    </chartFormat>
    <chartFormat chart="132" format="71" series="1">
      <pivotArea type="data" outline="0" fieldPosition="0">
        <references count="1">
          <reference field="4294967294" count="1" selected="0">
            <x v="2"/>
          </reference>
        </references>
      </pivotArea>
    </chartFormat>
    <chartFormat chart="132" format="72" series="1">
      <pivotArea type="data" outline="0" fieldPosition="0">
        <references count="1">
          <reference field="4294967294" count="1" selected="0">
            <x v="3"/>
          </reference>
        </references>
      </pivotArea>
    </chartFormat>
    <chartFormat chart="132" format="85">
      <pivotArea type="data" outline="0" fieldPosition="0">
        <references count="4">
          <reference field="4294967294" count="1" selected="0">
            <x v="3"/>
          </reference>
          <reference field="7" count="1" selected="0">
            <x v="3"/>
          </reference>
          <reference field="13" count="1" selected="0">
            <x v="1"/>
          </reference>
          <reference field="17" count="1" selected="0">
            <x v="7"/>
          </reference>
        </references>
      </pivotArea>
    </chartFormat>
    <chartFormat chart="132" format="86">
      <pivotArea type="data" outline="0" fieldPosition="0">
        <references count="4">
          <reference field="4294967294" count="1" selected="0">
            <x v="3"/>
          </reference>
          <reference field="7" count="1" selected="0">
            <x v="1"/>
          </reference>
          <reference field="13" count="1" selected="0">
            <x v="11"/>
          </reference>
          <reference field="17" count="1" selected="0">
            <x v="14"/>
          </reference>
        </references>
      </pivotArea>
    </chartFormat>
    <chartFormat chart="132" format="87">
      <pivotArea type="data" outline="0" fieldPosition="0">
        <references count="4">
          <reference field="4294967294" count="1" selected="0">
            <x v="3"/>
          </reference>
          <reference field="7" count="1" selected="0">
            <x v="1"/>
          </reference>
          <reference field="13" count="1" selected="0">
            <x v="9"/>
          </reference>
          <reference field="17" count="1" selected="0">
            <x v="10"/>
          </reference>
        </references>
      </pivotArea>
    </chartFormat>
    <chartFormat chart="132" format="88">
      <pivotArea type="data" outline="0" fieldPosition="0">
        <references count="4">
          <reference field="4294967294" count="1" selected="0">
            <x v="3"/>
          </reference>
          <reference field="7" count="1" selected="0">
            <x v="1"/>
          </reference>
          <reference field="13" count="1" selected="0">
            <x v="7"/>
          </reference>
          <reference field="17" count="1" selected="0">
            <x v="12"/>
          </reference>
        </references>
      </pivotArea>
    </chartFormat>
    <chartFormat chart="132" format="89">
      <pivotArea type="data" outline="0" fieldPosition="0">
        <references count="4">
          <reference field="4294967294" count="1" selected="0">
            <x v="3"/>
          </reference>
          <reference field="7" count="1" selected="0">
            <x v="1"/>
          </reference>
          <reference field="13" count="1" selected="0">
            <x v="1"/>
          </reference>
          <reference field="17" count="1" selected="0">
            <x v="1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16EE152D-3A7D-4DB1-BFA9-0A891E286AB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7">
  <location ref="I5:L25" firstHeaderRow="0" firstDataRow="1" firstDataCol="1"/>
  <pivotFields count="44">
    <pivotField showAll="0"/>
    <pivotField showAll="0"/>
    <pivotField showAll="0"/>
    <pivotField showAll="0"/>
    <pivotField showAll="0"/>
    <pivotField showAll="0">
      <items count="16">
        <item h="1" x="0"/>
        <item h="1" x="1"/>
        <item h="1" x="2"/>
        <item h="1" x="3"/>
        <item h="1" x="4"/>
        <item h="1" x="5"/>
        <item h="1" x="6"/>
        <item h="1" x="7"/>
        <item h="1" x="8"/>
        <item h="1" x="9"/>
        <item h="1" x="10"/>
        <item h="1" x="11"/>
        <item h="1" x="12"/>
        <item x="13"/>
        <item h="1" x="14"/>
        <item t="default"/>
      </items>
    </pivotField>
    <pivotField showAll="0"/>
    <pivotField axis="axisRow" showAll="0">
      <items count="5">
        <item h="1" x="0"/>
        <item x="1"/>
        <item h="1" x="3"/>
        <item x="2"/>
        <item t="default"/>
      </items>
    </pivotField>
    <pivotField showAll="0"/>
    <pivotField showAll="0"/>
    <pivotField showAll="0"/>
    <pivotField showAll="0"/>
    <pivotField showAll="0"/>
    <pivotField axis="axisRow" showAll="0">
      <items count="15">
        <item x="4"/>
        <item x="5"/>
        <item x="3"/>
        <item x="7"/>
        <item x="6"/>
        <item x="8"/>
        <item x="9"/>
        <item x="10"/>
        <item x="2"/>
        <item x="0"/>
        <item x="1"/>
        <item x="11"/>
        <item x="12"/>
        <item x="13"/>
        <item t="default"/>
      </items>
    </pivotField>
    <pivotField showAll="0"/>
    <pivotField showAll="0"/>
    <pivotField showAll="0">
      <items count="10">
        <item h="1" m="1" x="8"/>
        <item h="1" x="0"/>
        <item h="1" x="2"/>
        <item h="1" x="3"/>
        <item h="1" x="6"/>
        <item h="1" x="1"/>
        <item x="4"/>
        <item h="1" x="5"/>
        <item h="1" x="7"/>
        <item t="default"/>
      </items>
    </pivotField>
    <pivotField name="Total_number_of_ROC"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dragToRow="0" dragToCol="0" dragToPage="0" showAll="0" defaultSubtotal="0"/>
    <pivotField dataField="1"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s>
  <rowFields count="2">
    <field x="7"/>
    <field x="13"/>
  </rowFields>
  <rowItems count="20">
    <i>
      <x v="1"/>
    </i>
    <i r="1">
      <x/>
    </i>
    <i r="1">
      <x v="1"/>
    </i>
    <i r="1">
      <x v="2"/>
    </i>
    <i r="1">
      <x v="3"/>
    </i>
    <i r="1">
      <x v="4"/>
    </i>
    <i r="1">
      <x v="5"/>
    </i>
    <i r="1">
      <x v="6"/>
    </i>
    <i r="1">
      <x v="7"/>
    </i>
    <i r="1">
      <x v="8"/>
    </i>
    <i r="1">
      <x v="9"/>
    </i>
    <i r="1">
      <x v="10"/>
    </i>
    <i r="1">
      <x v="11"/>
    </i>
    <i>
      <x v="3"/>
    </i>
    <i r="1">
      <x/>
    </i>
    <i r="1">
      <x v="1"/>
    </i>
    <i r="1">
      <x v="2"/>
    </i>
    <i r="1">
      <x v="3"/>
    </i>
    <i r="1">
      <x v="4"/>
    </i>
    <i t="grand">
      <x/>
    </i>
  </rowItems>
  <colFields count="1">
    <field x="-2"/>
  </colFields>
  <colItems count="3">
    <i>
      <x/>
    </i>
    <i i="1">
      <x v="1"/>
    </i>
    <i i="2">
      <x v="2"/>
    </i>
  </colItems>
  <dataFields count="3">
    <dataField name=" CD4&lt;200%" fld="39" baseField="6" baseItem="0"/>
    <dataField name=" LAM+%" fld="41" baseField="6" baseItem="0"/>
    <dataField name=" CrAg+%" fld="40" baseField="6" baseItem="0"/>
  </dataFields>
  <formats count="2">
    <format dxfId="315">
      <pivotArea collapsedLevelsAreSubtotals="1" fieldPosition="0">
        <references count="1">
          <reference field="7" count="1">
            <x v="0"/>
          </reference>
        </references>
      </pivotArea>
    </format>
    <format dxfId="314">
      <pivotArea collapsedLevelsAreSubtotals="1" fieldPosition="0">
        <references count="1">
          <reference field="7" count="1">
            <x v="1"/>
          </reference>
        </references>
      </pivotArea>
    </format>
  </formats>
  <chartFormats count="70">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2"/>
          </reference>
        </references>
      </pivotArea>
    </chartFormat>
    <chartFormat chart="13" format="2" series="1">
      <pivotArea type="data" outline="0" fieldPosition="0">
        <references count="1">
          <reference field="4294967294" count="1" selected="0">
            <x v="1"/>
          </reference>
        </references>
      </pivotArea>
    </chartFormat>
    <chartFormat chart="19" format="5"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1"/>
          </reference>
        </references>
      </pivotArea>
    </chartFormat>
    <chartFormat chart="19" format="8" series="1">
      <pivotArea type="data" outline="0" fieldPosition="0">
        <references count="1">
          <reference field="4294967294" count="1" selected="0">
            <x v="2"/>
          </reference>
        </references>
      </pivotArea>
    </chartFormat>
    <chartFormat chart="20" format="9" series="1">
      <pivotArea type="data" outline="0" fieldPosition="0">
        <references count="1">
          <reference field="4294967294" count="1" selected="0">
            <x v="0"/>
          </reference>
        </references>
      </pivotArea>
    </chartFormat>
    <chartFormat chart="20" format="10" series="1">
      <pivotArea type="data" outline="0" fieldPosition="0">
        <references count="1">
          <reference field="4294967294" count="1" selected="0">
            <x v="1"/>
          </reference>
        </references>
      </pivotArea>
    </chartFormat>
    <chartFormat chart="20" format="12" series="1">
      <pivotArea type="data" outline="0" fieldPosition="0">
        <references count="1">
          <reference field="4294967294" count="1" selected="0">
            <x v="2"/>
          </reference>
        </references>
      </pivotArea>
    </chartFormat>
    <chartFormat chart="21" format="13" series="1">
      <pivotArea type="data" outline="0" fieldPosition="0">
        <references count="1">
          <reference field="4294967294" count="1" selected="0">
            <x v="0"/>
          </reference>
        </references>
      </pivotArea>
    </chartFormat>
    <chartFormat chart="21" format="14" series="1">
      <pivotArea type="data" outline="0" fieldPosition="0">
        <references count="1">
          <reference field="4294967294" count="1" selected="0">
            <x v="1"/>
          </reference>
        </references>
      </pivotArea>
    </chartFormat>
    <chartFormat chart="21" format="16" series="1">
      <pivotArea type="data" outline="0" fieldPosition="0">
        <references count="1">
          <reference field="4294967294" count="1" selected="0">
            <x v="2"/>
          </reference>
        </references>
      </pivotArea>
    </chartFormat>
    <chartFormat chart="22" format="18" series="1">
      <pivotArea type="data" outline="0" fieldPosition="0">
        <references count="1">
          <reference field="4294967294" count="1" selected="0">
            <x v="0"/>
          </reference>
        </references>
      </pivotArea>
    </chartFormat>
    <chartFormat chart="22" format="20" series="1">
      <pivotArea type="data" outline="0" fieldPosition="0">
        <references count="1">
          <reference field="4294967294" count="1" selected="0">
            <x v="1"/>
          </reference>
        </references>
      </pivotArea>
    </chartFormat>
    <chartFormat chart="22" format="22" series="1">
      <pivotArea type="data" outline="0" fieldPosition="0">
        <references count="1">
          <reference field="4294967294" count="1" selected="0">
            <x v="2"/>
          </reference>
        </references>
      </pivotArea>
    </chartFormat>
    <chartFormat chart="48" format="34" series="1">
      <pivotArea type="data" outline="0" fieldPosition="0">
        <references count="1">
          <reference field="4294967294" count="1" selected="0">
            <x v="0"/>
          </reference>
        </references>
      </pivotArea>
    </chartFormat>
    <chartFormat chart="48" format="41" series="1">
      <pivotArea type="data" outline="0" fieldPosition="0">
        <references count="1">
          <reference field="4294967294" count="1" selected="0">
            <x v="1"/>
          </reference>
        </references>
      </pivotArea>
    </chartFormat>
    <chartFormat chart="48" format="48" series="1">
      <pivotArea type="data" outline="0" fieldPosition="0">
        <references count="1">
          <reference field="4294967294" count="1" selected="0">
            <x v="2"/>
          </reference>
        </references>
      </pivotArea>
    </chartFormat>
    <chartFormat chart="49" format="50" series="1">
      <pivotArea type="data" outline="0" fieldPosition="0">
        <references count="1">
          <reference field="4294967294" count="1" selected="0">
            <x v="0"/>
          </reference>
        </references>
      </pivotArea>
    </chartFormat>
    <chartFormat chart="49" format="57" series="1">
      <pivotArea type="data" outline="0" fieldPosition="0">
        <references count="1">
          <reference field="4294967294" count="1" selected="0">
            <x v="1"/>
          </reference>
        </references>
      </pivotArea>
    </chartFormat>
    <chartFormat chart="49" format="64" series="1">
      <pivotArea type="data" outline="0" fieldPosition="0">
        <references count="1">
          <reference field="4294967294" count="1" selected="0">
            <x v="2"/>
          </reference>
        </references>
      </pivotArea>
    </chartFormat>
    <chartFormat chart="97" format="82" series="1">
      <pivotArea type="data" outline="0" fieldPosition="0">
        <references count="1">
          <reference field="4294967294" count="1" selected="0">
            <x v="0"/>
          </reference>
        </references>
      </pivotArea>
    </chartFormat>
    <chartFormat chart="97" format="89" series="1">
      <pivotArea type="data" outline="0" fieldPosition="0">
        <references count="1">
          <reference field="4294967294" count="1" selected="0">
            <x v="1"/>
          </reference>
        </references>
      </pivotArea>
    </chartFormat>
    <chartFormat chart="97" format="96" series="1">
      <pivotArea type="data" outline="0" fieldPosition="0">
        <references count="1">
          <reference field="4294967294" count="1" selected="0">
            <x v="2"/>
          </reference>
        </references>
      </pivotArea>
    </chartFormat>
    <chartFormat chart="97" format="104">
      <pivotArea type="data" outline="0" fieldPosition="0">
        <references count="3">
          <reference field="4294967294" count="1" selected="0">
            <x v="0"/>
          </reference>
          <reference field="7" count="1" selected="0">
            <x v="1"/>
          </reference>
          <reference field="13" count="1" selected="0">
            <x v="0"/>
          </reference>
        </references>
      </pivotArea>
    </chartFormat>
    <chartFormat chart="97" format="105">
      <pivotArea type="data" outline="0" fieldPosition="0">
        <references count="3">
          <reference field="4294967294" count="1" selected="0">
            <x v="0"/>
          </reference>
          <reference field="7" count="1" selected="0">
            <x v="1"/>
          </reference>
          <reference field="13" count="1" selected="0">
            <x v="1"/>
          </reference>
        </references>
      </pivotArea>
    </chartFormat>
    <chartFormat chart="97" format="106">
      <pivotArea type="data" outline="0" fieldPosition="0">
        <references count="3">
          <reference field="4294967294" count="1" selected="0">
            <x v="0"/>
          </reference>
          <reference field="7" count="1" selected="0">
            <x v="1"/>
          </reference>
          <reference field="13" count="1" selected="0">
            <x v="2"/>
          </reference>
        </references>
      </pivotArea>
    </chartFormat>
    <chartFormat chart="97" format="107">
      <pivotArea type="data" outline="0" fieldPosition="0">
        <references count="3">
          <reference field="4294967294" count="1" selected="0">
            <x v="0"/>
          </reference>
          <reference field="7" count="1" selected="0">
            <x v="1"/>
          </reference>
          <reference field="13" count="1" selected="0">
            <x v="3"/>
          </reference>
        </references>
      </pivotArea>
    </chartFormat>
    <chartFormat chart="97" format="108">
      <pivotArea type="data" outline="0" fieldPosition="0">
        <references count="3">
          <reference field="4294967294" count="1" selected="0">
            <x v="0"/>
          </reference>
          <reference field="7" count="1" selected="0">
            <x v="1"/>
          </reference>
          <reference field="13" count="1" selected="0">
            <x v="4"/>
          </reference>
        </references>
      </pivotArea>
    </chartFormat>
    <chartFormat chart="97" format="109">
      <pivotArea type="data" outline="0" fieldPosition="0">
        <references count="3">
          <reference field="4294967294" count="1" selected="0">
            <x v="0"/>
          </reference>
          <reference field="7" count="1" selected="0">
            <x v="1"/>
          </reference>
          <reference field="13" count="1" selected="0">
            <x v="5"/>
          </reference>
        </references>
      </pivotArea>
    </chartFormat>
    <chartFormat chart="97" format="110">
      <pivotArea type="data" outline="0" fieldPosition="0">
        <references count="3">
          <reference field="4294967294" count="1" selected="0">
            <x v="0"/>
          </reference>
          <reference field="7" count="1" selected="0">
            <x v="1"/>
          </reference>
          <reference field="13" count="1" selected="0">
            <x v="6"/>
          </reference>
        </references>
      </pivotArea>
    </chartFormat>
    <chartFormat chart="97" format="111">
      <pivotArea type="data" outline="0" fieldPosition="0">
        <references count="3">
          <reference field="4294967294" count="1" selected="0">
            <x v="0"/>
          </reference>
          <reference field="7" count="1" selected="0">
            <x v="1"/>
          </reference>
          <reference field="13" count="1" selected="0">
            <x v="7"/>
          </reference>
        </references>
      </pivotArea>
    </chartFormat>
    <chartFormat chart="97" format="112">
      <pivotArea type="data" outline="0" fieldPosition="0">
        <references count="3">
          <reference field="4294967294" count="1" selected="0">
            <x v="1"/>
          </reference>
          <reference field="7" count="1" selected="0">
            <x v="1"/>
          </reference>
          <reference field="13" count="1" selected="0">
            <x v="0"/>
          </reference>
        </references>
      </pivotArea>
    </chartFormat>
    <chartFormat chart="97" format="113">
      <pivotArea type="data" outline="0" fieldPosition="0">
        <references count="3">
          <reference field="4294967294" count="1" selected="0">
            <x v="1"/>
          </reference>
          <reference field="7" count="1" selected="0">
            <x v="1"/>
          </reference>
          <reference field="13" count="1" selected="0">
            <x v="1"/>
          </reference>
        </references>
      </pivotArea>
    </chartFormat>
    <chartFormat chart="97" format="114">
      <pivotArea type="data" outline="0" fieldPosition="0">
        <references count="3">
          <reference field="4294967294" count="1" selected="0">
            <x v="1"/>
          </reference>
          <reference field="7" count="1" selected="0">
            <x v="1"/>
          </reference>
          <reference field="13" count="1" selected="0">
            <x v="2"/>
          </reference>
        </references>
      </pivotArea>
    </chartFormat>
    <chartFormat chart="97" format="115">
      <pivotArea type="data" outline="0" fieldPosition="0">
        <references count="3">
          <reference field="4294967294" count="1" selected="0">
            <x v="1"/>
          </reference>
          <reference field="7" count="1" selected="0">
            <x v="1"/>
          </reference>
          <reference field="13" count="1" selected="0">
            <x v="3"/>
          </reference>
        </references>
      </pivotArea>
    </chartFormat>
    <chartFormat chart="97" format="116">
      <pivotArea type="data" outline="0" fieldPosition="0">
        <references count="3">
          <reference field="4294967294" count="1" selected="0">
            <x v="1"/>
          </reference>
          <reference field="7" count="1" selected="0">
            <x v="1"/>
          </reference>
          <reference field="13" count="1" selected="0">
            <x v="4"/>
          </reference>
        </references>
      </pivotArea>
    </chartFormat>
    <chartFormat chart="97" format="117">
      <pivotArea type="data" outline="0" fieldPosition="0">
        <references count="3">
          <reference field="4294967294" count="1" selected="0">
            <x v="1"/>
          </reference>
          <reference field="7" count="1" selected="0">
            <x v="1"/>
          </reference>
          <reference field="13" count="1" selected="0">
            <x v="5"/>
          </reference>
        </references>
      </pivotArea>
    </chartFormat>
    <chartFormat chart="97" format="118">
      <pivotArea type="data" outline="0" fieldPosition="0">
        <references count="3">
          <reference field="4294967294" count="1" selected="0">
            <x v="1"/>
          </reference>
          <reference field="7" count="1" selected="0">
            <x v="1"/>
          </reference>
          <reference field="13" count="1" selected="0">
            <x v="6"/>
          </reference>
        </references>
      </pivotArea>
    </chartFormat>
    <chartFormat chart="97" format="119">
      <pivotArea type="data" outline="0" fieldPosition="0">
        <references count="3">
          <reference field="4294967294" count="1" selected="0">
            <x v="1"/>
          </reference>
          <reference field="7" count="1" selected="0">
            <x v="1"/>
          </reference>
          <reference field="13" count="1" selected="0">
            <x v="7"/>
          </reference>
        </references>
      </pivotArea>
    </chartFormat>
    <chartFormat chart="97" format="120">
      <pivotArea type="data" outline="0" fieldPosition="0">
        <references count="3">
          <reference field="4294967294" count="1" selected="0">
            <x v="2"/>
          </reference>
          <reference field="7" count="1" selected="0">
            <x v="1"/>
          </reference>
          <reference field="13" count="1" selected="0">
            <x v="1"/>
          </reference>
        </references>
      </pivotArea>
    </chartFormat>
    <chartFormat chart="97" format="121">
      <pivotArea type="data" outline="0" fieldPosition="0">
        <references count="3">
          <reference field="4294967294" count="1" selected="0">
            <x v="2"/>
          </reference>
          <reference field="7" count="1" selected="0">
            <x v="1"/>
          </reference>
          <reference field="13" count="1" selected="0">
            <x v="2"/>
          </reference>
        </references>
      </pivotArea>
    </chartFormat>
    <chartFormat chart="97" format="122">
      <pivotArea type="data" outline="0" fieldPosition="0">
        <references count="3">
          <reference field="4294967294" count="1" selected="0">
            <x v="2"/>
          </reference>
          <reference field="7" count="1" selected="0">
            <x v="1"/>
          </reference>
          <reference field="13" count="1" selected="0">
            <x v="3"/>
          </reference>
        </references>
      </pivotArea>
    </chartFormat>
    <chartFormat chart="22" format="48">
      <pivotArea type="data" outline="0" fieldPosition="0">
        <references count="3">
          <reference field="4294967294" count="1" selected="0">
            <x v="0"/>
          </reference>
          <reference field="7" count="1" selected="0">
            <x v="1"/>
          </reference>
          <reference field="13" count="1" selected="0">
            <x v="0"/>
          </reference>
        </references>
      </pivotArea>
    </chartFormat>
    <chartFormat chart="22" format="49">
      <pivotArea type="data" outline="0" fieldPosition="0">
        <references count="3">
          <reference field="4294967294" count="1" selected="0">
            <x v="0"/>
          </reference>
          <reference field="7" count="1" selected="0">
            <x v="1"/>
          </reference>
          <reference field="13" count="1" selected="0">
            <x v="1"/>
          </reference>
        </references>
      </pivotArea>
    </chartFormat>
    <chartFormat chart="22" format="50">
      <pivotArea type="data" outline="0" fieldPosition="0">
        <references count="3">
          <reference field="4294967294" count="1" selected="0">
            <x v="0"/>
          </reference>
          <reference field="7" count="1" selected="0">
            <x v="1"/>
          </reference>
          <reference field="13" count="1" selected="0">
            <x v="2"/>
          </reference>
        </references>
      </pivotArea>
    </chartFormat>
    <chartFormat chart="22" format="51">
      <pivotArea type="data" outline="0" fieldPosition="0">
        <references count="3">
          <reference field="4294967294" count="1" selected="0">
            <x v="0"/>
          </reference>
          <reference field="7" count="1" selected="0">
            <x v="1"/>
          </reference>
          <reference field="13" count="1" selected="0">
            <x v="3"/>
          </reference>
        </references>
      </pivotArea>
    </chartFormat>
    <chartFormat chart="22" format="52">
      <pivotArea type="data" outline="0" fieldPosition="0">
        <references count="3">
          <reference field="4294967294" count="1" selected="0">
            <x v="0"/>
          </reference>
          <reference field="7" count="1" selected="0">
            <x v="1"/>
          </reference>
          <reference field="13" count="1" selected="0">
            <x v="4"/>
          </reference>
        </references>
      </pivotArea>
    </chartFormat>
    <chartFormat chart="22" format="53">
      <pivotArea type="data" outline="0" fieldPosition="0">
        <references count="3">
          <reference field="4294967294" count="1" selected="0">
            <x v="0"/>
          </reference>
          <reference field="7" count="1" selected="0">
            <x v="1"/>
          </reference>
          <reference field="13" count="1" selected="0">
            <x v="5"/>
          </reference>
        </references>
      </pivotArea>
    </chartFormat>
    <chartFormat chart="22" format="54">
      <pivotArea type="data" outline="0" fieldPosition="0">
        <references count="3">
          <reference field="4294967294" count="1" selected="0">
            <x v="0"/>
          </reference>
          <reference field="7" count="1" selected="0">
            <x v="1"/>
          </reference>
          <reference field="13" count="1" selected="0">
            <x v="6"/>
          </reference>
        </references>
      </pivotArea>
    </chartFormat>
    <chartFormat chart="22" format="55">
      <pivotArea type="data" outline="0" fieldPosition="0">
        <references count="3">
          <reference field="4294967294" count="1" selected="0">
            <x v="0"/>
          </reference>
          <reference field="7" count="1" selected="0">
            <x v="1"/>
          </reference>
          <reference field="13" count="1" selected="0">
            <x v="7"/>
          </reference>
        </references>
      </pivotArea>
    </chartFormat>
    <chartFormat chart="22" format="56">
      <pivotArea type="data" outline="0" fieldPosition="0">
        <references count="3">
          <reference field="4294967294" count="1" selected="0">
            <x v="0"/>
          </reference>
          <reference field="7" count="1" selected="0">
            <x v="3"/>
          </reference>
          <reference field="13" count="1" selected="0">
            <x v="0"/>
          </reference>
        </references>
      </pivotArea>
    </chartFormat>
    <chartFormat chart="22" format="57">
      <pivotArea type="data" outline="0" fieldPosition="0">
        <references count="3">
          <reference field="4294967294" count="1" selected="0">
            <x v="0"/>
          </reference>
          <reference field="7" count="1" selected="0">
            <x v="3"/>
          </reference>
          <reference field="13" count="1" selected="0">
            <x v="1"/>
          </reference>
        </references>
      </pivotArea>
    </chartFormat>
    <chartFormat chart="22" format="58">
      <pivotArea type="data" outline="0" fieldPosition="0">
        <references count="3">
          <reference field="4294967294" count="1" selected="0">
            <x v="1"/>
          </reference>
          <reference field="7" count="1" selected="0">
            <x v="1"/>
          </reference>
          <reference field="13" count="1" selected="0">
            <x v="0"/>
          </reference>
        </references>
      </pivotArea>
    </chartFormat>
    <chartFormat chart="22" format="59">
      <pivotArea type="data" outline="0" fieldPosition="0">
        <references count="3">
          <reference field="4294967294" count="1" selected="0">
            <x v="1"/>
          </reference>
          <reference field="7" count="1" selected="0">
            <x v="1"/>
          </reference>
          <reference field="13" count="1" selected="0">
            <x v="1"/>
          </reference>
        </references>
      </pivotArea>
    </chartFormat>
    <chartFormat chart="22" format="60">
      <pivotArea type="data" outline="0" fieldPosition="0">
        <references count="3">
          <reference field="4294967294" count="1" selected="0">
            <x v="1"/>
          </reference>
          <reference field="7" count="1" selected="0">
            <x v="1"/>
          </reference>
          <reference field="13" count="1" selected="0">
            <x v="2"/>
          </reference>
        </references>
      </pivotArea>
    </chartFormat>
    <chartFormat chart="22" format="61">
      <pivotArea type="data" outline="0" fieldPosition="0">
        <references count="3">
          <reference field="4294967294" count="1" selected="0">
            <x v="1"/>
          </reference>
          <reference field="7" count="1" selected="0">
            <x v="1"/>
          </reference>
          <reference field="13" count="1" selected="0">
            <x v="3"/>
          </reference>
        </references>
      </pivotArea>
    </chartFormat>
    <chartFormat chart="22" format="62">
      <pivotArea type="data" outline="0" fieldPosition="0">
        <references count="3">
          <reference field="4294967294" count="1" selected="0">
            <x v="1"/>
          </reference>
          <reference field="7" count="1" selected="0">
            <x v="1"/>
          </reference>
          <reference field="13" count="1" selected="0">
            <x v="4"/>
          </reference>
        </references>
      </pivotArea>
    </chartFormat>
    <chartFormat chart="22" format="63">
      <pivotArea type="data" outline="0" fieldPosition="0">
        <references count="3">
          <reference field="4294967294" count="1" selected="0">
            <x v="1"/>
          </reference>
          <reference field="7" count="1" selected="0">
            <x v="1"/>
          </reference>
          <reference field="13" count="1" selected="0">
            <x v="5"/>
          </reference>
        </references>
      </pivotArea>
    </chartFormat>
    <chartFormat chart="22" format="64">
      <pivotArea type="data" outline="0" fieldPosition="0">
        <references count="3">
          <reference field="4294967294" count="1" selected="0">
            <x v="1"/>
          </reference>
          <reference field="7" count="1" selected="0">
            <x v="1"/>
          </reference>
          <reference field="13" count="1" selected="0">
            <x v="6"/>
          </reference>
        </references>
      </pivotArea>
    </chartFormat>
    <chartFormat chart="22" format="65">
      <pivotArea type="data" outline="0" fieldPosition="0">
        <references count="3">
          <reference field="4294967294" count="1" selected="0">
            <x v="1"/>
          </reference>
          <reference field="7" count="1" selected="0">
            <x v="1"/>
          </reference>
          <reference field="13" count="1" selected="0">
            <x v="7"/>
          </reference>
        </references>
      </pivotArea>
    </chartFormat>
    <chartFormat chart="22" format="66">
      <pivotArea type="data" outline="0" fieldPosition="0">
        <references count="3">
          <reference field="4294967294" count="1" selected="0">
            <x v="1"/>
          </reference>
          <reference field="7" count="1" selected="0">
            <x v="3"/>
          </reference>
          <reference field="13" count="1" selected="0">
            <x v="0"/>
          </reference>
        </references>
      </pivotArea>
    </chartFormat>
    <chartFormat chart="22" format="67">
      <pivotArea type="data" outline="0" fieldPosition="0">
        <references count="3">
          <reference field="4294967294" count="1" selected="0">
            <x v="1"/>
          </reference>
          <reference field="7" count="1" selected="0">
            <x v="3"/>
          </reference>
          <reference field="13" count="1" selected="0">
            <x v="1"/>
          </reference>
        </references>
      </pivotArea>
    </chartFormat>
    <chartFormat chart="22" format="68">
      <pivotArea type="data" outline="0" fieldPosition="0">
        <references count="3">
          <reference field="4294967294" count="1" selected="0">
            <x v="2"/>
          </reference>
          <reference field="7" count="1" selected="0">
            <x v="1"/>
          </reference>
          <reference field="13" count="1" selected="0">
            <x v="1"/>
          </reference>
        </references>
      </pivotArea>
    </chartFormat>
    <chartFormat chart="22" format="69">
      <pivotArea type="data" outline="0" fieldPosition="0">
        <references count="3">
          <reference field="4294967294" count="1" selected="0">
            <x v="2"/>
          </reference>
          <reference field="7" count="1" selected="0">
            <x v="1"/>
          </reference>
          <reference field="13" count="1" selected="0">
            <x v="2"/>
          </reference>
        </references>
      </pivotArea>
    </chartFormat>
    <chartFormat chart="22" format="70">
      <pivotArea type="data" outline="0" fieldPosition="0">
        <references count="3">
          <reference field="4294967294" count="1" selected="0">
            <x v="2"/>
          </reference>
          <reference field="7" count="1" selected="0">
            <x v="1"/>
          </reference>
          <reference field="13" count="1" selected="0">
            <x v="3"/>
          </reference>
        </references>
      </pivotArea>
    </chartFormat>
    <chartFormat chart="22" format="71">
      <pivotArea type="data" outline="0" fieldPosition="0">
        <references count="3">
          <reference field="4294967294" count="1" selected="0">
            <x v="2"/>
          </reference>
          <reference field="7" count="1" selected="0">
            <x v="3"/>
          </reference>
          <reference field="13" count="1" selected="0">
            <x v="1"/>
          </reference>
        </references>
      </pivotArea>
    </chartFormat>
    <chartFormat chart="22" format="72">
      <pivotArea type="data" outline="0" fieldPosition="0">
        <references count="3">
          <reference field="4294967294" count="1" selected="0">
            <x v="0"/>
          </reference>
          <reference field="7" count="1" selected="0">
            <x v="3"/>
          </reference>
          <reference field="13" count="1" selected="0">
            <x v="2"/>
          </reference>
        </references>
      </pivotArea>
    </chartFormat>
    <chartFormat chart="22" format="73">
      <pivotArea type="data" outline="0" fieldPosition="0">
        <references count="3">
          <reference field="4294967294" count="1" selected="0">
            <x v="1"/>
          </reference>
          <reference field="7" count="1" selected="0">
            <x v="3"/>
          </reference>
          <reference field="13" count="1" selected="0">
            <x v="2"/>
          </reference>
        </references>
      </pivotArea>
    </chartFormat>
    <chartFormat chart="22" format="74">
      <pivotArea type="data" outline="0" fieldPosition="0">
        <references count="3">
          <reference field="4294967294" count="1" selected="0">
            <x v="2"/>
          </reference>
          <reference field="7" count="1" selected="0">
            <x v="3"/>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CA438DCA-D5A1-461C-A719-0D57EEBEA0C6}" name="PivotTable8"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I65:K70" firstHeaderRow="0" firstDataRow="1" firstDataCol="1"/>
  <pivotFields count="51">
    <pivotField compact="0" outline="0" showAll="0"/>
    <pivotField compact="0" numFmtId="164" outline="0" showAll="0"/>
    <pivotField compact="0" numFmtId="164" outline="0" showAll="0"/>
    <pivotField compact="0" outline="0" showAll="0"/>
    <pivotField compact="0" outline="0" showAll="0"/>
    <pivotField axis="axisRow" compact="0" outline="0" showAll="0">
      <items count="16">
        <item h="1" x="0"/>
        <item h="1" x="1"/>
        <item h="1" x="2"/>
        <item h="1" x="3"/>
        <item h="1" x="4"/>
        <item h="1" x="5"/>
        <item h="1" x="6"/>
        <item h="1" x="8"/>
        <item x="9"/>
        <item x="10"/>
        <item h="1" x="11"/>
        <item x="12"/>
        <item x="13"/>
        <item h="1" x="7"/>
        <item h="1" m="1" x="14"/>
        <item t="default"/>
      </items>
    </pivotField>
    <pivotField compact="0" outline="0" showAll="0"/>
    <pivotField compact="0" outline="0" showAll="0">
      <items count="5">
        <item h="1" x="0"/>
        <item x="1"/>
        <item h="1" x="2"/>
        <item h="1" m="1" x="3"/>
        <item t="default"/>
      </items>
    </pivotField>
    <pivotField compact="0" outline="0" showAll="0"/>
    <pivotField compact="0" outline="0" showAll="0"/>
    <pivotField compact="0" outline="0" showAll="0">
      <items count="7">
        <item h="1" m="1" x="5"/>
        <item h="1" x="2"/>
        <item x="3"/>
        <item h="1" x="1"/>
        <item h="1" x="0"/>
        <item h="1" m="1" x="4"/>
        <item t="default"/>
      </items>
    </pivotField>
    <pivotField compact="0" outline="0" showAll="0"/>
    <pivotField compact="0" outline="0" showAll="0"/>
    <pivotField compact="0" outline="0" showAll="0"/>
    <pivotField compact="0" numFmtId="14" outline="0" showAll="0"/>
    <pivotField compact="0" numFmtId="14" outline="0" showAll="0"/>
    <pivotField compact="0" outline="0" showAll="0">
      <items count="9">
        <item x="0"/>
        <item h="1" x="2"/>
        <item h="1" x="3"/>
        <item h="1" x="6"/>
        <item h="1" x="1"/>
        <item h="1" x="4"/>
        <item h="1" x="5"/>
        <item h="1" m="1" x="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1">
    <field x="5"/>
  </rowFields>
  <rowItems count="5">
    <i>
      <x v="8"/>
    </i>
    <i>
      <x v="9"/>
    </i>
    <i>
      <x v="11"/>
    </i>
    <i>
      <x v="12"/>
    </i>
    <i t="grand">
      <x/>
    </i>
  </rowItems>
  <colFields count="1">
    <field x="-2"/>
  </colFields>
  <colItems count="2">
    <i>
      <x/>
    </i>
    <i i="1">
      <x v="1"/>
    </i>
  </colItems>
  <dataFields count="2">
    <dataField name="Sum of Chest_Xlay" fld="33" baseField="0" baseItem="0"/>
    <dataField name="Sum of Chest_Xlay_abnormal" fld="34" baseField="0" baseItem="0"/>
  </dataFields>
  <formats count="30">
    <format dxfId="43">
      <pivotArea type="all" dataOnly="0" outline="0" fieldPosition="0"/>
    </format>
    <format dxfId="42">
      <pivotArea outline="0" collapsedLevelsAreSubtotals="1" fieldPosition="0"/>
    </format>
    <format dxfId="41">
      <pivotArea field="5" type="button" dataOnly="0" labelOnly="1" outline="0" axis="axisRow" fieldPosition="0"/>
    </format>
    <format dxfId="40">
      <pivotArea dataOnly="0" labelOnly="1" outline="0" fieldPosition="0">
        <references count="1">
          <reference field="5" count="0"/>
        </references>
      </pivotArea>
    </format>
    <format dxfId="39">
      <pivotArea dataOnly="0" labelOnly="1" grandRow="1" outline="0" fieldPosition="0"/>
    </format>
    <format dxfId="38">
      <pivotArea dataOnly="0" labelOnly="1" outline="0" fieldPosition="0">
        <references count="1">
          <reference field="4294967294" count="2">
            <x v="0"/>
            <x v="1"/>
          </reference>
        </references>
      </pivotArea>
    </format>
    <format dxfId="37">
      <pivotArea type="all" dataOnly="0" outline="0" fieldPosition="0"/>
    </format>
    <format dxfId="36">
      <pivotArea outline="0" collapsedLevelsAreSubtotals="1" fieldPosition="0"/>
    </format>
    <format dxfId="35">
      <pivotArea field="5" type="button" dataOnly="0" labelOnly="1" outline="0" axis="axisRow" fieldPosition="0"/>
    </format>
    <format dxfId="34">
      <pivotArea dataOnly="0" labelOnly="1" outline="0" fieldPosition="0">
        <references count="1">
          <reference field="5" count="0"/>
        </references>
      </pivotArea>
    </format>
    <format dxfId="33">
      <pivotArea dataOnly="0" labelOnly="1" grandRow="1" outline="0" fieldPosition="0"/>
    </format>
    <format dxfId="32">
      <pivotArea dataOnly="0" labelOnly="1" outline="0" fieldPosition="0">
        <references count="1">
          <reference field="4294967294" count="2">
            <x v="0"/>
            <x v="1"/>
          </reference>
        </references>
      </pivotArea>
    </format>
    <format dxfId="31">
      <pivotArea type="all" dataOnly="0" outline="0" fieldPosition="0"/>
    </format>
    <format dxfId="30">
      <pivotArea outline="0" collapsedLevelsAreSubtotals="1" fieldPosition="0"/>
    </format>
    <format dxfId="29">
      <pivotArea field="5" type="button" dataOnly="0" labelOnly="1" outline="0" axis="axisRow" fieldPosition="0"/>
    </format>
    <format dxfId="28">
      <pivotArea dataOnly="0" labelOnly="1" outline="0" fieldPosition="0">
        <references count="1">
          <reference field="5" count="0"/>
        </references>
      </pivotArea>
    </format>
    <format dxfId="27">
      <pivotArea dataOnly="0" labelOnly="1" grandRow="1" outline="0" fieldPosition="0"/>
    </format>
    <format dxfId="26">
      <pivotArea dataOnly="0" labelOnly="1" outline="0" fieldPosition="0">
        <references count="1">
          <reference field="4294967294" count="2">
            <x v="0"/>
            <x v="1"/>
          </reference>
        </references>
      </pivotArea>
    </format>
    <format dxfId="25">
      <pivotArea type="all" dataOnly="0" outline="0" fieldPosition="0"/>
    </format>
    <format dxfId="24">
      <pivotArea outline="0" collapsedLevelsAreSubtotals="1" fieldPosition="0"/>
    </format>
    <format dxfId="23">
      <pivotArea field="5" type="button" dataOnly="0" labelOnly="1" outline="0" axis="axisRow" fieldPosition="0"/>
    </format>
    <format dxfId="22">
      <pivotArea dataOnly="0" labelOnly="1" outline="0" fieldPosition="0">
        <references count="1">
          <reference field="5" count="0"/>
        </references>
      </pivotArea>
    </format>
    <format dxfId="21">
      <pivotArea dataOnly="0" labelOnly="1" grandRow="1" outline="0" fieldPosition="0"/>
    </format>
    <format dxfId="20">
      <pivotArea dataOnly="0" labelOnly="1" outline="0" fieldPosition="0">
        <references count="1">
          <reference field="4294967294" count="2">
            <x v="0"/>
            <x v="1"/>
          </reference>
        </references>
      </pivotArea>
    </format>
    <format dxfId="19">
      <pivotArea type="all" dataOnly="0" outline="0" fieldPosition="0"/>
    </format>
    <format dxfId="18">
      <pivotArea outline="0" collapsedLevelsAreSubtotals="1" fieldPosition="0"/>
    </format>
    <format dxfId="17">
      <pivotArea field="5" type="button" dataOnly="0" labelOnly="1" outline="0" axis="axisRow" fieldPosition="0"/>
    </format>
    <format dxfId="16">
      <pivotArea dataOnly="0" labelOnly="1" outline="0" fieldPosition="0">
        <references count="1">
          <reference field="5" count="0"/>
        </references>
      </pivotArea>
    </format>
    <format dxfId="15">
      <pivotArea dataOnly="0" labelOnly="1" grandRow="1" outline="0" fieldPosition="0"/>
    </format>
    <format dxfId="14">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8A09FA1D-62FE-4A3F-A8BA-27ACF4E2188F}" name="PivotTable5"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I48:K53" firstHeaderRow="0" firstDataRow="1" firstDataCol="1"/>
  <pivotFields count="51">
    <pivotField compact="0" outline="0" showAll="0"/>
    <pivotField compact="0" numFmtId="164" outline="0" showAll="0"/>
    <pivotField compact="0" numFmtId="164" outline="0" showAll="0"/>
    <pivotField compact="0" outline="0" showAll="0"/>
    <pivotField compact="0" outline="0" showAll="0"/>
    <pivotField axis="axisRow" compact="0" outline="0" showAll="0">
      <items count="16">
        <item h="1" x="0"/>
        <item h="1" x="1"/>
        <item h="1" x="2"/>
        <item h="1" x="3"/>
        <item h="1" x="4"/>
        <item h="1" x="5"/>
        <item h="1" x="6"/>
        <item h="1" x="8"/>
        <item x="9"/>
        <item x="10"/>
        <item h="1" x="11"/>
        <item x="12"/>
        <item x="13"/>
        <item h="1" x="7"/>
        <item h="1" m="1" x="14"/>
        <item t="default"/>
      </items>
    </pivotField>
    <pivotField compact="0" outline="0" showAll="0"/>
    <pivotField compact="0" outline="0" showAll="0">
      <items count="5">
        <item h="1" x="0"/>
        <item x="1"/>
        <item h="1" x="2"/>
        <item h="1" m="1" x="3"/>
        <item t="default"/>
      </items>
    </pivotField>
    <pivotField compact="0" outline="0" showAll="0"/>
    <pivotField compact="0" outline="0" showAll="0"/>
    <pivotField compact="0" outline="0" showAll="0">
      <items count="7">
        <item h="1" m="1" x="5"/>
        <item h="1" x="2"/>
        <item x="3"/>
        <item h="1" x="1"/>
        <item h="1" x="0"/>
        <item h="1" m="1" x="4"/>
        <item t="default"/>
      </items>
    </pivotField>
    <pivotField compact="0" outline="0" showAll="0"/>
    <pivotField compact="0" outline="0" showAll="0"/>
    <pivotField compact="0" outline="0" showAll="0"/>
    <pivotField compact="0" numFmtId="14" outline="0" showAll="0"/>
    <pivotField compact="0" numFmtId="14" outline="0" showAll="0"/>
    <pivotField compact="0" outline="0" showAll="0">
      <items count="9">
        <item x="0"/>
        <item h="1" x="2"/>
        <item h="1" x="3"/>
        <item h="1" x="6"/>
        <item h="1" x="1"/>
        <item h="1" x="4"/>
        <item h="1" x="5"/>
        <item h="1" m="1" x="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1">
    <field x="5"/>
  </rowFields>
  <rowItems count="5">
    <i>
      <x v="8"/>
    </i>
    <i>
      <x v="9"/>
    </i>
    <i>
      <x v="11"/>
    </i>
    <i>
      <x v="12"/>
    </i>
    <i t="grand">
      <x/>
    </i>
  </rowItems>
  <colFields count="1">
    <field x="-2"/>
  </colFields>
  <colItems count="2">
    <i>
      <x/>
    </i>
    <i i="1">
      <x v="1"/>
    </i>
  </colItems>
  <dataFields count="2">
    <dataField name="Sum of CSF_CrAg" fld="27" baseField="0" baseItem="0"/>
    <dataField name="Sum of CSF_CrAg+" fld="28" baseField="0" baseItem="0"/>
  </dataFields>
  <formats count="30">
    <format dxfId="73">
      <pivotArea type="all" dataOnly="0" outline="0" fieldPosition="0"/>
    </format>
    <format dxfId="72">
      <pivotArea outline="0" collapsedLevelsAreSubtotals="1" fieldPosition="0"/>
    </format>
    <format dxfId="71">
      <pivotArea field="5" type="button" dataOnly="0" labelOnly="1" outline="0" axis="axisRow" fieldPosition="0"/>
    </format>
    <format dxfId="70">
      <pivotArea dataOnly="0" labelOnly="1" outline="0" fieldPosition="0">
        <references count="1">
          <reference field="5" count="0"/>
        </references>
      </pivotArea>
    </format>
    <format dxfId="69">
      <pivotArea dataOnly="0" labelOnly="1" grandRow="1" outline="0" fieldPosition="0"/>
    </format>
    <format dxfId="68">
      <pivotArea dataOnly="0" labelOnly="1" outline="0" fieldPosition="0">
        <references count="1">
          <reference field="4294967294" count="2">
            <x v="0"/>
            <x v="1"/>
          </reference>
        </references>
      </pivotArea>
    </format>
    <format dxfId="67">
      <pivotArea type="all" dataOnly="0" outline="0" fieldPosition="0"/>
    </format>
    <format dxfId="66">
      <pivotArea outline="0" collapsedLevelsAreSubtotals="1" fieldPosition="0"/>
    </format>
    <format dxfId="65">
      <pivotArea field="5" type="button" dataOnly="0" labelOnly="1" outline="0" axis="axisRow" fieldPosition="0"/>
    </format>
    <format dxfId="64">
      <pivotArea dataOnly="0" labelOnly="1" outline="0" fieldPosition="0">
        <references count="1">
          <reference field="5" count="0"/>
        </references>
      </pivotArea>
    </format>
    <format dxfId="63">
      <pivotArea dataOnly="0" labelOnly="1" grandRow="1" outline="0" fieldPosition="0"/>
    </format>
    <format dxfId="62">
      <pivotArea dataOnly="0" labelOnly="1" outline="0" fieldPosition="0">
        <references count="1">
          <reference field="4294967294" count="2">
            <x v="0"/>
            <x v="1"/>
          </reference>
        </references>
      </pivotArea>
    </format>
    <format dxfId="61">
      <pivotArea type="all" dataOnly="0" outline="0" fieldPosition="0"/>
    </format>
    <format dxfId="60">
      <pivotArea outline="0" collapsedLevelsAreSubtotals="1" fieldPosition="0"/>
    </format>
    <format dxfId="59">
      <pivotArea field="5" type="button" dataOnly="0" labelOnly="1" outline="0" axis="axisRow" fieldPosition="0"/>
    </format>
    <format dxfId="58">
      <pivotArea dataOnly="0" labelOnly="1" outline="0" fieldPosition="0">
        <references count="1">
          <reference field="5" count="0"/>
        </references>
      </pivotArea>
    </format>
    <format dxfId="57">
      <pivotArea dataOnly="0" labelOnly="1" grandRow="1" outline="0" fieldPosition="0"/>
    </format>
    <format dxfId="56">
      <pivotArea dataOnly="0" labelOnly="1" outline="0" fieldPosition="0">
        <references count="1">
          <reference field="4294967294" count="2">
            <x v="0"/>
            <x v="1"/>
          </reference>
        </references>
      </pivotArea>
    </format>
    <format dxfId="55">
      <pivotArea type="all" dataOnly="0" outline="0" fieldPosition="0"/>
    </format>
    <format dxfId="54">
      <pivotArea outline="0" collapsedLevelsAreSubtotals="1" fieldPosition="0"/>
    </format>
    <format dxfId="53">
      <pivotArea field="5" type="button" dataOnly="0" labelOnly="1" outline="0" axis="axisRow" fieldPosition="0"/>
    </format>
    <format dxfId="52">
      <pivotArea dataOnly="0" labelOnly="1" outline="0" fieldPosition="0">
        <references count="1">
          <reference field="5" count="0"/>
        </references>
      </pivotArea>
    </format>
    <format dxfId="51">
      <pivotArea dataOnly="0" labelOnly="1" grandRow="1" outline="0" fieldPosition="0"/>
    </format>
    <format dxfId="50">
      <pivotArea dataOnly="0" labelOnly="1" outline="0" fieldPosition="0">
        <references count="1">
          <reference field="4294967294" count="2">
            <x v="0"/>
            <x v="1"/>
          </reference>
        </references>
      </pivotArea>
    </format>
    <format dxfId="49">
      <pivotArea type="all" dataOnly="0" outline="0" fieldPosition="0"/>
    </format>
    <format dxfId="48">
      <pivotArea outline="0" collapsedLevelsAreSubtotals="1" fieldPosition="0"/>
    </format>
    <format dxfId="47">
      <pivotArea field="5" type="button" dataOnly="0" labelOnly="1" outline="0" axis="axisRow" fieldPosition="0"/>
    </format>
    <format dxfId="46">
      <pivotArea dataOnly="0" labelOnly="1" outline="0" fieldPosition="0">
        <references count="1">
          <reference field="5" count="0"/>
        </references>
      </pivotArea>
    </format>
    <format dxfId="45">
      <pivotArea dataOnly="0" labelOnly="1" grandRow="1" outline="0" fieldPosition="0"/>
    </format>
    <format dxfId="44">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0.xml><?xml version="1.0" encoding="utf-8"?>
<pivotTableDefinition xmlns="http://schemas.openxmlformats.org/spreadsheetml/2006/main" xmlns:mc="http://schemas.openxmlformats.org/markup-compatibility/2006" xmlns:xr="http://schemas.microsoft.com/office/spreadsheetml/2014/revision" mc:Ignorable="xr" xr:uid="{6A071BD4-E8E9-43FC-B742-BF26F171BC3F}" name="PivotTable6"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65:B66" firstHeaderRow="0" firstDataRow="1" firstDataCol="0"/>
  <pivotFields count="51">
    <pivotField compact="0" outline="0" showAll="0"/>
    <pivotField compact="0" numFmtId="164" outline="0" showAll="0"/>
    <pivotField compact="0" numFmtId="164" outline="0" showAll="0"/>
    <pivotField compact="0" outline="0" showAll="0"/>
    <pivotField compact="0" outline="0" showAll="0"/>
    <pivotField compact="0" outline="0" showAll="0">
      <items count="16">
        <item h="1" x="0"/>
        <item h="1" x="1"/>
        <item h="1" x="2"/>
        <item h="1" x="3"/>
        <item h="1" x="4"/>
        <item h="1" x="5"/>
        <item h="1" x="6"/>
        <item h="1" x="8"/>
        <item x="9"/>
        <item x="10"/>
        <item h="1" x="11"/>
        <item x="12"/>
        <item x="13"/>
        <item h="1" x="7"/>
        <item h="1" m="1" x="14"/>
        <item t="default"/>
      </items>
    </pivotField>
    <pivotField compact="0" outline="0" showAll="0"/>
    <pivotField compact="0" outline="0" showAll="0">
      <items count="5">
        <item h="1" x="0"/>
        <item x="1"/>
        <item h="1" x="2"/>
        <item h="1" m="1" x="3"/>
        <item t="default"/>
      </items>
    </pivotField>
    <pivotField compact="0" outline="0" showAll="0"/>
    <pivotField compact="0" outline="0" showAll="0"/>
    <pivotField compact="0" outline="0" showAll="0">
      <items count="7">
        <item h="1" m="1" x="5"/>
        <item h="1" x="2"/>
        <item x="3"/>
        <item h="1" x="1"/>
        <item h="1" x="0"/>
        <item h="1" m="1" x="4"/>
        <item t="default"/>
      </items>
    </pivotField>
    <pivotField compact="0" outline="0" showAll="0"/>
    <pivotField compact="0" outline="0" showAll="0"/>
    <pivotField compact="0" outline="0" showAll="0"/>
    <pivotField compact="0" numFmtId="14" outline="0" showAll="0"/>
    <pivotField compact="0" numFmtId="14" outline="0" showAll="0"/>
    <pivotField compact="0" outline="0" showAll="0">
      <items count="9">
        <item x="0"/>
        <item h="1" x="2"/>
        <item h="1" x="3"/>
        <item h="1" x="6"/>
        <item h="1" x="1"/>
        <item h="1" x="4"/>
        <item h="1" x="5"/>
        <item h="1" m="1" x="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Items count="1">
    <i/>
  </rowItems>
  <colFields count="1">
    <field x="-2"/>
  </colFields>
  <colItems count="2">
    <i>
      <x/>
    </i>
    <i i="1">
      <x v="1"/>
    </i>
  </colItems>
  <dataFields count="2">
    <dataField name="Sum of LAM_tests" fld="29" baseField="0" baseItem="0"/>
    <dataField name="Sum of LAM+" fld="30" baseField="0" baseItem="0"/>
  </dataFields>
  <formats count="25">
    <format dxfId="98">
      <pivotArea type="all" dataOnly="0" outline="0" fieldPosition="0"/>
    </format>
    <format dxfId="97">
      <pivotArea outline="0" collapsedLevelsAreSubtotals="1" fieldPosition="0"/>
    </format>
    <format dxfId="96">
      <pivotArea field="5" type="button" dataOnly="0" labelOnly="1" outline="0"/>
    </format>
    <format dxfId="95">
      <pivotArea dataOnly="0" labelOnly="1" grandRow="1" outline="0" fieldPosition="0"/>
    </format>
    <format dxfId="94">
      <pivotArea dataOnly="0" labelOnly="1" outline="0" fieldPosition="0">
        <references count="1">
          <reference field="4294967294" count="2">
            <x v="0"/>
            <x v="1"/>
          </reference>
        </references>
      </pivotArea>
    </format>
    <format dxfId="93">
      <pivotArea type="all" dataOnly="0" outline="0" fieldPosition="0"/>
    </format>
    <format dxfId="92">
      <pivotArea outline="0" collapsedLevelsAreSubtotals="1" fieldPosition="0"/>
    </format>
    <format dxfId="91">
      <pivotArea field="5" type="button" dataOnly="0" labelOnly="1" outline="0"/>
    </format>
    <format dxfId="90">
      <pivotArea dataOnly="0" labelOnly="1" grandRow="1" outline="0" fieldPosition="0"/>
    </format>
    <format dxfId="89">
      <pivotArea dataOnly="0" labelOnly="1" outline="0" fieldPosition="0">
        <references count="1">
          <reference field="4294967294" count="2">
            <x v="0"/>
            <x v="1"/>
          </reference>
        </references>
      </pivotArea>
    </format>
    <format dxfId="88">
      <pivotArea type="all" dataOnly="0" outline="0" fieldPosition="0"/>
    </format>
    <format dxfId="87">
      <pivotArea outline="0" collapsedLevelsAreSubtotals="1" fieldPosition="0"/>
    </format>
    <format dxfId="86">
      <pivotArea field="5" type="button" dataOnly="0" labelOnly="1" outline="0"/>
    </format>
    <format dxfId="85">
      <pivotArea dataOnly="0" labelOnly="1" grandRow="1" outline="0" fieldPosition="0"/>
    </format>
    <format dxfId="84">
      <pivotArea dataOnly="0" labelOnly="1" outline="0" fieldPosition="0">
        <references count="1">
          <reference field="4294967294" count="2">
            <x v="0"/>
            <x v="1"/>
          </reference>
        </references>
      </pivotArea>
    </format>
    <format dxfId="83">
      <pivotArea type="all" dataOnly="0" outline="0" fieldPosition="0"/>
    </format>
    <format dxfId="82">
      <pivotArea outline="0" collapsedLevelsAreSubtotals="1" fieldPosition="0"/>
    </format>
    <format dxfId="81">
      <pivotArea field="5" type="button" dataOnly="0" labelOnly="1" outline="0"/>
    </format>
    <format dxfId="80">
      <pivotArea dataOnly="0" labelOnly="1" grandRow="1" outline="0" fieldPosition="0"/>
    </format>
    <format dxfId="79">
      <pivotArea dataOnly="0" labelOnly="1" outline="0" fieldPosition="0">
        <references count="1">
          <reference field="4294967294" count="2">
            <x v="0"/>
            <x v="1"/>
          </reference>
        </references>
      </pivotArea>
    </format>
    <format dxfId="78">
      <pivotArea type="all" dataOnly="0" outline="0" fieldPosition="0"/>
    </format>
    <format dxfId="77">
      <pivotArea outline="0" collapsedLevelsAreSubtotals="1" fieldPosition="0"/>
    </format>
    <format dxfId="76">
      <pivotArea field="5" type="button" dataOnly="0" labelOnly="1" outline="0"/>
    </format>
    <format dxfId="75">
      <pivotArea dataOnly="0" labelOnly="1" grandRow="1" outline="0" fieldPosition="0"/>
    </format>
    <format dxfId="74">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1.xml><?xml version="1.0" encoding="utf-8"?>
<pivotTableDefinition xmlns="http://schemas.openxmlformats.org/spreadsheetml/2006/main" xmlns:mc="http://schemas.openxmlformats.org/markup-compatibility/2006" xmlns:xr="http://schemas.microsoft.com/office/spreadsheetml/2014/revision" mc:Ignorable="xr" xr:uid="{FD020ACE-9C05-493D-B9F6-CDCAD5B456FC}" name="PivotTable4"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E48:F49" firstHeaderRow="0" firstDataRow="1" firstDataCol="0"/>
  <pivotFields count="51">
    <pivotField compact="0" outline="0" showAll="0"/>
    <pivotField compact="0" numFmtId="164" outline="0" showAll="0"/>
    <pivotField compact="0" numFmtId="164" outline="0" showAll="0"/>
    <pivotField compact="0" outline="0" showAll="0"/>
    <pivotField compact="0" outline="0" showAll="0"/>
    <pivotField compact="0" outline="0" showAll="0">
      <items count="16">
        <item h="1" x="0"/>
        <item h="1" x="1"/>
        <item h="1" x="2"/>
        <item h="1" x="3"/>
        <item h="1" x="4"/>
        <item h="1" x="5"/>
        <item h="1" x="6"/>
        <item h="1" x="8"/>
        <item x="9"/>
        <item x="10"/>
        <item h="1" x="11"/>
        <item x="12"/>
        <item x="13"/>
        <item h="1" x="7"/>
        <item h="1" m="1" x="14"/>
        <item t="default"/>
      </items>
    </pivotField>
    <pivotField compact="0" outline="0" showAll="0"/>
    <pivotField compact="0" outline="0" showAll="0">
      <items count="5">
        <item h="1" x="0"/>
        <item x="1"/>
        <item h="1" x="2"/>
        <item h="1" m="1" x="3"/>
        <item t="default"/>
      </items>
    </pivotField>
    <pivotField compact="0" outline="0" showAll="0"/>
    <pivotField compact="0" outline="0" showAll="0"/>
    <pivotField compact="0" outline="0" showAll="0">
      <items count="7">
        <item h="1" m="1" x="5"/>
        <item h="1" x="2"/>
        <item x="3"/>
        <item h="1" x="1"/>
        <item h="1" x="0"/>
        <item h="1" m="1" x="4"/>
        <item t="default"/>
      </items>
    </pivotField>
    <pivotField compact="0" outline="0" showAll="0"/>
    <pivotField compact="0" outline="0" showAll="0"/>
    <pivotField compact="0" outline="0" showAll="0"/>
    <pivotField compact="0" numFmtId="14" outline="0" showAll="0"/>
    <pivotField compact="0" numFmtId="14" outline="0" showAll="0"/>
    <pivotField compact="0" outline="0" showAll="0">
      <items count="9">
        <item x="0"/>
        <item h="1" x="2"/>
        <item h="1" x="3"/>
        <item h="1" x="6"/>
        <item h="1" x="1"/>
        <item h="1" x="4"/>
        <item h="1" x="5"/>
        <item h="1" m="1" x="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Items count="1">
    <i/>
  </rowItems>
  <colFields count="1">
    <field x="-2"/>
  </colFields>
  <colItems count="2">
    <i>
      <x/>
    </i>
    <i i="1">
      <x v="1"/>
    </i>
  </colItems>
  <dataFields count="2">
    <dataField name="Sum of CrAg_tests" fld="25" baseField="0" baseItem="0"/>
    <dataField name="Sum of CrAg+" fld="26" baseField="0" baseItem="0"/>
  </dataFields>
  <formats count="25">
    <format dxfId="123">
      <pivotArea type="all" dataOnly="0" outline="0" fieldPosition="0"/>
    </format>
    <format dxfId="122">
      <pivotArea outline="0" collapsedLevelsAreSubtotals="1" fieldPosition="0"/>
    </format>
    <format dxfId="121">
      <pivotArea field="5" type="button" dataOnly="0" labelOnly="1" outline="0"/>
    </format>
    <format dxfId="120">
      <pivotArea dataOnly="0" labelOnly="1" grandRow="1" outline="0" fieldPosition="0"/>
    </format>
    <format dxfId="119">
      <pivotArea dataOnly="0" labelOnly="1" outline="0" fieldPosition="0">
        <references count="1">
          <reference field="4294967294" count="2">
            <x v="0"/>
            <x v="1"/>
          </reference>
        </references>
      </pivotArea>
    </format>
    <format dxfId="118">
      <pivotArea type="all" dataOnly="0" outline="0" fieldPosition="0"/>
    </format>
    <format dxfId="117">
      <pivotArea outline="0" collapsedLevelsAreSubtotals="1" fieldPosition="0"/>
    </format>
    <format dxfId="116">
      <pivotArea field="5" type="button" dataOnly="0" labelOnly="1" outline="0"/>
    </format>
    <format dxfId="115">
      <pivotArea dataOnly="0" labelOnly="1" grandRow="1" outline="0" fieldPosition="0"/>
    </format>
    <format dxfId="114">
      <pivotArea dataOnly="0" labelOnly="1" outline="0" fieldPosition="0">
        <references count="1">
          <reference field="4294967294" count="2">
            <x v="0"/>
            <x v="1"/>
          </reference>
        </references>
      </pivotArea>
    </format>
    <format dxfId="113">
      <pivotArea type="all" dataOnly="0" outline="0" fieldPosition="0"/>
    </format>
    <format dxfId="112">
      <pivotArea outline="0" collapsedLevelsAreSubtotals="1" fieldPosition="0"/>
    </format>
    <format dxfId="111">
      <pivotArea field="5" type="button" dataOnly="0" labelOnly="1" outline="0"/>
    </format>
    <format dxfId="110">
      <pivotArea dataOnly="0" labelOnly="1" grandRow="1" outline="0" fieldPosition="0"/>
    </format>
    <format dxfId="109">
      <pivotArea dataOnly="0" labelOnly="1" outline="0" fieldPosition="0">
        <references count="1">
          <reference field="4294967294" count="2">
            <x v="0"/>
            <x v="1"/>
          </reference>
        </references>
      </pivotArea>
    </format>
    <format dxfId="108">
      <pivotArea type="all" dataOnly="0" outline="0" fieldPosition="0"/>
    </format>
    <format dxfId="107">
      <pivotArea outline="0" collapsedLevelsAreSubtotals="1" fieldPosition="0"/>
    </format>
    <format dxfId="106">
      <pivotArea field="5" type="button" dataOnly="0" labelOnly="1" outline="0"/>
    </format>
    <format dxfId="105">
      <pivotArea dataOnly="0" labelOnly="1" grandRow="1" outline="0" fieldPosition="0"/>
    </format>
    <format dxfId="104">
      <pivotArea dataOnly="0" labelOnly="1" outline="0" fieldPosition="0">
        <references count="1">
          <reference field="4294967294" count="2">
            <x v="0"/>
            <x v="1"/>
          </reference>
        </references>
      </pivotArea>
    </format>
    <format dxfId="103">
      <pivotArea type="all" dataOnly="0" outline="0" fieldPosition="0"/>
    </format>
    <format dxfId="102">
      <pivotArea outline="0" collapsedLevelsAreSubtotals="1" fieldPosition="0"/>
    </format>
    <format dxfId="101">
      <pivotArea field="5" type="button" dataOnly="0" labelOnly="1" outline="0"/>
    </format>
    <format dxfId="100">
      <pivotArea dataOnly="0" labelOnly="1" grandRow="1" outline="0" fieldPosition="0"/>
    </format>
    <format dxfId="99">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2.xml><?xml version="1.0" encoding="utf-8"?>
<pivotTableDefinition xmlns="http://schemas.openxmlformats.org/spreadsheetml/2006/main" xmlns:mc="http://schemas.openxmlformats.org/markup-compatibility/2006" xmlns:xr="http://schemas.microsoft.com/office/spreadsheetml/2014/revision" mc:Ignorable="xr" xr:uid="{9A941922-45CF-49D9-91B3-F742A24BDF90}" name="PivotTable9"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M65:O70" firstHeaderRow="0" firstDataRow="1" firstDataCol="1"/>
  <pivotFields count="51">
    <pivotField compact="0" outline="0" showAll="0"/>
    <pivotField compact="0" numFmtId="164" outline="0" showAll="0"/>
    <pivotField compact="0" numFmtId="164" outline="0" showAll="0"/>
    <pivotField compact="0" outline="0" showAll="0"/>
    <pivotField compact="0" outline="0" showAll="0"/>
    <pivotField axis="axisRow" compact="0" outline="0" showAll="0">
      <items count="16">
        <item h="1" x="0"/>
        <item h="1" x="1"/>
        <item h="1" x="2"/>
        <item h="1" x="3"/>
        <item h="1" x="4"/>
        <item h="1" x="5"/>
        <item h="1" x="6"/>
        <item h="1" x="8"/>
        <item x="9"/>
        <item x="10"/>
        <item h="1" x="11"/>
        <item x="12"/>
        <item x="13"/>
        <item h="1" x="7"/>
        <item h="1" m="1" x="14"/>
        <item t="default"/>
      </items>
    </pivotField>
    <pivotField compact="0" outline="0" showAll="0"/>
    <pivotField compact="0" outline="0" showAll="0">
      <items count="5">
        <item h="1" x="0"/>
        <item x="1"/>
        <item h="1" x="2"/>
        <item h="1" m="1" x="3"/>
        <item t="default"/>
      </items>
    </pivotField>
    <pivotField compact="0" outline="0" showAll="0"/>
    <pivotField compact="0" outline="0" showAll="0"/>
    <pivotField compact="0" outline="0" showAll="0">
      <items count="7">
        <item h="1" m="1" x="5"/>
        <item h="1" x="2"/>
        <item x="3"/>
        <item h="1" x="1"/>
        <item h="1" x="0"/>
        <item h="1" m="1" x="4"/>
        <item t="default"/>
      </items>
    </pivotField>
    <pivotField compact="0" outline="0" showAll="0"/>
    <pivotField compact="0" outline="0" showAll="0"/>
    <pivotField compact="0" outline="0" showAll="0"/>
    <pivotField compact="0" numFmtId="14" outline="0" showAll="0"/>
    <pivotField compact="0" numFmtId="14" outline="0" showAll="0"/>
    <pivotField compact="0" outline="0" showAll="0">
      <items count="9">
        <item x="0"/>
        <item h="1" x="2"/>
        <item h="1" x="3"/>
        <item h="1" x="6"/>
        <item h="1" x="1"/>
        <item h="1" x="4"/>
        <item h="1" x="5"/>
        <item h="1" m="1" x="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1">
    <field x="5"/>
  </rowFields>
  <rowItems count="5">
    <i>
      <x v="8"/>
    </i>
    <i>
      <x v="9"/>
    </i>
    <i>
      <x v="11"/>
    </i>
    <i>
      <x v="12"/>
    </i>
    <i t="grand">
      <x/>
    </i>
  </rowItems>
  <colFields count="1">
    <field x="-2"/>
  </colFields>
  <colItems count="2">
    <i>
      <x/>
    </i>
    <i i="1">
      <x v="1"/>
    </i>
  </colItems>
  <dataFields count="2">
    <dataField name="Sum of FASH" fld="35" baseField="0" baseItem="0"/>
    <dataField name="Sum of FASH+" fld="36" baseField="0" baseItem="0"/>
  </dataFields>
  <formats count="34">
    <format dxfId="157">
      <pivotArea type="all" dataOnly="0" outline="0" fieldPosition="0"/>
    </format>
    <format dxfId="156">
      <pivotArea outline="0" collapsedLevelsAreSubtotals="1" fieldPosition="0"/>
    </format>
    <format dxfId="155">
      <pivotArea field="5" type="button" dataOnly="0" labelOnly="1" outline="0" axis="axisRow" fieldPosition="0"/>
    </format>
    <format dxfId="154">
      <pivotArea dataOnly="0" labelOnly="1" outline="0" fieldPosition="0">
        <references count="1">
          <reference field="5" count="0"/>
        </references>
      </pivotArea>
    </format>
    <format dxfId="153">
      <pivotArea dataOnly="0" labelOnly="1" grandRow="1" outline="0" fieldPosition="0"/>
    </format>
    <format dxfId="152">
      <pivotArea dataOnly="0" labelOnly="1" outline="0" fieldPosition="0">
        <references count="1">
          <reference field="4294967294" count="2">
            <x v="0"/>
            <x v="1"/>
          </reference>
        </references>
      </pivotArea>
    </format>
    <format dxfId="151">
      <pivotArea type="all" dataOnly="0" outline="0" fieldPosition="0"/>
    </format>
    <format dxfId="150">
      <pivotArea outline="0" collapsedLevelsAreSubtotals="1" fieldPosition="0"/>
    </format>
    <format dxfId="149">
      <pivotArea field="5" type="button" dataOnly="0" labelOnly="1" outline="0" axis="axisRow" fieldPosition="0"/>
    </format>
    <format dxfId="148">
      <pivotArea dataOnly="0" labelOnly="1" outline="0" fieldPosition="0">
        <references count="1">
          <reference field="5" count="0"/>
        </references>
      </pivotArea>
    </format>
    <format dxfId="147">
      <pivotArea dataOnly="0" labelOnly="1" grandRow="1" outline="0" fieldPosition="0"/>
    </format>
    <format dxfId="146">
      <pivotArea dataOnly="0" labelOnly="1" outline="0" fieldPosition="0">
        <references count="1">
          <reference field="4294967294" count="2">
            <x v="0"/>
            <x v="1"/>
          </reference>
        </references>
      </pivotArea>
    </format>
    <format dxfId="145">
      <pivotArea type="all" dataOnly="0" outline="0" fieldPosition="0"/>
    </format>
    <format dxfId="144">
      <pivotArea outline="0" collapsedLevelsAreSubtotals="1" fieldPosition="0"/>
    </format>
    <format dxfId="143">
      <pivotArea field="5" type="button" dataOnly="0" labelOnly="1" outline="0" axis="axisRow" fieldPosition="0"/>
    </format>
    <format dxfId="142">
      <pivotArea dataOnly="0" labelOnly="1" outline="0" fieldPosition="0">
        <references count="1">
          <reference field="5" count="0"/>
        </references>
      </pivotArea>
    </format>
    <format dxfId="141">
      <pivotArea dataOnly="0" labelOnly="1" grandRow="1" outline="0" fieldPosition="0"/>
    </format>
    <format dxfId="140">
      <pivotArea dataOnly="0" labelOnly="1" outline="0" fieldPosition="0">
        <references count="1">
          <reference field="4294967294" count="2">
            <x v="0"/>
            <x v="1"/>
          </reference>
        </references>
      </pivotArea>
    </format>
    <format dxfId="139">
      <pivotArea type="all" dataOnly="0" outline="0" fieldPosition="0"/>
    </format>
    <format dxfId="138">
      <pivotArea outline="0" collapsedLevelsAreSubtotals="1" fieldPosition="0"/>
    </format>
    <format dxfId="137">
      <pivotArea field="5" type="button" dataOnly="0" labelOnly="1" outline="0" axis="axisRow" fieldPosition="0"/>
    </format>
    <format dxfId="136">
      <pivotArea dataOnly="0" labelOnly="1" outline="0" fieldPosition="0">
        <references count="1">
          <reference field="5" count="0"/>
        </references>
      </pivotArea>
    </format>
    <format dxfId="135">
      <pivotArea dataOnly="0" labelOnly="1" grandRow="1" outline="0" fieldPosition="0"/>
    </format>
    <format dxfId="134">
      <pivotArea dataOnly="0" labelOnly="1" outline="0" fieldPosition="0">
        <references count="1">
          <reference field="4294967294" count="2">
            <x v="0"/>
            <x v="1"/>
          </reference>
        </references>
      </pivotArea>
    </format>
    <format dxfId="133">
      <pivotArea type="all" dataOnly="0" outline="0" fieldPosition="0"/>
    </format>
    <format dxfId="132">
      <pivotArea outline="0" collapsedLevelsAreSubtotals="1" fieldPosition="0"/>
    </format>
    <format dxfId="131">
      <pivotArea field="5" type="button" dataOnly="0" labelOnly="1" outline="0" axis="axisRow" fieldPosition="0"/>
    </format>
    <format dxfId="130">
      <pivotArea dataOnly="0" labelOnly="1" outline="0" fieldPosition="0">
        <references count="1">
          <reference field="5" count="0"/>
        </references>
      </pivotArea>
    </format>
    <format dxfId="129">
      <pivotArea dataOnly="0" labelOnly="1" grandRow="1" outline="0" fieldPosition="0"/>
    </format>
    <format dxfId="128">
      <pivotArea dataOnly="0" labelOnly="1" outline="0" fieldPosition="0">
        <references count="1">
          <reference field="4294967294" count="2">
            <x v="0"/>
            <x v="1"/>
          </reference>
        </references>
      </pivotArea>
    </format>
    <format dxfId="127">
      <pivotArea outline="0" fieldPosition="0">
        <references count="1">
          <reference field="4294967294" count="1" selected="0">
            <x v="0"/>
          </reference>
        </references>
      </pivotArea>
    </format>
    <format dxfId="126">
      <pivotArea dataOnly="0" labelOnly="1" outline="0" fieldPosition="0">
        <references count="1">
          <reference field="4294967294" count="1">
            <x v="0"/>
          </reference>
        </references>
      </pivotArea>
    </format>
    <format dxfId="125">
      <pivotArea outline="0" fieldPosition="0">
        <references count="1">
          <reference field="4294967294" count="1" selected="0">
            <x v="0"/>
          </reference>
        </references>
      </pivotArea>
    </format>
    <format dxfId="124">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3.xml><?xml version="1.0" encoding="utf-8"?>
<pivotTableDefinition xmlns="http://schemas.openxmlformats.org/spreadsheetml/2006/main" xmlns:mc="http://schemas.openxmlformats.org/markup-compatibility/2006" xmlns:xr="http://schemas.microsoft.com/office/spreadsheetml/2014/revision" mc:Ignorable="xr" xr:uid="{83FE4422-E5D2-4249-9C30-F6D3087C4100}" name="PivotTable2"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29:D30" firstHeaderRow="0" firstDataRow="1" firstDataCol="0"/>
  <pivotFields count="51">
    <pivotField compact="0" outline="0" showAll="0"/>
    <pivotField compact="0" numFmtId="164" outline="0" showAll="0"/>
    <pivotField compact="0" numFmtId="164" outline="0" showAll="0"/>
    <pivotField compact="0" outline="0" showAll="0"/>
    <pivotField compact="0" outline="0" showAll="0"/>
    <pivotField compact="0" outline="0" showAll="0">
      <items count="16">
        <item h="1" x="0"/>
        <item h="1" x="1"/>
        <item h="1" x="2"/>
        <item h="1" x="3"/>
        <item h="1" x="4"/>
        <item h="1" x="5"/>
        <item h="1" x="6"/>
        <item h="1" x="8"/>
        <item x="9"/>
        <item x="10"/>
        <item h="1" x="11"/>
        <item x="12"/>
        <item x="13"/>
        <item h="1" x="7"/>
        <item h="1" m="1" x="14"/>
        <item t="default"/>
      </items>
    </pivotField>
    <pivotField compact="0" outline="0" showAll="0"/>
    <pivotField compact="0" outline="0" showAll="0">
      <items count="5">
        <item h="1" x="0"/>
        <item x="1"/>
        <item h="1" x="2"/>
        <item h="1" m="1" x="3"/>
        <item t="default"/>
      </items>
    </pivotField>
    <pivotField compact="0" outline="0" showAll="0"/>
    <pivotField compact="0" outline="0" showAll="0"/>
    <pivotField compact="0" outline="0" showAll="0">
      <items count="7">
        <item h="1" m="1" x="5"/>
        <item h="1" x="2"/>
        <item x="3"/>
        <item h="1" x="1"/>
        <item h="1" x="0"/>
        <item h="1" m="1" x="4"/>
        <item t="default"/>
      </items>
    </pivotField>
    <pivotField compact="0" outline="0" showAll="0"/>
    <pivotField compact="0" outline="0" showAll="0"/>
    <pivotField compact="0" outline="0" showAll="0"/>
    <pivotField compact="0" numFmtId="14" outline="0" showAll="0"/>
    <pivotField compact="0" numFmtId="14" outline="0" showAll="0"/>
    <pivotField compact="0" outline="0" showAll="0">
      <items count="9">
        <item x="0"/>
        <item h="1" x="2"/>
        <item h="1" x="3"/>
        <item h="1" x="6"/>
        <item h="1" x="1"/>
        <item h="1" x="4"/>
        <item h="1" x="5"/>
        <item h="1" m="1" x="7"/>
        <item t="default"/>
      </items>
    </pivotField>
    <pivotField compact="0" outline="0" showAll="0"/>
    <pivotField compact="0" outline="0" showAll="0"/>
    <pivotField dataField="1" compact="0" outline="0" showAll="0"/>
    <pivotField dataField="1"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Items count="1">
    <i/>
  </rowItems>
  <colFields count="1">
    <field x="-2"/>
  </colFields>
  <colItems count="4">
    <i>
      <x/>
    </i>
    <i i="1">
      <x v="1"/>
    </i>
    <i i="2">
      <x v="2"/>
    </i>
    <i i="3">
      <x v="3"/>
    </i>
  </colItems>
  <dataFields count="4">
    <dataField name="Sum of WHO_stage_1" fld="19" baseField="0" baseItem="0"/>
    <dataField name="Sum of WHO_stage_2" fld="20" baseField="0" baseItem="0"/>
    <dataField name="Sum of WHO_stage_3" fld="21" baseField="0" baseItem="0"/>
    <dataField name="Sum of WHO_stage_4" fld="22" baseField="0" baseItem="0"/>
  </dataFields>
  <formats count="25">
    <format dxfId="182">
      <pivotArea type="all" dataOnly="0" outline="0" fieldPosition="0"/>
    </format>
    <format dxfId="181">
      <pivotArea outline="0" collapsedLevelsAreSubtotals="1" fieldPosition="0"/>
    </format>
    <format dxfId="180">
      <pivotArea field="5" type="button" dataOnly="0" labelOnly="1" outline="0"/>
    </format>
    <format dxfId="179">
      <pivotArea dataOnly="0" labelOnly="1" grandRow="1" outline="0" fieldPosition="0"/>
    </format>
    <format dxfId="178">
      <pivotArea dataOnly="0" labelOnly="1" outline="0" fieldPosition="0">
        <references count="1">
          <reference field="4294967294" count="4">
            <x v="0"/>
            <x v="1"/>
            <x v="2"/>
            <x v="3"/>
          </reference>
        </references>
      </pivotArea>
    </format>
    <format dxfId="177">
      <pivotArea type="all" dataOnly="0" outline="0" fieldPosition="0"/>
    </format>
    <format dxfId="176">
      <pivotArea outline="0" collapsedLevelsAreSubtotals="1" fieldPosition="0"/>
    </format>
    <format dxfId="175">
      <pivotArea field="5" type="button" dataOnly="0" labelOnly="1" outline="0"/>
    </format>
    <format dxfId="174">
      <pivotArea dataOnly="0" labelOnly="1" grandRow="1" outline="0" fieldPosition="0"/>
    </format>
    <format dxfId="173">
      <pivotArea dataOnly="0" labelOnly="1" outline="0" fieldPosition="0">
        <references count="1">
          <reference field="4294967294" count="4">
            <x v="0"/>
            <x v="1"/>
            <x v="2"/>
            <x v="3"/>
          </reference>
        </references>
      </pivotArea>
    </format>
    <format dxfId="172">
      <pivotArea type="all" dataOnly="0" outline="0" fieldPosition="0"/>
    </format>
    <format dxfId="171">
      <pivotArea outline="0" collapsedLevelsAreSubtotals="1" fieldPosition="0"/>
    </format>
    <format dxfId="170">
      <pivotArea field="5" type="button" dataOnly="0" labelOnly="1" outline="0"/>
    </format>
    <format dxfId="169">
      <pivotArea dataOnly="0" labelOnly="1" grandRow="1" outline="0" fieldPosition="0"/>
    </format>
    <format dxfId="168">
      <pivotArea dataOnly="0" labelOnly="1" outline="0" fieldPosition="0">
        <references count="1">
          <reference field="4294967294" count="4">
            <x v="0"/>
            <x v="1"/>
            <x v="2"/>
            <x v="3"/>
          </reference>
        </references>
      </pivotArea>
    </format>
    <format dxfId="167">
      <pivotArea type="all" dataOnly="0" outline="0" fieldPosition="0"/>
    </format>
    <format dxfId="166">
      <pivotArea outline="0" collapsedLevelsAreSubtotals="1" fieldPosition="0"/>
    </format>
    <format dxfId="165">
      <pivotArea field="5" type="button" dataOnly="0" labelOnly="1" outline="0"/>
    </format>
    <format dxfId="164">
      <pivotArea dataOnly="0" labelOnly="1" grandRow="1" outline="0" fieldPosition="0"/>
    </format>
    <format dxfId="163">
      <pivotArea dataOnly="0" labelOnly="1" outline="0" fieldPosition="0">
        <references count="1">
          <reference field="4294967294" count="4">
            <x v="0"/>
            <x v="1"/>
            <x v="2"/>
            <x v="3"/>
          </reference>
        </references>
      </pivotArea>
    </format>
    <format dxfId="162">
      <pivotArea type="all" dataOnly="0" outline="0" fieldPosition="0"/>
    </format>
    <format dxfId="161">
      <pivotArea outline="0" collapsedLevelsAreSubtotals="1" fieldPosition="0"/>
    </format>
    <format dxfId="160">
      <pivotArea field="5" type="button" dataOnly="0" labelOnly="1" outline="0"/>
    </format>
    <format dxfId="159">
      <pivotArea dataOnly="0" labelOnly="1" grandRow="1" outline="0" fieldPosition="0"/>
    </format>
    <format dxfId="158">
      <pivotArea dataOnly="0" labelOnly="1" outline="0" fieldPosition="0">
        <references count="1">
          <reference field="4294967294" count="4">
            <x v="0"/>
            <x v="1"/>
            <x v="2"/>
            <x v="3"/>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4.xml><?xml version="1.0" encoding="utf-8"?>
<pivotTableDefinition xmlns="http://schemas.openxmlformats.org/spreadsheetml/2006/main" xmlns:mc="http://schemas.openxmlformats.org/markup-compatibility/2006" xmlns:xr="http://schemas.microsoft.com/office/spreadsheetml/2014/revision" mc:Ignorable="xr" xr:uid="{E280BED6-3512-4A51-B766-271A363123B0}" name="PivotTable10"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82:E87" firstHeaderRow="0" firstDataRow="1" firstDataCol="1"/>
  <pivotFields count="51">
    <pivotField compact="0" outline="0" showAll="0"/>
    <pivotField compact="0" numFmtId="164" outline="0" showAll="0"/>
    <pivotField compact="0" numFmtId="164" outline="0" showAll="0"/>
    <pivotField compact="0" outline="0" showAll="0"/>
    <pivotField compact="0" outline="0" showAll="0"/>
    <pivotField axis="axisRow" compact="0" outline="0" showAll="0">
      <items count="16">
        <item h="1" x="0"/>
        <item h="1" x="1"/>
        <item h="1" x="2"/>
        <item h="1" x="3"/>
        <item h="1" x="4"/>
        <item h="1" x="5"/>
        <item h="1" x="6"/>
        <item h="1" x="8"/>
        <item x="9"/>
        <item x="10"/>
        <item h="1" x="11"/>
        <item x="12"/>
        <item x="13"/>
        <item h="1" x="7"/>
        <item h="1" m="1" x="14"/>
        <item t="default"/>
      </items>
    </pivotField>
    <pivotField compact="0" outline="0" showAll="0"/>
    <pivotField compact="0" outline="0" showAll="0">
      <items count="5">
        <item h="1" x="0"/>
        <item x="1"/>
        <item h="1" x="2"/>
        <item h="1" m="1" x="3"/>
        <item t="default"/>
      </items>
    </pivotField>
    <pivotField compact="0" outline="0" showAll="0"/>
    <pivotField compact="0" outline="0" showAll="0"/>
    <pivotField compact="0" outline="0" showAll="0">
      <items count="7">
        <item h="1" m="1" x="5"/>
        <item h="1" x="2"/>
        <item x="3"/>
        <item h="1" x="1"/>
        <item h="1" x="0"/>
        <item h="1" m="1" x="4"/>
        <item t="default"/>
      </items>
    </pivotField>
    <pivotField compact="0" outline="0" showAll="0"/>
    <pivotField compact="0" outline="0" showAll="0"/>
    <pivotField compact="0" outline="0" showAll="0"/>
    <pivotField compact="0" numFmtId="14" outline="0" showAll="0"/>
    <pivotField compact="0" numFmtId="14" outline="0" showAll="0"/>
    <pivotField compact="0" outline="0" showAll="0">
      <items count="9">
        <item x="0"/>
        <item h="1" x="2"/>
        <item h="1" x="3"/>
        <item h="1" x="6"/>
        <item h="1" x="1"/>
        <item h="1" x="4"/>
        <item h="1" x="5"/>
        <item h="1" m="1" x="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dataField="1" compact="0" outline="0" showAll="0"/>
    <pivotField dataField="1" compact="0" outline="0" showAll="0"/>
    <pivotField compact="0" outline="0" showAll="0"/>
    <pivotField compact="0" outline="0" showAl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1">
    <field x="5"/>
  </rowFields>
  <rowItems count="5">
    <i>
      <x v="8"/>
    </i>
    <i>
      <x v="9"/>
    </i>
    <i>
      <x v="11"/>
    </i>
    <i>
      <x v="12"/>
    </i>
    <i t="grand">
      <x/>
    </i>
  </rowItems>
  <colFields count="1">
    <field x="-2"/>
  </colFields>
  <colItems count="4">
    <i>
      <x/>
    </i>
    <i i="1">
      <x v="1"/>
    </i>
    <i i="2">
      <x v="2"/>
    </i>
    <i i="3">
      <x v="3"/>
    </i>
  </colItems>
  <dataFields count="4">
    <dataField name="Sum of TX_TB" fld="37" baseField="0" baseItem="0"/>
    <dataField name="Sum of TX_CM" fld="38" baseField="0" baseItem="0"/>
    <dataField name="Sum of TX_Cryptococcemia" fld="39" baseField="0" baseItem="0"/>
    <dataField name="Sum of TX_KS" fld="40" baseField="0" baseItem="0"/>
  </dataFields>
  <formats count="30">
    <format dxfId="212">
      <pivotArea type="all" dataOnly="0" outline="0" fieldPosition="0"/>
    </format>
    <format dxfId="211">
      <pivotArea outline="0" collapsedLevelsAreSubtotals="1" fieldPosition="0"/>
    </format>
    <format dxfId="210">
      <pivotArea field="5" type="button" dataOnly="0" labelOnly="1" outline="0" axis="axisRow" fieldPosition="0"/>
    </format>
    <format dxfId="209">
      <pivotArea dataOnly="0" labelOnly="1" outline="0" fieldPosition="0">
        <references count="1">
          <reference field="5" count="0"/>
        </references>
      </pivotArea>
    </format>
    <format dxfId="208">
      <pivotArea dataOnly="0" labelOnly="1" grandRow="1" outline="0" fieldPosition="0"/>
    </format>
    <format dxfId="207">
      <pivotArea dataOnly="0" labelOnly="1" outline="0" fieldPosition="0">
        <references count="1">
          <reference field="4294967294" count="4">
            <x v="0"/>
            <x v="1"/>
            <x v="2"/>
            <x v="3"/>
          </reference>
        </references>
      </pivotArea>
    </format>
    <format dxfId="206">
      <pivotArea type="all" dataOnly="0" outline="0" fieldPosition="0"/>
    </format>
    <format dxfId="205">
      <pivotArea outline="0" collapsedLevelsAreSubtotals="1" fieldPosition="0"/>
    </format>
    <format dxfId="204">
      <pivotArea field="5" type="button" dataOnly="0" labelOnly="1" outline="0" axis="axisRow" fieldPosition="0"/>
    </format>
    <format dxfId="203">
      <pivotArea dataOnly="0" labelOnly="1" outline="0" fieldPosition="0">
        <references count="1">
          <reference field="5" count="0"/>
        </references>
      </pivotArea>
    </format>
    <format dxfId="202">
      <pivotArea dataOnly="0" labelOnly="1" grandRow="1" outline="0" fieldPosition="0"/>
    </format>
    <format dxfId="201">
      <pivotArea dataOnly="0" labelOnly="1" outline="0" fieldPosition="0">
        <references count="1">
          <reference field="4294967294" count="4">
            <x v="0"/>
            <x v="1"/>
            <x v="2"/>
            <x v="3"/>
          </reference>
        </references>
      </pivotArea>
    </format>
    <format dxfId="200">
      <pivotArea type="all" dataOnly="0" outline="0" fieldPosition="0"/>
    </format>
    <format dxfId="199">
      <pivotArea outline="0" collapsedLevelsAreSubtotals="1" fieldPosition="0"/>
    </format>
    <format dxfId="198">
      <pivotArea field="5" type="button" dataOnly="0" labelOnly="1" outline="0" axis="axisRow" fieldPosition="0"/>
    </format>
    <format dxfId="197">
      <pivotArea dataOnly="0" labelOnly="1" outline="0" fieldPosition="0">
        <references count="1">
          <reference field="5" count="0"/>
        </references>
      </pivotArea>
    </format>
    <format dxfId="196">
      <pivotArea dataOnly="0" labelOnly="1" grandRow="1" outline="0" fieldPosition="0"/>
    </format>
    <format dxfId="195">
      <pivotArea dataOnly="0" labelOnly="1" outline="0" fieldPosition="0">
        <references count="1">
          <reference field="4294967294" count="4">
            <x v="0"/>
            <x v="1"/>
            <x v="2"/>
            <x v="3"/>
          </reference>
        </references>
      </pivotArea>
    </format>
    <format dxfId="194">
      <pivotArea type="all" dataOnly="0" outline="0" fieldPosition="0"/>
    </format>
    <format dxfId="193">
      <pivotArea outline="0" collapsedLevelsAreSubtotals="1" fieldPosition="0"/>
    </format>
    <format dxfId="192">
      <pivotArea field="5" type="button" dataOnly="0" labelOnly="1" outline="0" axis="axisRow" fieldPosition="0"/>
    </format>
    <format dxfId="191">
      <pivotArea dataOnly="0" labelOnly="1" outline="0" fieldPosition="0">
        <references count="1">
          <reference field="5" count="0"/>
        </references>
      </pivotArea>
    </format>
    <format dxfId="190">
      <pivotArea dataOnly="0" labelOnly="1" grandRow="1" outline="0" fieldPosition="0"/>
    </format>
    <format dxfId="189">
      <pivotArea dataOnly="0" labelOnly="1" outline="0" fieldPosition="0">
        <references count="1">
          <reference field="4294967294" count="4">
            <x v="0"/>
            <x v="1"/>
            <x v="2"/>
            <x v="3"/>
          </reference>
        </references>
      </pivotArea>
    </format>
    <format dxfId="188">
      <pivotArea type="all" dataOnly="0" outline="0" fieldPosition="0"/>
    </format>
    <format dxfId="187">
      <pivotArea outline="0" collapsedLevelsAreSubtotals="1" fieldPosition="0"/>
    </format>
    <format dxfId="186">
      <pivotArea field="5" type="button" dataOnly="0" labelOnly="1" outline="0" axis="axisRow" fieldPosition="0"/>
    </format>
    <format dxfId="185">
      <pivotArea dataOnly="0" labelOnly="1" outline="0" fieldPosition="0">
        <references count="1">
          <reference field="5" count="0"/>
        </references>
      </pivotArea>
    </format>
    <format dxfId="184">
      <pivotArea dataOnly="0" labelOnly="1" grandRow="1" outline="0" fieldPosition="0"/>
    </format>
    <format dxfId="183">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5.xml><?xml version="1.0" encoding="utf-8"?>
<pivotTableDefinition xmlns="http://schemas.openxmlformats.org/spreadsheetml/2006/main" xmlns:mc="http://schemas.openxmlformats.org/markup-compatibility/2006" xmlns:xr="http://schemas.microsoft.com/office/spreadsheetml/2014/revision" mc:Ignorable="xr" xr:uid="{195E3D4C-7A64-4264-BC65-7A743ED10D2F}" name="PivotTable1"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C8" firstHeaderRow="1" firstDataRow="2" firstDataCol="1"/>
  <pivotFields count="51">
    <pivotField compact="0" outline="0" showAll="0"/>
    <pivotField compact="0" numFmtId="164" outline="0" showAll="0"/>
    <pivotField compact="0" numFmtId="164" outline="0" showAll="0"/>
    <pivotField compact="0" outline="0" showAll="0"/>
    <pivotField compact="0" outline="0" showAll="0"/>
    <pivotField axis="axisRow" compact="0" outline="0" showAll="0">
      <items count="16">
        <item h="1" x="0"/>
        <item h="1" x="1"/>
        <item h="1" x="2"/>
        <item h="1" x="3"/>
        <item h="1" x="4"/>
        <item h="1" x="5"/>
        <item h="1" x="6"/>
        <item h="1" x="8"/>
        <item x="9"/>
        <item x="10"/>
        <item h="1" x="11"/>
        <item x="12"/>
        <item x="13"/>
        <item h="1" x="7"/>
        <item h="1" m="1" x="14"/>
        <item t="default"/>
      </items>
    </pivotField>
    <pivotField compact="0" outline="0" showAll="0"/>
    <pivotField compact="0" outline="0" showAll="0">
      <items count="5">
        <item h="1" x="0"/>
        <item x="1"/>
        <item h="1" x="2"/>
        <item h="1" m="1" x="3"/>
        <item t="default"/>
      </items>
    </pivotField>
    <pivotField compact="0" outline="0" showAll="0"/>
    <pivotField compact="0" outline="0" showAll="0"/>
    <pivotField compact="0" outline="0" showAll="0">
      <items count="7">
        <item h="1" m="1" x="5"/>
        <item h="1" x="2"/>
        <item x="3"/>
        <item h="1" x="1"/>
        <item h="1" x="0"/>
        <item h="1" m="1" x="4"/>
        <item t="default"/>
      </items>
    </pivotField>
    <pivotField compact="0" outline="0" showAll="0"/>
    <pivotField compact="0" outline="0" showAll="0"/>
    <pivotField compact="0" outline="0" showAll="0"/>
    <pivotField compact="0" numFmtId="14" outline="0" showAll="0"/>
    <pivotField compact="0" numFmtId="14" outline="0" showAll="0"/>
    <pivotField axis="axisCol" compact="0" outline="0" showAll="0">
      <items count="9">
        <item x="0"/>
        <item h="1" x="2"/>
        <item h="1" x="3"/>
        <item h="1" x="6"/>
        <item h="1" x="1"/>
        <item h="1" x="4"/>
        <item h="1" x="5"/>
        <item h="1" m="1" x="7"/>
        <item t="default"/>
      </items>
    </pivotField>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1">
    <field x="5"/>
  </rowFields>
  <rowItems count="5">
    <i>
      <x v="8"/>
    </i>
    <i>
      <x v="9"/>
    </i>
    <i>
      <x v="11"/>
    </i>
    <i>
      <x v="12"/>
    </i>
    <i t="grand">
      <x/>
    </i>
  </rowItems>
  <colFields count="1">
    <field x="16"/>
  </colFields>
  <colItems count="2">
    <i>
      <x/>
    </i>
    <i t="grand">
      <x/>
    </i>
  </colItems>
  <dataFields count="1">
    <dataField name="Sum of Total_number_of_ROC_x000a_" fld="17" baseField="0" baseItem="0"/>
  </dataFields>
  <formats count="45">
    <format dxfId="257">
      <pivotArea type="all" dataOnly="0" outline="0" fieldPosition="0"/>
    </format>
    <format dxfId="256">
      <pivotArea outline="0" collapsedLevelsAreSubtotals="1" fieldPosition="0"/>
    </format>
    <format dxfId="255">
      <pivotArea type="origin" dataOnly="0" labelOnly="1" outline="0" fieldPosition="0"/>
    </format>
    <format dxfId="254">
      <pivotArea field="16" type="button" dataOnly="0" labelOnly="1" outline="0" axis="axisCol" fieldPosition="0"/>
    </format>
    <format dxfId="253">
      <pivotArea type="topRight" dataOnly="0" labelOnly="1" outline="0" fieldPosition="0"/>
    </format>
    <format dxfId="252">
      <pivotArea field="5" type="button" dataOnly="0" labelOnly="1" outline="0" axis="axisRow" fieldPosition="0"/>
    </format>
    <format dxfId="251">
      <pivotArea dataOnly="0" labelOnly="1" grandRow="1" outline="0" fieldPosition="0"/>
    </format>
    <format dxfId="250">
      <pivotArea dataOnly="0" labelOnly="1" outline="0" fieldPosition="0">
        <references count="1">
          <reference field="16" count="0"/>
        </references>
      </pivotArea>
    </format>
    <format dxfId="249">
      <pivotArea dataOnly="0" labelOnly="1" grandCol="1" outline="0" fieldPosition="0"/>
    </format>
    <format dxfId="248">
      <pivotArea type="all" dataOnly="0" outline="0" fieldPosition="0"/>
    </format>
    <format dxfId="247">
      <pivotArea outline="0" collapsedLevelsAreSubtotals="1" fieldPosition="0"/>
    </format>
    <format dxfId="246">
      <pivotArea type="origin" dataOnly="0" labelOnly="1" outline="0" fieldPosition="0"/>
    </format>
    <format dxfId="245">
      <pivotArea field="16" type="button" dataOnly="0" labelOnly="1" outline="0" axis="axisCol" fieldPosition="0"/>
    </format>
    <format dxfId="244">
      <pivotArea type="topRight" dataOnly="0" labelOnly="1" outline="0" fieldPosition="0"/>
    </format>
    <format dxfId="243">
      <pivotArea field="5" type="button" dataOnly="0" labelOnly="1" outline="0" axis="axisRow" fieldPosition="0"/>
    </format>
    <format dxfId="242">
      <pivotArea dataOnly="0" labelOnly="1" grandRow="1" outline="0" fieldPosition="0"/>
    </format>
    <format dxfId="241">
      <pivotArea dataOnly="0" labelOnly="1" outline="0" fieldPosition="0">
        <references count="1">
          <reference field="16" count="0"/>
        </references>
      </pivotArea>
    </format>
    <format dxfId="240">
      <pivotArea dataOnly="0" labelOnly="1" grandCol="1" outline="0" fieldPosition="0"/>
    </format>
    <format dxfId="239">
      <pivotArea type="all" dataOnly="0" outline="0" fieldPosition="0"/>
    </format>
    <format dxfId="238">
      <pivotArea outline="0" collapsedLevelsAreSubtotals="1" fieldPosition="0"/>
    </format>
    <format dxfId="237">
      <pivotArea type="origin" dataOnly="0" labelOnly="1" outline="0" fieldPosition="0"/>
    </format>
    <format dxfId="236">
      <pivotArea field="16" type="button" dataOnly="0" labelOnly="1" outline="0" axis="axisCol" fieldPosition="0"/>
    </format>
    <format dxfId="235">
      <pivotArea type="topRight" dataOnly="0" labelOnly="1" outline="0" fieldPosition="0"/>
    </format>
    <format dxfId="234">
      <pivotArea field="5" type="button" dataOnly="0" labelOnly="1" outline="0" axis="axisRow" fieldPosition="0"/>
    </format>
    <format dxfId="233">
      <pivotArea dataOnly="0" labelOnly="1" grandRow="1" outline="0" fieldPosition="0"/>
    </format>
    <format dxfId="232">
      <pivotArea dataOnly="0" labelOnly="1" outline="0" fieldPosition="0">
        <references count="1">
          <reference field="16" count="0"/>
        </references>
      </pivotArea>
    </format>
    <format dxfId="231">
      <pivotArea dataOnly="0" labelOnly="1" grandCol="1" outline="0" fieldPosition="0"/>
    </format>
    <format dxfId="230">
      <pivotArea type="all" dataOnly="0" outline="0" fieldPosition="0"/>
    </format>
    <format dxfId="229">
      <pivotArea outline="0" collapsedLevelsAreSubtotals="1" fieldPosition="0"/>
    </format>
    <format dxfId="228">
      <pivotArea type="origin" dataOnly="0" labelOnly="1" outline="0" fieldPosition="0"/>
    </format>
    <format dxfId="227">
      <pivotArea field="16" type="button" dataOnly="0" labelOnly="1" outline="0" axis="axisCol" fieldPosition="0"/>
    </format>
    <format dxfId="226">
      <pivotArea type="topRight" dataOnly="0" labelOnly="1" outline="0" fieldPosition="0"/>
    </format>
    <format dxfId="225">
      <pivotArea field="5" type="button" dataOnly="0" labelOnly="1" outline="0" axis="axisRow" fieldPosition="0"/>
    </format>
    <format dxfId="224">
      <pivotArea dataOnly="0" labelOnly="1" grandRow="1" outline="0" fieldPosition="0"/>
    </format>
    <format dxfId="223">
      <pivotArea dataOnly="0" labelOnly="1" outline="0" fieldPosition="0">
        <references count="1">
          <reference field="16" count="0"/>
        </references>
      </pivotArea>
    </format>
    <format dxfId="222">
      <pivotArea dataOnly="0" labelOnly="1" grandCol="1" outline="0" fieldPosition="0"/>
    </format>
    <format dxfId="221">
      <pivotArea type="all" dataOnly="0" outline="0" fieldPosition="0"/>
    </format>
    <format dxfId="220">
      <pivotArea outline="0" collapsedLevelsAreSubtotals="1" fieldPosition="0"/>
    </format>
    <format dxfId="219">
      <pivotArea type="origin" dataOnly="0" labelOnly="1" outline="0" fieldPosition="0"/>
    </format>
    <format dxfId="218">
      <pivotArea field="16" type="button" dataOnly="0" labelOnly="1" outline="0" axis="axisCol" fieldPosition="0"/>
    </format>
    <format dxfId="217">
      <pivotArea type="topRight" dataOnly="0" labelOnly="1" outline="0" fieldPosition="0"/>
    </format>
    <format dxfId="216">
      <pivotArea field="5" type="button" dataOnly="0" labelOnly="1" outline="0" axis="axisRow" fieldPosition="0"/>
    </format>
    <format dxfId="215">
      <pivotArea dataOnly="0" labelOnly="1" grandRow="1" outline="0" fieldPosition="0"/>
    </format>
    <format dxfId="214">
      <pivotArea dataOnly="0" labelOnly="1" outline="0" fieldPosition="0">
        <references count="1">
          <reference field="16" count="0"/>
        </references>
      </pivotArea>
    </format>
    <format dxfId="213">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6.xml><?xml version="1.0" encoding="utf-8"?>
<pivotTableDefinition xmlns="http://schemas.openxmlformats.org/spreadsheetml/2006/main" xmlns:mc="http://schemas.openxmlformats.org/markup-compatibility/2006" xmlns:xr="http://schemas.microsoft.com/office/spreadsheetml/2014/revision" mc:Ignorable="xr" xr:uid="{548A0D0D-DA1F-40CD-80B4-2D1F525008AA}" name="PivotTable3"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48:B49" firstHeaderRow="0" firstDataRow="1" firstDataCol="0"/>
  <pivotFields count="51">
    <pivotField compact="0" outline="0" showAll="0"/>
    <pivotField compact="0" numFmtId="164" outline="0" showAll="0"/>
    <pivotField compact="0" numFmtId="164" outline="0" showAll="0"/>
    <pivotField compact="0" outline="0" showAll="0"/>
    <pivotField compact="0" outline="0" showAll="0"/>
    <pivotField compact="0" outline="0" showAll="0">
      <items count="16">
        <item h="1" x="0"/>
        <item h="1" x="1"/>
        <item h="1" x="2"/>
        <item h="1" x="3"/>
        <item h="1" x="4"/>
        <item h="1" x="5"/>
        <item h="1" x="6"/>
        <item h="1" x="8"/>
        <item x="9"/>
        <item x="10"/>
        <item h="1" x="11"/>
        <item x="12"/>
        <item x="13"/>
        <item h="1" x="7"/>
        <item h="1" m="1" x="14"/>
        <item t="default"/>
      </items>
    </pivotField>
    <pivotField compact="0" outline="0" showAll="0"/>
    <pivotField compact="0" outline="0" showAll="0">
      <items count="5">
        <item h="1" x="0"/>
        <item x="1"/>
        <item h="1" x="2"/>
        <item h="1" m="1" x="3"/>
        <item t="default"/>
      </items>
    </pivotField>
    <pivotField compact="0" outline="0" showAll="0"/>
    <pivotField compact="0" outline="0" showAll="0"/>
    <pivotField compact="0" outline="0" showAll="0">
      <items count="7">
        <item h="1" m="1" x="5"/>
        <item h="1" x="2"/>
        <item x="3"/>
        <item h="1" x="1"/>
        <item h="1" x="0"/>
        <item h="1" m="1" x="4"/>
        <item t="default"/>
      </items>
    </pivotField>
    <pivotField compact="0" outline="0" showAll="0"/>
    <pivotField compact="0" outline="0" showAll="0"/>
    <pivotField compact="0" outline="0" showAll="0"/>
    <pivotField compact="0" numFmtId="14" outline="0" showAll="0"/>
    <pivotField compact="0" numFmtId="14" outline="0" showAll="0"/>
    <pivotField compact="0" outline="0" showAll="0">
      <items count="9">
        <item x="0"/>
        <item h="1" x="2"/>
        <item h="1" x="3"/>
        <item h="1" x="6"/>
        <item h="1" x="1"/>
        <item h="1" x="4"/>
        <item h="1" x="5"/>
        <item h="1" m="1" x="7"/>
        <item t="default"/>
      </items>
    </pivotField>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Items count="1">
    <i/>
  </rowItems>
  <colFields count="1">
    <field x="-2"/>
  </colFields>
  <colItems count="2">
    <i>
      <x/>
    </i>
    <i i="1">
      <x v="1"/>
    </i>
  </colItems>
  <dataFields count="2">
    <dataField name="Sum of CD4_tests" fld="23" baseField="0" baseItem="0"/>
    <dataField name="Sum of CD4&lt;200" fld="24" baseField="0" baseItem="0"/>
  </dataFields>
  <formats count="25">
    <format dxfId="282">
      <pivotArea type="all" dataOnly="0" outline="0" fieldPosition="0"/>
    </format>
    <format dxfId="281">
      <pivotArea outline="0" collapsedLevelsAreSubtotals="1" fieldPosition="0"/>
    </format>
    <format dxfId="280">
      <pivotArea field="5" type="button" dataOnly="0" labelOnly="1" outline="0"/>
    </format>
    <format dxfId="279">
      <pivotArea dataOnly="0" labelOnly="1" grandRow="1" outline="0" fieldPosition="0"/>
    </format>
    <format dxfId="278">
      <pivotArea dataOnly="0" labelOnly="1" outline="0" fieldPosition="0">
        <references count="1">
          <reference field="4294967294" count="2">
            <x v="0"/>
            <x v="1"/>
          </reference>
        </references>
      </pivotArea>
    </format>
    <format dxfId="277">
      <pivotArea type="all" dataOnly="0" outline="0" fieldPosition="0"/>
    </format>
    <format dxfId="276">
      <pivotArea outline="0" collapsedLevelsAreSubtotals="1" fieldPosition="0"/>
    </format>
    <format dxfId="275">
      <pivotArea field="5" type="button" dataOnly="0" labelOnly="1" outline="0"/>
    </format>
    <format dxfId="274">
      <pivotArea dataOnly="0" labelOnly="1" grandRow="1" outline="0" fieldPosition="0"/>
    </format>
    <format dxfId="273">
      <pivotArea dataOnly="0" labelOnly="1" outline="0" fieldPosition="0">
        <references count="1">
          <reference field="4294967294" count="2">
            <x v="0"/>
            <x v="1"/>
          </reference>
        </references>
      </pivotArea>
    </format>
    <format dxfId="272">
      <pivotArea type="all" dataOnly="0" outline="0" fieldPosition="0"/>
    </format>
    <format dxfId="271">
      <pivotArea outline="0" collapsedLevelsAreSubtotals="1" fieldPosition="0"/>
    </format>
    <format dxfId="270">
      <pivotArea field="5" type="button" dataOnly="0" labelOnly="1" outline="0"/>
    </format>
    <format dxfId="269">
      <pivotArea dataOnly="0" labelOnly="1" grandRow="1" outline="0" fieldPosition="0"/>
    </format>
    <format dxfId="268">
      <pivotArea dataOnly="0" labelOnly="1" outline="0" fieldPosition="0">
        <references count="1">
          <reference field="4294967294" count="2">
            <x v="0"/>
            <x v="1"/>
          </reference>
        </references>
      </pivotArea>
    </format>
    <format dxfId="267">
      <pivotArea type="all" dataOnly="0" outline="0" fieldPosition="0"/>
    </format>
    <format dxfId="266">
      <pivotArea outline="0" collapsedLevelsAreSubtotals="1" fieldPosition="0"/>
    </format>
    <format dxfId="265">
      <pivotArea field="5" type="button" dataOnly="0" labelOnly="1" outline="0"/>
    </format>
    <format dxfId="264">
      <pivotArea dataOnly="0" labelOnly="1" grandRow="1" outline="0" fieldPosition="0"/>
    </format>
    <format dxfId="263">
      <pivotArea dataOnly="0" labelOnly="1" outline="0" fieldPosition="0">
        <references count="1">
          <reference field="4294967294" count="2">
            <x v="0"/>
            <x v="1"/>
          </reference>
        </references>
      </pivotArea>
    </format>
    <format dxfId="262">
      <pivotArea type="all" dataOnly="0" outline="0" fieldPosition="0"/>
    </format>
    <format dxfId="261">
      <pivotArea outline="0" collapsedLevelsAreSubtotals="1" fieldPosition="0"/>
    </format>
    <format dxfId="260">
      <pivotArea field="5" type="button" dataOnly="0" labelOnly="1" outline="0"/>
    </format>
    <format dxfId="259">
      <pivotArea dataOnly="0" labelOnly="1" grandRow="1" outline="0" fieldPosition="0"/>
    </format>
    <format dxfId="258">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7.xml><?xml version="1.0" encoding="utf-8"?>
<pivotTableDefinition xmlns="http://schemas.openxmlformats.org/spreadsheetml/2006/main" xmlns:mc="http://schemas.openxmlformats.org/markup-compatibility/2006" xmlns:xr="http://schemas.microsoft.com/office/spreadsheetml/2014/revision" mc:Ignorable="xr" xr:uid="{2C918166-E9A3-4E7A-B7D2-1302047A1286}" name="PivotTable7"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E65:G70" firstHeaderRow="0" firstDataRow="1" firstDataCol="1"/>
  <pivotFields count="51">
    <pivotField compact="0" outline="0" showAll="0"/>
    <pivotField compact="0" numFmtId="164" outline="0" showAll="0"/>
    <pivotField compact="0" numFmtId="164" outline="0" showAll="0"/>
    <pivotField compact="0" outline="0" showAll="0"/>
    <pivotField compact="0" outline="0" showAll="0"/>
    <pivotField axis="axisRow" compact="0" outline="0" showAll="0">
      <items count="16">
        <item h="1" x="0"/>
        <item h="1" x="1"/>
        <item h="1" x="2"/>
        <item h="1" x="3"/>
        <item h="1" x="4"/>
        <item h="1" x="5"/>
        <item h="1" x="6"/>
        <item h="1" x="8"/>
        <item x="9"/>
        <item x="10"/>
        <item h="1" x="11"/>
        <item x="12"/>
        <item x="13"/>
        <item h="1" x="7"/>
        <item h="1" m="1" x="14"/>
        <item t="default"/>
      </items>
    </pivotField>
    <pivotField compact="0" outline="0" showAll="0"/>
    <pivotField compact="0" outline="0" showAll="0">
      <items count="5">
        <item h="1" x="0"/>
        <item x="1"/>
        <item h="1" x="2"/>
        <item h="1" m="1" x="3"/>
        <item t="default"/>
      </items>
    </pivotField>
    <pivotField compact="0" outline="0" showAll="0"/>
    <pivotField compact="0" outline="0" showAll="0"/>
    <pivotField compact="0" outline="0" showAll="0">
      <items count="7">
        <item h="1" m="1" x="5"/>
        <item h="1" x="2"/>
        <item x="3"/>
        <item h="1" x="1"/>
        <item h="1" x="0"/>
        <item h="1" m="1" x="4"/>
        <item t="default"/>
      </items>
    </pivotField>
    <pivotField compact="0" outline="0" showAll="0"/>
    <pivotField compact="0" outline="0" showAll="0"/>
    <pivotField compact="0" outline="0" showAll="0"/>
    <pivotField compact="0" numFmtId="14" outline="0" showAll="0"/>
    <pivotField compact="0" numFmtId="14" outline="0" showAll="0"/>
    <pivotField compact="0" outline="0" showAll="0">
      <items count="9">
        <item x="0"/>
        <item h="1" x="2"/>
        <item h="1" x="3"/>
        <item h="1" x="6"/>
        <item h="1" x="1"/>
        <item h="1" x="4"/>
        <item h="1" x="5"/>
        <item h="1" m="1" x="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1">
    <field x="5"/>
  </rowFields>
  <rowItems count="5">
    <i>
      <x v="8"/>
    </i>
    <i>
      <x v="9"/>
    </i>
    <i>
      <x v="11"/>
    </i>
    <i>
      <x v="12"/>
    </i>
    <i t="grand">
      <x/>
    </i>
  </rowItems>
  <colFields count="1">
    <field x="-2"/>
  </colFields>
  <colItems count="2">
    <i>
      <x/>
    </i>
    <i i="1">
      <x v="1"/>
    </i>
  </colItems>
  <dataFields count="2">
    <dataField name="Sum of Gene_Xpert_done" fld="31" baseField="0" baseItem="0"/>
    <dataField name="Sum of Gene_Xpert+" fld="32" baseField="0" baseItem="0"/>
  </dataFields>
  <formats count="30">
    <format dxfId="312">
      <pivotArea type="all" dataOnly="0" outline="0" fieldPosition="0"/>
    </format>
    <format dxfId="311">
      <pivotArea outline="0" collapsedLevelsAreSubtotals="1" fieldPosition="0"/>
    </format>
    <format dxfId="310">
      <pivotArea field="5" type="button" dataOnly="0" labelOnly="1" outline="0" axis="axisRow" fieldPosition="0"/>
    </format>
    <format dxfId="309">
      <pivotArea dataOnly="0" labelOnly="1" outline="0" fieldPosition="0">
        <references count="1">
          <reference field="5" count="0"/>
        </references>
      </pivotArea>
    </format>
    <format dxfId="308">
      <pivotArea dataOnly="0" labelOnly="1" grandRow="1" outline="0" fieldPosition="0"/>
    </format>
    <format dxfId="307">
      <pivotArea dataOnly="0" labelOnly="1" outline="0" fieldPosition="0">
        <references count="1">
          <reference field="4294967294" count="2">
            <x v="0"/>
            <x v="1"/>
          </reference>
        </references>
      </pivotArea>
    </format>
    <format dxfId="306">
      <pivotArea type="all" dataOnly="0" outline="0" fieldPosition="0"/>
    </format>
    <format dxfId="305">
      <pivotArea outline="0" collapsedLevelsAreSubtotals="1" fieldPosition="0"/>
    </format>
    <format dxfId="304">
      <pivotArea field="5" type="button" dataOnly="0" labelOnly="1" outline="0" axis="axisRow" fieldPosition="0"/>
    </format>
    <format dxfId="303">
      <pivotArea dataOnly="0" labelOnly="1" outline="0" fieldPosition="0">
        <references count="1">
          <reference field="5" count="0"/>
        </references>
      </pivotArea>
    </format>
    <format dxfId="302">
      <pivotArea dataOnly="0" labelOnly="1" grandRow="1" outline="0" fieldPosition="0"/>
    </format>
    <format dxfId="301">
      <pivotArea dataOnly="0" labelOnly="1" outline="0" fieldPosition="0">
        <references count="1">
          <reference field="4294967294" count="2">
            <x v="0"/>
            <x v="1"/>
          </reference>
        </references>
      </pivotArea>
    </format>
    <format dxfId="300">
      <pivotArea type="all" dataOnly="0" outline="0" fieldPosition="0"/>
    </format>
    <format dxfId="299">
      <pivotArea outline="0" collapsedLevelsAreSubtotals="1" fieldPosition="0"/>
    </format>
    <format dxfId="298">
      <pivotArea field="5" type="button" dataOnly="0" labelOnly="1" outline="0" axis="axisRow" fieldPosition="0"/>
    </format>
    <format dxfId="297">
      <pivotArea dataOnly="0" labelOnly="1" outline="0" fieldPosition="0">
        <references count="1">
          <reference field="5" count="0"/>
        </references>
      </pivotArea>
    </format>
    <format dxfId="296">
      <pivotArea dataOnly="0" labelOnly="1" grandRow="1" outline="0" fieldPosition="0"/>
    </format>
    <format dxfId="295">
      <pivotArea dataOnly="0" labelOnly="1" outline="0" fieldPosition="0">
        <references count="1">
          <reference field="4294967294" count="2">
            <x v="0"/>
            <x v="1"/>
          </reference>
        </references>
      </pivotArea>
    </format>
    <format dxfId="294">
      <pivotArea type="all" dataOnly="0" outline="0" fieldPosition="0"/>
    </format>
    <format dxfId="293">
      <pivotArea outline="0" collapsedLevelsAreSubtotals="1" fieldPosition="0"/>
    </format>
    <format dxfId="292">
      <pivotArea field="5" type="button" dataOnly="0" labelOnly="1" outline="0" axis="axisRow" fieldPosition="0"/>
    </format>
    <format dxfId="291">
      <pivotArea dataOnly="0" labelOnly="1" outline="0" fieldPosition="0">
        <references count="1">
          <reference field="5" count="0"/>
        </references>
      </pivotArea>
    </format>
    <format dxfId="290">
      <pivotArea dataOnly="0" labelOnly="1" grandRow="1" outline="0" fieldPosition="0"/>
    </format>
    <format dxfId="289">
      <pivotArea dataOnly="0" labelOnly="1" outline="0" fieldPosition="0">
        <references count="1">
          <reference field="4294967294" count="2">
            <x v="0"/>
            <x v="1"/>
          </reference>
        </references>
      </pivotArea>
    </format>
    <format dxfId="288">
      <pivotArea type="all" dataOnly="0" outline="0" fieldPosition="0"/>
    </format>
    <format dxfId="287">
      <pivotArea outline="0" collapsedLevelsAreSubtotals="1" fieldPosition="0"/>
    </format>
    <format dxfId="286">
      <pivotArea field="5" type="button" dataOnly="0" labelOnly="1" outline="0" axis="axisRow" fieldPosition="0"/>
    </format>
    <format dxfId="285">
      <pivotArea dataOnly="0" labelOnly="1" outline="0" fieldPosition="0">
        <references count="1">
          <reference field="5" count="0"/>
        </references>
      </pivotArea>
    </format>
    <format dxfId="284">
      <pivotArea dataOnly="0" labelOnly="1" grandRow="1" outline="0" fieldPosition="0"/>
    </format>
    <format dxfId="283">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8.xml><?xml version="1.0" encoding="utf-8"?>
<pivotTableDefinition xmlns="http://schemas.openxmlformats.org/spreadsheetml/2006/main" xmlns:mc="http://schemas.openxmlformats.org/markup-compatibility/2006" xmlns:xr="http://schemas.microsoft.com/office/spreadsheetml/2014/revision" mc:Ignorable="xr" xr:uid="{890E9AAC-D1CC-46D1-9A61-2DB2179F671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2">
  <location ref="P5:S8" firstHeaderRow="0" firstDataRow="1" firstDataCol="1"/>
  <pivotFields count="44">
    <pivotField showAll="0"/>
    <pivotField showAll="0"/>
    <pivotField showAll="0"/>
    <pivotField showAll="0"/>
    <pivotField showAll="0"/>
    <pivotField showAll="0">
      <items count="16">
        <item h="1" x="0"/>
        <item h="1" x="1"/>
        <item h="1" x="2"/>
        <item h="1" x="3"/>
        <item h="1" x="4"/>
        <item h="1" x="5"/>
        <item h="1" x="6"/>
        <item h="1" x="7"/>
        <item h="1" x="8"/>
        <item h="1" x="9"/>
        <item h="1" x="10"/>
        <item h="1" x="11"/>
        <item h="1" x="12"/>
        <item x="13"/>
        <item h="1" x="14"/>
        <item t="default"/>
      </items>
    </pivotField>
    <pivotField showAll="0"/>
    <pivotField axis="axisRow" showAll="0" sortType="ascending">
      <items count="5">
        <item h="1" x="0"/>
        <item x="1"/>
        <item x="2"/>
        <item h="1" x="3"/>
        <item t="default"/>
      </items>
    </pivotField>
    <pivotField showAll="0"/>
    <pivotField showAll="0"/>
    <pivotField showAll="0"/>
    <pivotField showAll="0"/>
    <pivotField showAll="0"/>
    <pivotField showAll="0"/>
    <pivotField showAll="0"/>
    <pivotField showAll="0"/>
    <pivotField showAll="0">
      <items count="10">
        <item h="1" m="1" x="8"/>
        <item h="1" x="0"/>
        <item h="1" x="2"/>
        <item h="1" x="3"/>
        <item h="1" x="6"/>
        <item x="1"/>
        <item h="1" x="4"/>
        <item h="1" x="5"/>
        <item h="1" x="7"/>
        <item t="default"/>
      </items>
    </pivotField>
    <pivotField name="Total_number_of_ROC" dataField="1"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s>
  <rowFields count="1">
    <field x="7"/>
  </rowFields>
  <rowItems count="3">
    <i>
      <x v="1"/>
    </i>
    <i>
      <x v="2"/>
    </i>
    <i t="grand">
      <x/>
    </i>
  </rowItems>
  <colFields count="1">
    <field x="-2"/>
  </colFields>
  <colItems count="3">
    <i>
      <x/>
    </i>
    <i i="1">
      <x v="1"/>
    </i>
    <i i="2">
      <x v="2"/>
    </i>
  </colItems>
  <dataFields count="3">
    <dataField name="Sum of Total_number_of_ROC" fld="17" baseField="0" baseItem="0"/>
    <dataField name="Sum of CD4_tests" fld="23" baseField="0" baseItem="0"/>
    <dataField name="Sum of CD4_cov%" fld="42" baseField="7" baseItem="1"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9.xml><?xml version="1.0" encoding="utf-8"?>
<pivotTableDefinition xmlns="http://schemas.openxmlformats.org/spreadsheetml/2006/main" xmlns:mc="http://schemas.openxmlformats.org/markup-compatibility/2006" xmlns:xr="http://schemas.microsoft.com/office/spreadsheetml/2014/revision" mc:Ignorable="xr" xr:uid="{D7E4F808-8EB9-4342-9640-60A5CC719CF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3">
  <location ref="A5:E42" firstHeaderRow="0" firstDataRow="1" firstDataCol="1"/>
  <pivotFields count="44">
    <pivotField showAll="0"/>
    <pivotField showAll="0"/>
    <pivotField showAll="0"/>
    <pivotField showAll="0"/>
    <pivotField showAll="0"/>
    <pivotField showAll="0">
      <items count="16">
        <item h="1" x="0"/>
        <item h="1" x="1"/>
        <item h="1" x="2"/>
        <item h="1" x="3"/>
        <item h="1" x="4"/>
        <item h="1" x="5"/>
        <item h="1" x="6"/>
        <item h="1" x="7"/>
        <item h="1" x="8"/>
        <item h="1" x="9"/>
        <item h="1" x="10"/>
        <item h="1" x="11"/>
        <item h="1" x="12"/>
        <item x="13"/>
        <item h="1" x="14"/>
        <item t="default"/>
      </items>
    </pivotField>
    <pivotField showAll="0"/>
    <pivotField axis="axisRow" showAll="0" sortType="ascending">
      <items count="5">
        <item h="1" x="0"/>
        <item x="1"/>
        <item x="2"/>
        <item h="1" x="3"/>
        <item t="default"/>
      </items>
    </pivotField>
    <pivotField showAll="0"/>
    <pivotField showAll="0"/>
    <pivotField showAll="0"/>
    <pivotField showAll="0"/>
    <pivotField showAll="0"/>
    <pivotField axis="axisRow" showAll="0">
      <items count="15">
        <item x="4"/>
        <item x="5"/>
        <item x="3"/>
        <item x="7"/>
        <item x="6"/>
        <item x="8"/>
        <item x="9"/>
        <item x="10"/>
        <item x="2"/>
        <item x="0"/>
        <item x="1"/>
        <item x="11"/>
        <item x="12"/>
        <item x="13"/>
        <item t="default"/>
      </items>
    </pivotField>
    <pivotField showAll="0"/>
    <pivotField showAll="0"/>
    <pivotField showAll="0">
      <items count="10">
        <item h="1" m="1" x="8"/>
        <item h="1" x="0"/>
        <item h="1" x="2"/>
        <item h="1" x="3"/>
        <item h="1" x="6"/>
        <item x="1"/>
        <item h="1" x="4"/>
        <item h="1" x="5"/>
        <item h="1" x="7"/>
        <item t="default"/>
      </items>
    </pivotField>
    <pivotField name="Total_number_of_ROC" axis="axisRow" showAll="0">
      <items count="195">
        <item x="21"/>
        <item x="18"/>
        <item x="20"/>
        <item x="30"/>
        <item x="33"/>
        <item x="54"/>
        <item x="37"/>
        <item x="31"/>
        <item x="39"/>
        <item x="25"/>
        <item x="49"/>
        <item x="36"/>
        <item x="29"/>
        <item x="23"/>
        <item x="42"/>
        <item x="57"/>
        <item x="44"/>
        <item x="51"/>
        <item x="60"/>
        <item x="61"/>
        <item x="53"/>
        <item x="16"/>
        <item x="26"/>
        <item x="17"/>
        <item x="52"/>
        <item x="9"/>
        <item x="59"/>
        <item x="62"/>
        <item x="56"/>
        <item x="34"/>
        <item x="2"/>
        <item x="28"/>
        <item x="43"/>
        <item x="81"/>
        <item x="41"/>
        <item x="0"/>
        <item x="38"/>
        <item x="40"/>
        <item x="58"/>
        <item x="64"/>
        <item x="65"/>
        <item x="55"/>
        <item x="32"/>
        <item x="19"/>
        <item x="5"/>
        <item x="8"/>
        <item x="50"/>
        <item x="63"/>
        <item x="4"/>
        <item x="123"/>
        <item x="11"/>
        <item x="10"/>
        <item x="13"/>
        <item x="3"/>
        <item x="48"/>
        <item x="1"/>
        <item x="7"/>
        <item x="108"/>
        <item x="14"/>
        <item x="136"/>
        <item x="67"/>
        <item x="68"/>
        <item x="12"/>
        <item x="154"/>
        <item x="46"/>
        <item x="15"/>
        <item x="35"/>
        <item x="144"/>
        <item x="182"/>
        <item x="6"/>
        <item x="131"/>
        <item x="98"/>
        <item x="100"/>
        <item x="47"/>
        <item x="111"/>
        <item x="69"/>
        <item x="101"/>
        <item x="70"/>
        <item x="66"/>
        <item x="112"/>
        <item x="185"/>
        <item x="130"/>
        <item x="45"/>
        <item x="78"/>
        <item x="84"/>
        <item x="179"/>
        <item x="118"/>
        <item x="124"/>
        <item x="163"/>
        <item x="170"/>
        <item x="96"/>
        <item x="166"/>
        <item x="122"/>
        <item x="86"/>
        <item x="90"/>
        <item x="183"/>
        <item x="155"/>
        <item x="92"/>
        <item x="157"/>
        <item x="94"/>
        <item x="129"/>
        <item x="74"/>
        <item x="109"/>
        <item x="133"/>
        <item x="79"/>
        <item x="27"/>
        <item x="132"/>
        <item x="126"/>
        <item x="181"/>
        <item x="85"/>
        <item x="24"/>
        <item x="77"/>
        <item x="22"/>
        <item x="147"/>
        <item x="83"/>
        <item x="99"/>
        <item x="145"/>
        <item x="142"/>
        <item x="121"/>
        <item x="187"/>
        <item x="88"/>
        <item x="148"/>
        <item x="117"/>
        <item x="110"/>
        <item x="95"/>
        <item x="125"/>
        <item x="103"/>
        <item x="176"/>
        <item x="120"/>
        <item x="153"/>
        <item x="141"/>
        <item x="146"/>
        <item x="102"/>
        <item x="128"/>
        <item x="76"/>
        <item x="80"/>
        <item x="119"/>
        <item x="97"/>
        <item x="73"/>
        <item x="137"/>
        <item x="140"/>
        <item x="93"/>
        <item x="116"/>
        <item x="82"/>
        <item x="87"/>
        <item x="91"/>
        <item x="174"/>
        <item x="71"/>
        <item x="139"/>
        <item x="127"/>
        <item x="138"/>
        <item x="150"/>
        <item x="75"/>
        <item x="143"/>
        <item x="156"/>
        <item x="173"/>
        <item x="149"/>
        <item x="152"/>
        <item x="180"/>
        <item x="168"/>
        <item x="89"/>
        <item x="161"/>
        <item x="151"/>
        <item x="160"/>
        <item x="114"/>
        <item x="169"/>
        <item x="113"/>
        <item x="162"/>
        <item x="158"/>
        <item x="115"/>
        <item x="188"/>
        <item x="159"/>
        <item x="72"/>
        <item x="171"/>
        <item x="172"/>
        <item x="164"/>
        <item x="167"/>
        <item x="177"/>
        <item x="189"/>
        <item x="184"/>
        <item x="175"/>
        <item x="186"/>
        <item x="165"/>
        <item x="178"/>
        <item x="192"/>
        <item x="104"/>
        <item x="105"/>
        <item x="106"/>
        <item x="107"/>
        <item x="134"/>
        <item x="135"/>
        <item x="190"/>
        <item x="191"/>
        <item x="193"/>
        <item t="default"/>
      </items>
    </pivotField>
    <pivotField showAll="0"/>
    <pivotField showAll="0"/>
    <pivotField showAll="0"/>
    <pivotField showAll="0"/>
    <pivotField showAll="0"/>
    <pivotField dataField="1" showAll="0"/>
    <pivotField showAll="0"/>
    <pivotField dataField="1"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s>
  <rowFields count="3">
    <field x="7"/>
    <field x="13"/>
    <field x="17"/>
  </rowFields>
  <rowItems count="37">
    <i>
      <x v="1"/>
    </i>
    <i r="1">
      <x/>
    </i>
    <i r="2">
      <x v="73"/>
    </i>
    <i r="1">
      <x v="1"/>
    </i>
    <i r="2">
      <x v="77"/>
    </i>
    <i r="1">
      <x v="2"/>
    </i>
    <i r="2">
      <x v="75"/>
    </i>
    <i r="1">
      <x v="3"/>
    </i>
    <i r="2">
      <x v="108"/>
    </i>
    <i r="1">
      <x v="4"/>
    </i>
    <i r="2">
      <x v="96"/>
    </i>
    <i r="1">
      <x v="5"/>
    </i>
    <i r="2">
      <x v="71"/>
    </i>
    <i r="1">
      <x v="6"/>
    </i>
    <i r="2">
      <x v="95"/>
    </i>
    <i r="1">
      <x v="7"/>
    </i>
    <i r="2">
      <x v="77"/>
    </i>
    <i r="1">
      <x v="8"/>
    </i>
    <i r="2">
      <x v="68"/>
    </i>
    <i r="1">
      <x v="9"/>
    </i>
    <i r="2">
      <x v="80"/>
    </i>
    <i r="1">
      <x v="10"/>
    </i>
    <i r="2">
      <x v="101"/>
    </i>
    <i r="1">
      <x v="11"/>
    </i>
    <i r="2">
      <x v="98"/>
    </i>
    <i>
      <x v="2"/>
    </i>
    <i r="1">
      <x/>
    </i>
    <i r="2">
      <x v="54"/>
    </i>
    <i r="1">
      <x v="1"/>
    </i>
    <i r="2">
      <x v="42"/>
    </i>
    <i r="1">
      <x v="2"/>
    </i>
    <i r="2">
      <x v="61"/>
    </i>
    <i r="1">
      <x v="3"/>
    </i>
    <i r="2">
      <x v="82"/>
    </i>
    <i r="1">
      <x v="4"/>
    </i>
    <i r="2">
      <x v="87"/>
    </i>
    <i t="grand">
      <x/>
    </i>
  </rowItems>
  <colFields count="1">
    <field x="-2"/>
  </colFields>
  <colItems count="4">
    <i>
      <x/>
    </i>
    <i i="1">
      <x v="1"/>
    </i>
    <i i="2">
      <x v="2"/>
    </i>
    <i i="3">
      <x v="3"/>
    </i>
  </colItems>
  <dataFields count="4">
    <dataField name=" CD4_tests" fld="23" baseField="0" baseItem="0"/>
    <dataField name=" LAM_tests" fld="29" baseField="0" baseItem="0"/>
    <dataField name="CrAg-tests" fld="25" baseField="6" baseItem="0"/>
    <dataField name="CD4-cov%" fld="42" baseField="7" baseItem="1" numFmtId="9"/>
  </dataFields>
  <chartFormats count="80">
    <chartFormat chart="65" format="64" series="1">
      <pivotArea type="data" outline="0" fieldPosition="0">
        <references count="1">
          <reference field="4294967294" count="1" selected="0">
            <x v="0"/>
          </reference>
        </references>
      </pivotArea>
    </chartFormat>
    <chartFormat chart="65" format="65" series="1">
      <pivotArea type="data" outline="0" fieldPosition="0">
        <references count="1">
          <reference field="4294967294" count="1" selected="0">
            <x v="1"/>
          </reference>
        </references>
      </pivotArea>
    </chartFormat>
    <chartFormat chart="65" format="66" series="1">
      <pivotArea type="data" outline="0" fieldPosition="0">
        <references count="1">
          <reference field="4294967294" count="1" selected="0">
            <x v="2"/>
          </reference>
        </references>
      </pivotArea>
    </chartFormat>
    <chartFormat chart="66" format="70" series="1">
      <pivotArea type="data" outline="0" fieldPosition="0">
        <references count="1">
          <reference field="4294967294" count="1" selected="0">
            <x v="0"/>
          </reference>
        </references>
      </pivotArea>
    </chartFormat>
    <chartFormat chart="66" format="71" series="1">
      <pivotArea type="data" outline="0" fieldPosition="0">
        <references count="1">
          <reference field="4294967294" count="1" selected="0">
            <x v="1"/>
          </reference>
        </references>
      </pivotArea>
    </chartFormat>
    <chartFormat chart="66" format="72" series="1">
      <pivotArea type="data" outline="0" fieldPosition="0">
        <references count="1">
          <reference field="4294967294" count="1" selected="0">
            <x v="2"/>
          </reference>
        </references>
      </pivotArea>
    </chartFormat>
    <chartFormat chart="91" format="68" series="1">
      <pivotArea type="data" outline="0" fieldPosition="0">
        <references count="1">
          <reference field="4294967294" count="1" selected="0">
            <x v="0"/>
          </reference>
        </references>
      </pivotArea>
    </chartFormat>
    <chartFormat chart="91" format="69" series="1">
      <pivotArea type="data" outline="0" fieldPosition="0">
        <references count="1">
          <reference field="4294967294" count="1" selected="0">
            <x v="1"/>
          </reference>
        </references>
      </pivotArea>
    </chartFormat>
    <chartFormat chart="91" format="70" series="1">
      <pivotArea type="data" outline="0" fieldPosition="0">
        <references count="1">
          <reference field="4294967294" count="1" selected="0">
            <x v="2"/>
          </reference>
        </references>
      </pivotArea>
    </chartFormat>
    <chartFormat chart="92" format="74" series="1">
      <pivotArea type="data" outline="0" fieldPosition="0">
        <references count="1">
          <reference field="4294967294" count="1" selected="0">
            <x v="0"/>
          </reference>
        </references>
      </pivotArea>
    </chartFormat>
    <chartFormat chart="92" format="75" series="1">
      <pivotArea type="data" outline="0" fieldPosition="0">
        <references count="1">
          <reference field="4294967294" count="1" selected="0">
            <x v="1"/>
          </reference>
        </references>
      </pivotArea>
    </chartFormat>
    <chartFormat chart="92" format="76" series="1">
      <pivotArea type="data" outline="0" fieldPosition="0">
        <references count="1">
          <reference field="4294967294" count="1" selected="0">
            <x v="2"/>
          </reference>
        </references>
      </pivotArea>
    </chartFormat>
    <chartFormat chart="115" format="70" series="1">
      <pivotArea type="data" outline="0" fieldPosition="0">
        <references count="1">
          <reference field="4294967294" count="1" selected="0">
            <x v="0"/>
          </reference>
        </references>
      </pivotArea>
    </chartFormat>
    <chartFormat chart="115" format="71" series="1">
      <pivotArea type="data" outline="0" fieldPosition="0">
        <references count="1">
          <reference field="4294967294" count="1" selected="0">
            <x v="1"/>
          </reference>
        </references>
      </pivotArea>
    </chartFormat>
    <chartFormat chart="115" format="72" series="1">
      <pivotArea type="data" outline="0" fieldPosition="0">
        <references count="1">
          <reference field="4294967294" count="1" selected="0">
            <x v="2"/>
          </reference>
        </references>
      </pivotArea>
    </chartFormat>
    <chartFormat chart="116" format="76" series="1">
      <pivotArea type="data" outline="0" fieldPosition="0">
        <references count="1">
          <reference field="4294967294" count="1" selected="0">
            <x v="0"/>
          </reference>
        </references>
      </pivotArea>
    </chartFormat>
    <chartFormat chart="116" format="77" series="1">
      <pivotArea type="data" outline="0" fieldPosition="0">
        <references count="1">
          <reference field="4294967294" count="1" selected="0">
            <x v="1"/>
          </reference>
        </references>
      </pivotArea>
    </chartFormat>
    <chartFormat chart="116" format="78" series="1">
      <pivotArea type="data" outline="0" fieldPosition="0">
        <references count="1">
          <reference field="4294967294" count="1" selected="0">
            <x v="2"/>
          </reference>
        </references>
      </pivotArea>
    </chartFormat>
    <chartFormat chart="117" format="70" series="1">
      <pivotArea type="data" outline="0" fieldPosition="0">
        <references count="1">
          <reference field="4294967294" count="1" selected="0">
            <x v="0"/>
          </reference>
        </references>
      </pivotArea>
    </chartFormat>
    <chartFormat chart="117" format="71" series="1">
      <pivotArea type="data" outline="0" fieldPosition="0">
        <references count="1">
          <reference field="4294967294" count="1" selected="0">
            <x v="1"/>
          </reference>
        </references>
      </pivotArea>
    </chartFormat>
    <chartFormat chart="117" format="72" series="1">
      <pivotArea type="data" outline="0" fieldPosition="0">
        <references count="1">
          <reference field="4294967294" count="1" selected="0">
            <x v="2"/>
          </reference>
        </references>
      </pivotArea>
    </chartFormat>
    <chartFormat chart="118" format="76" series="1">
      <pivotArea type="data" outline="0" fieldPosition="0">
        <references count="1">
          <reference field="4294967294" count="1" selected="0">
            <x v="0"/>
          </reference>
        </references>
      </pivotArea>
    </chartFormat>
    <chartFormat chart="118" format="77" series="1">
      <pivotArea type="data" outline="0" fieldPosition="0">
        <references count="1">
          <reference field="4294967294" count="1" selected="0">
            <x v="1"/>
          </reference>
        </references>
      </pivotArea>
    </chartFormat>
    <chartFormat chart="118" format="78" series="1">
      <pivotArea type="data" outline="0" fieldPosition="0">
        <references count="1">
          <reference field="4294967294" count="1" selected="0">
            <x v="2"/>
          </reference>
        </references>
      </pivotArea>
    </chartFormat>
    <chartFormat chart="119" format="72" series="1">
      <pivotArea type="data" outline="0" fieldPosition="0">
        <references count="1">
          <reference field="4294967294" count="1" selected="0">
            <x v="0"/>
          </reference>
        </references>
      </pivotArea>
    </chartFormat>
    <chartFormat chart="119" format="73" series="1">
      <pivotArea type="data" outline="0" fieldPosition="0">
        <references count="1">
          <reference field="4294967294" count="1" selected="0">
            <x v="1"/>
          </reference>
        </references>
      </pivotArea>
    </chartFormat>
    <chartFormat chart="119" format="74" series="1">
      <pivotArea type="data" outline="0" fieldPosition="0">
        <references count="1">
          <reference field="4294967294" count="1" selected="0">
            <x v="2"/>
          </reference>
        </references>
      </pivotArea>
    </chartFormat>
    <chartFormat chart="120" format="78" series="1">
      <pivotArea type="data" outline="0" fieldPosition="0">
        <references count="1">
          <reference field="4294967294" count="1" selected="0">
            <x v="0"/>
          </reference>
        </references>
      </pivotArea>
    </chartFormat>
    <chartFormat chart="120" format="79" series="1">
      <pivotArea type="data" outline="0" fieldPosition="0">
        <references count="1">
          <reference field="4294967294" count="1" selected="0">
            <x v="1"/>
          </reference>
        </references>
      </pivotArea>
    </chartFormat>
    <chartFormat chart="120" format="80" series="1">
      <pivotArea type="data" outline="0" fieldPosition="0">
        <references count="1">
          <reference field="4294967294" count="1" selected="0">
            <x v="2"/>
          </reference>
        </references>
      </pivotArea>
    </chartFormat>
    <chartFormat chart="169" format="82" series="1">
      <pivotArea type="data" outline="0" fieldPosition="0">
        <references count="1">
          <reference field="4294967294" count="1" selected="0">
            <x v="0"/>
          </reference>
        </references>
      </pivotArea>
    </chartFormat>
    <chartFormat chart="169" format="83" series="1">
      <pivotArea type="data" outline="0" fieldPosition="0">
        <references count="1">
          <reference field="4294967294" count="1" selected="0">
            <x v="1"/>
          </reference>
        </references>
      </pivotArea>
    </chartFormat>
    <chartFormat chart="169" format="84" series="1">
      <pivotArea type="data" outline="0" fieldPosition="0">
        <references count="1">
          <reference field="4294967294" count="1" selected="0">
            <x v="2"/>
          </reference>
        </references>
      </pivotArea>
    </chartFormat>
    <chartFormat chart="170" format="88" series="1">
      <pivotArea type="data" outline="0" fieldPosition="0">
        <references count="1">
          <reference field="4294967294" count="1" selected="0">
            <x v="0"/>
          </reference>
        </references>
      </pivotArea>
    </chartFormat>
    <chartFormat chart="170" format="89" series="1">
      <pivotArea type="data" outline="0" fieldPosition="0">
        <references count="1">
          <reference field="4294967294" count="1" selected="0">
            <x v="1"/>
          </reference>
        </references>
      </pivotArea>
    </chartFormat>
    <chartFormat chart="170" format="90" series="1">
      <pivotArea type="data" outline="0" fieldPosition="0">
        <references count="1">
          <reference field="4294967294" count="1" selected="0">
            <x v="2"/>
          </reference>
        </references>
      </pivotArea>
    </chartFormat>
    <chartFormat chart="174" format="82" series="1">
      <pivotArea type="data" outline="0" fieldPosition="0">
        <references count="1">
          <reference field="4294967294" count="1" selected="0">
            <x v="0"/>
          </reference>
        </references>
      </pivotArea>
    </chartFormat>
    <chartFormat chart="174" format="83" series="1">
      <pivotArea type="data" outline="0" fieldPosition="0">
        <references count="1">
          <reference field="4294967294" count="1" selected="0">
            <x v="1"/>
          </reference>
        </references>
      </pivotArea>
    </chartFormat>
    <chartFormat chart="174" format="84" series="1">
      <pivotArea type="data" outline="0" fieldPosition="0">
        <references count="1">
          <reference field="4294967294" count="1" selected="0">
            <x v="2"/>
          </reference>
        </references>
      </pivotArea>
    </chartFormat>
    <chartFormat chart="175" format="88" series="1">
      <pivotArea type="data" outline="0" fieldPosition="0">
        <references count="1">
          <reference field="4294967294" count="1" selected="0">
            <x v="0"/>
          </reference>
        </references>
      </pivotArea>
    </chartFormat>
    <chartFormat chart="175" format="89" series="1">
      <pivotArea type="data" outline="0" fieldPosition="0">
        <references count="1">
          <reference field="4294967294" count="1" selected="0">
            <x v="1"/>
          </reference>
        </references>
      </pivotArea>
    </chartFormat>
    <chartFormat chart="175" format="90" series="1">
      <pivotArea type="data" outline="0" fieldPosition="0">
        <references count="1">
          <reference field="4294967294" count="1" selected="0">
            <x v="2"/>
          </reference>
        </references>
      </pivotArea>
    </chartFormat>
    <chartFormat chart="7" format="94" series="1">
      <pivotArea type="data" outline="0" fieldPosition="0">
        <references count="1">
          <reference field="4294967294" count="1" selected="0">
            <x v="0"/>
          </reference>
        </references>
      </pivotArea>
    </chartFormat>
    <chartFormat chart="7" format="95" series="1">
      <pivotArea type="data" outline="0" fieldPosition="0">
        <references count="1">
          <reference field="4294967294" count="1" selected="0">
            <x v="1"/>
          </reference>
        </references>
      </pivotArea>
    </chartFormat>
    <chartFormat chart="7" format="96" series="1">
      <pivotArea type="data" outline="0" fieldPosition="0">
        <references count="1">
          <reference field="4294967294" count="1" selected="0">
            <x v="2"/>
          </reference>
        </references>
      </pivotArea>
    </chartFormat>
    <chartFormat chart="186" format="114" series="1">
      <pivotArea type="data" outline="0" fieldPosition="0">
        <references count="1">
          <reference field="4294967294" count="1" selected="0">
            <x v="0"/>
          </reference>
        </references>
      </pivotArea>
    </chartFormat>
    <chartFormat chart="186" format="115" series="1">
      <pivotArea type="data" outline="0" fieldPosition="0">
        <references count="1">
          <reference field="4294967294" count="1" selected="0">
            <x v="1"/>
          </reference>
        </references>
      </pivotArea>
    </chartFormat>
    <chartFormat chart="186" format="116" series="1">
      <pivotArea type="data" outline="0" fieldPosition="0">
        <references count="1">
          <reference field="4294967294" count="1" selected="0">
            <x v="2"/>
          </reference>
        </references>
      </pivotArea>
    </chartFormat>
    <chartFormat chart="187" format="120" series="1">
      <pivotArea type="data" outline="0" fieldPosition="0">
        <references count="1">
          <reference field="4294967294" count="1" selected="0">
            <x v="0"/>
          </reference>
        </references>
      </pivotArea>
    </chartFormat>
    <chartFormat chart="187" format="121" series="1">
      <pivotArea type="data" outline="0" fieldPosition="0">
        <references count="1">
          <reference field="4294967294" count="1" selected="0">
            <x v="1"/>
          </reference>
        </references>
      </pivotArea>
    </chartFormat>
    <chartFormat chart="187" format="122" series="1">
      <pivotArea type="data" outline="0" fieldPosition="0">
        <references count="1">
          <reference field="4294967294" count="1" selected="0">
            <x v="2"/>
          </reference>
        </references>
      </pivotArea>
    </chartFormat>
    <chartFormat chart="203" format="144" series="1">
      <pivotArea type="data" outline="0" fieldPosition="0">
        <references count="1">
          <reference field="4294967294" count="1" selected="0">
            <x v="0"/>
          </reference>
        </references>
      </pivotArea>
    </chartFormat>
    <chartFormat chart="203" format="145" series="1">
      <pivotArea type="data" outline="0" fieldPosition="0">
        <references count="1">
          <reference field="4294967294" count="1" selected="0">
            <x v="1"/>
          </reference>
        </references>
      </pivotArea>
    </chartFormat>
    <chartFormat chart="203" format="146" series="1">
      <pivotArea type="data" outline="0" fieldPosition="0">
        <references count="1">
          <reference field="4294967294" count="1" selected="0">
            <x v="2"/>
          </reference>
        </references>
      </pivotArea>
    </chartFormat>
    <chartFormat chart="211" format="152" series="1">
      <pivotArea type="data" outline="0" fieldPosition="0">
        <references count="1">
          <reference field="4294967294" count="1" selected="0">
            <x v="0"/>
          </reference>
        </references>
      </pivotArea>
    </chartFormat>
    <chartFormat chart="211" format="153" series="1">
      <pivotArea type="data" outline="0" fieldPosition="0">
        <references count="1">
          <reference field="4294967294" count="1" selected="0">
            <x v="1"/>
          </reference>
        </references>
      </pivotArea>
    </chartFormat>
    <chartFormat chart="211" format="154" series="1">
      <pivotArea type="data" outline="0" fieldPosition="0">
        <references count="1">
          <reference field="4294967294" count="1" selected="0">
            <x v="2"/>
          </reference>
        </references>
      </pivotArea>
    </chartFormat>
    <chartFormat chart="212" format="155" series="1">
      <pivotArea type="data" outline="0" fieldPosition="0">
        <references count="1">
          <reference field="4294967294" count="1" selected="0">
            <x v="0"/>
          </reference>
        </references>
      </pivotArea>
    </chartFormat>
    <chartFormat chart="212" format="156" series="1">
      <pivotArea type="data" outline="0" fieldPosition="0">
        <references count="1">
          <reference field="4294967294" count="1" selected="0">
            <x v="1"/>
          </reference>
        </references>
      </pivotArea>
    </chartFormat>
    <chartFormat chart="212" format="157" series="1">
      <pivotArea type="data" outline="0" fieldPosition="0">
        <references count="1">
          <reference field="4294967294" count="1" selected="0">
            <x v="2"/>
          </reference>
        </references>
      </pivotArea>
    </chartFormat>
    <chartFormat chart="213" format="152" series="1">
      <pivotArea type="data" outline="0" fieldPosition="0">
        <references count="1">
          <reference field="4294967294" count="1" selected="0">
            <x v="0"/>
          </reference>
        </references>
      </pivotArea>
    </chartFormat>
    <chartFormat chart="213" format="153" series="1">
      <pivotArea type="data" outline="0" fieldPosition="0">
        <references count="1">
          <reference field="4294967294" count="1" selected="0">
            <x v="1"/>
          </reference>
        </references>
      </pivotArea>
    </chartFormat>
    <chartFormat chart="213" format="154" series="1">
      <pivotArea type="data" outline="0" fieldPosition="0">
        <references count="1">
          <reference field="4294967294" count="1" selected="0">
            <x v="2"/>
          </reference>
        </references>
      </pivotArea>
    </chartFormat>
    <chartFormat chart="214" format="155" series="1">
      <pivotArea type="data" outline="0" fieldPosition="0">
        <references count="1">
          <reference field="4294967294" count="1" selected="0">
            <x v="0"/>
          </reference>
        </references>
      </pivotArea>
    </chartFormat>
    <chartFormat chart="214" format="156" series="1">
      <pivotArea type="data" outline="0" fieldPosition="0">
        <references count="1">
          <reference field="4294967294" count="1" selected="0">
            <x v="1"/>
          </reference>
        </references>
      </pivotArea>
    </chartFormat>
    <chartFormat chart="214" format="157" series="1">
      <pivotArea type="data" outline="0" fieldPosition="0">
        <references count="1">
          <reference field="4294967294" count="1" selected="0">
            <x v="2"/>
          </reference>
        </references>
      </pivotArea>
    </chartFormat>
    <chartFormat chart="7" format="145" series="1">
      <pivotArea type="data" outline="0" fieldPosition="0">
        <references count="1">
          <reference field="4294967294" count="1" selected="0">
            <x v="3"/>
          </reference>
        </references>
      </pivotArea>
    </chartFormat>
    <chartFormat chart="203" format="152" series="1">
      <pivotArea type="data" outline="0" fieldPosition="0">
        <references count="1">
          <reference field="4294967294" count="1" selected="0">
            <x v="3"/>
          </reference>
        </references>
      </pivotArea>
    </chartFormat>
    <chartFormat chart="221" format="150" series="1">
      <pivotArea type="data" outline="0" fieldPosition="0">
        <references count="1">
          <reference field="4294967294" count="1" selected="0">
            <x v="0"/>
          </reference>
        </references>
      </pivotArea>
    </chartFormat>
    <chartFormat chart="221" format="151" series="1">
      <pivotArea type="data" outline="0" fieldPosition="0">
        <references count="1">
          <reference field="4294967294" count="1" selected="0">
            <x v="1"/>
          </reference>
        </references>
      </pivotArea>
    </chartFormat>
    <chartFormat chart="221" format="152" series="1">
      <pivotArea type="data" outline="0" fieldPosition="0">
        <references count="1">
          <reference field="4294967294" count="1" selected="0">
            <x v="2"/>
          </reference>
        </references>
      </pivotArea>
    </chartFormat>
    <chartFormat chart="221" format="153" series="1">
      <pivotArea type="data" outline="0" fieldPosition="0">
        <references count="1">
          <reference field="4294967294" count="1" selected="0">
            <x v="3"/>
          </reference>
        </references>
      </pivotArea>
    </chartFormat>
    <chartFormat chart="242" format="154" series="1">
      <pivotArea type="data" outline="0" fieldPosition="0">
        <references count="1">
          <reference field="4294967294" count="1" selected="0">
            <x v="0"/>
          </reference>
        </references>
      </pivotArea>
    </chartFormat>
    <chartFormat chart="242" format="155" series="1">
      <pivotArea type="data" outline="0" fieldPosition="0">
        <references count="1">
          <reference field="4294967294" count="1" selected="0">
            <x v="1"/>
          </reference>
        </references>
      </pivotArea>
    </chartFormat>
    <chartFormat chart="242" format="156" series="1">
      <pivotArea type="data" outline="0" fieldPosition="0">
        <references count="1">
          <reference field="4294967294" count="1" selected="0">
            <x v="2"/>
          </reference>
        </references>
      </pivotArea>
    </chartFormat>
    <chartFormat chart="242" format="157" series="1">
      <pivotArea type="data" outline="0" fieldPosition="0">
        <references count="1">
          <reference field="4294967294" count="1" selected="0">
            <x v="3"/>
          </reference>
        </references>
      </pivotArea>
    </chartFormat>
    <chartFormat chart="243" format="158" series="1">
      <pivotArea type="data" outline="0" fieldPosition="0">
        <references count="1">
          <reference field="4294967294" count="1" selected="0">
            <x v="0"/>
          </reference>
        </references>
      </pivotArea>
    </chartFormat>
    <chartFormat chart="243" format="159" series="1">
      <pivotArea type="data" outline="0" fieldPosition="0">
        <references count="1">
          <reference field="4294967294" count="1" selected="0">
            <x v="1"/>
          </reference>
        </references>
      </pivotArea>
    </chartFormat>
    <chartFormat chart="243" format="160" series="1">
      <pivotArea type="data" outline="0" fieldPosition="0">
        <references count="1">
          <reference field="4294967294" count="1" selected="0">
            <x v="2"/>
          </reference>
        </references>
      </pivotArea>
    </chartFormat>
    <chartFormat chart="243" format="16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0.xml><?xml version="1.0" encoding="utf-8"?>
<pivotTableDefinition xmlns="http://schemas.openxmlformats.org/spreadsheetml/2006/main" xmlns:mc="http://schemas.openxmlformats.org/markup-compatibility/2006" xmlns:xr="http://schemas.microsoft.com/office/spreadsheetml/2014/revision" mc:Ignorable="xr" xr:uid="{BC6BDBC1-2FEE-498D-90E1-543093B41F6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0">
  <location ref="H5:K25" firstHeaderRow="0" firstDataRow="1" firstDataCol="1"/>
  <pivotFields count="44">
    <pivotField showAll="0"/>
    <pivotField showAll="0"/>
    <pivotField showAll="0"/>
    <pivotField showAll="0"/>
    <pivotField showAll="0"/>
    <pivotField showAll="0">
      <items count="16">
        <item h="1" x="0"/>
        <item h="1" x="1"/>
        <item h="1" x="2"/>
        <item h="1" x="3"/>
        <item h="1" x="4"/>
        <item h="1" x="5"/>
        <item h="1" x="6"/>
        <item h="1" x="7"/>
        <item h="1" x="8"/>
        <item h="1" x="9"/>
        <item h="1" x="10"/>
        <item h="1" x="11"/>
        <item h="1" x="12"/>
        <item x="13"/>
        <item h="1" x="14"/>
        <item t="default"/>
      </items>
    </pivotField>
    <pivotField showAll="0"/>
    <pivotField axis="axisRow" showAll="0">
      <items count="5">
        <item h="1" x="0"/>
        <item x="1"/>
        <item h="1" x="3"/>
        <item x="2"/>
        <item t="default"/>
      </items>
    </pivotField>
    <pivotField showAll="0"/>
    <pivotField showAll="0"/>
    <pivotField showAll="0"/>
    <pivotField showAll="0"/>
    <pivotField showAll="0"/>
    <pivotField axis="axisRow" showAll="0">
      <items count="15">
        <item x="4"/>
        <item x="5"/>
        <item x="3"/>
        <item x="7"/>
        <item x="6"/>
        <item x="8"/>
        <item x="9"/>
        <item x="10"/>
        <item x="2"/>
        <item x="0"/>
        <item x="1"/>
        <item x="11"/>
        <item x="12"/>
        <item x="13"/>
        <item t="default"/>
      </items>
    </pivotField>
    <pivotField showAll="0"/>
    <pivotField showAll="0"/>
    <pivotField showAll="0">
      <items count="10">
        <item h="1" m="1" x="8"/>
        <item h="1" x="0"/>
        <item h="1" x="2"/>
        <item h="1" x="3"/>
        <item h="1" x="6"/>
        <item x="1"/>
        <item h="1" x="4"/>
        <item h="1" x="5"/>
        <item h="1" x="7"/>
        <item t="default"/>
      </items>
    </pivotField>
    <pivotField name="Total_number_of_ROC"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dragToRow="0" dragToCol="0" dragToPage="0" showAll="0" defaultSubtotal="0"/>
    <pivotField dataField="1"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s>
  <rowFields count="2">
    <field x="7"/>
    <field x="13"/>
  </rowFields>
  <rowItems count="20">
    <i>
      <x v="1"/>
    </i>
    <i r="1">
      <x/>
    </i>
    <i r="1">
      <x v="1"/>
    </i>
    <i r="1">
      <x v="2"/>
    </i>
    <i r="1">
      <x v="3"/>
    </i>
    <i r="1">
      <x v="4"/>
    </i>
    <i r="1">
      <x v="5"/>
    </i>
    <i r="1">
      <x v="6"/>
    </i>
    <i r="1">
      <x v="7"/>
    </i>
    <i r="1">
      <x v="8"/>
    </i>
    <i r="1">
      <x v="9"/>
    </i>
    <i r="1">
      <x v="10"/>
    </i>
    <i r="1">
      <x v="11"/>
    </i>
    <i>
      <x v="3"/>
    </i>
    <i r="1">
      <x/>
    </i>
    <i r="1">
      <x v="1"/>
    </i>
    <i r="1">
      <x v="2"/>
    </i>
    <i r="1">
      <x v="3"/>
    </i>
    <i r="1">
      <x v="4"/>
    </i>
    <i t="grand">
      <x/>
    </i>
  </rowItems>
  <colFields count="1">
    <field x="-2"/>
  </colFields>
  <colItems count="3">
    <i>
      <x/>
    </i>
    <i i="1">
      <x v="1"/>
    </i>
    <i i="2">
      <x v="2"/>
    </i>
  </colItems>
  <dataFields count="3">
    <dataField name=" CD4&lt;200%" fld="39" baseField="6" baseItem="0"/>
    <dataField name=" LAM+%" fld="41" baseField="6" baseItem="0"/>
    <dataField name=" CrAg+%" fld="40" baseField="6" baseItem="0"/>
  </dataFields>
  <formats count="3">
    <format dxfId="13">
      <pivotArea collapsedLevelsAreSubtotals="1" fieldPosition="0">
        <references count="1">
          <reference field="7" count="1">
            <x v="0"/>
          </reference>
        </references>
      </pivotArea>
    </format>
    <format dxfId="12">
      <pivotArea collapsedLevelsAreSubtotals="1" fieldPosition="0">
        <references count="1">
          <reference field="7" count="1">
            <x v="1"/>
          </reference>
        </references>
      </pivotArea>
    </format>
    <format dxfId="11">
      <pivotArea grandRow="1" outline="0" collapsedLevelsAreSubtotals="1" fieldPosition="0"/>
    </format>
  </formats>
  <chartFormats count="75">
    <chartFormat chart="90" format="12" series="1">
      <pivotArea type="data" outline="0" fieldPosition="0">
        <references count="1">
          <reference field="4294967294" count="1" selected="0">
            <x v="0"/>
          </reference>
        </references>
      </pivotArea>
    </chartFormat>
    <chartFormat chart="90" format="13" series="1">
      <pivotArea type="data" outline="0" fieldPosition="0">
        <references count="1">
          <reference field="4294967294" count="1" selected="0">
            <x v="1"/>
          </reference>
        </references>
      </pivotArea>
    </chartFormat>
    <chartFormat chart="90" format="20" series="1">
      <pivotArea type="data" outline="0" fieldPosition="0">
        <references count="1">
          <reference field="4294967294" count="1" selected="0">
            <x v="2"/>
          </reference>
        </references>
      </pivotArea>
    </chartFormat>
    <chartFormat chart="91" format="21" series="1">
      <pivotArea type="data" outline="0" fieldPosition="0">
        <references count="1">
          <reference field="4294967294" count="1" selected="0">
            <x v="0"/>
          </reference>
        </references>
      </pivotArea>
    </chartFormat>
    <chartFormat chart="91" format="22" series="1">
      <pivotArea type="data" outline="0" fieldPosition="0">
        <references count="1">
          <reference field="4294967294" count="1" selected="0">
            <x v="1"/>
          </reference>
        </references>
      </pivotArea>
    </chartFormat>
    <chartFormat chart="91" format="29" series="1">
      <pivotArea type="data" outline="0" fieldPosition="0">
        <references count="1">
          <reference field="4294967294" count="1" selected="0">
            <x v="2"/>
          </reference>
        </references>
      </pivotArea>
    </chartFormat>
    <chartFormat chart="92" format="12" series="1">
      <pivotArea type="data" outline="0" fieldPosition="0">
        <references count="1">
          <reference field="4294967294" count="1" selected="0">
            <x v="0"/>
          </reference>
        </references>
      </pivotArea>
    </chartFormat>
    <chartFormat chart="92" format="13" series="1">
      <pivotArea type="data" outline="0" fieldPosition="0">
        <references count="1">
          <reference field="4294967294" count="1" selected="0">
            <x v="1"/>
          </reference>
        </references>
      </pivotArea>
    </chartFormat>
    <chartFormat chart="92" format="20" series="1">
      <pivotArea type="data" outline="0" fieldPosition="0">
        <references count="1">
          <reference field="4294967294" count="1" selected="0">
            <x v="2"/>
          </reference>
        </references>
      </pivotArea>
    </chartFormat>
    <chartFormat chart="93" format="21" series="1">
      <pivotArea type="data" outline="0" fieldPosition="0">
        <references count="1">
          <reference field="4294967294" count="1" selected="0">
            <x v="0"/>
          </reference>
        </references>
      </pivotArea>
    </chartFormat>
    <chartFormat chart="93" format="22" series="1">
      <pivotArea type="data" outline="0" fieldPosition="0">
        <references count="1">
          <reference field="4294967294" count="1" selected="0">
            <x v="1"/>
          </reference>
        </references>
      </pivotArea>
    </chartFormat>
    <chartFormat chart="93" format="29" series="1">
      <pivotArea type="data" outline="0" fieldPosition="0">
        <references count="1">
          <reference field="4294967294" count="1" selected="0">
            <x v="2"/>
          </reference>
        </references>
      </pivotArea>
    </chartFormat>
    <chartFormat chart="133" format="12" series="1">
      <pivotArea type="data" outline="0" fieldPosition="0">
        <references count="1">
          <reference field="4294967294" count="1" selected="0">
            <x v="0"/>
          </reference>
        </references>
      </pivotArea>
    </chartFormat>
    <chartFormat chart="133" format="13" series="1">
      <pivotArea type="data" outline="0" fieldPosition="0">
        <references count="1">
          <reference field="4294967294" count="1" selected="0">
            <x v="1"/>
          </reference>
        </references>
      </pivotArea>
    </chartFormat>
    <chartFormat chart="133" format="20" series="1">
      <pivotArea type="data" outline="0" fieldPosition="0">
        <references count="1">
          <reference field="4294967294" count="1" selected="0">
            <x v="2"/>
          </reference>
        </references>
      </pivotArea>
    </chartFormat>
    <chartFormat chart="134" format="21" series="1">
      <pivotArea type="data" outline="0" fieldPosition="0">
        <references count="1">
          <reference field="4294967294" count="1" selected="0">
            <x v="0"/>
          </reference>
        </references>
      </pivotArea>
    </chartFormat>
    <chartFormat chart="134" format="22" series="1">
      <pivotArea type="data" outline="0" fieldPosition="0">
        <references count="1">
          <reference field="4294967294" count="1" selected="0">
            <x v="1"/>
          </reference>
        </references>
      </pivotArea>
    </chartFormat>
    <chartFormat chart="134" format="29" series="1">
      <pivotArea type="data" outline="0" fieldPosition="0">
        <references count="1">
          <reference field="4294967294" count="1" selected="0">
            <x v="2"/>
          </reference>
        </references>
      </pivotArea>
    </chartFormat>
    <chartFormat chart="140" format="12" series="1">
      <pivotArea type="data" outline="0" fieldPosition="0">
        <references count="1">
          <reference field="4294967294" count="1" selected="0">
            <x v="0"/>
          </reference>
        </references>
      </pivotArea>
    </chartFormat>
    <chartFormat chart="140" format="13" series="1">
      <pivotArea type="data" outline="0" fieldPosition="0">
        <references count="1">
          <reference field="4294967294" count="1" selected="0">
            <x v="1"/>
          </reference>
        </references>
      </pivotArea>
    </chartFormat>
    <chartFormat chart="140" format="20" series="1">
      <pivotArea type="data" outline="0" fieldPosition="0">
        <references count="1">
          <reference field="4294967294" count="1" selected="0">
            <x v="2"/>
          </reference>
        </references>
      </pivotArea>
    </chartFormat>
    <chartFormat chart="141" format="21" series="1">
      <pivotArea type="data" outline="0" fieldPosition="0">
        <references count="1">
          <reference field="4294967294" count="1" selected="0">
            <x v="0"/>
          </reference>
        </references>
      </pivotArea>
    </chartFormat>
    <chartFormat chart="141" format="22" series="1">
      <pivotArea type="data" outline="0" fieldPosition="0">
        <references count="1">
          <reference field="4294967294" count="1" selected="0">
            <x v="1"/>
          </reference>
        </references>
      </pivotArea>
    </chartFormat>
    <chartFormat chart="141" format="29" series="1">
      <pivotArea type="data" outline="0" fieldPosition="0">
        <references count="1">
          <reference field="4294967294" count="1" selected="0">
            <x v="2"/>
          </reference>
        </references>
      </pivotArea>
    </chartFormat>
    <chartFormat chart="13" format="30" series="1">
      <pivotArea type="data" outline="0" fieldPosition="0">
        <references count="1">
          <reference field="4294967294" count="1" selected="0">
            <x v="0"/>
          </reference>
        </references>
      </pivotArea>
    </chartFormat>
    <chartFormat chart="13" format="31" series="1">
      <pivotArea type="data" outline="0" fieldPosition="0">
        <references count="1">
          <reference field="4294967294" count="1" selected="0">
            <x v="1"/>
          </reference>
        </references>
      </pivotArea>
    </chartFormat>
    <chartFormat chart="13" format="38" series="1">
      <pivotArea type="data" outline="0" fieldPosition="0">
        <references count="1">
          <reference field="4294967294" count="1" selected="0">
            <x v="2"/>
          </reference>
        </references>
      </pivotArea>
    </chartFormat>
    <chartFormat chart="173" format="75" series="1">
      <pivotArea type="data" outline="0" fieldPosition="0">
        <references count="1">
          <reference field="4294967294" count="1" selected="0">
            <x v="0"/>
          </reference>
        </references>
      </pivotArea>
    </chartFormat>
    <chartFormat chart="173" format="76" series="1">
      <pivotArea type="data" outline="0" fieldPosition="0">
        <references count="1">
          <reference field="4294967294" count="1" selected="0">
            <x v="1"/>
          </reference>
        </references>
      </pivotArea>
    </chartFormat>
    <chartFormat chart="173" format="83" series="1">
      <pivotArea type="data" outline="0" fieldPosition="0">
        <references count="1">
          <reference field="4294967294" count="1" selected="0">
            <x v="2"/>
          </reference>
        </references>
      </pivotArea>
    </chartFormat>
    <chartFormat chart="174" format="84" series="1">
      <pivotArea type="data" outline="0" fieldPosition="0">
        <references count="1">
          <reference field="4294967294" count="1" selected="0">
            <x v="0"/>
          </reference>
        </references>
      </pivotArea>
    </chartFormat>
    <chartFormat chart="174" format="85" series="1">
      <pivotArea type="data" outline="0" fieldPosition="0">
        <references count="1">
          <reference field="4294967294" count="1" selected="0">
            <x v="1"/>
          </reference>
        </references>
      </pivotArea>
    </chartFormat>
    <chartFormat chart="174" format="92" series="1">
      <pivotArea type="data" outline="0" fieldPosition="0">
        <references count="1">
          <reference field="4294967294" count="1" selected="0">
            <x v="2"/>
          </reference>
        </references>
      </pivotArea>
    </chartFormat>
    <chartFormat chart="175" format="75" series="1">
      <pivotArea type="data" outline="0" fieldPosition="0">
        <references count="1">
          <reference field="4294967294" count="1" selected="0">
            <x v="0"/>
          </reference>
        </references>
      </pivotArea>
    </chartFormat>
    <chartFormat chart="175" format="76" series="1">
      <pivotArea type="data" outline="0" fieldPosition="0">
        <references count="1">
          <reference field="4294967294" count="1" selected="0">
            <x v="1"/>
          </reference>
        </references>
      </pivotArea>
    </chartFormat>
    <chartFormat chart="175" format="83" series="1">
      <pivotArea type="data" outline="0" fieldPosition="0">
        <references count="1">
          <reference field="4294967294" count="1" selected="0">
            <x v="2"/>
          </reference>
        </references>
      </pivotArea>
    </chartFormat>
    <chartFormat chart="176" format="84" series="1">
      <pivotArea type="data" outline="0" fieldPosition="0">
        <references count="1">
          <reference field="4294967294" count="1" selected="0">
            <x v="0"/>
          </reference>
        </references>
      </pivotArea>
    </chartFormat>
    <chartFormat chart="176" format="85" series="1">
      <pivotArea type="data" outline="0" fieldPosition="0">
        <references count="1">
          <reference field="4294967294" count="1" selected="0">
            <x v="1"/>
          </reference>
        </references>
      </pivotArea>
    </chartFormat>
    <chartFormat chart="176" format="92" series="1">
      <pivotArea type="data" outline="0" fieldPosition="0">
        <references count="1">
          <reference field="4294967294" count="1" selected="0">
            <x v="2"/>
          </reference>
        </references>
      </pivotArea>
    </chartFormat>
    <chartFormat chart="177" format="75" series="1">
      <pivotArea type="data" outline="0" fieldPosition="0">
        <references count="1">
          <reference field="4294967294" count="1" selected="0">
            <x v="0"/>
          </reference>
        </references>
      </pivotArea>
    </chartFormat>
    <chartFormat chart="177" format="76" series="1">
      <pivotArea type="data" outline="0" fieldPosition="0">
        <references count="1">
          <reference field="4294967294" count="1" selected="0">
            <x v="1"/>
          </reference>
        </references>
      </pivotArea>
    </chartFormat>
    <chartFormat chart="177" format="83" series="1">
      <pivotArea type="data" outline="0" fieldPosition="0">
        <references count="1">
          <reference field="4294967294" count="1" selected="0">
            <x v="2"/>
          </reference>
        </references>
      </pivotArea>
    </chartFormat>
    <chartFormat chart="178" format="84" series="1">
      <pivotArea type="data" outline="0" fieldPosition="0">
        <references count="1">
          <reference field="4294967294" count="1" selected="0">
            <x v="0"/>
          </reference>
        </references>
      </pivotArea>
    </chartFormat>
    <chartFormat chart="178" format="85" series="1">
      <pivotArea type="data" outline="0" fieldPosition="0">
        <references count="1">
          <reference field="4294967294" count="1" selected="0">
            <x v="1"/>
          </reference>
        </references>
      </pivotArea>
    </chartFormat>
    <chartFormat chart="178" format="92" series="1">
      <pivotArea type="data" outline="0" fieldPosition="0">
        <references count="1">
          <reference field="4294967294" count="1" selected="0">
            <x v="2"/>
          </reference>
        </references>
      </pivotArea>
    </chartFormat>
    <chartFormat chart="179" format="75" series="1">
      <pivotArea type="data" outline="0" fieldPosition="0">
        <references count="1">
          <reference field="4294967294" count="1" selected="0">
            <x v="0"/>
          </reference>
        </references>
      </pivotArea>
    </chartFormat>
    <chartFormat chart="179" format="76" series="1">
      <pivotArea type="data" outline="0" fieldPosition="0">
        <references count="1">
          <reference field="4294967294" count="1" selected="0">
            <x v="1"/>
          </reference>
        </references>
      </pivotArea>
    </chartFormat>
    <chartFormat chart="179" format="83" series="1">
      <pivotArea type="data" outline="0" fieldPosition="0">
        <references count="1">
          <reference field="4294967294" count="1" selected="0">
            <x v="2"/>
          </reference>
        </references>
      </pivotArea>
    </chartFormat>
    <chartFormat chart="180" format="84" series="1">
      <pivotArea type="data" outline="0" fieldPosition="0">
        <references count="1">
          <reference field="4294967294" count="1" selected="0">
            <x v="0"/>
          </reference>
        </references>
      </pivotArea>
    </chartFormat>
    <chartFormat chart="180" format="85" series="1">
      <pivotArea type="data" outline="0" fieldPosition="0">
        <references count="1">
          <reference field="4294967294" count="1" selected="0">
            <x v="1"/>
          </reference>
        </references>
      </pivotArea>
    </chartFormat>
    <chartFormat chart="180" format="92" series="1">
      <pivotArea type="data" outline="0" fieldPosition="0">
        <references count="1">
          <reference field="4294967294" count="1" selected="0">
            <x v="2"/>
          </reference>
        </references>
      </pivotArea>
    </chartFormat>
    <chartFormat chart="183" format="75" series="1">
      <pivotArea type="data" outline="0" fieldPosition="0">
        <references count="1">
          <reference field="4294967294" count="1" selected="0">
            <x v="0"/>
          </reference>
        </references>
      </pivotArea>
    </chartFormat>
    <chartFormat chart="183" format="76" series="1">
      <pivotArea type="data" outline="0" fieldPosition="0">
        <references count="1">
          <reference field="4294967294" count="1" selected="0">
            <x v="1"/>
          </reference>
        </references>
      </pivotArea>
    </chartFormat>
    <chartFormat chart="183" format="83" series="1">
      <pivotArea type="data" outline="0" fieldPosition="0">
        <references count="1">
          <reference field="4294967294" count="1" selected="0">
            <x v="2"/>
          </reference>
        </references>
      </pivotArea>
    </chartFormat>
    <chartFormat chart="184" format="84" series="1">
      <pivotArea type="data" outline="0" fieldPosition="0">
        <references count="1">
          <reference field="4294967294" count="1" selected="0">
            <x v="0"/>
          </reference>
        </references>
      </pivotArea>
    </chartFormat>
    <chartFormat chart="184" format="85" series="1">
      <pivotArea type="data" outline="0" fieldPosition="0">
        <references count="1">
          <reference field="4294967294" count="1" selected="0">
            <x v="1"/>
          </reference>
        </references>
      </pivotArea>
    </chartFormat>
    <chartFormat chart="184" format="92" series="1">
      <pivotArea type="data" outline="0" fieldPosition="0">
        <references count="1">
          <reference field="4294967294" count="1" selected="0">
            <x v="2"/>
          </reference>
        </references>
      </pivotArea>
    </chartFormat>
    <chartFormat chart="169" format="75" series="1">
      <pivotArea type="data" outline="0" fieldPosition="0">
        <references count="1">
          <reference field="4294967294" count="1" selected="0">
            <x v="0"/>
          </reference>
        </references>
      </pivotArea>
    </chartFormat>
    <chartFormat chart="169" format="76" series="1">
      <pivotArea type="data" outline="0" fieldPosition="0">
        <references count="1">
          <reference field="4294967294" count="1" selected="0">
            <x v="1"/>
          </reference>
        </references>
      </pivotArea>
    </chartFormat>
    <chartFormat chart="169" format="83" series="1">
      <pivotArea type="data" outline="0" fieldPosition="0">
        <references count="1">
          <reference field="4294967294" count="1" selected="0">
            <x v="2"/>
          </reference>
        </references>
      </pivotArea>
    </chartFormat>
    <chartFormat chart="169" format="86">
      <pivotArea type="data" outline="0" fieldPosition="0">
        <references count="3">
          <reference field="4294967294" count="1" selected="0">
            <x v="1"/>
          </reference>
          <reference field="7" count="1" selected="0">
            <x v="1"/>
          </reference>
          <reference field="13" count="1" selected="0">
            <x v="0"/>
          </reference>
        </references>
      </pivotArea>
    </chartFormat>
    <chartFormat chart="169" format="87">
      <pivotArea type="data" outline="0" fieldPosition="0">
        <references count="3">
          <reference field="4294967294" count="1" selected="0">
            <x v="1"/>
          </reference>
          <reference field="7" count="1" selected="0">
            <x v="1"/>
          </reference>
          <reference field="13" count="1" selected="0">
            <x v="1"/>
          </reference>
        </references>
      </pivotArea>
    </chartFormat>
    <chartFormat chart="169" format="88">
      <pivotArea type="data" outline="0" fieldPosition="0">
        <references count="3">
          <reference field="4294967294" count="1" selected="0">
            <x v="1"/>
          </reference>
          <reference field="7" count="1" selected="0">
            <x v="1"/>
          </reference>
          <reference field="13" count="1" selected="0">
            <x v="2"/>
          </reference>
        </references>
      </pivotArea>
    </chartFormat>
    <chartFormat chart="169" format="89">
      <pivotArea type="data" outline="0" fieldPosition="0">
        <references count="3">
          <reference field="4294967294" count="1" selected="0">
            <x v="1"/>
          </reference>
          <reference field="7" count="1" selected="0">
            <x v="1"/>
          </reference>
          <reference field="13" count="1" selected="0">
            <x v="3"/>
          </reference>
        </references>
      </pivotArea>
    </chartFormat>
    <chartFormat chart="169" format="90">
      <pivotArea type="data" outline="0" fieldPosition="0">
        <references count="3">
          <reference field="4294967294" count="1" selected="0">
            <x v="1"/>
          </reference>
          <reference field="7" count="1" selected="0">
            <x v="1"/>
          </reference>
          <reference field="13" count="1" selected="0">
            <x v="4"/>
          </reference>
        </references>
      </pivotArea>
    </chartFormat>
    <chartFormat chart="169" format="91">
      <pivotArea type="data" outline="0" fieldPosition="0">
        <references count="3">
          <reference field="4294967294" count="1" selected="0">
            <x v="1"/>
          </reference>
          <reference field="7" count="1" selected="0">
            <x v="1"/>
          </reference>
          <reference field="13" count="1" selected="0">
            <x v="5"/>
          </reference>
        </references>
      </pivotArea>
    </chartFormat>
    <chartFormat chart="13" format="42">
      <pivotArea type="data" outline="0" fieldPosition="0">
        <references count="3">
          <reference field="4294967294" count="1" selected="0">
            <x v="1"/>
          </reference>
          <reference field="7" count="1" selected="0">
            <x v="1"/>
          </reference>
          <reference field="13" count="1" selected="0">
            <x v="0"/>
          </reference>
        </references>
      </pivotArea>
    </chartFormat>
    <chartFormat chart="13" format="43">
      <pivotArea type="data" outline="0" fieldPosition="0">
        <references count="3">
          <reference field="4294967294" count="1" selected="0">
            <x v="1"/>
          </reference>
          <reference field="7" count="1" selected="0">
            <x v="1"/>
          </reference>
          <reference field="13" count="1" selected="0">
            <x v="1"/>
          </reference>
        </references>
      </pivotArea>
    </chartFormat>
    <chartFormat chart="13" format="44">
      <pivotArea type="data" outline="0" fieldPosition="0">
        <references count="3">
          <reference field="4294967294" count="1" selected="0">
            <x v="1"/>
          </reference>
          <reference field="7" count="1" selected="0">
            <x v="1"/>
          </reference>
          <reference field="13" count="1" selected="0">
            <x v="2"/>
          </reference>
        </references>
      </pivotArea>
    </chartFormat>
    <chartFormat chart="13" format="45">
      <pivotArea type="data" outline="0" fieldPosition="0">
        <references count="3">
          <reference field="4294967294" count="1" selected="0">
            <x v="1"/>
          </reference>
          <reference field="7" count="1" selected="0">
            <x v="1"/>
          </reference>
          <reference field="13" count="1" selected="0">
            <x v="3"/>
          </reference>
        </references>
      </pivotArea>
    </chartFormat>
    <chartFormat chart="13" format="46">
      <pivotArea type="data" outline="0" fieldPosition="0">
        <references count="3">
          <reference field="4294967294" count="1" selected="0">
            <x v="1"/>
          </reference>
          <reference field="7" count="1" selected="0">
            <x v="1"/>
          </reference>
          <reference field="13" count="1" selected="0">
            <x v="4"/>
          </reference>
        </references>
      </pivotArea>
    </chartFormat>
    <chartFormat chart="13" format="47">
      <pivotArea type="data" outline="0" fieldPosition="0">
        <references count="3">
          <reference field="4294967294" count="1" selected="0">
            <x v="1"/>
          </reference>
          <reference field="7" count="1" selected="0">
            <x v="1"/>
          </reference>
          <reference field="13" count="1" selected="0">
            <x v="5"/>
          </reference>
        </references>
      </pivotArea>
    </chartFormat>
    <chartFormat chart="13" format="48">
      <pivotArea type="data" outline="0" fieldPosition="0">
        <references count="3">
          <reference field="4294967294" count="1" selected="0">
            <x v="1"/>
          </reference>
          <reference field="7" count="1" selected="0">
            <x v="3"/>
          </reference>
          <reference field="13" count="1" selected="0">
            <x v="2"/>
          </reference>
        </references>
      </pivotArea>
    </chartFormat>
    <chartFormat chart="13" format="49">
      <pivotArea type="data" outline="0" fieldPosition="0">
        <references count="3">
          <reference field="4294967294" count="1" selected="0">
            <x v="1"/>
          </reference>
          <reference field="7" count="1" selected="0">
            <x v="3"/>
          </reference>
          <reference field="13" count="1" selected="0">
            <x v="0"/>
          </reference>
        </references>
      </pivotArea>
    </chartFormat>
    <chartFormat chart="13" format="50">
      <pivotArea type="data" outline="0" fieldPosition="0">
        <references count="3">
          <reference field="4294967294" count="1" selected="0">
            <x v="1"/>
          </reference>
          <reference field="7" count="1" selected="0">
            <x v="3"/>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1.xml><?xml version="1.0" encoding="utf-8"?>
<pivotTableDefinition xmlns="http://schemas.openxmlformats.org/spreadsheetml/2006/main" xmlns:mc="http://schemas.openxmlformats.org/markup-compatibility/2006" xmlns:xr="http://schemas.microsoft.com/office/spreadsheetml/2014/revision" mc:Ignorable="xr" xr:uid="{2106427A-6A23-481B-8B2D-9C059354018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1">
  <location ref="A5:E44" firstHeaderRow="0" firstDataRow="1" firstDataCol="1"/>
  <pivotFields count="44">
    <pivotField showAll="0"/>
    <pivotField showAll="0"/>
    <pivotField showAll="0"/>
    <pivotField showAll="0"/>
    <pivotField showAll="0"/>
    <pivotField showAll="0">
      <items count="16">
        <item h="1" x="0"/>
        <item h="1" x="1"/>
        <item h="1" x="2"/>
        <item h="1" x="3"/>
        <item h="1" x="4"/>
        <item h="1" x="5"/>
        <item h="1" x="6"/>
        <item h="1" x="7"/>
        <item h="1" x="8"/>
        <item h="1" x="9"/>
        <item h="1" x="10"/>
        <item h="1" x="11"/>
        <item h="1" x="12"/>
        <item x="13"/>
        <item h="1" x="14"/>
        <item t="default"/>
      </items>
    </pivotField>
    <pivotField showAll="0"/>
    <pivotField axis="axisRow" showAll="0">
      <items count="5">
        <item h="1" x="0"/>
        <item x="1"/>
        <item h="1" x="3"/>
        <item x="2"/>
        <item t="default"/>
      </items>
    </pivotField>
    <pivotField showAll="0"/>
    <pivotField showAll="0"/>
    <pivotField showAll="0"/>
    <pivotField showAll="0"/>
    <pivotField showAll="0"/>
    <pivotField axis="axisRow" showAll="0">
      <items count="15">
        <item x="4"/>
        <item x="5"/>
        <item x="3"/>
        <item x="7"/>
        <item x="6"/>
        <item x="8"/>
        <item x="9"/>
        <item x="10"/>
        <item x="2"/>
        <item x="0"/>
        <item x="1"/>
        <item x="11"/>
        <item x="12"/>
        <item x="13"/>
        <item t="default"/>
      </items>
    </pivotField>
    <pivotField showAll="0"/>
    <pivotField showAll="0"/>
    <pivotField showAll="0">
      <items count="10">
        <item h="1" m="1" x="8"/>
        <item h="1" x="0"/>
        <item h="1" x="2"/>
        <item h="1" x="3"/>
        <item x="6"/>
        <item h="1" x="1"/>
        <item h="1" x="4"/>
        <item h="1" x="5"/>
        <item h="1" x="7"/>
        <item t="default"/>
      </items>
    </pivotField>
    <pivotField name="Total_number_of_ROC" axis="axisRow" showAll="0">
      <items count="195">
        <item x="21"/>
        <item x="18"/>
        <item x="20"/>
        <item x="30"/>
        <item x="33"/>
        <item x="54"/>
        <item x="37"/>
        <item x="31"/>
        <item x="39"/>
        <item x="25"/>
        <item x="49"/>
        <item x="36"/>
        <item x="29"/>
        <item x="23"/>
        <item x="42"/>
        <item x="57"/>
        <item x="44"/>
        <item x="51"/>
        <item x="60"/>
        <item x="61"/>
        <item x="53"/>
        <item x="16"/>
        <item x="26"/>
        <item x="17"/>
        <item x="52"/>
        <item x="9"/>
        <item x="59"/>
        <item x="62"/>
        <item x="56"/>
        <item x="34"/>
        <item x="2"/>
        <item x="28"/>
        <item x="43"/>
        <item x="81"/>
        <item x="41"/>
        <item x="0"/>
        <item x="38"/>
        <item x="40"/>
        <item x="58"/>
        <item x="64"/>
        <item x="65"/>
        <item x="55"/>
        <item x="32"/>
        <item x="19"/>
        <item x="5"/>
        <item x="8"/>
        <item x="50"/>
        <item x="63"/>
        <item x="4"/>
        <item x="123"/>
        <item x="11"/>
        <item x="10"/>
        <item x="13"/>
        <item x="3"/>
        <item x="48"/>
        <item x="1"/>
        <item x="7"/>
        <item x="108"/>
        <item x="14"/>
        <item x="136"/>
        <item x="67"/>
        <item x="68"/>
        <item x="12"/>
        <item x="154"/>
        <item x="46"/>
        <item x="15"/>
        <item x="35"/>
        <item x="144"/>
        <item x="182"/>
        <item x="6"/>
        <item x="131"/>
        <item x="98"/>
        <item x="100"/>
        <item x="47"/>
        <item x="111"/>
        <item x="69"/>
        <item x="101"/>
        <item x="70"/>
        <item x="66"/>
        <item x="112"/>
        <item x="185"/>
        <item x="130"/>
        <item x="45"/>
        <item x="78"/>
        <item x="84"/>
        <item x="179"/>
        <item x="118"/>
        <item x="124"/>
        <item x="163"/>
        <item x="170"/>
        <item x="96"/>
        <item x="166"/>
        <item x="122"/>
        <item x="86"/>
        <item x="90"/>
        <item x="183"/>
        <item x="155"/>
        <item x="92"/>
        <item x="157"/>
        <item x="94"/>
        <item x="129"/>
        <item x="74"/>
        <item x="109"/>
        <item x="133"/>
        <item x="79"/>
        <item x="27"/>
        <item x="132"/>
        <item x="126"/>
        <item x="181"/>
        <item x="85"/>
        <item x="24"/>
        <item x="77"/>
        <item x="22"/>
        <item x="147"/>
        <item x="83"/>
        <item x="99"/>
        <item x="145"/>
        <item x="142"/>
        <item x="121"/>
        <item x="187"/>
        <item x="88"/>
        <item x="148"/>
        <item x="117"/>
        <item x="110"/>
        <item x="95"/>
        <item x="125"/>
        <item x="103"/>
        <item x="176"/>
        <item x="120"/>
        <item x="153"/>
        <item x="141"/>
        <item x="146"/>
        <item x="102"/>
        <item x="128"/>
        <item x="76"/>
        <item x="80"/>
        <item x="119"/>
        <item x="97"/>
        <item x="73"/>
        <item x="137"/>
        <item x="140"/>
        <item x="93"/>
        <item x="116"/>
        <item x="82"/>
        <item x="87"/>
        <item x="91"/>
        <item x="174"/>
        <item x="71"/>
        <item x="139"/>
        <item x="127"/>
        <item x="138"/>
        <item x="150"/>
        <item x="75"/>
        <item x="143"/>
        <item x="156"/>
        <item x="173"/>
        <item x="149"/>
        <item x="152"/>
        <item x="180"/>
        <item x="168"/>
        <item x="89"/>
        <item x="161"/>
        <item x="151"/>
        <item x="160"/>
        <item x="114"/>
        <item x="169"/>
        <item x="113"/>
        <item x="162"/>
        <item x="158"/>
        <item x="115"/>
        <item x="188"/>
        <item x="159"/>
        <item x="72"/>
        <item x="171"/>
        <item x="172"/>
        <item x="164"/>
        <item x="167"/>
        <item x="177"/>
        <item x="189"/>
        <item x="184"/>
        <item x="175"/>
        <item x="186"/>
        <item x="165"/>
        <item x="178"/>
        <item x="192"/>
        <item x="104"/>
        <item x="105"/>
        <item x="106"/>
        <item x="107"/>
        <item x="134"/>
        <item x="135"/>
        <item x="190"/>
        <item x="191"/>
        <item x="193"/>
        <item t="default"/>
      </items>
    </pivotField>
    <pivotField showAll="0"/>
    <pivotField showAll="0"/>
    <pivotField showAll="0"/>
    <pivotField showAll="0"/>
    <pivotField showAll="0"/>
    <pivotField dataField="1" showAll="0"/>
    <pivotField showAll="0"/>
    <pivotField dataField="1"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s>
  <rowFields count="3">
    <field x="7"/>
    <field x="13"/>
    <field x="17"/>
  </rowFields>
  <rowItems count="39">
    <i>
      <x v="1"/>
    </i>
    <i r="1">
      <x/>
    </i>
    <i r="2">
      <x v="166"/>
    </i>
    <i r="1">
      <x v="1"/>
    </i>
    <i r="2">
      <x v="165"/>
    </i>
    <i r="1">
      <x v="2"/>
    </i>
    <i r="2">
      <x v="159"/>
    </i>
    <i r="1">
      <x v="3"/>
    </i>
    <i r="2">
      <x v="127"/>
    </i>
    <i r="1">
      <x v="4"/>
    </i>
    <i r="2">
      <x v="155"/>
    </i>
    <i r="1">
      <x v="5"/>
    </i>
    <i r="2">
      <x v="146"/>
    </i>
    <i r="1">
      <x v="6"/>
    </i>
    <i r="2">
      <x v="158"/>
    </i>
    <i r="1">
      <x v="7"/>
    </i>
    <i r="2">
      <x v="106"/>
    </i>
    <i r="1">
      <x v="8"/>
    </i>
    <i r="2">
      <x v="121"/>
    </i>
    <i r="1">
      <x v="9"/>
    </i>
    <i r="2">
      <x v="143"/>
    </i>
    <i r="1">
      <x v="10"/>
    </i>
    <i r="2">
      <x v="159"/>
    </i>
    <i r="1">
      <x v="11"/>
    </i>
    <i r="2">
      <x v="119"/>
    </i>
    <i>
      <x v="3"/>
    </i>
    <i r="1">
      <x/>
    </i>
    <i r="2">
      <x v="154"/>
    </i>
    <i r="1">
      <x v="1"/>
    </i>
    <i r="2">
      <x/>
    </i>
    <i r="1">
      <x v="2"/>
    </i>
    <i r="2">
      <x/>
    </i>
    <i r="1">
      <x v="3"/>
    </i>
    <i r="2">
      <x v="106"/>
    </i>
    <i r="1">
      <x v="4"/>
    </i>
    <i r="2">
      <x v="151"/>
    </i>
    <i r="1">
      <x v="5"/>
    </i>
    <i r="2">
      <x v="142"/>
    </i>
    <i t="grand">
      <x/>
    </i>
  </rowItems>
  <colFields count="1">
    <field x="-2"/>
  </colFields>
  <colItems count="4">
    <i>
      <x/>
    </i>
    <i i="1">
      <x v="1"/>
    </i>
    <i i="2">
      <x v="2"/>
    </i>
    <i i="3">
      <x v="3"/>
    </i>
  </colItems>
  <dataFields count="4">
    <dataField name=" CD4_tests" fld="23" baseField="0" baseItem="0"/>
    <dataField name=" LAM_tests" fld="29" baseField="0" baseItem="0"/>
    <dataField name="CrAg-tests" fld="25" baseField="6" baseItem="0"/>
    <dataField name=" AHD_screening_cov%" fld="42" baseField="6" baseItem="0" numFmtId="9"/>
  </dataFields>
  <formats count="1">
    <format dxfId="8">
      <pivotArea outline="0" collapsedLevelsAreSubtotals="1" fieldPosition="0">
        <references count="1">
          <reference field="4294967294" count="1" selected="0">
            <x v="3"/>
          </reference>
        </references>
      </pivotArea>
    </format>
  </formats>
  <chartFormats count="40">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2"/>
          </reference>
        </references>
      </pivotArea>
    </chartFormat>
    <chartFormat chart="7" format="2" series="1">
      <pivotArea type="data" outline="0" fieldPosition="0">
        <references count="1">
          <reference field="4294967294" count="1" selected="0">
            <x v="1"/>
          </reference>
        </references>
      </pivotArea>
    </chartFormat>
    <chartFormat chart="7" format="15" series="1">
      <pivotArea type="data" outline="0" fieldPosition="0">
        <references count="1">
          <reference field="4294967294" count="1" selected="0">
            <x v="3"/>
          </reference>
        </references>
      </pivotArea>
    </chartFormat>
    <chartFormat chart="17" format="35" series="1">
      <pivotArea type="data" outline="0" fieldPosition="0">
        <references count="1">
          <reference field="4294967294" count="1" selected="0">
            <x v="0"/>
          </reference>
        </references>
      </pivotArea>
    </chartFormat>
    <chartFormat chart="17" format="36" series="1">
      <pivotArea type="data" outline="0" fieldPosition="0">
        <references count="1">
          <reference field="4294967294" count="1" selected="0">
            <x v="1"/>
          </reference>
        </references>
      </pivotArea>
    </chartFormat>
    <chartFormat chart="17" format="37" series="1">
      <pivotArea type="data" outline="0" fieldPosition="0">
        <references count="1">
          <reference field="4294967294" count="1" selected="0">
            <x v="2"/>
          </reference>
        </references>
      </pivotArea>
    </chartFormat>
    <chartFormat chart="17" format="38" series="1">
      <pivotArea type="data" outline="0" fieldPosition="0">
        <references count="1">
          <reference field="4294967294" count="1" selected="0">
            <x v="3"/>
          </reference>
        </references>
      </pivotArea>
    </chartFormat>
    <chartFormat chart="18" format="40" series="1">
      <pivotArea type="data" outline="0" fieldPosition="0">
        <references count="1">
          <reference field="4294967294" count="1" selected="0">
            <x v="0"/>
          </reference>
        </references>
      </pivotArea>
    </chartFormat>
    <chartFormat chart="18" format="41" series="1">
      <pivotArea type="data" outline="0" fieldPosition="0">
        <references count="1">
          <reference field="4294967294" count="1" selected="0">
            <x v="1"/>
          </reference>
        </references>
      </pivotArea>
    </chartFormat>
    <chartFormat chart="18" format="42" series="1">
      <pivotArea type="data" outline="0" fieldPosition="0">
        <references count="1">
          <reference field="4294967294" count="1" selected="0">
            <x v="2"/>
          </reference>
        </references>
      </pivotArea>
    </chartFormat>
    <chartFormat chart="18" format="43" series="1">
      <pivotArea type="data" outline="0" fieldPosition="0">
        <references count="1">
          <reference field="4294967294" count="1" selected="0">
            <x v="3"/>
          </reference>
        </references>
      </pivotArea>
    </chartFormat>
    <chartFormat chart="42" format="49" series="1">
      <pivotArea type="data" outline="0" fieldPosition="0">
        <references count="1">
          <reference field="4294967294" count="1" selected="0">
            <x v="0"/>
          </reference>
        </references>
      </pivotArea>
    </chartFormat>
    <chartFormat chart="42" format="50" series="1">
      <pivotArea type="data" outline="0" fieldPosition="0">
        <references count="1">
          <reference field="4294967294" count="1" selected="0">
            <x v="1"/>
          </reference>
        </references>
      </pivotArea>
    </chartFormat>
    <chartFormat chart="42" format="51" series="1">
      <pivotArea type="data" outline="0" fieldPosition="0">
        <references count="1">
          <reference field="4294967294" count="1" selected="0">
            <x v="2"/>
          </reference>
        </references>
      </pivotArea>
    </chartFormat>
    <chartFormat chart="42" format="52" series="1">
      <pivotArea type="data" outline="0" fieldPosition="0">
        <references count="1">
          <reference field="4294967294" count="1" selected="0">
            <x v="3"/>
          </reference>
        </references>
      </pivotArea>
    </chartFormat>
    <chartFormat chart="43" format="53" series="1">
      <pivotArea type="data" outline="0" fieldPosition="0">
        <references count="1">
          <reference field="4294967294" count="1" selected="0">
            <x v="0"/>
          </reference>
        </references>
      </pivotArea>
    </chartFormat>
    <chartFormat chart="43" format="54" series="1">
      <pivotArea type="data" outline="0" fieldPosition="0">
        <references count="1">
          <reference field="4294967294" count="1" selected="0">
            <x v="1"/>
          </reference>
        </references>
      </pivotArea>
    </chartFormat>
    <chartFormat chart="43" format="55" series="1">
      <pivotArea type="data" outline="0" fieldPosition="0">
        <references count="1">
          <reference field="4294967294" count="1" selected="0">
            <x v="2"/>
          </reference>
        </references>
      </pivotArea>
    </chartFormat>
    <chartFormat chart="43" format="56" series="1">
      <pivotArea type="data" outline="0" fieldPosition="0">
        <references count="1">
          <reference field="4294967294" count="1" selected="0">
            <x v="3"/>
          </reference>
        </references>
      </pivotArea>
    </chartFormat>
    <chartFormat chart="93" format="54" series="1">
      <pivotArea type="data" outline="0" fieldPosition="0">
        <references count="1">
          <reference field="4294967294" count="1" selected="0">
            <x v="0"/>
          </reference>
        </references>
      </pivotArea>
    </chartFormat>
    <chartFormat chart="93" format="55" series="1">
      <pivotArea type="data" outline="0" fieldPosition="0">
        <references count="1">
          <reference field="4294967294" count="1" selected="0">
            <x v="1"/>
          </reference>
        </references>
      </pivotArea>
    </chartFormat>
    <chartFormat chart="93" format="56" series="1">
      <pivotArea type="data" outline="0" fieldPosition="0">
        <references count="1">
          <reference field="4294967294" count="1" selected="0">
            <x v="2"/>
          </reference>
        </references>
      </pivotArea>
    </chartFormat>
    <chartFormat chart="93" format="57" series="1">
      <pivotArea type="data" outline="0" fieldPosition="0">
        <references count="1">
          <reference field="4294967294" count="1" selected="0">
            <x v="3"/>
          </reference>
        </references>
      </pivotArea>
    </chartFormat>
    <chartFormat chart="94" format="58" series="1">
      <pivotArea type="data" outline="0" fieldPosition="0">
        <references count="1">
          <reference field="4294967294" count="1" selected="0">
            <x v="0"/>
          </reference>
        </references>
      </pivotArea>
    </chartFormat>
    <chartFormat chart="94" format="59" series="1">
      <pivotArea type="data" outline="0" fieldPosition="0">
        <references count="1">
          <reference field="4294967294" count="1" selected="0">
            <x v="1"/>
          </reference>
        </references>
      </pivotArea>
    </chartFormat>
    <chartFormat chart="94" format="60" series="1">
      <pivotArea type="data" outline="0" fieldPosition="0">
        <references count="1">
          <reference field="4294967294" count="1" selected="0">
            <x v="2"/>
          </reference>
        </references>
      </pivotArea>
    </chartFormat>
    <chartFormat chart="94" format="61" series="1">
      <pivotArea type="data" outline="0" fieldPosition="0">
        <references count="1">
          <reference field="4294967294" count="1" selected="0">
            <x v="3"/>
          </reference>
        </references>
      </pivotArea>
    </chartFormat>
    <chartFormat chart="20" format="54" series="1">
      <pivotArea type="data" outline="0" fieldPosition="0">
        <references count="1">
          <reference field="4294967294" count="1" selected="0">
            <x v="0"/>
          </reference>
        </references>
      </pivotArea>
    </chartFormat>
    <chartFormat chart="20" format="55" series="1">
      <pivotArea type="data" outline="0" fieldPosition="0">
        <references count="1">
          <reference field="4294967294" count="1" selected="0">
            <x v="1"/>
          </reference>
        </references>
      </pivotArea>
    </chartFormat>
    <chartFormat chart="20" format="56" series="1">
      <pivotArea type="data" outline="0" fieldPosition="0">
        <references count="1">
          <reference field="4294967294" count="1" selected="0">
            <x v="2"/>
          </reference>
        </references>
      </pivotArea>
    </chartFormat>
    <chartFormat chart="20" format="57" series="1">
      <pivotArea type="data" outline="0" fieldPosition="0">
        <references count="1">
          <reference field="4294967294" count="1" selected="0">
            <x v="3"/>
          </reference>
        </references>
      </pivotArea>
    </chartFormat>
    <chartFormat chart="112" format="70" series="1">
      <pivotArea type="data" outline="0" fieldPosition="0">
        <references count="1">
          <reference field="4294967294" count="1" selected="0">
            <x v="0"/>
          </reference>
        </references>
      </pivotArea>
    </chartFormat>
    <chartFormat chart="112" format="71" series="1">
      <pivotArea type="data" outline="0" fieldPosition="0">
        <references count="1">
          <reference field="4294967294" count="1" selected="0">
            <x v="1"/>
          </reference>
        </references>
      </pivotArea>
    </chartFormat>
    <chartFormat chart="112" format="72" series="1">
      <pivotArea type="data" outline="0" fieldPosition="0">
        <references count="1">
          <reference field="4294967294" count="1" selected="0">
            <x v="2"/>
          </reference>
        </references>
      </pivotArea>
    </chartFormat>
    <chartFormat chart="112" format="73" series="1">
      <pivotArea type="data" outline="0" fieldPosition="0">
        <references count="1">
          <reference field="4294967294" count="1" selected="0">
            <x v="3"/>
          </reference>
        </references>
      </pivotArea>
    </chartFormat>
    <chartFormat chart="113" format="58" series="1">
      <pivotArea type="data" outline="0" fieldPosition="0">
        <references count="1">
          <reference field="4294967294" count="1" selected="0">
            <x v="0"/>
          </reference>
        </references>
      </pivotArea>
    </chartFormat>
    <chartFormat chart="113" format="59" series="1">
      <pivotArea type="data" outline="0" fieldPosition="0">
        <references count="1">
          <reference field="4294967294" count="1" selected="0">
            <x v="1"/>
          </reference>
        </references>
      </pivotArea>
    </chartFormat>
    <chartFormat chart="113" format="60" series="1">
      <pivotArea type="data" outline="0" fieldPosition="0">
        <references count="1">
          <reference field="4294967294" count="1" selected="0">
            <x v="2"/>
          </reference>
        </references>
      </pivotArea>
    </chartFormat>
    <chartFormat chart="113" format="6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2.xml><?xml version="1.0" encoding="utf-8"?>
<pivotTableDefinition xmlns="http://schemas.openxmlformats.org/spreadsheetml/2006/main" xmlns:mc="http://schemas.openxmlformats.org/markup-compatibility/2006" xmlns:xr="http://schemas.microsoft.com/office/spreadsheetml/2014/revision" mc:Ignorable="xr" xr:uid="{64219E4E-C877-47BD-BEBE-3449E3099F9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6">
  <location ref="I5:L26" firstHeaderRow="0" firstDataRow="1" firstDataCol="1"/>
  <pivotFields count="44">
    <pivotField showAll="0"/>
    <pivotField showAll="0"/>
    <pivotField showAll="0"/>
    <pivotField showAll="0"/>
    <pivotField showAll="0"/>
    <pivotField showAll="0">
      <items count="16">
        <item h="1" x="0"/>
        <item h="1" x="1"/>
        <item h="1" x="2"/>
        <item h="1" x="3"/>
        <item h="1" x="4"/>
        <item h="1" x="5"/>
        <item h="1" x="6"/>
        <item h="1" x="7"/>
        <item h="1" x="8"/>
        <item h="1" x="9"/>
        <item h="1" x="10"/>
        <item h="1" x="11"/>
        <item h="1" x="12"/>
        <item x="13"/>
        <item h="1" x="14"/>
        <item t="default"/>
      </items>
    </pivotField>
    <pivotField showAll="0"/>
    <pivotField axis="axisRow" showAll="0">
      <items count="5">
        <item h="1" x="0"/>
        <item x="1"/>
        <item h="1" x="3"/>
        <item x="2"/>
        <item t="default"/>
      </items>
    </pivotField>
    <pivotField showAll="0"/>
    <pivotField showAll="0"/>
    <pivotField showAll="0"/>
    <pivotField showAll="0"/>
    <pivotField showAll="0"/>
    <pivotField axis="axisRow" showAll="0">
      <items count="15">
        <item x="4"/>
        <item x="5"/>
        <item x="3"/>
        <item x="7"/>
        <item x="6"/>
        <item x="8"/>
        <item x="9"/>
        <item x="10"/>
        <item x="2"/>
        <item x="0"/>
        <item x="1"/>
        <item x="11"/>
        <item x="12"/>
        <item x="13"/>
        <item t="default"/>
      </items>
    </pivotField>
    <pivotField showAll="0"/>
    <pivotField showAll="0"/>
    <pivotField showAll="0">
      <items count="10">
        <item h="1" m="1" x="8"/>
        <item h="1" x="0"/>
        <item h="1" x="2"/>
        <item h="1" x="3"/>
        <item x="6"/>
        <item h="1" x="1"/>
        <item h="1" x="4"/>
        <item h="1" x="5"/>
        <item h="1" x="7"/>
        <item t="default"/>
      </items>
    </pivotField>
    <pivotField name="Total_number_of_ROC"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dragToRow="0" dragToCol="0" dragToPage="0" showAll="0" defaultSubtotal="0"/>
    <pivotField dataField="1"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s>
  <rowFields count="2">
    <field x="7"/>
    <field x="13"/>
  </rowFields>
  <rowItems count="21">
    <i>
      <x v="1"/>
    </i>
    <i r="1">
      <x/>
    </i>
    <i r="1">
      <x v="1"/>
    </i>
    <i r="1">
      <x v="2"/>
    </i>
    <i r="1">
      <x v="3"/>
    </i>
    <i r="1">
      <x v="4"/>
    </i>
    <i r="1">
      <x v="5"/>
    </i>
    <i r="1">
      <x v="6"/>
    </i>
    <i r="1">
      <x v="7"/>
    </i>
    <i r="1">
      <x v="8"/>
    </i>
    <i r="1">
      <x v="9"/>
    </i>
    <i r="1">
      <x v="10"/>
    </i>
    <i r="1">
      <x v="11"/>
    </i>
    <i>
      <x v="3"/>
    </i>
    <i r="1">
      <x/>
    </i>
    <i r="1">
      <x v="1"/>
    </i>
    <i r="1">
      <x v="2"/>
    </i>
    <i r="1">
      <x v="3"/>
    </i>
    <i r="1">
      <x v="4"/>
    </i>
    <i r="1">
      <x v="5"/>
    </i>
    <i t="grand">
      <x/>
    </i>
  </rowItems>
  <colFields count="1">
    <field x="-2"/>
  </colFields>
  <colItems count="3">
    <i>
      <x/>
    </i>
    <i i="1">
      <x v="1"/>
    </i>
    <i i="2">
      <x v="2"/>
    </i>
  </colItems>
  <dataFields count="3">
    <dataField name=" CD4&lt;200%" fld="39" baseField="6" baseItem="0"/>
    <dataField name=" LAM+%" fld="41" baseField="6" baseItem="0"/>
    <dataField name=" CrAg+%" fld="40" baseField="6" baseItem="0"/>
  </dataFields>
  <formats count="2">
    <format dxfId="10">
      <pivotArea collapsedLevelsAreSubtotals="1" fieldPosition="0">
        <references count="1">
          <reference field="7" count="1">
            <x v="0"/>
          </reference>
        </references>
      </pivotArea>
    </format>
    <format dxfId="9">
      <pivotArea collapsedLevelsAreSubtotals="1" fieldPosition="0">
        <references count="1">
          <reference field="7" count="1">
            <x v="1"/>
          </reference>
        </references>
      </pivotArea>
    </format>
  </formats>
  <chartFormats count="106">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2"/>
          </reference>
        </references>
      </pivotArea>
    </chartFormat>
    <chartFormat chart="13" format="2" series="1">
      <pivotArea type="data" outline="0" fieldPosition="0">
        <references count="1">
          <reference field="4294967294" count="1" selected="0">
            <x v="1"/>
          </reference>
        </references>
      </pivotArea>
    </chartFormat>
    <chartFormat chart="19" format="5"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1"/>
          </reference>
        </references>
      </pivotArea>
    </chartFormat>
    <chartFormat chart="19" format="8" series="1">
      <pivotArea type="data" outline="0" fieldPosition="0">
        <references count="1">
          <reference field="4294967294" count="1" selected="0">
            <x v="2"/>
          </reference>
        </references>
      </pivotArea>
    </chartFormat>
    <chartFormat chart="20" format="9" series="1">
      <pivotArea type="data" outline="0" fieldPosition="0">
        <references count="1">
          <reference field="4294967294" count="1" selected="0">
            <x v="0"/>
          </reference>
        </references>
      </pivotArea>
    </chartFormat>
    <chartFormat chart="20" format="10" series="1">
      <pivotArea type="data" outline="0" fieldPosition="0">
        <references count="1">
          <reference field="4294967294" count="1" selected="0">
            <x v="1"/>
          </reference>
        </references>
      </pivotArea>
    </chartFormat>
    <chartFormat chart="20" format="12" series="1">
      <pivotArea type="data" outline="0" fieldPosition="0">
        <references count="1">
          <reference field="4294967294" count="1" selected="0">
            <x v="2"/>
          </reference>
        </references>
      </pivotArea>
    </chartFormat>
    <chartFormat chart="34" format="20" series="1">
      <pivotArea type="data" outline="0" fieldPosition="0">
        <references count="1">
          <reference field="4294967294" count="1" selected="0">
            <x v="0"/>
          </reference>
        </references>
      </pivotArea>
    </chartFormat>
    <chartFormat chart="34" format="23" series="1">
      <pivotArea type="data" outline="0" fieldPosition="0">
        <references count="1">
          <reference field="4294967294" count="1" selected="0">
            <x v="1"/>
          </reference>
        </references>
      </pivotArea>
    </chartFormat>
    <chartFormat chart="34" format="26" series="1">
      <pivotArea type="data" outline="0" fieldPosition="0">
        <references count="1">
          <reference field="4294967294" count="1" selected="0">
            <x v="2"/>
          </reference>
        </references>
      </pivotArea>
    </chartFormat>
    <chartFormat chart="21" format="28" series="1">
      <pivotArea type="data" outline="0" fieldPosition="0">
        <references count="1">
          <reference field="4294967294" count="1" selected="0">
            <x v="0"/>
          </reference>
        </references>
      </pivotArea>
    </chartFormat>
    <chartFormat chart="21" format="34" series="1">
      <pivotArea type="data" outline="0" fieldPosition="0">
        <references count="1">
          <reference field="4294967294" count="1" selected="0">
            <x v="1"/>
          </reference>
        </references>
      </pivotArea>
    </chartFormat>
    <chartFormat chart="21" format="40" series="1">
      <pivotArea type="data" outline="0" fieldPosition="0">
        <references count="1">
          <reference field="4294967294" count="1" selected="0">
            <x v="2"/>
          </reference>
        </references>
      </pivotArea>
    </chartFormat>
    <chartFormat chart="70" format="41" series="1">
      <pivotArea type="data" outline="0" fieldPosition="0">
        <references count="1">
          <reference field="4294967294" count="1" selected="0">
            <x v="0"/>
          </reference>
        </references>
      </pivotArea>
    </chartFormat>
    <chartFormat chart="70" format="47" series="1">
      <pivotArea type="data" outline="0" fieldPosition="0">
        <references count="1">
          <reference field="4294967294" count="1" selected="0">
            <x v="1"/>
          </reference>
        </references>
      </pivotArea>
    </chartFormat>
    <chartFormat chart="70" format="53" series="1">
      <pivotArea type="data" outline="0" fieldPosition="0">
        <references count="1">
          <reference field="4294967294" count="1" selected="0">
            <x v="2"/>
          </reference>
        </references>
      </pivotArea>
    </chartFormat>
    <chartFormat chart="71" format="54" series="1">
      <pivotArea type="data" outline="0" fieldPosition="0">
        <references count="1">
          <reference field="4294967294" count="1" selected="0">
            <x v="0"/>
          </reference>
        </references>
      </pivotArea>
    </chartFormat>
    <chartFormat chart="71" format="60" series="1">
      <pivotArea type="data" outline="0" fieldPosition="0">
        <references count="1">
          <reference field="4294967294" count="1" selected="0">
            <x v="1"/>
          </reference>
        </references>
      </pivotArea>
    </chartFormat>
    <chartFormat chart="71" format="66" series="1">
      <pivotArea type="data" outline="0" fieldPosition="0">
        <references count="1">
          <reference field="4294967294" count="1" selected="0">
            <x v="2"/>
          </reference>
        </references>
      </pivotArea>
    </chartFormat>
    <chartFormat chart="81" format="43" series="1">
      <pivotArea type="data" outline="0" fieldPosition="0">
        <references count="1">
          <reference field="4294967294" count="1" selected="0">
            <x v="0"/>
          </reference>
        </references>
      </pivotArea>
    </chartFormat>
    <chartFormat chart="81" format="50" series="1">
      <pivotArea type="data" outline="0" fieldPosition="0">
        <references count="1">
          <reference field="4294967294" count="1" selected="0">
            <x v="1"/>
          </reference>
        </references>
      </pivotArea>
    </chartFormat>
    <chartFormat chart="81" format="57" series="1">
      <pivotArea type="data" outline="0" fieldPosition="0">
        <references count="1">
          <reference field="4294967294" count="1" selected="0">
            <x v="2"/>
          </reference>
        </references>
      </pivotArea>
    </chartFormat>
    <chartFormat chart="82" format="58" series="1">
      <pivotArea type="data" outline="0" fieldPosition="0">
        <references count="1">
          <reference field="4294967294" count="1" selected="0">
            <x v="0"/>
          </reference>
        </references>
      </pivotArea>
    </chartFormat>
    <chartFormat chart="82" format="65" series="1">
      <pivotArea type="data" outline="0" fieldPosition="0">
        <references count="1">
          <reference field="4294967294" count="1" selected="0">
            <x v="1"/>
          </reference>
        </references>
      </pivotArea>
    </chartFormat>
    <chartFormat chart="82" format="72" series="1">
      <pivotArea type="data" outline="0" fieldPosition="0">
        <references count="1">
          <reference field="4294967294" count="1" selected="0">
            <x v="2"/>
          </reference>
        </references>
      </pivotArea>
    </chartFormat>
    <chartFormat chart="87" format="88" series="1">
      <pivotArea type="data" outline="0" fieldPosition="0">
        <references count="1">
          <reference field="4294967294" count="1" selected="0">
            <x v="0"/>
          </reference>
        </references>
      </pivotArea>
    </chartFormat>
    <chartFormat chart="87" format="95" series="1">
      <pivotArea type="data" outline="0" fieldPosition="0">
        <references count="1">
          <reference field="4294967294" count="1" selected="0">
            <x v="1"/>
          </reference>
        </references>
      </pivotArea>
    </chartFormat>
    <chartFormat chart="87" format="102" series="1">
      <pivotArea type="data" outline="0" fieldPosition="0">
        <references count="1">
          <reference field="4294967294" count="1" selected="0">
            <x v="2"/>
          </reference>
        </references>
      </pivotArea>
    </chartFormat>
    <chartFormat chart="87" format="109">
      <pivotArea type="data" outline="0" fieldPosition="0">
        <references count="1">
          <reference field="4294967294" count="1" selected="0">
            <x v="0"/>
          </reference>
        </references>
      </pivotArea>
    </chartFormat>
    <chartFormat chart="87" format="110">
      <pivotArea type="data" outline="0" fieldPosition="0">
        <references count="1">
          <reference field="4294967294" count="1" selected="0">
            <x v="1"/>
          </reference>
        </references>
      </pivotArea>
    </chartFormat>
    <chartFormat chart="21" format="49">
      <pivotArea type="data" outline="0" fieldPosition="0">
        <references count="1">
          <reference field="4294967294" count="1" selected="0">
            <x v="0"/>
          </reference>
        </references>
      </pivotArea>
    </chartFormat>
    <chartFormat chart="21" format="50">
      <pivotArea type="data" outline="0" fieldPosition="0">
        <references count="1">
          <reference field="4294967294" count="1" selected="0">
            <x v="1"/>
          </reference>
        </references>
      </pivotArea>
    </chartFormat>
    <chartFormat chart="87" format="123">
      <pivotArea type="data" outline="0" fieldPosition="0">
        <references count="3">
          <reference field="4294967294" count="1" selected="0">
            <x v="0"/>
          </reference>
          <reference field="7" count="1" selected="0">
            <x v="1"/>
          </reference>
          <reference field="13" count="1" selected="0">
            <x v="0"/>
          </reference>
        </references>
      </pivotArea>
    </chartFormat>
    <chartFormat chart="87" format="124">
      <pivotArea type="data" outline="0" fieldPosition="0">
        <references count="3">
          <reference field="4294967294" count="1" selected="0">
            <x v="0"/>
          </reference>
          <reference field="7" count="1" selected="0">
            <x v="1"/>
          </reference>
          <reference field="13" count="1" selected="0">
            <x v="1"/>
          </reference>
        </references>
      </pivotArea>
    </chartFormat>
    <chartFormat chart="87" format="125">
      <pivotArea type="data" outline="0" fieldPosition="0">
        <references count="3">
          <reference field="4294967294" count="1" selected="0">
            <x v="0"/>
          </reference>
          <reference field="7" count="1" selected="0">
            <x v="1"/>
          </reference>
          <reference field="13" count="1" selected="0">
            <x v="2"/>
          </reference>
        </references>
      </pivotArea>
    </chartFormat>
    <chartFormat chart="87" format="126">
      <pivotArea type="data" outline="0" fieldPosition="0">
        <references count="3">
          <reference field="4294967294" count="1" selected="0">
            <x v="0"/>
          </reference>
          <reference field="7" count="1" selected="0">
            <x v="1"/>
          </reference>
          <reference field="13" count="1" selected="0">
            <x v="3"/>
          </reference>
        </references>
      </pivotArea>
    </chartFormat>
    <chartFormat chart="87" format="127">
      <pivotArea type="data" outline="0" fieldPosition="0">
        <references count="3">
          <reference field="4294967294" count="1" selected="0">
            <x v="0"/>
          </reference>
          <reference field="7" count="1" selected="0">
            <x v="1"/>
          </reference>
          <reference field="13" count="1" selected="0">
            <x v="4"/>
          </reference>
        </references>
      </pivotArea>
    </chartFormat>
    <chartFormat chart="87" format="128">
      <pivotArea type="data" outline="0" fieldPosition="0">
        <references count="3">
          <reference field="4294967294" count="1" selected="0">
            <x v="0"/>
          </reference>
          <reference field="7" count="1" selected="0">
            <x v="1"/>
          </reference>
          <reference field="13" count="1" selected="0">
            <x v="5"/>
          </reference>
        </references>
      </pivotArea>
    </chartFormat>
    <chartFormat chart="87" format="129">
      <pivotArea type="data" outline="0" fieldPosition="0">
        <references count="3">
          <reference field="4294967294" count="1" selected="0">
            <x v="0"/>
          </reference>
          <reference field="7" count="1" selected="0">
            <x v="1"/>
          </reference>
          <reference field="13" count="1" selected="0">
            <x v="6"/>
          </reference>
        </references>
      </pivotArea>
    </chartFormat>
    <chartFormat chart="87" format="130">
      <pivotArea type="data" outline="0" fieldPosition="0">
        <references count="3">
          <reference field="4294967294" count="1" selected="0">
            <x v="0"/>
          </reference>
          <reference field="7" count="1" selected="0">
            <x v="1"/>
          </reference>
          <reference field="13" count="1" selected="0">
            <x v="7"/>
          </reference>
        </references>
      </pivotArea>
    </chartFormat>
    <chartFormat chart="87" format="131">
      <pivotArea type="data" outline="0" fieldPosition="0">
        <references count="3">
          <reference field="4294967294" count="1" selected="0">
            <x v="0"/>
          </reference>
          <reference field="7" count="1" selected="0">
            <x v="1"/>
          </reference>
          <reference field="13" count="1" selected="0">
            <x v="8"/>
          </reference>
        </references>
      </pivotArea>
    </chartFormat>
    <chartFormat chart="87" format="132">
      <pivotArea type="data" outline="0" fieldPosition="0">
        <references count="3">
          <reference field="4294967294" count="1" selected="0">
            <x v="0"/>
          </reference>
          <reference field="7" count="1" selected="0">
            <x v="1"/>
          </reference>
          <reference field="13" count="1" selected="0">
            <x v="9"/>
          </reference>
        </references>
      </pivotArea>
    </chartFormat>
    <chartFormat chart="87" format="133">
      <pivotArea type="data" outline="0" fieldPosition="0">
        <references count="3">
          <reference field="4294967294" count="1" selected="0">
            <x v="0"/>
          </reference>
          <reference field="7" count="1" selected="0">
            <x v="1"/>
          </reference>
          <reference field="13" count="1" selected="0">
            <x v="10"/>
          </reference>
        </references>
      </pivotArea>
    </chartFormat>
    <chartFormat chart="87" format="134">
      <pivotArea type="data" outline="0" fieldPosition="0">
        <references count="3">
          <reference field="4294967294" count="1" selected="0">
            <x v="0"/>
          </reference>
          <reference field="7" count="1" selected="0">
            <x v="1"/>
          </reference>
          <reference field="13" count="1" selected="0">
            <x v="11"/>
          </reference>
        </references>
      </pivotArea>
    </chartFormat>
    <chartFormat chart="87" format="135">
      <pivotArea type="data" outline="0" fieldPosition="0">
        <references count="3">
          <reference field="4294967294" count="1" selected="0">
            <x v="1"/>
          </reference>
          <reference field="7" count="1" selected="0">
            <x v="1"/>
          </reference>
          <reference field="13" count="1" selected="0">
            <x v="0"/>
          </reference>
        </references>
      </pivotArea>
    </chartFormat>
    <chartFormat chart="87" format="136">
      <pivotArea type="data" outline="0" fieldPosition="0">
        <references count="3">
          <reference field="4294967294" count="1" selected="0">
            <x v="1"/>
          </reference>
          <reference field="7" count="1" selected="0">
            <x v="1"/>
          </reference>
          <reference field="13" count="1" selected="0">
            <x v="1"/>
          </reference>
        </references>
      </pivotArea>
    </chartFormat>
    <chartFormat chart="87" format="137">
      <pivotArea type="data" outline="0" fieldPosition="0">
        <references count="3">
          <reference field="4294967294" count="1" selected="0">
            <x v="1"/>
          </reference>
          <reference field="7" count="1" selected="0">
            <x v="1"/>
          </reference>
          <reference field="13" count="1" selected="0">
            <x v="2"/>
          </reference>
        </references>
      </pivotArea>
    </chartFormat>
    <chartFormat chart="87" format="138">
      <pivotArea type="data" outline="0" fieldPosition="0">
        <references count="3">
          <reference field="4294967294" count="1" selected="0">
            <x v="1"/>
          </reference>
          <reference field="7" count="1" selected="0">
            <x v="1"/>
          </reference>
          <reference field="13" count="1" selected="0">
            <x v="3"/>
          </reference>
        </references>
      </pivotArea>
    </chartFormat>
    <chartFormat chart="87" format="139">
      <pivotArea type="data" outline="0" fieldPosition="0">
        <references count="3">
          <reference field="4294967294" count="1" selected="0">
            <x v="1"/>
          </reference>
          <reference field="7" count="1" selected="0">
            <x v="1"/>
          </reference>
          <reference field="13" count="1" selected="0">
            <x v="4"/>
          </reference>
        </references>
      </pivotArea>
    </chartFormat>
    <chartFormat chart="87" format="140">
      <pivotArea type="data" outline="0" fieldPosition="0">
        <references count="3">
          <reference field="4294967294" count="1" selected="0">
            <x v="1"/>
          </reference>
          <reference field="7" count="1" selected="0">
            <x v="1"/>
          </reference>
          <reference field="13" count="1" selected="0">
            <x v="5"/>
          </reference>
        </references>
      </pivotArea>
    </chartFormat>
    <chartFormat chart="87" format="141">
      <pivotArea type="data" outline="0" fieldPosition="0">
        <references count="3">
          <reference field="4294967294" count="1" selected="0">
            <x v="1"/>
          </reference>
          <reference field="7" count="1" selected="0">
            <x v="1"/>
          </reference>
          <reference field="13" count="1" selected="0">
            <x v="6"/>
          </reference>
        </references>
      </pivotArea>
    </chartFormat>
    <chartFormat chart="87" format="142">
      <pivotArea type="data" outline="0" fieldPosition="0">
        <references count="3">
          <reference field="4294967294" count="1" selected="0">
            <x v="1"/>
          </reference>
          <reference field="7" count="1" selected="0">
            <x v="1"/>
          </reference>
          <reference field="13" count="1" selected="0">
            <x v="7"/>
          </reference>
        </references>
      </pivotArea>
    </chartFormat>
    <chartFormat chart="87" format="143">
      <pivotArea type="data" outline="0" fieldPosition="0">
        <references count="3">
          <reference field="4294967294" count="1" selected="0">
            <x v="1"/>
          </reference>
          <reference field="7" count="1" selected="0">
            <x v="1"/>
          </reference>
          <reference field="13" count="1" selected="0">
            <x v="8"/>
          </reference>
        </references>
      </pivotArea>
    </chartFormat>
    <chartFormat chart="87" format="144">
      <pivotArea type="data" outline="0" fieldPosition="0">
        <references count="3">
          <reference field="4294967294" count="1" selected="0">
            <x v="1"/>
          </reference>
          <reference field="7" count="1" selected="0">
            <x v="1"/>
          </reference>
          <reference field="13" count="1" selected="0">
            <x v="9"/>
          </reference>
        </references>
      </pivotArea>
    </chartFormat>
    <chartFormat chart="87" format="145">
      <pivotArea type="data" outline="0" fieldPosition="0">
        <references count="3">
          <reference field="4294967294" count="1" selected="0">
            <x v="1"/>
          </reference>
          <reference field="7" count="1" selected="0">
            <x v="1"/>
          </reference>
          <reference field="13" count="1" selected="0">
            <x v="10"/>
          </reference>
        </references>
      </pivotArea>
    </chartFormat>
    <chartFormat chart="87" format="146">
      <pivotArea type="data" outline="0" fieldPosition="0">
        <references count="3">
          <reference field="4294967294" count="1" selected="0">
            <x v="1"/>
          </reference>
          <reference field="7" count="1" selected="0">
            <x v="1"/>
          </reference>
          <reference field="13" count="1" selected="0">
            <x v="11"/>
          </reference>
        </references>
      </pivotArea>
    </chartFormat>
    <chartFormat chart="21" format="63">
      <pivotArea type="data" outline="0" fieldPosition="0">
        <references count="3">
          <reference field="4294967294" count="1" selected="0">
            <x v="0"/>
          </reference>
          <reference field="7" count="1" selected="0">
            <x v="1"/>
          </reference>
          <reference field="13" count="1" selected="0">
            <x v="0"/>
          </reference>
        </references>
      </pivotArea>
    </chartFormat>
    <chartFormat chart="21" format="64">
      <pivotArea type="data" outline="0" fieldPosition="0">
        <references count="3">
          <reference field="4294967294" count="1" selected="0">
            <x v="0"/>
          </reference>
          <reference field="7" count="1" selected="0">
            <x v="1"/>
          </reference>
          <reference field="13" count="1" selected="0">
            <x v="1"/>
          </reference>
        </references>
      </pivotArea>
    </chartFormat>
    <chartFormat chart="21" format="65">
      <pivotArea type="data" outline="0" fieldPosition="0">
        <references count="3">
          <reference field="4294967294" count="1" selected="0">
            <x v="0"/>
          </reference>
          <reference field="7" count="1" selected="0">
            <x v="1"/>
          </reference>
          <reference field="13" count="1" selected="0">
            <x v="2"/>
          </reference>
        </references>
      </pivotArea>
    </chartFormat>
    <chartFormat chart="21" format="66">
      <pivotArea type="data" outline="0" fieldPosition="0">
        <references count="3">
          <reference field="4294967294" count="1" selected="0">
            <x v="0"/>
          </reference>
          <reference field="7" count="1" selected="0">
            <x v="1"/>
          </reference>
          <reference field="13" count="1" selected="0">
            <x v="3"/>
          </reference>
        </references>
      </pivotArea>
    </chartFormat>
    <chartFormat chart="21" format="67">
      <pivotArea type="data" outline="0" fieldPosition="0">
        <references count="3">
          <reference field="4294967294" count="1" selected="0">
            <x v="0"/>
          </reference>
          <reference field="7" count="1" selected="0">
            <x v="1"/>
          </reference>
          <reference field="13" count="1" selected="0">
            <x v="4"/>
          </reference>
        </references>
      </pivotArea>
    </chartFormat>
    <chartFormat chart="21" format="68">
      <pivotArea type="data" outline="0" fieldPosition="0">
        <references count="3">
          <reference field="4294967294" count="1" selected="0">
            <x v="0"/>
          </reference>
          <reference field="7" count="1" selected="0">
            <x v="1"/>
          </reference>
          <reference field="13" count="1" selected="0">
            <x v="5"/>
          </reference>
        </references>
      </pivotArea>
    </chartFormat>
    <chartFormat chart="21" format="69">
      <pivotArea type="data" outline="0" fieldPosition="0">
        <references count="3">
          <reference field="4294967294" count="1" selected="0">
            <x v="0"/>
          </reference>
          <reference field="7" count="1" selected="0">
            <x v="1"/>
          </reference>
          <reference field="13" count="1" selected="0">
            <x v="6"/>
          </reference>
        </references>
      </pivotArea>
    </chartFormat>
    <chartFormat chart="21" format="70">
      <pivotArea type="data" outline="0" fieldPosition="0">
        <references count="3">
          <reference field="4294967294" count="1" selected="0">
            <x v="0"/>
          </reference>
          <reference field="7" count="1" selected="0">
            <x v="1"/>
          </reference>
          <reference field="13" count="1" selected="0">
            <x v="7"/>
          </reference>
        </references>
      </pivotArea>
    </chartFormat>
    <chartFormat chart="21" format="71">
      <pivotArea type="data" outline="0" fieldPosition="0">
        <references count="3">
          <reference field="4294967294" count="1" selected="0">
            <x v="0"/>
          </reference>
          <reference field="7" count="1" selected="0">
            <x v="1"/>
          </reference>
          <reference field="13" count="1" selected="0">
            <x v="8"/>
          </reference>
        </references>
      </pivotArea>
    </chartFormat>
    <chartFormat chart="21" format="72">
      <pivotArea type="data" outline="0" fieldPosition="0">
        <references count="3">
          <reference field="4294967294" count="1" selected="0">
            <x v="0"/>
          </reference>
          <reference field="7" count="1" selected="0">
            <x v="1"/>
          </reference>
          <reference field="13" count="1" selected="0">
            <x v="9"/>
          </reference>
        </references>
      </pivotArea>
    </chartFormat>
    <chartFormat chart="21" format="73">
      <pivotArea type="data" outline="0" fieldPosition="0">
        <references count="3">
          <reference field="4294967294" count="1" selected="0">
            <x v="0"/>
          </reference>
          <reference field="7" count="1" selected="0">
            <x v="1"/>
          </reference>
          <reference field="13" count="1" selected="0">
            <x v="10"/>
          </reference>
        </references>
      </pivotArea>
    </chartFormat>
    <chartFormat chart="21" format="74">
      <pivotArea type="data" outline="0" fieldPosition="0">
        <references count="3">
          <reference field="4294967294" count="1" selected="0">
            <x v="0"/>
          </reference>
          <reference field="7" count="1" selected="0">
            <x v="1"/>
          </reference>
          <reference field="13" count="1" selected="0">
            <x v="11"/>
          </reference>
        </references>
      </pivotArea>
    </chartFormat>
    <chartFormat chart="21" format="75">
      <pivotArea type="data" outline="0" fieldPosition="0">
        <references count="3">
          <reference field="4294967294" count="1" selected="0">
            <x v="1"/>
          </reference>
          <reference field="7" count="1" selected="0">
            <x v="1"/>
          </reference>
          <reference field="13" count="1" selected="0">
            <x v="0"/>
          </reference>
        </references>
      </pivotArea>
    </chartFormat>
    <chartFormat chart="21" format="76">
      <pivotArea type="data" outline="0" fieldPosition="0">
        <references count="3">
          <reference field="4294967294" count="1" selected="0">
            <x v="1"/>
          </reference>
          <reference field="7" count="1" selected="0">
            <x v="1"/>
          </reference>
          <reference field="13" count="1" selected="0">
            <x v="1"/>
          </reference>
        </references>
      </pivotArea>
    </chartFormat>
    <chartFormat chart="21" format="77">
      <pivotArea type="data" outline="0" fieldPosition="0">
        <references count="3">
          <reference field="4294967294" count="1" selected="0">
            <x v="1"/>
          </reference>
          <reference field="7" count="1" selected="0">
            <x v="1"/>
          </reference>
          <reference field="13" count="1" selected="0">
            <x v="2"/>
          </reference>
        </references>
      </pivotArea>
    </chartFormat>
    <chartFormat chart="21" format="78">
      <pivotArea type="data" outline="0" fieldPosition="0">
        <references count="3">
          <reference field="4294967294" count="1" selected="0">
            <x v="1"/>
          </reference>
          <reference field="7" count="1" selected="0">
            <x v="1"/>
          </reference>
          <reference field="13" count="1" selected="0">
            <x v="3"/>
          </reference>
        </references>
      </pivotArea>
    </chartFormat>
    <chartFormat chart="21" format="79">
      <pivotArea type="data" outline="0" fieldPosition="0">
        <references count="3">
          <reference field="4294967294" count="1" selected="0">
            <x v="1"/>
          </reference>
          <reference field="7" count="1" selected="0">
            <x v="1"/>
          </reference>
          <reference field="13" count="1" selected="0">
            <x v="4"/>
          </reference>
        </references>
      </pivotArea>
    </chartFormat>
    <chartFormat chart="21" format="80">
      <pivotArea type="data" outline="0" fieldPosition="0">
        <references count="3">
          <reference field="4294967294" count="1" selected="0">
            <x v="1"/>
          </reference>
          <reference field="7" count="1" selected="0">
            <x v="1"/>
          </reference>
          <reference field="13" count="1" selected="0">
            <x v="5"/>
          </reference>
        </references>
      </pivotArea>
    </chartFormat>
    <chartFormat chart="21" format="81">
      <pivotArea type="data" outline="0" fieldPosition="0">
        <references count="3">
          <reference field="4294967294" count="1" selected="0">
            <x v="1"/>
          </reference>
          <reference field="7" count="1" selected="0">
            <x v="1"/>
          </reference>
          <reference field="13" count="1" selected="0">
            <x v="6"/>
          </reference>
        </references>
      </pivotArea>
    </chartFormat>
    <chartFormat chart="21" format="82">
      <pivotArea type="data" outline="0" fieldPosition="0">
        <references count="3">
          <reference field="4294967294" count="1" selected="0">
            <x v="1"/>
          </reference>
          <reference field="7" count="1" selected="0">
            <x v="1"/>
          </reference>
          <reference field="13" count="1" selected="0">
            <x v="7"/>
          </reference>
        </references>
      </pivotArea>
    </chartFormat>
    <chartFormat chart="21" format="83">
      <pivotArea type="data" outline="0" fieldPosition="0">
        <references count="3">
          <reference field="4294967294" count="1" selected="0">
            <x v="1"/>
          </reference>
          <reference field="7" count="1" selected="0">
            <x v="1"/>
          </reference>
          <reference field="13" count="1" selected="0">
            <x v="8"/>
          </reference>
        </references>
      </pivotArea>
    </chartFormat>
    <chartFormat chart="21" format="84">
      <pivotArea type="data" outline="0" fieldPosition="0">
        <references count="3">
          <reference field="4294967294" count="1" selected="0">
            <x v="1"/>
          </reference>
          <reference field="7" count="1" selected="0">
            <x v="1"/>
          </reference>
          <reference field="13" count="1" selected="0">
            <x v="9"/>
          </reference>
        </references>
      </pivotArea>
    </chartFormat>
    <chartFormat chart="21" format="85">
      <pivotArea type="data" outline="0" fieldPosition="0">
        <references count="3">
          <reference field="4294967294" count="1" selected="0">
            <x v="1"/>
          </reference>
          <reference field="7" count="1" selected="0">
            <x v="1"/>
          </reference>
          <reference field="13" count="1" selected="0">
            <x v="10"/>
          </reference>
        </references>
      </pivotArea>
    </chartFormat>
    <chartFormat chart="21" format="86">
      <pivotArea type="data" outline="0" fieldPosition="0">
        <references count="3">
          <reference field="4294967294" count="1" selected="0">
            <x v="1"/>
          </reference>
          <reference field="7" count="1" selected="0">
            <x v="1"/>
          </reference>
          <reference field="13" count="1" selected="0">
            <x v="11"/>
          </reference>
        </references>
      </pivotArea>
    </chartFormat>
    <chartFormat chart="21" format="87">
      <pivotArea type="data" outline="0" fieldPosition="0">
        <references count="3">
          <reference field="4294967294" count="1" selected="0">
            <x v="0"/>
          </reference>
          <reference field="7" count="1" selected="0">
            <x v="3"/>
          </reference>
          <reference field="13" count="1" selected="0">
            <x v="0"/>
          </reference>
        </references>
      </pivotArea>
    </chartFormat>
    <chartFormat chart="21" format="88">
      <pivotArea type="data" outline="0" fieldPosition="0">
        <references count="3">
          <reference field="4294967294" count="1" selected="0">
            <x v="1"/>
          </reference>
          <reference field="7" count="1" selected="0">
            <x v="3"/>
          </reference>
          <reference field="13" count="1" selected="0">
            <x v="0"/>
          </reference>
        </references>
      </pivotArea>
    </chartFormat>
    <chartFormat chart="87" format="147">
      <pivotArea type="data" outline="0" fieldPosition="0">
        <references count="3">
          <reference field="4294967294" count="1" selected="0">
            <x v="0"/>
          </reference>
          <reference field="7" count="1" selected="0">
            <x v="3"/>
          </reference>
          <reference field="13" count="1" selected="0">
            <x v="0"/>
          </reference>
        </references>
      </pivotArea>
    </chartFormat>
    <chartFormat chart="87" format="148">
      <pivotArea type="data" outline="0" fieldPosition="0">
        <references count="3">
          <reference field="4294967294" count="1" selected="0">
            <x v="1"/>
          </reference>
          <reference field="7" count="1" selected="0">
            <x v="3"/>
          </reference>
          <reference field="13" count="1" selected="0">
            <x v="0"/>
          </reference>
        </references>
      </pivotArea>
    </chartFormat>
    <chartFormat chart="87" format="149">
      <pivotArea type="data" outline="0" fieldPosition="0">
        <references count="3">
          <reference field="4294967294" count="1" selected="0">
            <x v="0"/>
          </reference>
          <reference field="7" count="1" selected="0">
            <x v="3"/>
          </reference>
          <reference field="13" count="1" selected="0">
            <x v="1"/>
          </reference>
        </references>
      </pivotArea>
    </chartFormat>
    <chartFormat chart="87" format="150">
      <pivotArea type="data" outline="0" fieldPosition="0">
        <references count="3">
          <reference field="4294967294" count="1" selected="0">
            <x v="1"/>
          </reference>
          <reference field="7" count="1" selected="0">
            <x v="3"/>
          </reference>
          <reference field="13" count="1" selected="0">
            <x v="1"/>
          </reference>
        </references>
      </pivotArea>
    </chartFormat>
    <chartFormat chart="21" format="89">
      <pivotArea type="data" outline="0" fieldPosition="0">
        <references count="3">
          <reference field="4294967294" count="1" selected="0">
            <x v="0"/>
          </reference>
          <reference field="7" count="1" selected="0">
            <x v="3"/>
          </reference>
          <reference field="13" count="1" selected="0">
            <x v="1"/>
          </reference>
        </references>
      </pivotArea>
    </chartFormat>
    <chartFormat chart="21" format="90">
      <pivotArea type="data" outline="0" fieldPosition="0">
        <references count="3">
          <reference field="4294967294" count="1" selected="0">
            <x v="1"/>
          </reference>
          <reference field="7" count="1" selected="0">
            <x v="3"/>
          </reference>
          <reference field="13" count="1" selected="0">
            <x v="1"/>
          </reference>
        </references>
      </pivotArea>
    </chartFormat>
    <chartFormat chart="87" format="151">
      <pivotArea type="data" outline="0" fieldPosition="0">
        <references count="3">
          <reference field="4294967294" count="1" selected="0">
            <x v="0"/>
          </reference>
          <reference field="7" count="1" selected="0">
            <x v="3"/>
          </reference>
          <reference field="13" count="1" selected="0">
            <x v="2"/>
          </reference>
        </references>
      </pivotArea>
    </chartFormat>
    <chartFormat chart="87" format="152">
      <pivotArea type="data" outline="0" fieldPosition="0">
        <references count="3">
          <reference field="4294967294" count="1" selected="0">
            <x v="1"/>
          </reference>
          <reference field="7" count="1" selected="0">
            <x v="3"/>
          </reference>
          <reference field="13" count="1" selected="0">
            <x v="2"/>
          </reference>
        </references>
      </pivotArea>
    </chartFormat>
    <chartFormat chart="21" format="91">
      <pivotArea type="data" outline="0" fieldPosition="0">
        <references count="3">
          <reference field="4294967294" count="1" selected="0">
            <x v="0"/>
          </reference>
          <reference field="7" count="1" selected="0">
            <x v="3"/>
          </reference>
          <reference field="13" count="1" selected="0">
            <x v="2"/>
          </reference>
        </references>
      </pivotArea>
    </chartFormat>
    <chartFormat chart="21" format="92">
      <pivotArea type="data" outline="0" fieldPosition="0">
        <references count="3">
          <reference field="4294967294" count="1" selected="0">
            <x v="1"/>
          </reference>
          <reference field="7" count="1" selected="0">
            <x v="3"/>
          </reference>
          <reference field="13" count="1" selected="0">
            <x v="2"/>
          </reference>
        </references>
      </pivotArea>
    </chartFormat>
    <chartFormat chart="87" format="153">
      <pivotArea type="data" outline="0" fieldPosition="0">
        <references count="3">
          <reference field="4294967294" count="1" selected="0">
            <x v="0"/>
          </reference>
          <reference field="7" count="1" selected="0">
            <x v="3"/>
          </reference>
          <reference field="13" count="1" selected="0">
            <x v="3"/>
          </reference>
        </references>
      </pivotArea>
    </chartFormat>
    <chartFormat chart="87" format="154">
      <pivotArea type="data" outline="0" fieldPosition="0">
        <references count="3">
          <reference field="4294967294" count="1" selected="0">
            <x v="0"/>
          </reference>
          <reference field="7" count="1" selected="0">
            <x v="3"/>
          </reference>
          <reference field="13" count="1" selected="0">
            <x v="4"/>
          </reference>
        </references>
      </pivotArea>
    </chartFormat>
    <chartFormat chart="87" format="155">
      <pivotArea type="data" outline="0" fieldPosition="0">
        <references count="3">
          <reference field="4294967294" count="1" selected="0">
            <x v="0"/>
          </reference>
          <reference field="7" count="1" selected="0">
            <x v="3"/>
          </reference>
          <reference field="13" count="1" selected="0">
            <x v="5"/>
          </reference>
        </references>
      </pivotArea>
    </chartFormat>
    <chartFormat chart="87" format="156">
      <pivotArea type="data" outline="0" fieldPosition="0">
        <references count="3">
          <reference field="4294967294" count="1" selected="0">
            <x v="1"/>
          </reference>
          <reference field="7" count="1" selected="0">
            <x v="3"/>
          </reference>
          <reference field="13" count="1" selected="0">
            <x v="3"/>
          </reference>
        </references>
      </pivotArea>
    </chartFormat>
    <chartFormat chart="87" format="157">
      <pivotArea type="data" outline="0" fieldPosition="0">
        <references count="3">
          <reference field="4294967294" count="1" selected="0">
            <x v="1"/>
          </reference>
          <reference field="7" count="1" selected="0">
            <x v="3"/>
          </reference>
          <reference field="13" count="1" selected="0">
            <x v="4"/>
          </reference>
        </references>
      </pivotArea>
    </chartFormat>
    <chartFormat chart="87" format="158">
      <pivotArea type="data" outline="0" fieldPosition="0">
        <references count="3">
          <reference field="4294967294" count="1" selected="0">
            <x v="1"/>
          </reference>
          <reference field="7" count="1" selected="0">
            <x v="3"/>
          </reference>
          <reference field="13" count="1" selected="0">
            <x v="5"/>
          </reference>
        </references>
      </pivotArea>
    </chartFormat>
    <chartFormat chart="21" format="93">
      <pivotArea type="data" outline="0" fieldPosition="0">
        <references count="3">
          <reference field="4294967294" count="1" selected="0">
            <x v="0"/>
          </reference>
          <reference field="7" count="1" selected="0">
            <x v="3"/>
          </reference>
          <reference field="13" count="1" selected="0">
            <x v="3"/>
          </reference>
        </references>
      </pivotArea>
    </chartFormat>
    <chartFormat chart="21" format="94">
      <pivotArea type="data" outline="0" fieldPosition="0">
        <references count="3">
          <reference field="4294967294" count="1" selected="0">
            <x v="0"/>
          </reference>
          <reference field="7" count="1" selected="0">
            <x v="3"/>
          </reference>
          <reference field="13" count="1" selected="0">
            <x v="4"/>
          </reference>
        </references>
      </pivotArea>
    </chartFormat>
    <chartFormat chart="21" format="95">
      <pivotArea type="data" outline="0" fieldPosition="0">
        <references count="3">
          <reference field="4294967294" count="1" selected="0">
            <x v="0"/>
          </reference>
          <reference field="7" count="1" selected="0">
            <x v="3"/>
          </reference>
          <reference field="13" count="1" selected="0">
            <x v="5"/>
          </reference>
        </references>
      </pivotArea>
    </chartFormat>
    <chartFormat chart="21" format="96">
      <pivotArea type="data" outline="0" fieldPosition="0">
        <references count="3">
          <reference field="4294967294" count="1" selected="0">
            <x v="1"/>
          </reference>
          <reference field="7" count="1" selected="0">
            <x v="3"/>
          </reference>
          <reference field="13" count="1" selected="0">
            <x v="3"/>
          </reference>
        </references>
      </pivotArea>
    </chartFormat>
    <chartFormat chart="21" format="97">
      <pivotArea type="data" outline="0" fieldPosition="0">
        <references count="3">
          <reference field="4294967294" count="1" selected="0">
            <x v="1"/>
          </reference>
          <reference field="7" count="1" selected="0">
            <x v="3"/>
          </reference>
          <reference field="13" count="1" selected="0">
            <x v="4"/>
          </reference>
        </references>
      </pivotArea>
    </chartFormat>
    <chartFormat chart="21" format="98">
      <pivotArea type="data" outline="0" fieldPosition="0">
        <references count="3">
          <reference field="4294967294" count="1" selected="0">
            <x v="1"/>
          </reference>
          <reference field="7" count="1" selected="0">
            <x v="3"/>
          </reference>
          <reference field="1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3.xml><?xml version="1.0" encoding="utf-8"?>
<pivotTableDefinition xmlns="http://schemas.openxmlformats.org/spreadsheetml/2006/main" xmlns:mc="http://schemas.openxmlformats.org/markup-compatibility/2006" xmlns:xr="http://schemas.microsoft.com/office/spreadsheetml/2014/revision" mc:Ignorable="xr" xr:uid="{F6D5D409-0A1A-42F1-A05A-BF1689073E1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7">
  <location ref="I5:L25" firstHeaderRow="0" firstDataRow="1" firstDataCol="1"/>
  <pivotFields count="44">
    <pivotField showAll="0"/>
    <pivotField showAll="0"/>
    <pivotField showAll="0"/>
    <pivotField showAll="0"/>
    <pivotField showAll="0"/>
    <pivotField showAll="0">
      <items count="16">
        <item h="1" x="0"/>
        <item h="1" x="1"/>
        <item h="1" x="2"/>
        <item h="1" x="3"/>
        <item h="1" x="4"/>
        <item h="1" x="5"/>
        <item h="1" x="6"/>
        <item h="1" x="7"/>
        <item h="1" x="8"/>
        <item h="1" x="9"/>
        <item h="1" x="10"/>
        <item h="1" x="11"/>
        <item h="1" x="12"/>
        <item x="13"/>
        <item h="1" x="14"/>
        <item t="default"/>
      </items>
    </pivotField>
    <pivotField showAll="0"/>
    <pivotField axis="axisRow" showAll="0">
      <items count="5">
        <item h="1" x="0"/>
        <item x="1"/>
        <item h="1" x="3"/>
        <item x="2"/>
        <item t="default"/>
      </items>
    </pivotField>
    <pivotField showAll="0"/>
    <pivotField showAll="0"/>
    <pivotField showAll="0"/>
    <pivotField showAll="0"/>
    <pivotField showAll="0"/>
    <pivotField axis="axisRow" showAll="0">
      <items count="15">
        <item x="4"/>
        <item x="5"/>
        <item x="3"/>
        <item x="7"/>
        <item x="6"/>
        <item x="8"/>
        <item x="9"/>
        <item x="10"/>
        <item x="2"/>
        <item x="0"/>
        <item x="1"/>
        <item x="11"/>
        <item x="12"/>
        <item x="13"/>
        <item t="default"/>
      </items>
    </pivotField>
    <pivotField showAll="0"/>
    <pivotField showAll="0"/>
    <pivotField showAll="0">
      <items count="10">
        <item h="1" m="1" x="8"/>
        <item h="1" x="0"/>
        <item h="1" x="2"/>
        <item h="1" x="3"/>
        <item h="1" x="6"/>
        <item h="1" x="1"/>
        <item h="1" x="4"/>
        <item x="5"/>
        <item h="1" x="7"/>
        <item t="default"/>
      </items>
    </pivotField>
    <pivotField name="Total_number_of_ROC"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dragToRow="0" dragToCol="0" dragToPage="0" showAll="0" defaultSubtotal="0"/>
    <pivotField dataField="1"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s>
  <rowFields count="2">
    <field x="7"/>
    <field x="13"/>
  </rowFields>
  <rowItems count="20">
    <i>
      <x v="1"/>
    </i>
    <i r="1">
      <x/>
    </i>
    <i r="1">
      <x v="1"/>
    </i>
    <i r="1">
      <x v="2"/>
    </i>
    <i r="1">
      <x v="3"/>
    </i>
    <i r="1">
      <x v="4"/>
    </i>
    <i r="1">
      <x v="5"/>
    </i>
    <i r="1">
      <x v="6"/>
    </i>
    <i r="1">
      <x v="7"/>
    </i>
    <i r="1">
      <x v="8"/>
    </i>
    <i r="1">
      <x v="9"/>
    </i>
    <i r="1">
      <x v="10"/>
    </i>
    <i r="1">
      <x v="11"/>
    </i>
    <i>
      <x v="3"/>
    </i>
    <i r="1">
      <x/>
    </i>
    <i r="1">
      <x v="1"/>
    </i>
    <i r="1">
      <x v="2"/>
    </i>
    <i r="1">
      <x v="3"/>
    </i>
    <i r="1">
      <x v="4"/>
    </i>
    <i t="grand">
      <x/>
    </i>
  </rowItems>
  <colFields count="1">
    <field x="-2"/>
  </colFields>
  <colItems count="3">
    <i>
      <x/>
    </i>
    <i i="1">
      <x v="1"/>
    </i>
    <i i="2">
      <x v="2"/>
    </i>
  </colItems>
  <dataFields count="3">
    <dataField name=" CD4&lt;200%" fld="39" baseField="6" baseItem="0"/>
    <dataField name=" LAM+%" fld="41" baseField="6" baseItem="0"/>
    <dataField name=" CrAg+%" fld="40" baseField="6" baseItem="0"/>
  </dataFields>
  <formats count="2">
    <format dxfId="6">
      <pivotArea collapsedLevelsAreSubtotals="1" fieldPosition="0">
        <references count="1">
          <reference field="7" count="1">
            <x v="0"/>
          </reference>
        </references>
      </pivotArea>
    </format>
    <format dxfId="5">
      <pivotArea collapsedLevelsAreSubtotals="1" fieldPosition="0">
        <references count="1">
          <reference field="7" count="1">
            <x v="1"/>
          </reference>
        </references>
      </pivotArea>
    </format>
  </formats>
  <chartFormats count="42">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2"/>
          </reference>
        </references>
      </pivotArea>
    </chartFormat>
    <chartFormat chart="13" format="2" series="1">
      <pivotArea type="data" outline="0" fieldPosition="0">
        <references count="1">
          <reference field="4294967294" count="1" selected="0">
            <x v="1"/>
          </reference>
        </references>
      </pivotArea>
    </chartFormat>
    <chartFormat chart="19" format="5"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1"/>
          </reference>
        </references>
      </pivotArea>
    </chartFormat>
    <chartFormat chart="19" format="8" series="1">
      <pivotArea type="data" outline="0" fieldPosition="0">
        <references count="1">
          <reference field="4294967294" count="1" selected="0">
            <x v="2"/>
          </reference>
        </references>
      </pivotArea>
    </chartFormat>
    <chartFormat chart="20" format="9" series="1">
      <pivotArea type="data" outline="0" fieldPosition="0">
        <references count="1">
          <reference field="4294967294" count="1" selected="0">
            <x v="0"/>
          </reference>
        </references>
      </pivotArea>
    </chartFormat>
    <chartFormat chart="20" format="10" series="1">
      <pivotArea type="data" outline="0" fieldPosition="0">
        <references count="1">
          <reference field="4294967294" count="1" selected="0">
            <x v="1"/>
          </reference>
        </references>
      </pivotArea>
    </chartFormat>
    <chartFormat chart="20" format="12" series="1">
      <pivotArea type="data" outline="0" fieldPosition="0">
        <references count="1">
          <reference field="4294967294" count="1" selected="0">
            <x v="2"/>
          </reference>
        </references>
      </pivotArea>
    </chartFormat>
    <chartFormat chart="60" format="16" series="1">
      <pivotArea type="data" outline="0" fieldPosition="0">
        <references count="1">
          <reference field="4294967294" count="1" selected="0">
            <x v="0"/>
          </reference>
        </references>
      </pivotArea>
    </chartFormat>
    <chartFormat chart="60" format="17" series="1">
      <pivotArea type="data" outline="0" fieldPosition="0">
        <references count="1">
          <reference field="4294967294" count="1" selected="0">
            <x v="1"/>
          </reference>
        </references>
      </pivotArea>
    </chartFormat>
    <chartFormat chart="60" format="22" series="1">
      <pivotArea type="data" outline="0" fieldPosition="0">
        <references count="1">
          <reference field="4294967294" count="1" selected="0">
            <x v="2"/>
          </reference>
        </references>
      </pivotArea>
    </chartFormat>
    <chartFormat chart="61" format="23" series="1">
      <pivotArea type="data" outline="0" fieldPosition="0">
        <references count="1">
          <reference field="4294967294" count="1" selected="0">
            <x v="0"/>
          </reference>
        </references>
      </pivotArea>
    </chartFormat>
    <chartFormat chart="61" format="24" series="1">
      <pivotArea type="data" outline="0" fieldPosition="0">
        <references count="1">
          <reference field="4294967294" count="1" selected="0">
            <x v="1"/>
          </reference>
        </references>
      </pivotArea>
    </chartFormat>
    <chartFormat chart="61" format="29" series="1">
      <pivotArea type="data" outline="0" fieldPosition="0">
        <references count="1">
          <reference field="4294967294" count="1" selected="0">
            <x v="2"/>
          </reference>
        </references>
      </pivotArea>
    </chartFormat>
    <chartFormat chart="103" format="49" series="1">
      <pivotArea type="data" outline="0" fieldPosition="0">
        <references count="1">
          <reference field="4294967294" count="1" selected="0">
            <x v="0"/>
          </reference>
        </references>
      </pivotArea>
    </chartFormat>
    <chartFormat chart="103" format="50" series="1">
      <pivotArea type="data" outline="0" fieldPosition="0">
        <references count="1">
          <reference field="4294967294" count="1" selected="0">
            <x v="1"/>
          </reference>
        </references>
      </pivotArea>
    </chartFormat>
    <chartFormat chart="103" format="58" series="1">
      <pivotArea type="data" outline="0" fieldPosition="0">
        <references count="1">
          <reference field="4294967294" count="1" selected="0">
            <x v="2"/>
          </reference>
        </references>
      </pivotArea>
    </chartFormat>
    <chartFormat chart="104" format="60" series="1">
      <pivotArea type="data" outline="0" fieldPosition="0">
        <references count="1">
          <reference field="4294967294" count="1" selected="0">
            <x v="0"/>
          </reference>
        </references>
      </pivotArea>
    </chartFormat>
    <chartFormat chart="104" format="61" series="1">
      <pivotArea type="data" outline="0" fieldPosition="0">
        <references count="1">
          <reference field="4294967294" count="1" selected="0">
            <x v="1"/>
          </reference>
        </references>
      </pivotArea>
    </chartFormat>
    <chartFormat chart="104" format="69" series="1">
      <pivotArea type="data" outline="0" fieldPosition="0">
        <references count="1">
          <reference field="4294967294" count="1" selected="0">
            <x v="2"/>
          </reference>
        </references>
      </pivotArea>
    </chartFormat>
    <chartFormat chart="105" format="70" series="1">
      <pivotArea type="data" outline="0" fieldPosition="0">
        <references count="1">
          <reference field="4294967294" count="1" selected="0">
            <x v="0"/>
          </reference>
        </references>
      </pivotArea>
    </chartFormat>
    <chartFormat chart="105" format="71" series="1">
      <pivotArea type="data" outline="0" fieldPosition="0">
        <references count="1">
          <reference field="4294967294" count="1" selected="0">
            <x v="1"/>
          </reference>
        </references>
      </pivotArea>
    </chartFormat>
    <chartFormat chart="105" format="79" series="1">
      <pivotArea type="data" outline="0" fieldPosition="0">
        <references count="1">
          <reference field="4294967294" count="1" selected="0">
            <x v="2"/>
          </reference>
        </references>
      </pivotArea>
    </chartFormat>
    <chartFormat chart="103" format="61">
      <pivotArea type="data" outline="0" fieldPosition="0">
        <references count="3">
          <reference field="4294967294" count="1" selected="0">
            <x v="1"/>
          </reference>
          <reference field="7" count="1" selected="0">
            <x v="1"/>
          </reference>
          <reference field="13" count="1" selected="0">
            <x v="2"/>
          </reference>
        </references>
      </pivotArea>
    </chartFormat>
    <chartFormat chart="103" format="62">
      <pivotArea type="data" outline="0" fieldPosition="0">
        <references count="3">
          <reference field="4294967294" count="1" selected="0">
            <x v="1"/>
          </reference>
          <reference field="7" count="1" selected="0">
            <x v="1"/>
          </reference>
          <reference field="13" count="1" selected="0">
            <x v="3"/>
          </reference>
        </references>
      </pivotArea>
    </chartFormat>
    <chartFormat chart="103" format="63">
      <pivotArea type="data" outline="0" fieldPosition="0">
        <references count="3">
          <reference field="4294967294" count="1" selected="0">
            <x v="1"/>
          </reference>
          <reference field="7" count="1" selected="0">
            <x v="1"/>
          </reference>
          <reference field="13" count="1" selected="0">
            <x v="4"/>
          </reference>
        </references>
      </pivotArea>
    </chartFormat>
    <chartFormat chart="103" format="64">
      <pivotArea type="data" outline="0" fieldPosition="0">
        <references count="3">
          <reference field="4294967294" count="1" selected="0">
            <x v="1"/>
          </reference>
          <reference field="7" count="1" selected="0">
            <x v="1"/>
          </reference>
          <reference field="13" count="1" selected="0">
            <x v="5"/>
          </reference>
        </references>
      </pivotArea>
    </chartFormat>
    <chartFormat chart="103" format="65">
      <pivotArea type="data" outline="0" fieldPosition="0">
        <references count="3">
          <reference field="4294967294" count="1" selected="0">
            <x v="1"/>
          </reference>
          <reference field="7" count="1" selected="0">
            <x v="1"/>
          </reference>
          <reference field="13" count="1" selected="0">
            <x v="6"/>
          </reference>
        </references>
      </pivotArea>
    </chartFormat>
    <chartFormat chart="103" format="66">
      <pivotArea type="data" outline="0" fieldPosition="0">
        <references count="3">
          <reference field="4294967294" count="1" selected="0">
            <x v="1"/>
          </reference>
          <reference field="7" count="1" selected="0">
            <x v="1"/>
          </reference>
          <reference field="13" count="1" selected="0">
            <x v="7"/>
          </reference>
        </references>
      </pivotArea>
    </chartFormat>
    <chartFormat chart="103" format="67">
      <pivotArea type="data" outline="0" fieldPosition="0">
        <references count="3">
          <reference field="4294967294" count="1" selected="0">
            <x v="1"/>
          </reference>
          <reference field="7" count="1" selected="0">
            <x v="1"/>
          </reference>
          <reference field="13" count="1" selected="0">
            <x v="8"/>
          </reference>
        </references>
      </pivotArea>
    </chartFormat>
    <chartFormat chart="103" format="68">
      <pivotArea type="data" outline="0" fieldPosition="0">
        <references count="3">
          <reference field="4294967294" count="1" selected="0">
            <x v="1"/>
          </reference>
          <reference field="7" count="1" selected="0">
            <x v="1"/>
          </reference>
          <reference field="13" count="1" selected="0">
            <x v="9"/>
          </reference>
        </references>
      </pivotArea>
    </chartFormat>
    <chartFormat chart="20" format="31">
      <pivotArea type="data" outline="0" fieldPosition="0">
        <references count="3">
          <reference field="4294967294" count="1" selected="0">
            <x v="1"/>
          </reference>
          <reference field="7" count="1" selected="0">
            <x v="1"/>
          </reference>
          <reference field="13" count="1" selected="0">
            <x v="2"/>
          </reference>
        </references>
      </pivotArea>
    </chartFormat>
    <chartFormat chart="20" format="32">
      <pivotArea type="data" outline="0" fieldPosition="0">
        <references count="3">
          <reference field="4294967294" count="1" selected="0">
            <x v="1"/>
          </reference>
          <reference field="7" count="1" selected="0">
            <x v="1"/>
          </reference>
          <reference field="13" count="1" selected="0">
            <x v="3"/>
          </reference>
        </references>
      </pivotArea>
    </chartFormat>
    <chartFormat chart="20" format="33">
      <pivotArea type="data" outline="0" fieldPosition="0">
        <references count="3">
          <reference field="4294967294" count="1" selected="0">
            <x v="1"/>
          </reference>
          <reference field="7" count="1" selected="0">
            <x v="1"/>
          </reference>
          <reference field="13" count="1" selected="0">
            <x v="4"/>
          </reference>
        </references>
      </pivotArea>
    </chartFormat>
    <chartFormat chart="20" format="34">
      <pivotArea type="data" outline="0" fieldPosition="0">
        <references count="3">
          <reference field="4294967294" count="1" selected="0">
            <x v="1"/>
          </reference>
          <reference field="7" count="1" selected="0">
            <x v="1"/>
          </reference>
          <reference field="13" count="1" selected="0">
            <x v="5"/>
          </reference>
        </references>
      </pivotArea>
    </chartFormat>
    <chartFormat chart="20" format="35">
      <pivotArea type="data" outline="0" fieldPosition="0">
        <references count="3">
          <reference field="4294967294" count="1" selected="0">
            <x v="1"/>
          </reference>
          <reference field="7" count="1" selected="0">
            <x v="1"/>
          </reference>
          <reference field="13" count="1" selected="0">
            <x v="6"/>
          </reference>
        </references>
      </pivotArea>
    </chartFormat>
    <chartFormat chart="20" format="36">
      <pivotArea type="data" outline="0" fieldPosition="0">
        <references count="3">
          <reference field="4294967294" count="1" selected="0">
            <x v="1"/>
          </reference>
          <reference field="7" count="1" selected="0">
            <x v="1"/>
          </reference>
          <reference field="13" count="1" selected="0">
            <x v="7"/>
          </reference>
        </references>
      </pivotArea>
    </chartFormat>
    <chartFormat chart="20" format="37">
      <pivotArea type="data" outline="0" fieldPosition="0">
        <references count="3">
          <reference field="4294967294" count="1" selected="0">
            <x v="1"/>
          </reference>
          <reference field="7" count="1" selected="0">
            <x v="1"/>
          </reference>
          <reference field="13" count="1" selected="0">
            <x v="8"/>
          </reference>
        </references>
      </pivotArea>
    </chartFormat>
    <chartFormat chart="20" format="38">
      <pivotArea type="data" outline="0" fieldPosition="0">
        <references count="3">
          <reference field="4294967294" count="1" selected="0">
            <x v="1"/>
          </reference>
          <reference field="7" count="1" selected="0">
            <x v="1"/>
          </reference>
          <reference field="13" count="1" selected="0">
            <x v="9"/>
          </reference>
        </references>
      </pivotArea>
    </chartFormat>
    <chartFormat chart="103" format="69">
      <pivotArea type="data" outline="0" fieldPosition="0">
        <references count="3">
          <reference field="4294967294" count="1" selected="0">
            <x v="1"/>
          </reference>
          <reference field="7" count="1" selected="0">
            <x v="3"/>
          </reference>
          <reference field="13" count="1" selected="0">
            <x v="2"/>
          </reference>
        </references>
      </pivotArea>
    </chartFormat>
    <chartFormat chart="20" format="39">
      <pivotArea type="data" outline="0" fieldPosition="0">
        <references count="3">
          <reference field="4294967294" count="1" selected="0">
            <x v="1"/>
          </reference>
          <reference field="7" count="1" selected="0">
            <x v="3"/>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4.xml><?xml version="1.0" encoding="utf-8"?>
<pivotTableDefinition xmlns="http://schemas.openxmlformats.org/spreadsheetml/2006/main" xmlns:mc="http://schemas.openxmlformats.org/markup-compatibility/2006" xmlns:xr="http://schemas.microsoft.com/office/spreadsheetml/2014/revision" mc:Ignorable="xr" xr:uid="{FAC01670-3073-444A-8493-6ED0C854B0C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7">
  <location ref="A5:E42" firstHeaderRow="0" firstDataRow="1" firstDataCol="1"/>
  <pivotFields count="44">
    <pivotField showAll="0"/>
    <pivotField showAll="0"/>
    <pivotField showAll="0"/>
    <pivotField showAll="0"/>
    <pivotField showAll="0"/>
    <pivotField showAll="0">
      <items count="16">
        <item h="1" x="0"/>
        <item h="1" x="1"/>
        <item h="1" x="2"/>
        <item h="1" x="3"/>
        <item h="1" x="4"/>
        <item h="1" x="5"/>
        <item h="1" x="6"/>
        <item h="1" x="7"/>
        <item h="1" x="8"/>
        <item h="1" x="9"/>
        <item h="1" x="10"/>
        <item h="1" x="11"/>
        <item h="1" x="12"/>
        <item x="13"/>
        <item h="1" x="14"/>
        <item t="default"/>
      </items>
    </pivotField>
    <pivotField showAll="0"/>
    <pivotField axis="axisRow" showAll="0">
      <items count="5">
        <item h="1" x="0"/>
        <item x="1"/>
        <item h="1" x="3"/>
        <item x="2"/>
        <item t="default"/>
      </items>
    </pivotField>
    <pivotField showAll="0"/>
    <pivotField showAll="0"/>
    <pivotField showAll="0"/>
    <pivotField showAll="0"/>
    <pivotField showAll="0"/>
    <pivotField axis="axisRow" showAll="0">
      <items count="15">
        <item x="4"/>
        <item x="5"/>
        <item x="3"/>
        <item x="7"/>
        <item x="6"/>
        <item x="8"/>
        <item x="9"/>
        <item x="10"/>
        <item x="2"/>
        <item x="0"/>
        <item x="1"/>
        <item x="11"/>
        <item x="12"/>
        <item x="13"/>
        <item t="default"/>
      </items>
    </pivotField>
    <pivotField showAll="0"/>
    <pivotField showAll="0"/>
    <pivotField showAll="0">
      <items count="10">
        <item h="1" m="1" x="8"/>
        <item h="1" x="0"/>
        <item h="1" x="2"/>
        <item h="1" x="3"/>
        <item h="1" x="6"/>
        <item h="1" x="1"/>
        <item h="1" x="4"/>
        <item x="5"/>
        <item h="1" x="7"/>
        <item t="default"/>
      </items>
    </pivotField>
    <pivotField name="Total_number_of_ROC" axis="axisRow" showAll="0">
      <items count="195">
        <item x="21"/>
        <item x="18"/>
        <item x="20"/>
        <item x="30"/>
        <item x="33"/>
        <item x="54"/>
        <item x="37"/>
        <item x="31"/>
        <item x="39"/>
        <item x="25"/>
        <item x="49"/>
        <item x="36"/>
        <item x="29"/>
        <item x="23"/>
        <item x="42"/>
        <item x="57"/>
        <item x="44"/>
        <item x="51"/>
        <item x="60"/>
        <item x="61"/>
        <item x="53"/>
        <item x="16"/>
        <item x="26"/>
        <item x="17"/>
        <item x="52"/>
        <item x="9"/>
        <item x="59"/>
        <item x="62"/>
        <item x="56"/>
        <item x="34"/>
        <item x="2"/>
        <item x="28"/>
        <item x="43"/>
        <item x="81"/>
        <item x="41"/>
        <item x="0"/>
        <item x="38"/>
        <item x="40"/>
        <item x="58"/>
        <item x="64"/>
        <item x="65"/>
        <item x="55"/>
        <item x="32"/>
        <item x="19"/>
        <item x="5"/>
        <item x="8"/>
        <item x="50"/>
        <item x="63"/>
        <item x="4"/>
        <item x="123"/>
        <item x="11"/>
        <item x="10"/>
        <item x="13"/>
        <item x="3"/>
        <item x="48"/>
        <item x="1"/>
        <item x="7"/>
        <item x="108"/>
        <item x="14"/>
        <item x="136"/>
        <item x="67"/>
        <item x="68"/>
        <item x="12"/>
        <item x="154"/>
        <item x="46"/>
        <item x="15"/>
        <item x="35"/>
        <item x="144"/>
        <item x="182"/>
        <item x="6"/>
        <item x="131"/>
        <item x="98"/>
        <item x="100"/>
        <item x="47"/>
        <item x="111"/>
        <item x="69"/>
        <item x="101"/>
        <item x="70"/>
        <item x="66"/>
        <item x="112"/>
        <item x="185"/>
        <item x="130"/>
        <item x="45"/>
        <item x="78"/>
        <item x="84"/>
        <item x="179"/>
        <item x="118"/>
        <item x="124"/>
        <item x="163"/>
        <item x="170"/>
        <item x="96"/>
        <item x="166"/>
        <item x="122"/>
        <item x="86"/>
        <item x="90"/>
        <item x="183"/>
        <item x="155"/>
        <item x="92"/>
        <item x="157"/>
        <item x="94"/>
        <item x="129"/>
        <item x="74"/>
        <item x="109"/>
        <item x="133"/>
        <item x="79"/>
        <item x="27"/>
        <item x="132"/>
        <item x="126"/>
        <item x="181"/>
        <item x="85"/>
        <item x="24"/>
        <item x="77"/>
        <item x="22"/>
        <item x="147"/>
        <item x="83"/>
        <item x="99"/>
        <item x="145"/>
        <item x="142"/>
        <item x="121"/>
        <item x="187"/>
        <item x="88"/>
        <item x="148"/>
        <item x="117"/>
        <item x="110"/>
        <item x="95"/>
        <item x="125"/>
        <item x="103"/>
        <item x="176"/>
        <item x="120"/>
        <item x="153"/>
        <item x="141"/>
        <item x="146"/>
        <item x="102"/>
        <item x="128"/>
        <item x="76"/>
        <item x="80"/>
        <item x="119"/>
        <item x="97"/>
        <item x="73"/>
        <item x="137"/>
        <item x="140"/>
        <item x="93"/>
        <item x="116"/>
        <item x="82"/>
        <item x="87"/>
        <item x="91"/>
        <item x="174"/>
        <item x="71"/>
        <item x="139"/>
        <item x="127"/>
        <item x="138"/>
        <item x="150"/>
        <item x="75"/>
        <item x="143"/>
        <item x="156"/>
        <item x="173"/>
        <item x="149"/>
        <item x="152"/>
        <item x="180"/>
        <item x="168"/>
        <item x="89"/>
        <item x="161"/>
        <item x="151"/>
        <item x="160"/>
        <item x="114"/>
        <item x="169"/>
        <item x="113"/>
        <item x="162"/>
        <item x="158"/>
        <item x="115"/>
        <item x="188"/>
        <item x="159"/>
        <item x="72"/>
        <item x="171"/>
        <item x="172"/>
        <item x="164"/>
        <item x="167"/>
        <item x="177"/>
        <item x="189"/>
        <item x="184"/>
        <item x="175"/>
        <item x="186"/>
        <item x="165"/>
        <item x="178"/>
        <item x="192"/>
        <item x="104"/>
        <item x="105"/>
        <item x="106"/>
        <item x="107"/>
        <item x="134"/>
        <item x="135"/>
        <item x="190"/>
        <item x="191"/>
        <item x="193"/>
        <item t="default"/>
      </items>
    </pivotField>
    <pivotField showAll="0"/>
    <pivotField showAll="0"/>
    <pivotField showAll="0"/>
    <pivotField showAll="0"/>
    <pivotField showAll="0"/>
    <pivotField dataField="1" showAll="0"/>
    <pivotField showAll="0"/>
    <pivotField dataField="1"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s>
  <rowFields count="3">
    <field x="7"/>
    <field x="13"/>
    <field x="17"/>
  </rowFields>
  <rowItems count="37">
    <i>
      <x v="1"/>
    </i>
    <i r="1">
      <x/>
    </i>
    <i r="2">
      <x v="97"/>
    </i>
    <i r="1">
      <x v="1"/>
    </i>
    <i r="2">
      <x v="89"/>
    </i>
    <i r="1">
      <x v="2"/>
    </i>
    <i r="2">
      <x v="91"/>
    </i>
    <i r="1">
      <x v="3"/>
    </i>
    <i r="2">
      <x v="96"/>
    </i>
    <i r="1">
      <x v="4"/>
    </i>
    <i r="2">
      <x v="92"/>
    </i>
    <i r="1">
      <x v="5"/>
    </i>
    <i r="2">
      <x v="112"/>
    </i>
    <i r="1">
      <x v="6"/>
    </i>
    <i r="2">
      <x v="132"/>
    </i>
    <i r="1">
      <x v="7"/>
    </i>
    <i r="2">
      <x v="78"/>
    </i>
    <i r="1">
      <x v="8"/>
    </i>
    <i r="2">
      <x v="85"/>
    </i>
    <i r="1">
      <x v="9"/>
    </i>
    <i r="2">
      <x v="81"/>
    </i>
    <i r="1">
      <x v="10"/>
    </i>
    <i r="2">
      <x v="79"/>
    </i>
    <i r="1">
      <x v="11"/>
    </i>
    <i r="2">
      <x v="73"/>
    </i>
    <i>
      <x v="3"/>
    </i>
    <i r="1">
      <x/>
    </i>
    <i r="2">
      <x v="89"/>
    </i>
    <i r="1">
      <x v="1"/>
    </i>
    <i r="2">
      <x v="32"/>
    </i>
    <i r="1">
      <x v="2"/>
    </i>
    <i r="2">
      <x v="49"/>
    </i>
    <i r="1">
      <x v="3"/>
    </i>
    <i r="2">
      <x v="88"/>
    </i>
    <i r="1">
      <x v="4"/>
    </i>
    <i r="2">
      <x v="82"/>
    </i>
    <i t="grand">
      <x/>
    </i>
  </rowItems>
  <colFields count="1">
    <field x="-2"/>
  </colFields>
  <colItems count="4">
    <i>
      <x/>
    </i>
    <i i="1">
      <x v="1"/>
    </i>
    <i i="2">
      <x v="2"/>
    </i>
    <i i="3">
      <x v="3"/>
    </i>
  </colItems>
  <dataFields count="4">
    <dataField name=" CD4_tests" fld="23" baseField="0" baseItem="0"/>
    <dataField name=" LAM_tests" fld="29" baseField="0" baseItem="0"/>
    <dataField name="CrAg-tests" fld="25" baseField="6" baseItem="0"/>
    <dataField name=" AHD_screening_cov%" fld="42" baseField="6" baseItem="0" numFmtId="9"/>
  </dataFields>
  <formats count="1">
    <format dxfId="7">
      <pivotArea outline="0" collapsedLevelsAreSubtotals="1" fieldPosition="0">
        <references count="1">
          <reference field="4294967294" count="1" selected="0">
            <x v="3"/>
          </reference>
        </references>
      </pivotArea>
    </format>
  </formats>
  <chartFormats count="32">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2"/>
          </reference>
        </references>
      </pivotArea>
    </chartFormat>
    <chartFormat chart="7" format="2" series="1">
      <pivotArea type="data" outline="0" fieldPosition="0">
        <references count="1">
          <reference field="4294967294" count="1" selected="0">
            <x v="1"/>
          </reference>
        </references>
      </pivotArea>
    </chartFormat>
    <chartFormat chart="7" format="15" series="1">
      <pivotArea type="data" outline="0" fieldPosition="0">
        <references count="1">
          <reference field="4294967294" count="1" selected="0">
            <x v="3"/>
          </reference>
        </references>
      </pivotArea>
    </chartFormat>
    <chartFormat chart="17" format="35" series="1">
      <pivotArea type="data" outline="0" fieldPosition="0">
        <references count="1">
          <reference field="4294967294" count="1" selected="0">
            <x v="0"/>
          </reference>
        </references>
      </pivotArea>
    </chartFormat>
    <chartFormat chart="17" format="36" series="1">
      <pivotArea type="data" outline="0" fieldPosition="0">
        <references count="1">
          <reference field="4294967294" count="1" selected="0">
            <x v="1"/>
          </reference>
        </references>
      </pivotArea>
    </chartFormat>
    <chartFormat chart="17" format="37" series="1">
      <pivotArea type="data" outline="0" fieldPosition="0">
        <references count="1">
          <reference field="4294967294" count="1" selected="0">
            <x v="2"/>
          </reference>
        </references>
      </pivotArea>
    </chartFormat>
    <chartFormat chart="17" format="38" series="1">
      <pivotArea type="data" outline="0" fieldPosition="0">
        <references count="1">
          <reference field="4294967294" count="1" selected="0">
            <x v="3"/>
          </reference>
        </references>
      </pivotArea>
    </chartFormat>
    <chartFormat chart="18" format="40" series="1">
      <pivotArea type="data" outline="0" fieldPosition="0">
        <references count="1">
          <reference field="4294967294" count="1" selected="0">
            <x v="0"/>
          </reference>
        </references>
      </pivotArea>
    </chartFormat>
    <chartFormat chart="18" format="41" series="1">
      <pivotArea type="data" outline="0" fieldPosition="0">
        <references count="1">
          <reference field="4294967294" count="1" selected="0">
            <x v="1"/>
          </reference>
        </references>
      </pivotArea>
    </chartFormat>
    <chartFormat chart="18" format="42" series="1">
      <pivotArea type="data" outline="0" fieldPosition="0">
        <references count="1">
          <reference field="4294967294" count="1" selected="0">
            <x v="2"/>
          </reference>
        </references>
      </pivotArea>
    </chartFormat>
    <chartFormat chart="18" format="43" series="1">
      <pivotArea type="data" outline="0" fieldPosition="0">
        <references count="1">
          <reference field="4294967294" count="1" selected="0">
            <x v="3"/>
          </reference>
        </references>
      </pivotArea>
    </chartFormat>
    <chartFormat chart="34" format="44" series="1">
      <pivotArea type="data" outline="0" fieldPosition="0">
        <references count="1">
          <reference field="4294967294" count="1" selected="0">
            <x v="0"/>
          </reference>
        </references>
      </pivotArea>
    </chartFormat>
    <chartFormat chart="34" format="45" series="1">
      <pivotArea type="data" outline="0" fieldPosition="0">
        <references count="1">
          <reference field="4294967294" count="1" selected="0">
            <x v="1"/>
          </reference>
        </references>
      </pivotArea>
    </chartFormat>
    <chartFormat chart="34" format="46" series="1">
      <pivotArea type="data" outline="0" fieldPosition="0">
        <references count="1">
          <reference field="4294967294" count="1" selected="0">
            <x v="2"/>
          </reference>
        </references>
      </pivotArea>
    </chartFormat>
    <chartFormat chart="34" format="47" series="1">
      <pivotArea type="data" outline="0" fieldPosition="0">
        <references count="1">
          <reference field="4294967294" count="1" selected="0">
            <x v="3"/>
          </reference>
        </references>
      </pivotArea>
    </chartFormat>
    <chartFormat chart="35" format="48" series="1">
      <pivotArea type="data" outline="0" fieldPosition="0">
        <references count="1">
          <reference field="4294967294" count="1" selected="0">
            <x v="0"/>
          </reference>
        </references>
      </pivotArea>
    </chartFormat>
    <chartFormat chart="35" format="49" series="1">
      <pivotArea type="data" outline="0" fieldPosition="0">
        <references count="1">
          <reference field="4294967294" count="1" selected="0">
            <x v="1"/>
          </reference>
        </references>
      </pivotArea>
    </chartFormat>
    <chartFormat chart="35" format="50" series="1">
      <pivotArea type="data" outline="0" fieldPosition="0">
        <references count="1">
          <reference field="4294967294" count="1" selected="0">
            <x v="2"/>
          </reference>
        </references>
      </pivotArea>
    </chartFormat>
    <chartFormat chart="35" format="51" series="1">
      <pivotArea type="data" outline="0" fieldPosition="0">
        <references count="1">
          <reference field="4294967294" count="1" selected="0">
            <x v="3"/>
          </reference>
        </references>
      </pivotArea>
    </chartFormat>
    <chartFormat chart="106" format="56" series="1">
      <pivotArea type="data" outline="0" fieldPosition="0">
        <references count="1">
          <reference field="4294967294" count="1" selected="0">
            <x v="0"/>
          </reference>
        </references>
      </pivotArea>
    </chartFormat>
    <chartFormat chart="106" format="57" series="1">
      <pivotArea type="data" outline="0" fieldPosition="0">
        <references count="1">
          <reference field="4294967294" count="1" selected="0">
            <x v="1"/>
          </reference>
        </references>
      </pivotArea>
    </chartFormat>
    <chartFormat chart="106" format="58" series="1">
      <pivotArea type="data" outline="0" fieldPosition="0">
        <references count="1">
          <reference field="4294967294" count="1" selected="0">
            <x v="2"/>
          </reference>
        </references>
      </pivotArea>
    </chartFormat>
    <chartFormat chart="106" format="59" series="1">
      <pivotArea type="data" outline="0" fieldPosition="0">
        <references count="1">
          <reference field="4294967294" count="1" selected="0">
            <x v="3"/>
          </reference>
        </references>
      </pivotArea>
    </chartFormat>
    <chartFormat chart="107" format="44" series="1">
      <pivotArea type="data" outline="0" fieldPosition="0">
        <references count="1">
          <reference field="4294967294" count="1" selected="0">
            <x v="0"/>
          </reference>
        </references>
      </pivotArea>
    </chartFormat>
    <chartFormat chart="107" format="45" series="1">
      <pivotArea type="data" outline="0" fieldPosition="0">
        <references count="1">
          <reference field="4294967294" count="1" selected="0">
            <x v="1"/>
          </reference>
        </references>
      </pivotArea>
    </chartFormat>
    <chartFormat chart="107" format="46" series="1">
      <pivotArea type="data" outline="0" fieldPosition="0">
        <references count="1">
          <reference field="4294967294" count="1" selected="0">
            <x v="2"/>
          </reference>
        </references>
      </pivotArea>
    </chartFormat>
    <chartFormat chart="107" format="47" series="1">
      <pivotArea type="data" outline="0" fieldPosition="0">
        <references count="1">
          <reference field="4294967294" count="1" selected="0">
            <x v="3"/>
          </reference>
        </references>
      </pivotArea>
    </chartFormat>
    <chartFormat chart="108" format="48" series="1">
      <pivotArea type="data" outline="0" fieldPosition="0">
        <references count="1">
          <reference field="4294967294" count="1" selected="0">
            <x v="0"/>
          </reference>
        </references>
      </pivotArea>
    </chartFormat>
    <chartFormat chart="108" format="49" series="1">
      <pivotArea type="data" outline="0" fieldPosition="0">
        <references count="1">
          <reference field="4294967294" count="1" selected="0">
            <x v="1"/>
          </reference>
        </references>
      </pivotArea>
    </chartFormat>
    <chartFormat chart="108" format="50" series="1">
      <pivotArea type="data" outline="0" fieldPosition="0">
        <references count="1">
          <reference field="4294967294" count="1" selected="0">
            <x v="2"/>
          </reference>
        </references>
      </pivotArea>
    </chartFormat>
    <chartFormat chart="108" format="5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5.xml><?xml version="1.0" encoding="utf-8"?>
<pivotTableDefinition xmlns="http://schemas.openxmlformats.org/spreadsheetml/2006/main" xmlns:mc="http://schemas.openxmlformats.org/markup-compatibility/2006" xmlns:xr="http://schemas.microsoft.com/office/spreadsheetml/2014/revision" mc:Ignorable="xr" xr:uid="{03A9C24B-C5DC-448E-9062-94820333699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4">
  <location ref="I5:L25" firstHeaderRow="0" firstDataRow="1" firstDataCol="1"/>
  <pivotFields count="44">
    <pivotField showAll="0"/>
    <pivotField showAll="0"/>
    <pivotField showAll="0"/>
    <pivotField showAll="0"/>
    <pivotField showAll="0"/>
    <pivotField showAll="0">
      <items count="16">
        <item h="1" x="0"/>
        <item h="1" x="1"/>
        <item h="1" x="2"/>
        <item h="1" x="3"/>
        <item h="1" x="4"/>
        <item h="1" x="5"/>
        <item h="1" x="6"/>
        <item h="1" x="7"/>
        <item h="1" x="8"/>
        <item h="1" x="9"/>
        <item h="1" x="10"/>
        <item h="1" x="11"/>
        <item h="1" x="12"/>
        <item x="13"/>
        <item h="1" x="14"/>
        <item t="default"/>
      </items>
    </pivotField>
    <pivotField showAll="0"/>
    <pivotField axis="axisRow" showAll="0">
      <items count="5">
        <item h="1" x="0"/>
        <item x="1"/>
        <item h="1" x="3"/>
        <item x="2"/>
        <item t="default"/>
      </items>
    </pivotField>
    <pivotField showAll="0"/>
    <pivotField showAll="0"/>
    <pivotField showAll="0"/>
    <pivotField showAll="0"/>
    <pivotField showAll="0"/>
    <pivotField axis="axisRow" showAll="0">
      <items count="15">
        <item x="4"/>
        <item x="5"/>
        <item x="3"/>
        <item x="7"/>
        <item x="6"/>
        <item x="8"/>
        <item x="9"/>
        <item x="10"/>
        <item x="2"/>
        <item x="0"/>
        <item x="1"/>
        <item x="11"/>
        <item x="12"/>
        <item x="13"/>
        <item t="default"/>
      </items>
    </pivotField>
    <pivotField showAll="0"/>
    <pivotField showAll="0"/>
    <pivotField showAll="0">
      <items count="10">
        <item h="1" m="1" x="8"/>
        <item h="1" x="0"/>
        <item x="2"/>
        <item h="1" x="3"/>
        <item h="1" x="6"/>
        <item h="1" x="1"/>
        <item h="1" x="4"/>
        <item h="1" x="5"/>
        <item h="1" x="7"/>
        <item t="default"/>
      </items>
    </pivotField>
    <pivotField name="Total_number_of_ROC"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dragToRow="0" dragToCol="0" dragToPage="0" showAll="0" defaultSubtotal="0"/>
    <pivotField dataField="1"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s>
  <rowFields count="2">
    <field x="7"/>
    <field x="13"/>
  </rowFields>
  <rowItems count="20">
    <i>
      <x v="1"/>
    </i>
    <i r="1">
      <x/>
    </i>
    <i r="1">
      <x v="1"/>
    </i>
    <i r="1">
      <x v="2"/>
    </i>
    <i r="1">
      <x v="3"/>
    </i>
    <i r="1">
      <x v="4"/>
    </i>
    <i r="1">
      <x v="5"/>
    </i>
    <i r="1">
      <x v="6"/>
    </i>
    <i r="1">
      <x v="7"/>
    </i>
    <i r="1">
      <x v="8"/>
    </i>
    <i r="1">
      <x v="9"/>
    </i>
    <i r="1">
      <x v="10"/>
    </i>
    <i r="1">
      <x v="11"/>
    </i>
    <i>
      <x v="3"/>
    </i>
    <i r="1">
      <x/>
    </i>
    <i r="1">
      <x v="1"/>
    </i>
    <i r="1">
      <x v="2"/>
    </i>
    <i r="1">
      <x v="3"/>
    </i>
    <i r="1">
      <x v="4"/>
    </i>
    <i t="grand">
      <x/>
    </i>
  </rowItems>
  <colFields count="1">
    <field x="-2"/>
  </colFields>
  <colItems count="3">
    <i>
      <x/>
    </i>
    <i i="1">
      <x v="1"/>
    </i>
    <i i="2">
      <x v="2"/>
    </i>
  </colItems>
  <dataFields count="3">
    <dataField name=" CD4&lt;200%" fld="39" baseField="6" baseItem="0"/>
    <dataField name=" LAM+%" fld="41" baseField="6" baseItem="0"/>
    <dataField name=" CrAg+%" fld="40" baseField="6" baseItem="0"/>
  </dataFields>
  <formats count="2">
    <format dxfId="3">
      <pivotArea collapsedLevelsAreSubtotals="1" fieldPosition="0">
        <references count="1">
          <reference field="7" count="1">
            <x v="0"/>
          </reference>
        </references>
      </pivotArea>
    </format>
    <format dxfId="2">
      <pivotArea collapsedLevelsAreSubtotals="1" fieldPosition="0">
        <references count="1">
          <reference field="7" count="1">
            <x v="1"/>
          </reference>
        </references>
      </pivotArea>
    </format>
  </formats>
  <chartFormats count="83">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2"/>
          </reference>
        </references>
      </pivotArea>
    </chartFormat>
    <chartFormat chart="13" format="2" series="1">
      <pivotArea type="data" outline="0" fieldPosition="0">
        <references count="1">
          <reference field="4294967294" count="1" selected="0">
            <x v="1"/>
          </reference>
        </references>
      </pivotArea>
    </chartFormat>
    <chartFormat chart="84" format="30" series="1">
      <pivotArea type="data" outline="0" fieldPosition="0">
        <references count="1">
          <reference field="4294967294" count="1" selected="0">
            <x v="0"/>
          </reference>
        </references>
      </pivotArea>
    </chartFormat>
    <chartFormat chart="84" format="31" series="1">
      <pivotArea type="data" outline="0" fieldPosition="0">
        <references count="1">
          <reference field="4294967294" count="1" selected="0">
            <x v="1"/>
          </reference>
        </references>
      </pivotArea>
    </chartFormat>
    <chartFormat chart="84" format="40" series="1">
      <pivotArea type="data" outline="0" fieldPosition="0">
        <references count="1">
          <reference field="4294967294" count="1" selected="0">
            <x v="2"/>
          </reference>
        </references>
      </pivotArea>
    </chartFormat>
    <chartFormat chart="85" format="41" series="1">
      <pivotArea type="data" outline="0" fieldPosition="0">
        <references count="1">
          <reference field="4294967294" count="1" selected="0">
            <x v="0"/>
          </reference>
        </references>
      </pivotArea>
    </chartFormat>
    <chartFormat chart="85" format="42" series="1">
      <pivotArea type="data" outline="0" fieldPosition="0">
        <references count="1">
          <reference field="4294967294" count="1" selected="0">
            <x v="1"/>
          </reference>
        </references>
      </pivotArea>
    </chartFormat>
    <chartFormat chart="85" format="51" series="1">
      <pivotArea type="data" outline="0" fieldPosition="0">
        <references count="1">
          <reference field="4294967294" count="1" selected="0">
            <x v="2"/>
          </reference>
        </references>
      </pivotArea>
    </chartFormat>
    <chartFormat chart="95" format="32" series="1">
      <pivotArea type="data" outline="0" fieldPosition="0">
        <references count="1">
          <reference field="4294967294" count="1" selected="0">
            <x v="0"/>
          </reference>
        </references>
      </pivotArea>
    </chartFormat>
    <chartFormat chart="95" format="33" series="1">
      <pivotArea type="data" outline="0" fieldPosition="0">
        <references count="1">
          <reference field="4294967294" count="1" selected="0">
            <x v="1"/>
          </reference>
        </references>
      </pivotArea>
    </chartFormat>
    <chartFormat chart="95" format="42" series="1">
      <pivotArea type="data" outline="0" fieldPosition="0">
        <references count="1">
          <reference field="4294967294" count="1" selected="0">
            <x v="2"/>
          </reference>
        </references>
      </pivotArea>
    </chartFormat>
    <chartFormat chart="96" format="45" series="1">
      <pivotArea type="data" outline="0" fieldPosition="0">
        <references count="1">
          <reference field="4294967294" count="1" selected="0">
            <x v="0"/>
          </reference>
        </references>
      </pivotArea>
    </chartFormat>
    <chartFormat chart="96" format="46" series="1">
      <pivotArea type="data" outline="0" fieldPosition="0">
        <references count="1">
          <reference field="4294967294" count="1" selected="0">
            <x v="1"/>
          </reference>
        </references>
      </pivotArea>
    </chartFormat>
    <chartFormat chart="96" format="55" series="1">
      <pivotArea type="data" outline="0" fieldPosition="0">
        <references count="1">
          <reference field="4294967294" count="1" selected="0">
            <x v="2"/>
          </reference>
        </references>
      </pivotArea>
    </chartFormat>
    <chartFormat chart="101" format="32" series="1">
      <pivotArea type="data" outline="0" fieldPosition="0">
        <references count="1">
          <reference field="4294967294" count="1" selected="0">
            <x v="0"/>
          </reference>
        </references>
      </pivotArea>
    </chartFormat>
    <chartFormat chart="101" format="33" series="1">
      <pivotArea type="data" outline="0" fieldPosition="0">
        <references count="1">
          <reference field="4294967294" count="1" selected="0">
            <x v="1"/>
          </reference>
        </references>
      </pivotArea>
    </chartFormat>
    <chartFormat chart="101" format="42" series="1">
      <pivotArea type="data" outline="0" fieldPosition="0">
        <references count="1">
          <reference field="4294967294" count="1" selected="0">
            <x v="2"/>
          </reference>
        </references>
      </pivotArea>
    </chartFormat>
    <chartFormat chart="104" format="71" series="1">
      <pivotArea type="data" outline="0" fieldPosition="0">
        <references count="1">
          <reference field="4294967294" count="1" selected="0">
            <x v="0"/>
          </reference>
        </references>
      </pivotArea>
    </chartFormat>
    <chartFormat chart="104" format="72" series="1">
      <pivotArea type="data" outline="0" fieldPosition="0">
        <references count="1">
          <reference field="4294967294" count="1" selected="0">
            <x v="1"/>
          </reference>
        </references>
      </pivotArea>
    </chartFormat>
    <chartFormat chart="104" format="81" series="1">
      <pivotArea type="data" outline="0" fieldPosition="0">
        <references count="1">
          <reference field="4294967294" count="1" selected="0">
            <x v="2"/>
          </reference>
        </references>
      </pivotArea>
    </chartFormat>
    <chartFormat chart="19" format="35" series="1">
      <pivotArea type="data" outline="0" fieldPosition="0">
        <references count="1">
          <reference field="4294967294" count="1" selected="0">
            <x v="0"/>
          </reference>
        </references>
      </pivotArea>
    </chartFormat>
    <chartFormat chart="19" format="36" series="1">
      <pivotArea type="data" outline="0" fieldPosition="0">
        <references count="1">
          <reference field="4294967294" count="1" selected="0">
            <x v="1"/>
          </reference>
        </references>
      </pivotArea>
    </chartFormat>
    <chartFormat chart="19" format="45" series="1">
      <pivotArea type="data" outline="0" fieldPosition="0">
        <references count="1">
          <reference field="4294967294" count="1" selected="0">
            <x v="2"/>
          </reference>
        </references>
      </pivotArea>
    </chartFormat>
    <chartFormat chart="105" format="87" series="1">
      <pivotArea type="data" outline="0" fieldPosition="0">
        <references count="1">
          <reference field="4294967294" count="1" selected="0">
            <x v="0"/>
          </reference>
        </references>
      </pivotArea>
    </chartFormat>
    <chartFormat chart="105" format="88" series="1">
      <pivotArea type="data" outline="0" fieldPosition="0">
        <references count="1">
          <reference field="4294967294" count="1" selected="0">
            <x v="1"/>
          </reference>
        </references>
      </pivotArea>
    </chartFormat>
    <chartFormat chart="105" format="97" series="1">
      <pivotArea type="data" outline="0" fieldPosition="0">
        <references count="1">
          <reference field="4294967294" count="1" selected="0">
            <x v="2"/>
          </reference>
        </references>
      </pivotArea>
    </chartFormat>
    <chartFormat chart="106" format="101" series="1">
      <pivotArea type="data" outline="0" fieldPosition="0">
        <references count="1">
          <reference field="4294967294" count="1" selected="0">
            <x v="0"/>
          </reference>
        </references>
      </pivotArea>
    </chartFormat>
    <chartFormat chart="106" format="102" series="1">
      <pivotArea type="data" outline="0" fieldPosition="0">
        <references count="1">
          <reference field="4294967294" count="1" selected="0">
            <x v="1"/>
          </reference>
        </references>
      </pivotArea>
    </chartFormat>
    <chartFormat chart="106" format="111" series="1">
      <pivotArea type="data" outline="0" fieldPosition="0">
        <references count="1">
          <reference field="4294967294" count="1" selected="0">
            <x v="2"/>
          </reference>
        </references>
      </pivotArea>
    </chartFormat>
    <chartFormat chart="107" format="87" series="1">
      <pivotArea type="data" outline="0" fieldPosition="0">
        <references count="1">
          <reference field="4294967294" count="1" selected="0">
            <x v="0"/>
          </reference>
        </references>
      </pivotArea>
    </chartFormat>
    <chartFormat chart="107" format="88" series="1">
      <pivotArea type="data" outline="0" fieldPosition="0">
        <references count="1">
          <reference field="4294967294" count="1" selected="0">
            <x v="1"/>
          </reference>
        </references>
      </pivotArea>
    </chartFormat>
    <chartFormat chart="107" format="97" series="1">
      <pivotArea type="data" outline="0" fieldPosition="0">
        <references count="1">
          <reference field="4294967294" count="1" selected="0">
            <x v="2"/>
          </reference>
        </references>
      </pivotArea>
    </chartFormat>
    <chartFormat chart="108" format="101" series="1">
      <pivotArea type="data" outline="0" fieldPosition="0">
        <references count="1">
          <reference field="4294967294" count="1" selected="0">
            <x v="0"/>
          </reference>
        </references>
      </pivotArea>
    </chartFormat>
    <chartFormat chart="108" format="102" series="1">
      <pivotArea type="data" outline="0" fieldPosition="0">
        <references count="1">
          <reference field="4294967294" count="1" selected="0">
            <x v="1"/>
          </reference>
        </references>
      </pivotArea>
    </chartFormat>
    <chartFormat chart="108" format="111" series="1">
      <pivotArea type="data" outline="0" fieldPosition="0">
        <references count="1">
          <reference field="4294967294" count="1" selected="0">
            <x v="2"/>
          </reference>
        </references>
      </pivotArea>
    </chartFormat>
    <chartFormat chart="109" format="49" series="1">
      <pivotArea type="data" outline="0" fieldPosition="0">
        <references count="1">
          <reference field="4294967294" count="1" selected="0">
            <x v="0"/>
          </reference>
        </references>
      </pivotArea>
    </chartFormat>
    <chartFormat chart="109" format="50" series="1">
      <pivotArea type="data" outline="0" fieldPosition="0">
        <references count="1">
          <reference field="4294967294" count="1" selected="0">
            <x v="1"/>
          </reference>
        </references>
      </pivotArea>
    </chartFormat>
    <chartFormat chart="109" format="59" series="1">
      <pivotArea type="data" outline="0" fieldPosition="0">
        <references count="1">
          <reference field="4294967294" count="1" selected="0">
            <x v="2"/>
          </reference>
        </references>
      </pivotArea>
    </chartFormat>
    <chartFormat chart="110" format="63" series="1">
      <pivotArea type="data" outline="0" fieldPosition="0">
        <references count="1">
          <reference field="4294967294" count="1" selected="0">
            <x v="0"/>
          </reference>
        </references>
      </pivotArea>
    </chartFormat>
    <chartFormat chart="110" format="64" series="1">
      <pivotArea type="data" outline="0" fieldPosition="0">
        <references count="1">
          <reference field="4294967294" count="1" selected="0">
            <x v="1"/>
          </reference>
        </references>
      </pivotArea>
    </chartFormat>
    <chartFormat chart="110" format="73" series="1">
      <pivotArea type="data" outline="0" fieldPosition="0">
        <references count="1">
          <reference field="4294967294" count="1" selected="0">
            <x v="2"/>
          </reference>
        </references>
      </pivotArea>
    </chartFormat>
    <chartFormat chart="122" format="87" series="1">
      <pivotArea type="data" outline="0" fieldPosition="0">
        <references count="1">
          <reference field="4294967294" count="1" selected="0">
            <x v="0"/>
          </reference>
        </references>
      </pivotArea>
    </chartFormat>
    <chartFormat chart="122" format="88" series="1">
      <pivotArea type="data" outline="0" fieldPosition="0">
        <references count="1">
          <reference field="4294967294" count="1" selected="0">
            <x v="1"/>
          </reference>
        </references>
      </pivotArea>
    </chartFormat>
    <chartFormat chart="122" format="97" series="1">
      <pivotArea type="data" outline="0" fieldPosition="0">
        <references count="1">
          <reference field="4294967294" count="1" selected="0">
            <x v="2"/>
          </reference>
        </references>
      </pivotArea>
    </chartFormat>
    <chartFormat chart="123" format="101" series="1">
      <pivotArea type="data" outline="0" fieldPosition="0">
        <references count="1">
          <reference field="4294967294" count="1" selected="0">
            <x v="0"/>
          </reference>
        </references>
      </pivotArea>
    </chartFormat>
    <chartFormat chart="123" format="102" series="1">
      <pivotArea type="data" outline="0" fieldPosition="0">
        <references count="1">
          <reference field="4294967294" count="1" selected="0">
            <x v="1"/>
          </reference>
        </references>
      </pivotArea>
    </chartFormat>
    <chartFormat chart="123" format="111" series="1">
      <pivotArea type="data" outline="0" fieldPosition="0">
        <references count="1">
          <reference field="4294967294" count="1" selected="0">
            <x v="2"/>
          </reference>
        </references>
      </pivotArea>
    </chartFormat>
    <chartFormat chart="104" format="91">
      <pivotArea type="data" outline="0" fieldPosition="0">
        <references count="3">
          <reference field="4294967294" count="1" selected="0">
            <x v="1"/>
          </reference>
          <reference field="7" count="1" selected="0">
            <x v="1"/>
          </reference>
          <reference field="13" count="1" selected="0">
            <x v="0"/>
          </reference>
        </references>
      </pivotArea>
    </chartFormat>
    <chartFormat chart="104" format="92">
      <pivotArea type="data" outline="0" fieldPosition="0">
        <references count="3">
          <reference field="4294967294" count="1" selected="0">
            <x v="1"/>
          </reference>
          <reference field="7" count="1" selected="0">
            <x v="1"/>
          </reference>
          <reference field="13" count="1" selected="0">
            <x v="1"/>
          </reference>
        </references>
      </pivotArea>
    </chartFormat>
    <chartFormat chart="104" format="93">
      <pivotArea type="data" outline="0" fieldPosition="0">
        <references count="3">
          <reference field="4294967294" count="1" selected="0">
            <x v="1"/>
          </reference>
          <reference field="7" count="1" selected="0">
            <x v="1"/>
          </reference>
          <reference field="13" count="1" selected="0">
            <x v="2"/>
          </reference>
        </references>
      </pivotArea>
    </chartFormat>
    <chartFormat chart="104" format="94">
      <pivotArea type="data" outline="0" fieldPosition="0">
        <references count="3">
          <reference field="4294967294" count="1" selected="0">
            <x v="1"/>
          </reference>
          <reference field="7" count="1" selected="0">
            <x v="1"/>
          </reference>
          <reference field="13" count="1" selected="0">
            <x v="3"/>
          </reference>
        </references>
      </pivotArea>
    </chartFormat>
    <chartFormat chart="104" format="95">
      <pivotArea type="data" outline="0" fieldPosition="0">
        <references count="3">
          <reference field="4294967294" count="1" selected="0">
            <x v="1"/>
          </reference>
          <reference field="7" count="1" selected="0">
            <x v="1"/>
          </reference>
          <reference field="13" count="1" selected="0">
            <x v="4"/>
          </reference>
        </references>
      </pivotArea>
    </chartFormat>
    <chartFormat chart="104" format="96">
      <pivotArea type="data" outline="0" fieldPosition="0">
        <references count="3">
          <reference field="4294967294" count="1" selected="0">
            <x v="1"/>
          </reference>
          <reference field="7" count="1" selected="0">
            <x v="1"/>
          </reference>
          <reference field="13" count="1" selected="0">
            <x v="5"/>
          </reference>
        </references>
      </pivotArea>
    </chartFormat>
    <chartFormat chart="104" format="97">
      <pivotArea type="data" outline="0" fieldPosition="0">
        <references count="3">
          <reference field="4294967294" count="1" selected="0">
            <x v="1"/>
          </reference>
          <reference field="7" count="1" selected="0">
            <x v="1"/>
          </reference>
          <reference field="13" count="1" selected="0">
            <x v="6"/>
          </reference>
        </references>
      </pivotArea>
    </chartFormat>
    <chartFormat chart="104" format="98">
      <pivotArea type="data" outline="0" fieldPosition="0">
        <references count="3">
          <reference field="4294967294" count="1" selected="0">
            <x v="1"/>
          </reference>
          <reference field="7" count="1" selected="0">
            <x v="1"/>
          </reference>
          <reference field="13" count="1" selected="0">
            <x v="7"/>
          </reference>
        </references>
      </pivotArea>
    </chartFormat>
    <chartFormat chart="104" format="99">
      <pivotArea type="data" outline="0" fieldPosition="0">
        <references count="3">
          <reference field="4294967294" count="1" selected="0">
            <x v="1"/>
          </reference>
          <reference field="7" count="1" selected="0">
            <x v="1"/>
          </reference>
          <reference field="13" count="1" selected="0">
            <x v="8"/>
          </reference>
        </references>
      </pivotArea>
    </chartFormat>
    <chartFormat chart="104" format="100">
      <pivotArea type="data" outline="0" fieldPosition="0">
        <references count="3">
          <reference field="4294967294" count="1" selected="0">
            <x v="1"/>
          </reference>
          <reference field="7" count="1" selected="0">
            <x v="3"/>
          </reference>
          <reference field="13" count="1" selected="0">
            <x v="0"/>
          </reference>
        </references>
      </pivotArea>
    </chartFormat>
    <chartFormat chart="104" format="101">
      <pivotArea type="data" outline="0" fieldPosition="0">
        <references count="3">
          <reference field="4294967294" count="1" selected="0">
            <x v="1"/>
          </reference>
          <reference field="7" count="1" selected="0">
            <x v="3"/>
          </reference>
          <reference field="13" count="1" selected="0">
            <x v="1"/>
          </reference>
        </references>
      </pivotArea>
    </chartFormat>
    <chartFormat chart="104" format="102">
      <pivotArea type="data" outline="0" fieldPosition="0">
        <references count="3">
          <reference field="4294967294" count="1" selected="0">
            <x v="2"/>
          </reference>
          <reference field="7" count="1" selected="0">
            <x v="1"/>
          </reference>
          <reference field="13" count="1" selected="0">
            <x v="3"/>
          </reference>
        </references>
      </pivotArea>
    </chartFormat>
    <chartFormat chart="104" format="103">
      <pivotArea type="data" outline="0" fieldPosition="0">
        <references count="3">
          <reference field="4294967294" count="1" selected="0">
            <x v="2"/>
          </reference>
          <reference field="7" count="1" selected="0">
            <x v="1"/>
          </reference>
          <reference field="13" count="1" selected="0">
            <x v="7"/>
          </reference>
        </references>
      </pivotArea>
    </chartFormat>
    <chartFormat chart="104" format="104">
      <pivotArea type="data" outline="0" fieldPosition="0">
        <references count="3">
          <reference field="4294967294" count="1" selected="0">
            <x v="2"/>
          </reference>
          <reference field="7" count="1" selected="0">
            <x v="1"/>
          </reference>
          <reference field="13" count="1" selected="0">
            <x v="8"/>
          </reference>
        </references>
      </pivotArea>
    </chartFormat>
    <chartFormat chart="104" format="105">
      <pivotArea type="data" outline="0" fieldPosition="0">
        <references count="3">
          <reference field="4294967294" count="1" selected="0">
            <x v="2"/>
          </reference>
          <reference field="7" count="1" selected="0">
            <x v="1"/>
          </reference>
          <reference field="13" count="1" selected="0">
            <x v="9"/>
          </reference>
        </references>
      </pivotArea>
    </chartFormat>
    <chartFormat chart="19" format="52">
      <pivotArea type="data" outline="0" fieldPosition="0">
        <references count="3">
          <reference field="4294967294" count="1" selected="0">
            <x v="1"/>
          </reference>
          <reference field="7" count="1" selected="0">
            <x v="1"/>
          </reference>
          <reference field="13" count="1" selected="0">
            <x v="0"/>
          </reference>
        </references>
      </pivotArea>
    </chartFormat>
    <chartFormat chart="19" format="53">
      <pivotArea type="data" outline="0" fieldPosition="0">
        <references count="3">
          <reference field="4294967294" count="1" selected="0">
            <x v="1"/>
          </reference>
          <reference field="7" count="1" selected="0">
            <x v="1"/>
          </reference>
          <reference field="13" count="1" selected="0">
            <x v="1"/>
          </reference>
        </references>
      </pivotArea>
    </chartFormat>
    <chartFormat chart="19" format="54">
      <pivotArea type="data" outline="0" fieldPosition="0">
        <references count="3">
          <reference field="4294967294" count="1" selected="0">
            <x v="1"/>
          </reference>
          <reference field="7" count="1" selected="0">
            <x v="1"/>
          </reference>
          <reference field="13" count="1" selected="0">
            <x v="2"/>
          </reference>
        </references>
      </pivotArea>
    </chartFormat>
    <chartFormat chart="19" format="55">
      <pivotArea type="data" outline="0" fieldPosition="0">
        <references count="3">
          <reference field="4294967294" count="1" selected="0">
            <x v="1"/>
          </reference>
          <reference field="7" count="1" selected="0">
            <x v="1"/>
          </reference>
          <reference field="13" count="1" selected="0">
            <x v="3"/>
          </reference>
        </references>
      </pivotArea>
    </chartFormat>
    <chartFormat chart="19" format="56">
      <pivotArea type="data" outline="0" fieldPosition="0">
        <references count="3">
          <reference field="4294967294" count="1" selected="0">
            <x v="1"/>
          </reference>
          <reference field="7" count="1" selected="0">
            <x v="1"/>
          </reference>
          <reference field="13" count="1" selected="0">
            <x v="4"/>
          </reference>
        </references>
      </pivotArea>
    </chartFormat>
    <chartFormat chart="19" format="57">
      <pivotArea type="data" outline="0" fieldPosition="0">
        <references count="3">
          <reference field="4294967294" count="1" selected="0">
            <x v="1"/>
          </reference>
          <reference field="7" count="1" selected="0">
            <x v="1"/>
          </reference>
          <reference field="13" count="1" selected="0">
            <x v="5"/>
          </reference>
        </references>
      </pivotArea>
    </chartFormat>
    <chartFormat chart="19" format="58">
      <pivotArea type="data" outline="0" fieldPosition="0">
        <references count="3">
          <reference field="4294967294" count="1" selected="0">
            <x v="1"/>
          </reference>
          <reference field="7" count="1" selected="0">
            <x v="1"/>
          </reference>
          <reference field="13" count="1" selected="0">
            <x v="6"/>
          </reference>
        </references>
      </pivotArea>
    </chartFormat>
    <chartFormat chart="19" format="59">
      <pivotArea type="data" outline="0" fieldPosition="0">
        <references count="3">
          <reference field="4294967294" count="1" selected="0">
            <x v="1"/>
          </reference>
          <reference field="7" count="1" selected="0">
            <x v="1"/>
          </reference>
          <reference field="13" count="1" selected="0">
            <x v="7"/>
          </reference>
        </references>
      </pivotArea>
    </chartFormat>
    <chartFormat chart="19" format="60">
      <pivotArea type="data" outline="0" fieldPosition="0">
        <references count="3">
          <reference field="4294967294" count="1" selected="0">
            <x v="1"/>
          </reference>
          <reference field="7" count="1" selected="0">
            <x v="3"/>
          </reference>
          <reference field="13" count="1" selected="0">
            <x v="0"/>
          </reference>
        </references>
      </pivotArea>
    </chartFormat>
    <chartFormat chart="19" format="61">
      <pivotArea type="data" outline="0" fieldPosition="0">
        <references count="3">
          <reference field="4294967294" count="1" selected="0">
            <x v="1"/>
          </reference>
          <reference field="7" count="1" selected="0">
            <x v="3"/>
          </reference>
          <reference field="13" count="1" selected="0">
            <x v="1"/>
          </reference>
        </references>
      </pivotArea>
    </chartFormat>
    <chartFormat chart="19" format="62">
      <pivotArea type="data" outline="0" fieldPosition="0">
        <references count="3">
          <reference field="4294967294" count="1" selected="0">
            <x v="2"/>
          </reference>
          <reference field="7" count="1" selected="0">
            <x v="1"/>
          </reference>
          <reference field="13" count="1" selected="0">
            <x v="3"/>
          </reference>
        </references>
      </pivotArea>
    </chartFormat>
    <chartFormat chart="19" format="63">
      <pivotArea type="data" outline="0" fieldPosition="0">
        <references count="3">
          <reference field="4294967294" count="1" selected="0">
            <x v="2"/>
          </reference>
          <reference field="7" count="1" selected="0">
            <x v="1"/>
          </reference>
          <reference field="13" count="1" selected="0">
            <x v="7"/>
          </reference>
        </references>
      </pivotArea>
    </chartFormat>
    <chartFormat chart="19" format="64">
      <pivotArea type="data" outline="0" fieldPosition="0">
        <references count="3">
          <reference field="4294967294" count="1" selected="0">
            <x v="2"/>
          </reference>
          <reference field="7" count="1" selected="0">
            <x v="1"/>
          </reference>
          <reference field="13" count="1" selected="0">
            <x v="8"/>
          </reference>
        </references>
      </pivotArea>
    </chartFormat>
    <chartFormat chart="104" format="106">
      <pivotArea type="data" outline="0" fieldPosition="0">
        <references count="3">
          <reference field="4294967294" count="1" selected="0">
            <x v="1"/>
          </reference>
          <reference field="7" count="1" selected="0">
            <x v="3"/>
          </reference>
          <reference field="13" count="1" selected="0">
            <x v="2"/>
          </reference>
        </references>
      </pivotArea>
    </chartFormat>
    <chartFormat chart="19" format="65">
      <pivotArea type="data" outline="0" fieldPosition="0">
        <references count="3">
          <reference field="4294967294" count="1" selected="0">
            <x v="1"/>
          </reference>
          <reference field="7" count="1" selected="0">
            <x v="3"/>
          </reference>
          <reference field="13" count="1" selected="0">
            <x v="2"/>
          </reference>
        </references>
      </pivotArea>
    </chartFormat>
    <chartFormat chart="104" format="107">
      <pivotArea type="data" outline="0" fieldPosition="0">
        <references count="3">
          <reference field="4294967294" count="1" selected="0">
            <x v="2"/>
          </reference>
          <reference field="7" count="1" selected="0">
            <x v="3"/>
          </reference>
          <reference field="13" count="1" selected="0">
            <x v="1"/>
          </reference>
        </references>
      </pivotArea>
    </chartFormat>
    <chartFormat chart="104" format="108">
      <pivotArea type="data" outline="0" fieldPosition="0">
        <references count="3">
          <reference field="4294967294" count="1" selected="0">
            <x v="2"/>
          </reference>
          <reference field="7" count="1" selected="0">
            <x v="3"/>
          </reference>
          <reference field="13" count="1" selected="0">
            <x v="0"/>
          </reference>
        </references>
      </pivotArea>
    </chartFormat>
    <chartFormat chart="104" format="109">
      <pivotArea type="data" outline="0" fieldPosition="0">
        <references count="3">
          <reference field="4294967294" count="1" selected="0">
            <x v="2"/>
          </reference>
          <reference field="7" count="1" selected="0">
            <x v="1"/>
          </reference>
          <reference field="13" count="1" selected="0">
            <x v="2"/>
          </reference>
        </references>
      </pivotArea>
    </chartFormat>
    <chartFormat chart="104" format="110">
      <pivotArea type="data" outline="0" fieldPosition="0">
        <references count="3">
          <reference field="4294967294" count="1" selected="0">
            <x v="2"/>
          </reference>
          <reference field="7" count="1" selected="0">
            <x v="1"/>
          </reference>
          <reference field="13" count="1" selected="0">
            <x v="1"/>
          </reference>
        </references>
      </pivotArea>
    </chartFormat>
    <chartFormat chart="104" format="111">
      <pivotArea type="data" outline="0" fieldPosition="0">
        <references count="3">
          <reference field="4294967294" count="1" selected="0">
            <x v="2"/>
          </reference>
          <reference field="7" count="1" selected="0">
            <x v="1"/>
          </reference>
          <reference field="13"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6.xml><?xml version="1.0" encoding="utf-8"?>
<pivotTableDefinition xmlns="http://schemas.openxmlformats.org/spreadsheetml/2006/main" xmlns:mc="http://schemas.openxmlformats.org/markup-compatibility/2006" xmlns:xr="http://schemas.microsoft.com/office/spreadsheetml/2014/revision" mc:Ignorable="xr" xr:uid="{5FCD3FB0-67CD-4132-AF37-12A926AFCA0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0">
  <location ref="A5:E42" firstHeaderRow="0" firstDataRow="1" firstDataCol="1"/>
  <pivotFields count="44">
    <pivotField showAll="0"/>
    <pivotField showAll="0"/>
    <pivotField showAll="0"/>
    <pivotField showAll="0"/>
    <pivotField showAll="0"/>
    <pivotField showAll="0">
      <items count="16">
        <item h="1" x="0"/>
        <item h="1" x="1"/>
        <item h="1" x="2"/>
        <item h="1" x="3"/>
        <item h="1" x="4"/>
        <item h="1" x="5"/>
        <item h="1" x="6"/>
        <item h="1" x="7"/>
        <item h="1" x="8"/>
        <item h="1" x="9"/>
        <item h="1" x="10"/>
        <item h="1" x="11"/>
        <item h="1" x="12"/>
        <item x="13"/>
        <item h="1" x="14"/>
        <item t="default"/>
      </items>
    </pivotField>
    <pivotField showAll="0"/>
    <pivotField axis="axisRow" showAll="0">
      <items count="5">
        <item h="1" x="0"/>
        <item x="1"/>
        <item h="1" x="3"/>
        <item x="2"/>
        <item t="default"/>
      </items>
    </pivotField>
    <pivotField showAll="0"/>
    <pivotField showAll="0"/>
    <pivotField showAll="0"/>
    <pivotField showAll="0"/>
    <pivotField showAll="0"/>
    <pivotField axis="axisRow" showAll="0">
      <items count="15">
        <item x="4"/>
        <item x="5"/>
        <item x="3"/>
        <item x="7"/>
        <item x="6"/>
        <item x="8"/>
        <item x="9"/>
        <item x="10"/>
        <item x="2"/>
        <item x="0"/>
        <item x="1"/>
        <item x="11"/>
        <item x="12"/>
        <item x="13"/>
        <item t="default"/>
      </items>
    </pivotField>
    <pivotField showAll="0"/>
    <pivotField showAll="0"/>
    <pivotField showAll="0">
      <items count="10">
        <item h="1" m="1" x="8"/>
        <item h="1" x="0"/>
        <item x="2"/>
        <item h="1" x="3"/>
        <item h="1" x="6"/>
        <item h="1" x="1"/>
        <item h="1" x="4"/>
        <item h="1" x="5"/>
        <item h="1" x="7"/>
        <item t="default"/>
      </items>
    </pivotField>
    <pivotField name="Total_number_of_ROC" axis="axisRow" showAll="0">
      <items count="195">
        <item x="21"/>
        <item x="18"/>
        <item x="20"/>
        <item x="30"/>
        <item x="33"/>
        <item x="54"/>
        <item x="37"/>
        <item x="31"/>
        <item x="39"/>
        <item x="25"/>
        <item x="49"/>
        <item x="36"/>
        <item x="29"/>
        <item x="23"/>
        <item x="42"/>
        <item x="57"/>
        <item x="44"/>
        <item x="51"/>
        <item x="60"/>
        <item x="61"/>
        <item x="53"/>
        <item x="16"/>
        <item x="26"/>
        <item x="17"/>
        <item x="52"/>
        <item x="9"/>
        <item x="59"/>
        <item x="62"/>
        <item x="56"/>
        <item x="34"/>
        <item x="2"/>
        <item x="28"/>
        <item x="43"/>
        <item x="81"/>
        <item x="41"/>
        <item x="0"/>
        <item x="38"/>
        <item x="40"/>
        <item x="58"/>
        <item x="64"/>
        <item x="65"/>
        <item x="55"/>
        <item x="32"/>
        <item x="19"/>
        <item x="5"/>
        <item x="8"/>
        <item x="50"/>
        <item x="63"/>
        <item x="4"/>
        <item x="123"/>
        <item x="11"/>
        <item x="10"/>
        <item x="13"/>
        <item x="3"/>
        <item x="48"/>
        <item x="1"/>
        <item x="7"/>
        <item x="108"/>
        <item x="14"/>
        <item x="136"/>
        <item x="67"/>
        <item x="68"/>
        <item x="12"/>
        <item x="154"/>
        <item x="46"/>
        <item x="15"/>
        <item x="35"/>
        <item x="144"/>
        <item x="182"/>
        <item x="6"/>
        <item x="131"/>
        <item x="98"/>
        <item x="100"/>
        <item x="47"/>
        <item x="111"/>
        <item x="69"/>
        <item x="101"/>
        <item x="70"/>
        <item x="66"/>
        <item x="112"/>
        <item x="185"/>
        <item x="130"/>
        <item x="45"/>
        <item x="78"/>
        <item x="84"/>
        <item x="179"/>
        <item x="118"/>
        <item x="124"/>
        <item x="163"/>
        <item x="170"/>
        <item x="96"/>
        <item x="166"/>
        <item x="122"/>
        <item x="86"/>
        <item x="90"/>
        <item x="183"/>
        <item x="155"/>
        <item x="92"/>
        <item x="157"/>
        <item x="94"/>
        <item x="129"/>
        <item x="74"/>
        <item x="109"/>
        <item x="133"/>
        <item x="79"/>
        <item x="27"/>
        <item x="132"/>
        <item x="126"/>
        <item x="181"/>
        <item x="85"/>
        <item x="24"/>
        <item x="77"/>
        <item x="22"/>
        <item x="147"/>
        <item x="83"/>
        <item x="99"/>
        <item x="145"/>
        <item x="142"/>
        <item x="121"/>
        <item x="187"/>
        <item x="88"/>
        <item x="148"/>
        <item x="117"/>
        <item x="110"/>
        <item x="95"/>
        <item x="125"/>
        <item x="103"/>
        <item x="176"/>
        <item x="120"/>
        <item x="153"/>
        <item x="141"/>
        <item x="146"/>
        <item x="102"/>
        <item x="128"/>
        <item x="76"/>
        <item x="80"/>
        <item x="119"/>
        <item x="97"/>
        <item x="73"/>
        <item x="137"/>
        <item x="140"/>
        <item x="93"/>
        <item x="116"/>
        <item x="82"/>
        <item x="87"/>
        <item x="91"/>
        <item x="174"/>
        <item x="71"/>
        <item x="139"/>
        <item x="127"/>
        <item x="138"/>
        <item x="150"/>
        <item x="75"/>
        <item x="143"/>
        <item x="156"/>
        <item x="173"/>
        <item x="149"/>
        <item x="152"/>
        <item x="180"/>
        <item x="168"/>
        <item x="89"/>
        <item x="161"/>
        <item x="151"/>
        <item x="160"/>
        <item x="114"/>
        <item x="169"/>
        <item x="113"/>
        <item x="162"/>
        <item x="158"/>
        <item x="115"/>
        <item x="188"/>
        <item x="159"/>
        <item x="72"/>
        <item x="171"/>
        <item x="172"/>
        <item x="164"/>
        <item x="167"/>
        <item x="177"/>
        <item x="189"/>
        <item x="184"/>
        <item x="175"/>
        <item x="186"/>
        <item x="165"/>
        <item x="178"/>
        <item x="192"/>
        <item x="104"/>
        <item x="105"/>
        <item x="106"/>
        <item x="107"/>
        <item x="134"/>
        <item x="135"/>
        <item x="190"/>
        <item x="191"/>
        <item x="193"/>
        <item t="default"/>
      </items>
    </pivotField>
    <pivotField showAll="0"/>
    <pivotField showAll="0"/>
    <pivotField showAll="0"/>
    <pivotField showAll="0"/>
    <pivotField showAll="0"/>
    <pivotField dataField="1" showAll="0"/>
    <pivotField showAll="0"/>
    <pivotField dataField="1"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s>
  <rowFields count="3">
    <field x="7"/>
    <field x="13"/>
    <field x="17"/>
  </rowFields>
  <rowItems count="37">
    <i>
      <x v="1"/>
    </i>
    <i r="1">
      <x/>
    </i>
    <i r="2">
      <x v="14"/>
    </i>
    <i r="1">
      <x v="1"/>
    </i>
    <i r="2">
      <x v="36"/>
    </i>
    <i r="1">
      <x v="2"/>
    </i>
    <i r="2">
      <x v="44"/>
    </i>
    <i r="1">
      <x v="3"/>
    </i>
    <i r="2">
      <x v="50"/>
    </i>
    <i r="1">
      <x v="4"/>
    </i>
    <i r="2">
      <x v="66"/>
    </i>
    <i r="1">
      <x v="5"/>
    </i>
    <i r="2">
      <x v="45"/>
    </i>
    <i r="1">
      <x v="6"/>
    </i>
    <i r="2">
      <x v="64"/>
    </i>
    <i r="1">
      <x v="7"/>
    </i>
    <i r="2">
      <x v="44"/>
    </i>
    <i r="1">
      <x v="8"/>
    </i>
    <i r="2">
      <x v="48"/>
    </i>
    <i r="1">
      <x v="9"/>
    </i>
    <i r="2">
      <x v="41"/>
    </i>
    <i r="1">
      <x v="10"/>
    </i>
    <i r="2">
      <x v="29"/>
    </i>
    <i r="1">
      <x v="11"/>
    </i>
    <i r="2">
      <x v="50"/>
    </i>
    <i>
      <x v="3"/>
    </i>
    <i r="1">
      <x/>
    </i>
    <i r="2">
      <x v="44"/>
    </i>
    <i r="1">
      <x v="1"/>
    </i>
    <i r="2">
      <x v="26"/>
    </i>
    <i r="1">
      <x v="2"/>
    </i>
    <i r="2">
      <x v="24"/>
    </i>
    <i r="1">
      <x v="3"/>
    </i>
    <i r="2">
      <x v="35"/>
    </i>
    <i r="1">
      <x v="4"/>
    </i>
    <i r="2">
      <x v="68"/>
    </i>
    <i t="grand">
      <x/>
    </i>
  </rowItems>
  <colFields count="1">
    <field x="-2"/>
  </colFields>
  <colItems count="4">
    <i>
      <x/>
    </i>
    <i i="1">
      <x v="1"/>
    </i>
    <i i="2">
      <x v="2"/>
    </i>
    <i i="3">
      <x v="3"/>
    </i>
  </colItems>
  <dataFields count="4">
    <dataField name=" CD4_tests" fld="23" baseField="0" baseItem="0"/>
    <dataField name=" LAM_tests" fld="29" baseField="0" baseItem="0"/>
    <dataField name="CrAg-tests" fld="25" baseField="6" baseItem="0"/>
    <dataField name=" AHD_screening_cov%" fld="42" baseField="6" baseItem="0" numFmtId="9"/>
  </dataFields>
  <formats count="1">
    <format dxfId="4">
      <pivotArea outline="0" collapsedLevelsAreSubtotals="1" fieldPosition="0">
        <references count="1">
          <reference field="4294967294" count="1" selected="0">
            <x v="3"/>
          </reference>
        </references>
      </pivotArea>
    </format>
  </formats>
  <chartFormats count="37">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2"/>
          </reference>
        </references>
      </pivotArea>
    </chartFormat>
    <chartFormat chart="7" format="2" series="1">
      <pivotArea type="data" outline="0" fieldPosition="0">
        <references count="1">
          <reference field="4294967294" count="1" selected="0">
            <x v="1"/>
          </reference>
        </references>
      </pivotArea>
    </chartFormat>
    <chartFormat chart="7" format="15" series="1">
      <pivotArea type="data" outline="0" fieldPosition="0">
        <references count="1">
          <reference field="4294967294" count="1" selected="0">
            <x v="3"/>
          </reference>
        </references>
      </pivotArea>
    </chartFormat>
    <chartFormat chart="52" format="40" series="1">
      <pivotArea type="data" outline="0" fieldPosition="0">
        <references count="1">
          <reference field="4294967294" count="1" selected="0">
            <x v="0"/>
          </reference>
        </references>
      </pivotArea>
    </chartFormat>
    <chartFormat chart="52" format="41" series="1">
      <pivotArea type="data" outline="0" fieldPosition="0">
        <references count="1">
          <reference field="4294967294" count="1" selected="0">
            <x v="1"/>
          </reference>
        </references>
      </pivotArea>
    </chartFormat>
    <chartFormat chart="52" format="42" series="1">
      <pivotArea type="data" outline="0" fieldPosition="0">
        <references count="1">
          <reference field="4294967294" count="1" selected="0">
            <x v="2"/>
          </reference>
        </references>
      </pivotArea>
    </chartFormat>
    <chartFormat chart="52" format="43" series="1">
      <pivotArea type="data" outline="0" fieldPosition="0">
        <references count="1">
          <reference field="4294967294" count="1" selected="0">
            <x v="3"/>
          </reference>
        </references>
      </pivotArea>
    </chartFormat>
    <chartFormat chart="53" format="44" series="1">
      <pivotArea type="data" outline="0" fieldPosition="0">
        <references count="1">
          <reference field="4294967294" count="1" selected="0">
            <x v="0"/>
          </reference>
        </references>
      </pivotArea>
    </chartFormat>
    <chartFormat chart="53" format="45" series="1">
      <pivotArea type="data" outline="0" fieldPosition="0">
        <references count="1">
          <reference field="4294967294" count="1" selected="0">
            <x v="1"/>
          </reference>
        </references>
      </pivotArea>
    </chartFormat>
    <chartFormat chart="53" format="46" series="1">
      <pivotArea type="data" outline="0" fieldPosition="0">
        <references count="1">
          <reference field="4294967294" count="1" selected="0">
            <x v="2"/>
          </reference>
        </references>
      </pivotArea>
    </chartFormat>
    <chartFormat chart="53" format="47" series="1">
      <pivotArea type="data" outline="0" fieldPosition="0">
        <references count="1">
          <reference field="4294967294" count="1" selected="0">
            <x v="3"/>
          </reference>
        </references>
      </pivotArea>
    </chartFormat>
    <chartFormat chart="56" format="44" series="1">
      <pivotArea type="data" outline="0" fieldPosition="0">
        <references count="1">
          <reference field="4294967294" count="1" selected="0">
            <x v="0"/>
          </reference>
        </references>
      </pivotArea>
    </chartFormat>
    <chartFormat chart="56" format="45" series="1">
      <pivotArea type="data" outline="0" fieldPosition="0">
        <references count="1">
          <reference field="4294967294" count="1" selected="0">
            <x v="1"/>
          </reference>
        </references>
      </pivotArea>
    </chartFormat>
    <chartFormat chart="56" format="46" series="1">
      <pivotArea type="data" outline="0" fieldPosition="0">
        <references count="1">
          <reference field="4294967294" count="1" selected="0">
            <x v="2"/>
          </reference>
        </references>
      </pivotArea>
    </chartFormat>
    <chartFormat chart="56" format="47" series="1">
      <pivotArea type="data" outline="0" fieldPosition="0">
        <references count="1">
          <reference field="4294967294" count="1" selected="0">
            <x v="3"/>
          </reference>
        </references>
      </pivotArea>
    </chartFormat>
    <chartFormat chart="57" format="48" series="1">
      <pivotArea type="data" outline="0" fieldPosition="0">
        <references count="1">
          <reference field="4294967294" count="1" selected="0">
            <x v="0"/>
          </reference>
        </references>
      </pivotArea>
    </chartFormat>
    <chartFormat chart="57" format="49" series="1">
      <pivotArea type="data" outline="0" fieldPosition="0">
        <references count="1">
          <reference field="4294967294" count="1" selected="0">
            <x v="1"/>
          </reference>
        </references>
      </pivotArea>
    </chartFormat>
    <chartFormat chart="57" format="50" series="1">
      <pivotArea type="data" outline="0" fieldPosition="0">
        <references count="1">
          <reference field="4294967294" count="1" selected="0">
            <x v="2"/>
          </reference>
        </references>
      </pivotArea>
    </chartFormat>
    <chartFormat chart="57" format="51" series="1">
      <pivotArea type="data" outline="0" fieldPosition="0">
        <references count="1">
          <reference field="4294967294" count="1" selected="0">
            <x v="3"/>
          </reference>
        </references>
      </pivotArea>
    </chartFormat>
    <chartFormat chart="122" format="52" series="1">
      <pivotArea type="data" outline="0" fieldPosition="0">
        <references count="1">
          <reference field="4294967294" count="1" selected="0">
            <x v="0"/>
          </reference>
        </references>
      </pivotArea>
    </chartFormat>
    <chartFormat chart="122" format="53" series="1">
      <pivotArea type="data" outline="0" fieldPosition="0">
        <references count="1">
          <reference field="4294967294" count="1" selected="0">
            <x v="1"/>
          </reference>
        </references>
      </pivotArea>
    </chartFormat>
    <chartFormat chart="122" format="54" series="1">
      <pivotArea type="data" outline="0" fieldPosition="0">
        <references count="1">
          <reference field="4294967294" count="1" selected="0">
            <x v="2"/>
          </reference>
        </references>
      </pivotArea>
    </chartFormat>
    <chartFormat chart="122" format="55" series="1">
      <pivotArea type="data" outline="0" fieldPosition="0">
        <references count="1">
          <reference field="4294967294" count="1" selected="0">
            <x v="3"/>
          </reference>
        </references>
      </pivotArea>
    </chartFormat>
    <chartFormat chart="125" format="64" series="1">
      <pivotArea type="data" outline="0" fieldPosition="0">
        <references count="1">
          <reference field="4294967294" count="1" selected="0">
            <x v="0"/>
          </reference>
        </references>
      </pivotArea>
    </chartFormat>
    <chartFormat chart="125" format="65" series="1">
      <pivotArea type="data" outline="0" fieldPosition="0">
        <references count="1">
          <reference field="4294967294" count="1" selected="0">
            <x v="1"/>
          </reference>
        </references>
      </pivotArea>
    </chartFormat>
    <chartFormat chart="125" format="66" series="1">
      <pivotArea type="data" outline="0" fieldPosition="0">
        <references count="1">
          <reference field="4294967294" count="1" selected="0">
            <x v="2"/>
          </reference>
        </references>
      </pivotArea>
    </chartFormat>
    <chartFormat chart="125" format="67" series="1">
      <pivotArea type="data" outline="0" fieldPosition="0">
        <references count="1">
          <reference field="4294967294" count="1" selected="0">
            <x v="3"/>
          </reference>
        </references>
      </pivotArea>
    </chartFormat>
    <chartFormat chart="17" format="56" series="1">
      <pivotArea type="data" outline="0" fieldPosition="0">
        <references count="1">
          <reference field="4294967294" count="1" selected="0">
            <x v="0"/>
          </reference>
        </references>
      </pivotArea>
    </chartFormat>
    <chartFormat chart="17" format="57" series="1">
      <pivotArea type="data" outline="0" fieldPosition="0">
        <references count="1">
          <reference field="4294967294" count="1" selected="0">
            <x v="1"/>
          </reference>
        </references>
      </pivotArea>
    </chartFormat>
    <chartFormat chart="17" format="58" series="1">
      <pivotArea type="data" outline="0" fieldPosition="0">
        <references count="1">
          <reference field="4294967294" count="1" selected="0">
            <x v="2"/>
          </reference>
        </references>
      </pivotArea>
    </chartFormat>
    <chartFormat chart="17" format="59" series="1">
      <pivotArea type="data" outline="0" fieldPosition="0">
        <references count="1">
          <reference field="4294967294" count="1" selected="0">
            <x v="3"/>
          </reference>
        </references>
      </pivotArea>
    </chartFormat>
    <chartFormat chart="125" format="77">
      <pivotArea type="data" outline="0" fieldPosition="0">
        <references count="4">
          <reference field="4294967294" count="1" selected="0">
            <x v="3"/>
          </reference>
          <reference field="7" count="1" selected="0">
            <x v="3"/>
          </reference>
          <reference field="13" count="1" selected="0">
            <x v="0"/>
          </reference>
          <reference field="17" count="1" selected="0">
            <x v="44"/>
          </reference>
        </references>
      </pivotArea>
    </chartFormat>
    <chartFormat chart="125" format="78">
      <pivotArea type="data" outline="0" fieldPosition="0">
        <references count="4">
          <reference field="4294967294" count="1" selected="0">
            <x v="3"/>
          </reference>
          <reference field="7" count="1" selected="0">
            <x v="1"/>
          </reference>
          <reference field="13" count="1" selected="0">
            <x v="10"/>
          </reference>
          <reference field="17" count="1" selected="0">
            <x v="29"/>
          </reference>
        </references>
      </pivotArea>
    </chartFormat>
    <chartFormat chart="125" format="79">
      <pivotArea type="data" outline="0" fieldPosition="0">
        <references count="4">
          <reference field="4294967294" count="1" selected="0">
            <x v="3"/>
          </reference>
          <reference field="7" count="1" selected="0">
            <x v="1"/>
          </reference>
          <reference field="13" count="1" selected="0">
            <x v="6"/>
          </reference>
          <reference field="17" count="1" selected="0">
            <x v="64"/>
          </reference>
        </references>
      </pivotArea>
    </chartFormat>
    <chartFormat chart="125" format="80">
      <pivotArea type="data" outline="0" fieldPosition="0">
        <references count="4">
          <reference field="4294967294" count="1" selected="0">
            <x v="3"/>
          </reference>
          <reference field="7" count="1" selected="0">
            <x v="1"/>
          </reference>
          <reference field="13" count="1" selected="0">
            <x v="1"/>
          </reference>
          <reference field="17" count="1" selected="0">
            <x v="36"/>
          </reference>
        </references>
      </pivotArea>
    </chartFormat>
    <chartFormat chart="125" format="81">
      <pivotArea type="data" outline="0" fieldPosition="0">
        <references count="4">
          <reference field="4294967294" count="1" selected="0">
            <x v="3"/>
          </reference>
          <reference field="7" count="1" selected="0">
            <x v="1"/>
          </reference>
          <reference field="13" count="1" selected="0">
            <x v="8"/>
          </reference>
          <reference field="17" count="1" selected="0">
            <x v="4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7.xml><?xml version="1.0" encoding="utf-8"?>
<pivotTableDefinition xmlns="http://schemas.openxmlformats.org/spreadsheetml/2006/main" xmlns:mc="http://schemas.openxmlformats.org/markup-compatibility/2006" xmlns:xr="http://schemas.microsoft.com/office/spreadsheetml/2014/revision" mc:Ignorable="xr" xr:uid="{FAA686F9-E0D7-475A-962B-AAA3250496C7}"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2:F37" firstHeaderRow="0" firstDataRow="1" firstDataCol="1"/>
  <pivotFields count="51">
    <pivotField showAll="0"/>
    <pivotField numFmtId="164" showAll="0"/>
    <pivotField numFmtId="164" showAll="0"/>
    <pivotField showAll="0"/>
    <pivotField showAll="0"/>
    <pivotField axis="axisRow" showAll="0">
      <items count="16">
        <item x="0"/>
        <item x="1"/>
        <item x="2"/>
        <item x="3"/>
        <item x="4"/>
        <item x="5"/>
        <item x="6"/>
        <item x="8"/>
        <item x="9"/>
        <item x="10"/>
        <item x="11"/>
        <item x="12"/>
        <item x="13"/>
        <item x="7"/>
        <item m="1" x="14"/>
        <item t="default"/>
      </items>
    </pivotField>
    <pivotField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s>
  <rowFields count="1">
    <field x="5"/>
  </rowFields>
  <rowItems count="15">
    <i>
      <x/>
    </i>
    <i>
      <x v="1"/>
    </i>
    <i>
      <x v="2"/>
    </i>
    <i>
      <x v="3"/>
    </i>
    <i>
      <x v="4"/>
    </i>
    <i>
      <x v="5"/>
    </i>
    <i>
      <x v="6"/>
    </i>
    <i>
      <x v="7"/>
    </i>
    <i>
      <x v="8"/>
    </i>
    <i>
      <x v="9"/>
    </i>
    <i>
      <x v="10"/>
    </i>
    <i>
      <x v="11"/>
    </i>
    <i>
      <x v="12"/>
    </i>
    <i>
      <x v="13"/>
    </i>
    <i t="grand">
      <x/>
    </i>
  </rowItems>
  <colFields count="1">
    <field x="-2"/>
  </colFields>
  <colItems count="5">
    <i>
      <x/>
    </i>
    <i i="1">
      <x v="1"/>
    </i>
    <i i="2">
      <x v="2"/>
    </i>
    <i i="3">
      <x v="3"/>
    </i>
    <i i="4">
      <x v="4"/>
    </i>
  </colItems>
  <dataFields count="5">
    <dataField name="Sum of WHO_stage_1" fld="19" baseField="0" baseItem="0"/>
    <dataField name="Sum of WHO_stage_2" fld="20" baseField="0" baseItem="0"/>
    <dataField name="Sum of WHO_stage_3" fld="21" baseField="0" baseItem="0"/>
    <dataField name="Sum of WHO_stage_4" fld="22" baseField="0" baseItem="0"/>
    <dataField name="Sum of Total" fld="5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8.xml><?xml version="1.0" encoding="utf-8"?>
<pivotTableDefinition xmlns="http://schemas.openxmlformats.org/spreadsheetml/2006/main" xmlns:mc="http://schemas.openxmlformats.org/markup-compatibility/2006" xmlns:xr="http://schemas.microsoft.com/office/spreadsheetml/2014/revision" mc:Ignorable="xr" xr:uid="{61FDEA9A-958C-4747-8AD6-F2ED9D1A1181}"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8" firstHeaderRow="0" firstDataRow="1" firstDataCol="1"/>
  <pivotFields count="51">
    <pivotField showAll="0"/>
    <pivotField numFmtId="164" showAll="0"/>
    <pivotField numFmtId="164" showAll="0"/>
    <pivotField showAll="0"/>
    <pivotField showAll="0"/>
    <pivotField axis="axisRow" showAll="0" sortType="descending">
      <items count="16">
        <item x="0"/>
        <item x="1"/>
        <item x="2"/>
        <item x="3"/>
        <item x="4"/>
        <item x="5"/>
        <item x="6"/>
        <item x="8"/>
        <item x="9"/>
        <item x="10"/>
        <item x="11"/>
        <item x="12"/>
        <item x="13"/>
        <item x="7"/>
        <item m="1"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4" showAll="0"/>
    <pivotField numFmtId="14" showAll="0"/>
    <pivotField showAll="0"/>
    <pivotField dataField="1"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5"/>
  </rowFields>
  <rowItems count="15">
    <i>
      <x v="12"/>
    </i>
    <i>
      <x v="5"/>
    </i>
    <i>
      <x v="8"/>
    </i>
    <i>
      <x v="10"/>
    </i>
    <i>
      <x v="11"/>
    </i>
    <i>
      <x/>
    </i>
    <i>
      <x v="3"/>
    </i>
    <i>
      <x v="7"/>
    </i>
    <i>
      <x v="2"/>
    </i>
    <i>
      <x v="1"/>
    </i>
    <i>
      <x v="9"/>
    </i>
    <i>
      <x v="6"/>
    </i>
    <i>
      <x v="4"/>
    </i>
    <i>
      <x v="13"/>
    </i>
    <i t="grand">
      <x/>
    </i>
  </rowItems>
  <colFields count="1">
    <field x="-2"/>
  </colFields>
  <colItems count="3">
    <i>
      <x/>
    </i>
    <i i="1">
      <x v="1"/>
    </i>
    <i i="2">
      <x v="2"/>
    </i>
  </colItems>
  <dataFields count="3">
    <dataField name="Sum of Total_number_of_ROC_x000a_" fld="17" baseField="0" baseItem="0"/>
    <dataField name="Sum of CD4_tests" fld="23" baseField="0" baseItem="0"/>
    <dataField name="Sum of %AHD_Coverage" fld="43" baseField="0" baseItem="0"/>
  </dataFields>
  <formats count="1">
    <format dxfId="0">
      <pivotArea collapsedLevelsAreSubtotals="1" fieldPosition="0">
        <references count="2">
          <reference field="4294967294" count="1" selected="0">
            <x v="2"/>
          </reference>
          <reference field="5" count="0"/>
        </references>
      </pivotArea>
    </format>
  </formats>
  <chartFormats count="1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2">
          <reference field="4294967294" count="1" selected="0">
            <x v="1"/>
          </reference>
          <reference field="5" count="1" selected="0">
            <x v="12"/>
          </reference>
        </references>
      </pivotArea>
    </chartFormat>
    <chartFormat chart="0" format="4">
      <pivotArea type="data" outline="0" fieldPosition="0">
        <references count="2">
          <reference field="4294967294" count="1" selected="0">
            <x v="1"/>
          </reference>
          <reference field="5" count="1" selected="0">
            <x v="5"/>
          </reference>
        </references>
      </pivotArea>
    </chartFormat>
    <chartFormat chart="0" format="5">
      <pivotArea type="data" outline="0" fieldPosition="0">
        <references count="2">
          <reference field="4294967294" count="1" selected="0">
            <x v="1"/>
          </reference>
          <reference field="5" count="1" selected="0">
            <x v="10"/>
          </reference>
        </references>
      </pivotArea>
    </chartFormat>
    <chartFormat chart="0" format="6">
      <pivotArea type="data" outline="0" fieldPosition="0">
        <references count="2">
          <reference field="4294967294" count="1" selected="0">
            <x v="1"/>
          </reference>
          <reference field="5" count="1" selected="0">
            <x v="11"/>
          </reference>
        </references>
      </pivotArea>
    </chartFormat>
    <chartFormat chart="0" format="7">
      <pivotArea type="data" outline="0" fieldPosition="0">
        <references count="2">
          <reference field="4294967294" count="1" selected="0">
            <x v="1"/>
          </reference>
          <reference field="5" count="1" selected="0">
            <x v="8"/>
          </reference>
        </references>
      </pivotArea>
    </chartFormat>
    <chartFormat chart="0" format="8">
      <pivotArea type="data" outline="0" fieldPosition="0">
        <references count="2">
          <reference field="4294967294" count="1" selected="0">
            <x v="1"/>
          </reference>
          <reference field="5" count="1" selected="0">
            <x v="3"/>
          </reference>
        </references>
      </pivotArea>
    </chartFormat>
    <chartFormat chart="0" format="9">
      <pivotArea type="data" outline="0" fieldPosition="0">
        <references count="2">
          <reference field="4294967294" count="1" selected="0">
            <x v="1"/>
          </reference>
          <reference field="5" count="1" selected="0">
            <x v="0"/>
          </reference>
        </references>
      </pivotArea>
    </chartFormat>
    <chartFormat chart="0" format="10">
      <pivotArea type="data" outline="0" fieldPosition="0">
        <references count="2">
          <reference field="4294967294" count="1" selected="0">
            <x v="1"/>
          </reference>
          <reference field="5" count="1" selected="0">
            <x v="9"/>
          </reference>
        </references>
      </pivotArea>
    </chartFormat>
    <chartFormat chart="0" format="11">
      <pivotArea type="data" outline="0" fieldPosition="0">
        <references count="2">
          <reference field="4294967294" count="1" selected="0">
            <x v="1"/>
          </reference>
          <reference field="5" count="1" selected="0">
            <x v="1"/>
          </reference>
        </references>
      </pivotArea>
    </chartFormat>
    <chartFormat chart="0" format="12">
      <pivotArea type="data" outline="0" fieldPosition="0">
        <references count="2">
          <reference field="4294967294" count="1" selected="0">
            <x v="1"/>
          </reference>
          <reference field="5" count="1" selected="0">
            <x v="6"/>
          </reference>
        </references>
      </pivotArea>
    </chartFormat>
    <chartFormat chart="0" format="13">
      <pivotArea type="data" outline="0" fieldPosition="0">
        <references count="2">
          <reference field="4294967294" count="1" selected="0">
            <x v="1"/>
          </reference>
          <reference field="5" count="1" selected="0">
            <x v="7"/>
          </reference>
        </references>
      </pivotArea>
    </chartFormat>
    <chartFormat chart="0" format="14">
      <pivotArea type="data" outline="0" fieldPosition="0">
        <references count="2">
          <reference field="4294967294" count="1" selected="0">
            <x v="1"/>
          </reference>
          <reference field="5" count="1" selected="0">
            <x v="2"/>
          </reference>
        </references>
      </pivotArea>
    </chartFormat>
    <chartFormat chart="0" format="15">
      <pivotArea type="data" outline="0" fieldPosition="0">
        <references count="2">
          <reference field="4294967294" count="1" selected="0">
            <x v="1"/>
          </reference>
          <reference field="5" count="1" selected="0">
            <x v="4"/>
          </reference>
        </references>
      </pivotArea>
    </chartFormat>
    <chartFormat chart="0" format="44">
      <pivotArea type="data" outline="0" fieldPosition="0">
        <references count="2">
          <reference field="4294967294" count="1" selected="0">
            <x v="1"/>
          </reference>
          <reference field="5" count="1" selected="0">
            <x v="13"/>
          </reference>
        </references>
      </pivotArea>
    </chartFormat>
    <chartFormat chart="0" format="45">
      <pivotArea type="data" outline="0" fieldPosition="0">
        <references count="2">
          <reference field="4294967294" count="1" selected="0">
            <x v="1"/>
          </reference>
          <reference field="5" count="1" selected="0">
            <x v="1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9.xml><?xml version="1.0" encoding="utf-8"?>
<pivotTableDefinition xmlns="http://schemas.openxmlformats.org/spreadsheetml/2006/main" xmlns:mc="http://schemas.openxmlformats.org/markup-compatibility/2006" xmlns:xr="http://schemas.microsoft.com/office/spreadsheetml/2014/revision" mc:Ignorable="xr" xr:uid="{E51E477A-2A61-42E0-872E-9B467B7F645A}"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56:G62" firstHeaderRow="0" firstDataRow="1" firstDataCol="1"/>
  <pivotFields count="51">
    <pivotField showAll="0"/>
    <pivotField numFmtId="164" showAll="0"/>
    <pivotField numFmtId="164" showAll="0"/>
    <pivotField showAll="0"/>
    <pivotField showAll="0"/>
    <pivotField axis="axisRow" showAll="0">
      <items count="16">
        <item h="1" x="0"/>
        <item h="1" x="1"/>
        <item h="1" x="2"/>
        <item h="1" x="3"/>
        <item h="1" x="4"/>
        <item x="5"/>
        <item h="1" x="6"/>
        <item h="1" x="8"/>
        <item x="9"/>
        <item h="1" x="10"/>
        <item x="11"/>
        <item x="12"/>
        <item x="13"/>
        <item h="1" x="7"/>
        <item h="1" m="1" x="14"/>
        <item t="default"/>
      </items>
    </pivotField>
    <pivotField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ataField="1" dragToRow="0" dragToCol="0" dragToPage="0" showAll="0" defaultSubtotal="0"/>
    <pivotField dataField="1" dragToRow="0" dragToCol="0" dragToPage="0" showAll="0" defaultSubtotal="0"/>
    <pivotField dataField="1" dragToRow="0" dragToCol="0" dragToPage="0" showAll="0" defaultSubtotal="0"/>
    <pivotField dataField="1" dragToRow="0" dragToCol="0" dragToPage="0" showAll="0" defaultSubtotal="0"/>
    <pivotField dataField="1" dragToRow="0" dragToCol="0" dragToPage="0" showAll="0" defaultSubtotal="0"/>
    <pivotField dataField="1" dragToRow="0" dragToCol="0" dragToPage="0" showAll="0" defaultSubtotal="0"/>
    <pivotField dragToRow="0" dragToCol="0" dragToPage="0" showAll="0" defaultSubtotal="0"/>
  </pivotFields>
  <rowFields count="1">
    <field x="5"/>
  </rowFields>
  <rowItems count="6">
    <i>
      <x v="5"/>
    </i>
    <i>
      <x v="8"/>
    </i>
    <i>
      <x v="10"/>
    </i>
    <i>
      <x v="11"/>
    </i>
    <i>
      <x v="12"/>
    </i>
    <i t="grand">
      <x/>
    </i>
  </rowItems>
  <colFields count="1">
    <field x="-2"/>
  </colFields>
  <colItems count="6">
    <i>
      <x/>
    </i>
    <i i="1">
      <x v="1"/>
    </i>
    <i i="2">
      <x v="2"/>
    </i>
    <i i="3">
      <x v="3"/>
    </i>
    <i i="4">
      <x v="4"/>
    </i>
    <i i="5">
      <x v="5"/>
    </i>
  </colItems>
  <dataFields count="6">
    <dataField name="Sum of %CD4_yield" fld="44" baseField="0" baseItem="0"/>
    <dataField name="Sum of %AHD_yeild_LAM" fld="45" baseField="0" baseItem="0"/>
    <dataField name="Sum of %AHD_Yeild_CrAG" fld="46" baseField="0" baseItem="0"/>
    <dataField name="Sum of %AHD_Yield_GnXprt" fld="47" baseField="0" baseItem="0"/>
    <dataField name="Sum of %AHD_Yield_CxLy" fld="48" baseField="0" baseItem="0"/>
    <dataField name="Sum of %AHD_Yield_FASH" fld="49" baseField="0" baseItem="0"/>
  </dataFields>
  <formats count="1">
    <format dxfId="1">
      <pivotArea collapsedLevelsAreSubtotals="1" fieldPosition="0">
        <references count="1">
          <reference field="5"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0.xml><?xml version="1.0" encoding="utf-8"?>
<pivotTableDefinition xmlns="http://schemas.openxmlformats.org/spreadsheetml/2006/main" xmlns:mc="http://schemas.openxmlformats.org/markup-compatibility/2006" xmlns:xr="http://schemas.microsoft.com/office/spreadsheetml/2014/revision" mc:Ignorable="xr" xr:uid="{C452C5B6-4BAC-413F-BA7F-10D9479CF845}"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9:O54" firstHeaderRow="0" firstDataRow="1" firstDataCol="1"/>
  <pivotFields count="51">
    <pivotField showAll="0"/>
    <pivotField numFmtId="164" showAll="0"/>
    <pivotField numFmtId="164" showAll="0"/>
    <pivotField showAll="0"/>
    <pivotField showAll="0"/>
    <pivotField axis="axisRow" showAll="0">
      <items count="16">
        <item x="0"/>
        <item x="1"/>
        <item x="2"/>
        <item x="3"/>
        <item x="4"/>
        <item x="5"/>
        <item x="6"/>
        <item x="8"/>
        <item x="9"/>
        <item x="10"/>
        <item x="11"/>
        <item x="12"/>
        <item x="13"/>
        <item x="7"/>
        <item m="1" x="14"/>
        <item t="default"/>
      </items>
    </pivotField>
    <pivotField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5"/>
  </rowFields>
  <rowItems count="15">
    <i>
      <x/>
    </i>
    <i>
      <x v="1"/>
    </i>
    <i>
      <x v="2"/>
    </i>
    <i>
      <x v="3"/>
    </i>
    <i>
      <x v="4"/>
    </i>
    <i>
      <x v="5"/>
    </i>
    <i>
      <x v="6"/>
    </i>
    <i>
      <x v="7"/>
    </i>
    <i>
      <x v="8"/>
    </i>
    <i>
      <x v="9"/>
    </i>
    <i>
      <x v="10"/>
    </i>
    <i>
      <x v="11"/>
    </i>
    <i>
      <x v="12"/>
    </i>
    <i>
      <x v="13"/>
    </i>
    <i t="grand">
      <x/>
    </i>
  </rowItems>
  <colFields count="1">
    <field x="-2"/>
  </colFields>
  <colItems count="14">
    <i>
      <x/>
    </i>
    <i i="1">
      <x v="1"/>
    </i>
    <i i="2">
      <x v="2"/>
    </i>
    <i i="3">
      <x v="3"/>
    </i>
    <i i="4">
      <x v="4"/>
    </i>
    <i i="5">
      <x v="5"/>
    </i>
    <i i="6">
      <x v="6"/>
    </i>
    <i i="7">
      <x v="7"/>
    </i>
    <i i="8">
      <x v="8"/>
    </i>
    <i i="9">
      <x v="9"/>
    </i>
    <i i="10">
      <x v="10"/>
    </i>
    <i i="11">
      <x v="11"/>
    </i>
    <i i="12">
      <x v="12"/>
    </i>
    <i i="13">
      <x v="13"/>
    </i>
  </colItems>
  <dataFields count="14">
    <dataField name="Sum of CD4_tests" fld="23" baseField="0" baseItem="0"/>
    <dataField name="Sum of CD4&lt;200" fld="24" baseField="0" baseItem="0"/>
    <dataField name="Sum of CrAg_tests" fld="25" baseField="0" baseItem="0"/>
    <dataField name="Sum of CrAg+" fld="26" baseField="0" baseItem="0"/>
    <dataField name="Sum of CSF_CrAg" fld="27" baseField="0" baseItem="0"/>
    <dataField name="Sum of CSF_CrAg+" fld="28" baseField="0" baseItem="0"/>
    <dataField name="Sum of LAM_tests" fld="29" baseField="0" baseItem="0"/>
    <dataField name="Sum of LAM+" fld="30" baseField="0" baseItem="0"/>
    <dataField name="Sum of Gene_Xpert_done" fld="31" baseField="0" baseItem="0"/>
    <dataField name="Sum of Gene_Xpert+" fld="32" baseField="0" baseItem="0"/>
    <dataField name="Sum of Chest_Xlay" fld="33" baseField="0" baseItem="0"/>
    <dataField name="Sum of Chest_Xlay_abnormal" fld="34" baseField="0" baseItem="0"/>
    <dataField name="Sum of FASH" fld="35" baseField="0" baseItem="0"/>
    <dataField name="Sum of FASH+" fld="3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cility" xr10:uid="{88B3C1F2-78B0-4DB2-8FF0-1408AE836AAD}" sourceName="Facility">
  <pivotTables>
    <pivotTable tabId="3" name="PivotTable1"/>
    <pivotTable tabId="3" name="PivotTable2"/>
    <pivotTable tabId="3" name="PivotTable3"/>
    <pivotTable tabId="3" name="PivotTable5"/>
    <pivotTable tabId="3" name="PivotTable8"/>
    <pivotTable tabId="3" name="PivotTable9"/>
    <pivotTable tabId="3" name="PivotTable10"/>
    <pivotTable tabId="3" name="PivotTable7"/>
    <pivotTable tabId="3" name="PivotTable6"/>
    <pivotTable tabId="3" name="PivotTable4"/>
  </pivotTables>
  <data>
    <tabular pivotCacheId="1937108829">
      <items count="15">
        <i x="0"/>
        <i x="1"/>
        <i x="2"/>
        <i x="3"/>
        <i x="4"/>
        <i x="5"/>
        <i x="6"/>
        <i x="7"/>
        <i x="8"/>
        <i x="9" s="1"/>
        <i x="10" s="1"/>
        <i x="11"/>
        <i x="12" s="1"/>
        <i x="13" s="1"/>
        <i x="14"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orting_year_" xr10:uid="{6EAD23A2-06CB-4CAB-BA50-BC233F84A315}" sourceName="Reporting_year_x000a_">
  <pivotTables>
    <pivotTable tabId="3" name="PivotTable1"/>
    <pivotTable tabId="3" name="PivotTable10"/>
    <pivotTable tabId="3" name="PivotTable9"/>
    <pivotTable tabId="3" name="PivotTable8"/>
    <pivotTable tabId="3" name="PivotTable7"/>
    <pivotTable tabId="3" name="PivotTable6"/>
    <pivotTable tabId="3" name="PivotTable5"/>
    <pivotTable tabId="3" name="PivotTable3"/>
    <pivotTable tabId="3" name="PivotTable4"/>
    <pivotTable tabId="3" name="PivotTable2"/>
  </pivotTables>
  <data>
    <tabular pivotCacheId="1937108829">
      <items count="4">
        <i x="1" s="1"/>
        <i x="2"/>
        <i x="0" nd="1"/>
        <i x="3"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orting_Quarter_" xr10:uid="{F0DEA7B9-D5EB-4F4F-8D09-F5D92809F2B5}" sourceName="Reporting_Quarter_x000a_">
  <pivotTables>
    <pivotTable tabId="3" name="PivotTable1"/>
    <pivotTable tabId="3" name="PivotTable10"/>
    <pivotTable tabId="3" name="PivotTable9"/>
    <pivotTable tabId="3" name="PivotTable8"/>
    <pivotTable tabId="3" name="PivotTable7"/>
    <pivotTable tabId="3" name="PivotTable6"/>
    <pivotTable tabId="3" name="PivotTable5"/>
    <pivotTable tabId="3" name="PivotTable4"/>
    <pivotTable tabId="3" name="PivotTable3"/>
    <pivotTable tabId="3" name="PivotTable2"/>
  </pivotTables>
  <data>
    <tabular pivotCacheId="1937108829">
      <items count="6">
        <i x="2"/>
        <i x="3" s="1"/>
        <i x="1"/>
        <i x="0"/>
        <i x="5" nd="1"/>
        <i x="4"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HD_eligible_category_" xr10:uid="{DCA3ECCC-CA65-4E2B-A081-373D76409701}" sourceName="AHD_eligible_category_x000a_">
  <pivotTables>
    <pivotTable tabId="3" name="PivotTable1"/>
    <pivotTable tabId="3" name="PivotTable10"/>
    <pivotTable tabId="3" name="PivotTable9"/>
    <pivotTable tabId="3" name="PivotTable8"/>
    <pivotTable tabId="3" name="PivotTable7"/>
    <pivotTable tabId="3" name="PivotTable6"/>
    <pivotTable tabId="3" name="PivotTable5"/>
    <pivotTable tabId="3" name="PivotTable4"/>
    <pivotTable tabId="3" name="PivotTable3"/>
    <pivotTable tabId="3" name="PivotTable2"/>
  </pivotTables>
  <data>
    <tabular pivotCacheId="1937108829">
      <items count="8">
        <i x="0" s="1"/>
        <i x="2"/>
        <i x="3"/>
        <i x="6"/>
        <i x="1"/>
        <i x="4"/>
        <i x="5"/>
        <i x="7"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cility1" xr10:uid="{A436FA7B-2355-4DFC-B21A-9B855E474FDE}" sourceName="Facility">
  <pivotTables>
    <pivotTable tabId="5" name="PivotTable1"/>
    <pivotTable tabId="5" name="PivotTable2"/>
    <pivotTable tabId="5" name="PivotTable3"/>
    <pivotTable tabId="10" name="PivotTable2"/>
    <pivotTable tabId="10" name="PivotTable1"/>
    <pivotTable tabId="11" name="PivotTable2"/>
    <pivotTable tabId="11" name="PivotTable1"/>
    <pivotTable tabId="8" name="PivotTable2"/>
    <pivotTable tabId="8" name="PivotTable1"/>
    <pivotTable tabId="12" name="PivotTable2"/>
    <pivotTable tabId="12" name="PivotTable1"/>
    <pivotTable tabId="9" name="PivotTable2"/>
    <pivotTable tabId="9" name="PivotTable1"/>
    <pivotTable tabId="17" name="PivotTable4"/>
    <pivotTable tabId="17" name="PivotTable3"/>
    <pivotTable tabId="17" name="PivotTable1"/>
    <pivotTable tabId="17" name="PivotTable2"/>
  </pivotTables>
  <data>
    <tabular pivotCacheId="620961196">
      <items count="15">
        <i x="0"/>
        <i x="1"/>
        <i x="2"/>
        <i x="3"/>
        <i x="4"/>
        <i x="5"/>
        <i x="6"/>
        <i x="7"/>
        <i x="8"/>
        <i x="9"/>
        <i x="10"/>
        <i x="11"/>
        <i x="12"/>
        <i x="13" s="1"/>
        <i x="14"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HD_eligible_category" xr10:uid="{D65F47DF-14B5-4BA3-8208-52FB691C26DF}" sourceName="AHD_eligible_category_x000a_">
  <pivotTables>
    <pivotTable tabId="5" name="PivotTable1"/>
    <pivotTable tabId="5" name="PivotTable2"/>
    <pivotTable tabId="5" name="PivotTable3"/>
  </pivotTables>
  <data>
    <tabular pivotCacheId="620961196">
      <items count="9">
        <i x="0"/>
        <i x="2"/>
        <i x="3"/>
        <i x="6"/>
        <i x="1" s="1"/>
        <i x="4"/>
        <i x="5"/>
        <i x="8" nd="1"/>
        <i x="7"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HD_eligible_category1" xr10:uid="{0DE27E09-8734-48C4-86C8-5ACA77BC8CBD}" sourceName="AHD_eligible_category_x000a_">
  <pivotTables>
    <pivotTable tabId="8" name="PivotTable1"/>
    <pivotTable tabId="8" name="PivotTable2"/>
  </pivotTables>
  <data>
    <tabular pivotCacheId="620961196">
      <items count="9">
        <i x="0"/>
        <i x="2"/>
        <i x="3" s="1"/>
        <i x="6"/>
        <i x="1"/>
        <i x="4"/>
        <i x="5"/>
        <i x="8" nd="1"/>
        <i x="7"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HD_eligible_category2" xr10:uid="{85E8EF28-C83C-4950-BC45-01AC0C820534}" sourceName="AHD_eligible_category_x000a_">
  <pivotTables>
    <pivotTable tabId="9" name="PivotTable1"/>
    <pivotTable tabId="9" name="PivotTable2"/>
  </pivotTables>
  <data>
    <tabular pivotCacheId="620961196">
      <items count="9">
        <i x="0"/>
        <i x="2" s="1"/>
        <i x="3"/>
        <i x="6"/>
        <i x="1"/>
        <i x="4"/>
        <i x="5"/>
        <i x="8" nd="1"/>
        <i x="7"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HD_eligible_category21" xr10:uid="{C8CF1C42-D637-4DC9-84D1-881733C8C3CB}" sourceName="AHD_eligible_category_x000a_">
  <pivotTables>
    <pivotTable tabId="10" name="PivotTable1"/>
    <pivotTable tabId="10" name="PivotTable2"/>
  </pivotTables>
  <data>
    <tabular pivotCacheId="620961196">
      <items count="9">
        <i x="0"/>
        <i x="2"/>
        <i x="3"/>
        <i x="6"/>
        <i x="1"/>
        <i x="4"/>
        <i x="5" s="1"/>
        <i x="8" nd="1"/>
        <i x="7" nd="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HD_eligible_category211" xr10:uid="{78C35D90-5788-462A-B562-8F14C2AD115F}" sourceName="AHD_eligible_category_x000a_">
  <pivotTables>
    <pivotTable tabId="11" name="PivotTable1"/>
    <pivotTable tabId="11" name="PivotTable2"/>
  </pivotTables>
  <data>
    <tabular pivotCacheId="620961196">
      <items count="9">
        <i x="0"/>
        <i x="2"/>
        <i x="3"/>
        <i x="6" s="1"/>
        <i x="1"/>
        <i x="4"/>
        <i x="5"/>
        <i x="8" nd="1"/>
        <i x="7" nd="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HD_eligible_category2111" xr10:uid="{9727F88B-A0DF-4D6A-AB17-E8D0804A9A68}" sourceName="AHD_eligible_category_x000a_">
  <pivotTables>
    <pivotTable tabId="12" name="PivotTable1"/>
    <pivotTable tabId="12" name="PivotTable2"/>
  </pivotTables>
  <data>
    <tabular pivotCacheId="620961196">
      <items count="9">
        <i x="0"/>
        <i x="2"/>
        <i x="3"/>
        <i x="6"/>
        <i x="1"/>
        <i x="4" s="1"/>
        <i x="5"/>
        <i x="8" nd="1"/>
        <i x="7" nd="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HD_eligible_category22" xr10:uid="{11C2D488-6B4D-4FF9-96AC-26C7277521FA}" sourceName="AHD_eligible_category_x000a_">
  <pivotTables>
    <pivotTable tabId="17" name="PivotTable1"/>
    <pivotTable tabId="17" name="PivotTable2"/>
    <pivotTable tabId="17" name="PivotTable3"/>
    <pivotTable tabId="17" name="PivotTable4"/>
  </pivotTables>
  <data>
    <tabular pivotCacheId="620961196">
      <items count="9">
        <i x="0"/>
        <i x="2" s="1"/>
        <i x="3"/>
        <i x="6"/>
        <i x="1"/>
        <i x="4"/>
        <i x="5"/>
        <i x="8" nd="1"/>
        <i x="7" nd="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orting_year" xr10:uid="{696B7082-B077-4E17-BD3D-768D9B5E95E6}" sourceName="Reporting_year_x000a_">
  <pivotTables>
    <pivotTable tabId="17" name="PivotTable1"/>
    <pivotTable tabId="17" name="PivotTable3"/>
    <pivotTable tabId="17" name="PivotTable4"/>
    <pivotTable tabId="17" name="PivotTable2"/>
    <pivotTable tabId="10" name="PivotTable1"/>
    <pivotTable tabId="10" name="PivotTable2"/>
    <pivotTable tabId="11" name="PivotTable1"/>
    <pivotTable tabId="11" name="PivotTable2"/>
    <pivotTable tabId="5" name="PivotTable1"/>
    <pivotTable tabId="5" name="PivotTable2"/>
    <pivotTable tabId="5" name="PivotTable3"/>
    <pivotTable tabId="8" name="PivotTable1"/>
    <pivotTable tabId="8" name="PivotTable2"/>
    <pivotTable tabId="12" name="PivotTable1"/>
    <pivotTable tabId="12" name="PivotTable2"/>
    <pivotTable tabId="9" name="PivotTable1"/>
    <pivotTable tabId="9" name="PivotTable2"/>
  </pivotTables>
  <data>
    <tabular pivotCacheId="620961196">
      <items count="4">
        <i x="0"/>
        <i x="1" s="1"/>
        <i x="2" s="1"/>
        <i x="3" nd="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HD_eligible_category3" xr10:uid="{E4E5D651-EE79-4D94-B32C-B35D41F206AA}" sourceName="AHD_eligible_category_x000a_">
  <pivotTables>
    <pivotTable tabId="19" name="PivotTable1"/>
    <pivotTable tabId="19" name="PivotTable12"/>
  </pivotTables>
  <data>
    <tabular pivotCacheId="1500933230">
      <items count="8">
        <i x="0"/>
        <i x="2"/>
        <i x="3"/>
        <i x="6"/>
        <i x="1" s="1"/>
        <i x="4"/>
        <i x="5"/>
        <i x="7"/>
      </items>
    </tabular>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cility2" xr10:uid="{E9E544C3-F94A-4849-A099-14DF711FD948}" sourceName="Facility">
  <pivotTables>
    <pivotTable tabId="19" name="PivotTable1"/>
    <pivotTable tabId="19" name="PivotTable12"/>
  </pivotTables>
  <data>
    <tabular pivotCacheId="1500933230">
      <items count="15">
        <i x="0" s="1"/>
        <i x="1" s="1"/>
        <i x="2" s="1"/>
        <i x="3" s="1"/>
        <i x="4" s="1"/>
        <i x="5" s="1"/>
        <i x="6" s="1"/>
        <i x="7" s="1"/>
        <i x="8" s="1"/>
        <i x="9" s="1"/>
        <i x="10" s="1"/>
        <i x="11" s="1"/>
        <i x="12" s="1"/>
        <i x="13" s="1"/>
        <i x="14" s="1" nd="1"/>
      </items>
    </tabular>
  </data>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orting_year1" xr10:uid="{B4E6BA8E-3528-4BD5-997F-89C79F5154F4}" sourceName="Reporting_year_x000a_">
  <pivotTables>
    <pivotTable tabId="19" name="PivotTable1"/>
    <pivotTable tabId="19" name="PivotTable12"/>
  </pivotTables>
  <data>
    <tabular pivotCacheId="1500933230">
      <items count="4">
        <i x="0"/>
        <i x="1" s="1"/>
        <i x="2" s="1"/>
        <i x="3" s="1" nd="1"/>
      </items>
    </tabular>
  </data>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orting_Quarter" xr10:uid="{9CAD38A5-6EB7-446C-85D3-68E5C03D1A95}" sourceName="Reporting_Quarter_x000a_">
  <pivotTables>
    <pivotTable tabId="19" name="PivotTable1"/>
    <pivotTable tabId="19" name="PivotTable12"/>
  </pivotTables>
  <data>
    <tabular pivotCacheId="1500933230">
      <items count="6">
        <i x="2" s="1"/>
        <i x="3" s="1"/>
        <i x="1" s="1"/>
        <i x="0" s="1"/>
        <i x="5" s="1" nd="1"/>
        <i x="4" s="1" nd="1"/>
      </items>
    </tabular>
  </data>
</slicerCacheDefinition>
</file>

<file path=xl/slicerCaches/slicerCache1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HD_eligible_category31" xr10:uid="{45DA1C12-3869-4590-8734-954ADFECD8EA}" sourceName="AHD_eligible_category_x000a_">
  <pivotTables>
    <pivotTable tabId="20" name="PivotTable1"/>
    <pivotTable tabId="20" name="PivotTable10"/>
  </pivotTables>
  <data>
    <tabular pivotCacheId="1500933230">
      <items count="8">
        <i x="0"/>
        <i x="2"/>
        <i x="3"/>
        <i x="6" s="1"/>
        <i x="1"/>
        <i x="4"/>
        <i x="5"/>
        <i x="7"/>
      </items>
    </tabular>
  </data>
</slicerCacheDefinition>
</file>

<file path=xl/slicerCaches/slicerCache1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cility21" xr10:uid="{6BA9D0FA-A67A-4146-9B04-7FFABEC47DB8}" sourceName="Facility">
  <pivotTables>
    <pivotTable tabId="20" name="PivotTable1"/>
    <pivotTable tabId="20" name="PivotTable10"/>
  </pivotTables>
  <data>
    <tabular pivotCacheId="1500933230">
      <items count="15">
        <i x="0" s="1"/>
        <i x="3" s="1"/>
        <i x="4" s="1"/>
        <i x="5" s="1"/>
        <i x="6" s="1"/>
        <i x="8" s="1"/>
        <i x="10" s="1"/>
        <i x="11" s="1"/>
        <i x="12" s="1"/>
        <i x="13" s="1"/>
        <i x="1" s="1" nd="1"/>
        <i x="2" s="1" nd="1"/>
        <i x="7" s="1" nd="1"/>
        <i x="9" s="1" nd="1"/>
        <i x="14" s="1" nd="1"/>
      </items>
    </tabular>
  </data>
</slicerCacheDefinition>
</file>

<file path=xl/slicerCaches/slicerCache2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orting_year11" xr10:uid="{D0175122-690C-4B53-B3D3-5F3286F3D080}" sourceName="Reporting_year_x000a_">
  <pivotTables>
    <pivotTable tabId="20" name="PivotTable1"/>
    <pivotTable tabId="20" name="PivotTable10"/>
  </pivotTables>
  <data>
    <tabular pivotCacheId="1500933230">
      <items count="4">
        <i x="0" s="1"/>
        <i x="1" s="1"/>
        <i x="2" s="1"/>
        <i x="3" s="1" nd="1"/>
      </items>
    </tabular>
  </data>
</slicerCacheDefinition>
</file>

<file path=xl/slicerCaches/slicerCache2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orting_Quarter1" xr10:uid="{563D7A2E-FF64-4F5C-8F38-746BD1C15409}" sourceName="Reporting_Quarter_x000a_">
  <pivotTables>
    <pivotTable tabId="20" name="PivotTable1"/>
    <pivotTable tabId="20" name="PivotTable10"/>
  </pivotTables>
  <data>
    <tabular pivotCacheId="1500933230">
      <items count="6">
        <i x="2" s="1"/>
        <i x="3" s="1"/>
        <i x="1" s="1"/>
        <i x="0" s="1"/>
        <i x="5" s="1" nd="1"/>
        <i x="4" s="1" nd="1"/>
      </items>
    </tabular>
  </data>
</slicerCacheDefinition>
</file>

<file path=xl/slicerCaches/slicerCache2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HD_eligible_category311" xr10:uid="{D3463AF2-BBEC-4D69-8E03-35D02CF8034A}" sourceName="AHD_eligible_category_x000a_">
  <pivotTables>
    <pivotTable tabId="21" name="PivotTable1"/>
    <pivotTable tabId="21" name="PivotTable11"/>
  </pivotTables>
  <data>
    <tabular pivotCacheId="1500933230">
      <items count="8">
        <i x="0"/>
        <i x="2"/>
        <i x="3"/>
        <i x="6"/>
        <i x="1"/>
        <i x="4"/>
        <i x="5" s="1"/>
        <i x="7"/>
      </items>
    </tabular>
  </data>
</slicerCacheDefinition>
</file>

<file path=xl/slicerCaches/slicerCache2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cility211" xr10:uid="{2E3042C0-1EAA-4888-949A-E340088F850B}" sourceName="Facility">
  <pivotTables>
    <pivotTable tabId="21" name="PivotTable1"/>
    <pivotTable tabId="21" name="PivotTable11"/>
  </pivotTables>
  <data>
    <tabular pivotCacheId="1500933230">
      <items count="15">
        <i x="0" s="1"/>
        <i x="1" s="1"/>
        <i x="2" s="1"/>
        <i x="3" s="1"/>
        <i x="4" s="1"/>
        <i x="5"/>
        <i x="6" s="1"/>
        <i x="7" s="1"/>
        <i x="8" s="1"/>
        <i x="9"/>
        <i x="10" s="1"/>
        <i x="11"/>
        <i x="12"/>
        <i x="13"/>
        <i x="14" s="1" nd="1"/>
      </items>
    </tabular>
  </data>
</slicerCacheDefinition>
</file>

<file path=xl/slicerCaches/slicerCache2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orting_year111" xr10:uid="{B138780E-36CD-4D8E-A610-B34EAC074CAA}" sourceName="Reporting_year_x000a_">
  <pivotTables>
    <pivotTable tabId="21" name="PivotTable1"/>
    <pivotTable tabId="21" name="PivotTable11"/>
  </pivotTables>
  <data>
    <tabular pivotCacheId="1500933230">
      <items count="4">
        <i x="1" s="1"/>
        <i x="2" s="1"/>
        <i x="0" nd="1"/>
        <i x="3" s="1" nd="1"/>
      </items>
    </tabular>
  </data>
</slicerCacheDefinition>
</file>

<file path=xl/slicerCaches/slicerCache2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orting_Quarter11" xr10:uid="{6520A962-F4A8-46A5-93C2-C832443F8878}" sourceName="Reporting_Quarter_x000a_">
  <pivotTables>
    <pivotTable tabId="21" name="PivotTable1"/>
    <pivotTable tabId="21" name="PivotTable11"/>
  </pivotTables>
  <data>
    <tabular pivotCacheId="1500933230">
      <items count="6">
        <i x="2" s="1"/>
        <i x="3" s="1"/>
        <i x="1" s="1"/>
        <i x="0" s="1"/>
        <i x="5" s="1" nd="1"/>
        <i x="4" s="1" nd="1"/>
      </items>
    </tabular>
  </data>
</slicerCacheDefinition>
</file>

<file path=xl/slicerCaches/slicerCache2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HD_eligible_category3111" xr10:uid="{30222ACB-D2AE-44F3-928F-F7EAEA4E588C}" sourceName="AHD_eligible_category_x000a_">
  <pivotTables>
    <pivotTable tabId="22" name="PivotTable1"/>
    <pivotTable tabId="22" name="PivotTable9"/>
  </pivotTables>
  <data>
    <tabular pivotCacheId="1500933230">
      <items count="8">
        <i x="0"/>
        <i x="2" s="1"/>
        <i x="3"/>
        <i x="6"/>
        <i x="1"/>
        <i x="4"/>
        <i x="5"/>
        <i x="7" nd="1"/>
      </items>
    </tabular>
  </data>
</slicerCacheDefinition>
</file>

<file path=xl/slicerCaches/slicerCache2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cility2111" xr10:uid="{5BFB7E9A-0BF7-4255-86EE-AF53F9D02FCB}" sourceName="Facility">
  <pivotTables>
    <pivotTable tabId="22" name="PivotTable1"/>
    <pivotTable tabId="22" name="PivotTable9"/>
  </pivotTables>
  <data>
    <tabular pivotCacheId="1500933230">
      <items count="15">
        <i x="0" s="1"/>
        <i x="1" s="1"/>
        <i x="2" s="1"/>
        <i x="3" s="1"/>
        <i x="4" s="1"/>
        <i x="5"/>
        <i x="6" s="1"/>
        <i x="8" s="1"/>
        <i x="9"/>
        <i x="10" s="1"/>
        <i x="11"/>
        <i x="12"/>
        <i x="13"/>
        <i x="7" s="1" nd="1"/>
        <i x="14" s="1" nd="1"/>
      </items>
    </tabular>
  </data>
</slicerCacheDefinition>
</file>

<file path=xl/slicerCaches/slicerCache2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orting_year1111" xr10:uid="{419C0A80-A52C-4FA4-B4AA-6036D4DBF685}" sourceName="Reporting_year_x000a_">
  <pivotTables>
    <pivotTable tabId="22" name="PivotTable1"/>
    <pivotTable tabId="22" name="PivotTable9"/>
  </pivotTables>
  <data>
    <tabular pivotCacheId="1500933230">
      <items count="4">
        <i x="1" s="1"/>
        <i x="2" s="1"/>
        <i x="0" nd="1"/>
        <i x="3" nd="1"/>
      </items>
    </tabular>
  </data>
</slicerCacheDefinition>
</file>

<file path=xl/slicerCaches/slicerCache2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orting_Quarter111" xr10:uid="{98A4723C-E30C-496A-BB78-B0050649E859}" sourceName="Reporting_Quarter_x000a_">
  <pivotTables>
    <pivotTable tabId="22" name="PivotTable1"/>
    <pivotTable tabId="22" name="PivotTable9"/>
  </pivotTables>
  <data>
    <tabular pivotCacheId="1500933230">
      <items count="6">
        <i x="2" s="1"/>
        <i x="3" s="1"/>
        <i x="1" s="1"/>
        <i x="0" s="1"/>
        <i x="5" nd="1"/>
        <i x="4" nd="1"/>
      </items>
    </tabular>
  </data>
</slicerCacheDefinition>
</file>

<file path=xl/slicerCaches/slicerCache3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HD_eligible_category31111" xr10:uid="{DC51F5A9-CFF5-407F-BB1E-936A346A2C32}" sourceName="AHD_eligible_category_x000a_">
  <pivotTables>
    <pivotTable tabId="23" name="PivotTable1"/>
    <pivotTable tabId="23" name="PivotTable7"/>
  </pivotTables>
  <data>
    <tabular pivotCacheId="1500933230">
      <items count="8">
        <i x="0"/>
        <i x="2"/>
        <i x="3" s="1"/>
        <i x="6"/>
        <i x="1"/>
        <i x="4"/>
        <i x="5"/>
        <i x="7" nd="1"/>
      </items>
    </tabular>
  </data>
</slicerCacheDefinition>
</file>

<file path=xl/slicerCaches/slicerCache3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cility21111" xr10:uid="{D103B360-0145-4CAA-8973-23A1C65C7FDD}" sourceName="Facility">
  <pivotTables>
    <pivotTable tabId="23" name="PivotTable1"/>
    <pivotTable tabId="23" name="PivotTable7"/>
  </pivotTables>
  <data>
    <tabular pivotCacheId="1500933230">
      <items count="15">
        <i x="0" s="1"/>
        <i x="1" s="1"/>
        <i x="2" s="1"/>
        <i x="3" s="1"/>
        <i x="4" s="1"/>
        <i x="5" s="1"/>
        <i x="6" s="1"/>
        <i x="8" s="1"/>
        <i x="9" s="1"/>
        <i x="10" s="1"/>
        <i x="11" s="1"/>
        <i x="12" s="1"/>
        <i x="13" s="1"/>
        <i x="7" s="1" nd="1"/>
        <i x="14" s="1" nd="1"/>
      </items>
    </tabular>
  </data>
</slicerCacheDefinition>
</file>

<file path=xl/slicerCaches/slicerCache3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orting_year11111" xr10:uid="{2EBB726E-597C-4320-B59C-27D7F3D6FADF}" sourceName="Reporting_year_x000a_">
  <pivotTables>
    <pivotTable tabId="23" name="PivotTable1"/>
    <pivotTable tabId="23" name="PivotTable7"/>
  </pivotTables>
  <data>
    <tabular pivotCacheId="1500933230">
      <items count="4">
        <i x="0" s="1"/>
        <i x="1" s="1"/>
        <i x="2" s="1"/>
        <i x="3" s="1" nd="1"/>
      </items>
    </tabular>
  </data>
</slicerCacheDefinition>
</file>

<file path=xl/slicerCaches/slicerCache3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orting_Quarter1111" xr10:uid="{E09F8C95-A851-402C-A361-C1DFFC218EBC}" sourceName="Reporting_Quarter_x000a_">
  <pivotTables>
    <pivotTable tabId="23" name="PivotTable1"/>
    <pivotTable tabId="23" name="PivotTable7"/>
  </pivotTables>
  <data>
    <tabular pivotCacheId="1500933230">
      <items count="6">
        <i x="2" s="1"/>
        <i x="3" s="1"/>
        <i x="1" s="1"/>
        <i x="0" s="1"/>
        <i x="5" nd="1"/>
        <i x="4" nd="1"/>
      </items>
    </tabular>
  </data>
</slicerCacheDefinition>
</file>

<file path=xl/slicerCaches/slicerCache3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HD_eligible_category312" xr10:uid="{B02664C7-A896-4C66-B2D5-C5FF3BAAC566}" sourceName="AHD_eligible_category_x000a_">
  <pivotTables>
    <pivotTable tabId="24" name="PivotTable1"/>
    <pivotTable tabId="24" name="PivotTable10"/>
  </pivotTables>
  <data>
    <tabular pivotCacheId="1500933230">
      <items count="8">
        <i x="0"/>
        <i x="2"/>
        <i x="3"/>
        <i x="6"/>
        <i x="1"/>
        <i x="4" s="1"/>
        <i x="5"/>
        <i x="7" nd="1"/>
      </items>
    </tabular>
  </data>
</slicerCacheDefinition>
</file>

<file path=xl/slicerCaches/slicerCache3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cility212" xr10:uid="{BE042198-7737-4826-B9DD-E7A1CA804DC9}" sourceName="Facility">
  <pivotTables>
    <pivotTable tabId="24" name="PivotTable1"/>
    <pivotTable tabId="24" name="PivotTable10"/>
  </pivotTables>
  <data>
    <tabular pivotCacheId="1500933230">
      <items count="15">
        <i x="0" s="1"/>
        <i x="1" s="1"/>
        <i x="2" s="1"/>
        <i x="3" s="1"/>
        <i x="4" s="1"/>
        <i x="5" s="1"/>
        <i x="6" s="1"/>
        <i x="8" s="1"/>
        <i x="9" s="1"/>
        <i x="10" s="1"/>
        <i x="11" s="1"/>
        <i x="12" s="1"/>
        <i x="13" s="1"/>
        <i x="7" s="1" nd="1"/>
        <i x="14" s="1" nd="1"/>
      </items>
    </tabular>
  </data>
</slicerCacheDefinition>
</file>

<file path=xl/slicerCaches/slicerCache3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orting_year112" xr10:uid="{8D875CAA-D22F-4120-AAC8-634B897F856A}" sourceName="Reporting_year_x000a_">
  <pivotTables>
    <pivotTable tabId="24" name="PivotTable1"/>
    <pivotTable tabId="24" name="PivotTable10"/>
  </pivotTables>
  <data>
    <tabular pivotCacheId="1500933230">
      <items count="4">
        <i x="0" s="1"/>
        <i x="1" s="1"/>
        <i x="2"/>
        <i x="3" s="1" nd="1"/>
      </items>
    </tabular>
  </data>
</slicerCacheDefinition>
</file>

<file path=xl/slicerCaches/slicerCache3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orting_Quarter12" xr10:uid="{C3C256BF-44F7-4689-A749-934BB7FFC8B6}" sourceName="Reporting_Quarter_x000a_">
  <pivotTables>
    <pivotTable tabId="24" name="PivotTable1"/>
    <pivotTable tabId="24" name="PivotTable10"/>
  </pivotTables>
  <data>
    <tabular pivotCacheId="1500933230">
      <items count="6">
        <i x="2" s="1"/>
        <i x="3" s="1"/>
        <i x="1" s="1"/>
        <i x="0" s="1"/>
        <i x="5" nd="1"/>
        <i x="4" nd="1"/>
      </items>
    </tabular>
  </data>
</slicerCacheDefinition>
</file>

<file path=xl/slicerCaches/slicerCache3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P_Year" xr10:uid="{3A8DDAB9-F5B7-4E18-9700-5F1F0BB0CFD3}" sourceName="COP_Year">
  <pivotTables>
    <pivotTable tabId="22" name="PivotTable1"/>
  </pivotTables>
  <data>
    <tabular pivotCacheId="1500933230">
      <items count="4">
        <i x="0" s="1"/>
        <i x="2" s="1"/>
        <i x="3" s="1"/>
        <i x="1" s="1" nd="1"/>
      </items>
    </tabular>
  </data>
</slicerCacheDefinition>
</file>

<file path=xl/slicerCaches/slicerCache3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P_Quarter" xr10:uid="{EE96701A-E32D-4240-8A65-02AC7EFEB136}" sourceName="COP_Quarter">
  <pivotTables>
    <pivotTable tabId="19" name="PivotTable1"/>
  </pivotTables>
  <data>
    <tabular pivotCacheId="1500933230">
      <items count="5">
        <i x="0" s="1"/>
        <i x="2" s="1"/>
        <i x="3" s="1"/>
        <i x="1" s="1"/>
        <i x="4" s="1"/>
      </items>
    </tabular>
  </data>
</slicerCacheDefinition>
</file>

<file path=xl/slicerCaches/slicerCache4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orting_month" xr10:uid="{FAB0DB03-09CC-4C5A-955C-08BD09081B7F}" sourceName="Reporting_month_x000a_">
  <pivotTables>
    <pivotTable tabId="19" name="PivotTable1"/>
  </pivotTables>
  <data>
    <tabular pivotCacheId="1500933230">
      <items count="14">
        <i x="4" s="1"/>
        <i x="5" s="1"/>
        <i x="3" s="1"/>
        <i x="7" s="1"/>
        <i x="6" s="1"/>
        <i x="8" s="1"/>
        <i x="9" s="1"/>
        <i x="10" s="1"/>
        <i x="2" s="1"/>
        <i x="0" s="1"/>
        <i x="1" s="1"/>
        <i x="11" s="1"/>
        <i x="13" s="1" nd="1"/>
        <i x="12" s="1" nd="1"/>
      </items>
    </tabular>
  </data>
</slicerCacheDefinition>
</file>

<file path=xl/slicerCaches/slicerCache4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P_Year1" xr10:uid="{A13B0811-7933-4474-85B9-71BE25893E54}" sourceName="COP_Year">
  <pivotTables>
    <pivotTable tabId="19" name="PivotTable3"/>
  </pivotTables>
  <data>
    <tabular pivotCacheId="1500933230">
      <items count="4">
        <i x="1" s="1"/>
        <i x="0" s="1"/>
        <i x="2" s="1"/>
        <i x="3" s="1"/>
      </items>
    </tabular>
  </data>
</slicerCacheDefinition>
</file>

<file path=xl/slicerCaches/slicerCache4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HD_eligible_category313" xr10:uid="{D277FC14-983F-4112-8B12-F14767BD1BDE}" sourceName="AHD_eligible_category_x000a_">
  <pivotTables>
    <pivotTable tabId="28" name="PivotTable1"/>
    <pivotTable tabId="28" name="PivotTable10"/>
  </pivotTables>
  <data>
    <tabular pivotCacheId="1500933230">
      <items count="8">
        <i x="0"/>
        <i x="2" s="1"/>
        <i x="3"/>
        <i x="6" s="1"/>
        <i x="1" s="1"/>
        <i x="4" s="1"/>
        <i x="5" s="1"/>
        <i x="7"/>
      </items>
    </tabular>
  </data>
</slicerCacheDefinition>
</file>

<file path=xl/slicerCaches/slicerCache4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cility213" xr10:uid="{F6028953-F994-47A3-9EE6-8C5432A354A4}" sourceName="Facility">
  <pivotTables>
    <pivotTable tabId="28" name="PivotTable1"/>
    <pivotTable tabId="28" name="PivotTable10"/>
  </pivotTables>
  <data>
    <tabular pivotCacheId="1500933230">
      <items count="15">
        <i x="0" s="1"/>
        <i x="1" s="1"/>
        <i x="2" s="1"/>
        <i x="3" s="1"/>
        <i x="4" s="1"/>
        <i x="5" s="1"/>
        <i x="6" s="1"/>
        <i x="7" s="1"/>
        <i x="8" s="1"/>
        <i x="9" s="1"/>
        <i x="10" s="1"/>
        <i x="11" s="1"/>
        <i x="12" s="1"/>
        <i x="13" s="1"/>
        <i x="14" s="1" nd="1"/>
      </items>
    </tabular>
  </data>
</slicerCacheDefinition>
</file>

<file path=xl/slicerCaches/slicerCache4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orting_year113" xr10:uid="{4B497B15-9584-420F-A62E-8A80A625C1A2}" sourceName="Reporting_year_x000a_">
  <pivotTables>
    <pivotTable tabId="28" name="PivotTable1"/>
    <pivotTable tabId="28" name="PivotTable10"/>
  </pivotTables>
  <data>
    <tabular pivotCacheId="1500933230">
      <items count="4">
        <i x="0"/>
        <i x="1" s="1"/>
        <i x="2" s="1"/>
        <i x="3" s="1" nd="1"/>
      </items>
    </tabular>
  </data>
</slicerCacheDefinition>
</file>

<file path=xl/slicerCaches/slicerCache4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orting_Quarter13" xr10:uid="{CC3542C8-EAEA-4C12-944D-BC860ABBF20B}" sourceName="Reporting_Quarter_x000a_">
  <pivotTables>
    <pivotTable tabId="28" name="PivotTable1"/>
    <pivotTable tabId="28" name="PivotTable10"/>
  </pivotTables>
  <data>
    <tabular pivotCacheId="1500933230">
      <items count="6">
        <i x="2" s="1"/>
        <i x="3" s="1"/>
        <i x="1" s="1"/>
        <i x="0" s="1"/>
        <i x="5" s="1" nd="1"/>
        <i x="4" s="1" nd="1"/>
      </items>
    </tabular>
  </data>
</slicerCacheDefinition>
</file>

<file path=xl/slicerCaches/slicerCache4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HD_eligible_category4" xr10:uid="{46817F12-16EB-430D-8D0F-D649F1C83579}" sourceName="AHD_eligible_category_x000a_">
  <pivotTables>
    <pivotTable tabId="29" name="PivotTable1"/>
  </pivotTables>
  <data>
    <tabular pivotCacheId="166477259">
      <items count="8">
        <i x="0" s="1"/>
        <i x="2"/>
        <i x="3"/>
        <i x="6" s="1"/>
        <i x="1"/>
        <i x="4"/>
        <i x="5"/>
        <i x="7" nd="1"/>
      </items>
    </tabular>
  </data>
</slicerCacheDefinition>
</file>

<file path=xl/slicerCaches/slicerCache4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orting_year2" xr10:uid="{2BB76F01-5B8D-4BA3-B3DD-114DDA5336B0}" sourceName="Reporting_year_x000a_">
  <pivotTables>
    <pivotTable tabId="29" name="PivotTable1"/>
  </pivotTables>
  <data>
    <tabular pivotCacheId="166477259">
      <items count="4">
        <i x="0" s="1"/>
        <i x="1" s="1"/>
        <i x="2" s="1"/>
        <i x="3" s="1" nd="1"/>
      </items>
    </tabular>
  </data>
</slicerCacheDefinition>
</file>

<file path=xl/slicerCaches/slicerCache4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P_Year11" xr10:uid="{79C8167E-07D1-4D5C-B46D-09FD3F896396}" sourceName="COP_Year1">
  <pivotTables>
    <pivotTable tabId="29" name="PivotTable1"/>
  </pivotTables>
  <data>
    <tabular pivotCacheId="166477259">
      <items count="6">
        <i x="1"/>
        <i x="0" s="1"/>
        <i x="2" s="1"/>
        <i x="4" nd="1"/>
        <i x="5" nd="1"/>
        <i x="3" nd="1"/>
      </items>
    </tabular>
  </data>
</slicerCacheDefinition>
</file>

<file path=xl/slicerCaches/slicerCache4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P_Quarter1" xr10:uid="{47620903-035E-4D8D-8C82-19F00FAB6974}" sourceName="COP_Quarter1">
  <pivotTables>
    <pivotTable tabId="29" name="PivotTable1"/>
  </pivotTables>
  <data>
    <tabular pivotCacheId="166477259">
      <items count="5">
        <i x="0" s="1"/>
        <i x="2" s="1"/>
        <i x="3" s="1"/>
        <i x="1" s="1"/>
        <i x="4" s="1" nd="1"/>
      </items>
    </tabular>
  </data>
</slicerCacheDefinition>
</file>

<file path=xl/slicerCaches/slicerCache5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orting_month1" xr10:uid="{7D3AD077-B3A1-458E-BCB9-E5E4BB9C038C}" sourceName="Reporting_month_x000a_">
  <pivotTables>
    <pivotTable tabId="29" name="PivotTable1"/>
  </pivotTables>
  <data>
    <tabular pivotCacheId="166477259">
      <items count="14">
        <i x="4" s="1"/>
        <i x="5" s="1"/>
        <i x="3" s="1"/>
        <i x="7" s="1"/>
        <i x="6" s="1"/>
        <i x="8" s="1"/>
        <i x="9" s="1"/>
        <i x="10" s="1"/>
        <i x="2" s="1"/>
        <i x="0" s="1"/>
        <i x="1" s="1"/>
        <i x="11" s="1"/>
        <i x="13" s="1" nd="1"/>
        <i x="1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HD_eligible_category_x000a_ 14" xr10:uid="{DD5A52D2-10A9-4D7C-A7F7-C1E0FCC99981}" cache="Slicer_AHD_eligible_category313" caption="AHD_eligible_category_x000a_" startItem="4" rowHeight="234950"/>
  <slicer name="Facility 15" xr10:uid="{E501C04F-82A1-45B1-A19E-051CC468690A}" cache="Slicer_Facility213" caption="Facility" rowHeight="234950"/>
  <slicer name="Reporting_year_x000a_ 9" xr10:uid="{32BD396B-7686-49F1-AC8A-646B294DD725}" cache="Slicer_Reporting_year113" caption="Reporting_year_x000a_" rowHeight="234950"/>
  <slicer name="Reporting_Quarter_x000a_ 7" xr10:uid="{08A4D3D6-0B21-4551-AC26-F7376EB0693C}" cache="Slicer_Reporting_Quarter13" caption="Reporting_Quarter_x000a_"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HD_eligible_category_x000a_ 13" xr10:uid="{DFA8B7AA-BEC0-4E51-84AA-08CB9FC3B65B}" cache="Slicer_AHD_eligible_category312" caption="AHD_eligible_category_x000a_" startItem="5" rowHeight="234950"/>
  <slicer name="Facility 14" xr10:uid="{D2B38197-E2B7-4739-A73B-3E1A2B316901}" cache="Slicer_Facility212" caption="Facility" rowHeight="234950"/>
  <slicer name="Reporting_year_x000a_ 8" xr10:uid="{7296E66F-1A69-4BAF-882D-FFBB4C913A5A}" cache="Slicer_Reporting_year112" caption="Reporting_year_x000a_" rowHeight="234950"/>
  <slicer name="Reporting_Quarter_x000a_ 6" xr10:uid="{5FB97BB4-69B8-4491-AEB3-F454F618950B}" cache="Slicer_Reporting_Quarter12" caption="Reporting_Quarter_x000a_"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HD_eligible_category_x000a_ 15" xr10:uid="{1B1D6D6E-1625-4692-AB22-DB00EEA8C4CD}" cache="Slicer_AHD_eligible_category4" caption="AHD_eligible_category_x000a_" rowHeight="241300"/>
  <slicer name="Reporting_year_x000a_ 12" xr10:uid="{01312C77-B756-4774-BE8F-2BAB5F45FE00}" cache="Slicer_Reporting_year2" caption="Reporting_year_x000a_" rowHeight="241300"/>
  <slicer name="COP_Year1" xr10:uid="{91D2519E-2DC1-419B-8FA9-3AACB64CF109}" cache="Slicer_COP_Year11" caption="COP_Year1" rowHeight="241300"/>
  <slicer name="COP_Quarter1" xr10:uid="{8E263ED9-B2E6-4FD4-A63A-4558C662147E}" cache="Slicer_COP_Quarter1" caption="COP_Quarter1" rowHeight="241300"/>
  <slicer name="Reporting_month_x000a_ 1" xr10:uid="{99FA7139-BCE5-43F9-B688-60D080C8D5A3}" cache="Slicer_Reporting_month1" caption="Reporting_month_x000a_"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HD_eligible_category_x000a_ 8" xr10:uid="{96FFFFCC-1F16-4D8C-B794-A1BA4CA2D5EE}" cache="Slicer_AHD_eligible_category3" caption="AHD_eligible_category_x000a_" startItem="4" rowHeight="234950"/>
  <slicer name="Facility 9" xr10:uid="{12932140-2032-46DE-9E2C-4C651D12EA2C}" cache="Slicer_Facility2" caption="Facility" startItem="9" rowHeight="234950"/>
  <slicer name="Facility 16" xr10:uid="{A34BA6E2-C7B4-4A99-9AE1-6A880D8C8C6D}" cache="Slicer_Facility2" caption="Facility" rowHeight="234950"/>
  <slicer name="Reporting_year_x000a_ 3" xr10:uid="{40EC0073-4099-4E80-8636-ECC8600EC3EA}" cache="Slicer_Reporting_year1" caption="Reporting_year_x000a_" rowHeight="234950"/>
  <slicer name="Reporting_year_x000a_ 11" xr10:uid="{F505A1DF-1938-43D5-94DF-141ED7CF2CB6}" cache="Slicer_Reporting_year1" caption="Reporting_year_x000a_" rowHeight="234950"/>
  <slicer name="Reporting_Quarter_x000a_ 1" xr10:uid="{A5770B94-4BD2-4043-B2D3-0AB6E46ED22D}" cache="Slicer_Reporting_Quarter" caption="Reporting_Quarter_x000a_" rowHeight="234950"/>
  <slicer name="COP_Quarter" xr10:uid="{2AC801D8-7DB8-4CD7-BE9C-8DB1281955C4}" cache="Slicer_COP_Quarter" caption="COP_Quarter" rowHeight="234950"/>
  <slicer name="Reporting_month_x000a_" xr10:uid="{C1AAF79B-2E1D-4DAF-83FC-27FFF36DB842}" cache="Slicer_Reporting_month" caption="Reporting_month_x000a_" rowHeight="234950"/>
  <slicer name="COP_Year 1" xr10:uid="{ED7239A0-6520-429C-974A-935698517D62}" cache="Slicer_COP_Year1" caption="COP_Year"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HD_eligible_category_x000a_ 12" xr10:uid="{A6E30011-4547-4F94-85B7-61B086E718B6}" cache="Slicer_AHD_eligible_category31111" caption="AHD_eligible_category_x000a_" rowHeight="234950"/>
  <slicer name="Facility 13" xr10:uid="{2399BCEE-1993-4422-BB0D-8729D7096A69}" cache="Slicer_Facility21111" caption="Facility" rowHeight="234950"/>
  <slicer name="Reporting_year_x000a_ 7" xr10:uid="{DF2AFF9D-6029-440F-8B2F-672F35D8DE3D}" cache="Slicer_Reporting_year11111" caption="Reporting_year_x000a_" rowHeight="234950"/>
  <slicer name="Reporting_Quarter_x000a_ 5" xr10:uid="{2945AD7E-487A-49F3-B284-7F309A8D02E4}" cache="Slicer_Reporting_Quarter1111" caption="Reporting_Quarter_x000a_"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HD_eligible_category_x000a_ 9" xr10:uid="{FB72CEAE-FA3D-4488-AF69-6E319B0C5F5C}" cache="Slicer_AHD_eligible_category31" caption="AHD_eligible_category_x000a_" startItem="4" rowHeight="234950"/>
  <slicer name="Facility 10" xr10:uid="{728A5B19-DD6B-4A03-817F-1DD8BEF1D16C}" cache="Slicer_Facility21" caption="Facility" rowHeight="234950"/>
  <slicer name="Reporting_year_x000a_ 4" xr10:uid="{D545656E-ADE6-4425-8F0A-B3B63E24FEF1}" cache="Slicer_Reporting_year11" caption="Reporting_year_x000a_" rowHeight="234950"/>
  <slicer name="Reporting_Quarter_x000a_ 2" xr10:uid="{C4D7FEE2-A22C-495C-A4F4-928E6C23B5E4}" cache="Slicer_Reporting_Quarter1" caption="Reporting_Quarter_x000a_" rowHeight="23495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HD_eligible_category_x000a_ 11" xr10:uid="{42BE2A8D-6A93-4F9B-B4E8-FBAD69982D5A}" cache="Slicer_AHD_eligible_category3111" caption="AHD_eligible_category_x000a_" rowHeight="234950"/>
  <slicer name="Facility 12" xr10:uid="{D5A1F735-2A3B-4514-B3E8-2ED07E55E0F6}" cache="Slicer_Facility2111" caption="Facility" startItem="3" rowHeight="234950"/>
  <slicer name="Reporting_year_x000a_ 6" xr10:uid="{DF7A0FBE-F0E6-422D-9C75-910C982B9A1F}" cache="Slicer_Reporting_year1111" caption="Reporting_year_x000a_" rowHeight="234950"/>
  <slicer name="Reporting_year_x000a_ 10" xr10:uid="{2608E1ED-16C0-4B30-8433-17A113CBDB05}" cache="Slicer_Reporting_year1111" caption="Reporting_year_x000a_" rowHeight="234950"/>
  <slicer name="Reporting_Quarter_x000a_ 4" xr10:uid="{44FD21FE-6943-467F-B81D-2634004391E8}" cache="Slicer_Reporting_Quarter111" caption="Reporting_Quarter_x000a_" rowHeight="234950"/>
  <slicer name="COP_Year" xr10:uid="{F7063348-F5BD-418D-8837-1998EFD3422F}" cache="Slicer_COP_Year" caption="COP_Year" rowHeight="234950"/>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HD_eligible_category_x000a_ 10" xr10:uid="{088C649A-AD94-4BFD-A972-5914E26CC75F}" cache="Slicer_AHD_eligible_category311" caption="AHD_eligible_category_x000a_" startItem="5" rowHeight="234950"/>
  <slicer name="Facility 11" xr10:uid="{4F6BAA4F-713C-407D-A5AF-F7A397415098}" cache="Slicer_Facility211" caption="Facility" rowHeight="234950"/>
  <slicer name="Reporting_year_x000a_ 5" xr10:uid="{3F431496-93C7-4F7F-B739-007DA62A5C33}" cache="Slicer_Reporting_year111" caption="Reporting_year_x000a_" rowHeight="234950"/>
  <slicer name="Reporting_Quarter_x000a_ 3" xr10:uid="{961435CF-7DF3-4244-86ED-24BE7501A615}" cache="Slicer_Reporting_Quarter11" caption="Reporting_Quarter_x000a_" rowHeight="234950"/>
</slicers>
</file>

<file path=xl/slicers/slicer9.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acility 8" xr10:uid="{57EE510F-65F6-4BDD-8BC8-A56BC70AE953}" cache="Slicer_Facility1" caption="Facility" rowHeight="234950"/>
  <slicer name="Reporting_year_x000a_ 2" xr10:uid="{4D8E6259-BE4A-4CC5-954A-F67B41DE8B98}" cache="Slicer_Reporting_year" caption="Reporting_year_x000a_" rowHeight="234950"/>
</slicers>
</file>

<file path=xl/slicers/slicer10.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acility 7" xr10:uid="{08AD7549-FB46-40A0-84F6-7BECC5170AB7}" cache="Slicer_Facility1" caption="Facility" rowHeight="234950"/>
  <slicer name="AHD_eligible_category_x000a_ 7" xr10:uid="{B0380CD8-1EC4-4E71-A15A-7BE9FA0249A9}" cache="Slicer_AHD_eligible_category22" caption="AHD_eligible_category_x000a_" startItem="1" rowHeight="234950"/>
  <slicer name="Reporting_year_x000a_ 1" xr10:uid="{A562FCF0-5B8E-46BE-B3B3-9FCA6F300D91}" cache="Slicer_Reporting_year" caption="Reporting_year_x000a_" rowHeight="234950"/>
</slicers>
</file>

<file path=xl/slicers/slicer1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acility 2" xr10:uid="{C9378743-8C7F-4C21-8B9A-67B079B70B26}" cache="Slicer_Facility1" caption="Facility" rowHeight="234950"/>
  <slicer name="AHD_eligible_category_x000a_ 2" xr10:uid="{61264BBB-52B4-4C2B-B77C-042A90A39F23}" cache="Slicer_AHD_eligible_category1" caption="AHD_eligible_category_x000a_" rowHeight="234950"/>
</slicers>
</file>

<file path=xl/slicers/slicer1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acility 6" xr10:uid="{D009E869-BF4C-42C6-9E36-C2E58F456F2E}" cache="Slicer_Facility1" caption="Facility" rowHeight="234950"/>
  <slicer name="AHD_eligible_category_x000a_ 6" xr10:uid="{A3CBAD8E-120C-47CC-925F-906C65312CED}" cache="Slicer_AHD_eligible_category2111" caption="AHD_eligible_category_x000a_" rowHeight="234950"/>
</slicers>
</file>

<file path=xl/slicers/slicer1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acility" xr10:uid="{CE2BD695-FE5D-46DE-AA71-FE891BED23C9}" cache="Slicer_Facility" caption="Facility" startItem="4" rowHeight="228600"/>
  <slicer name="Reporting_year_x000a_" xr10:uid="{1651FFC1-4DEB-4CDB-B78D-8F1DC3A1C83B}" cache="Slicer_Reporting_year_" caption="Reporting_year_x000a_" rowHeight="228600"/>
  <slicer name="Reporting_Quarter_x000a_" xr10:uid="{D96BDF7B-C4C7-4BDF-81E5-14C69B7F88EB}" cache="Slicer_Reporting_Quarter_" caption="Reporting_Quarter_x000a_" rowHeight="228600"/>
  <slicer name="AHD_eligible_category_x000a_" xr10:uid="{956554CB-B9F8-4E12-BF65-DE7502B66E1B}" cache="Slicer_AHD_eligible_category_" caption="AHD_eligible_category_x000a_" rowHeight="228600"/>
</slicers>
</file>

<file path=xl/slicers/slicer1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acility 1" xr10:uid="{17CA45F0-7D12-48F7-BEFD-7F01C883EA98}" cache="Slicer_Facility1" caption="Facility" rowHeight="234950"/>
  <slicer name="AHD_eligible_category_x000a_ 1" xr10:uid="{BCF64868-E57B-488E-B1E7-6D551A861342}" cache="Slicer_AHD_eligible_category" caption="AHD_eligible_category_x000a_" rowHeight="234950"/>
</slicers>
</file>

<file path=xl/slicers/slicer1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acility 5" xr10:uid="{4B370ECC-826E-4719-927B-D641F26EC61D}" cache="Slicer_Facility1" caption="Facility" startItem="2" rowHeight="234950"/>
  <slicer name="AHD_eligible_category_x000a_ 5" xr10:uid="{C68D8601-08E1-426A-8F24-BDF167036F87}" cache="Slicer_AHD_eligible_category211" caption="AHD_eligible_category_x000a_" rowHeight="234950"/>
</slicers>
</file>

<file path=xl/slicers/slicer1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acility 4" xr10:uid="{72F039CE-4007-4257-8510-4645D34901B7}" cache="Slicer_Facility1" caption="Facility" rowHeight="234950"/>
  <slicer name="AHD_eligible_category_x000a_ 4" xr10:uid="{2515FF7C-BC02-4BCE-B4A8-67F0D5B499A9}" cache="Slicer_AHD_eligible_category21" caption="AHD_eligible_category_x000a_" rowHeight="234950"/>
</slicers>
</file>

<file path=xl/slicers/slicer1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acility 3" xr10:uid="{3E16F6D2-E67A-47E3-BC92-AB5065A3B1BB}" cache="Slicer_Facility1" caption="Facility" rowHeight="234950"/>
  <slicer name="AHD_eligible_category_x000a_ 3" xr10:uid="{229CB9B3-FA27-4551-9CCC-B2A0FF5977D9}" cache="Slicer_AHD_eligible_category2" caption="AHD_eligible_category_x000a_" startItem="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AQ10" totalsRowShown="0">
  <autoFilter ref="A1:AQ10" xr:uid="{00000000-0009-0000-0100-000001000000}"/>
  <sortState xmlns:xlrd2="http://schemas.microsoft.com/office/spreadsheetml/2017/richdata2" ref="A2:AQ10">
    <sortCondition ref="F1:F10"/>
  </sortState>
  <tableColumns count="43">
    <tableColumn id="1" xr3:uid="{00000000-0010-0000-0000-000001000000}" name="Id" dataDxfId="363">
      <extLst>
        <ext xmlns:xlmsforms="http://schemas.microsoft.com/office/spreadsheetml/2023/msForms" uri="{FCC71383-01E1-4257-9335-427F07BE8D7F}">
          <xlmsforms:question id="id"/>
        </ext>
      </extLst>
    </tableColumn>
    <tableColumn id="2" xr3:uid="{00000000-0010-0000-0000-000002000000}" name="Start time" dataDxfId="362">
      <extLst>
        <ext xmlns:xlmsforms="http://schemas.microsoft.com/office/spreadsheetml/2023/msForms" uri="{FCC71383-01E1-4257-9335-427F07BE8D7F}">
          <xlmsforms:question id="startDate"/>
        </ext>
      </extLst>
    </tableColumn>
    <tableColumn id="3" xr3:uid="{00000000-0010-0000-0000-000003000000}" name="Completion time" dataDxfId="361">
      <extLst>
        <ext xmlns:xlmsforms="http://schemas.microsoft.com/office/spreadsheetml/2023/msForms" uri="{FCC71383-01E1-4257-9335-427F07BE8D7F}">
          <xlmsforms:question id="submitDate"/>
        </ext>
      </extLst>
    </tableColumn>
    <tableColumn id="4" xr3:uid="{00000000-0010-0000-0000-000004000000}" name="Email" dataDxfId="360">
      <extLst>
        <ext xmlns:xlmsforms="http://schemas.microsoft.com/office/spreadsheetml/2023/msForms" uri="{FCC71383-01E1-4257-9335-427F07BE8D7F}">
          <xlmsforms:question id="responder"/>
        </ext>
      </extLst>
    </tableColumn>
    <tableColumn id="5" xr3:uid="{00000000-0010-0000-0000-000005000000}" name="Name" dataDxfId="359">
      <extLst>
        <ext xmlns:xlmsforms="http://schemas.microsoft.com/office/spreadsheetml/2023/msForms" uri="{FCC71383-01E1-4257-9335-427F07BE8D7F}">
          <xlmsforms:question id="responderName"/>
        </ext>
      </extLst>
    </tableColumn>
    <tableColumn id="6" xr3:uid="{00000000-0010-0000-0000-000006000000}" name="Facility" dataDxfId="358">
      <extLst>
        <ext xmlns:xlmsforms="http://schemas.microsoft.com/office/spreadsheetml/2023/msForms" uri="{FCC71383-01E1-4257-9335-427F07BE8D7F}">
          <xlmsforms:question id="rdd3c10c762b7426fb0651e0fc25d56f9"/>
        </ext>
      </extLst>
    </tableColumn>
    <tableColumn id="39" xr3:uid="{E130FA89-DC5B-4116-947F-7C6BD282EB87}" name="Type of Facility_x000a_" dataDxfId="357">
      <extLst>
        <ext xmlns:xlmsforms="http://schemas.microsoft.com/office/spreadsheetml/2023/msForms" uri="{FCC71383-01E1-4257-9335-427F07BE8D7F}">
          <xlmsforms:question id="r7912d81a4b3b467ea22dd56e91f62ceb"/>
        </ext>
      </extLst>
    </tableColumn>
    <tableColumn id="7" xr3:uid="{00000000-0010-0000-0000-000007000000}" name="Reporting_year_x000a_" dataDxfId="356">
      <extLst>
        <ext xmlns:xlmsforms="http://schemas.microsoft.com/office/spreadsheetml/2023/msForms" uri="{FCC71383-01E1-4257-9335-427F07BE8D7F}">
          <xlmsforms:question id="rdfceffe89a404491b28d59c8e6eb57f6"/>
        </ext>
      </extLst>
    </tableColumn>
    <tableColumn id="40" xr3:uid="{8670763B-436B-44F7-A51E-588B5D958A1C}" name="COP_Year1" dataDxfId="355">
      <extLst>
        <ext xmlns:xlmsforms="http://schemas.microsoft.com/office/spreadsheetml/2023/msForms" uri="{FCC71383-01E1-4257-9335-427F07BE8D7F}">
          <xlmsforms:question id="rb0f3f63c1e3f44d38c9ba71044f1b470"/>
        </ext>
      </extLst>
    </tableColumn>
    <tableColumn id="43" xr3:uid="{EA7F9E87-553B-4A31-ABA0-79DBCA498DBE}" name="COP_Year" dataDxfId="354"/>
    <tableColumn id="8" xr3:uid="{00000000-0010-0000-0000-000008000000}" name="Reporting_Quarter_x000a_" dataDxfId="353">
      <extLst>
        <ext xmlns:xlmsforms="http://schemas.microsoft.com/office/spreadsheetml/2023/msForms" uri="{FCC71383-01E1-4257-9335-427F07BE8D7F}">
          <xlmsforms:question id="rebac4096c9f240b094861f5a1096e16e"/>
        </ext>
      </extLst>
    </tableColumn>
    <tableColumn id="42" xr3:uid="{41DD87F6-2D52-4053-92F7-60322F8C6482}" name="COP_Quarter1" dataDxfId="352">
      <extLst>
        <ext xmlns:xlmsforms="http://schemas.microsoft.com/office/spreadsheetml/2023/msForms" uri="{FCC71383-01E1-4257-9335-427F07BE8D7F}">
          <xlmsforms:question id="r4b593e76539649988ee4efce287fcc3d"/>
        </ext>
      </extLst>
    </tableColumn>
    <tableColumn id="41" xr3:uid="{1C242325-BBEE-4D98-820E-8327C00B3AF6}" name="COP_Quarter" dataDxfId="351"/>
    <tableColumn id="9" xr3:uid="{00000000-0010-0000-0000-000009000000}" name="Reporting_month_x000a_" dataDxfId="350">
      <extLst>
        <ext xmlns:xlmsforms="http://schemas.microsoft.com/office/spreadsheetml/2023/msForms" uri="{FCC71383-01E1-4257-9335-427F07BE8D7F}">
          <xlmsforms:question id="r3f64095d10f34b6fa33382e003d45234"/>
        </ext>
      </extLst>
    </tableColumn>
    <tableColumn id="10" xr3:uid="{00000000-0010-0000-0000-00000A000000}" name="Startdate_x000a_" dataDxfId="349">
      <extLst>
        <ext xmlns:xlmsforms="http://schemas.microsoft.com/office/spreadsheetml/2023/msForms" uri="{FCC71383-01E1-4257-9335-427F07BE8D7F}">
          <xlmsforms:question id="r17ecb850ef1a4d12a35cf76c1871bca4"/>
        </ext>
      </extLst>
    </tableColumn>
    <tableColumn id="11" xr3:uid="{00000000-0010-0000-0000-00000B000000}" name="Enddate" dataDxfId="348">
      <extLst>
        <ext xmlns:xlmsforms="http://schemas.microsoft.com/office/spreadsheetml/2023/msForms" uri="{FCC71383-01E1-4257-9335-427F07BE8D7F}">
          <xlmsforms:question id="r51de396e7a644b328730f0f76506baa3"/>
        </ext>
      </extLst>
    </tableColumn>
    <tableColumn id="12" xr3:uid="{00000000-0010-0000-0000-00000C000000}" name="AHD_eligible_category_x000a_" dataDxfId="347">
      <extLst>
        <ext xmlns:xlmsforms="http://schemas.microsoft.com/office/spreadsheetml/2023/msForms" uri="{FCC71383-01E1-4257-9335-427F07BE8D7F}">
          <xlmsforms:question id="r840cc19bd8b5430a92aba658f2d5d7ff"/>
        </ext>
      </extLst>
    </tableColumn>
    <tableColumn id="13" xr3:uid="{00000000-0010-0000-0000-00000D000000}" name="Total_number_of_ROC_x000a_" dataDxfId="346">
      <extLst>
        <ext xmlns:xlmsforms="http://schemas.microsoft.com/office/spreadsheetml/2023/msForms" uri="{FCC71383-01E1-4257-9335-427F07BE8D7F}">
          <xlmsforms:question id="ra64cf88098cf4f1db58b9235a21825da"/>
        </ext>
      </extLst>
    </tableColumn>
    <tableColumn id="14" xr3:uid="{00000000-0010-0000-0000-00000E000000}" name="Seriously_ill" dataDxfId="345">
      <extLst>
        <ext xmlns:xlmsforms="http://schemas.microsoft.com/office/spreadsheetml/2023/msForms" uri="{FCC71383-01E1-4257-9335-427F07BE8D7F}">
          <xlmsforms:question id="r3031a400f5a44ea6956ba7738d7834ca"/>
        </ext>
      </extLst>
    </tableColumn>
    <tableColumn id="15" xr3:uid="{00000000-0010-0000-0000-00000F000000}" name="WHO_stage_1" dataDxfId="344">
      <extLst>
        <ext xmlns:xlmsforms="http://schemas.microsoft.com/office/spreadsheetml/2023/msForms" uri="{FCC71383-01E1-4257-9335-427F07BE8D7F}">
          <xlmsforms:question id="rd73f55c1a06d4e5887d93215307e7df2"/>
        </ext>
      </extLst>
    </tableColumn>
    <tableColumn id="16" xr3:uid="{00000000-0010-0000-0000-000010000000}" name="WHO_stage_2" dataDxfId="343">
      <extLst>
        <ext xmlns:xlmsforms="http://schemas.microsoft.com/office/spreadsheetml/2023/msForms" uri="{FCC71383-01E1-4257-9335-427F07BE8D7F}">
          <xlmsforms:question id="rdc2a102031a04acd97238b3096029694"/>
        </ext>
      </extLst>
    </tableColumn>
    <tableColumn id="17" xr3:uid="{00000000-0010-0000-0000-000011000000}" name="WHO_stage_3" dataDxfId="342">
      <extLst>
        <ext xmlns:xlmsforms="http://schemas.microsoft.com/office/spreadsheetml/2023/msForms" uri="{FCC71383-01E1-4257-9335-427F07BE8D7F}">
          <xlmsforms:question id="r612c4b9347364d2598dcc52ce7d0fda9"/>
        </ext>
      </extLst>
    </tableColumn>
    <tableColumn id="18" xr3:uid="{00000000-0010-0000-0000-000012000000}" name="WHO_stage_4" dataDxfId="341">
      <extLst>
        <ext xmlns:xlmsforms="http://schemas.microsoft.com/office/spreadsheetml/2023/msForms" uri="{FCC71383-01E1-4257-9335-427F07BE8D7F}">
          <xlmsforms:question id="r5f0c4b515d0649bda233ec818c5d8253"/>
        </ext>
      </extLst>
    </tableColumn>
    <tableColumn id="19" xr3:uid="{00000000-0010-0000-0000-000013000000}" name="CD4_tests" dataDxfId="340">
      <extLst>
        <ext xmlns:xlmsforms="http://schemas.microsoft.com/office/spreadsheetml/2023/msForms" uri="{FCC71383-01E1-4257-9335-427F07BE8D7F}">
          <xlmsforms:question id="ra91a0b7c4a59407d9877388ec626d543"/>
        </ext>
      </extLst>
    </tableColumn>
    <tableColumn id="20" xr3:uid="{00000000-0010-0000-0000-000014000000}" name="CD4&lt;200" dataDxfId="339">
      <extLst>
        <ext xmlns:xlmsforms="http://schemas.microsoft.com/office/spreadsheetml/2023/msForms" uri="{FCC71383-01E1-4257-9335-427F07BE8D7F}">
          <xlmsforms:question id="r667460633d2a49ceba57a9b13a34eaff"/>
        </ext>
      </extLst>
    </tableColumn>
    <tableColumn id="21" xr3:uid="{00000000-0010-0000-0000-000015000000}" name="CrAg_tests" dataDxfId="338">
      <extLst>
        <ext xmlns:xlmsforms="http://schemas.microsoft.com/office/spreadsheetml/2023/msForms" uri="{FCC71383-01E1-4257-9335-427F07BE8D7F}">
          <xlmsforms:question id="r9879cf41fac84c7a814e356b889d52b0"/>
        </ext>
      </extLst>
    </tableColumn>
    <tableColumn id="22" xr3:uid="{00000000-0010-0000-0000-000016000000}" name="CrAg+" dataDxfId="337">
      <extLst>
        <ext xmlns:xlmsforms="http://schemas.microsoft.com/office/spreadsheetml/2023/msForms" uri="{FCC71383-01E1-4257-9335-427F07BE8D7F}">
          <xlmsforms:question id="r25e1274d38cd4fbc871894e8bbb0b210"/>
        </ext>
      </extLst>
    </tableColumn>
    <tableColumn id="23" xr3:uid="{00000000-0010-0000-0000-000017000000}" name="CSF_CrAg" dataDxfId="336">
      <extLst>
        <ext xmlns:xlmsforms="http://schemas.microsoft.com/office/spreadsheetml/2023/msForms" uri="{FCC71383-01E1-4257-9335-427F07BE8D7F}">
          <xlmsforms:question id="r6100fdf976d54284ad96a745c3e981a1"/>
        </ext>
      </extLst>
    </tableColumn>
    <tableColumn id="24" xr3:uid="{00000000-0010-0000-0000-000018000000}" name="CSF_CrAg+" dataDxfId="335">
      <extLst>
        <ext xmlns:xlmsforms="http://schemas.microsoft.com/office/spreadsheetml/2023/msForms" uri="{FCC71383-01E1-4257-9335-427F07BE8D7F}">
          <xlmsforms:question id="rb9a7e600fe8f42f09b6ff27e7a257d34"/>
        </ext>
      </extLst>
    </tableColumn>
    <tableColumn id="25" xr3:uid="{00000000-0010-0000-0000-000019000000}" name="LAM_tests" dataDxfId="334">
      <extLst>
        <ext xmlns:xlmsforms="http://schemas.microsoft.com/office/spreadsheetml/2023/msForms" uri="{FCC71383-01E1-4257-9335-427F07BE8D7F}">
          <xlmsforms:question id="r0b6c0574636d4b30812677c62845a412"/>
        </ext>
      </extLst>
    </tableColumn>
    <tableColumn id="26" xr3:uid="{00000000-0010-0000-0000-00001A000000}" name="LAM+" dataDxfId="333">
      <extLst>
        <ext xmlns:xlmsforms="http://schemas.microsoft.com/office/spreadsheetml/2023/msForms" uri="{FCC71383-01E1-4257-9335-427F07BE8D7F}">
          <xlmsforms:question id="r6fb1d1a779464d16afc9829c2e0d1c58"/>
        </ext>
      </extLst>
    </tableColumn>
    <tableColumn id="27" xr3:uid="{00000000-0010-0000-0000-00001B000000}" name="Gene_Xpert_done" dataDxfId="332">
      <extLst>
        <ext xmlns:xlmsforms="http://schemas.microsoft.com/office/spreadsheetml/2023/msForms" uri="{FCC71383-01E1-4257-9335-427F07BE8D7F}">
          <xlmsforms:question id="r0117835c4ecc4f8a8d62e966386be825"/>
        </ext>
      </extLst>
    </tableColumn>
    <tableColumn id="28" xr3:uid="{00000000-0010-0000-0000-00001C000000}" name="Gene_Xpert+" dataDxfId="331">
      <extLst>
        <ext xmlns:xlmsforms="http://schemas.microsoft.com/office/spreadsheetml/2023/msForms" uri="{FCC71383-01E1-4257-9335-427F07BE8D7F}">
          <xlmsforms:question id="r95cf74c94ee642fabbeb13f29689bd54"/>
        </ext>
      </extLst>
    </tableColumn>
    <tableColumn id="29" xr3:uid="{00000000-0010-0000-0000-00001D000000}" name="Chest_Xlay" dataDxfId="330">
      <extLst>
        <ext xmlns:xlmsforms="http://schemas.microsoft.com/office/spreadsheetml/2023/msForms" uri="{FCC71383-01E1-4257-9335-427F07BE8D7F}">
          <xlmsforms:question id="r94e6795d159a486f91ff7fb8c2d8624c"/>
        </ext>
      </extLst>
    </tableColumn>
    <tableColumn id="30" xr3:uid="{00000000-0010-0000-0000-00001E000000}" name="Chest_Xlay_abnormal" dataDxfId="329">
      <extLst>
        <ext xmlns:xlmsforms="http://schemas.microsoft.com/office/spreadsheetml/2023/msForms" uri="{FCC71383-01E1-4257-9335-427F07BE8D7F}">
          <xlmsforms:question id="r96e563578d4e415b96482e4428907d4f"/>
        </ext>
      </extLst>
    </tableColumn>
    <tableColumn id="31" xr3:uid="{00000000-0010-0000-0000-00001F000000}" name="FASH" dataDxfId="328">
      <extLst>
        <ext xmlns:xlmsforms="http://schemas.microsoft.com/office/spreadsheetml/2023/msForms" uri="{FCC71383-01E1-4257-9335-427F07BE8D7F}">
          <xlmsforms:question id="rf695dbebbd1a4c218410e3029b77bb56"/>
        </ext>
      </extLst>
    </tableColumn>
    <tableColumn id="32" xr3:uid="{00000000-0010-0000-0000-000020000000}" name="FASH+" dataDxfId="327">
      <extLst>
        <ext xmlns:xlmsforms="http://schemas.microsoft.com/office/spreadsheetml/2023/msForms" uri="{FCC71383-01E1-4257-9335-427F07BE8D7F}">
          <xlmsforms:question id="r8997d31f55b5404aa44ad76a0f693792"/>
        </ext>
      </extLst>
    </tableColumn>
    <tableColumn id="33" xr3:uid="{00000000-0010-0000-0000-000021000000}" name="TX_TB" dataDxfId="326">
      <extLst>
        <ext xmlns:xlmsforms="http://schemas.microsoft.com/office/spreadsheetml/2023/msForms" uri="{FCC71383-01E1-4257-9335-427F07BE8D7F}">
          <xlmsforms:question id="r1cd36fd251d24480948df7a64afa2ff5"/>
        </ext>
      </extLst>
    </tableColumn>
    <tableColumn id="34" xr3:uid="{00000000-0010-0000-0000-000022000000}" name="TX_CM" dataDxfId="325">
      <extLst>
        <ext xmlns:xlmsforms="http://schemas.microsoft.com/office/spreadsheetml/2023/msForms" uri="{FCC71383-01E1-4257-9335-427F07BE8D7F}">
          <xlmsforms:question id="r6eb1ea7e01394f79a561884d1940fcc6"/>
        </ext>
      </extLst>
    </tableColumn>
    <tableColumn id="35" xr3:uid="{00000000-0010-0000-0000-000023000000}" name="TX_Cryptococcemia" dataDxfId="324">
      <extLst>
        <ext xmlns:xlmsforms="http://schemas.microsoft.com/office/spreadsheetml/2023/msForms" uri="{FCC71383-01E1-4257-9335-427F07BE8D7F}">
          <xlmsforms:question id="rebc88e782aa14e3388b89b587bd1a1fa"/>
        </ext>
      </extLst>
    </tableColumn>
    <tableColumn id="36" xr3:uid="{00000000-0010-0000-0000-000024000000}" name="TX_KS" dataDxfId="323">
      <extLst>
        <ext xmlns:xlmsforms="http://schemas.microsoft.com/office/spreadsheetml/2023/msForms" uri="{FCC71383-01E1-4257-9335-427F07BE8D7F}">
          <xlmsforms:question id="r41cbeeec9d2042eca93a5e57e435a159"/>
        </ext>
      </extLst>
    </tableColumn>
    <tableColumn id="37" xr3:uid="{00000000-0010-0000-0000-000025000000}" name="Other_treatment" dataDxfId="322">
      <extLst>
        <ext xmlns:xlmsforms="http://schemas.microsoft.com/office/spreadsheetml/2023/msForms" uri="{FCC71383-01E1-4257-9335-427F07BE8D7F}">
          <xlmsforms:question id="r75625b91c0d44cc3983503fe98e6f5d1"/>
        </ext>
      </extLst>
    </tableColumn>
    <tableColumn id="38" xr3:uid="{9F8C95AC-0820-4ED4-8E75-E8432BA4B417}" name="Column1" dataDxfId="321"/>
  </tableColumns>
  <tableStyleInfo name="TableStyleMedium2" showFirstColumn="0" showLastColumn="0" showRowStripes="1" showColumnStripes="0"/>
  <extLst>
    <ext xmlns:xlmsforms="http://schemas.microsoft.com/office/spreadsheetml/2023/msForms" uri="{839C7E11-91E4-4DBD-9C5D-0DEA604FA9AC}">
      <xlmsforms:msForm id="GRoVgAlT3Emnn1wP_wQu1f9fbj8NeQpJsP6IUc5xPrVUMzY2NjlTUVE1Wk8wVDlNQzFDQk5WQzZRSy4u" isFormConnected="1" maxResponseId="1834" latestEventMarker="1691">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rdd3c10c762b7426fb0651e0fc25d56f9</xlmsforms:syncedQuestionId>
        <xlmsforms:syncedQuestionId>rdfceffe89a404491b28d59c8e6eb57f6</xlmsforms:syncedQuestionId>
        <xlmsforms:syncedQuestionId>rebac4096c9f240b094861f5a1096e16e</xlmsforms:syncedQuestionId>
        <xlmsforms:syncedQuestionId>r3f64095d10f34b6fa33382e003d45234</xlmsforms:syncedQuestionId>
        <xlmsforms:syncedQuestionId>r17ecb850ef1a4d12a35cf76c1871bca4</xlmsforms:syncedQuestionId>
        <xlmsforms:syncedQuestionId>r51de396e7a644b328730f0f76506baa3</xlmsforms:syncedQuestionId>
        <xlmsforms:syncedQuestionId>r840cc19bd8b5430a92aba658f2d5d7ff</xlmsforms:syncedQuestionId>
        <xlmsforms:syncedQuestionId>ra64cf88098cf4f1db58b9235a21825da</xlmsforms:syncedQuestionId>
        <xlmsforms:syncedQuestionId>r3031a400f5a44ea6956ba7738d7834ca</xlmsforms:syncedQuestionId>
        <xlmsforms:syncedQuestionId>rd73f55c1a06d4e5887d93215307e7df2</xlmsforms:syncedQuestionId>
        <xlmsforms:syncedQuestionId>rdc2a102031a04acd97238b3096029694</xlmsforms:syncedQuestionId>
        <xlmsforms:syncedQuestionId>r612c4b9347364d2598dcc52ce7d0fda9</xlmsforms:syncedQuestionId>
        <xlmsforms:syncedQuestionId>r5f0c4b515d0649bda233ec818c5d8253</xlmsforms:syncedQuestionId>
        <xlmsforms:syncedQuestionId>ra91a0b7c4a59407d9877388ec626d543</xlmsforms:syncedQuestionId>
        <xlmsforms:syncedQuestionId>r667460633d2a49ceba57a9b13a34eaff</xlmsforms:syncedQuestionId>
        <xlmsforms:syncedQuestionId>r9879cf41fac84c7a814e356b889d52b0</xlmsforms:syncedQuestionId>
        <xlmsforms:syncedQuestionId>r25e1274d38cd4fbc871894e8bbb0b210</xlmsforms:syncedQuestionId>
        <xlmsforms:syncedQuestionId>r6100fdf976d54284ad96a745c3e981a1</xlmsforms:syncedQuestionId>
        <xlmsforms:syncedQuestionId>rb9a7e600fe8f42f09b6ff27e7a257d34</xlmsforms:syncedQuestionId>
        <xlmsforms:syncedQuestionId>r0b6c0574636d4b30812677c62845a412</xlmsforms:syncedQuestionId>
        <xlmsforms:syncedQuestionId>r6fb1d1a779464d16afc9829c2e0d1c58</xlmsforms:syncedQuestionId>
        <xlmsforms:syncedQuestionId>r0117835c4ecc4f8a8d62e966386be825</xlmsforms:syncedQuestionId>
        <xlmsforms:syncedQuestionId>r95cf74c94ee642fabbeb13f29689bd54</xlmsforms:syncedQuestionId>
        <xlmsforms:syncedQuestionId>r94e6795d159a486f91ff7fb8c2d8624c</xlmsforms:syncedQuestionId>
        <xlmsforms:syncedQuestionId>r96e563578d4e415b96482e4428907d4f</xlmsforms:syncedQuestionId>
        <xlmsforms:syncedQuestionId>rf695dbebbd1a4c218410e3029b77bb56</xlmsforms:syncedQuestionId>
        <xlmsforms:syncedQuestionId>r8997d31f55b5404aa44ad76a0f693792</xlmsforms:syncedQuestionId>
        <xlmsforms:syncedQuestionId>r1cd36fd251d24480948df7a64afa2ff5</xlmsforms:syncedQuestionId>
        <xlmsforms:syncedQuestionId>r6eb1ea7e01394f79a561884d1940fcc6</xlmsforms:syncedQuestionId>
        <xlmsforms:syncedQuestionId>rebc88e782aa14e3388b89b587bd1a1fa</xlmsforms:syncedQuestionId>
        <xlmsforms:syncedQuestionId>r41cbeeec9d2042eca93a5e57e435a159</xlmsforms:syncedQuestionId>
        <xlmsforms:syncedQuestionId>r75625b91c0d44cc3983503fe98e6f5d1</xlmsforms:syncedQuestionId>
        <xlmsforms:syncedQuestionId>r7912d81a4b3b467ea22dd56e91f62ceb</xlmsforms:syncedQuestionId>
        <xlmsforms:syncedQuestionId>rb0f3f63c1e3f44d38c9ba71044f1b470</xlmsforms:syncedQuestionId>
        <xlmsforms:syncedQuestionId>r4b593e76539649988ee4efce287fcc3d</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N8" dT="2024-08-12T09:25:33.97" personId="{7E424D32-04D4-4D08-B11F-094119994903}" id="{D089DF92-0262-4F81-A3B2-A82592704375}" done="1">
    <text xml:space="preserve">@Margaret  Chirwa can you check for area 18 duplicate May reports on HTS new pos. @Luciano  Billion </text>
    <mentions>
      <mention mentionpersonId="{2CE21C69-8302-4D55-841E-2DDC63FB9DFB}" mentionId="{EAF5D144-0FB0-4844-82B5-0A3668F60AF8}" startIndex="0" length="17"/>
      <mention mentionpersonId="{8B562D29-781F-401B-9952-B882AEE7C0B6}" mentionId="{A243DED6-6FE7-4291-A9B8-1348E1729CAF}" startIndex="82" length="17"/>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A2" dT="2024-04-19T15:43:59.92" personId="{7E424D32-04D4-4D08-B11F-094119994903}" id="{16B1849F-246C-4E16-B62A-46DCF7985263}">
    <text>@Layout  Gabriel @Maxson  Musama you can check summaries from this sheet. use the slicers to navigate the data by facility, AHD category or reporting period</text>
    <mentions>
      <mention mentionpersonId="{15AA740D-B881-4696-863F-402724B61D4A}" mentionId="{4E205CE2-7278-4858-9018-B35B22E3B0C8}" startIndex="0" length="16"/>
      <mention mentionpersonId="{9D6D3C41-4C9D-40CE-8BC3-81116556C0F1}" mentionId="{4364F6E7-85F5-4B1F-8584-152F4F913B50}" startIndex="17" length="15"/>
    </mentions>
  </threadedComment>
</ThreadedComment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8.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8" Type="http://schemas.microsoft.com/office/2019/04/relationships/documenttask" Target="../documenttasks/documenttask1.xml"/><Relationship Id="rId3" Type="http://schemas.openxmlformats.org/officeDocument/2006/relationships/printerSettings" Target="../printerSettings/printerSettings1.bin"/><Relationship Id="rId7" Type="http://schemas.microsoft.com/office/2017/10/relationships/threadedComment" Target="../threadedComments/threadedComment1.xml"/><Relationship Id="rId2" Type="http://schemas.openxmlformats.org/officeDocument/2006/relationships/hyperlink" Target="mailto:email@example.com" TargetMode="External"/><Relationship Id="rId1" Type="http://schemas.openxmlformats.org/officeDocument/2006/relationships/hyperlink" Target="mailto:email@example.com" TargetMode="External"/><Relationship Id="rId6" Type="http://schemas.openxmlformats.org/officeDocument/2006/relationships/comments" Target="../comments1.xml"/><Relationship Id="rId5" Type="http://schemas.openxmlformats.org/officeDocument/2006/relationships/table" Target="../tables/table1.xml"/><Relationship Id="rId4"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microsoft.com/office/2007/relationships/slicer" Target="../slicers/slicer4.xml"/><Relationship Id="rId5" Type="http://schemas.openxmlformats.org/officeDocument/2006/relationships/drawing" Target="../drawings/drawing4.xml"/><Relationship Id="rId4" Type="http://schemas.openxmlformats.org/officeDocument/2006/relationships/pivotTable" Target="../pivotTables/pivotTable13.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6.xml"/><Relationship Id="rId2" Type="http://schemas.openxmlformats.org/officeDocument/2006/relationships/pivotTable" Target="../pivotTables/pivotTable15.xml"/><Relationship Id="rId1" Type="http://schemas.openxmlformats.org/officeDocument/2006/relationships/pivotTable" Target="../pivotTables/pivotTable14.xml"/><Relationship Id="rId6" Type="http://schemas.microsoft.com/office/2007/relationships/slicer" Target="../slicers/slicer5.xml"/><Relationship Id="rId5" Type="http://schemas.openxmlformats.org/officeDocument/2006/relationships/drawing" Target="../drawings/drawing5.xml"/><Relationship Id="rId4" Type="http://schemas.openxmlformats.org/officeDocument/2006/relationships/pivotTable" Target="../pivotTables/pivotTable17.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20.xml"/><Relationship Id="rId2" Type="http://schemas.openxmlformats.org/officeDocument/2006/relationships/pivotTable" Target="../pivotTables/pivotTable19.xml"/><Relationship Id="rId1" Type="http://schemas.openxmlformats.org/officeDocument/2006/relationships/pivotTable" Target="../pivotTables/pivotTable18.xml"/><Relationship Id="rId6" Type="http://schemas.microsoft.com/office/2007/relationships/slicer" Target="../slicers/slicer6.xml"/><Relationship Id="rId5" Type="http://schemas.openxmlformats.org/officeDocument/2006/relationships/drawing" Target="../drawings/drawing6.xml"/><Relationship Id="rId4" Type="http://schemas.openxmlformats.org/officeDocument/2006/relationships/pivotTable" Target="../pivotTables/pivotTable21.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24.xml"/><Relationship Id="rId2" Type="http://schemas.openxmlformats.org/officeDocument/2006/relationships/pivotTable" Target="../pivotTables/pivotTable23.xml"/><Relationship Id="rId1" Type="http://schemas.openxmlformats.org/officeDocument/2006/relationships/pivotTable" Target="../pivotTables/pivotTable22.xml"/><Relationship Id="rId6" Type="http://schemas.microsoft.com/office/2007/relationships/slicer" Target="../slicers/slicer7.xml"/><Relationship Id="rId5" Type="http://schemas.openxmlformats.org/officeDocument/2006/relationships/drawing" Target="../drawings/drawing7.xml"/><Relationship Id="rId4" Type="http://schemas.openxmlformats.org/officeDocument/2006/relationships/pivotTable" Target="../pivotTables/pivotTable25.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28.xml"/><Relationship Id="rId2" Type="http://schemas.openxmlformats.org/officeDocument/2006/relationships/pivotTable" Target="../pivotTables/pivotTable27.xml"/><Relationship Id="rId1" Type="http://schemas.openxmlformats.org/officeDocument/2006/relationships/pivotTable" Target="../pivotTables/pivotTable26.xml"/><Relationship Id="rId6" Type="http://schemas.microsoft.com/office/2007/relationships/slicer" Target="../slicers/slicer8.xml"/><Relationship Id="rId5" Type="http://schemas.openxmlformats.org/officeDocument/2006/relationships/drawing" Target="../drawings/drawing8.xml"/><Relationship Id="rId4" Type="http://schemas.openxmlformats.org/officeDocument/2006/relationships/pivotTable" Target="../pivotTables/pivotTable29.xml"/></Relationships>
</file>

<file path=xl/worksheets/_rels/sheet11.xml.rels><?xml version="1.0" encoding="UTF-8" standalone="yes"?>
<Relationships xmlns="http://schemas.openxmlformats.org/package/2006/relationships"><Relationship Id="rId2" Type="http://schemas.microsoft.com/office/2007/relationships/slicer" Target="../slicers/slicer9.xml"/><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32.xml"/><Relationship Id="rId2" Type="http://schemas.openxmlformats.org/officeDocument/2006/relationships/pivotTable" Target="../pivotTables/pivotTable31.xml"/><Relationship Id="rId1" Type="http://schemas.openxmlformats.org/officeDocument/2006/relationships/pivotTable" Target="../pivotTables/pivotTable30.xml"/><Relationship Id="rId6" Type="http://schemas.microsoft.com/office/2007/relationships/slicer" Target="../slicers/slicer10.xml"/><Relationship Id="rId5" Type="http://schemas.openxmlformats.org/officeDocument/2006/relationships/drawing" Target="../drawings/drawing10.xml"/><Relationship Id="rId4" Type="http://schemas.openxmlformats.org/officeDocument/2006/relationships/pivotTable" Target="../pivotTables/pivotTable33.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ivotTable" Target="../pivotTables/pivotTable35.xml"/><Relationship Id="rId1" Type="http://schemas.openxmlformats.org/officeDocument/2006/relationships/pivotTable" Target="../pivotTables/pivotTable34.xml"/><Relationship Id="rId4" Type="http://schemas.microsoft.com/office/2007/relationships/slicer" Target="../slicers/slicer11.xm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ivotTable" Target="../pivotTables/pivotTable37.xml"/><Relationship Id="rId1" Type="http://schemas.openxmlformats.org/officeDocument/2006/relationships/pivotTable" Target="../pivotTables/pivotTable36.xml"/><Relationship Id="rId4" Type="http://schemas.microsoft.com/office/2007/relationships/slicer" Target="../slicers/slicer12.xml"/></Relationships>
</file>

<file path=xl/worksheets/_rels/sheet16.xml.rels><?xml version="1.0" encoding="UTF-8" standalone="yes"?>
<Relationships xmlns="http://schemas.openxmlformats.org/package/2006/relationships"><Relationship Id="rId8" Type="http://schemas.openxmlformats.org/officeDocument/2006/relationships/pivotTable" Target="../pivotTables/pivotTable45.xml"/><Relationship Id="rId13" Type="http://schemas.microsoft.com/office/2007/relationships/slicer" Target="../slicers/slicer13.xml"/><Relationship Id="rId3" Type="http://schemas.openxmlformats.org/officeDocument/2006/relationships/pivotTable" Target="../pivotTables/pivotTable40.xml"/><Relationship Id="rId7" Type="http://schemas.openxmlformats.org/officeDocument/2006/relationships/pivotTable" Target="../pivotTables/pivotTable44.xml"/><Relationship Id="rId12" Type="http://schemas.openxmlformats.org/officeDocument/2006/relationships/vmlDrawing" Target="../drawings/vmlDrawing2.vml"/><Relationship Id="rId2" Type="http://schemas.openxmlformats.org/officeDocument/2006/relationships/pivotTable" Target="../pivotTables/pivotTable39.xml"/><Relationship Id="rId16" Type="http://schemas.microsoft.com/office/2019/04/relationships/documenttask" Target="../documenttasks/documenttask2.xml"/><Relationship Id="rId1" Type="http://schemas.openxmlformats.org/officeDocument/2006/relationships/pivotTable" Target="../pivotTables/pivotTable38.xml"/><Relationship Id="rId6" Type="http://schemas.openxmlformats.org/officeDocument/2006/relationships/pivotTable" Target="../pivotTables/pivotTable43.xml"/><Relationship Id="rId11" Type="http://schemas.openxmlformats.org/officeDocument/2006/relationships/drawing" Target="../drawings/drawing13.xml"/><Relationship Id="rId5" Type="http://schemas.openxmlformats.org/officeDocument/2006/relationships/pivotTable" Target="../pivotTables/pivotTable42.xml"/><Relationship Id="rId15" Type="http://schemas.microsoft.com/office/2017/10/relationships/threadedComment" Target="../threadedComments/threadedComment2.xml"/><Relationship Id="rId10" Type="http://schemas.openxmlformats.org/officeDocument/2006/relationships/pivotTable" Target="../pivotTables/pivotTable47.xml"/><Relationship Id="rId4" Type="http://schemas.openxmlformats.org/officeDocument/2006/relationships/pivotTable" Target="../pivotTables/pivotTable41.xml"/><Relationship Id="rId9" Type="http://schemas.openxmlformats.org/officeDocument/2006/relationships/pivotTable" Target="../pivotTables/pivotTable46.xml"/><Relationship Id="rId14" Type="http://schemas.openxmlformats.org/officeDocument/2006/relationships/comments" Target="../comments2.xml"/></Relationships>
</file>

<file path=xl/worksheets/_rels/sheet17.xml.rels><?xml version="1.0" encoding="UTF-8" standalone="yes"?>
<Relationships xmlns="http://schemas.openxmlformats.org/package/2006/relationships"><Relationship Id="rId3" Type="http://schemas.openxmlformats.org/officeDocument/2006/relationships/pivotTable" Target="../pivotTables/pivotTable50.xml"/><Relationship Id="rId2" Type="http://schemas.openxmlformats.org/officeDocument/2006/relationships/pivotTable" Target="../pivotTables/pivotTable49.xml"/><Relationship Id="rId1" Type="http://schemas.openxmlformats.org/officeDocument/2006/relationships/pivotTable" Target="../pivotTables/pivotTable48.xml"/><Relationship Id="rId5" Type="http://schemas.microsoft.com/office/2007/relationships/slicer" Target="../slicers/slicer14.xml"/><Relationship Id="rId4" Type="http://schemas.openxmlformats.org/officeDocument/2006/relationships/drawing" Target="../drawings/drawing14.xml"/></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ivotTable" Target="../pivotTables/pivotTable52.xml"/><Relationship Id="rId1" Type="http://schemas.openxmlformats.org/officeDocument/2006/relationships/pivotTable" Target="../pivotTables/pivotTable51.xml"/><Relationship Id="rId4" Type="http://schemas.microsoft.com/office/2007/relationships/slicer" Target="../slicers/slicer15.xml"/></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pivotTable" Target="../pivotTables/pivotTable54.xml"/><Relationship Id="rId1" Type="http://schemas.openxmlformats.org/officeDocument/2006/relationships/pivotTable" Target="../pivotTables/pivotTable53.xml"/><Relationship Id="rId6" Type="http://schemas.openxmlformats.org/officeDocument/2006/relationships/comments" Target="../comments3.xml"/><Relationship Id="rId5" Type="http://schemas.microsoft.com/office/2007/relationships/slicer" Target="../slicers/slicer16.xml"/><Relationship Id="rId4" Type="http://schemas.openxmlformats.org/officeDocument/2006/relationships/vmlDrawing" Target="../drawings/vmlDrawing3.vml"/></Relationships>
</file>

<file path=xl/worksheets/_rels/sheet20.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ivotTable" Target="../pivotTables/pivotTable56.xml"/><Relationship Id="rId1" Type="http://schemas.openxmlformats.org/officeDocument/2006/relationships/pivotTable" Target="../pivotTables/pivotTable55.xml"/><Relationship Id="rId4" Type="http://schemas.microsoft.com/office/2007/relationships/slicer" Target="../slicers/slicer17.xml"/></Relationships>
</file>

<file path=xl/worksheets/_rels/sheet21.xml.rels><?xml version="1.0" encoding="UTF-8" standalone="yes"?>
<Relationships xmlns="http://schemas.openxmlformats.org/package/2006/relationships"><Relationship Id="rId3" Type="http://schemas.openxmlformats.org/officeDocument/2006/relationships/pivotTable" Target="../pivotTables/pivotTable59.xml"/><Relationship Id="rId2" Type="http://schemas.openxmlformats.org/officeDocument/2006/relationships/pivotTable" Target="../pivotTables/pivotTable58.xml"/><Relationship Id="rId1" Type="http://schemas.openxmlformats.org/officeDocument/2006/relationships/pivotTable" Target="../pivotTables/pivotTable57.xml"/><Relationship Id="rId4" Type="http://schemas.openxmlformats.org/officeDocument/2006/relationships/pivotTable" Target="../pivotTables/pivotTable6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6571C-BD2E-4E2F-A643-AA095E8BDA32}">
  <dimension ref="D3:AJ19"/>
  <sheetViews>
    <sheetView zoomScale="50" zoomScaleNormal="50" workbookViewId="0">
      <selection activeCell="L7" sqref="L7:O7"/>
    </sheetView>
  </sheetViews>
  <sheetFormatPr defaultRowHeight="14.4" x14ac:dyDescent="0.3"/>
  <cols>
    <col min="4" max="4" width="29" bestFit="1" customWidth="1"/>
    <col min="5" max="5" width="20" bestFit="1" customWidth="1"/>
    <col min="6" max="6" width="9.44140625" bestFit="1" customWidth="1"/>
    <col min="7" max="7" width="10" bestFit="1" customWidth="1"/>
    <col min="8" max="8" width="9.88671875" bestFit="1" customWidth="1"/>
    <col min="9" max="9" width="10.109375" bestFit="1" customWidth="1"/>
    <col min="11" max="11" width="12.5546875" bestFit="1" customWidth="1"/>
    <col min="12" max="12" width="29" bestFit="1" customWidth="1"/>
    <col min="13" max="13" width="9.44140625" bestFit="1" customWidth="1"/>
    <col min="14" max="14" width="10.6640625" bestFit="1" customWidth="1"/>
    <col min="15" max="15" width="11.109375" bestFit="1" customWidth="1"/>
    <col min="16" max="19" width="14.33203125" bestFit="1" customWidth="1"/>
    <col min="20" max="20" width="12.5546875" bestFit="1" customWidth="1"/>
    <col min="21" max="21" width="27.109375" bestFit="1" customWidth="1"/>
    <col min="22" max="22" width="16" bestFit="1" customWidth="1"/>
    <col min="23" max="23" width="16.5546875" bestFit="1" customWidth="1"/>
    <col min="24" max="24" width="16.33203125" bestFit="1" customWidth="1"/>
    <col min="26" max="26" width="14" bestFit="1" customWidth="1"/>
    <col min="27" max="27" width="28" bestFit="1" customWidth="1"/>
    <col min="28" max="28" width="16.44140625" bestFit="1" customWidth="1"/>
    <col min="29" max="29" width="17.109375" bestFit="1" customWidth="1"/>
    <col min="30" max="30" width="17" bestFit="1" customWidth="1"/>
    <col min="32" max="32" width="14" bestFit="1" customWidth="1"/>
    <col min="33" max="33" width="28" bestFit="1" customWidth="1"/>
    <col min="34" max="34" width="16.44140625" bestFit="1" customWidth="1"/>
    <col min="35" max="35" width="17.109375" bestFit="1" customWidth="1"/>
    <col min="36" max="36" width="17" bestFit="1" customWidth="1"/>
  </cols>
  <sheetData>
    <row r="3" spans="4:36" x14ac:dyDescent="0.3">
      <c r="D3" s="11" t="s">
        <v>0</v>
      </c>
      <c r="E3" t="s">
        <v>1</v>
      </c>
      <c r="F3" t="s">
        <v>2</v>
      </c>
      <c r="G3" t="s">
        <v>3</v>
      </c>
      <c r="H3" t="s">
        <v>4</v>
      </c>
      <c r="I3" t="s">
        <v>5</v>
      </c>
      <c r="L3" s="11" t="s">
        <v>0</v>
      </c>
      <c r="M3" s="13" t="s">
        <v>6</v>
      </c>
      <c r="N3" s="13" t="s">
        <v>7</v>
      </c>
      <c r="O3" s="13" t="s">
        <v>8</v>
      </c>
      <c r="Z3" s="11" t="s">
        <v>0</v>
      </c>
      <c r="AA3" t="s">
        <v>9</v>
      </c>
      <c r="AB3" t="s">
        <v>10</v>
      </c>
      <c r="AC3" t="s">
        <v>11</v>
      </c>
      <c r="AD3" t="s">
        <v>12</v>
      </c>
      <c r="AF3" s="11" t="s">
        <v>0</v>
      </c>
      <c r="AG3" t="s">
        <v>9</v>
      </c>
      <c r="AH3" t="s">
        <v>10</v>
      </c>
      <c r="AI3" t="s">
        <v>11</v>
      </c>
      <c r="AJ3" t="s">
        <v>12</v>
      </c>
    </row>
    <row r="4" spans="4:36" x14ac:dyDescent="0.3">
      <c r="D4" s="12" t="s">
        <v>13</v>
      </c>
      <c r="E4">
        <v>8249</v>
      </c>
      <c r="F4">
        <v>6939</v>
      </c>
      <c r="G4">
        <v>2453</v>
      </c>
      <c r="H4">
        <v>1815</v>
      </c>
      <c r="I4" s="13">
        <v>0.8411928718632562</v>
      </c>
      <c r="L4" s="12" t="s">
        <v>13</v>
      </c>
      <c r="M4" s="13">
        <v>0.3382331748090503</v>
      </c>
      <c r="N4" s="13">
        <v>0.14214876033057852</v>
      </c>
      <c r="O4" s="13">
        <v>4.4435385242560133E-2</v>
      </c>
      <c r="Z4" s="12" t="s">
        <v>14</v>
      </c>
      <c r="AA4">
        <v>6064</v>
      </c>
      <c r="AB4">
        <v>5412</v>
      </c>
      <c r="AC4">
        <v>2675</v>
      </c>
      <c r="AD4">
        <v>2434</v>
      </c>
      <c r="AF4" s="12" t="s">
        <v>14</v>
      </c>
      <c r="AG4">
        <v>6064</v>
      </c>
      <c r="AH4">
        <v>5412</v>
      </c>
      <c r="AI4">
        <v>2675</v>
      </c>
      <c r="AJ4">
        <v>2434</v>
      </c>
    </row>
    <row r="5" spans="4:36" x14ac:dyDescent="0.3">
      <c r="D5" s="12" t="s">
        <v>15</v>
      </c>
      <c r="E5">
        <v>5721</v>
      </c>
      <c r="F5">
        <v>5488</v>
      </c>
      <c r="G5">
        <v>2410</v>
      </c>
      <c r="H5">
        <v>1637</v>
      </c>
      <c r="I5" s="13">
        <v>0.95927285439608456</v>
      </c>
      <c r="L5" s="12" t="s">
        <v>15</v>
      </c>
      <c r="M5" s="13">
        <v>0.40470116618075802</v>
      </c>
      <c r="N5" s="13">
        <v>0.16493585827733659</v>
      </c>
      <c r="O5" s="13">
        <v>6.3070539419087135E-2</v>
      </c>
      <c r="Z5" s="14" t="s">
        <v>16</v>
      </c>
      <c r="AA5">
        <v>323</v>
      </c>
      <c r="AB5">
        <v>323</v>
      </c>
      <c r="AC5">
        <v>150</v>
      </c>
      <c r="AD5">
        <v>165</v>
      </c>
      <c r="AF5" s="14" t="s">
        <v>16</v>
      </c>
      <c r="AG5">
        <v>323</v>
      </c>
      <c r="AH5">
        <v>323</v>
      </c>
      <c r="AI5">
        <v>150</v>
      </c>
      <c r="AJ5">
        <v>165</v>
      </c>
    </row>
    <row r="6" spans="4:36" x14ac:dyDescent="0.3">
      <c r="D6" s="12" t="s">
        <v>17</v>
      </c>
      <c r="E6">
        <v>3923</v>
      </c>
      <c r="F6">
        <v>2160</v>
      </c>
      <c r="G6">
        <v>738</v>
      </c>
      <c r="H6">
        <v>676</v>
      </c>
      <c r="I6" s="13">
        <v>0.55059903135355592</v>
      </c>
      <c r="L6" s="12" t="s">
        <v>17</v>
      </c>
      <c r="M6" s="13">
        <v>0.29398148148148145</v>
      </c>
      <c r="N6" s="13">
        <v>0.13609467455621302</v>
      </c>
      <c r="O6" s="13">
        <v>4.7425474254742549E-2</v>
      </c>
      <c r="Z6" s="14" t="s">
        <v>18</v>
      </c>
      <c r="AA6">
        <v>899</v>
      </c>
      <c r="AB6">
        <v>768</v>
      </c>
      <c r="AC6">
        <v>396</v>
      </c>
      <c r="AD6">
        <v>455</v>
      </c>
      <c r="AF6" s="14" t="s">
        <v>18</v>
      </c>
      <c r="AG6">
        <v>899</v>
      </c>
      <c r="AH6">
        <v>768</v>
      </c>
      <c r="AI6">
        <v>396</v>
      </c>
      <c r="AJ6">
        <v>455</v>
      </c>
    </row>
    <row r="7" spans="4:36" x14ac:dyDescent="0.3">
      <c r="D7" s="12" t="s">
        <v>19</v>
      </c>
      <c r="E7">
        <v>3688</v>
      </c>
      <c r="F7">
        <v>2868</v>
      </c>
      <c r="G7">
        <v>959</v>
      </c>
      <c r="H7">
        <v>746</v>
      </c>
      <c r="I7" s="13">
        <v>0.77765726681127978</v>
      </c>
      <c r="L7" s="12" t="s">
        <v>19</v>
      </c>
      <c r="M7" s="13">
        <v>0.26638772663877264</v>
      </c>
      <c r="N7" s="13">
        <v>5.4959785522788206E-2</v>
      </c>
      <c r="O7" s="13">
        <v>4.9009384775808136E-2</v>
      </c>
      <c r="Z7" s="14" t="s">
        <v>20</v>
      </c>
      <c r="AA7">
        <v>4842</v>
      </c>
      <c r="AB7">
        <v>4321</v>
      </c>
      <c r="AC7">
        <v>2129</v>
      </c>
      <c r="AD7">
        <v>1814</v>
      </c>
      <c r="AF7" s="14" t="s">
        <v>20</v>
      </c>
      <c r="AG7">
        <v>4842</v>
      </c>
      <c r="AH7">
        <v>4321</v>
      </c>
      <c r="AI7">
        <v>2129</v>
      </c>
      <c r="AJ7">
        <v>1814</v>
      </c>
    </row>
    <row r="8" spans="4:36" x14ac:dyDescent="0.3">
      <c r="D8" s="12" t="s">
        <v>21</v>
      </c>
      <c r="E8">
        <v>685</v>
      </c>
      <c r="F8">
        <v>549</v>
      </c>
      <c r="G8">
        <v>191</v>
      </c>
      <c r="H8">
        <v>159</v>
      </c>
      <c r="I8" s="13">
        <v>0.80145985401459852</v>
      </c>
      <c r="L8" s="12" t="s">
        <v>21</v>
      </c>
      <c r="M8" s="13">
        <v>0.22222222222222221</v>
      </c>
      <c r="N8" s="13">
        <v>9.4339622641509441E-2</v>
      </c>
      <c r="O8" s="13">
        <v>1.5706806282722512E-2</v>
      </c>
      <c r="Z8" s="12" t="s">
        <v>22</v>
      </c>
      <c r="AA8">
        <v>32019</v>
      </c>
      <c r="AB8">
        <v>26071</v>
      </c>
      <c r="AC8">
        <v>10393</v>
      </c>
      <c r="AD8">
        <v>6836</v>
      </c>
      <c r="AF8" s="12" t="s">
        <v>22</v>
      </c>
      <c r="AG8">
        <v>32019</v>
      </c>
      <c r="AH8">
        <v>26071</v>
      </c>
      <c r="AI8">
        <v>10393</v>
      </c>
      <c r="AJ8">
        <v>6836</v>
      </c>
    </row>
    <row r="9" spans="4:36" x14ac:dyDescent="0.3">
      <c r="D9" s="12" t="s">
        <v>23</v>
      </c>
      <c r="E9">
        <v>22266</v>
      </c>
      <c r="F9">
        <v>18004</v>
      </c>
      <c r="G9">
        <v>6751</v>
      </c>
      <c r="H9">
        <v>5033</v>
      </c>
      <c r="I9" s="13">
        <v>0.80858708344561214</v>
      </c>
      <c r="L9" s="12" t="s">
        <v>23</v>
      </c>
      <c r="M9" s="13">
        <v>0.33820262163963566</v>
      </c>
      <c r="N9" s="13">
        <v>0.13431353069739718</v>
      </c>
      <c r="O9" s="13">
        <v>5.1251666419789663E-2</v>
      </c>
      <c r="Z9" s="14" t="s">
        <v>16</v>
      </c>
      <c r="AA9">
        <v>8604</v>
      </c>
      <c r="AB9">
        <v>6921</v>
      </c>
      <c r="AC9">
        <v>3117</v>
      </c>
      <c r="AD9">
        <v>2915</v>
      </c>
      <c r="AF9" s="14" t="s">
        <v>16</v>
      </c>
      <c r="AG9">
        <v>8604</v>
      </c>
      <c r="AH9">
        <v>6921</v>
      </c>
      <c r="AI9">
        <v>3117</v>
      </c>
      <c r="AJ9">
        <v>2915</v>
      </c>
    </row>
    <row r="10" spans="4:36" x14ac:dyDescent="0.3">
      <c r="Z10" s="14" t="s">
        <v>24</v>
      </c>
      <c r="AA10">
        <v>7816</v>
      </c>
      <c r="AB10">
        <v>6063</v>
      </c>
      <c r="AC10">
        <v>2298</v>
      </c>
      <c r="AD10">
        <v>640</v>
      </c>
      <c r="AF10" s="14" t="s">
        <v>24</v>
      </c>
      <c r="AG10">
        <v>7816</v>
      </c>
      <c r="AH10">
        <v>6063</v>
      </c>
      <c r="AI10">
        <v>2298</v>
      </c>
      <c r="AJ10">
        <v>640</v>
      </c>
    </row>
    <row r="11" spans="4:36" x14ac:dyDescent="0.3">
      <c r="Z11" s="14" t="s">
        <v>18</v>
      </c>
      <c r="AA11">
        <v>7849</v>
      </c>
      <c r="AB11">
        <v>6478</v>
      </c>
      <c r="AC11">
        <v>2503</v>
      </c>
      <c r="AD11">
        <v>892</v>
      </c>
      <c r="AF11" s="14" t="s">
        <v>18</v>
      </c>
      <c r="AG11">
        <v>7849</v>
      </c>
      <c r="AH11">
        <v>6478</v>
      </c>
      <c r="AI11">
        <v>2503</v>
      </c>
      <c r="AJ11">
        <v>892</v>
      </c>
    </row>
    <row r="12" spans="4:36" x14ac:dyDescent="0.3">
      <c r="Z12" s="14" t="s">
        <v>20</v>
      </c>
      <c r="AA12">
        <v>7750</v>
      </c>
      <c r="AB12">
        <v>6609</v>
      </c>
      <c r="AC12">
        <v>2475</v>
      </c>
      <c r="AD12">
        <v>2389</v>
      </c>
      <c r="AF12" s="14" t="s">
        <v>20</v>
      </c>
      <c r="AG12">
        <v>7750</v>
      </c>
      <c r="AH12">
        <v>6609</v>
      </c>
      <c r="AI12">
        <v>2475</v>
      </c>
      <c r="AJ12">
        <v>2389</v>
      </c>
    </row>
    <row r="13" spans="4:36" x14ac:dyDescent="0.3">
      <c r="Z13" s="12" t="s">
        <v>25</v>
      </c>
      <c r="AA13">
        <v>10831</v>
      </c>
      <c r="AB13">
        <v>8973</v>
      </c>
      <c r="AC13">
        <v>3152</v>
      </c>
      <c r="AD13">
        <v>3302</v>
      </c>
      <c r="AF13" s="12" t="s">
        <v>25</v>
      </c>
      <c r="AG13">
        <v>10831</v>
      </c>
      <c r="AH13">
        <v>8973</v>
      </c>
      <c r="AI13">
        <v>3152</v>
      </c>
      <c r="AJ13">
        <v>3302</v>
      </c>
    </row>
    <row r="14" spans="4:36" x14ac:dyDescent="0.3">
      <c r="Z14" s="14" t="s">
        <v>16</v>
      </c>
      <c r="AA14">
        <v>5641</v>
      </c>
      <c r="AB14">
        <v>4666</v>
      </c>
      <c r="AC14">
        <v>1706</v>
      </c>
      <c r="AD14">
        <v>1778</v>
      </c>
      <c r="AF14" s="14" t="s">
        <v>16</v>
      </c>
      <c r="AG14">
        <v>5641</v>
      </c>
      <c r="AH14">
        <v>4666</v>
      </c>
      <c r="AI14">
        <v>1706</v>
      </c>
      <c r="AJ14">
        <v>1778</v>
      </c>
    </row>
    <row r="15" spans="4:36" x14ac:dyDescent="0.3">
      <c r="Z15" s="14" t="s">
        <v>24</v>
      </c>
      <c r="AA15">
        <v>3774</v>
      </c>
      <c r="AB15">
        <v>3170</v>
      </c>
      <c r="AC15">
        <v>1076</v>
      </c>
      <c r="AD15">
        <v>1065</v>
      </c>
      <c r="AF15" s="14" t="s">
        <v>24</v>
      </c>
      <c r="AG15">
        <v>3774</v>
      </c>
      <c r="AH15">
        <v>3170</v>
      </c>
      <c r="AI15">
        <v>1076</v>
      </c>
      <c r="AJ15">
        <v>1065</v>
      </c>
    </row>
    <row r="16" spans="4:36" x14ac:dyDescent="0.3">
      <c r="Z16" s="14" t="s">
        <v>18</v>
      </c>
      <c r="AA16">
        <v>1416</v>
      </c>
      <c r="AB16">
        <v>1137</v>
      </c>
      <c r="AC16">
        <v>370</v>
      </c>
      <c r="AD16">
        <v>459</v>
      </c>
      <c r="AF16" s="14" t="s">
        <v>18</v>
      </c>
      <c r="AG16">
        <v>1416</v>
      </c>
      <c r="AH16">
        <v>1137</v>
      </c>
      <c r="AI16">
        <v>370</v>
      </c>
      <c r="AJ16">
        <v>459</v>
      </c>
    </row>
    <row r="17" spans="26:36" x14ac:dyDescent="0.3">
      <c r="Z17" s="12" t="s">
        <v>26</v>
      </c>
      <c r="AA17">
        <v>0</v>
      </c>
      <c r="AF17" s="12" t="s">
        <v>26</v>
      </c>
      <c r="AG17">
        <v>0</v>
      </c>
    </row>
    <row r="18" spans="26:36" x14ac:dyDescent="0.3">
      <c r="Z18" s="14" t="s">
        <v>26</v>
      </c>
      <c r="AA18">
        <v>0</v>
      </c>
      <c r="AF18" s="14" t="s">
        <v>26</v>
      </c>
      <c r="AG18">
        <v>0</v>
      </c>
    </row>
    <row r="19" spans="26:36" x14ac:dyDescent="0.3">
      <c r="Z19" s="12" t="s">
        <v>23</v>
      </c>
      <c r="AA19">
        <v>48914</v>
      </c>
      <c r="AB19">
        <v>40456</v>
      </c>
      <c r="AC19">
        <v>16220</v>
      </c>
      <c r="AD19">
        <v>12572</v>
      </c>
      <c r="AF19" s="12" t="s">
        <v>23</v>
      </c>
      <c r="AG19">
        <v>48914</v>
      </c>
      <c r="AH19">
        <v>40456</v>
      </c>
      <c r="AI19">
        <v>16220</v>
      </c>
      <c r="AJ19">
        <v>12572</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7B523-3F6B-4ACA-9EEF-EF5C37408696}">
  <dimension ref="D3:AJ19"/>
  <sheetViews>
    <sheetView workbookViewId="0">
      <selection activeCell="T49" sqref="T49"/>
    </sheetView>
  </sheetViews>
  <sheetFormatPr defaultRowHeight="14.4" x14ac:dyDescent="0.3"/>
  <cols>
    <col min="4" max="4" width="14" bestFit="1" customWidth="1"/>
    <col min="5" max="5" width="20" bestFit="1" customWidth="1"/>
    <col min="6" max="6" width="9.44140625" bestFit="1" customWidth="1"/>
    <col min="7" max="7" width="10" bestFit="1" customWidth="1"/>
    <col min="8" max="8" width="9.88671875" bestFit="1" customWidth="1"/>
    <col min="9" max="9" width="10.109375" bestFit="1" customWidth="1"/>
    <col min="11" max="11" width="12.5546875" bestFit="1" customWidth="1"/>
    <col min="12" max="12" width="14" bestFit="1" customWidth="1"/>
    <col min="13" max="13" width="9.44140625" bestFit="1" customWidth="1"/>
    <col min="14" max="14" width="10.6640625" bestFit="1" customWidth="1"/>
    <col min="15" max="15" width="11.109375" bestFit="1" customWidth="1"/>
    <col min="16" max="19" width="14.33203125" bestFit="1" customWidth="1"/>
    <col min="20" max="20" width="12.5546875" bestFit="1" customWidth="1"/>
    <col min="21" max="21" width="27.109375" bestFit="1" customWidth="1"/>
    <col min="22" max="22" width="16" bestFit="1" customWidth="1"/>
    <col min="23" max="23" width="16.5546875" bestFit="1" customWidth="1"/>
    <col min="24" max="24" width="16.33203125" bestFit="1" customWidth="1"/>
    <col min="26" max="26" width="14" bestFit="1" customWidth="1"/>
    <col min="27" max="27" width="28" bestFit="1" customWidth="1"/>
    <col min="28" max="28" width="16.44140625" bestFit="1" customWidth="1"/>
    <col min="29" max="29" width="17.109375" bestFit="1" customWidth="1"/>
    <col min="30" max="30" width="17" bestFit="1" customWidth="1"/>
    <col min="32" max="32" width="14" bestFit="1" customWidth="1"/>
    <col min="33" max="33" width="28" bestFit="1" customWidth="1"/>
    <col min="34" max="34" width="16.44140625" bestFit="1" customWidth="1"/>
    <col min="35" max="35" width="17.109375" bestFit="1" customWidth="1"/>
    <col min="36" max="36" width="17" bestFit="1" customWidth="1"/>
  </cols>
  <sheetData>
    <row r="3" spans="4:36" x14ac:dyDescent="0.3">
      <c r="D3" s="11" t="s">
        <v>0</v>
      </c>
      <c r="E3" t="s">
        <v>1</v>
      </c>
      <c r="F3" t="s">
        <v>2</v>
      </c>
      <c r="G3" t="s">
        <v>3</v>
      </c>
      <c r="H3" t="s">
        <v>4</v>
      </c>
      <c r="I3" t="s">
        <v>5</v>
      </c>
      <c r="L3" s="11" t="s">
        <v>0</v>
      </c>
      <c r="M3" s="13" t="s">
        <v>6</v>
      </c>
      <c r="N3" s="13" t="s">
        <v>7</v>
      </c>
      <c r="O3" s="13" t="s">
        <v>8</v>
      </c>
      <c r="Z3" s="11" t="s">
        <v>0</v>
      </c>
      <c r="AA3" t="s">
        <v>9</v>
      </c>
      <c r="AB3" t="s">
        <v>10</v>
      </c>
      <c r="AC3" t="s">
        <v>11</v>
      </c>
      <c r="AD3" t="s">
        <v>12</v>
      </c>
      <c r="AF3" s="11" t="s">
        <v>0</v>
      </c>
      <c r="AG3" t="s">
        <v>9</v>
      </c>
      <c r="AH3" t="s">
        <v>10</v>
      </c>
      <c r="AI3" t="s">
        <v>11</v>
      </c>
      <c r="AJ3" t="s">
        <v>12</v>
      </c>
    </row>
    <row r="4" spans="4:36" x14ac:dyDescent="0.3">
      <c r="D4" s="12" t="s">
        <v>27</v>
      </c>
      <c r="E4">
        <v>2</v>
      </c>
      <c r="F4">
        <v>1</v>
      </c>
      <c r="G4">
        <v>0</v>
      </c>
      <c r="H4">
        <v>0</v>
      </c>
      <c r="I4" s="13">
        <v>0.5</v>
      </c>
      <c r="L4" s="12" t="s">
        <v>27</v>
      </c>
      <c r="M4" s="13">
        <v>0</v>
      </c>
      <c r="N4" s="13" t="e">
        <v>#DIV/0!</v>
      </c>
      <c r="O4" s="13" t="e">
        <v>#DIV/0!</v>
      </c>
      <c r="Z4" s="12" t="s">
        <v>14</v>
      </c>
      <c r="AA4">
        <v>6064</v>
      </c>
      <c r="AB4">
        <v>5412</v>
      </c>
      <c r="AC4">
        <v>2675</v>
      </c>
      <c r="AD4">
        <v>2434</v>
      </c>
      <c r="AF4" s="12" t="s">
        <v>14</v>
      </c>
      <c r="AG4">
        <v>6064</v>
      </c>
      <c r="AH4">
        <v>5412</v>
      </c>
      <c r="AI4">
        <v>2675</v>
      </c>
      <c r="AJ4">
        <v>2434</v>
      </c>
    </row>
    <row r="5" spans="4:36" x14ac:dyDescent="0.3">
      <c r="D5" s="14" t="s">
        <v>28</v>
      </c>
      <c r="E5">
        <v>2</v>
      </c>
      <c r="F5">
        <v>1</v>
      </c>
      <c r="G5">
        <v>0</v>
      </c>
      <c r="H5">
        <v>0</v>
      </c>
      <c r="I5" s="13">
        <v>0.5</v>
      </c>
      <c r="L5" s="14" t="s">
        <v>28</v>
      </c>
      <c r="M5" s="13">
        <v>0</v>
      </c>
      <c r="N5" s="13" t="e">
        <v>#DIV/0!</v>
      </c>
      <c r="O5" s="13" t="e">
        <v>#DIV/0!</v>
      </c>
      <c r="Z5" s="14" t="s">
        <v>16</v>
      </c>
      <c r="AA5">
        <v>323</v>
      </c>
      <c r="AB5">
        <v>323</v>
      </c>
      <c r="AC5">
        <v>150</v>
      </c>
      <c r="AD5">
        <v>165</v>
      </c>
      <c r="AF5" s="14" t="s">
        <v>16</v>
      </c>
      <c r="AG5">
        <v>323</v>
      </c>
      <c r="AH5">
        <v>323</v>
      </c>
      <c r="AI5">
        <v>150</v>
      </c>
      <c r="AJ5">
        <v>165</v>
      </c>
    </row>
    <row r="6" spans="4:36" x14ac:dyDescent="0.3">
      <c r="D6" s="12" t="s">
        <v>29</v>
      </c>
      <c r="E6">
        <v>448</v>
      </c>
      <c r="F6">
        <v>361</v>
      </c>
      <c r="G6">
        <v>115</v>
      </c>
      <c r="H6">
        <v>84</v>
      </c>
      <c r="I6" s="13">
        <v>0.8058035714285714</v>
      </c>
      <c r="L6" s="12" t="s">
        <v>29</v>
      </c>
      <c r="M6" s="13">
        <v>0.20498614958448755</v>
      </c>
      <c r="N6" s="13">
        <v>0.11904761904761904</v>
      </c>
      <c r="O6" s="13">
        <v>2.6086956521739129E-2</v>
      </c>
      <c r="Z6" s="14" t="s">
        <v>18</v>
      </c>
      <c r="AA6">
        <v>899</v>
      </c>
      <c r="AB6">
        <v>768</v>
      </c>
      <c r="AC6">
        <v>396</v>
      </c>
      <c r="AD6">
        <v>455</v>
      </c>
      <c r="AF6" s="14" t="s">
        <v>18</v>
      </c>
      <c r="AG6">
        <v>899</v>
      </c>
      <c r="AH6">
        <v>768</v>
      </c>
      <c r="AI6">
        <v>396</v>
      </c>
      <c r="AJ6">
        <v>455</v>
      </c>
    </row>
    <row r="7" spans="4:36" x14ac:dyDescent="0.3">
      <c r="D7" s="14" t="s">
        <v>30</v>
      </c>
      <c r="E7">
        <v>30</v>
      </c>
      <c r="F7">
        <v>29</v>
      </c>
      <c r="G7">
        <v>12</v>
      </c>
      <c r="H7">
        <v>12</v>
      </c>
      <c r="I7" s="13">
        <v>0.96666666666666667</v>
      </c>
      <c r="L7" s="14" t="s">
        <v>30</v>
      </c>
      <c r="M7" s="13">
        <v>0.20689655172413793</v>
      </c>
      <c r="N7" s="13">
        <v>0</v>
      </c>
      <c r="O7" s="13">
        <v>0.25</v>
      </c>
      <c r="Z7" s="14" t="s">
        <v>20</v>
      </c>
      <c r="AA7">
        <v>4842</v>
      </c>
      <c r="AB7">
        <v>4321</v>
      </c>
      <c r="AC7">
        <v>2129</v>
      </c>
      <c r="AD7">
        <v>1814</v>
      </c>
      <c r="AF7" s="14" t="s">
        <v>20</v>
      </c>
      <c r="AG7">
        <v>4842</v>
      </c>
      <c r="AH7">
        <v>4321</v>
      </c>
      <c r="AI7">
        <v>2129</v>
      </c>
      <c r="AJ7">
        <v>1814</v>
      </c>
    </row>
    <row r="8" spans="4:36" x14ac:dyDescent="0.3">
      <c r="D8" s="14" t="s">
        <v>31</v>
      </c>
      <c r="E8">
        <v>144</v>
      </c>
      <c r="F8">
        <v>118</v>
      </c>
      <c r="G8">
        <v>42</v>
      </c>
      <c r="H8">
        <v>45</v>
      </c>
      <c r="I8" s="13">
        <v>0.81944444444444442</v>
      </c>
      <c r="L8" s="14" t="s">
        <v>31</v>
      </c>
      <c r="M8" s="13">
        <v>0.16949152542372881</v>
      </c>
      <c r="N8" s="13">
        <v>6.6666666666666666E-2</v>
      </c>
      <c r="O8" s="13">
        <v>0</v>
      </c>
      <c r="Z8" s="12" t="s">
        <v>22</v>
      </c>
      <c r="AA8">
        <v>32019</v>
      </c>
      <c r="AB8">
        <v>26071</v>
      </c>
      <c r="AC8">
        <v>10393</v>
      </c>
      <c r="AD8">
        <v>6836</v>
      </c>
      <c r="AF8" s="12" t="s">
        <v>22</v>
      </c>
      <c r="AG8">
        <v>32019</v>
      </c>
      <c r="AH8">
        <v>26071</v>
      </c>
      <c r="AI8">
        <v>10393</v>
      </c>
      <c r="AJ8">
        <v>6836</v>
      </c>
    </row>
    <row r="9" spans="4:36" x14ac:dyDescent="0.3">
      <c r="D9" s="14" t="s">
        <v>32</v>
      </c>
      <c r="E9">
        <v>152</v>
      </c>
      <c r="F9">
        <v>114</v>
      </c>
      <c r="G9">
        <v>27</v>
      </c>
      <c r="H9">
        <v>9</v>
      </c>
      <c r="I9" s="13">
        <v>0.75</v>
      </c>
      <c r="L9" s="14" t="s">
        <v>32</v>
      </c>
      <c r="M9" s="13">
        <v>0.19298245614035087</v>
      </c>
      <c r="N9" s="13">
        <v>0.55555555555555558</v>
      </c>
      <c r="O9" s="13">
        <v>0</v>
      </c>
      <c r="Z9" s="14" t="s">
        <v>16</v>
      </c>
      <c r="AA9">
        <v>8604</v>
      </c>
      <c r="AB9">
        <v>6921</v>
      </c>
      <c r="AC9">
        <v>3117</v>
      </c>
      <c r="AD9">
        <v>2915</v>
      </c>
      <c r="AF9" s="14" t="s">
        <v>16</v>
      </c>
      <c r="AG9">
        <v>8604</v>
      </c>
      <c r="AH9">
        <v>6921</v>
      </c>
      <c r="AI9">
        <v>3117</v>
      </c>
      <c r="AJ9">
        <v>2915</v>
      </c>
    </row>
    <row r="10" spans="4:36" x14ac:dyDescent="0.3">
      <c r="D10" s="14" t="s">
        <v>28</v>
      </c>
      <c r="E10">
        <v>122</v>
      </c>
      <c r="F10">
        <v>100</v>
      </c>
      <c r="G10">
        <v>34</v>
      </c>
      <c r="H10">
        <v>18</v>
      </c>
      <c r="I10" s="13">
        <v>0.81967213114754101</v>
      </c>
      <c r="L10" s="14" t="s">
        <v>28</v>
      </c>
      <c r="M10" s="13">
        <v>0.26</v>
      </c>
      <c r="N10" s="13">
        <v>0.1111111111111111</v>
      </c>
      <c r="O10" s="13">
        <v>0</v>
      </c>
      <c r="Z10" s="14" t="s">
        <v>24</v>
      </c>
      <c r="AA10">
        <v>7816</v>
      </c>
      <c r="AB10">
        <v>6063</v>
      </c>
      <c r="AC10">
        <v>2298</v>
      </c>
      <c r="AD10">
        <v>640</v>
      </c>
      <c r="AF10" s="14" t="s">
        <v>24</v>
      </c>
      <c r="AG10">
        <v>7816</v>
      </c>
      <c r="AH10">
        <v>6063</v>
      </c>
      <c r="AI10">
        <v>2298</v>
      </c>
      <c r="AJ10">
        <v>640</v>
      </c>
    </row>
    <row r="11" spans="4:36" x14ac:dyDescent="0.3">
      <c r="D11" s="12" t="s">
        <v>33</v>
      </c>
      <c r="E11">
        <v>108</v>
      </c>
      <c r="F11">
        <v>88</v>
      </c>
      <c r="G11">
        <v>38</v>
      </c>
      <c r="H11">
        <v>38</v>
      </c>
      <c r="I11" s="13">
        <v>0.81481481481481477</v>
      </c>
      <c r="L11" s="12" t="s">
        <v>33</v>
      </c>
      <c r="M11" s="13">
        <v>0.26136363636363635</v>
      </c>
      <c r="N11" s="13">
        <v>5.2631578947368418E-2</v>
      </c>
      <c r="O11" s="13">
        <v>0</v>
      </c>
      <c r="Z11" s="14" t="s">
        <v>18</v>
      </c>
      <c r="AA11">
        <v>7849</v>
      </c>
      <c r="AB11">
        <v>6478</v>
      </c>
      <c r="AC11">
        <v>2503</v>
      </c>
      <c r="AD11">
        <v>892</v>
      </c>
      <c r="AF11" s="14" t="s">
        <v>18</v>
      </c>
      <c r="AG11">
        <v>7849</v>
      </c>
      <c r="AH11">
        <v>6478</v>
      </c>
      <c r="AI11">
        <v>2503</v>
      </c>
      <c r="AJ11">
        <v>892</v>
      </c>
    </row>
    <row r="12" spans="4:36" x14ac:dyDescent="0.3">
      <c r="D12" s="14" t="s">
        <v>30</v>
      </c>
      <c r="E12">
        <v>108</v>
      </c>
      <c r="F12">
        <v>88</v>
      </c>
      <c r="G12">
        <v>38</v>
      </c>
      <c r="H12">
        <v>38</v>
      </c>
      <c r="I12" s="13">
        <v>0.81481481481481477</v>
      </c>
      <c r="L12" s="14" t="s">
        <v>30</v>
      </c>
      <c r="M12" s="13">
        <v>0.26136363636363635</v>
      </c>
      <c r="N12" s="13">
        <v>5.2631578947368418E-2</v>
      </c>
      <c r="O12" s="13">
        <v>0</v>
      </c>
      <c r="Z12" s="14" t="s">
        <v>20</v>
      </c>
      <c r="AA12">
        <v>7750</v>
      </c>
      <c r="AB12">
        <v>6609</v>
      </c>
      <c r="AC12">
        <v>2475</v>
      </c>
      <c r="AD12">
        <v>2389</v>
      </c>
      <c r="AF12" s="14" t="s">
        <v>20</v>
      </c>
      <c r="AG12">
        <v>7750</v>
      </c>
      <c r="AH12">
        <v>6609</v>
      </c>
      <c r="AI12">
        <v>2475</v>
      </c>
      <c r="AJ12">
        <v>2389</v>
      </c>
    </row>
    <row r="13" spans="4:36" x14ac:dyDescent="0.3">
      <c r="D13" s="12" t="s">
        <v>26</v>
      </c>
      <c r="E13">
        <v>2</v>
      </c>
      <c r="F13">
        <v>0</v>
      </c>
      <c r="G13">
        <v>0</v>
      </c>
      <c r="H13">
        <v>0</v>
      </c>
      <c r="I13" s="13">
        <v>0</v>
      </c>
      <c r="L13" s="12" t="s">
        <v>26</v>
      </c>
      <c r="M13" s="13" t="e">
        <v>#DIV/0!</v>
      </c>
      <c r="N13" s="13" t="e">
        <v>#DIV/0!</v>
      </c>
      <c r="O13" s="13" t="e">
        <v>#DIV/0!</v>
      </c>
      <c r="Z13" s="12" t="s">
        <v>25</v>
      </c>
      <c r="AA13">
        <v>10831</v>
      </c>
      <c r="AB13">
        <v>8973</v>
      </c>
      <c r="AC13">
        <v>3152</v>
      </c>
      <c r="AD13">
        <v>3302</v>
      </c>
      <c r="AF13" s="12" t="s">
        <v>25</v>
      </c>
      <c r="AG13">
        <v>10831</v>
      </c>
      <c r="AH13">
        <v>8973</v>
      </c>
      <c r="AI13">
        <v>3152</v>
      </c>
      <c r="AJ13">
        <v>3302</v>
      </c>
    </row>
    <row r="14" spans="4:36" x14ac:dyDescent="0.3">
      <c r="D14" s="14" t="s">
        <v>26</v>
      </c>
      <c r="E14">
        <v>2</v>
      </c>
      <c r="F14">
        <v>0</v>
      </c>
      <c r="G14">
        <v>0</v>
      </c>
      <c r="H14">
        <v>0</v>
      </c>
      <c r="I14" s="13">
        <v>0</v>
      </c>
      <c r="L14" s="14" t="s">
        <v>26</v>
      </c>
      <c r="M14" s="13" t="e">
        <v>#DIV/0!</v>
      </c>
      <c r="N14" s="13" t="e">
        <v>#DIV/0!</v>
      </c>
      <c r="O14" s="13" t="e">
        <v>#DIV/0!</v>
      </c>
      <c r="Z14" s="14" t="s">
        <v>16</v>
      </c>
      <c r="AA14">
        <v>5641</v>
      </c>
      <c r="AB14">
        <v>4666</v>
      </c>
      <c r="AC14">
        <v>1706</v>
      </c>
      <c r="AD14">
        <v>1778</v>
      </c>
      <c r="AF14" s="14" t="s">
        <v>16</v>
      </c>
      <c r="AG14">
        <v>5641</v>
      </c>
      <c r="AH14">
        <v>4666</v>
      </c>
      <c r="AI14">
        <v>1706</v>
      </c>
      <c r="AJ14">
        <v>1778</v>
      </c>
    </row>
    <row r="15" spans="4:36" x14ac:dyDescent="0.3">
      <c r="D15" s="12" t="s">
        <v>23</v>
      </c>
      <c r="E15">
        <v>560</v>
      </c>
      <c r="F15">
        <v>450</v>
      </c>
      <c r="G15">
        <v>153</v>
      </c>
      <c r="H15">
        <v>122</v>
      </c>
      <c r="I15" s="13">
        <v>0.8035714285714286</v>
      </c>
      <c r="L15" s="12" t="s">
        <v>23</v>
      </c>
      <c r="M15" s="13">
        <v>0.21555555555555556</v>
      </c>
      <c r="N15" s="13">
        <v>9.8360655737704916E-2</v>
      </c>
      <c r="O15" s="13">
        <v>1.9607843137254902E-2</v>
      </c>
      <c r="Z15" s="14" t="s">
        <v>24</v>
      </c>
      <c r="AA15">
        <v>3774</v>
      </c>
      <c r="AB15">
        <v>3170</v>
      </c>
      <c r="AC15">
        <v>1076</v>
      </c>
      <c r="AD15">
        <v>1065</v>
      </c>
      <c r="AF15" s="14" t="s">
        <v>24</v>
      </c>
      <c r="AG15">
        <v>3774</v>
      </c>
      <c r="AH15">
        <v>3170</v>
      </c>
      <c r="AI15">
        <v>1076</v>
      </c>
      <c r="AJ15">
        <v>1065</v>
      </c>
    </row>
    <row r="16" spans="4:36" x14ac:dyDescent="0.3">
      <c r="Z16" s="14" t="s">
        <v>18</v>
      </c>
      <c r="AA16">
        <v>1416</v>
      </c>
      <c r="AB16">
        <v>1137</v>
      </c>
      <c r="AC16">
        <v>370</v>
      </c>
      <c r="AD16">
        <v>459</v>
      </c>
      <c r="AF16" s="14" t="s">
        <v>18</v>
      </c>
      <c r="AG16">
        <v>1416</v>
      </c>
      <c r="AH16">
        <v>1137</v>
      </c>
      <c r="AI16">
        <v>370</v>
      </c>
      <c r="AJ16">
        <v>459</v>
      </c>
    </row>
    <row r="17" spans="26:36" x14ac:dyDescent="0.3">
      <c r="Z17" s="12" t="s">
        <v>26</v>
      </c>
      <c r="AA17">
        <v>0</v>
      </c>
      <c r="AF17" s="12" t="s">
        <v>26</v>
      </c>
      <c r="AG17">
        <v>0</v>
      </c>
    </row>
    <row r="18" spans="26:36" x14ac:dyDescent="0.3">
      <c r="Z18" s="14" t="s">
        <v>26</v>
      </c>
      <c r="AA18">
        <v>0</v>
      </c>
      <c r="AF18" s="14" t="s">
        <v>26</v>
      </c>
      <c r="AG18">
        <v>0</v>
      </c>
    </row>
    <row r="19" spans="26:36" x14ac:dyDescent="0.3">
      <c r="Z19" s="12" t="s">
        <v>23</v>
      </c>
      <c r="AA19">
        <v>48914</v>
      </c>
      <c r="AB19">
        <v>40456</v>
      </c>
      <c r="AC19">
        <v>16220</v>
      </c>
      <c r="AD19">
        <v>12572</v>
      </c>
      <c r="AF19" s="12" t="s">
        <v>23</v>
      </c>
      <c r="AG19">
        <v>48914</v>
      </c>
      <c r="AH19">
        <v>40456</v>
      </c>
      <c r="AI19">
        <v>16220</v>
      </c>
      <c r="AJ19">
        <v>12572</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52CE4-53F0-4C5B-A3EE-542937663709}">
  <dimension ref="A3:I13"/>
  <sheetViews>
    <sheetView workbookViewId="0"/>
  </sheetViews>
  <sheetFormatPr defaultRowHeight="14.4" x14ac:dyDescent="0.3"/>
  <cols>
    <col min="1" max="1" width="14" bestFit="1" customWidth="1"/>
    <col min="2" max="2" width="23.88671875" bestFit="1" customWidth="1"/>
    <col min="3" max="3" width="19.33203125" bestFit="1" customWidth="1"/>
    <col min="4" max="4" width="17.44140625" bestFit="1" customWidth="1"/>
    <col min="5" max="5" width="27" bestFit="1" customWidth="1"/>
    <col min="6" max="6" width="12.109375" bestFit="1" customWidth="1"/>
    <col min="7" max="7" width="13.33203125" bestFit="1" customWidth="1"/>
    <col min="8" max="8" width="17" bestFit="1" customWidth="1"/>
    <col min="9" max="9" width="12.6640625" bestFit="1" customWidth="1"/>
  </cols>
  <sheetData>
    <row r="3" spans="1:9" x14ac:dyDescent="0.3">
      <c r="A3" s="11" t="s">
        <v>0</v>
      </c>
      <c r="B3" t="s">
        <v>34</v>
      </c>
      <c r="C3" t="s">
        <v>35</v>
      </c>
      <c r="D3" t="s">
        <v>36</v>
      </c>
      <c r="E3" t="s">
        <v>37</v>
      </c>
      <c r="F3" t="s">
        <v>38</v>
      </c>
      <c r="G3" t="s">
        <v>39</v>
      </c>
      <c r="H3" t="s">
        <v>12</v>
      </c>
      <c r="I3" t="s">
        <v>40</v>
      </c>
    </row>
    <row r="4" spans="1:9" x14ac:dyDescent="0.3">
      <c r="A4" s="12" t="s">
        <v>29</v>
      </c>
      <c r="B4">
        <v>443</v>
      </c>
      <c r="C4">
        <v>62</v>
      </c>
      <c r="D4">
        <v>1201</v>
      </c>
      <c r="E4">
        <v>375</v>
      </c>
      <c r="F4">
        <v>2874</v>
      </c>
      <c r="G4">
        <v>523</v>
      </c>
      <c r="H4">
        <v>4829</v>
      </c>
      <c r="I4">
        <v>667</v>
      </c>
    </row>
    <row r="5" spans="1:9" x14ac:dyDescent="0.3">
      <c r="A5" s="14" t="s">
        <v>16</v>
      </c>
      <c r="B5">
        <v>183</v>
      </c>
      <c r="C5">
        <v>18</v>
      </c>
      <c r="D5">
        <v>376</v>
      </c>
      <c r="E5">
        <v>122</v>
      </c>
      <c r="F5">
        <v>761</v>
      </c>
      <c r="G5">
        <v>122</v>
      </c>
      <c r="H5">
        <v>1518</v>
      </c>
      <c r="I5">
        <v>220</v>
      </c>
    </row>
    <row r="6" spans="1:9" x14ac:dyDescent="0.3">
      <c r="A6" s="14" t="s">
        <v>24</v>
      </c>
      <c r="B6">
        <v>141</v>
      </c>
      <c r="C6">
        <v>23</v>
      </c>
      <c r="D6">
        <v>455</v>
      </c>
      <c r="E6">
        <v>86</v>
      </c>
      <c r="F6">
        <v>967</v>
      </c>
      <c r="G6">
        <v>148</v>
      </c>
      <c r="H6">
        <v>2129</v>
      </c>
      <c r="I6">
        <v>298</v>
      </c>
    </row>
    <row r="7" spans="1:9" x14ac:dyDescent="0.3">
      <c r="A7" s="14" t="s">
        <v>18</v>
      </c>
      <c r="B7">
        <v>48</v>
      </c>
      <c r="C7">
        <v>11</v>
      </c>
      <c r="D7">
        <v>121</v>
      </c>
      <c r="E7">
        <v>66</v>
      </c>
      <c r="F7">
        <v>306</v>
      </c>
      <c r="G7">
        <v>64</v>
      </c>
      <c r="H7">
        <v>544</v>
      </c>
      <c r="I7">
        <v>74</v>
      </c>
    </row>
    <row r="8" spans="1:9" x14ac:dyDescent="0.3">
      <c r="A8" s="14" t="s">
        <v>20</v>
      </c>
      <c r="B8">
        <v>71</v>
      </c>
      <c r="C8">
        <v>10</v>
      </c>
      <c r="D8">
        <v>249</v>
      </c>
      <c r="E8">
        <v>101</v>
      </c>
      <c r="F8">
        <v>840</v>
      </c>
      <c r="G8">
        <v>189</v>
      </c>
      <c r="H8">
        <v>638</v>
      </c>
      <c r="I8">
        <v>75</v>
      </c>
    </row>
    <row r="9" spans="1:9" x14ac:dyDescent="0.3">
      <c r="A9" s="12" t="s">
        <v>33</v>
      </c>
      <c r="B9">
        <v>217</v>
      </c>
      <c r="C9">
        <v>26</v>
      </c>
      <c r="D9">
        <v>431</v>
      </c>
      <c r="E9">
        <v>184</v>
      </c>
      <c r="F9">
        <v>2469</v>
      </c>
      <c r="G9">
        <v>324</v>
      </c>
      <c r="H9">
        <v>3109</v>
      </c>
      <c r="I9">
        <v>367</v>
      </c>
    </row>
    <row r="10" spans="1:9" x14ac:dyDescent="0.3">
      <c r="A10" s="14" t="s">
        <v>16</v>
      </c>
      <c r="B10">
        <v>105</v>
      </c>
      <c r="C10">
        <v>10</v>
      </c>
      <c r="D10">
        <v>240</v>
      </c>
      <c r="E10">
        <v>94</v>
      </c>
      <c r="F10">
        <v>947</v>
      </c>
      <c r="G10">
        <v>124</v>
      </c>
      <c r="H10">
        <v>1427</v>
      </c>
      <c r="I10">
        <v>164</v>
      </c>
    </row>
    <row r="11" spans="1:9" x14ac:dyDescent="0.3">
      <c r="A11" s="14" t="s">
        <v>24</v>
      </c>
      <c r="B11">
        <v>55</v>
      </c>
      <c r="C11">
        <v>10</v>
      </c>
      <c r="D11">
        <v>93</v>
      </c>
      <c r="E11">
        <v>43</v>
      </c>
      <c r="F11">
        <v>636</v>
      </c>
      <c r="G11">
        <v>92</v>
      </c>
      <c r="H11">
        <v>987</v>
      </c>
      <c r="I11">
        <v>106</v>
      </c>
    </row>
    <row r="12" spans="1:9" x14ac:dyDescent="0.3">
      <c r="A12" s="14" t="s">
        <v>18</v>
      </c>
      <c r="B12">
        <v>57</v>
      </c>
      <c r="C12">
        <v>6</v>
      </c>
      <c r="D12">
        <v>98</v>
      </c>
      <c r="E12">
        <v>47</v>
      </c>
      <c r="F12">
        <v>886</v>
      </c>
      <c r="G12">
        <v>108</v>
      </c>
      <c r="H12">
        <v>695</v>
      </c>
      <c r="I12">
        <v>97</v>
      </c>
    </row>
    <row r="13" spans="1:9" x14ac:dyDescent="0.3">
      <c r="A13" s="12" t="s">
        <v>23</v>
      </c>
      <c r="B13">
        <v>660</v>
      </c>
      <c r="C13">
        <v>88</v>
      </c>
      <c r="D13">
        <v>1632</v>
      </c>
      <c r="E13">
        <v>559</v>
      </c>
      <c r="F13">
        <v>5343</v>
      </c>
      <c r="G13">
        <v>847</v>
      </c>
      <c r="H13">
        <v>7938</v>
      </c>
      <c r="I13">
        <v>1034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9"/>
  <dimension ref="A1:AQ10"/>
  <sheetViews>
    <sheetView tabSelected="1" workbookViewId="0">
      <selection activeCell="G10" sqref="G10"/>
    </sheetView>
  </sheetViews>
  <sheetFormatPr defaultRowHeight="14.4" x14ac:dyDescent="0.3"/>
  <cols>
    <col min="1" max="1" width="20" bestFit="1" customWidth="1"/>
    <col min="2" max="3" width="17.5546875" bestFit="1" customWidth="1"/>
    <col min="4" max="4" width="26.44140625" bestFit="1" customWidth="1"/>
    <col min="5" max="5" width="16" customWidth="1"/>
    <col min="6" max="6" width="15.6640625" customWidth="1"/>
    <col min="7" max="7" width="15.33203125" customWidth="1"/>
    <col min="8" max="8" width="14.6640625" customWidth="1"/>
    <col min="9" max="9" width="19" customWidth="1"/>
    <col min="10" max="10" width="11.44140625" bestFit="1" customWidth="1"/>
    <col min="11" max="11" width="17" customWidth="1"/>
    <col min="12" max="12" width="15.33203125" bestFit="1" customWidth="1"/>
    <col min="13" max="13" width="17.33203125" customWidth="1"/>
    <col min="14" max="14" width="11.44140625" customWidth="1"/>
    <col min="15" max="15" width="15.6640625" customWidth="1"/>
    <col min="16" max="16" width="20.6640625" customWidth="1"/>
    <col min="17" max="17" width="39.109375" bestFit="1" customWidth="1"/>
    <col min="18" max="20" width="15" bestFit="1" customWidth="1"/>
    <col min="21" max="21" width="18.44140625" customWidth="1"/>
    <col min="22" max="22" width="10.5546875" bestFit="1" customWidth="1"/>
    <col min="23" max="23" width="12.44140625" bestFit="1" customWidth="1"/>
    <col min="24" max="24" width="8.44140625" bestFit="1" customWidth="1"/>
    <col min="25" max="25" width="11.44140625" bestFit="1" customWidth="1"/>
    <col min="26" max="26" width="12.44140625" bestFit="1" customWidth="1"/>
    <col min="27" max="27" width="12" bestFit="1" customWidth="1"/>
    <col min="28" max="28" width="8.44140625" bestFit="1" customWidth="1"/>
    <col min="29" max="29" width="18.5546875" bestFit="1" customWidth="1"/>
    <col min="30" max="30" width="14.44140625" bestFit="1" customWidth="1"/>
    <col min="31" max="31" width="12.44140625" bestFit="1" customWidth="1"/>
    <col min="32" max="32" width="20" bestFit="1" customWidth="1"/>
    <col min="33" max="33" width="7.5546875" bestFit="1" customWidth="1"/>
    <col min="34" max="34" width="20" bestFit="1" customWidth="1"/>
    <col min="35" max="35" width="22.109375" bestFit="1" customWidth="1"/>
    <col min="36" max="36" width="7.6640625" bestFit="1" customWidth="1"/>
    <col min="37" max="37" width="8.5546875" bestFit="1" customWidth="1"/>
    <col min="38" max="38" width="8.44140625" bestFit="1" customWidth="1"/>
    <col min="39" max="39" width="9.21875" bestFit="1" customWidth="1"/>
  </cols>
  <sheetData>
    <row r="1" spans="1:43" ht="30" customHeight="1" x14ac:dyDescent="0.3">
      <c r="A1" t="s">
        <v>41</v>
      </c>
      <c r="B1" t="s">
        <v>42</v>
      </c>
      <c r="C1" t="s">
        <v>43</v>
      </c>
      <c r="D1" t="s">
        <v>44</v>
      </c>
      <c r="E1" t="s">
        <v>45</v>
      </c>
      <c r="F1" t="s">
        <v>46</v>
      </c>
      <c r="G1" s="34" t="s">
        <v>47</v>
      </c>
      <c r="H1" s="34" t="s">
        <v>48</v>
      </c>
      <c r="I1" s="34" t="s">
        <v>49</v>
      </c>
      <c r="J1" s="34" t="s">
        <v>50</v>
      </c>
      <c r="K1" s="34" t="s">
        <v>51</v>
      </c>
      <c r="L1" s="34" t="s">
        <v>52</v>
      </c>
      <c r="M1" t="s">
        <v>53</v>
      </c>
      <c r="N1" s="34" t="s">
        <v>54</v>
      </c>
      <c r="O1" s="34" t="s">
        <v>55</v>
      </c>
      <c r="P1" t="s">
        <v>56</v>
      </c>
      <c r="Q1" s="34" t="s">
        <v>57</v>
      </c>
      <c r="R1" s="34" t="s">
        <v>58</v>
      </c>
      <c r="S1" t="s">
        <v>59</v>
      </c>
      <c r="T1" t="s">
        <v>60</v>
      </c>
      <c r="U1" t="s">
        <v>61</v>
      </c>
      <c r="V1" t="s">
        <v>62</v>
      </c>
      <c r="W1" t="s">
        <v>63</v>
      </c>
      <c r="X1" t="s">
        <v>64</v>
      </c>
      <c r="Y1" t="s">
        <v>65</v>
      </c>
      <c r="Z1" t="s">
        <v>66</v>
      </c>
      <c r="AA1" t="s">
        <v>67</v>
      </c>
      <c r="AB1" t="s">
        <v>68</v>
      </c>
      <c r="AC1" t="s">
        <v>69</v>
      </c>
      <c r="AD1" t="s">
        <v>70</v>
      </c>
      <c r="AE1" t="s">
        <v>71</v>
      </c>
      <c r="AF1" t="s">
        <v>72</v>
      </c>
      <c r="AG1" t="s">
        <v>73</v>
      </c>
      <c r="AH1" t="s">
        <v>74</v>
      </c>
      <c r="AI1" t="s">
        <v>75</v>
      </c>
      <c r="AJ1" t="s">
        <v>76</v>
      </c>
      <c r="AK1" t="s">
        <v>77</v>
      </c>
      <c r="AL1" t="s">
        <v>78</v>
      </c>
      <c r="AM1" t="s">
        <v>79</v>
      </c>
      <c r="AN1" t="s">
        <v>80</v>
      </c>
      <c r="AO1" t="s">
        <v>81</v>
      </c>
      <c r="AP1" t="s">
        <v>82</v>
      </c>
      <c r="AQ1" t="s">
        <v>83</v>
      </c>
    </row>
    <row r="2" spans="1:43" x14ac:dyDescent="0.3">
      <c r="A2">
        <v>1</v>
      </c>
      <c r="B2" s="1">
        <v>45275.509351851855</v>
      </c>
      <c r="C2" s="1">
        <v>45275.521956018521</v>
      </c>
      <c r="D2" s="6" t="s">
        <v>188</v>
      </c>
      <c r="E2" t="s">
        <v>189</v>
      </c>
      <c r="F2" t="s">
        <v>86</v>
      </c>
      <c r="G2" s="4" t="s">
        <v>87</v>
      </c>
      <c r="H2" s="3" t="s">
        <v>14</v>
      </c>
      <c r="I2" s="3" t="s">
        <v>29</v>
      </c>
      <c r="J2" s="3" t="s">
        <v>29</v>
      </c>
      <c r="K2" t="s">
        <v>20</v>
      </c>
      <c r="L2" s="4" t="s">
        <v>16</v>
      </c>
      <c r="M2" t="s">
        <v>30</v>
      </c>
      <c r="N2" t="s">
        <v>88</v>
      </c>
      <c r="O2" s="2">
        <v>45200</v>
      </c>
      <c r="P2" s="2">
        <v>45230</v>
      </c>
      <c r="Q2" t="s">
        <v>89</v>
      </c>
      <c r="R2">
        <v>35</v>
      </c>
      <c r="S2">
        <v>0</v>
      </c>
      <c r="T2">
        <v>12</v>
      </c>
      <c r="U2">
        <v>2</v>
      </c>
      <c r="V2">
        <v>1</v>
      </c>
      <c r="W2">
        <v>1</v>
      </c>
      <c r="X2">
        <v>16</v>
      </c>
      <c r="Y2">
        <v>3</v>
      </c>
      <c r="Z2">
        <v>1</v>
      </c>
      <c r="AA2">
        <v>0</v>
      </c>
      <c r="AB2">
        <v>0</v>
      </c>
      <c r="AC2">
        <v>0</v>
      </c>
      <c r="AD2">
        <v>2</v>
      </c>
      <c r="AE2">
        <v>0</v>
      </c>
      <c r="AF2">
        <v>0</v>
      </c>
      <c r="AG2">
        <v>0</v>
      </c>
      <c r="AH2">
        <v>0</v>
      </c>
      <c r="AI2">
        <v>0</v>
      </c>
      <c r="AJ2">
        <v>1</v>
      </c>
      <c r="AK2">
        <v>0</v>
      </c>
      <c r="AL2">
        <v>1</v>
      </c>
      <c r="AM2">
        <v>0</v>
      </c>
      <c r="AN2">
        <v>0</v>
      </c>
      <c r="AO2">
        <v>0</v>
      </c>
      <c r="AP2">
        <v>0</v>
      </c>
    </row>
    <row r="3" spans="1:43" x14ac:dyDescent="0.3">
      <c r="A3">
        <v>2</v>
      </c>
      <c r="B3" s="1">
        <v>45275.522118055553</v>
      </c>
      <c r="C3" s="1">
        <v>45275.527592592596</v>
      </c>
      <c r="D3" s="6" t="s">
        <v>188</v>
      </c>
      <c r="E3" t="s">
        <v>189</v>
      </c>
      <c r="F3" t="s">
        <v>86</v>
      </c>
      <c r="G3" s="4" t="s">
        <v>87</v>
      </c>
      <c r="H3" s="3" t="s">
        <v>14</v>
      </c>
      <c r="I3" s="3" t="s">
        <v>29</v>
      </c>
      <c r="J3" s="3" t="s">
        <v>29</v>
      </c>
      <c r="K3" t="s">
        <v>20</v>
      </c>
      <c r="L3" s="4" t="s">
        <v>16</v>
      </c>
      <c r="M3" t="s">
        <v>30</v>
      </c>
      <c r="N3" t="s">
        <v>90</v>
      </c>
      <c r="O3" s="2">
        <v>45231</v>
      </c>
      <c r="P3" s="2">
        <v>45260</v>
      </c>
      <c r="Q3" t="s">
        <v>89</v>
      </c>
      <c r="R3">
        <v>55</v>
      </c>
      <c r="S3">
        <v>0</v>
      </c>
      <c r="T3">
        <v>38</v>
      </c>
      <c r="U3">
        <v>1</v>
      </c>
      <c r="V3">
        <v>1</v>
      </c>
      <c r="W3">
        <v>1</v>
      </c>
      <c r="X3">
        <v>41</v>
      </c>
      <c r="Y3">
        <v>7</v>
      </c>
      <c r="Z3">
        <v>6</v>
      </c>
      <c r="AA3">
        <v>0</v>
      </c>
      <c r="AB3">
        <v>0</v>
      </c>
      <c r="AC3">
        <v>0</v>
      </c>
      <c r="AD3">
        <v>1</v>
      </c>
      <c r="AE3">
        <v>0</v>
      </c>
      <c r="AF3">
        <v>0</v>
      </c>
      <c r="AG3">
        <v>0</v>
      </c>
      <c r="AH3">
        <v>0</v>
      </c>
      <c r="AI3">
        <v>0</v>
      </c>
      <c r="AJ3">
        <v>0</v>
      </c>
      <c r="AK3">
        <v>0</v>
      </c>
      <c r="AL3">
        <v>0</v>
      </c>
      <c r="AM3">
        <v>0</v>
      </c>
      <c r="AN3">
        <v>0</v>
      </c>
      <c r="AO3">
        <v>1</v>
      </c>
      <c r="AP3">
        <v>0</v>
      </c>
    </row>
    <row r="4" spans="1:43" x14ac:dyDescent="0.3">
      <c r="A4">
        <v>3</v>
      </c>
      <c r="B4" s="1">
        <v>45275.552106481482</v>
      </c>
      <c r="C4" s="1">
        <v>45275.55269675926</v>
      </c>
      <c r="D4" s="6" t="s">
        <v>188</v>
      </c>
      <c r="E4" t="s">
        <v>189</v>
      </c>
      <c r="F4" t="s">
        <v>86</v>
      </c>
      <c r="G4" s="4" t="s">
        <v>87</v>
      </c>
      <c r="H4" s="3" t="s">
        <v>14</v>
      </c>
      <c r="I4" s="3" t="s">
        <v>27</v>
      </c>
      <c r="J4" s="3" t="s">
        <v>27</v>
      </c>
      <c r="K4" t="s">
        <v>18</v>
      </c>
      <c r="L4" s="4" t="s">
        <v>20</v>
      </c>
      <c r="M4" t="s">
        <v>28</v>
      </c>
      <c r="N4" t="s">
        <v>91</v>
      </c>
      <c r="O4" s="2">
        <v>45170</v>
      </c>
      <c r="P4" s="2">
        <v>45199</v>
      </c>
      <c r="Q4" t="s">
        <v>89</v>
      </c>
      <c r="R4">
        <v>35</v>
      </c>
      <c r="S4">
        <v>1</v>
      </c>
      <c r="T4">
        <v>35</v>
      </c>
      <c r="U4">
        <v>2</v>
      </c>
      <c r="V4">
        <v>1</v>
      </c>
      <c r="W4">
        <v>1</v>
      </c>
      <c r="X4">
        <v>39</v>
      </c>
      <c r="Y4">
        <v>8</v>
      </c>
      <c r="Z4">
        <v>10</v>
      </c>
      <c r="AA4">
        <v>0</v>
      </c>
      <c r="AB4">
        <v>8</v>
      </c>
      <c r="AC4">
        <v>0</v>
      </c>
      <c r="AD4">
        <v>8</v>
      </c>
      <c r="AE4">
        <v>0</v>
      </c>
      <c r="AF4">
        <v>1</v>
      </c>
      <c r="AG4">
        <v>1</v>
      </c>
      <c r="AH4">
        <v>0</v>
      </c>
      <c r="AI4">
        <v>0</v>
      </c>
      <c r="AJ4">
        <v>0</v>
      </c>
      <c r="AK4">
        <v>0</v>
      </c>
      <c r="AL4">
        <v>2</v>
      </c>
      <c r="AM4">
        <v>0</v>
      </c>
      <c r="AN4">
        <v>0</v>
      </c>
      <c r="AO4">
        <v>1</v>
      </c>
      <c r="AP4">
        <v>0</v>
      </c>
    </row>
    <row r="5" spans="1:43" x14ac:dyDescent="0.3">
      <c r="A5">
        <v>4</v>
      </c>
      <c r="B5" s="1">
        <v>45391.556296296301</v>
      </c>
      <c r="C5" s="1">
        <v>45391.564652777801</v>
      </c>
      <c r="D5" s="6" t="s">
        <v>188</v>
      </c>
      <c r="E5" t="s">
        <v>189</v>
      </c>
      <c r="F5" s="4" t="s">
        <v>86</v>
      </c>
      <c r="G5" s="4" t="s">
        <v>87</v>
      </c>
      <c r="H5" s="5" t="s">
        <v>22</v>
      </c>
      <c r="I5" s="5" t="s">
        <v>29</v>
      </c>
      <c r="J5" s="5" t="s">
        <v>29</v>
      </c>
      <c r="K5" s="4" t="s">
        <v>16</v>
      </c>
      <c r="L5" s="4" t="s">
        <v>24</v>
      </c>
      <c r="M5" s="4" t="s">
        <v>31</v>
      </c>
      <c r="N5" s="4" t="s">
        <v>92</v>
      </c>
      <c r="O5" s="2">
        <v>45352</v>
      </c>
      <c r="P5" s="2">
        <v>45382</v>
      </c>
      <c r="Q5" s="4" t="s">
        <v>13</v>
      </c>
      <c r="R5">
        <v>30</v>
      </c>
      <c r="S5">
        <v>0</v>
      </c>
      <c r="T5">
        <v>17</v>
      </c>
      <c r="U5">
        <v>0</v>
      </c>
      <c r="V5">
        <v>1</v>
      </c>
      <c r="W5">
        <v>0</v>
      </c>
      <c r="X5">
        <v>3</v>
      </c>
      <c r="Y5">
        <v>0</v>
      </c>
      <c r="Z5">
        <v>1</v>
      </c>
      <c r="AA5">
        <v>0</v>
      </c>
      <c r="AB5">
        <v>0</v>
      </c>
      <c r="AC5">
        <v>0</v>
      </c>
      <c r="AD5">
        <v>1</v>
      </c>
      <c r="AE5">
        <v>1</v>
      </c>
      <c r="AF5">
        <v>0</v>
      </c>
      <c r="AG5">
        <v>0</v>
      </c>
      <c r="AH5">
        <v>0</v>
      </c>
      <c r="AI5">
        <v>0</v>
      </c>
      <c r="AJ5">
        <v>0</v>
      </c>
      <c r="AK5">
        <v>0</v>
      </c>
      <c r="AL5">
        <v>1</v>
      </c>
      <c r="AM5">
        <v>0</v>
      </c>
      <c r="AN5">
        <v>0</v>
      </c>
      <c r="AO5">
        <v>0</v>
      </c>
      <c r="AP5">
        <v>1</v>
      </c>
    </row>
    <row r="6" spans="1:43" x14ac:dyDescent="0.3">
      <c r="A6">
        <v>5</v>
      </c>
      <c r="B6" s="1">
        <v>45406.340914351902</v>
      </c>
      <c r="C6" s="1">
        <v>45406.355543981503</v>
      </c>
      <c r="D6" s="6" t="s">
        <v>188</v>
      </c>
      <c r="E6" t="s">
        <v>189</v>
      </c>
      <c r="F6" s="4" t="s">
        <v>86</v>
      </c>
      <c r="G6" s="4" t="s">
        <v>87</v>
      </c>
      <c r="H6" s="5" t="s">
        <v>22</v>
      </c>
      <c r="I6" s="5" t="s">
        <v>29</v>
      </c>
      <c r="J6" s="5" t="s">
        <v>29</v>
      </c>
      <c r="K6" s="4" t="s">
        <v>16</v>
      </c>
      <c r="L6" s="4" t="s">
        <v>24</v>
      </c>
      <c r="M6" s="4" t="s">
        <v>31</v>
      </c>
      <c r="N6" s="4" t="s">
        <v>93</v>
      </c>
      <c r="O6" s="2">
        <v>45292</v>
      </c>
      <c r="P6" s="2">
        <v>45322</v>
      </c>
      <c r="Q6" s="4" t="s">
        <v>13</v>
      </c>
      <c r="R6">
        <v>53</v>
      </c>
      <c r="S6">
        <v>0</v>
      </c>
      <c r="T6">
        <v>39</v>
      </c>
      <c r="U6">
        <v>2</v>
      </c>
      <c r="V6">
        <v>0</v>
      </c>
      <c r="W6">
        <v>0</v>
      </c>
      <c r="X6">
        <v>11</v>
      </c>
      <c r="Y6">
        <v>3</v>
      </c>
      <c r="Z6">
        <v>0</v>
      </c>
      <c r="AA6">
        <v>0</v>
      </c>
      <c r="AB6">
        <v>0</v>
      </c>
      <c r="AC6">
        <v>0</v>
      </c>
      <c r="AD6">
        <v>1</v>
      </c>
      <c r="AE6">
        <v>0</v>
      </c>
      <c r="AF6">
        <v>0</v>
      </c>
      <c r="AG6">
        <v>0</v>
      </c>
      <c r="AH6">
        <v>0</v>
      </c>
      <c r="AI6">
        <v>0</v>
      </c>
      <c r="AJ6">
        <v>0</v>
      </c>
      <c r="AK6">
        <v>0</v>
      </c>
      <c r="AL6">
        <v>0</v>
      </c>
      <c r="AM6">
        <v>0</v>
      </c>
      <c r="AN6">
        <v>0</v>
      </c>
      <c r="AO6">
        <v>0</v>
      </c>
      <c r="AP6">
        <v>1</v>
      </c>
    </row>
    <row r="7" spans="1:43" x14ac:dyDescent="0.3">
      <c r="A7">
        <v>6</v>
      </c>
      <c r="B7" s="1">
        <v>45412.372164351902</v>
      </c>
      <c r="C7" s="1">
        <v>45412.387916666703</v>
      </c>
      <c r="D7" s="6" t="s">
        <v>188</v>
      </c>
      <c r="E7" t="s">
        <v>189</v>
      </c>
      <c r="F7" s="4" t="s">
        <v>86</v>
      </c>
      <c r="G7" s="4" t="s">
        <v>87</v>
      </c>
      <c r="H7" s="5" t="s">
        <v>22</v>
      </c>
      <c r="I7" s="5" t="s">
        <v>29</v>
      </c>
      <c r="J7" s="5" t="s">
        <v>29</v>
      </c>
      <c r="K7" s="4" t="s">
        <v>16</v>
      </c>
      <c r="L7" s="4" t="s">
        <v>24</v>
      </c>
      <c r="M7" s="4" t="s">
        <v>31</v>
      </c>
      <c r="N7" s="4" t="s">
        <v>94</v>
      </c>
      <c r="O7" s="2">
        <v>45323</v>
      </c>
      <c r="P7" s="2">
        <v>45351</v>
      </c>
      <c r="Q7" s="4" t="s">
        <v>13</v>
      </c>
      <c r="R7">
        <v>48</v>
      </c>
      <c r="S7">
        <v>0</v>
      </c>
      <c r="T7">
        <v>47</v>
      </c>
      <c r="U7">
        <v>24</v>
      </c>
      <c r="V7">
        <v>0</v>
      </c>
      <c r="W7">
        <v>0</v>
      </c>
      <c r="X7">
        <v>24</v>
      </c>
      <c r="Y7">
        <v>3</v>
      </c>
      <c r="Z7">
        <v>2</v>
      </c>
      <c r="AA7">
        <v>0</v>
      </c>
      <c r="AB7">
        <v>0</v>
      </c>
      <c r="AC7">
        <v>0</v>
      </c>
      <c r="AD7">
        <v>2</v>
      </c>
      <c r="AE7">
        <v>0</v>
      </c>
      <c r="AF7">
        <v>0</v>
      </c>
      <c r="AG7">
        <v>0</v>
      </c>
      <c r="AH7">
        <v>0</v>
      </c>
      <c r="AI7">
        <v>0</v>
      </c>
      <c r="AJ7">
        <v>0</v>
      </c>
      <c r="AK7">
        <v>0</v>
      </c>
      <c r="AL7">
        <v>0</v>
      </c>
      <c r="AM7">
        <v>0</v>
      </c>
      <c r="AN7">
        <v>0</v>
      </c>
      <c r="AO7">
        <v>0</v>
      </c>
      <c r="AP7">
        <v>0</v>
      </c>
    </row>
    <row r="8" spans="1:43" x14ac:dyDescent="0.3">
      <c r="A8">
        <v>7</v>
      </c>
      <c r="B8" s="1">
        <v>45485.357291666704</v>
      </c>
      <c r="C8" s="1">
        <v>45485.379884259302</v>
      </c>
      <c r="D8" s="6" t="s">
        <v>188</v>
      </c>
      <c r="E8" t="s">
        <v>189</v>
      </c>
      <c r="F8" s="4" t="s">
        <v>86</v>
      </c>
      <c r="G8" s="4" t="s">
        <v>87</v>
      </c>
      <c r="H8" s="5" t="s">
        <v>22</v>
      </c>
      <c r="I8" s="5" t="s">
        <v>29</v>
      </c>
      <c r="J8" s="5" t="s">
        <v>29</v>
      </c>
      <c r="K8" s="4" t="s">
        <v>24</v>
      </c>
      <c r="L8" s="4" t="s">
        <v>18</v>
      </c>
      <c r="M8" s="4" t="s">
        <v>32</v>
      </c>
      <c r="N8" s="4" t="s">
        <v>95</v>
      </c>
      <c r="O8" s="2">
        <v>45413</v>
      </c>
      <c r="P8" s="2">
        <v>45443</v>
      </c>
      <c r="Q8" s="4" t="s">
        <v>13</v>
      </c>
      <c r="R8">
        <v>44</v>
      </c>
      <c r="S8">
        <v>0</v>
      </c>
      <c r="T8">
        <v>37</v>
      </c>
      <c r="U8">
        <v>0</v>
      </c>
      <c r="V8">
        <v>0</v>
      </c>
      <c r="W8">
        <v>0</v>
      </c>
      <c r="X8">
        <v>18</v>
      </c>
      <c r="Y8">
        <v>0</v>
      </c>
      <c r="Z8">
        <v>0</v>
      </c>
      <c r="AA8">
        <v>0</v>
      </c>
      <c r="AB8">
        <v>0</v>
      </c>
      <c r="AC8">
        <v>0</v>
      </c>
      <c r="AD8">
        <v>0</v>
      </c>
      <c r="AE8">
        <v>0</v>
      </c>
      <c r="AF8">
        <v>0</v>
      </c>
      <c r="AG8">
        <v>0</v>
      </c>
      <c r="AH8">
        <v>0</v>
      </c>
      <c r="AI8">
        <v>0</v>
      </c>
      <c r="AJ8">
        <v>0</v>
      </c>
      <c r="AK8">
        <v>0</v>
      </c>
      <c r="AL8">
        <v>0</v>
      </c>
      <c r="AM8">
        <v>0</v>
      </c>
      <c r="AN8">
        <v>0</v>
      </c>
      <c r="AO8">
        <v>0</v>
      </c>
      <c r="AP8">
        <v>0</v>
      </c>
    </row>
    <row r="9" spans="1:43" x14ac:dyDescent="0.3">
      <c r="A9">
        <v>8</v>
      </c>
      <c r="B9" s="1">
        <v>45485.392187500001</v>
      </c>
      <c r="C9" s="1">
        <v>45485.394212963001</v>
      </c>
      <c r="D9" s="6" t="s">
        <v>188</v>
      </c>
      <c r="E9" t="s">
        <v>189</v>
      </c>
      <c r="F9" s="4" t="s">
        <v>86</v>
      </c>
      <c r="G9" s="4" t="s">
        <v>87</v>
      </c>
      <c r="H9" s="5" t="s">
        <v>22</v>
      </c>
      <c r="I9" s="5" t="s">
        <v>29</v>
      </c>
      <c r="J9" s="5" t="s">
        <v>29</v>
      </c>
      <c r="K9" s="4" t="s">
        <v>24</v>
      </c>
      <c r="L9" s="4" t="s">
        <v>18</v>
      </c>
      <c r="M9" s="4" t="s">
        <v>32</v>
      </c>
      <c r="N9" s="4" t="s">
        <v>96</v>
      </c>
      <c r="O9" s="2">
        <v>45383</v>
      </c>
      <c r="P9" s="2">
        <v>45412</v>
      </c>
      <c r="Q9" s="4" t="s">
        <v>13</v>
      </c>
      <c r="R9">
        <v>70</v>
      </c>
      <c r="S9">
        <v>0</v>
      </c>
      <c r="T9">
        <v>57</v>
      </c>
      <c r="U9">
        <v>0</v>
      </c>
      <c r="V9">
        <v>0</v>
      </c>
      <c r="W9">
        <v>0</v>
      </c>
      <c r="X9">
        <v>29</v>
      </c>
      <c r="Y9">
        <v>9</v>
      </c>
      <c r="Z9">
        <v>9</v>
      </c>
      <c r="AA9">
        <v>0</v>
      </c>
      <c r="AB9">
        <v>0</v>
      </c>
      <c r="AC9">
        <v>0</v>
      </c>
      <c r="AD9">
        <v>0</v>
      </c>
      <c r="AE9">
        <v>0</v>
      </c>
      <c r="AF9">
        <v>0</v>
      </c>
      <c r="AG9">
        <v>0</v>
      </c>
      <c r="AH9">
        <v>0</v>
      </c>
      <c r="AI9">
        <v>0</v>
      </c>
      <c r="AJ9">
        <v>0</v>
      </c>
      <c r="AK9">
        <v>0</v>
      </c>
      <c r="AL9">
        <v>0</v>
      </c>
      <c r="AM9">
        <v>0</v>
      </c>
      <c r="AN9">
        <v>0</v>
      </c>
      <c r="AO9">
        <v>0</v>
      </c>
      <c r="AP9">
        <v>0</v>
      </c>
    </row>
    <row r="10" spans="1:43" x14ac:dyDescent="0.3">
      <c r="A10">
        <v>9</v>
      </c>
      <c r="B10" s="1">
        <v>45509.567789351902</v>
      </c>
      <c r="C10" s="1">
        <v>45509.571331018502</v>
      </c>
      <c r="D10" s="6" t="s">
        <v>188</v>
      </c>
      <c r="E10" t="s">
        <v>189</v>
      </c>
      <c r="F10" s="4" t="s">
        <v>86</v>
      </c>
      <c r="G10" s="4" t="s">
        <v>87</v>
      </c>
      <c r="H10" s="5" t="s">
        <v>22</v>
      </c>
      <c r="I10" s="5" t="s">
        <v>29</v>
      </c>
      <c r="J10" s="5" t="s">
        <v>29</v>
      </c>
      <c r="K10" s="4" t="s">
        <v>24</v>
      </c>
      <c r="L10" s="4" t="s">
        <v>18</v>
      </c>
      <c r="M10" s="4" t="s">
        <v>32</v>
      </c>
      <c r="N10" s="4" t="s">
        <v>97</v>
      </c>
      <c r="O10" s="2">
        <v>45444</v>
      </c>
      <c r="P10" s="2">
        <v>45473</v>
      </c>
      <c r="Q10" s="4" t="s">
        <v>13</v>
      </c>
      <c r="R10">
        <v>30</v>
      </c>
      <c r="S10">
        <v>0</v>
      </c>
      <c r="T10">
        <v>27</v>
      </c>
      <c r="U10">
        <v>2</v>
      </c>
      <c r="V10">
        <v>0</v>
      </c>
      <c r="W10">
        <v>0</v>
      </c>
      <c r="X10">
        <v>27</v>
      </c>
      <c r="Y10">
        <v>3</v>
      </c>
      <c r="Z10">
        <v>3</v>
      </c>
      <c r="AA10">
        <v>0</v>
      </c>
      <c r="AB10">
        <v>0</v>
      </c>
      <c r="AC10">
        <v>0</v>
      </c>
      <c r="AD10">
        <v>1</v>
      </c>
      <c r="AE10">
        <v>0</v>
      </c>
      <c r="AF10">
        <v>0</v>
      </c>
      <c r="AG10">
        <v>0</v>
      </c>
      <c r="AH10">
        <v>0</v>
      </c>
      <c r="AI10">
        <v>0</v>
      </c>
      <c r="AJ10">
        <v>0</v>
      </c>
      <c r="AK10">
        <v>0</v>
      </c>
      <c r="AL10">
        <v>0</v>
      </c>
      <c r="AM10">
        <v>0</v>
      </c>
      <c r="AN10">
        <v>0</v>
      </c>
      <c r="AO10">
        <v>0</v>
      </c>
      <c r="AP10">
        <v>0</v>
      </c>
    </row>
  </sheetData>
  <phoneticPr fontId="4" type="noConversion"/>
  <hyperlinks>
    <hyperlink ref="D2" r:id="rId1" xr:uid="{0EAAD6D9-DE2D-4138-9167-5AA5960C4F8D}"/>
    <hyperlink ref="D3:D10" r:id="rId2" display="email@example.com" xr:uid="{4C1CFBF8-1996-4BDB-B096-D8FC8124B2DE}"/>
  </hyperlinks>
  <pageMargins left="0.7" right="0.7" top="0.75" bottom="0.75" header="0.3" footer="0.3"/>
  <pageSetup paperSize="9" orientation="portrait" r:id="rId3"/>
  <legacyDrawing r:id="rId4"/>
  <tableParts count="1">
    <tablePart r:id="rId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A3578-2E87-40F6-85AF-4271F88F052D}">
  <dimension ref="A1:AP15"/>
  <sheetViews>
    <sheetView workbookViewId="0">
      <selection activeCell="C7" sqref="C7"/>
    </sheetView>
  </sheetViews>
  <sheetFormatPr defaultRowHeight="14.4" x14ac:dyDescent="0.3"/>
  <cols>
    <col min="1" max="1" width="5.109375" bestFit="1" customWidth="1"/>
    <col min="2" max="3" width="15" bestFit="1" customWidth="1"/>
    <col min="4" max="4" width="26.6640625" bestFit="1" customWidth="1"/>
    <col min="5" max="5" width="15.5546875" bestFit="1" customWidth="1"/>
    <col min="6" max="6" width="12.109375" bestFit="1" customWidth="1"/>
    <col min="7" max="7" width="9.5546875" bestFit="1" customWidth="1"/>
    <col min="8" max="8" width="5.109375" bestFit="1" customWidth="1"/>
    <col min="9" max="10" width="7.6640625" bestFit="1" customWidth="1"/>
    <col min="11" max="12" width="8.88671875" bestFit="1" customWidth="1"/>
    <col min="13" max="13" width="5.88671875" bestFit="1" customWidth="1"/>
    <col min="14" max="14" width="4" bestFit="1" customWidth="1"/>
    <col min="15" max="15" width="9" bestFit="1" customWidth="1"/>
    <col min="16" max="16" width="10.109375" bestFit="1" customWidth="1"/>
    <col min="17" max="17" width="39.109375" bestFit="1" customWidth="1"/>
    <col min="18" max="19" width="4.109375" bestFit="1" customWidth="1"/>
    <col min="20" max="23" width="3" bestFit="1" customWidth="1"/>
    <col min="24" max="24" width="4.109375" bestFit="1" customWidth="1"/>
    <col min="25" max="26" width="3" bestFit="1" customWidth="1"/>
    <col min="27" max="29" width="2" bestFit="1" customWidth="1"/>
    <col min="30" max="30" width="3" bestFit="1" customWidth="1"/>
    <col min="31" max="35" width="2" bestFit="1" customWidth="1"/>
    <col min="36" max="36" width="3" bestFit="1" customWidth="1"/>
    <col min="37" max="40" width="2" bestFit="1" customWidth="1"/>
    <col min="41" max="42" width="3" bestFit="1" customWidth="1"/>
  </cols>
  <sheetData>
    <row r="1" spans="1:42" x14ac:dyDescent="0.3">
      <c r="A1">
        <v>1567</v>
      </c>
      <c r="B1" s="1">
        <v>45783.420405092598</v>
      </c>
      <c r="C1" s="1">
        <v>45783.422893518502</v>
      </c>
      <c r="D1" s="4" t="s">
        <v>107</v>
      </c>
      <c r="E1" s="4" t="s">
        <v>108</v>
      </c>
      <c r="F1" s="4" t="s">
        <v>115</v>
      </c>
      <c r="G1" s="4" t="s">
        <v>111</v>
      </c>
      <c r="H1" s="5" t="s">
        <v>25</v>
      </c>
      <c r="I1" s="5" t="s">
        <v>33</v>
      </c>
      <c r="J1" s="5" t="s">
        <v>33</v>
      </c>
      <c r="K1" s="4" t="s">
        <v>24</v>
      </c>
      <c r="L1" s="4" t="s">
        <v>18</v>
      </c>
      <c r="M1" s="4" t="s">
        <v>32</v>
      </c>
      <c r="N1" s="4" t="s">
        <v>96</v>
      </c>
      <c r="O1" s="2">
        <v>45748</v>
      </c>
      <c r="P1" s="2">
        <v>45777</v>
      </c>
      <c r="Q1" s="4" t="s">
        <v>89</v>
      </c>
      <c r="R1">
        <v>120</v>
      </c>
      <c r="S1">
        <v>7</v>
      </c>
      <c r="T1">
        <v>92</v>
      </c>
      <c r="U1">
        <v>11</v>
      </c>
      <c r="V1">
        <v>6</v>
      </c>
      <c r="W1">
        <v>11</v>
      </c>
      <c r="X1">
        <v>115</v>
      </c>
      <c r="Y1">
        <v>36</v>
      </c>
      <c r="Z1">
        <v>34</v>
      </c>
      <c r="AA1">
        <v>1</v>
      </c>
      <c r="AB1">
        <v>9</v>
      </c>
      <c r="AC1">
        <v>0</v>
      </c>
      <c r="AD1">
        <v>36</v>
      </c>
      <c r="AE1">
        <v>5</v>
      </c>
      <c r="AF1">
        <v>0</v>
      </c>
      <c r="AG1">
        <v>0</v>
      </c>
      <c r="AH1">
        <v>8</v>
      </c>
      <c r="AI1">
        <v>3</v>
      </c>
      <c r="AJ1">
        <v>25</v>
      </c>
      <c r="AK1">
        <v>2</v>
      </c>
      <c r="AL1">
        <v>3</v>
      </c>
      <c r="AM1">
        <v>0</v>
      </c>
      <c r="AN1">
        <v>0</v>
      </c>
      <c r="AO1">
        <v>1</v>
      </c>
      <c r="AP1">
        <v>3</v>
      </c>
    </row>
    <row r="2" spans="1:42" x14ac:dyDescent="0.3">
      <c r="A2">
        <v>1568</v>
      </c>
      <c r="B2" s="1">
        <v>45783.422986111102</v>
      </c>
      <c r="C2" s="1">
        <v>45783.425162036998</v>
      </c>
      <c r="D2" s="4" t="s">
        <v>107</v>
      </c>
      <c r="E2" s="4" t="s">
        <v>108</v>
      </c>
      <c r="F2" s="4" t="s">
        <v>115</v>
      </c>
      <c r="G2" s="4" t="s">
        <v>111</v>
      </c>
      <c r="H2" s="5" t="s">
        <v>25</v>
      </c>
      <c r="I2" s="5" t="s">
        <v>33</v>
      </c>
      <c r="J2" s="5" t="s">
        <v>33</v>
      </c>
      <c r="K2" s="4" t="s">
        <v>24</v>
      </c>
      <c r="L2" s="4" t="s">
        <v>18</v>
      </c>
      <c r="M2" s="4" t="s">
        <v>32</v>
      </c>
      <c r="N2" s="4" t="s">
        <v>96</v>
      </c>
      <c r="O2" s="2">
        <v>45748</v>
      </c>
      <c r="P2" s="2">
        <v>45777</v>
      </c>
      <c r="Q2" s="4" t="s">
        <v>13</v>
      </c>
      <c r="R2">
        <v>110</v>
      </c>
      <c r="S2">
        <v>6</v>
      </c>
      <c r="T2">
        <v>87</v>
      </c>
      <c r="U2">
        <v>10</v>
      </c>
      <c r="V2">
        <v>4</v>
      </c>
      <c r="W2">
        <v>9</v>
      </c>
      <c r="X2">
        <v>105</v>
      </c>
      <c r="Y2">
        <v>34</v>
      </c>
      <c r="Z2">
        <v>33</v>
      </c>
      <c r="AA2">
        <v>0</v>
      </c>
      <c r="AB2">
        <v>8</v>
      </c>
      <c r="AC2">
        <v>0</v>
      </c>
      <c r="AD2">
        <v>34</v>
      </c>
      <c r="AE2">
        <v>3</v>
      </c>
      <c r="AF2">
        <v>0</v>
      </c>
      <c r="AG2">
        <v>0</v>
      </c>
      <c r="AH2">
        <v>7</v>
      </c>
      <c r="AI2">
        <v>3</v>
      </c>
      <c r="AJ2">
        <v>25</v>
      </c>
      <c r="AK2">
        <v>2</v>
      </c>
      <c r="AL2">
        <v>5</v>
      </c>
      <c r="AM2">
        <v>0</v>
      </c>
      <c r="AN2">
        <v>0</v>
      </c>
      <c r="AO2">
        <v>1</v>
      </c>
      <c r="AP2">
        <v>2</v>
      </c>
    </row>
    <row r="3" spans="1:42" x14ac:dyDescent="0.3">
      <c r="A3">
        <v>1569</v>
      </c>
      <c r="B3" s="1">
        <v>45783.425300925897</v>
      </c>
      <c r="C3" s="1">
        <v>45783.426956018498</v>
      </c>
      <c r="D3" s="4" t="s">
        <v>107</v>
      </c>
      <c r="E3" s="4" t="s">
        <v>108</v>
      </c>
      <c r="F3" s="4" t="s">
        <v>115</v>
      </c>
      <c r="G3" s="4" t="s">
        <v>111</v>
      </c>
      <c r="H3" s="5" t="s">
        <v>25</v>
      </c>
      <c r="I3" s="5" t="s">
        <v>33</v>
      </c>
      <c r="J3" s="5" t="s">
        <v>33</v>
      </c>
      <c r="K3" s="4" t="s">
        <v>24</v>
      </c>
      <c r="L3" s="4" t="s">
        <v>18</v>
      </c>
      <c r="M3" s="4" t="s">
        <v>32</v>
      </c>
      <c r="N3" s="4" t="s">
        <v>96</v>
      </c>
      <c r="O3" s="2">
        <v>45748</v>
      </c>
      <c r="P3" s="2">
        <v>45777</v>
      </c>
      <c r="Q3" s="4" t="s">
        <v>101</v>
      </c>
      <c r="R3">
        <v>3</v>
      </c>
      <c r="S3">
        <v>0</v>
      </c>
      <c r="T3">
        <v>2</v>
      </c>
      <c r="U3">
        <v>0</v>
      </c>
      <c r="V3">
        <v>0</v>
      </c>
      <c r="W3">
        <v>1</v>
      </c>
      <c r="X3">
        <v>0</v>
      </c>
      <c r="Y3">
        <v>0</v>
      </c>
      <c r="Z3">
        <v>1</v>
      </c>
      <c r="AA3">
        <v>0</v>
      </c>
      <c r="AB3">
        <v>0</v>
      </c>
      <c r="AC3">
        <v>0</v>
      </c>
      <c r="AD3">
        <v>1</v>
      </c>
      <c r="AE3">
        <v>1</v>
      </c>
      <c r="AF3">
        <v>0</v>
      </c>
      <c r="AG3">
        <v>0</v>
      </c>
      <c r="AH3">
        <v>0</v>
      </c>
      <c r="AI3">
        <v>0</v>
      </c>
      <c r="AJ3">
        <v>1</v>
      </c>
      <c r="AK3">
        <v>0</v>
      </c>
      <c r="AL3">
        <v>1</v>
      </c>
      <c r="AM3">
        <v>0</v>
      </c>
      <c r="AN3">
        <v>0</v>
      </c>
      <c r="AO3">
        <v>0</v>
      </c>
      <c r="AP3">
        <v>0</v>
      </c>
    </row>
    <row r="4" spans="1:42" x14ac:dyDescent="0.3">
      <c r="A4">
        <v>1570</v>
      </c>
      <c r="B4" s="1">
        <v>45783.427002314798</v>
      </c>
      <c r="C4" s="1">
        <v>45783.428483796299</v>
      </c>
      <c r="D4" s="4" t="s">
        <v>107</v>
      </c>
      <c r="E4" s="4" t="s">
        <v>108</v>
      </c>
      <c r="F4" s="4" t="s">
        <v>115</v>
      </c>
      <c r="G4" s="4" t="s">
        <v>111</v>
      </c>
      <c r="H4" s="5" t="s">
        <v>25</v>
      </c>
      <c r="I4" s="5" t="s">
        <v>33</v>
      </c>
      <c r="J4" s="5" t="s">
        <v>33</v>
      </c>
      <c r="K4" s="4" t="s">
        <v>24</v>
      </c>
      <c r="L4" s="4" t="s">
        <v>18</v>
      </c>
      <c r="M4" s="4" t="s">
        <v>32</v>
      </c>
      <c r="N4" s="4" t="s">
        <v>96</v>
      </c>
      <c r="O4" s="2">
        <v>45748</v>
      </c>
      <c r="P4" s="2">
        <v>45777</v>
      </c>
      <c r="Q4" s="4" t="s">
        <v>21</v>
      </c>
      <c r="R4">
        <v>2</v>
      </c>
      <c r="S4">
        <v>1</v>
      </c>
      <c r="T4">
        <v>1</v>
      </c>
      <c r="U4">
        <v>0</v>
      </c>
      <c r="V4">
        <v>0</v>
      </c>
      <c r="W4">
        <v>1</v>
      </c>
      <c r="X4">
        <v>2</v>
      </c>
      <c r="Y4">
        <v>2</v>
      </c>
      <c r="Z4">
        <v>0</v>
      </c>
      <c r="AA4">
        <v>0</v>
      </c>
      <c r="AB4">
        <v>0</v>
      </c>
      <c r="AC4">
        <v>0</v>
      </c>
      <c r="AD4">
        <v>2</v>
      </c>
      <c r="AE4">
        <v>0</v>
      </c>
      <c r="AF4">
        <v>0</v>
      </c>
      <c r="AG4">
        <v>0</v>
      </c>
      <c r="AH4">
        <v>0</v>
      </c>
      <c r="AI4">
        <v>0</v>
      </c>
      <c r="AJ4">
        <v>2</v>
      </c>
      <c r="AK4">
        <v>0</v>
      </c>
      <c r="AL4">
        <v>0</v>
      </c>
      <c r="AM4">
        <v>0</v>
      </c>
      <c r="AN4">
        <v>0</v>
      </c>
      <c r="AO4">
        <v>0</v>
      </c>
      <c r="AP4">
        <v>1</v>
      </c>
    </row>
    <row r="5" spans="1:42" x14ac:dyDescent="0.3">
      <c r="A5">
        <v>1571</v>
      </c>
      <c r="B5" s="1">
        <v>45783.428645833301</v>
      </c>
      <c r="C5" s="1">
        <v>45783.429525462998</v>
      </c>
      <c r="D5" s="4" t="s">
        <v>107</v>
      </c>
      <c r="E5" s="4" t="s">
        <v>108</v>
      </c>
      <c r="F5" s="4" t="s">
        <v>115</v>
      </c>
      <c r="G5" s="4" t="s">
        <v>111</v>
      </c>
      <c r="H5" s="5" t="s">
        <v>25</v>
      </c>
      <c r="I5" s="5" t="s">
        <v>33</v>
      </c>
      <c r="J5" s="5" t="s">
        <v>33</v>
      </c>
      <c r="K5" s="4" t="s">
        <v>24</v>
      </c>
      <c r="L5" s="4" t="s">
        <v>18</v>
      </c>
      <c r="M5" s="4" t="s">
        <v>32</v>
      </c>
      <c r="N5" s="4" t="s">
        <v>96</v>
      </c>
      <c r="O5" s="2">
        <v>45748</v>
      </c>
      <c r="P5" s="2">
        <v>45777</v>
      </c>
      <c r="Q5" s="4" t="s">
        <v>19</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row>
    <row r="6" spans="1:42" x14ac:dyDescent="0.3">
      <c r="A6">
        <v>1572</v>
      </c>
      <c r="B6" s="1">
        <v>45783.429675925901</v>
      </c>
      <c r="C6" s="1">
        <v>45783.431562500002</v>
      </c>
      <c r="D6" s="4" t="s">
        <v>107</v>
      </c>
      <c r="E6" s="4" t="s">
        <v>108</v>
      </c>
      <c r="F6" s="4" t="s">
        <v>115</v>
      </c>
      <c r="G6" s="4" t="s">
        <v>111</v>
      </c>
      <c r="H6" s="5" t="s">
        <v>25</v>
      </c>
      <c r="I6" s="5" t="s">
        <v>33</v>
      </c>
      <c r="J6" s="5" t="s">
        <v>33</v>
      </c>
      <c r="K6" s="4" t="s">
        <v>24</v>
      </c>
      <c r="L6" s="4" t="s">
        <v>18</v>
      </c>
      <c r="M6" s="4" t="s">
        <v>32</v>
      </c>
      <c r="N6" s="4" t="s">
        <v>96</v>
      </c>
      <c r="O6" s="2">
        <v>45748</v>
      </c>
      <c r="P6" s="2">
        <v>45777</v>
      </c>
      <c r="Q6" s="4" t="s">
        <v>17</v>
      </c>
      <c r="R6">
        <v>10</v>
      </c>
      <c r="S6">
        <v>1</v>
      </c>
      <c r="T6">
        <v>5</v>
      </c>
      <c r="U6">
        <v>1</v>
      </c>
      <c r="V6">
        <v>2</v>
      </c>
      <c r="W6">
        <v>2</v>
      </c>
      <c r="X6">
        <v>10</v>
      </c>
      <c r="Y6">
        <v>2</v>
      </c>
      <c r="Z6">
        <v>1</v>
      </c>
      <c r="AA6">
        <v>1</v>
      </c>
      <c r="AB6">
        <v>0</v>
      </c>
      <c r="AC6">
        <v>0</v>
      </c>
      <c r="AD6">
        <v>0</v>
      </c>
      <c r="AE6">
        <v>2</v>
      </c>
      <c r="AF6">
        <v>2</v>
      </c>
      <c r="AG6">
        <v>0</v>
      </c>
      <c r="AH6">
        <v>1</v>
      </c>
      <c r="AI6">
        <v>0</v>
      </c>
      <c r="AJ6">
        <v>0</v>
      </c>
      <c r="AK6">
        <v>0</v>
      </c>
      <c r="AL6">
        <v>2</v>
      </c>
      <c r="AM6">
        <v>0</v>
      </c>
      <c r="AN6">
        <v>0</v>
      </c>
      <c r="AO6">
        <v>0</v>
      </c>
      <c r="AP6">
        <v>2</v>
      </c>
    </row>
    <row r="7" spans="1:42" x14ac:dyDescent="0.3">
      <c r="A7">
        <v>1574</v>
      </c>
      <c r="B7" s="1">
        <v>45783.462662037004</v>
      </c>
      <c r="C7" s="1">
        <v>45783.464837963002</v>
      </c>
      <c r="D7" s="4" t="s">
        <v>104</v>
      </c>
      <c r="E7" s="4" t="s">
        <v>105</v>
      </c>
      <c r="F7" s="4" t="s">
        <v>112</v>
      </c>
      <c r="G7" s="4" t="s">
        <v>87</v>
      </c>
      <c r="H7" s="5" t="s">
        <v>25</v>
      </c>
      <c r="I7" s="5" t="s">
        <v>33</v>
      </c>
      <c r="J7" s="5" t="s">
        <v>33</v>
      </c>
      <c r="K7" s="4" t="s">
        <v>24</v>
      </c>
      <c r="L7" s="4" t="s">
        <v>18</v>
      </c>
      <c r="M7" s="4" t="s">
        <v>32</v>
      </c>
      <c r="N7" s="4" t="s">
        <v>96</v>
      </c>
      <c r="O7" s="2">
        <v>45748</v>
      </c>
      <c r="P7" s="2">
        <v>45777</v>
      </c>
      <c r="Q7" s="4" t="s">
        <v>101</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row>
    <row r="8" spans="1:42" x14ac:dyDescent="0.3">
      <c r="A8">
        <v>1575</v>
      </c>
      <c r="B8" s="1">
        <v>45783.464907407397</v>
      </c>
      <c r="C8" s="1">
        <v>45783.465868055602</v>
      </c>
      <c r="D8" s="4" t="s">
        <v>104</v>
      </c>
      <c r="E8" s="4" t="s">
        <v>105</v>
      </c>
      <c r="F8" s="4" t="s">
        <v>112</v>
      </c>
      <c r="G8" s="4" t="s">
        <v>87</v>
      </c>
      <c r="H8" s="5" t="s">
        <v>25</v>
      </c>
      <c r="I8" s="5" t="s">
        <v>33</v>
      </c>
      <c r="J8" s="5" t="s">
        <v>33</v>
      </c>
      <c r="K8" s="4" t="s">
        <v>24</v>
      </c>
      <c r="L8" s="4" t="s">
        <v>18</v>
      </c>
      <c r="M8" s="4" t="s">
        <v>32</v>
      </c>
      <c r="N8" s="4" t="s">
        <v>96</v>
      </c>
      <c r="O8" s="2">
        <v>45748</v>
      </c>
      <c r="P8" s="2">
        <v>45777</v>
      </c>
      <c r="Q8" s="4" t="s">
        <v>21</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row>
    <row r="9" spans="1:42" x14ac:dyDescent="0.3">
      <c r="A9">
        <v>1576</v>
      </c>
      <c r="B9" s="1">
        <v>45783.465937499997</v>
      </c>
      <c r="C9" s="1">
        <v>45783.469884259299</v>
      </c>
      <c r="D9" s="4" t="s">
        <v>104</v>
      </c>
      <c r="E9" s="4" t="s">
        <v>105</v>
      </c>
      <c r="F9" s="4" t="s">
        <v>112</v>
      </c>
      <c r="G9" s="4" t="s">
        <v>87</v>
      </c>
      <c r="H9" s="5" t="s">
        <v>25</v>
      </c>
      <c r="I9" s="5" t="s">
        <v>33</v>
      </c>
      <c r="J9" s="5" t="s">
        <v>33</v>
      </c>
      <c r="K9" s="4" t="s">
        <v>24</v>
      </c>
      <c r="L9" s="4" t="s">
        <v>18</v>
      </c>
      <c r="M9" s="4" t="s">
        <v>32</v>
      </c>
      <c r="N9" s="4" t="s">
        <v>96</v>
      </c>
      <c r="O9" s="2">
        <v>45748</v>
      </c>
      <c r="P9" s="2">
        <v>45777</v>
      </c>
      <c r="Q9" s="4" t="s">
        <v>15</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row>
    <row r="10" spans="1:42" x14ac:dyDescent="0.3">
      <c r="A10">
        <v>1577</v>
      </c>
      <c r="B10" s="1">
        <v>45783.470208333303</v>
      </c>
      <c r="C10" s="1">
        <v>45783.474687499998</v>
      </c>
      <c r="D10" s="4" t="s">
        <v>104</v>
      </c>
      <c r="E10" s="4" t="s">
        <v>105</v>
      </c>
      <c r="F10" s="4" t="s">
        <v>112</v>
      </c>
      <c r="G10" s="4" t="s">
        <v>87</v>
      </c>
      <c r="H10" s="5" t="s">
        <v>25</v>
      </c>
      <c r="I10" s="5" t="s">
        <v>33</v>
      </c>
      <c r="J10" s="5" t="s">
        <v>33</v>
      </c>
      <c r="K10" s="4" t="s">
        <v>24</v>
      </c>
      <c r="L10" s="4" t="s">
        <v>18</v>
      </c>
      <c r="M10" s="4" t="s">
        <v>32</v>
      </c>
      <c r="N10" s="4" t="s">
        <v>96</v>
      </c>
      <c r="O10" s="2">
        <v>45748</v>
      </c>
      <c r="P10" s="2">
        <v>45777</v>
      </c>
      <c r="Q10" s="4" t="s">
        <v>13</v>
      </c>
      <c r="R10">
        <v>6</v>
      </c>
      <c r="S10">
        <v>0</v>
      </c>
      <c r="T10">
        <v>5</v>
      </c>
      <c r="U10">
        <v>0</v>
      </c>
      <c r="V10">
        <v>0</v>
      </c>
      <c r="W10">
        <v>1</v>
      </c>
      <c r="X10">
        <v>6</v>
      </c>
      <c r="Y10">
        <v>2</v>
      </c>
      <c r="Z10">
        <v>1</v>
      </c>
      <c r="AA10">
        <v>0</v>
      </c>
      <c r="AB10">
        <v>0</v>
      </c>
      <c r="AC10">
        <v>0</v>
      </c>
      <c r="AD10">
        <v>3</v>
      </c>
      <c r="AE10">
        <v>1</v>
      </c>
      <c r="AF10">
        <v>1</v>
      </c>
      <c r="AG10">
        <v>0</v>
      </c>
      <c r="AH10">
        <v>0</v>
      </c>
      <c r="AI10">
        <v>0</v>
      </c>
      <c r="AJ10">
        <v>0</v>
      </c>
      <c r="AK10">
        <v>0</v>
      </c>
      <c r="AL10">
        <v>0</v>
      </c>
      <c r="AM10">
        <v>0</v>
      </c>
      <c r="AN10">
        <v>0</v>
      </c>
      <c r="AO10">
        <v>0</v>
      </c>
      <c r="AP10">
        <v>0</v>
      </c>
    </row>
    <row r="11" spans="1:42" x14ac:dyDescent="0.3">
      <c r="A11">
        <v>1578</v>
      </c>
      <c r="B11" s="1">
        <v>45783.505532407398</v>
      </c>
      <c r="C11" s="1">
        <v>45783.5058796296</v>
      </c>
      <c r="D11" s="4" t="s">
        <v>104</v>
      </c>
      <c r="E11" s="4" t="s">
        <v>105</v>
      </c>
      <c r="F11" s="4" t="s">
        <v>112</v>
      </c>
      <c r="G11" s="4" t="s">
        <v>87</v>
      </c>
      <c r="H11" s="5" t="s">
        <v>25</v>
      </c>
      <c r="I11" s="5" t="s">
        <v>33</v>
      </c>
      <c r="J11" s="5" t="s">
        <v>33</v>
      </c>
      <c r="K11" s="4" t="s">
        <v>24</v>
      </c>
      <c r="L11" s="4" t="s">
        <v>18</v>
      </c>
      <c r="M11" s="4" t="s">
        <v>32</v>
      </c>
      <c r="N11" s="4" t="s">
        <v>96</v>
      </c>
      <c r="O11" s="2">
        <v>45748</v>
      </c>
      <c r="P11" s="2">
        <v>45777</v>
      </c>
      <c r="Q11" s="4" t="s">
        <v>89</v>
      </c>
      <c r="R11">
        <v>10</v>
      </c>
      <c r="S11">
        <v>1</v>
      </c>
      <c r="T11">
        <v>1</v>
      </c>
      <c r="U11">
        <v>0</v>
      </c>
      <c r="V11">
        <v>0</v>
      </c>
      <c r="W11">
        <v>1</v>
      </c>
      <c r="X11">
        <v>9</v>
      </c>
      <c r="Y11">
        <v>4</v>
      </c>
      <c r="Z11">
        <v>4</v>
      </c>
      <c r="AA11">
        <v>0</v>
      </c>
      <c r="AB11">
        <v>1</v>
      </c>
      <c r="AC11">
        <v>0</v>
      </c>
      <c r="AD11">
        <v>4</v>
      </c>
      <c r="AE11">
        <v>1</v>
      </c>
      <c r="AF11">
        <v>0</v>
      </c>
      <c r="AG11">
        <v>0</v>
      </c>
      <c r="AH11">
        <v>0</v>
      </c>
      <c r="AI11">
        <v>0</v>
      </c>
      <c r="AJ11">
        <v>0</v>
      </c>
      <c r="AK11">
        <v>0</v>
      </c>
      <c r="AL11">
        <v>0</v>
      </c>
      <c r="AM11">
        <v>0</v>
      </c>
      <c r="AN11">
        <v>0</v>
      </c>
      <c r="AO11">
        <v>0</v>
      </c>
      <c r="AP11">
        <v>0</v>
      </c>
    </row>
    <row r="12" spans="1:42" x14ac:dyDescent="0.3">
      <c r="A12">
        <v>1579</v>
      </c>
      <c r="B12" s="1">
        <v>45783.505983796298</v>
      </c>
      <c r="C12" s="1">
        <v>45783.509421296301</v>
      </c>
      <c r="D12" s="4" t="s">
        <v>104</v>
      </c>
      <c r="E12" s="4" t="s">
        <v>105</v>
      </c>
      <c r="F12" s="4" t="s">
        <v>112</v>
      </c>
      <c r="G12" s="4" t="s">
        <v>87</v>
      </c>
      <c r="H12" s="5" t="s">
        <v>25</v>
      </c>
      <c r="I12" s="5" t="s">
        <v>33</v>
      </c>
      <c r="J12" s="5" t="s">
        <v>33</v>
      </c>
      <c r="K12" s="4" t="s">
        <v>24</v>
      </c>
      <c r="L12" s="4" t="s">
        <v>18</v>
      </c>
      <c r="M12" s="4" t="s">
        <v>32</v>
      </c>
      <c r="N12" s="4" t="s">
        <v>96</v>
      </c>
      <c r="O12" s="2">
        <v>45748</v>
      </c>
      <c r="P12" s="2">
        <v>45777</v>
      </c>
      <c r="Q12" s="4" t="s">
        <v>17</v>
      </c>
      <c r="R12">
        <v>2</v>
      </c>
      <c r="S12">
        <v>1</v>
      </c>
      <c r="T12">
        <v>2</v>
      </c>
      <c r="U12">
        <v>0</v>
      </c>
      <c r="V12">
        <v>0</v>
      </c>
      <c r="W12">
        <v>2</v>
      </c>
      <c r="X12">
        <v>1</v>
      </c>
      <c r="Y12">
        <v>1</v>
      </c>
      <c r="Z12">
        <v>1</v>
      </c>
      <c r="AA12">
        <v>0</v>
      </c>
      <c r="AB12">
        <v>0</v>
      </c>
      <c r="AC12">
        <v>0</v>
      </c>
      <c r="AD12">
        <v>1</v>
      </c>
      <c r="AE12">
        <v>0</v>
      </c>
      <c r="AF12">
        <v>0</v>
      </c>
      <c r="AG12">
        <v>0</v>
      </c>
      <c r="AH12">
        <v>0</v>
      </c>
      <c r="AI12">
        <v>0</v>
      </c>
      <c r="AJ12">
        <v>0</v>
      </c>
      <c r="AK12">
        <v>0</v>
      </c>
      <c r="AL12">
        <v>0</v>
      </c>
      <c r="AM12">
        <v>0</v>
      </c>
      <c r="AN12">
        <v>0</v>
      </c>
      <c r="AO12">
        <v>0</v>
      </c>
      <c r="AP12">
        <v>0</v>
      </c>
    </row>
    <row r="13" spans="1:42" x14ac:dyDescent="0.3">
      <c r="A13">
        <v>1580</v>
      </c>
      <c r="B13" s="1">
        <v>45783.5094791667</v>
      </c>
      <c r="C13" s="1">
        <v>45783.512384259302</v>
      </c>
      <c r="D13" s="4" t="s">
        <v>104</v>
      </c>
      <c r="E13" s="4" t="s">
        <v>105</v>
      </c>
      <c r="F13" s="4" t="s">
        <v>112</v>
      </c>
      <c r="G13" s="4" t="s">
        <v>87</v>
      </c>
      <c r="H13" s="5" t="s">
        <v>25</v>
      </c>
      <c r="I13" s="5" t="s">
        <v>33</v>
      </c>
      <c r="J13" s="5" t="s">
        <v>33</v>
      </c>
      <c r="K13" s="4" t="s">
        <v>24</v>
      </c>
      <c r="L13" s="4" t="s">
        <v>18</v>
      </c>
      <c r="M13" s="4" t="s">
        <v>32</v>
      </c>
      <c r="N13" s="4" t="s">
        <v>96</v>
      </c>
      <c r="O13" s="2">
        <v>45748</v>
      </c>
      <c r="P13" s="2">
        <v>45777</v>
      </c>
      <c r="Q13" s="4" t="s">
        <v>19</v>
      </c>
      <c r="R13">
        <v>2</v>
      </c>
      <c r="S13">
        <v>0</v>
      </c>
      <c r="T13">
        <v>2</v>
      </c>
      <c r="U13">
        <v>2</v>
      </c>
      <c r="V13">
        <v>0</v>
      </c>
      <c r="W13">
        <v>0</v>
      </c>
      <c r="X13">
        <v>0</v>
      </c>
      <c r="Y13">
        <v>1</v>
      </c>
      <c r="Z13">
        <v>2</v>
      </c>
      <c r="AA13">
        <v>1</v>
      </c>
      <c r="AB13">
        <v>0</v>
      </c>
      <c r="AC13">
        <v>0</v>
      </c>
      <c r="AD13">
        <v>2</v>
      </c>
      <c r="AE13">
        <v>0</v>
      </c>
      <c r="AF13">
        <v>0</v>
      </c>
      <c r="AG13">
        <v>0</v>
      </c>
      <c r="AH13">
        <v>0</v>
      </c>
      <c r="AI13">
        <v>0</v>
      </c>
      <c r="AJ13">
        <v>0</v>
      </c>
      <c r="AK13">
        <v>0</v>
      </c>
      <c r="AL13">
        <v>0</v>
      </c>
      <c r="AM13">
        <v>0</v>
      </c>
      <c r="AN13">
        <v>0</v>
      </c>
      <c r="AO13">
        <v>0</v>
      </c>
      <c r="AP13">
        <v>0</v>
      </c>
    </row>
    <row r="14" spans="1:42" x14ac:dyDescent="0.3">
      <c r="A14">
        <v>1599</v>
      </c>
      <c r="B14" s="1">
        <v>45784.431585648097</v>
      </c>
      <c r="C14" s="1">
        <v>45784.433344907397</v>
      </c>
      <c r="D14" s="4" t="s">
        <v>120</v>
      </c>
      <c r="E14" s="4" t="s">
        <v>121</v>
      </c>
      <c r="F14" s="4" t="s">
        <v>119</v>
      </c>
      <c r="G14" s="4" t="s">
        <v>111</v>
      </c>
      <c r="H14" s="5" t="s">
        <v>25</v>
      </c>
      <c r="I14" s="5" t="s">
        <v>33</v>
      </c>
      <c r="J14" s="5"/>
      <c r="K14" s="4" t="s">
        <v>16</v>
      </c>
      <c r="L14" s="4" t="s">
        <v>24</v>
      </c>
      <c r="M14" s="4"/>
      <c r="N14" s="4" t="s">
        <v>96</v>
      </c>
      <c r="O14" s="2">
        <v>45748</v>
      </c>
      <c r="P14" s="2">
        <v>45777</v>
      </c>
      <c r="Q14" s="4" t="s">
        <v>15</v>
      </c>
      <c r="R14">
        <v>116</v>
      </c>
      <c r="S14">
        <v>112</v>
      </c>
      <c r="T14">
        <v>12</v>
      </c>
      <c r="U14">
        <v>15</v>
      </c>
      <c r="V14">
        <v>51</v>
      </c>
      <c r="W14">
        <v>38</v>
      </c>
      <c r="X14">
        <v>107</v>
      </c>
      <c r="Y14">
        <v>40</v>
      </c>
      <c r="Z14">
        <v>44</v>
      </c>
      <c r="AA14">
        <v>4</v>
      </c>
      <c r="AB14">
        <v>0</v>
      </c>
      <c r="AC14">
        <v>0</v>
      </c>
      <c r="AD14">
        <v>14</v>
      </c>
      <c r="AE14">
        <v>6</v>
      </c>
      <c r="AF14">
        <v>0</v>
      </c>
      <c r="AG14">
        <v>0</v>
      </c>
      <c r="AH14">
        <v>0</v>
      </c>
      <c r="AI14">
        <v>0</v>
      </c>
      <c r="AJ14">
        <v>0</v>
      </c>
      <c r="AK14">
        <v>0</v>
      </c>
      <c r="AL14">
        <v>7</v>
      </c>
      <c r="AM14">
        <v>2</v>
      </c>
      <c r="AN14">
        <v>2</v>
      </c>
      <c r="AO14">
        <v>29</v>
      </c>
      <c r="AP14">
        <v>76</v>
      </c>
    </row>
    <row r="15" spans="1:42" x14ac:dyDescent="0.3">
      <c r="A15">
        <v>1587</v>
      </c>
      <c r="B15" s="1">
        <v>45784.373136574097</v>
      </c>
      <c r="C15" s="1">
        <v>45784.3768865741</v>
      </c>
      <c r="D15" s="4" t="s">
        <v>84</v>
      </c>
      <c r="E15" s="4" t="s">
        <v>85</v>
      </c>
      <c r="F15" s="4" t="s">
        <v>86</v>
      </c>
      <c r="G15" s="4" t="s">
        <v>87</v>
      </c>
      <c r="H15" s="5" t="s">
        <v>25</v>
      </c>
      <c r="I15" s="5" t="s">
        <v>33</v>
      </c>
      <c r="J15" s="5"/>
      <c r="K15" s="4" t="s">
        <v>24</v>
      </c>
      <c r="L15" s="4" t="s">
        <v>18</v>
      </c>
      <c r="M15" s="4"/>
      <c r="N15" s="4" t="s">
        <v>96</v>
      </c>
      <c r="O15" s="2">
        <v>45748</v>
      </c>
      <c r="P15" s="2">
        <v>45777</v>
      </c>
      <c r="Q15" s="4" t="s">
        <v>17</v>
      </c>
      <c r="R15">
        <v>26</v>
      </c>
      <c r="S15">
        <v>0</v>
      </c>
      <c r="T15">
        <v>10</v>
      </c>
      <c r="U15">
        <v>1</v>
      </c>
      <c r="V15">
        <v>0</v>
      </c>
      <c r="W15">
        <v>0</v>
      </c>
      <c r="X15">
        <v>11</v>
      </c>
      <c r="Y15">
        <v>3</v>
      </c>
      <c r="Z15">
        <v>2</v>
      </c>
      <c r="AA15">
        <v>0</v>
      </c>
      <c r="AB15">
        <v>0</v>
      </c>
      <c r="AC15">
        <v>0</v>
      </c>
      <c r="AD15">
        <v>2</v>
      </c>
      <c r="AE15">
        <v>0</v>
      </c>
      <c r="AF15">
        <v>0</v>
      </c>
      <c r="AG15">
        <v>0</v>
      </c>
      <c r="AH15">
        <v>0</v>
      </c>
      <c r="AI15">
        <v>0</v>
      </c>
      <c r="AJ15">
        <v>0</v>
      </c>
      <c r="AK15">
        <v>0</v>
      </c>
      <c r="AL15">
        <v>0</v>
      </c>
      <c r="AM15">
        <v>0</v>
      </c>
      <c r="AN15">
        <v>0</v>
      </c>
      <c r="AO15">
        <v>0</v>
      </c>
      <c r="AP15">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58F01-5136-45F8-84E1-B7187C2FDC7A}">
  <dimension ref="D3:AJ19"/>
  <sheetViews>
    <sheetView zoomScale="81" zoomScaleNormal="81" workbookViewId="0">
      <selection activeCell="U35" sqref="U35"/>
    </sheetView>
  </sheetViews>
  <sheetFormatPr defaultRowHeight="14.4" x14ac:dyDescent="0.3"/>
  <cols>
    <col min="4" max="4" width="14" bestFit="1" customWidth="1"/>
    <col min="5" max="5" width="20.6640625" bestFit="1" customWidth="1"/>
    <col min="6" max="6" width="9.109375" bestFit="1" customWidth="1"/>
    <col min="7" max="7" width="9.88671875" bestFit="1" customWidth="1"/>
    <col min="8" max="8" width="9.6640625" bestFit="1" customWidth="1"/>
    <col min="9" max="9" width="10.44140625" bestFit="1" customWidth="1"/>
    <col min="11" max="11" width="12.5546875" bestFit="1" customWidth="1"/>
    <col min="12" max="12" width="14" bestFit="1" customWidth="1"/>
    <col min="13" max="13" width="8.5546875" bestFit="1" customWidth="1"/>
    <col min="14" max="14" width="9.88671875" bestFit="1" customWidth="1"/>
    <col min="15" max="15" width="8" bestFit="1" customWidth="1"/>
    <col min="16" max="16" width="13.88671875" bestFit="1" customWidth="1"/>
    <col min="20" max="20" width="12.5546875" bestFit="1" customWidth="1"/>
    <col min="21" max="21" width="27.109375" bestFit="1" customWidth="1"/>
    <col min="22" max="22" width="16" bestFit="1" customWidth="1"/>
    <col min="23" max="23" width="16.5546875" bestFit="1" customWidth="1"/>
    <col min="24" max="24" width="16.33203125" bestFit="1" customWidth="1"/>
    <col min="26" max="26" width="14" bestFit="1" customWidth="1"/>
    <col min="27" max="27" width="28" bestFit="1" customWidth="1"/>
    <col min="28" max="28" width="16.44140625" bestFit="1" customWidth="1"/>
    <col min="29" max="29" width="17.109375" bestFit="1" customWidth="1"/>
    <col min="30" max="30" width="17" bestFit="1" customWidth="1"/>
    <col min="32" max="32" width="14" bestFit="1" customWidth="1"/>
    <col min="33" max="33" width="28" bestFit="1" customWidth="1"/>
    <col min="34" max="34" width="16.44140625" bestFit="1" customWidth="1"/>
    <col min="35" max="35" width="17.109375" bestFit="1" customWidth="1"/>
    <col min="36" max="36" width="17" bestFit="1" customWidth="1"/>
  </cols>
  <sheetData>
    <row r="3" spans="4:36" x14ac:dyDescent="0.3">
      <c r="D3" s="11" t="s">
        <v>0</v>
      </c>
      <c r="E3" t="s">
        <v>122</v>
      </c>
      <c r="F3" t="s">
        <v>123</v>
      </c>
      <c r="G3" t="s">
        <v>124</v>
      </c>
      <c r="H3" t="s">
        <v>125</v>
      </c>
      <c r="I3" t="s">
        <v>126</v>
      </c>
      <c r="L3" s="11" t="s">
        <v>0</v>
      </c>
      <c r="M3" t="s">
        <v>127</v>
      </c>
      <c r="N3" t="s">
        <v>128</v>
      </c>
      <c r="O3" t="s">
        <v>129</v>
      </c>
      <c r="Z3" s="11" t="s">
        <v>0</v>
      </c>
      <c r="AA3" t="s">
        <v>9</v>
      </c>
      <c r="AB3" t="s">
        <v>10</v>
      </c>
      <c r="AC3" t="s">
        <v>11</v>
      </c>
      <c r="AD3" t="s">
        <v>12</v>
      </c>
      <c r="AF3" s="11" t="s">
        <v>0</v>
      </c>
      <c r="AG3" t="s">
        <v>9</v>
      </c>
      <c r="AH3" t="s">
        <v>10</v>
      </c>
      <c r="AI3" t="s">
        <v>11</v>
      </c>
      <c r="AJ3" t="s">
        <v>12</v>
      </c>
    </row>
    <row r="4" spans="4:36" x14ac:dyDescent="0.3">
      <c r="D4" s="12" t="s">
        <v>29</v>
      </c>
      <c r="E4">
        <v>4598</v>
      </c>
      <c r="F4">
        <v>3876</v>
      </c>
      <c r="G4">
        <v>1437</v>
      </c>
      <c r="H4">
        <v>801</v>
      </c>
      <c r="I4" s="13">
        <v>0.84297520661157022</v>
      </c>
      <c r="L4" s="12" t="s">
        <v>29</v>
      </c>
      <c r="M4" s="13">
        <v>3.1315240083507306E-2</v>
      </c>
      <c r="N4" s="13">
        <v>0.33694530443756449</v>
      </c>
      <c r="O4" s="13">
        <v>0.1560549313358302</v>
      </c>
      <c r="Z4" s="12" t="s">
        <v>14</v>
      </c>
      <c r="AA4">
        <v>6064</v>
      </c>
      <c r="AB4">
        <v>5412</v>
      </c>
      <c r="AC4">
        <v>2675</v>
      </c>
      <c r="AD4">
        <v>2434</v>
      </c>
      <c r="AF4" s="12" t="s">
        <v>14</v>
      </c>
      <c r="AG4">
        <v>6064</v>
      </c>
      <c r="AH4">
        <v>5412</v>
      </c>
      <c r="AI4">
        <v>2675</v>
      </c>
      <c r="AJ4">
        <v>2434</v>
      </c>
    </row>
    <row r="5" spans="4:36" x14ac:dyDescent="0.3">
      <c r="D5" s="14" t="s">
        <v>31</v>
      </c>
      <c r="E5">
        <v>1644</v>
      </c>
      <c r="F5">
        <v>1396</v>
      </c>
      <c r="G5">
        <v>487</v>
      </c>
      <c r="H5">
        <v>493</v>
      </c>
      <c r="I5" s="13">
        <v>0.84914841849148415</v>
      </c>
      <c r="L5" s="14" t="s">
        <v>31</v>
      </c>
      <c r="M5" s="13">
        <v>4.1067761806981518E-2</v>
      </c>
      <c r="N5" s="13">
        <v>0.33595988538681948</v>
      </c>
      <c r="O5" s="13">
        <v>0.16835699797160245</v>
      </c>
      <c r="Z5" s="14" t="s">
        <v>16</v>
      </c>
      <c r="AA5">
        <v>323</v>
      </c>
      <c r="AB5">
        <v>323</v>
      </c>
      <c r="AC5">
        <v>150</v>
      </c>
      <c r="AD5">
        <v>165</v>
      </c>
      <c r="AF5" s="14" t="s">
        <v>16</v>
      </c>
      <c r="AG5">
        <v>323</v>
      </c>
      <c r="AH5">
        <v>323</v>
      </c>
      <c r="AI5">
        <v>150</v>
      </c>
      <c r="AJ5">
        <v>165</v>
      </c>
    </row>
    <row r="6" spans="4:36" x14ac:dyDescent="0.3">
      <c r="D6" s="14" t="s">
        <v>32</v>
      </c>
      <c r="E6">
        <v>1498</v>
      </c>
      <c r="F6">
        <v>1287</v>
      </c>
      <c r="G6">
        <v>512</v>
      </c>
      <c r="H6">
        <v>152</v>
      </c>
      <c r="I6" s="13">
        <v>0.85914552736982641</v>
      </c>
      <c r="L6" s="14" t="s">
        <v>32</v>
      </c>
      <c r="M6" s="13">
        <v>2.34375E-2</v>
      </c>
      <c r="N6" s="13">
        <v>0.35586635586635584</v>
      </c>
      <c r="O6" s="13">
        <v>0.13815789473684212</v>
      </c>
      <c r="Z6" s="14" t="s">
        <v>18</v>
      </c>
      <c r="AA6">
        <v>899</v>
      </c>
      <c r="AB6">
        <v>768</v>
      </c>
      <c r="AC6">
        <v>396</v>
      </c>
      <c r="AD6">
        <v>455</v>
      </c>
      <c r="AF6" s="14" t="s">
        <v>18</v>
      </c>
      <c r="AG6">
        <v>899</v>
      </c>
      <c r="AH6">
        <v>768</v>
      </c>
      <c r="AI6">
        <v>396</v>
      </c>
      <c r="AJ6">
        <v>455</v>
      </c>
    </row>
    <row r="7" spans="4:36" x14ac:dyDescent="0.3">
      <c r="D7" s="14" t="s">
        <v>28</v>
      </c>
      <c r="E7">
        <v>1456</v>
      </c>
      <c r="F7">
        <v>1193</v>
      </c>
      <c r="G7">
        <v>438</v>
      </c>
      <c r="H7">
        <v>156</v>
      </c>
      <c r="I7" s="13">
        <v>0.81936813186813184</v>
      </c>
      <c r="L7" s="14" t="s">
        <v>28</v>
      </c>
      <c r="M7" s="13">
        <v>2.9680365296803651E-2</v>
      </c>
      <c r="N7" s="13">
        <v>0.31768650461022629</v>
      </c>
      <c r="O7" s="13">
        <v>0.13461538461538461</v>
      </c>
      <c r="Z7" s="14" t="s">
        <v>20</v>
      </c>
      <c r="AA7">
        <v>4842</v>
      </c>
      <c r="AB7">
        <v>4321</v>
      </c>
      <c r="AC7">
        <v>2129</v>
      </c>
      <c r="AD7">
        <v>1814</v>
      </c>
      <c r="AF7" s="14" t="s">
        <v>20</v>
      </c>
      <c r="AG7">
        <v>4842</v>
      </c>
      <c r="AH7">
        <v>4321</v>
      </c>
      <c r="AI7">
        <v>2129</v>
      </c>
      <c r="AJ7">
        <v>1814</v>
      </c>
    </row>
    <row r="8" spans="4:36" x14ac:dyDescent="0.3">
      <c r="D8" s="12" t="s">
        <v>33</v>
      </c>
      <c r="E8">
        <v>2496</v>
      </c>
      <c r="F8">
        <v>2006</v>
      </c>
      <c r="G8">
        <v>679</v>
      </c>
      <c r="H8">
        <v>679</v>
      </c>
      <c r="I8" s="13">
        <v>0.80368589743589747</v>
      </c>
      <c r="L8" s="12" t="s">
        <v>33</v>
      </c>
      <c r="M8" s="13">
        <v>6.9219440353460976E-2</v>
      </c>
      <c r="N8" s="13">
        <v>0.34546360917248253</v>
      </c>
      <c r="O8" s="13">
        <v>0.11782032400589101</v>
      </c>
      <c r="Z8" s="12" t="s">
        <v>22</v>
      </c>
      <c r="AA8">
        <v>32019</v>
      </c>
      <c r="AB8">
        <v>26071</v>
      </c>
      <c r="AC8">
        <v>10393</v>
      </c>
      <c r="AD8">
        <v>6836</v>
      </c>
      <c r="AF8" s="12" t="s">
        <v>22</v>
      </c>
      <c r="AG8">
        <v>32019</v>
      </c>
      <c r="AH8">
        <v>26071</v>
      </c>
      <c r="AI8">
        <v>10393</v>
      </c>
      <c r="AJ8">
        <v>6836</v>
      </c>
    </row>
    <row r="9" spans="4:36" x14ac:dyDescent="0.3">
      <c r="D9" s="14" t="s">
        <v>30</v>
      </c>
      <c r="E9">
        <v>1396</v>
      </c>
      <c r="F9">
        <v>1154</v>
      </c>
      <c r="G9">
        <v>424</v>
      </c>
      <c r="H9">
        <v>395</v>
      </c>
      <c r="I9" s="13">
        <v>0.82664756446991405</v>
      </c>
      <c r="L9" s="14" t="s">
        <v>30</v>
      </c>
      <c r="M9" s="13">
        <v>4.0094339622641507E-2</v>
      </c>
      <c r="N9" s="13">
        <v>0.34055459272097055</v>
      </c>
      <c r="O9" s="13">
        <v>0.11645569620253164</v>
      </c>
      <c r="Z9" s="14" t="s">
        <v>16</v>
      </c>
      <c r="AA9">
        <v>8604</v>
      </c>
      <c r="AB9">
        <v>6921</v>
      </c>
      <c r="AC9">
        <v>3117</v>
      </c>
      <c r="AD9">
        <v>2915</v>
      </c>
      <c r="AF9" s="14" t="s">
        <v>16</v>
      </c>
      <c r="AG9">
        <v>8604</v>
      </c>
      <c r="AH9">
        <v>6921</v>
      </c>
      <c r="AI9">
        <v>3117</v>
      </c>
      <c r="AJ9">
        <v>2915</v>
      </c>
    </row>
    <row r="10" spans="4:36" x14ac:dyDescent="0.3">
      <c r="D10" s="14" t="s">
        <v>31</v>
      </c>
      <c r="E10">
        <v>1100</v>
      </c>
      <c r="F10">
        <v>852</v>
      </c>
      <c r="G10">
        <v>255</v>
      </c>
      <c r="H10">
        <v>284</v>
      </c>
      <c r="I10" s="13">
        <v>0.77454545454545454</v>
      </c>
      <c r="L10" s="14" t="s">
        <v>31</v>
      </c>
      <c r="M10" s="13">
        <v>0.11764705882352941</v>
      </c>
      <c r="N10" s="13">
        <v>0.352112676056338</v>
      </c>
      <c r="O10" s="13">
        <v>0.11971830985915492</v>
      </c>
      <c r="Z10" s="14" t="s">
        <v>24</v>
      </c>
      <c r="AA10">
        <v>7816</v>
      </c>
      <c r="AB10">
        <v>6063</v>
      </c>
      <c r="AC10">
        <v>2298</v>
      </c>
      <c r="AD10">
        <v>640</v>
      </c>
      <c r="AF10" s="14" t="s">
        <v>24</v>
      </c>
      <c r="AG10">
        <v>7816</v>
      </c>
      <c r="AH10">
        <v>6063</v>
      </c>
      <c r="AI10">
        <v>2298</v>
      </c>
      <c r="AJ10">
        <v>640</v>
      </c>
    </row>
    <row r="11" spans="4:36" x14ac:dyDescent="0.3">
      <c r="D11" s="12" t="s">
        <v>26</v>
      </c>
      <c r="E11">
        <v>1155</v>
      </c>
      <c r="F11">
        <v>1057</v>
      </c>
      <c r="G11">
        <v>337</v>
      </c>
      <c r="H11">
        <v>335</v>
      </c>
      <c r="I11" s="13">
        <v>0.91515151515151516</v>
      </c>
      <c r="L11" s="12" t="s">
        <v>26</v>
      </c>
      <c r="M11" s="13">
        <v>5.0445103857566766E-2</v>
      </c>
      <c r="N11" s="13">
        <v>0.32923368022705773</v>
      </c>
      <c r="O11" s="13">
        <v>0.15820895522388059</v>
      </c>
      <c r="Z11" s="14" t="s">
        <v>18</v>
      </c>
      <c r="AA11">
        <v>7849</v>
      </c>
      <c r="AB11">
        <v>6478</v>
      </c>
      <c r="AC11">
        <v>2503</v>
      </c>
      <c r="AD11">
        <v>892</v>
      </c>
      <c r="AF11" s="14" t="s">
        <v>18</v>
      </c>
      <c r="AG11">
        <v>7849</v>
      </c>
      <c r="AH11">
        <v>6478</v>
      </c>
      <c r="AI11">
        <v>2503</v>
      </c>
      <c r="AJ11">
        <v>892</v>
      </c>
    </row>
    <row r="12" spans="4:36" x14ac:dyDescent="0.3">
      <c r="D12" s="14" t="s">
        <v>26</v>
      </c>
      <c r="E12">
        <v>1155</v>
      </c>
      <c r="F12">
        <v>1057</v>
      </c>
      <c r="G12">
        <v>337</v>
      </c>
      <c r="H12">
        <v>335</v>
      </c>
      <c r="I12" s="13">
        <v>0.91515151515151516</v>
      </c>
      <c r="L12" s="14" t="s">
        <v>26</v>
      </c>
      <c r="M12" s="13">
        <v>5.0445103857566766E-2</v>
      </c>
      <c r="N12" s="13">
        <v>0.32923368022705773</v>
      </c>
      <c r="O12" s="13">
        <v>0.15820895522388059</v>
      </c>
      <c r="Z12" s="14" t="s">
        <v>20</v>
      </c>
      <c r="AA12">
        <v>7750</v>
      </c>
      <c r="AB12">
        <v>6609</v>
      </c>
      <c r="AC12">
        <v>2475</v>
      </c>
      <c r="AD12">
        <v>2389</v>
      </c>
      <c r="AF12" s="14" t="s">
        <v>20</v>
      </c>
      <c r="AG12">
        <v>7750</v>
      </c>
      <c r="AH12">
        <v>6609</v>
      </c>
      <c r="AI12">
        <v>2475</v>
      </c>
      <c r="AJ12">
        <v>2389</v>
      </c>
    </row>
    <row r="13" spans="4:36" x14ac:dyDescent="0.3">
      <c r="D13" s="12" t="s">
        <v>23</v>
      </c>
      <c r="E13">
        <v>8249</v>
      </c>
      <c r="F13">
        <v>6939</v>
      </c>
      <c r="G13">
        <v>2453</v>
      </c>
      <c r="H13">
        <v>1815</v>
      </c>
      <c r="I13" s="13">
        <v>0.8411928718632562</v>
      </c>
      <c r="L13" s="12" t="s">
        <v>23</v>
      </c>
      <c r="M13" s="13">
        <v>4.4435385242560133E-2</v>
      </c>
      <c r="N13" s="13">
        <v>0.3382331748090503</v>
      </c>
      <c r="O13" s="13">
        <v>0.14214876033057852</v>
      </c>
      <c r="Z13" s="12" t="s">
        <v>25</v>
      </c>
      <c r="AA13">
        <v>10831</v>
      </c>
      <c r="AB13">
        <v>8973</v>
      </c>
      <c r="AC13">
        <v>3152</v>
      </c>
      <c r="AD13">
        <v>3302</v>
      </c>
      <c r="AF13" s="12" t="s">
        <v>25</v>
      </c>
      <c r="AG13">
        <v>10831</v>
      </c>
      <c r="AH13">
        <v>8973</v>
      </c>
      <c r="AI13">
        <v>3152</v>
      </c>
      <c r="AJ13">
        <v>3302</v>
      </c>
    </row>
    <row r="14" spans="4:36" x14ac:dyDescent="0.3">
      <c r="Z14" s="14" t="s">
        <v>16</v>
      </c>
      <c r="AA14">
        <v>5641</v>
      </c>
      <c r="AB14">
        <v>4666</v>
      </c>
      <c r="AC14">
        <v>1706</v>
      </c>
      <c r="AD14">
        <v>1778</v>
      </c>
      <c r="AF14" s="14" t="s">
        <v>16</v>
      </c>
      <c r="AG14">
        <v>5641</v>
      </c>
      <c r="AH14">
        <v>4666</v>
      </c>
      <c r="AI14">
        <v>1706</v>
      </c>
      <c r="AJ14">
        <v>1778</v>
      </c>
    </row>
    <row r="15" spans="4:36" x14ac:dyDescent="0.3">
      <c r="Z15" s="14" t="s">
        <v>24</v>
      </c>
      <c r="AA15">
        <v>3774</v>
      </c>
      <c r="AB15">
        <v>3170</v>
      </c>
      <c r="AC15">
        <v>1076</v>
      </c>
      <c r="AD15">
        <v>1065</v>
      </c>
      <c r="AF15" s="14" t="s">
        <v>24</v>
      </c>
      <c r="AG15">
        <v>3774</v>
      </c>
      <c r="AH15">
        <v>3170</v>
      </c>
      <c r="AI15">
        <v>1076</v>
      </c>
      <c r="AJ15">
        <v>1065</v>
      </c>
    </row>
    <row r="16" spans="4:36" x14ac:dyDescent="0.3">
      <c r="Z16" s="14" t="s">
        <v>18</v>
      </c>
      <c r="AA16">
        <v>1416</v>
      </c>
      <c r="AB16">
        <v>1137</v>
      </c>
      <c r="AC16">
        <v>370</v>
      </c>
      <c r="AD16">
        <v>459</v>
      </c>
      <c r="AF16" s="14" t="s">
        <v>18</v>
      </c>
      <c r="AG16">
        <v>1416</v>
      </c>
      <c r="AH16">
        <v>1137</v>
      </c>
      <c r="AI16">
        <v>370</v>
      </c>
      <c r="AJ16">
        <v>459</v>
      </c>
    </row>
    <row r="17" spans="26:36" x14ac:dyDescent="0.3">
      <c r="Z17" s="12" t="s">
        <v>26</v>
      </c>
      <c r="AA17">
        <v>0</v>
      </c>
      <c r="AF17" s="12" t="s">
        <v>26</v>
      </c>
      <c r="AG17">
        <v>0</v>
      </c>
    </row>
    <row r="18" spans="26:36" x14ac:dyDescent="0.3">
      <c r="Z18" s="14" t="s">
        <v>26</v>
      </c>
      <c r="AA18">
        <v>0</v>
      </c>
      <c r="AF18" s="14" t="s">
        <v>26</v>
      </c>
      <c r="AG18">
        <v>0</v>
      </c>
    </row>
    <row r="19" spans="26:36" x14ac:dyDescent="0.3">
      <c r="Z19" s="12" t="s">
        <v>23</v>
      </c>
      <c r="AA19">
        <v>48914</v>
      </c>
      <c r="AB19">
        <v>40456</v>
      </c>
      <c r="AC19">
        <v>16220</v>
      </c>
      <c r="AD19">
        <v>12572</v>
      </c>
      <c r="AF19" s="12" t="s">
        <v>23</v>
      </c>
      <c r="AG19">
        <v>48914</v>
      </c>
      <c r="AH19">
        <v>40456</v>
      </c>
      <c r="AI19">
        <v>16220</v>
      </c>
      <c r="AJ19">
        <v>12572</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7AA31-FCC6-4CBE-BF07-9610F7982814}">
  <dimension ref="D3:AJ19"/>
  <sheetViews>
    <sheetView zoomScale="70" zoomScaleNormal="70" workbookViewId="0">
      <selection activeCell="K34" sqref="K34"/>
    </sheetView>
  </sheetViews>
  <sheetFormatPr defaultRowHeight="14.4" x14ac:dyDescent="0.3"/>
  <cols>
    <col min="4" max="4" width="14" bestFit="1" customWidth="1"/>
    <col min="5" max="5" width="20" bestFit="1" customWidth="1"/>
    <col min="6" max="6" width="10" bestFit="1" customWidth="1"/>
    <col min="7" max="7" width="9.88671875" bestFit="1" customWidth="1"/>
    <col min="8" max="8" width="10.33203125" bestFit="1" customWidth="1"/>
    <col min="9" max="9" width="9.6640625" bestFit="1" customWidth="1"/>
    <col min="11" max="11" width="14" bestFit="1" customWidth="1"/>
    <col min="12" max="12" width="10.6640625" bestFit="1" customWidth="1"/>
    <col min="13" max="13" width="12.33203125" bestFit="1" customWidth="1"/>
    <col min="14" max="17" width="14.33203125" bestFit="1" customWidth="1"/>
    <col min="20" max="20" width="12.5546875" bestFit="1" customWidth="1"/>
    <col min="21" max="21" width="27.109375" bestFit="1" customWidth="1"/>
    <col min="22" max="22" width="16" bestFit="1" customWidth="1"/>
    <col min="23" max="23" width="16.5546875" bestFit="1" customWidth="1"/>
    <col min="24" max="24" width="16.33203125" bestFit="1" customWidth="1"/>
    <col min="26" max="26" width="14" bestFit="1" customWidth="1"/>
    <col min="27" max="27" width="28" bestFit="1" customWidth="1"/>
    <col min="28" max="28" width="16.44140625" bestFit="1" customWidth="1"/>
    <col min="29" max="29" width="17.109375" bestFit="1" customWidth="1"/>
    <col min="30" max="30" width="17" bestFit="1" customWidth="1"/>
    <col min="32" max="32" width="14" bestFit="1" customWidth="1"/>
    <col min="33" max="33" width="28" bestFit="1" customWidth="1"/>
    <col min="34" max="34" width="16.44140625" bestFit="1" customWidth="1"/>
    <col min="35" max="35" width="17.109375" bestFit="1" customWidth="1"/>
    <col min="36" max="36" width="17" bestFit="1" customWidth="1"/>
  </cols>
  <sheetData>
    <row r="3" spans="4:36" x14ac:dyDescent="0.3">
      <c r="D3" s="11" t="s">
        <v>0</v>
      </c>
      <c r="E3" t="s">
        <v>1</v>
      </c>
      <c r="F3" t="s">
        <v>3</v>
      </c>
      <c r="G3" t="s">
        <v>4</v>
      </c>
      <c r="H3" t="s">
        <v>130</v>
      </c>
      <c r="K3" s="11" t="s">
        <v>0</v>
      </c>
      <c r="L3" t="s">
        <v>7</v>
      </c>
      <c r="M3" t="s">
        <v>131</v>
      </c>
      <c r="Z3" s="11" t="s">
        <v>0</v>
      </c>
      <c r="AA3" t="s">
        <v>9</v>
      </c>
      <c r="AB3" t="s">
        <v>10</v>
      </c>
      <c r="AC3" t="s">
        <v>11</v>
      </c>
      <c r="AD3" t="s">
        <v>12</v>
      </c>
      <c r="AF3" s="11" t="s">
        <v>0</v>
      </c>
      <c r="AG3" t="s">
        <v>9</v>
      </c>
      <c r="AH3" t="s">
        <v>10</v>
      </c>
      <c r="AI3" t="s">
        <v>11</v>
      </c>
      <c r="AJ3" t="s">
        <v>12</v>
      </c>
    </row>
    <row r="4" spans="4:36" x14ac:dyDescent="0.3">
      <c r="D4" s="12" t="s">
        <v>27</v>
      </c>
      <c r="E4">
        <v>9</v>
      </c>
      <c r="F4">
        <v>9</v>
      </c>
      <c r="G4">
        <v>6</v>
      </c>
      <c r="H4" s="13">
        <v>0.66666666666666663</v>
      </c>
      <c r="K4" s="12" t="s">
        <v>27</v>
      </c>
      <c r="L4" s="13">
        <v>0</v>
      </c>
      <c r="M4" s="13">
        <v>0</v>
      </c>
      <c r="Z4" s="12" t="s">
        <v>14</v>
      </c>
      <c r="AA4">
        <v>6064</v>
      </c>
      <c r="AB4">
        <v>5412</v>
      </c>
      <c r="AC4">
        <v>2675</v>
      </c>
      <c r="AD4">
        <v>2434</v>
      </c>
      <c r="AF4" s="12" t="s">
        <v>14</v>
      </c>
      <c r="AG4">
        <v>6064</v>
      </c>
      <c r="AH4">
        <v>5412</v>
      </c>
      <c r="AI4">
        <v>2675</v>
      </c>
      <c r="AJ4">
        <v>2434</v>
      </c>
    </row>
    <row r="5" spans="4:36" x14ac:dyDescent="0.3">
      <c r="D5" s="14" t="s">
        <v>28</v>
      </c>
      <c r="E5">
        <v>9</v>
      </c>
      <c r="F5">
        <v>9</v>
      </c>
      <c r="G5">
        <v>6</v>
      </c>
      <c r="H5" s="13">
        <v>0.66666666666666663</v>
      </c>
      <c r="K5" s="14" t="s">
        <v>28</v>
      </c>
      <c r="L5" s="13">
        <v>0</v>
      </c>
      <c r="M5" s="13">
        <v>0</v>
      </c>
      <c r="Z5" s="14" t="s">
        <v>16</v>
      </c>
      <c r="AA5">
        <v>323</v>
      </c>
      <c r="AB5">
        <v>323</v>
      </c>
      <c r="AC5">
        <v>150</v>
      </c>
      <c r="AD5">
        <v>165</v>
      </c>
      <c r="AF5" s="14" t="s">
        <v>16</v>
      </c>
      <c r="AG5">
        <v>323</v>
      </c>
      <c r="AH5">
        <v>323</v>
      </c>
      <c r="AI5">
        <v>150</v>
      </c>
      <c r="AJ5">
        <v>165</v>
      </c>
    </row>
    <row r="6" spans="4:36" x14ac:dyDescent="0.3">
      <c r="D6" s="12" t="s">
        <v>29</v>
      </c>
      <c r="E6">
        <v>226</v>
      </c>
      <c r="F6">
        <v>141</v>
      </c>
      <c r="G6">
        <v>84</v>
      </c>
      <c r="H6" s="13">
        <v>0.37168141592920356</v>
      </c>
      <c r="K6" s="12" t="s">
        <v>29</v>
      </c>
      <c r="L6" s="13">
        <v>0.13095238095238096</v>
      </c>
      <c r="M6" s="13">
        <v>7.0921985815602835E-3</v>
      </c>
      <c r="Z6" s="14" t="s">
        <v>18</v>
      </c>
      <c r="AA6">
        <v>899</v>
      </c>
      <c r="AB6">
        <v>768</v>
      </c>
      <c r="AC6">
        <v>396</v>
      </c>
      <c r="AD6">
        <v>455</v>
      </c>
      <c r="AF6" s="14" t="s">
        <v>18</v>
      </c>
      <c r="AG6">
        <v>899</v>
      </c>
      <c r="AH6">
        <v>768</v>
      </c>
      <c r="AI6">
        <v>396</v>
      </c>
      <c r="AJ6">
        <v>455</v>
      </c>
    </row>
    <row r="7" spans="4:36" x14ac:dyDescent="0.3">
      <c r="D7" s="14" t="s">
        <v>30</v>
      </c>
      <c r="E7">
        <v>24</v>
      </c>
      <c r="F7">
        <v>17</v>
      </c>
      <c r="G7">
        <v>19</v>
      </c>
      <c r="H7" s="13">
        <v>0.79166666666666663</v>
      </c>
      <c r="K7" s="14" t="s">
        <v>30</v>
      </c>
      <c r="L7" s="13">
        <v>0.21052631578947367</v>
      </c>
      <c r="M7" s="13">
        <v>0</v>
      </c>
      <c r="Z7" s="14" t="s">
        <v>20</v>
      </c>
      <c r="AA7">
        <v>4842</v>
      </c>
      <c r="AB7">
        <v>4321</v>
      </c>
      <c r="AC7">
        <v>2129</v>
      </c>
      <c r="AD7">
        <v>1814</v>
      </c>
      <c r="AF7" s="14" t="s">
        <v>20</v>
      </c>
      <c r="AG7">
        <v>4842</v>
      </c>
      <c r="AH7">
        <v>4321</v>
      </c>
      <c r="AI7">
        <v>2129</v>
      </c>
      <c r="AJ7">
        <v>1814</v>
      </c>
    </row>
    <row r="8" spans="4:36" x14ac:dyDescent="0.3">
      <c r="D8" s="14" t="s">
        <v>31</v>
      </c>
      <c r="E8">
        <v>65</v>
      </c>
      <c r="F8">
        <v>50</v>
      </c>
      <c r="G8">
        <v>49</v>
      </c>
      <c r="H8" s="13">
        <v>0.75384615384615383</v>
      </c>
      <c r="K8" s="14" t="s">
        <v>31</v>
      </c>
      <c r="L8" s="13">
        <v>0.12244897959183673</v>
      </c>
      <c r="M8" s="13">
        <v>0.02</v>
      </c>
      <c r="Z8" s="12" t="s">
        <v>22</v>
      </c>
      <c r="AA8">
        <v>32019</v>
      </c>
      <c r="AB8">
        <v>26071</v>
      </c>
      <c r="AC8">
        <v>10393</v>
      </c>
      <c r="AD8">
        <v>6836</v>
      </c>
      <c r="AF8" s="12" t="s">
        <v>22</v>
      </c>
      <c r="AG8">
        <v>32019</v>
      </c>
      <c r="AH8">
        <v>26071</v>
      </c>
      <c r="AI8">
        <v>10393</v>
      </c>
      <c r="AJ8">
        <v>6836</v>
      </c>
    </row>
    <row r="9" spans="4:36" x14ac:dyDescent="0.3">
      <c r="D9" s="14" t="s">
        <v>32</v>
      </c>
      <c r="E9">
        <v>73</v>
      </c>
      <c r="F9">
        <v>26</v>
      </c>
      <c r="G9">
        <v>11</v>
      </c>
      <c r="H9" s="13">
        <v>0.15068493150684931</v>
      </c>
      <c r="K9" s="14" t="s">
        <v>32</v>
      </c>
      <c r="L9" s="13">
        <v>9.0909090909090912E-2</v>
      </c>
      <c r="M9" s="13">
        <v>0</v>
      </c>
      <c r="Z9" s="14" t="s">
        <v>16</v>
      </c>
      <c r="AA9">
        <v>8604</v>
      </c>
      <c r="AB9">
        <v>6921</v>
      </c>
      <c r="AC9">
        <v>3117</v>
      </c>
      <c r="AD9">
        <v>2915</v>
      </c>
      <c r="AF9" s="14" t="s">
        <v>16</v>
      </c>
      <c r="AG9">
        <v>8604</v>
      </c>
      <c r="AH9">
        <v>6921</v>
      </c>
      <c r="AI9">
        <v>3117</v>
      </c>
      <c r="AJ9">
        <v>2915</v>
      </c>
    </row>
    <row r="10" spans="4:36" x14ac:dyDescent="0.3">
      <c r="D10" s="14" t="s">
        <v>28</v>
      </c>
      <c r="E10">
        <v>64</v>
      </c>
      <c r="F10">
        <v>48</v>
      </c>
      <c r="G10">
        <v>5</v>
      </c>
      <c r="H10" s="13">
        <v>7.8125E-2</v>
      </c>
      <c r="K10" s="14" t="s">
        <v>28</v>
      </c>
      <c r="L10" s="13">
        <v>0</v>
      </c>
      <c r="M10" s="13">
        <v>0</v>
      </c>
      <c r="Z10" s="14" t="s">
        <v>24</v>
      </c>
      <c r="AA10">
        <v>7816</v>
      </c>
      <c r="AB10">
        <v>6063</v>
      </c>
      <c r="AC10">
        <v>2298</v>
      </c>
      <c r="AD10">
        <v>640</v>
      </c>
      <c r="AF10" s="14" t="s">
        <v>24</v>
      </c>
      <c r="AG10">
        <v>7816</v>
      </c>
      <c r="AH10">
        <v>6063</v>
      </c>
      <c r="AI10">
        <v>2298</v>
      </c>
      <c r="AJ10">
        <v>640</v>
      </c>
    </row>
    <row r="11" spans="4:36" x14ac:dyDescent="0.3">
      <c r="D11" s="12" t="s">
        <v>33</v>
      </c>
      <c r="E11">
        <v>90</v>
      </c>
      <c r="F11">
        <v>52</v>
      </c>
      <c r="G11">
        <v>46</v>
      </c>
      <c r="H11" s="13">
        <v>0.51111111111111107</v>
      </c>
      <c r="K11" s="12" t="s">
        <v>33</v>
      </c>
      <c r="L11" s="13">
        <v>0.17391304347826086</v>
      </c>
      <c r="M11" s="13">
        <v>0</v>
      </c>
      <c r="Z11" s="14" t="s">
        <v>18</v>
      </c>
      <c r="AA11">
        <v>7849</v>
      </c>
      <c r="AB11">
        <v>6478</v>
      </c>
      <c r="AC11">
        <v>2503</v>
      </c>
      <c r="AD11">
        <v>892</v>
      </c>
      <c r="AF11" s="14" t="s">
        <v>18</v>
      </c>
      <c r="AG11">
        <v>7849</v>
      </c>
      <c r="AH11">
        <v>6478</v>
      </c>
      <c r="AI11">
        <v>2503</v>
      </c>
      <c r="AJ11">
        <v>892</v>
      </c>
    </row>
    <row r="12" spans="4:36" x14ac:dyDescent="0.3">
      <c r="D12" s="14" t="s">
        <v>30</v>
      </c>
      <c r="E12">
        <v>54</v>
      </c>
      <c r="F12">
        <v>31</v>
      </c>
      <c r="G12">
        <v>26</v>
      </c>
      <c r="H12" s="13">
        <v>0.48148148148148145</v>
      </c>
      <c r="K12" s="14" t="s">
        <v>30</v>
      </c>
      <c r="L12" s="13">
        <v>0.19230769230769232</v>
      </c>
      <c r="M12" s="13">
        <v>0</v>
      </c>
      <c r="Z12" s="14" t="s">
        <v>20</v>
      </c>
      <c r="AA12">
        <v>7750</v>
      </c>
      <c r="AB12">
        <v>6609</v>
      </c>
      <c r="AC12">
        <v>2475</v>
      </c>
      <c r="AD12">
        <v>2389</v>
      </c>
      <c r="AF12" s="14" t="s">
        <v>20</v>
      </c>
      <c r="AG12">
        <v>7750</v>
      </c>
      <c r="AH12">
        <v>6609</v>
      </c>
      <c r="AI12">
        <v>2475</v>
      </c>
      <c r="AJ12">
        <v>2389</v>
      </c>
    </row>
    <row r="13" spans="4:36" x14ac:dyDescent="0.3">
      <c r="D13" s="14" t="s">
        <v>31</v>
      </c>
      <c r="E13">
        <v>36</v>
      </c>
      <c r="F13">
        <v>21</v>
      </c>
      <c r="G13">
        <v>20</v>
      </c>
      <c r="H13" s="13">
        <v>0.55555555555555558</v>
      </c>
      <c r="K13" s="14" t="s">
        <v>31</v>
      </c>
      <c r="L13" s="13">
        <v>0.15</v>
      </c>
      <c r="M13" s="13">
        <v>0</v>
      </c>
      <c r="Z13" s="12" t="s">
        <v>25</v>
      </c>
      <c r="AA13">
        <v>10831</v>
      </c>
      <c r="AB13">
        <v>8973</v>
      </c>
      <c r="AC13">
        <v>3152</v>
      </c>
      <c r="AD13">
        <v>3302</v>
      </c>
      <c r="AF13" s="12" t="s">
        <v>25</v>
      </c>
      <c r="AG13">
        <v>10831</v>
      </c>
      <c r="AH13">
        <v>8973</v>
      </c>
      <c r="AI13">
        <v>3152</v>
      </c>
      <c r="AJ13">
        <v>3302</v>
      </c>
    </row>
    <row r="14" spans="4:36" x14ac:dyDescent="0.3">
      <c r="D14" s="12" t="s">
        <v>26</v>
      </c>
      <c r="E14">
        <v>40</v>
      </c>
      <c r="F14">
        <v>27</v>
      </c>
      <c r="G14">
        <v>24</v>
      </c>
      <c r="H14" s="13">
        <v>0.6</v>
      </c>
      <c r="K14" s="12" t="s">
        <v>26</v>
      </c>
      <c r="L14" s="13">
        <v>8.3333333333333329E-2</v>
      </c>
      <c r="M14" s="13">
        <v>3.7037037037037035E-2</v>
      </c>
      <c r="Z14" s="14" t="s">
        <v>16</v>
      </c>
      <c r="AA14">
        <v>5641</v>
      </c>
      <c r="AB14">
        <v>4666</v>
      </c>
      <c r="AC14">
        <v>1706</v>
      </c>
      <c r="AD14">
        <v>1778</v>
      </c>
      <c r="AF14" s="14" t="s">
        <v>16</v>
      </c>
      <c r="AG14">
        <v>5641</v>
      </c>
      <c r="AH14">
        <v>4666</v>
      </c>
      <c r="AI14">
        <v>1706</v>
      </c>
      <c r="AJ14">
        <v>1778</v>
      </c>
    </row>
    <row r="15" spans="4:36" x14ac:dyDescent="0.3">
      <c r="D15" s="14" t="s">
        <v>26</v>
      </c>
      <c r="E15">
        <v>40</v>
      </c>
      <c r="F15">
        <v>27</v>
      </c>
      <c r="G15">
        <v>24</v>
      </c>
      <c r="H15" s="13">
        <v>0.6</v>
      </c>
      <c r="K15" s="14" t="s">
        <v>26</v>
      </c>
      <c r="L15" s="13">
        <v>8.3333333333333329E-2</v>
      </c>
      <c r="M15" s="13">
        <v>3.7037037037037035E-2</v>
      </c>
      <c r="Z15" s="14" t="s">
        <v>24</v>
      </c>
      <c r="AA15">
        <v>3774</v>
      </c>
      <c r="AB15">
        <v>3170</v>
      </c>
      <c r="AC15">
        <v>1076</v>
      </c>
      <c r="AD15">
        <v>1065</v>
      </c>
      <c r="AF15" s="14" t="s">
        <v>24</v>
      </c>
      <c r="AG15">
        <v>3774</v>
      </c>
      <c r="AH15">
        <v>3170</v>
      </c>
      <c r="AI15">
        <v>1076</v>
      </c>
      <c r="AJ15">
        <v>1065</v>
      </c>
    </row>
    <row r="16" spans="4:36" x14ac:dyDescent="0.3">
      <c r="D16" s="12" t="s">
        <v>23</v>
      </c>
      <c r="E16">
        <v>365</v>
      </c>
      <c r="F16">
        <v>229</v>
      </c>
      <c r="G16">
        <v>160</v>
      </c>
      <c r="H16" s="13">
        <v>0.43835616438356162</v>
      </c>
      <c r="K16" s="12" t="s">
        <v>23</v>
      </c>
      <c r="L16" s="13">
        <v>0.13125000000000001</v>
      </c>
      <c r="M16" s="13">
        <v>8.7336244541484712E-3</v>
      </c>
      <c r="Z16" s="14" t="s">
        <v>18</v>
      </c>
      <c r="AA16">
        <v>1416</v>
      </c>
      <c r="AB16">
        <v>1137</v>
      </c>
      <c r="AC16">
        <v>370</v>
      </c>
      <c r="AD16">
        <v>459</v>
      </c>
      <c r="AF16" s="14" t="s">
        <v>18</v>
      </c>
      <c r="AG16">
        <v>1416</v>
      </c>
      <c r="AH16">
        <v>1137</v>
      </c>
      <c r="AI16">
        <v>370</v>
      </c>
      <c r="AJ16">
        <v>459</v>
      </c>
    </row>
    <row r="17" spans="26:36" x14ac:dyDescent="0.3">
      <c r="Z17" s="12" t="s">
        <v>26</v>
      </c>
      <c r="AA17">
        <v>0</v>
      </c>
      <c r="AF17" s="12" t="s">
        <v>26</v>
      </c>
      <c r="AG17">
        <v>0</v>
      </c>
    </row>
    <row r="18" spans="26:36" x14ac:dyDescent="0.3">
      <c r="Z18" s="14" t="s">
        <v>26</v>
      </c>
      <c r="AA18">
        <v>0</v>
      </c>
      <c r="AF18" s="14" t="s">
        <v>26</v>
      </c>
      <c r="AG18">
        <v>0</v>
      </c>
    </row>
    <row r="19" spans="26:36" x14ac:dyDescent="0.3">
      <c r="Z19" s="12" t="s">
        <v>23</v>
      </c>
      <c r="AA19">
        <v>48914</v>
      </c>
      <c r="AB19">
        <v>40456</v>
      </c>
      <c r="AC19">
        <v>16220</v>
      </c>
      <c r="AD19">
        <v>12572</v>
      </c>
      <c r="AF19" s="12" t="s">
        <v>23</v>
      </c>
      <c r="AG19">
        <v>48914</v>
      </c>
      <c r="AH19">
        <v>40456</v>
      </c>
      <c r="AI19">
        <v>16220</v>
      </c>
      <c r="AJ19">
        <v>12572</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4DFA8-10C5-4C12-864E-9C999DD19AE3}">
  <dimension ref="D3:AJ19"/>
  <sheetViews>
    <sheetView zoomScale="80" zoomScaleNormal="80" workbookViewId="0">
      <selection activeCell="D1" sqref="D1"/>
    </sheetView>
  </sheetViews>
  <sheetFormatPr defaultRowHeight="14.4" x14ac:dyDescent="0.3"/>
  <cols>
    <col min="4" max="4" width="14" bestFit="1" customWidth="1"/>
    <col min="5" max="5" width="20" bestFit="1" customWidth="1"/>
    <col min="6" max="6" width="9.44140625" bestFit="1" customWidth="1"/>
    <col min="7" max="7" width="10" bestFit="1" customWidth="1"/>
    <col min="8" max="8" width="9.88671875" bestFit="1" customWidth="1"/>
    <col min="9" max="9" width="10.109375" bestFit="1" customWidth="1"/>
    <col min="11" max="11" width="12.5546875" bestFit="1" customWidth="1"/>
    <col min="12" max="12" width="14" bestFit="1" customWidth="1"/>
    <col min="13" max="13" width="9.44140625" bestFit="1" customWidth="1"/>
    <col min="14" max="14" width="10.6640625" bestFit="1" customWidth="1"/>
    <col min="15" max="15" width="11.109375" bestFit="1" customWidth="1"/>
    <col min="16" max="19" width="14.33203125" bestFit="1" customWidth="1"/>
    <col min="20" max="20" width="12.5546875" bestFit="1" customWidth="1"/>
    <col min="21" max="21" width="27.109375" bestFit="1" customWidth="1"/>
    <col min="22" max="22" width="16" bestFit="1" customWidth="1"/>
    <col min="23" max="23" width="16.5546875" bestFit="1" customWidth="1"/>
    <col min="24" max="24" width="16.33203125" bestFit="1" customWidth="1"/>
    <col min="26" max="26" width="14" bestFit="1" customWidth="1"/>
    <col min="27" max="27" width="28" bestFit="1" customWidth="1"/>
    <col min="28" max="28" width="16.44140625" bestFit="1" customWidth="1"/>
    <col min="29" max="29" width="17.109375" bestFit="1" customWidth="1"/>
    <col min="30" max="30" width="17" bestFit="1" customWidth="1"/>
    <col min="32" max="32" width="14" bestFit="1" customWidth="1"/>
    <col min="33" max="33" width="28" bestFit="1" customWidth="1"/>
    <col min="34" max="34" width="16.44140625" bestFit="1" customWidth="1"/>
    <col min="35" max="35" width="17.109375" bestFit="1" customWidth="1"/>
    <col min="36" max="36" width="17" bestFit="1" customWidth="1"/>
  </cols>
  <sheetData>
    <row r="3" spans="4:36" x14ac:dyDescent="0.3">
      <c r="D3" s="11" t="s">
        <v>0</v>
      </c>
      <c r="E3" t="s">
        <v>1</v>
      </c>
      <c r="F3" t="s">
        <v>2</v>
      </c>
      <c r="G3" t="s">
        <v>3</v>
      </c>
      <c r="H3" t="s">
        <v>4</v>
      </c>
      <c r="I3" t="s">
        <v>5</v>
      </c>
      <c r="L3" s="11" t="s">
        <v>0</v>
      </c>
      <c r="M3" s="13" t="s">
        <v>6</v>
      </c>
      <c r="N3" s="13" t="s">
        <v>7</v>
      </c>
      <c r="O3" s="13" t="s">
        <v>8</v>
      </c>
      <c r="Z3" s="11" t="s">
        <v>0</v>
      </c>
      <c r="AA3" t="s">
        <v>9</v>
      </c>
      <c r="AB3" t="s">
        <v>10</v>
      </c>
      <c r="AC3" t="s">
        <v>11</v>
      </c>
      <c r="AD3" t="s">
        <v>12</v>
      </c>
      <c r="AF3" s="11" t="s">
        <v>0</v>
      </c>
      <c r="AG3" t="s">
        <v>9</v>
      </c>
      <c r="AH3" t="s">
        <v>10</v>
      </c>
      <c r="AI3" t="s">
        <v>11</v>
      </c>
      <c r="AJ3" t="s">
        <v>12</v>
      </c>
    </row>
    <row r="4" spans="4:36" x14ac:dyDescent="0.3">
      <c r="D4" s="12" t="s">
        <v>29</v>
      </c>
      <c r="E4">
        <v>4556</v>
      </c>
      <c r="F4">
        <v>4367</v>
      </c>
      <c r="G4">
        <v>2069</v>
      </c>
      <c r="H4">
        <v>1295</v>
      </c>
      <c r="I4" s="13">
        <v>0.95851624231782262</v>
      </c>
      <c r="L4" s="12" t="s">
        <v>29</v>
      </c>
      <c r="M4" s="13">
        <v>0.4037096404854591</v>
      </c>
      <c r="N4" s="13">
        <v>0.17374517374517376</v>
      </c>
      <c r="O4" s="13">
        <v>5.4132431126147899E-2</v>
      </c>
      <c r="Z4" s="12" t="s">
        <v>14</v>
      </c>
      <c r="AA4">
        <v>6064</v>
      </c>
      <c r="AB4">
        <v>5412</v>
      </c>
      <c r="AC4">
        <v>2675</v>
      </c>
      <c r="AD4">
        <v>2434</v>
      </c>
      <c r="AF4" s="12" t="s">
        <v>14</v>
      </c>
      <c r="AG4">
        <v>6064</v>
      </c>
      <c r="AH4">
        <v>5412</v>
      </c>
      <c r="AI4">
        <v>2675</v>
      </c>
      <c r="AJ4">
        <v>2434</v>
      </c>
    </row>
    <row r="5" spans="4:36" x14ac:dyDescent="0.3">
      <c r="D5" s="14" t="s">
        <v>30</v>
      </c>
      <c r="E5">
        <v>1137</v>
      </c>
      <c r="F5">
        <v>1080</v>
      </c>
      <c r="G5">
        <v>555</v>
      </c>
      <c r="H5">
        <v>507</v>
      </c>
      <c r="I5" s="13">
        <v>0.94986807387862793</v>
      </c>
      <c r="L5" s="14" t="s">
        <v>30</v>
      </c>
      <c r="M5" s="13">
        <v>0.39351851851851855</v>
      </c>
      <c r="N5" s="13">
        <v>0.1854043392504931</v>
      </c>
      <c r="O5" s="13">
        <v>3.783783783783784E-2</v>
      </c>
      <c r="Z5" s="14" t="s">
        <v>16</v>
      </c>
      <c r="AA5">
        <v>323</v>
      </c>
      <c r="AB5">
        <v>323</v>
      </c>
      <c r="AC5">
        <v>150</v>
      </c>
      <c r="AD5">
        <v>165</v>
      </c>
      <c r="AF5" s="14" t="s">
        <v>16</v>
      </c>
      <c r="AG5">
        <v>323</v>
      </c>
      <c r="AH5">
        <v>323</v>
      </c>
      <c r="AI5">
        <v>150</v>
      </c>
      <c r="AJ5">
        <v>165</v>
      </c>
    </row>
    <row r="6" spans="4:36" x14ac:dyDescent="0.3">
      <c r="D6" s="14" t="s">
        <v>31</v>
      </c>
      <c r="E6">
        <v>1213</v>
      </c>
      <c r="F6">
        <v>1158</v>
      </c>
      <c r="G6">
        <v>610</v>
      </c>
      <c r="H6">
        <v>529</v>
      </c>
      <c r="I6" s="13">
        <v>0.95465787304204452</v>
      </c>
      <c r="L6" s="14" t="s">
        <v>31</v>
      </c>
      <c r="M6" s="13">
        <v>0.40414507772020725</v>
      </c>
      <c r="N6" s="13">
        <v>0.17013232514177692</v>
      </c>
      <c r="O6" s="13">
        <v>5.5737704918032788E-2</v>
      </c>
      <c r="Z6" s="14" t="s">
        <v>18</v>
      </c>
      <c r="AA6">
        <v>899</v>
      </c>
      <c r="AB6">
        <v>768</v>
      </c>
      <c r="AC6">
        <v>396</v>
      </c>
      <c r="AD6">
        <v>455</v>
      </c>
      <c r="AF6" s="14" t="s">
        <v>18</v>
      </c>
      <c r="AG6">
        <v>899</v>
      </c>
      <c r="AH6">
        <v>768</v>
      </c>
      <c r="AI6">
        <v>396</v>
      </c>
      <c r="AJ6">
        <v>455</v>
      </c>
    </row>
    <row r="7" spans="4:36" x14ac:dyDescent="0.3">
      <c r="D7" s="14" t="s">
        <v>32</v>
      </c>
      <c r="E7">
        <v>1174</v>
      </c>
      <c r="F7">
        <v>1139</v>
      </c>
      <c r="G7">
        <v>425</v>
      </c>
      <c r="H7">
        <v>96</v>
      </c>
      <c r="I7" s="13">
        <v>0.97018739352640548</v>
      </c>
      <c r="L7" s="14" t="s">
        <v>32</v>
      </c>
      <c r="M7" s="13">
        <v>0.42844600526777876</v>
      </c>
      <c r="N7" s="13">
        <v>0.13541666666666666</v>
      </c>
      <c r="O7" s="13">
        <v>7.5294117647058817E-2</v>
      </c>
      <c r="Z7" s="14" t="s">
        <v>20</v>
      </c>
      <c r="AA7">
        <v>4842</v>
      </c>
      <c r="AB7">
        <v>4321</v>
      </c>
      <c r="AC7">
        <v>2129</v>
      </c>
      <c r="AD7">
        <v>1814</v>
      </c>
      <c r="AF7" s="14" t="s">
        <v>20</v>
      </c>
      <c r="AG7">
        <v>4842</v>
      </c>
      <c r="AH7">
        <v>4321</v>
      </c>
      <c r="AI7">
        <v>2129</v>
      </c>
      <c r="AJ7">
        <v>1814</v>
      </c>
    </row>
    <row r="8" spans="4:36" x14ac:dyDescent="0.3">
      <c r="D8" s="14" t="s">
        <v>28</v>
      </c>
      <c r="E8">
        <v>1032</v>
      </c>
      <c r="F8">
        <v>990</v>
      </c>
      <c r="G8">
        <v>479</v>
      </c>
      <c r="H8">
        <v>163</v>
      </c>
      <c r="I8" s="13">
        <v>0.95930232558139539</v>
      </c>
      <c r="L8" s="14" t="s">
        <v>28</v>
      </c>
      <c r="M8" s="13">
        <v>0.38585858585858585</v>
      </c>
      <c r="N8" s="13">
        <v>0.17177914110429449</v>
      </c>
      <c r="O8" s="13">
        <v>5.2192066805845511E-2</v>
      </c>
      <c r="Z8" s="12" t="s">
        <v>22</v>
      </c>
      <c r="AA8">
        <v>32019</v>
      </c>
      <c r="AB8">
        <v>26071</v>
      </c>
      <c r="AC8">
        <v>10393</v>
      </c>
      <c r="AD8">
        <v>6836</v>
      </c>
      <c r="AF8" s="12" t="s">
        <v>22</v>
      </c>
      <c r="AG8">
        <v>32019</v>
      </c>
      <c r="AH8">
        <v>26071</v>
      </c>
      <c r="AI8">
        <v>10393</v>
      </c>
      <c r="AJ8">
        <v>6836</v>
      </c>
    </row>
    <row r="9" spans="4:36" x14ac:dyDescent="0.3">
      <c r="D9" s="12" t="s">
        <v>26</v>
      </c>
      <c r="E9">
        <v>652</v>
      </c>
      <c r="F9">
        <v>605</v>
      </c>
      <c r="G9">
        <v>232</v>
      </c>
      <c r="H9">
        <v>188</v>
      </c>
      <c r="I9" s="13">
        <v>0.92791411042944782</v>
      </c>
      <c r="L9" s="12" t="s">
        <v>26</v>
      </c>
      <c r="M9" s="13">
        <v>0.41818181818181815</v>
      </c>
      <c r="N9" s="13">
        <v>0.16489361702127658</v>
      </c>
      <c r="O9" s="13">
        <v>4.3103448275862072E-2</v>
      </c>
      <c r="Z9" s="14" t="s">
        <v>16</v>
      </c>
      <c r="AA9">
        <v>8604</v>
      </c>
      <c r="AB9">
        <v>6921</v>
      </c>
      <c r="AC9">
        <v>3117</v>
      </c>
      <c r="AD9">
        <v>2915</v>
      </c>
      <c r="AF9" s="14" t="s">
        <v>16</v>
      </c>
      <c r="AG9">
        <v>8604</v>
      </c>
      <c r="AH9">
        <v>6921</v>
      </c>
      <c r="AI9">
        <v>3117</v>
      </c>
      <c r="AJ9">
        <v>2915</v>
      </c>
    </row>
    <row r="10" spans="4:36" x14ac:dyDescent="0.3">
      <c r="D10" s="14" t="s">
        <v>26</v>
      </c>
      <c r="E10">
        <v>652</v>
      </c>
      <c r="F10">
        <v>605</v>
      </c>
      <c r="G10">
        <v>232</v>
      </c>
      <c r="H10">
        <v>188</v>
      </c>
      <c r="I10" s="13">
        <v>0.92791411042944782</v>
      </c>
      <c r="L10" s="14" t="s">
        <v>26</v>
      </c>
      <c r="M10" s="13">
        <v>0.41818181818181815</v>
      </c>
      <c r="N10" s="13">
        <v>0.16489361702127658</v>
      </c>
      <c r="O10" s="13">
        <v>4.3103448275862072E-2</v>
      </c>
      <c r="Z10" s="14" t="s">
        <v>24</v>
      </c>
      <c r="AA10">
        <v>7816</v>
      </c>
      <c r="AB10">
        <v>6063</v>
      </c>
      <c r="AC10">
        <v>2298</v>
      </c>
      <c r="AD10">
        <v>640</v>
      </c>
      <c r="AF10" s="14" t="s">
        <v>24</v>
      </c>
      <c r="AG10">
        <v>7816</v>
      </c>
      <c r="AH10">
        <v>6063</v>
      </c>
      <c r="AI10">
        <v>2298</v>
      </c>
      <c r="AJ10">
        <v>640</v>
      </c>
    </row>
    <row r="11" spans="4:36" x14ac:dyDescent="0.3">
      <c r="D11" s="12" t="s">
        <v>23</v>
      </c>
      <c r="E11">
        <v>5208</v>
      </c>
      <c r="F11">
        <v>4972</v>
      </c>
      <c r="G11">
        <v>2301</v>
      </c>
      <c r="H11">
        <v>1483</v>
      </c>
      <c r="I11" s="13">
        <v>0.95468509984639016</v>
      </c>
      <c r="L11" s="12" t="s">
        <v>23</v>
      </c>
      <c r="M11" s="13">
        <v>0.40547063555913115</v>
      </c>
      <c r="N11" s="13">
        <v>0.17262306136210384</v>
      </c>
      <c r="O11" s="13">
        <v>5.3020425901781833E-2</v>
      </c>
      <c r="Z11" s="14" t="s">
        <v>18</v>
      </c>
      <c r="AA11">
        <v>7849</v>
      </c>
      <c r="AB11">
        <v>6478</v>
      </c>
      <c r="AC11">
        <v>2503</v>
      </c>
      <c r="AD11">
        <v>892</v>
      </c>
      <c r="AF11" s="14" t="s">
        <v>18</v>
      </c>
      <c r="AG11">
        <v>7849</v>
      </c>
      <c r="AH11">
        <v>6478</v>
      </c>
      <c r="AI11">
        <v>2503</v>
      </c>
      <c r="AJ11">
        <v>892</v>
      </c>
    </row>
    <row r="12" spans="4:36" x14ac:dyDescent="0.3">
      <c r="Z12" s="14" t="s">
        <v>20</v>
      </c>
      <c r="AA12">
        <v>7750</v>
      </c>
      <c r="AB12">
        <v>6609</v>
      </c>
      <c r="AC12">
        <v>2475</v>
      </c>
      <c r="AD12">
        <v>2389</v>
      </c>
      <c r="AF12" s="14" t="s">
        <v>20</v>
      </c>
      <c r="AG12">
        <v>7750</v>
      </c>
      <c r="AH12">
        <v>6609</v>
      </c>
      <c r="AI12">
        <v>2475</v>
      </c>
      <c r="AJ12">
        <v>2389</v>
      </c>
    </row>
    <row r="13" spans="4:36" x14ac:dyDescent="0.3">
      <c r="Z13" s="12" t="s">
        <v>25</v>
      </c>
      <c r="AA13">
        <v>10831</v>
      </c>
      <c r="AB13">
        <v>8973</v>
      </c>
      <c r="AC13">
        <v>3152</v>
      </c>
      <c r="AD13">
        <v>3302</v>
      </c>
      <c r="AF13" s="12" t="s">
        <v>25</v>
      </c>
      <c r="AG13">
        <v>10831</v>
      </c>
      <c r="AH13">
        <v>8973</v>
      </c>
      <c r="AI13">
        <v>3152</v>
      </c>
      <c r="AJ13">
        <v>3302</v>
      </c>
    </row>
    <row r="14" spans="4:36" x14ac:dyDescent="0.3">
      <c r="Z14" s="14" t="s">
        <v>16</v>
      </c>
      <c r="AA14">
        <v>5641</v>
      </c>
      <c r="AB14">
        <v>4666</v>
      </c>
      <c r="AC14">
        <v>1706</v>
      </c>
      <c r="AD14">
        <v>1778</v>
      </c>
      <c r="AF14" s="14" t="s">
        <v>16</v>
      </c>
      <c r="AG14">
        <v>5641</v>
      </c>
      <c r="AH14">
        <v>4666</v>
      </c>
      <c r="AI14">
        <v>1706</v>
      </c>
      <c r="AJ14">
        <v>1778</v>
      </c>
    </row>
    <row r="15" spans="4:36" x14ac:dyDescent="0.3">
      <c r="Z15" s="14" t="s">
        <v>24</v>
      </c>
      <c r="AA15">
        <v>3774</v>
      </c>
      <c r="AB15">
        <v>3170</v>
      </c>
      <c r="AC15">
        <v>1076</v>
      </c>
      <c r="AD15">
        <v>1065</v>
      </c>
      <c r="AF15" s="14" t="s">
        <v>24</v>
      </c>
      <c r="AG15">
        <v>3774</v>
      </c>
      <c r="AH15">
        <v>3170</v>
      </c>
      <c r="AI15">
        <v>1076</v>
      </c>
      <c r="AJ15">
        <v>1065</v>
      </c>
    </row>
    <row r="16" spans="4:36" x14ac:dyDescent="0.3">
      <c r="Z16" s="14" t="s">
        <v>18</v>
      </c>
      <c r="AA16">
        <v>1416</v>
      </c>
      <c r="AB16">
        <v>1137</v>
      </c>
      <c r="AC16">
        <v>370</v>
      </c>
      <c r="AD16">
        <v>459</v>
      </c>
      <c r="AF16" s="14" t="s">
        <v>18</v>
      </c>
      <c r="AG16">
        <v>1416</v>
      </c>
      <c r="AH16">
        <v>1137</v>
      </c>
      <c r="AI16">
        <v>370</v>
      </c>
      <c r="AJ16">
        <v>459</v>
      </c>
    </row>
    <row r="17" spans="26:36" x14ac:dyDescent="0.3">
      <c r="Z17" s="12" t="s">
        <v>26</v>
      </c>
      <c r="AA17">
        <v>0</v>
      </c>
      <c r="AF17" s="12" t="s">
        <v>26</v>
      </c>
      <c r="AG17">
        <v>0</v>
      </c>
    </row>
    <row r="18" spans="26:36" x14ac:dyDescent="0.3">
      <c r="Z18" s="14" t="s">
        <v>26</v>
      </c>
      <c r="AA18">
        <v>0</v>
      </c>
      <c r="AF18" s="14" t="s">
        <v>26</v>
      </c>
      <c r="AG18">
        <v>0</v>
      </c>
    </row>
    <row r="19" spans="26:36" x14ac:dyDescent="0.3">
      <c r="Z19" s="12" t="s">
        <v>23</v>
      </c>
      <c r="AA19">
        <v>48914</v>
      </c>
      <c r="AB19">
        <v>40456</v>
      </c>
      <c r="AC19">
        <v>16220</v>
      </c>
      <c r="AD19">
        <v>12572</v>
      </c>
      <c r="AF19" s="12" t="s">
        <v>23</v>
      </c>
      <c r="AG19">
        <v>48914</v>
      </c>
      <c r="AH19">
        <v>40456</v>
      </c>
      <c r="AI19">
        <v>16220</v>
      </c>
      <c r="AJ19">
        <v>12572</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2AC83-5686-405B-B79F-C09D99682271}">
  <dimension ref="D3:AJ24"/>
  <sheetViews>
    <sheetView topLeftCell="A13" zoomScale="69" zoomScaleNormal="69" workbookViewId="0">
      <selection activeCell="R10" sqref="R10"/>
    </sheetView>
  </sheetViews>
  <sheetFormatPr defaultRowHeight="14.4" x14ac:dyDescent="0.3"/>
  <cols>
    <col min="4" max="4" width="14" bestFit="1" customWidth="1"/>
    <col min="5" max="5" width="20" bestFit="1" customWidth="1"/>
    <col min="6" max="6" width="9.44140625" bestFit="1" customWidth="1"/>
    <col min="7" max="7" width="10" bestFit="1" customWidth="1"/>
    <col min="8" max="8" width="9.88671875" bestFit="1" customWidth="1"/>
    <col min="9" max="9" width="10.109375" bestFit="1" customWidth="1"/>
    <col min="11" max="11" width="12.5546875" bestFit="1" customWidth="1"/>
    <col min="12" max="12" width="14" bestFit="1" customWidth="1"/>
    <col min="13" max="13" width="10.6640625" bestFit="1" customWidth="1"/>
    <col min="14" max="14" width="11.109375" bestFit="1" customWidth="1"/>
    <col min="15" max="15" width="9.44140625" bestFit="1" customWidth="1"/>
    <col min="16" max="16" width="9.6640625" bestFit="1" customWidth="1"/>
    <col min="20" max="20" width="12.5546875" bestFit="1" customWidth="1"/>
    <col min="21" max="21" width="27.109375" bestFit="1" customWidth="1"/>
    <col min="22" max="22" width="16" bestFit="1" customWidth="1"/>
    <col min="23" max="23" width="16.5546875" bestFit="1" customWidth="1"/>
    <col min="24" max="24" width="16.33203125" bestFit="1" customWidth="1"/>
    <col min="26" max="26" width="14" bestFit="1" customWidth="1"/>
    <col min="27" max="27" width="28" bestFit="1" customWidth="1"/>
    <col min="28" max="28" width="16.44140625" bestFit="1" customWidth="1"/>
    <col min="29" max="29" width="17.109375" bestFit="1" customWidth="1"/>
    <col min="30" max="30" width="17" bestFit="1" customWidth="1"/>
    <col min="32" max="32" width="14" bestFit="1" customWidth="1"/>
    <col min="33" max="33" width="28" bestFit="1" customWidth="1"/>
    <col min="34" max="34" width="16.44140625" bestFit="1" customWidth="1"/>
    <col min="35" max="35" width="17.109375" bestFit="1" customWidth="1"/>
    <col min="36" max="36" width="17" bestFit="1" customWidth="1"/>
  </cols>
  <sheetData>
    <row r="3" spans="4:36" x14ac:dyDescent="0.3">
      <c r="D3" s="11" t="s">
        <v>0</v>
      </c>
      <c r="E3" t="s">
        <v>1</v>
      </c>
      <c r="F3" t="s">
        <v>2</v>
      </c>
      <c r="G3" t="s">
        <v>3</v>
      </c>
      <c r="H3" t="s">
        <v>4</v>
      </c>
      <c r="I3" t="s">
        <v>5</v>
      </c>
      <c r="L3" s="11" t="s">
        <v>0</v>
      </c>
      <c r="M3" t="s">
        <v>7</v>
      </c>
      <c r="N3" t="s">
        <v>8</v>
      </c>
      <c r="O3" t="s">
        <v>6</v>
      </c>
      <c r="Z3" s="11" t="s">
        <v>0</v>
      </c>
      <c r="AA3" t="s">
        <v>9</v>
      </c>
      <c r="AB3" t="s">
        <v>10</v>
      </c>
      <c r="AC3" t="s">
        <v>11</v>
      </c>
      <c r="AD3" t="s">
        <v>12</v>
      </c>
      <c r="AF3" s="11" t="s">
        <v>0</v>
      </c>
      <c r="AG3" t="s">
        <v>9</v>
      </c>
      <c r="AH3" t="s">
        <v>10</v>
      </c>
      <c r="AI3" t="s">
        <v>11</v>
      </c>
      <c r="AJ3" t="s">
        <v>12</v>
      </c>
    </row>
    <row r="4" spans="4:36" x14ac:dyDescent="0.3">
      <c r="D4" s="12" t="s">
        <v>22</v>
      </c>
      <c r="E4">
        <v>1197</v>
      </c>
      <c r="F4">
        <v>350</v>
      </c>
      <c r="G4">
        <v>93</v>
      </c>
      <c r="H4">
        <v>72</v>
      </c>
      <c r="I4" s="13">
        <v>0.29239766081871343</v>
      </c>
      <c r="L4" s="12" t="s">
        <v>22</v>
      </c>
      <c r="M4" s="13">
        <v>0.2361111111111111</v>
      </c>
      <c r="N4" s="13">
        <v>3.2258064516129031E-2</v>
      </c>
      <c r="O4" s="13">
        <v>0.27142857142857141</v>
      </c>
      <c r="Z4" s="12" t="s">
        <v>14</v>
      </c>
      <c r="AA4">
        <v>6064</v>
      </c>
      <c r="AB4">
        <v>5412</v>
      </c>
      <c r="AC4">
        <v>2675</v>
      </c>
      <c r="AD4">
        <v>2434</v>
      </c>
      <c r="AF4" s="12" t="s">
        <v>14</v>
      </c>
      <c r="AG4">
        <v>6064</v>
      </c>
      <c r="AH4">
        <v>5412</v>
      </c>
      <c r="AI4">
        <v>2675</v>
      </c>
      <c r="AJ4">
        <v>2434</v>
      </c>
    </row>
    <row r="5" spans="4:36" x14ac:dyDescent="0.3">
      <c r="D5" s="14" t="s">
        <v>93</v>
      </c>
      <c r="E5">
        <v>56</v>
      </c>
      <c r="F5">
        <v>3</v>
      </c>
      <c r="G5">
        <v>1</v>
      </c>
      <c r="H5">
        <v>2</v>
      </c>
      <c r="I5" s="13">
        <v>5.3571428571428568E-2</v>
      </c>
      <c r="L5" s="14" t="s">
        <v>93</v>
      </c>
      <c r="M5" s="13">
        <v>0.5</v>
      </c>
      <c r="N5" s="13">
        <v>0</v>
      </c>
      <c r="O5" s="13">
        <v>0.33333333333333331</v>
      </c>
      <c r="Z5" s="14" t="s">
        <v>16</v>
      </c>
      <c r="AA5">
        <v>323</v>
      </c>
      <c r="AB5">
        <v>323</v>
      </c>
      <c r="AC5">
        <v>150</v>
      </c>
      <c r="AD5">
        <v>165</v>
      </c>
      <c r="AF5" s="14" t="s">
        <v>16</v>
      </c>
      <c r="AG5">
        <v>323</v>
      </c>
      <c r="AH5">
        <v>323</v>
      </c>
      <c r="AI5">
        <v>150</v>
      </c>
      <c r="AJ5">
        <v>165</v>
      </c>
    </row>
    <row r="6" spans="4:36" x14ac:dyDescent="0.3">
      <c r="D6" s="14" t="s">
        <v>94</v>
      </c>
      <c r="E6">
        <v>71</v>
      </c>
      <c r="F6">
        <v>17</v>
      </c>
      <c r="G6">
        <v>8</v>
      </c>
      <c r="H6">
        <v>11</v>
      </c>
      <c r="I6" s="13">
        <v>0.23943661971830985</v>
      </c>
      <c r="L6" s="14" t="s">
        <v>94</v>
      </c>
      <c r="M6" s="13">
        <v>0.36363636363636365</v>
      </c>
      <c r="N6" s="13">
        <v>0</v>
      </c>
      <c r="O6" s="13">
        <v>0.29411764705882354</v>
      </c>
      <c r="Z6" s="14" t="s">
        <v>18</v>
      </c>
      <c r="AA6">
        <v>899</v>
      </c>
      <c r="AB6">
        <v>768</v>
      </c>
      <c r="AC6">
        <v>396</v>
      </c>
      <c r="AD6">
        <v>455</v>
      </c>
      <c r="AF6" s="14" t="s">
        <v>18</v>
      </c>
      <c r="AG6">
        <v>899</v>
      </c>
      <c r="AH6">
        <v>768</v>
      </c>
      <c r="AI6">
        <v>396</v>
      </c>
      <c r="AJ6">
        <v>455</v>
      </c>
    </row>
    <row r="7" spans="4:36" x14ac:dyDescent="0.3">
      <c r="D7" s="14" t="s">
        <v>92</v>
      </c>
      <c r="E7">
        <v>82</v>
      </c>
      <c r="F7">
        <v>30</v>
      </c>
      <c r="G7">
        <v>12</v>
      </c>
      <c r="H7">
        <v>17</v>
      </c>
      <c r="I7" s="13">
        <v>0.36585365853658536</v>
      </c>
      <c r="L7" s="14" t="s">
        <v>92</v>
      </c>
      <c r="M7" s="13">
        <v>0.41176470588235292</v>
      </c>
      <c r="N7" s="13">
        <v>0</v>
      </c>
      <c r="O7" s="13">
        <v>0.5</v>
      </c>
      <c r="Z7" s="14" t="s">
        <v>20</v>
      </c>
      <c r="AA7">
        <v>4842</v>
      </c>
      <c r="AB7">
        <v>4321</v>
      </c>
      <c r="AC7">
        <v>2129</v>
      </c>
      <c r="AD7">
        <v>1814</v>
      </c>
      <c r="AF7" s="14" t="s">
        <v>20</v>
      </c>
      <c r="AG7">
        <v>4842</v>
      </c>
      <c r="AH7">
        <v>4321</v>
      </c>
      <c r="AI7">
        <v>2129</v>
      </c>
      <c r="AJ7">
        <v>1814</v>
      </c>
    </row>
    <row r="8" spans="4:36" x14ac:dyDescent="0.3">
      <c r="D8" s="14" t="s">
        <v>96</v>
      </c>
      <c r="E8">
        <v>143</v>
      </c>
      <c r="F8">
        <v>42</v>
      </c>
      <c r="G8">
        <v>7</v>
      </c>
      <c r="H8">
        <v>6</v>
      </c>
      <c r="I8" s="13">
        <v>0.2937062937062937</v>
      </c>
      <c r="L8" s="14" t="s">
        <v>96</v>
      </c>
      <c r="M8" s="13">
        <v>0.16666666666666666</v>
      </c>
      <c r="N8" s="13">
        <v>0.14285714285714285</v>
      </c>
      <c r="O8" s="13">
        <v>0.16666666666666666</v>
      </c>
      <c r="Z8" s="12" t="s">
        <v>22</v>
      </c>
      <c r="AA8">
        <v>32019</v>
      </c>
      <c r="AB8">
        <v>26071</v>
      </c>
      <c r="AC8">
        <v>10393</v>
      </c>
      <c r="AD8">
        <v>6836</v>
      </c>
      <c r="AF8" s="12" t="s">
        <v>22</v>
      </c>
      <c r="AG8">
        <v>32019</v>
      </c>
      <c r="AH8">
        <v>26071</v>
      </c>
      <c r="AI8">
        <v>10393</v>
      </c>
      <c r="AJ8">
        <v>6836</v>
      </c>
    </row>
    <row r="9" spans="4:36" x14ac:dyDescent="0.3">
      <c r="D9" s="14" t="s">
        <v>95</v>
      </c>
      <c r="E9">
        <v>122</v>
      </c>
      <c r="F9">
        <v>27</v>
      </c>
      <c r="G9">
        <v>3</v>
      </c>
      <c r="H9">
        <v>1</v>
      </c>
      <c r="I9" s="13">
        <v>0.22131147540983606</v>
      </c>
      <c r="L9" s="14" t="s">
        <v>95</v>
      </c>
      <c r="M9" s="13">
        <v>0</v>
      </c>
      <c r="N9" s="13">
        <v>0</v>
      </c>
      <c r="O9" s="13">
        <v>0.18518518518518517</v>
      </c>
      <c r="Z9" s="14" t="s">
        <v>16</v>
      </c>
      <c r="AA9">
        <v>8604</v>
      </c>
      <c r="AB9">
        <v>6921</v>
      </c>
      <c r="AC9">
        <v>3117</v>
      </c>
      <c r="AD9">
        <v>2915</v>
      </c>
      <c r="AF9" s="14" t="s">
        <v>16</v>
      </c>
      <c r="AG9">
        <v>8604</v>
      </c>
      <c r="AH9">
        <v>6921</v>
      </c>
      <c r="AI9">
        <v>3117</v>
      </c>
      <c r="AJ9">
        <v>2915</v>
      </c>
    </row>
    <row r="10" spans="4:36" x14ac:dyDescent="0.3">
      <c r="D10" s="14" t="s">
        <v>97</v>
      </c>
      <c r="E10">
        <v>125</v>
      </c>
      <c r="F10">
        <v>19</v>
      </c>
      <c r="G10">
        <v>7</v>
      </c>
      <c r="H10">
        <v>2</v>
      </c>
      <c r="I10" s="13">
        <v>0.152</v>
      </c>
      <c r="L10" s="14" t="s">
        <v>97</v>
      </c>
      <c r="M10" s="13">
        <v>0</v>
      </c>
      <c r="N10" s="13">
        <v>0</v>
      </c>
      <c r="O10" s="13">
        <v>0.57894736842105265</v>
      </c>
      <c r="Z10" s="14" t="s">
        <v>24</v>
      </c>
      <c r="AA10">
        <v>7816</v>
      </c>
      <c r="AB10">
        <v>6063</v>
      </c>
      <c r="AC10">
        <v>2298</v>
      </c>
      <c r="AD10">
        <v>640</v>
      </c>
      <c r="AF10" s="14" t="s">
        <v>24</v>
      </c>
      <c r="AG10">
        <v>7816</v>
      </c>
      <c r="AH10">
        <v>6063</v>
      </c>
      <c r="AI10">
        <v>2298</v>
      </c>
      <c r="AJ10">
        <v>640</v>
      </c>
    </row>
    <row r="11" spans="4:36" x14ac:dyDescent="0.3">
      <c r="D11" s="14" t="s">
        <v>98</v>
      </c>
      <c r="E11">
        <v>132</v>
      </c>
      <c r="F11">
        <v>49</v>
      </c>
      <c r="G11">
        <v>14</v>
      </c>
      <c r="H11">
        <v>0</v>
      </c>
      <c r="I11" s="13">
        <v>0.37121212121212122</v>
      </c>
      <c r="L11" s="14" t="s">
        <v>98</v>
      </c>
      <c r="M11" s="13" t="e">
        <v>#DIV/0!</v>
      </c>
      <c r="N11" s="13">
        <v>0</v>
      </c>
      <c r="O11" s="13">
        <v>0.24489795918367346</v>
      </c>
      <c r="Z11" s="14" t="s">
        <v>18</v>
      </c>
      <c r="AA11">
        <v>7849</v>
      </c>
      <c r="AB11">
        <v>6478</v>
      </c>
      <c r="AC11">
        <v>2503</v>
      </c>
      <c r="AD11">
        <v>892</v>
      </c>
      <c r="AF11" s="14" t="s">
        <v>18</v>
      </c>
      <c r="AG11">
        <v>7849</v>
      </c>
      <c r="AH11">
        <v>6478</v>
      </c>
      <c r="AI11">
        <v>2503</v>
      </c>
      <c r="AJ11">
        <v>892</v>
      </c>
    </row>
    <row r="12" spans="4:36" x14ac:dyDescent="0.3">
      <c r="D12" s="14" t="s">
        <v>99</v>
      </c>
      <c r="E12">
        <v>122</v>
      </c>
      <c r="F12">
        <v>25</v>
      </c>
      <c r="G12">
        <v>2</v>
      </c>
      <c r="H12">
        <v>0</v>
      </c>
      <c r="I12" s="13">
        <v>0.20491803278688525</v>
      </c>
      <c r="L12" s="14" t="s">
        <v>99</v>
      </c>
      <c r="M12" s="13" t="e">
        <v>#DIV/0!</v>
      </c>
      <c r="N12" s="13">
        <v>0</v>
      </c>
      <c r="O12" s="13">
        <v>0.2</v>
      </c>
      <c r="Z12" s="14" t="s">
        <v>20</v>
      </c>
      <c r="AA12">
        <v>7750</v>
      </c>
      <c r="AB12">
        <v>6609</v>
      </c>
      <c r="AC12">
        <v>2475</v>
      </c>
      <c r="AD12">
        <v>2389</v>
      </c>
      <c r="AF12" s="14" t="s">
        <v>20</v>
      </c>
      <c r="AG12">
        <v>7750</v>
      </c>
      <c r="AH12">
        <v>6609</v>
      </c>
      <c r="AI12">
        <v>2475</v>
      </c>
      <c r="AJ12">
        <v>2389</v>
      </c>
    </row>
    <row r="13" spans="4:36" x14ac:dyDescent="0.3">
      <c r="D13" s="14" t="s">
        <v>91</v>
      </c>
      <c r="E13">
        <v>105</v>
      </c>
      <c r="F13">
        <v>35</v>
      </c>
      <c r="G13">
        <v>9</v>
      </c>
      <c r="H13">
        <v>3</v>
      </c>
      <c r="I13" s="13">
        <v>0.33333333333333331</v>
      </c>
      <c r="L13" s="14" t="s">
        <v>91</v>
      </c>
      <c r="M13" s="13">
        <v>0</v>
      </c>
      <c r="N13" s="13">
        <v>0</v>
      </c>
      <c r="O13" s="13">
        <v>0.2857142857142857</v>
      </c>
      <c r="Z13" s="12" t="s">
        <v>25</v>
      </c>
      <c r="AA13">
        <v>10831</v>
      </c>
      <c r="AB13">
        <v>8973</v>
      </c>
      <c r="AC13">
        <v>3152</v>
      </c>
      <c r="AD13">
        <v>3302</v>
      </c>
      <c r="AF13" s="12" t="s">
        <v>25</v>
      </c>
      <c r="AG13">
        <v>10831</v>
      </c>
      <c r="AH13">
        <v>8973</v>
      </c>
      <c r="AI13">
        <v>3152</v>
      </c>
      <c r="AJ13">
        <v>3302</v>
      </c>
    </row>
    <row r="14" spans="4:36" x14ac:dyDescent="0.3">
      <c r="D14" s="14" t="s">
        <v>88</v>
      </c>
      <c r="E14">
        <v>62</v>
      </c>
      <c r="F14">
        <v>49</v>
      </c>
      <c r="G14">
        <v>10</v>
      </c>
      <c r="H14">
        <v>10</v>
      </c>
      <c r="I14" s="13">
        <v>0.79032258064516125</v>
      </c>
      <c r="L14" s="14" t="s">
        <v>88</v>
      </c>
      <c r="M14" s="13">
        <v>0.1</v>
      </c>
      <c r="N14" s="13">
        <v>0.1</v>
      </c>
      <c r="O14" s="13">
        <v>0.16326530612244897</v>
      </c>
      <c r="Z14" s="14" t="s">
        <v>16</v>
      </c>
      <c r="AA14">
        <v>5641</v>
      </c>
      <c r="AB14">
        <v>4666</v>
      </c>
      <c r="AC14">
        <v>1706</v>
      </c>
      <c r="AD14">
        <v>1778</v>
      </c>
      <c r="AF14" s="14" t="s">
        <v>16</v>
      </c>
      <c r="AG14">
        <v>5641</v>
      </c>
      <c r="AH14">
        <v>4666</v>
      </c>
      <c r="AI14">
        <v>1706</v>
      </c>
      <c r="AJ14">
        <v>1778</v>
      </c>
    </row>
    <row r="15" spans="4:36" x14ac:dyDescent="0.3">
      <c r="D15" s="14" t="s">
        <v>90</v>
      </c>
      <c r="E15">
        <v>88</v>
      </c>
      <c r="F15">
        <v>34</v>
      </c>
      <c r="G15">
        <v>10</v>
      </c>
      <c r="H15">
        <v>10</v>
      </c>
      <c r="I15" s="13">
        <v>0.38636363636363635</v>
      </c>
      <c r="L15" s="14" t="s">
        <v>90</v>
      </c>
      <c r="M15" s="13">
        <v>0.2</v>
      </c>
      <c r="N15" s="13">
        <v>0</v>
      </c>
      <c r="O15" s="13">
        <v>0.29411764705882354</v>
      </c>
      <c r="Z15" s="14" t="s">
        <v>24</v>
      </c>
      <c r="AA15">
        <v>3774</v>
      </c>
      <c r="AB15">
        <v>3170</v>
      </c>
      <c r="AC15">
        <v>1076</v>
      </c>
      <c r="AD15">
        <v>1065</v>
      </c>
      <c r="AF15" s="14" t="s">
        <v>24</v>
      </c>
      <c r="AG15">
        <v>3774</v>
      </c>
      <c r="AH15">
        <v>3170</v>
      </c>
      <c r="AI15">
        <v>1076</v>
      </c>
      <c r="AJ15">
        <v>1065</v>
      </c>
    </row>
    <row r="16" spans="4:36" x14ac:dyDescent="0.3">
      <c r="D16" s="14" t="s">
        <v>100</v>
      </c>
      <c r="E16">
        <v>89</v>
      </c>
      <c r="F16">
        <v>20</v>
      </c>
      <c r="G16">
        <v>10</v>
      </c>
      <c r="H16">
        <v>10</v>
      </c>
      <c r="I16" s="13">
        <v>0.2247191011235955</v>
      </c>
      <c r="L16" s="14" t="s">
        <v>100</v>
      </c>
      <c r="M16" s="13">
        <v>0.1</v>
      </c>
      <c r="N16" s="13">
        <v>0.1</v>
      </c>
      <c r="O16" s="13">
        <v>0.3</v>
      </c>
      <c r="Z16" s="14" t="s">
        <v>18</v>
      </c>
      <c r="AA16">
        <v>1416</v>
      </c>
      <c r="AB16">
        <v>1137</v>
      </c>
      <c r="AC16">
        <v>370</v>
      </c>
      <c r="AD16">
        <v>459</v>
      </c>
      <c r="AF16" s="14" t="s">
        <v>18</v>
      </c>
      <c r="AG16">
        <v>1416</v>
      </c>
      <c r="AH16">
        <v>1137</v>
      </c>
      <c r="AI16">
        <v>370</v>
      </c>
      <c r="AJ16">
        <v>459</v>
      </c>
    </row>
    <row r="17" spans="4:36" x14ac:dyDescent="0.3">
      <c r="D17" s="12" t="s">
        <v>25</v>
      </c>
      <c r="E17">
        <v>581</v>
      </c>
      <c r="F17">
        <v>138</v>
      </c>
      <c r="G17">
        <v>113</v>
      </c>
      <c r="H17">
        <v>186</v>
      </c>
      <c r="I17" s="13">
        <v>0.23752151462994836</v>
      </c>
      <c r="L17" s="12" t="s">
        <v>25</v>
      </c>
      <c r="M17" s="13">
        <v>0.17204301075268819</v>
      </c>
      <c r="N17" s="13">
        <v>0</v>
      </c>
      <c r="O17" s="13">
        <v>0.34057971014492755</v>
      </c>
      <c r="Z17" s="12" t="s">
        <v>26</v>
      </c>
      <c r="AA17">
        <v>0</v>
      </c>
      <c r="AF17" s="12" t="s">
        <v>26</v>
      </c>
      <c r="AG17">
        <v>0</v>
      </c>
    </row>
    <row r="18" spans="4:36" x14ac:dyDescent="0.3">
      <c r="D18" s="14" t="s">
        <v>93</v>
      </c>
      <c r="E18">
        <v>62</v>
      </c>
      <c r="F18">
        <v>18</v>
      </c>
      <c r="G18">
        <v>8</v>
      </c>
      <c r="H18">
        <v>14</v>
      </c>
      <c r="I18" s="13">
        <v>0.29032258064516131</v>
      </c>
      <c r="L18" s="14" t="s">
        <v>93</v>
      </c>
      <c r="M18" s="13">
        <v>0.14285714285714285</v>
      </c>
      <c r="N18" s="13">
        <v>0</v>
      </c>
      <c r="O18" s="13">
        <v>0.16666666666666666</v>
      </c>
      <c r="Z18" s="14" t="s">
        <v>26</v>
      </c>
      <c r="AA18">
        <v>0</v>
      </c>
      <c r="AF18" s="14" t="s">
        <v>26</v>
      </c>
      <c r="AG18">
        <v>0</v>
      </c>
    </row>
    <row r="19" spans="4:36" x14ac:dyDescent="0.3">
      <c r="D19" s="14" t="s">
        <v>94</v>
      </c>
      <c r="E19">
        <v>31</v>
      </c>
      <c r="F19">
        <v>3</v>
      </c>
      <c r="G19">
        <v>3</v>
      </c>
      <c r="H19">
        <v>3</v>
      </c>
      <c r="I19" s="13">
        <v>9.6774193548387094E-2</v>
      </c>
      <c r="L19" s="14" t="s">
        <v>94</v>
      </c>
      <c r="M19" s="13">
        <v>0</v>
      </c>
      <c r="N19" s="13">
        <v>0</v>
      </c>
      <c r="O19" s="13">
        <v>0</v>
      </c>
      <c r="Z19" s="12" t="s">
        <v>23</v>
      </c>
      <c r="AA19">
        <v>48914</v>
      </c>
      <c r="AB19">
        <v>40456</v>
      </c>
      <c r="AC19">
        <v>16220</v>
      </c>
      <c r="AD19">
        <v>12572</v>
      </c>
      <c r="AF19" s="12" t="s">
        <v>23</v>
      </c>
      <c r="AG19">
        <v>48914</v>
      </c>
      <c r="AH19">
        <v>40456</v>
      </c>
      <c r="AI19">
        <v>16220</v>
      </c>
      <c r="AJ19">
        <v>12572</v>
      </c>
    </row>
    <row r="20" spans="4:36" x14ac:dyDescent="0.3">
      <c r="D20" s="14" t="s">
        <v>92</v>
      </c>
      <c r="E20">
        <v>83</v>
      </c>
      <c r="F20">
        <v>28</v>
      </c>
      <c r="G20">
        <v>42</v>
      </c>
      <c r="H20">
        <v>43</v>
      </c>
      <c r="I20" s="13">
        <v>0.33734939759036142</v>
      </c>
      <c r="L20" s="14" t="s">
        <v>92</v>
      </c>
      <c r="M20" s="13">
        <v>0.23255813953488372</v>
      </c>
      <c r="N20" s="13">
        <v>0</v>
      </c>
      <c r="O20" s="13">
        <v>0.35714285714285715</v>
      </c>
    </row>
    <row r="21" spans="4:36" x14ac:dyDescent="0.3">
      <c r="D21" s="14" t="s">
        <v>96</v>
      </c>
      <c r="E21">
        <v>86</v>
      </c>
      <c r="F21">
        <v>52</v>
      </c>
      <c r="G21">
        <v>35</v>
      </c>
      <c r="H21">
        <v>35</v>
      </c>
      <c r="I21" s="13">
        <v>0.60465116279069764</v>
      </c>
      <c r="L21" s="14" t="s">
        <v>96</v>
      </c>
      <c r="M21" s="13">
        <v>0.37142857142857144</v>
      </c>
      <c r="N21" s="13">
        <v>0</v>
      </c>
      <c r="O21" s="13">
        <v>0.34615384615384615</v>
      </c>
    </row>
    <row r="22" spans="4:36" x14ac:dyDescent="0.3">
      <c r="D22" s="14" t="s">
        <v>95</v>
      </c>
      <c r="E22">
        <v>155</v>
      </c>
      <c r="F22">
        <v>18</v>
      </c>
      <c r="G22">
        <v>16</v>
      </c>
      <c r="H22">
        <v>29</v>
      </c>
      <c r="I22" s="13">
        <v>0.11612903225806452</v>
      </c>
      <c r="L22" s="14" t="s">
        <v>95</v>
      </c>
      <c r="M22" s="13">
        <v>0.13793103448275862</v>
      </c>
      <c r="N22" s="13">
        <v>0</v>
      </c>
      <c r="O22" s="13">
        <v>0.3888888888888889</v>
      </c>
    </row>
    <row r="23" spans="4:36" x14ac:dyDescent="0.3">
      <c r="D23" s="14" t="s">
        <v>97</v>
      </c>
      <c r="E23">
        <v>164</v>
      </c>
      <c r="F23">
        <v>19</v>
      </c>
      <c r="G23">
        <v>9</v>
      </c>
      <c r="H23">
        <v>62</v>
      </c>
      <c r="I23" s="13">
        <v>0.11585365853658537</v>
      </c>
      <c r="L23" s="14" t="s">
        <v>97</v>
      </c>
      <c r="M23" s="13">
        <v>4.8387096774193547E-2</v>
      </c>
      <c r="N23" s="13">
        <v>0</v>
      </c>
      <c r="O23" s="13">
        <v>0.47368421052631576</v>
      </c>
    </row>
    <row r="24" spans="4:36" x14ac:dyDescent="0.3">
      <c r="D24" s="12" t="s">
        <v>23</v>
      </c>
      <c r="E24">
        <v>1778</v>
      </c>
      <c r="F24">
        <v>488</v>
      </c>
      <c r="G24">
        <v>206</v>
      </c>
      <c r="H24">
        <v>258</v>
      </c>
      <c r="I24" s="13">
        <v>0.27446569178852642</v>
      </c>
      <c r="L24" s="12" t="s">
        <v>23</v>
      </c>
      <c r="M24" s="13">
        <v>0.18992248062015504</v>
      </c>
      <c r="N24" s="13">
        <v>1.4563106796116505E-2</v>
      </c>
      <c r="O24" s="13">
        <v>0.29098360655737704</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8B8A6-36F1-4AF7-9F20-1D0BA63EDBED}">
  <dimension ref="D3:AJ19"/>
  <sheetViews>
    <sheetView zoomScale="66" zoomScaleNormal="66" workbookViewId="0">
      <selection activeCell="D3" sqref="D3"/>
    </sheetView>
  </sheetViews>
  <sheetFormatPr defaultRowHeight="14.4" x14ac:dyDescent="0.3"/>
  <cols>
    <col min="4" max="4" width="14" bestFit="1" customWidth="1"/>
    <col min="5" max="5" width="20" bestFit="1" customWidth="1"/>
    <col min="6" max="6" width="9.44140625" bestFit="1" customWidth="1"/>
    <col min="7" max="7" width="10" bestFit="1" customWidth="1"/>
    <col min="8" max="8" width="9.88671875" bestFit="1" customWidth="1"/>
    <col min="9" max="9" width="10.109375" bestFit="1" customWidth="1"/>
    <col min="11" max="11" width="12.5546875" bestFit="1" customWidth="1"/>
    <col min="12" max="12" width="27.109375" bestFit="1" customWidth="1"/>
    <col min="13" max="13" width="14" bestFit="1" customWidth="1"/>
    <col min="14" max="14" width="16.44140625" bestFit="1" customWidth="1"/>
    <col min="15" max="15" width="14.33203125" bestFit="1" customWidth="1"/>
    <col min="16" max="16" width="14.6640625" bestFit="1" customWidth="1"/>
    <col min="17" max="17" width="15.88671875" bestFit="1" customWidth="1"/>
    <col min="18" max="18" width="9.6640625" bestFit="1" customWidth="1"/>
    <col min="20" max="20" width="12.5546875" bestFit="1" customWidth="1"/>
    <col min="21" max="21" width="27.109375" bestFit="1" customWidth="1"/>
    <col min="22" max="22" width="16" bestFit="1" customWidth="1"/>
    <col min="23" max="23" width="16.5546875" bestFit="1" customWidth="1"/>
    <col min="24" max="24" width="16.33203125" bestFit="1" customWidth="1"/>
    <col min="26" max="26" width="14" bestFit="1" customWidth="1"/>
    <col min="27" max="27" width="28" bestFit="1" customWidth="1"/>
    <col min="28" max="28" width="16.44140625" bestFit="1" customWidth="1"/>
    <col min="29" max="29" width="17.109375" bestFit="1" customWidth="1"/>
    <col min="30" max="30" width="17" bestFit="1" customWidth="1"/>
    <col min="32" max="32" width="14" bestFit="1" customWidth="1"/>
    <col min="33" max="33" width="28" bestFit="1" customWidth="1"/>
    <col min="34" max="34" width="16.44140625" bestFit="1" customWidth="1"/>
    <col min="35" max="35" width="17.109375" bestFit="1" customWidth="1"/>
    <col min="36" max="36" width="17" bestFit="1" customWidth="1"/>
  </cols>
  <sheetData>
    <row r="3" spans="4:36" x14ac:dyDescent="0.3">
      <c r="D3" s="11" t="s">
        <v>0</v>
      </c>
      <c r="E3" t="s">
        <v>1</v>
      </c>
      <c r="F3" t="s">
        <v>2</v>
      </c>
      <c r="G3" t="s">
        <v>3</v>
      </c>
      <c r="H3" t="s">
        <v>4</v>
      </c>
      <c r="I3" t="s">
        <v>5</v>
      </c>
      <c r="M3" s="11" t="s">
        <v>0</v>
      </c>
      <c r="N3" t="s">
        <v>132</v>
      </c>
      <c r="O3" t="s">
        <v>133</v>
      </c>
      <c r="P3" t="s">
        <v>134</v>
      </c>
      <c r="Z3" s="11" t="s">
        <v>0</v>
      </c>
      <c r="AA3" t="s">
        <v>9</v>
      </c>
      <c r="AB3" t="s">
        <v>10</v>
      </c>
      <c r="AC3" t="s">
        <v>11</v>
      </c>
      <c r="AD3" t="s">
        <v>12</v>
      </c>
      <c r="AF3" s="11" t="s">
        <v>0</v>
      </c>
      <c r="AG3" t="s">
        <v>9</v>
      </c>
      <c r="AH3" t="s">
        <v>10</v>
      </c>
      <c r="AI3" t="s">
        <v>11</v>
      </c>
      <c r="AJ3" t="s">
        <v>12</v>
      </c>
    </row>
    <row r="4" spans="4:36" x14ac:dyDescent="0.3">
      <c r="D4" s="12" t="s">
        <v>27</v>
      </c>
      <c r="E4">
        <v>0</v>
      </c>
      <c r="F4">
        <v>0</v>
      </c>
      <c r="G4">
        <v>0</v>
      </c>
      <c r="H4">
        <v>0</v>
      </c>
      <c r="I4" s="13" t="e">
        <v>#DIV/0!</v>
      </c>
      <c r="M4" s="12" t="s">
        <v>27</v>
      </c>
      <c r="N4" s="13" t="e">
        <v>#DIV/0!</v>
      </c>
      <c r="O4" s="13" t="e">
        <v>#DIV/0!</v>
      </c>
      <c r="P4" s="13" t="e">
        <v>#DIV/0!</v>
      </c>
      <c r="Z4" s="12" t="s">
        <v>14</v>
      </c>
      <c r="AA4">
        <v>6064</v>
      </c>
      <c r="AB4">
        <v>5412</v>
      </c>
      <c r="AC4">
        <v>2675</v>
      </c>
      <c r="AD4">
        <v>2434</v>
      </c>
      <c r="AF4" s="12" t="s">
        <v>14</v>
      </c>
      <c r="AG4">
        <v>6064</v>
      </c>
      <c r="AH4">
        <v>5412</v>
      </c>
      <c r="AI4">
        <v>2675</v>
      </c>
      <c r="AJ4">
        <v>2434</v>
      </c>
    </row>
    <row r="5" spans="4:36" x14ac:dyDescent="0.3">
      <c r="D5" s="14" t="s">
        <v>28</v>
      </c>
      <c r="E5">
        <v>0</v>
      </c>
      <c r="F5">
        <v>0</v>
      </c>
      <c r="G5">
        <v>0</v>
      </c>
      <c r="H5">
        <v>0</v>
      </c>
      <c r="I5" s="13" t="e">
        <v>#DIV/0!</v>
      </c>
      <c r="M5" s="14" t="s">
        <v>28</v>
      </c>
      <c r="N5" s="13" t="e">
        <v>#DIV/0!</v>
      </c>
      <c r="O5" s="13" t="e">
        <v>#DIV/0!</v>
      </c>
      <c r="P5" s="13" t="e">
        <v>#DIV/0!</v>
      </c>
      <c r="Z5" s="14" t="s">
        <v>16</v>
      </c>
      <c r="AA5">
        <v>323</v>
      </c>
      <c r="AB5">
        <v>323</v>
      </c>
      <c r="AC5">
        <v>150</v>
      </c>
      <c r="AD5">
        <v>165</v>
      </c>
      <c r="AF5" s="14" t="s">
        <v>16</v>
      </c>
      <c r="AG5">
        <v>323</v>
      </c>
      <c r="AH5">
        <v>323</v>
      </c>
      <c r="AI5">
        <v>150</v>
      </c>
      <c r="AJ5">
        <v>165</v>
      </c>
    </row>
    <row r="6" spans="4:36" x14ac:dyDescent="0.3">
      <c r="D6" s="12" t="s">
        <v>29</v>
      </c>
      <c r="E6">
        <v>358</v>
      </c>
      <c r="F6">
        <v>82</v>
      </c>
      <c r="G6">
        <v>25</v>
      </c>
      <c r="H6">
        <v>20</v>
      </c>
      <c r="I6" s="13">
        <v>0.22905027932960895</v>
      </c>
      <c r="M6" s="12" t="s">
        <v>29</v>
      </c>
      <c r="N6" s="13">
        <v>0.24390243902439024</v>
      </c>
      <c r="O6" s="13">
        <v>0.3</v>
      </c>
      <c r="P6" s="13">
        <v>0.04</v>
      </c>
      <c r="Z6" s="14" t="s">
        <v>18</v>
      </c>
      <c r="AA6">
        <v>899</v>
      </c>
      <c r="AB6">
        <v>768</v>
      </c>
      <c r="AC6">
        <v>396</v>
      </c>
      <c r="AD6">
        <v>455</v>
      </c>
      <c r="AF6" s="14" t="s">
        <v>18</v>
      </c>
      <c r="AG6">
        <v>899</v>
      </c>
      <c r="AH6">
        <v>768</v>
      </c>
      <c r="AI6">
        <v>396</v>
      </c>
      <c r="AJ6">
        <v>455</v>
      </c>
    </row>
    <row r="7" spans="4:36" x14ac:dyDescent="0.3">
      <c r="D7" s="14" t="s">
        <v>31</v>
      </c>
      <c r="E7">
        <v>54</v>
      </c>
      <c r="F7">
        <v>15</v>
      </c>
      <c r="G7">
        <v>5</v>
      </c>
      <c r="H7">
        <v>5</v>
      </c>
      <c r="I7" s="13">
        <v>0.27777777777777779</v>
      </c>
      <c r="M7" s="14" t="s">
        <v>31</v>
      </c>
      <c r="N7" s="13">
        <v>0.26666666666666666</v>
      </c>
      <c r="O7" s="13">
        <v>0.6</v>
      </c>
      <c r="P7" s="13">
        <v>0</v>
      </c>
      <c r="Z7" s="14" t="s">
        <v>20</v>
      </c>
      <c r="AA7">
        <v>4842</v>
      </c>
      <c r="AB7">
        <v>4321</v>
      </c>
      <c r="AC7">
        <v>2129</v>
      </c>
      <c r="AD7">
        <v>1814</v>
      </c>
      <c r="AF7" s="14" t="s">
        <v>20</v>
      </c>
      <c r="AG7">
        <v>4842</v>
      </c>
      <c r="AH7">
        <v>4321</v>
      </c>
      <c r="AI7">
        <v>2129</v>
      </c>
      <c r="AJ7">
        <v>1814</v>
      </c>
    </row>
    <row r="8" spans="4:36" x14ac:dyDescent="0.3">
      <c r="D8" s="14" t="s">
        <v>32</v>
      </c>
      <c r="E8">
        <v>147</v>
      </c>
      <c r="F8">
        <v>36</v>
      </c>
      <c r="G8">
        <v>4</v>
      </c>
      <c r="H8">
        <v>5</v>
      </c>
      <c r="I8" s="13">
        <v>0.24489795918367346</v>
      </c>
      <c r="M8" s="14" t="s">
        <v>32</v>
      </c>
      <c r="N8" s="13">
        <v>0.19444444444444445</v>
      </c>
      <c r="O8" s="13">
        <v>0.4</v>
      </c>
      <c r="P8" s="13">
        <v>0.25</v>
      </c>
      <c r="Z8" s="12" t="s">
        <v>22</v>
      </c>
      <c r="AA8">
        <v>32019</v>
      </c>
      <c r="AB8">
        <v>26071</v>
      </c>
      <c r="AC8">
        <v>10393</v>
      </c>
      <c r="AD8">
        <v>6836</v>
      </c>
      <c r="AF8" s="12" t="s">
        <v>22</v>
      </c>
      <c r="AG8">
        <v>32019</v>
      </c>
      <c r="AH8">
        <v>26071</v>
      </c>
      <c r="AI8">
        <v>10393</v>
      </c>
      <c r="AJ8">
        <v>6836</v>
      </c>
    </row>
    <row r="9" spans="4:36" x14ac:dyDescent="0.3">
      <c r="D9" s="14" t="s">
        <v>28</v>
      </c>
      <c r="E9">
        <v>157</v>
      </c>
      <c r="F9">
        <v>31</v>
      </c>
      <c r="G9">
        <v>16</v>
      </c>
      <c r="H9">
        <v>10</v>
      </c>
      <c r="I9" s="13">
        <v>0.19745222929936307</v>
      </c>
      <c r="M9" s="14" t="s">
        <v>28</v>
      </c>
      <c r="N9" s="13">
        <v>0.29032258064516131</v>
      </c>
      <c r="O9" s="13">
        <v>0.1</v>
      </c>
      <c r="P9" s="13">
        <v>0</v>
      </c>
      <c r="Z9" s="14" t="s">
        <v>16</v>
      </c>
      <c r="AA9">
        <v>8604</v>
      </c>
      <c r="AB9">
        <v>6921</v>
      </c>
      <c r="AC9">
        <v>3117</v>
      </c>
      <c r="AD9">
        <v>2915</v>
      </c>
      <c r="AF9" s="14" t="s">
        <v>16</v>
      </c>
      <c r="AG9">
        <v>8604</v>
      </c>
      <c r="AH9">
        <v>6921</v>
      </c>
      <c r="AI9">
        <v>3117</v>
      </c>
      <c r="AJ9">
        <v>2915</v>
      </c>
    </row>
    <row r="10" spans="4:36" x14ac:dyDescent="0.3">
      <c r="D10" s="12" t="s">
        <v>33</v>
      </c>
      <c r="E10">
        <v>115</v>
      </c>
      <c r="F10">
        <v>23</v>
      </c>
      <c r="G10">
        <v>27</v>
      </c>
      <c r="H10">
        <v>31</v>
      </c>
      <c r="I10" s="13">
        <v>0.2</v>
      </c>
      <c r="M10" s="12" t="s">
        <v>33</v>
      </c>
      <c r="N10" s="13">
        <v>0.17391304347826086</v>
      </c>
      <c r="O10" s="13">
        <v>0.16129032258064516</v>
      </c>
      <c r="P10" s="13">
        <v>0</v>
      </c>
      <c r="Z10" s="14" t="s">
        <v>24</v>
      </c>
      <c r="AA10">
        <v>7816</v>
      </c>
      <c r="AB10">
        <v>6063</v>
      </c>
      <c r="AC10">
        <v>2298</v>
      </c>
      <c r="AD10">
        <v>640</v>
      </c>
      <c r="AF10" s="14" t="s">
        <v>24</v>
      </c>
      <c r="AG10">
        <v>7816</v>
      </c>
      <c r="AH10">
        <v>6063</v>
      </c>
      <c r="AI10">
        <v>2298</v>
      </c>
      <c r="AJ10">
        <v>640</v>
      </c>
    </row>
    <row r="11" spans="4:36" x14ac:dyDescent="0.3">
      <c r="D11" s="14" t="s">
        <v>30</v>
      </c>
      <c r="E11">
        <v>66</v>
      </c>
      <c r="F11">
        <v>11</v>
      </c>
      <c r="G11">
        <v>9</v>
      </c>
      <c r="H11">
        <v>11</v>
      </c>
      <c r="I11" s="13">
        <v>0.16666666666666666</v>
      </c>
      <c r="M11" s="14" t="s">
        <v>30</v>
      </c>
      <c r="N11" s="13">
        <v>0.27272727272727271</v>
      </c>
      <c r="O11" s="13">
        <v>0.18181818181818182</v>
      </c>
      <c r="P11" s="13">
        <v>0</v>
      </c>
      <c r="Z11" s="14" t="s">
        <v>18</v>
      </c>
      <c r="AA11">
        <v>7849</v>
      </c>
      <c r="AB11">
        <v>6478</v>
      </c>
      <c r="AC11">
        <v>2503</v>
      </c>
      <c r="AD11">
        <v>892</v>
      </c>
      <c r="AF11" s="14" t="s">
        <v>18</v>
      </c>
      <c r="AG11">
        <v>7849</v>
      </c>
      <c r="AH11">
        <v>6478</v>
      </c>
      <c r="AI11">
        <v>2503</v>
      </c>
      <c r="AJ11">
        <v>892</v>
      </c>
    </row>
    <row r="12" spans="4:36" x14ac:dyDescent="0.3">
      <c r="D12" s="14" t="s">
        <v>31</v>
      </c>
      <c r="E12">
        <v>49</v>
      </c>
      <c r="F12">
        <v>12</v>
      </c>
      <c r="G12">
        <v>18</v>
      </c>
      <c r="H12">
        <v>20</v>
      </c>
      <c r="I12" s="13">
        <v>0.24489795918367346</v>
      </c>
      <c r="M12" s="14" t="s">
        <v>31</v>
      </c>
      <c r="N12" s="13">
        <v>8.3333333333333329E-2</v>
      </c>
      <c r="O12" s="13">
        <v>0.15</v>
      </c>
      <c r="P12" s="13">
        <v>0</v>
      </c>
      <c r="Z12" s="14" t="s">
        <v>20</v>
      </c>
      <c r="AA12">
        <v>7750</v>
      </c>
      <c r="AB12">
        <v>6609</v>
      </c>
      <c r="AC12">
        <v>2475</v>
      </c>
      <c r="AD12">
        <v>2389</v>
      </c>
      <c r="AF12" s="14" t="s">
        <v>20</v>
      </c>
      <c r="AG12">
        <v>7750</v>
      </c>
      <c r="AH12">
        <v>6609</v>
      </c>
      <c r="AI12">
        <v>2475</v>
      </c>
      <c r="AJ12">
        <v>2389</v>
      </c>
    </row>
    <row r="13" spans="4:36" x14ac:dyDescent="0.3">
      <c r="D13" s="12" t="s">
        <v>26</v>
      </c>
      <c r="E13">
        <v>71</v>
      </c>
      <c r="F13">
        <v>12</v>
      </c>
      <c r="G13">
        <v>18</v>
      </c>
      <c r="H13">
        <v>30</v>
      </c>
      <c r="I13" s="13">
        <v>0.16901408450704225</v>
      </c>
      <c r="M13" s="12" t="s">
        <v>26</v>
      </c>
      <c r="N13" s="13">
        <v>0.5</v>
      </c>
      <c r="O13" s="13">
        <v>0.1</v>
      </c>
      <c r="P13" s="13">
        <v>0</v>
      </c>
      <c r="Z13" s="12" t="s">
        <v>25</v>
      </c>
      <c r="AA13">
        <v>10831</v>
      </c>
      <c r="AB13">
        <v>8973</v>
      </c>
      <c r="AC13">
        <v>3152</v>
      </c>
      <c r="AD13">
        <v>3302</v>
      </c>
      <c r="AF13" s="12" t="s">
        <v>25</v>
      </c>
      <c r="AG13">
        <v>10831</v>
      </c>
      <c r="AH13">
        <v>8973</v>
      </c>
      <c r="AI13">
        <v>3152</v>
      </c>
      <c r="AJ13">
        <v>3302</v>
      </c>
    </row>
    <row r="14" spans="4:36" x14ac:dyDescent="0.3">
      <c r="D14" s="14" t="s">
        <v>26</v>
      </c>
      <c r="E14">
        <v>71</v>
      </c>
      <c r="F14">
        <v>12</v>
      </c>
      <c r="G14">
        <v>18</v>
      </c>
      <c r="H14">
        <v>30</v>
      </c>
      <c r="I14" s="13">
        <v>0.16901408450704225</v>
      </c>
      <c r="M14" s="14" t="s">
        <v>26</v>
      </c>
      <c r="N14" s="13">
        <v>0.5</v>
      </c>
      <c r="O14" s="13">
        <v>0.1</v>
      </c>
      <c r="P14" s="13">
        <v>0</v>
      </c>
      <c r="Z14" s="14" t="s">
        <v>16</v>
      </c>
      <c r="AA14">
        <v>5641</v>
      </c>
      <c r="AB14">
        <v>4666</v>
      </c>
      <c r="AC14">
        <v>1706</v>
      </c>
      <c r="AD14">
        <v>1778</v>
      </c>
      <c r="AF14" s="14" t="s">
        <v>16</v>
      </c>
      <c r="AG14">
        <v>5641</v>
      </c>
      <c r="AH14">
        <v>4666</v>
      </c>
      <c r="AI14">
        <v>1706</v>
      </c>
      <c r="AJ14">
        <v>1778</v>
      </c>
    </row>
    <row r="15" spans="4:36" x14ac:dyDescent="0.3">
      <c r="D15" s="12" t="s">
        <v>23</v>
      </c>
      <c r="E15">
        <v>544</v>
      </c>
      <c r="F15">
        <v>117</v>
      </c>
      <c r="G15">
        <v>70</v>
      </c>
      <c r="H15">
        <v>81</v>
      </c>
      <c r="I15" s="13">
        <v>0.21507352941176472</v>
      </c>
      <c r="M15" s="12" t="s">
        <v>23</v>
      </c>
      <c r="N15" s="13">
        <v>0.25641025641025639</v>
      </c>
      <c r="O15" s="13">
        <v>0.1728395061728395</v>
      </c>
      <c r="P15" s="13">
        <v>1.4285714285714285E-2</v>
      </c>
      <c r="Z15" s="14" t="s">
        <v>24</v>
      </c>
      <c r="AA15">
        <v>3774</v>
      </c>
      <c r="AB15">
        <v>3170</v>
      </c>
      <c r="AC15">
        <v>1076</v>
      </c>
      <c r="AD15">
        <v>1065</v>
      </c>
      <c r="AF15" s="14" t="s">
        <v>24</v>
      </c>
      <c r="AG15">
        <v>3774</v>
      </c>
      <c r="AH15">
        <v>3170</v>
      </c>
      <c r="AI15">
        <v>1076</v>
      </c>
      <c r="AJ15">
        <v>1065</v>
      </c>
    </row>
    <row r="16" spans="4:36" x14ac:dyDescent="0.3">
      <c r="Z16" s="14" t="s">
        <v>18</v>
      </c>
      <c r="AA16">
        <v>1416</v>
      </c>
      <c r="AB16">
        <v>1137</v>
      </c>
      <c r="AC16">
        <v>370</v>
      </c>
      <c r="AD16">
        <v>459</v>
      </c>
      <c r="AF16" s="14" t="s">
        <v>18</v>
      </c>
      <c r="AG16">
        <v>1416</v>
      </c>
      <c r="AH16">
        <v>1137</v>
      </c>
      <c r="AI16">
        <v>370</v>
      </c>
      <c r="AJ16">
        <v>459</v>
      </c>
    </row>
    <row r="17" spans="26:36" x14ac:dyDescent="0.3">
      <c r="Z17" s="12" t="s">
        <v>26</v>
      </c>
      <c r="AA17">
        <v>0</v>
      </c>
      <c r="AF17" s="12" t="s">
        <v>26</v>
      </c>
      <c r="AG17">
        <v>0</v>
      </c>
    </row>
    <row r="18" spans="26:36" x14ac:dyDescent="0.3">
      <c r="Z18" s="14" t="s">
        <v>26</v>
      </c>
      <c r="AA18">
        <v>0</v>
      </c>
      <c r="AF18" s="14" t="s">
        <v>26</v>
      </c>
      <c r="AG18">
        <v>0</v>
      </c>
    </row>
    <row r="19" spans="26:36" x14ac:dyDescent="0.3">
      <c r="Z19" s="12" t="s">
        <v>23</v>
      </c>
      <c r="AA19">
        <v>48914</v>
      </c>
      <c r="AB19">
        <v>40456</v>
      </c>
      <c r="AC19">
        <v>16220</v>
      </c>
      <c r="AD19">
        <v>12572</v>
      </c>
      <c r="AF19" s="12" t="s">
        <v>23</v>
      </c>
      <c r="AG19">
        <v>48914</v>
      </c>
      <c r="AH19">
        <v>40456</v>
      </c>
      <c r="AI19">
        <v>16220</v>
      </c>
      <c r="AJ19">
        <v>12572</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66B81-077C-4D22-B7C5-A3F62C6CE9E8}">
  <dimension ref="A1:AD4"/>
  <sheetViews>
    <sheetView topLeftCell="A121" zoomScale="55" zoomScaleNormal="55" workbookViewId="0">
      <selection activeCell="N132" sqref="N132"/>
    </sheetView>
  </sheetViews>
  <sheetFormatPr defaultColWidth="8.88671875" defaultRowHeight="14.4" x14ac:dyDescent="0.3"/>
  <cols>
    <col min="1" max="16384" width="8.88671875" style="35"/>
  </cols>
  <sheetData>
    <row r="1" spans="1:30" x14ac:dyDescent="0.3">
      <c r="A1" s="46" t="s">
        <v>135</v>
      </c>
      <c r="B1" s="46"/>
      <c r="C1" s="46"/>
      <c r="D1" s="46"/>
      <c r="E1" s="46"/>
      <c r="F1" s="46"/>
      <c r="G1" s="46"/>
      <c r="H1" s="46"/>
      <c r="I1" s="46"/>
      <c r="J1" s="46"/>
      <c r="K1" s="46"/>
      <c r="L1" s="46"/>
      <c r="M1" s="46"/>
      <c r="N1" s="46"/>
      <c r="O1" s="46"/>
      <c r="P1" s="46"/>
      <c r="Q1" s="46"/>
      <c r="R1" s="46"/>
      <c r="S1" s="46"/>
      <c r="T1" s="46"/>
      <c r="U1" s="46"/>
      <c r="V1" s="46"/>
      <c r="W1" s="46"/>
      <c r="X1" s="46"/>
      <c r="Y1" s="46"/>
      <c r="Z1" s="46"/>
      <c r="AA1" s="46"/>
      <c r="AB1" s="46"/>
      <c r="AC1" s="46"/>
      <c r="AD1" s="46"/>
    </row>
    <row r="2" spans="1:30" x14ac:dyDescent="0.3">
      <c r="A2" s="46"/>
      <c r="B2" s="46"/>
      <c r="C2" s="46"/>
      <c r="D2" s="46"/>
      <c r="E2" s="46"/>
      <c r="F2" s="46"/>
      <c r="G2" s="46"/>
      <c r="H2" s="46"/>
      <c r="I2" s="46"/>
      <c r="J2" s="46"/>
      <c r="K2" s="46"/>
      <c r="L2" s="46"/>
      <c r="M2" s="46"/>
      <c r="N2" s="46"/>
      <c r="O2" s="46"/>
      <c r="P2" s="46"/>
      <c r="Q2" s="46"/>
      <c r="R2" s="46"/>
      <c r="S2" s="46"/>
      <c r="T2" s="46"/>
      <c r="U2" s="46"/>
      <c r="V2" s="46"/>
      <c r="W2" s="46"/>
      <c r="X2" s="46"/>
      <c r="Y2" s="46"/>
      <c r="Z2" s="46"/>
      <c r="AA2" s="46"/>
      <c r="AB2" s="46"/>
      <c r="AC2" s="46"/>
      <c r="AD2" s="46"/>
    </row>
    <row r="3" spans="1:30" x14ac:dyDescent="0.3">
      <c r="A3" s="47" t="s">
        <v>136</v>
      </c>
      <c r="B3" s="48"/>
      <c r="C3" s="48"/>
      <c r="D3" s="48"/>
      <c r="E3" s="48"/>
      <c r="F3" s="48"/>
      <c r="G3" s="48"/>
      <c r="H3" s="48"/>
      <c r="I3" s="48"/>
      <c r="J3" s="48"/>
      <c r="K3" s="48"/>
      <c r="L3" s="48"/>
      <c r="M3" s="48"/>
      <c r="N3" s="49"/>
      <c r="Q3" s="47" t="s">
        <v>137</v>
      </c>
      <c r="R3" s="48"/>
      <c r="S3" s="48"/>
      <c r="T3" s="48"/>
      <c r="U3" s="48"/>
      <c r="V3" s="48"/>
      <c r="W3" s="48"/>
      <c r="X3" s="48"/>
      <c r="Y3" s="48"/>
      <c r="Z3" s="48"/>
      <c r="AA3" s="48"/>
      <c r="AB3" s="48"/>
      <c r="AC3" s="49"/>
    </row>
    <row r="4" spans="1:30" x14ac:dyDescent="0.3">
      <c r="A4" s="50"/>
      <c r="B4" s="51"/>
      <c r="C4" s="51"/>
      <c r="D4" s="51"/>
      <c r="E4" s="51"/>
      <c r="F4" s="51"/>
      <c r="G4" s="51"/>
      <c r="H4" s="51"/>
      <c r="I4" s="51"/>
      <c r="J4" s="51"/>
      <c r="K4" s="51"/>
      <c r="L4" s="51"/>
      <c r="M4" s="51"/>
      <c r="N4" s="52"/>
      <c r="Q4" s="50"/>
      <c r="R4" s="51"/>
      <c r="S4" s="51"/>
      <c r="T4" s="51"/>
      <c r="U4" s="51"/>
      <c r="V4" s="51"/>
      <c r="W4" s="51"/>
      <c r="X4" s="51"/>
      <c r="Y4" s="51"/>
      <c r="Z4" s="51"/>
      <c r="AA4" s="51"/>
      <c r="AB4" s="51"/>
      <c r="AC4" s="52"/>
    </row>
  </sheetData>
  <mergeCells count="3">
    <mergeCell ref="A1:AD2"/>
    <mergeCell ref="A3:N4"/>
    <mergeCell ref="Q3:AC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7BBD8-E394-4432-9B17-A1C729B6D5D6}">
  <dimension ref="A5:AL272"/>
  <sheetViews>
    <sheetView zoomScale="60" zoomScaleNormal="60" workbookViewId="0">
      <selection activeCell="D24" sqref="D24"/>
    </sheetView>
  </sheetViews>
  <sheetFormatPr defaultRowHeight="14.4" x14ac:dyDescent="0.3"/>
  <cols>
    <col min="1" max="1" width="10.109375" bestFit="1" customWidth="1"/>
    <col min="2" max="2" width="4.109375" bestFit="1" customWidth="1"/>
    <col min="3" max="3" width="10.6640625" bestFit="1" customWidth="1"/>
    <col min="4" max="6" width="15.109375" bestFit="1" customWidth="1"/>
    <col min="7" max="10" width="12.88671875" style="15" bestFit="1" customWidth="1"/>
    <col min="11" max="14" width="16.44140625" bestFit="1" customWidth="1"/>
    <col min="15" max="27" width="3" bestFit="1" customWidth="1"/>
    <col min="28" max="29" width="4" bestFit="1" customWidth="1"/>
    <col min="30" max="35" width="3" bestFit="1" customWidth="1"/>
    <col min="36" max="36" width="4" bestFit="1" customWidth="1"/>
    <col min="37" max="37" width="3" bestFit="1" customWidth="1"/>
    <col min="38" max="38" width="3.44140625" bestFit="1" customWidth="1"/>
    <col min="39" max="42" width="3" bestFit="1" customWidth="1"/>
    <col min="43" max="45" width="4" bestFit="1" customWidth="1"/>
    <col min="46" max="46" width="9.5546875" bestFit="1" customWidth="1"/>
    <col min="47" max="48" width="2" bestFit="1" customWidth="1"/>
    <col min="49" max="49" width="3" bestFit="1" customWidth="1"/>
    <col min="50" max="51" width="2" bestFit="1" customWidth="1"/>
    <col min="52" max="85" width="3" bestFit="1" customWidth="1"/>
    <col min="86" max="88" width="4" bestFit="1" customWidth="1"/>
    <col min="89" max="89" width="10.44140625" bestFit="1" customWidth="1"/>
    <col min="90" max="91" width="2" bestFit="1" customWidth="1"/>
    <col min="92" max="92" width="3" bestFit="1" customWidth="1"/>
    <col min="93" max="94" width="2" bestFit="1" customWidth="1"/>
    <col min="95" max="114" width="3" bestFit="1" customWidth="1"/>
    <col min="115" max="115" width="4" bestFit="1" customWidth="1"/>
    <col min="116" max="128" width="3" bestFit="1" customWidth="1"/>
    <col min="129" max="131" width="4" bestFit="1" customWidth="1"/>
    <col min="132" max="132" width="10.44140625" bestFit="1" customWidth="1"/>
    <col min="133" max="133" width="12.44140625" bestFit="1" customWidth="1"/>
    <col min="134" max="134" width="7.5546875" bestFit="1" customWidth="1"/>
    <col min="135" max="135" width="12.44140625" bestFit="1" customWidth="1"/>
    <col min="136" max="136" width="7.5546875" bestFit="1" customWidth="1"/>
    <col min="137" max="137" width="7.44140625" bestFit="1" customWidth="1"/>
    <col min="138" max="138" width="7.5546875" bestFit="1" customWidth="1"/>
    <col min="139" max="140" width="12.44140625" bestFit="1" customWidth="1"/>
    <col min="141" max="141" width="7.5546875" bestFit="1" customWidth="1"/>
    <col min="142" max="146" width="12.44140625" bestFit="1" customWidth="1"/>
    <col min="147" max="147" width="11" bestFit="1" customWidth="1"/>
    <col min="148" max="150" width="12.44140625" bestFit="1" customWidth="1"/>
    <col min="151" max="151" width="7.5546875" bestFit="1" customWidth="1"/>
    <col min="152" max="159" width="12.44140625" bestFit="1" customWidth="1"/>
    <col min="160" max="160" width="11" bestFit="1" customWidth="1"/>
    <col min="161" max="161" width="7.5546875" bestFit="1" customWidth="1"/>
    <col min="162" max="165" width="12.44140625" bestFit="1" customWidth="1"/>
    <col min="166" max="166" width="7.5546875" bestFit="1" customWidth="1"/>
    <col min="167" max="174" width="12.44140625" bestFit="1" customWidth="1"/>
    <col min="175" max="177" width="7.5546875" bestFit="1" customWidth="1"/>
    <col min="178" max="178" width="7.44140625" bestFit="1" customWidth="1"/>
    <col min="179" max="185" width="7.5546875" bestFit="1" customWidth="1"/>
    <col min="186" max="187" width="7.44140625" bestFit="1" customWidth="1"/>
    <col min="188" max="193" width="7.5546875" bestFit="1" customWidth="1"/>
    <col min="194" max="194" width="12.44140625" bestFit="1" customWidth="1"/>
    <col min="195" max="196" width="7.5546875" bestFit="1" customWidth="1"/>
    <col min="197" max="197" width="12.44140625" bestFit="1" customWidth="1"/>
    <col min="198" max="199" width="7.5546875" bestFit="1" customWidth="1"/>
    <col min="200" max="201" width="12.44140625" bestFit="1" customWidth="1"/>
    <col min="202" max="204" width="7.5546875" bestFit="1" customWidth="1"/>
    <col min="205" max="205" width="12.44140625" bestFit="1" customWidth="1"/>
    <col min="206" max="207" width="7.5546875" bestFit="1" customWidth="1"/>
    <col min="208" max="211" width="12.44140625" bestFit="1" customWidth="1"/>
    <col min="212" max="214" width="7.5546875" bestFit="1" customWidth="1"/>
    <col min="215" max="215" width="11" bestFit="1" customWidth="1"/>
    <col min="216" max="216" width="7.5546875" bestFit="1" customWidth="1"/>
    <col min="217" max="217" width="12.44140625" bestFit="1" customWidth="1"/>
    <col min="218" max="218" width="7.5546875" bestFit="1" customWidth="1"/>
    <col min="219" max="219" width="12.44140625" bestFit="1" customWidth="1"/>
    <col min="220" max="220" width="7.5546875" bestFit="1" customWidth="1"/>
    <col min="221" max="221" width="12.44140625" bestFit="1" customWidth="1"/>
    <col min="222" max="225" width="7.5546875" bestFit="1" customWidth="1"/>
    <col min="226" max="226" width="12.44140625" bestFit="1" customWidth="1"/>
    <col min="227" max="227" width="7.5546875" bestFit="1" customWidth="1"/>
    <col min="228" max="228" width="12.44140625" bestFit="1" customWidth="1"/>
    <col min="229" max="229" width="7.44140625" bestFit="1" customWidth="1"/>
    <col min="230" max="232" width="12.44140625" bestFit="1" customWidth="1"/>
    <col min="233" max="233" width="7.5546875" bestFit="1" customWidth="1"/>
    <col min="234" max="236" width="12.44140625" bestFit="1" customWidth="1"/>
    <col min="237" max="239" width="7.5546875" bestFit="1" customWidth="1"/>
    <col min="240" max="240" width="12.44140625" bestFit="1" customWidth="1"/>
    <col min="241" max="242" width="7.5546875" bestFit="1" customWidth="1"/>
    <col min="243" max="244" width="12.44140625" bestFit="1" customWidth="1"/>
    <col min="245" max="245" width="7.5546875" bestFit="1" customWidth="1"/>
    <col min="246" max="246" width="12.44140625" bestFit="1" customWidth="1"/>
    <col min="247" max="247" width="7.5546875" bestFit="1" customWidth="1"/>
    <col min="248" max="248" width="12.44140625" bestFit="1" customWidth="1"/>
    <col min="249" max="250" width="7.5546875" bestFit="1" customWidth="1"/>
    <col min="251" max="251" width="7.44140625" bestFit="1" customWidth="1"/>
    <col min="252" max="255" width="12.44140625" bestFit="1" customWidth="1"/>
    <col min="256" max="257" width="7.5546875" bestFit="1" customWidth="1"/>
    <col min="258" max="258" width="12.44140625" bestFit="1" customWidth="1"/>
    <col min="259" max="259" width="7.5546875" bestFit="1" customWidth="1"/>
    <col min="260" max="260" width="12.44140625" bestFit="1" customWidth="1"/>
    <col min="261" max="261" width="10.44140625" bestFit="1" customWidth="1"/>
    <col min="262" max="263" width="7.5546875" bestFit="1" customWidth="1"/>
    <col min="264" max="264" width="7.44140625" bestFit="1" customWidth="1"/>
    <col min="265" max="265" width="12.44140625" bestFit="1" customWidth="1"/>
    <col min="266" max="266" width="7.44140625" bestFit="1" customWidth="1"/>
    <col min="267" max="269" width="12.44140625" bestFit="1" customWidth="1"/>
    <col min="270" max="270" width="7.5546875" bestFit="1" customWidth="1"/>
    <col min="271" max="273" width="12.44140625" bestFit="1" customWidth="1"/>
    <col min="274" max="274" width="7.44140625" bestFit="1" customWidth="1"/>
    <col min="275" max="275" width="12.44140625" bestFit="1" customWidth="1"/>
    <col min="276" max="276" width="7.5546875" bestFit="1" customWidth="1"/>
    <col min="277" max="279" width="12.44140625" bestFit="1" customWidth="1"/>
    <col min="280" max="281" width="7.5546875" bestFit="1" customWidth="1"/>
    <col min="282" max="283" width="12.44140625" bestFit="1" customWidth="1"/>
    <col min="284" max="284" width="7.5546875" bestFit="1" customWidth="1"/>
    <col min="285" max="288" width="12.44140625" bestFit="1" customWidth="1"/>
    <col min="289" max="290" width="7.5546875" bestFit="1" customWidth="1"/>
    <col min="291" max="291" width="7.44140625" bestFit="1" customWidth="1"/>
    <col min="292" max="292" width="12.44140625" bestFit="1" customWidth="1"/>
    <col min="293" max="293" width="11" bestFit="1" customWidth="1"/>
    <col min="294" max="294" width="12.44140625" bestFit="1" customWidth="1"/>
    <col min="295" max="295" width="7.5546875" bestFit="1" customWidth="1"/>
    <col min="296" max="296" width="12.44140625" bestFit="1" customWidth="1"/>
    <col min="297" max="298" width="7.5546875" bestFit="1" customWidth="1"/>
    <col min="299" max="299" width="12.44140625" bestFit="1" customWidth="1"/>
    <col min="300" max="300" width="7.5546875" bestFit="1" customWidth="1"/>
    <col min="301" max="302" width="12.44140625" bestFit="1" customWidth="1"/>
    <col min="303" max="303" width="11" bestFit="1" customWidth="1"/>
    <col min="304" max="305" width="14.5546875" bestFit="1" customWidth="1"/>
    <col min="306" max="307" width="15.44140625" bestFit="1" customWidth="1"/>
    <col min="308" max="308" width="12.5546875" bestFit="1" customWidth="1"/>
    <col min="309" max="309" width="12.44140625" bestFit="1" customWidth="1"/>
    <col min="310" max="310" width="15" bestFit="1" customWidth="1"/>
  </cols>
  <sheetData>
    <row r="5" spans="1:10" x14ac:dyDescent="0.3">
      <c r="A5" s="11" t="s">
        <v>138</v>
      </c>
      <c r="G5" s="38"/>
      <c r="H5" s="39"/>
      <c r="I5" s="40"/>
      <c r="J5"/>
    </row>
    <row r="6" spans="1:10" x14ac:dyDescent="0.3">
      <c r="A6" s="12" t="s">
        <v>139</v>
      </c>
      <c r="B6">
        <v>657</v>
      </c>
      <c r="G6" s="41"/>
      <c r="H6" s="36"/>
      <c r="I6" s="42"/>
      <c r="J6"/>
    </row>
    <row r="7" spans="1:10" x14ac:dyDescent="0.3">
      <c r="A7" s="12" t="s">
        <v>140</v>
      </c>
      <c r="B7">
        <v>155</v>
      </c>
      <c r="G7" s="41"/>
      <c r="H7" s="36"/>
      <c r="I7" s="42"/>
      <c r="J7"/>
    </row>
    <row r="8" spans="1:10" x14ac:dyDescent="0.3">
      <c r="G8" s="41"/>
      <c r="H8" s="36"/>
      <c r="I8" s="42"/>
      <c r="J8"/>
    </row>
    <row r="9" spans="1:10" x14ac:dyDescent="0.3">
      <c r="G9" s="41"/>
      <c r="H9" s="36"/>
      <c r="I9" s="42"/>
      <c r="J9"/>
    </row>
    <row r="10" spans="1:10" x14ac:dyDescent="0.3">
      <c r="G10" s="41"/>
      <c r="H10" s="36"/>
      <c r="I10" s="42"/>
      <c r="J10"/>
    </row>
    <row r="11" spans="1:10" x14ac:dyDescent="0.3">
      <c r="G11" s="41"/>
      <c r="H11" s="36"/>
      <c r="I11" s="42"/>
      <c r="J11"/>
    </row>
    <row r="12" spans="1:10" x14ac:dyDescent="0.3">
      <c r="G12" s="41"/>
      <c r="H12" s="36"/>
      <c r="I12" s="42"/>
      <c r="J12"/>
    </row>
    <row r="13" spans="1:10" x14ac:dyDescent="0.3">
      <c r="G13" s="41"/>
      <c r="H13" s="36"/>
      <c r="I13" s="42"/>
      <c r="J13"/>
    </row>
    <row r="14" spans="1:10" x14ac:dyDescent="0.3">
      <c r="G14" s="41"/>
      <c r="H14" s="36"/>
      <c r="I14" s="42"/>
      <c r="J14"/>
    </row>
    <row r="15" spans="1:10" x14ac:dyDescent="0.3">
      <c r="G15" s="41"/>
      <c r="H15" s="36"/>
      <c r="I15" s="42"/>
      <c r="J15"/>
    </row>
    <row r="16" spans="1:10" x14ac:dyDescent="0.3">
      <c r="A16" s="11" t="s">
        <v>138</v>
      </c>
      <c r="G16" s="41"/>
      <c r="H16" s="36"/>
      <c r="I16" s="42"/>
      <c r="J16"/>
    </row>
    <row r="17" spans="1:38" x14ac:dyDescent="0.3">
      <c r="A17" s="12" t="s">
        <v>3</v>
      </c>
      <c r="B17">
        <v>148</v>
      </c>
      <c r="G17" s="41"/>
      <c r="H17" s="36"/>
      <c r="I17" s="42"/>
      <c r="J17"/>
    </row>
    <row r="18" spans="1:38" x14ac:dyDescent="0.3">
      <c r="A18" s="12" t="s">
        <v>141</v>
      </c>
      <c r="B18">
        <v>8</v>
      </c>
      <c r="G18" s="41"/>
      <c r="H18" s="36"/>
      <c r="I18" s="42"/>
      <c r="J18"/>
    </row>
    <row r="19" spans="1:38" x14ac:dyDescent="0.3">
      <c r="G19" s="41"/>
      <c r="H19" s="36"/>
      <c r="I19" s="42"/>
    </row>
    <row r="20" spans="1:38" x14ac:dyDescent="0.3">
      <c r="G20" s="41"/>
      <c r="H20" s="36"/>
      <c r="I20" s="42"/>
    </row>
    <row r="21" spans="1:38" x14ac:dyDescent="0.3">
      <c r="G21" s="41"/>
      <c r="H21" s="36"/>
      <c r="I21" s="42"/>
    </row>
    <row r="22" spans="1:38" x14ac:dyDescent="0.3">
      <c r="G22" s="43"/>
      <c r="H22" s="44"/>
      <c r="I22" s="45"/>
    </row>
    <row r="23" spans="1:38" x14ac:dyDescent="0.3">
      <c r="G23"/>
    </row>
    <row r="24" spans="1:38" x14ac:dyDescent="0.3">
      <c r="G24"/>
    </row>
    <row r="25" spans="1:38" x14ac:dyDescent="0.3">
      <c r="A25" s="11" t="s">
        <v>138</v>
      </c>
      <c r="G25"/>
    </row>
    <row r="26" spans="1:38" x14ac:dyDescent="0.3">
      <c r="A26" s="12" t="s">
        <v>4</v>
      </c>
      <c r="B26">
        <v>104</v>
      </c>
      <c r="G26"/>
      <c r="AL26" s="13"/>
    </row>
    <row r="27" spans="1:38" x14ac:dyDescent="0.3">
      <c r="A27" s="12" t="s">
        <v>142</v>
      </c>
      <c r="B27">
        <v>8</v>
      </c>
      <c r="G27"/>
    </row>
    <row r="28" spans="1:38" x14ac:dyDescent="0.3">
      <c r="G28"/>
    </row>
    <row r="29" spans="1:38" x14ac:dyDescent="0.3">
      <c r="G29"/>
    </row>
    <row r="30" spans="1:38" x14ac:dyDescent="0.3">
      <c r="G30"/>
    </row>
    <row r="31" spans="1:38" x14ac:dyDescent="0.3">
      <c r="G31"/>
    </row>
    <row r="32" spans="1:38" x14ac:dyDescent="0.3">
      <c r="G32"/>
    </row>
    <row r="33" spans="7:7" x14ac:dyDescent="0.3">
      <c r="G33"/>
    </row>
    <row r="34" spans="7:7" x14ac:dyDescent="0.3">
      <c r="G34"/>
    </row>
    <row r="35" spans="7:7" x14ac:dyDescent="0.3">
      <c r="G35"/>
    </row>
    <row r="36" spans="7:7" x14ac:dyDescent="0.3">
      <c r="G36"/>
    </row>
    <row r="37" spans="7:7" x14ac:dyDescent="0.3">
      <c r="G37"/>
    </row>
    <row r="38" spans="7:7" x14ac:dyDescent="0.3">
      <c r="G38"/>
    </row>
    <row r="39" spans="7:7" x14ac:dyDescent="0.3">
      <c r="G39"/>
    </row>
    <row r="40" spans="7:7" x14ac:dyDescent="0.3">
      <c r="G40"/>
    </row>
    <row r="41" spans="7:7" x14ac:dyDescent="0.3">
      <c r="G41"/>
    </row>
    <row r="42" spans="7:7" x14ac:dyDescent="0.3">
      <c r="G42"/>
    </row>
    <row r="43" spans="7:7" x14ac:dyDescent="0.3">
      <c r="G43"/>
    </row>
    <row r="44" spans="7:7" x14ac:dyDescent="0.3">
      <c r="G44"/>
    </row>
    <row r="45" spans="7:7" x14ac:dyDescent="0.3">
      <c r="G45"/>
    </row>
    <row r="46" spans="7:7" x14ac:dyDescent="0.3">
      <c r="G46"/>
    </row>
    <row r="47" spans="7:7" x14ac:dyDescent="0.3">
      <c r="G47"/>
    </row>
    <row r="48" spans="7:7" x14ac:dyDescent="0.3">
      <c r="G48"/>
    </row>
    <row r="49" spans="7:7" x14ac:dyDescent="0.3">
      <c r="G49"/>
    </row>
    <row r="50" spans="7:7" x14ac:dyDescent="0.3">
      <c r="G50"/>
    </row>
    <row r="51" spans="7:7" x14ac:dyDescent="0.3">
      <c r="G51"/>
    </row>
    <row r="52" spans="7:7" x14ac:dyDescent="0.3">
      <c r="G52"/>
    </row>
    <row r="53" spans="7:7" x14ac:dyDescent="0.3">
      <c r="G53"/>
    </row>
    <row r="54" spans="7:7" x14ac:dyDescent="0.3">
      <c r="G54"/>
    </row>
    <row r="55" spans="7:7" x14ac:dyDescent="0.3">
      <c r="G55"/>
    </row>
    <row r="56" spans="7:7" x14ac:dyDescent="0.3">
      <c r="G56"/>
    </row>
    <row r="57" spans="7:7" x14ac:dyDescent="0.3">
      <c r="G57"/>
    </row>
    <row r="58" spans="7:7" x14ac:dyDescent="0.3">
      <c r="G58"/>
    </row>
    <row r="59" spans="7:7" x14ac:dyDescent="0.3">
      <c r="G59"/>
    </row>
    <row r="60" spans="7:7" x14ac:dyDescent="0.3">
      <c r="G60"/>
    </row>
    <row r="61" spans="7:7" x14ac:dyDescent="0.3">
      <c r="G61"/>
    </row>
    <row r="62" spans="7:7" x14ac:dyDescent="0.3">
      <c r="G62"/>
    </row>
    <row r="63" spans="7:7" x14ac:dyDescent="0.3">
      <c r="G63"/>
    </row>
    <row r="64" spans="7:7" x14ac:dyDescent="0.3">
      <c r="G64"/>
    </row>
    <row r="65" spans="7:7" x14ac:dyDescent="0.3">
      <c r="G65"/>
    </row>
    <row r="66" spans="7:7" x14ac:dyDescent="0.3">
      <c r="G66"/>
    </row>
    <row r="67" spans="7:7" x14ac:dyDescent="0.3">
      <c r="G67"/>
    </row>
    <row r="68" spans="7:7" x14ac:dyDescent="0.3">
      <c r="G68"/>
    </row>
    <row r="69" spans="7:7" x14ac:dyDescent="0.3">
      <c r="G69"/>
    </row>
    <row r="70" spans="7:7" x14ac:dyDescent="0.3">
      <c r="G70"/>
    </row>
    <row r="71" spans="7:7" x14ac:dyDescent="0.3">
      <c r="G71"/>
    </row>
    <row r="72" spans="7:7" x14ac:dyDescent="0.3">
      <c r="G72"/>
    </row>
    <row r="73" spans="7:7" x14ac:dyDescent="0.3">
      <c r="G73"/>
    </row>
    <row r="74" spans="7:7" x14ac:dyDescent="0.3">
      <c r="G74"/>
    </row>
    <row r="75" spans="7:7" x14ac:dyDescent="0.3">
      <c r="G75"/>
    </row>
    <row r="76" spans="7:7" x14ac:dyDescent="0.3">
      <c r="G76"/>
    </row>
    <row r="77" spans="7:7" x14ac:dyDescent="0.3">
      <c r="G77"/>
    </row>
    <row r="78" spans="7:7" x14ac:dyDescent="0.3">
      <c r="G78"/>
    </row>
    <row r="79" spans="7:7" x14ac:dyDescent="0.3">
      <c r="G79"/>
    </row>
    <row r="80" spans="7:7" x14ac:dyDescent="0.3">
      <c r="G80"/>
    </row>
    <row r="81" spans="7:7" x14ac:dyDescent="0.3">
      <c r="G81"/>
    </row>
    <row r="82" spans="7:7" x14ac:dyDescent="0.3">
      <c r="G82"/>
    </row>
    <row r="83" spans="7:7" x14ac:dyDescent="0.3">
      <c r="G83"/>
    </row>
    <row r="84" spans="7:7" x14ac:dyDescent="0.3">
      <c r="G84"/>
    </row>
    <row r="85" spans="7:7" x14ac:dyDescent="0.3">
      <c r="G85"/>
    </row>
    <row r="86" spans="7:7" x14ac:dyDescent="0.3">
      <c r="G86"/>
    </row>
    <row r="87" spans="7:7" x14ac:dyDescent="0.3">
      <c r="G87"/>
    </row>
    <row r="88" spans="7:7" x14ac:dyDescent="0.3">
      <c r="G88"/>
    </row>
    <row r="89" spans="7:7" x14ac:dyDescent="0.3">
      <c r="G89"/>
    </row>
    <row r="90" spans="7:7" x14ac:dyDescent="0.3">
      <c r="G90"/>
    </row>
    <row r="91" spans="7:7" x14ac:dyDescent="0.3">
      <c r="G91"/>
    </row>
    <row r="92" spans="7:7" x14ac:dyDescent="0.3">
      <c r="G92"/>
    </row>
    <row r="93" spans="7:7" x14ac:dyDescent="0.3">
      <c r="G93"/>
    </row>
    <row r="94" spans="7:7" x14ac:dyDescent="0.3">
      <c r="G94"/>
    </row>
    <row r="95" spans="7:7" x14ac:dyDescent="0.3">
      <c r="G95"/>
    </row>
    <row r="96" spans="7:7" x14ac:dyDescent="0.3">
      <c r="G96"/>
    </row>
    <row r="97" spans="7:7" x14ac:dyDescent="0.3">
      <c r="G97"/>
    </row>
    <row r="98" spans="7:7" x14ac:dyDescent="0.3">
      <c r="G98"/>
    </row>
    <row r="99" spans="7:7" x14ac:dyDescent="0.3">
      <c r="G99"/>
    </row>
    <row r="100" spans="7:7" x14ac:dyDescent="0.3">
      <c r="G100"/>
    </row>
    <row r="101" spans="7:7" x14ac:dyDescent="0.3">
      <c r="G101"/>
    </row>
    <row r="102" spans="7:7" x14ac:dyDescent="0.3">
      <c r="G102"/>
    </row>
    <row r="103" spans="7:7" x14ac:dyDescent="0.3">
      <c r="G103"/>
    </row>
    <row r="104" spans="7:7" x14ac:dyDescent="0.3">
      <c r="G104"/>
    </row>
    <row r="105" spans="7:7" x14ac:dyDescent="0.3">
      <c r="G105"/>
    </row>
    <row r="106" spans="7:7" x14ac:dyDescent="0.3">
      <c r="G106"/>
    </row>
    <row r="107" spans="7:7" x14ac:dyDescent="0.3">
      <c r="G107"/>
    </row>
    <row r="108" spans="7:7" x14ac:dyDescent="0.3">
      <c r="G108"/>
    </row>
    <row r="109" spans="7:7" x14ac:dyDescent="0.3">
      <c r="G109"/>
    </row>
    <row r="110" spans="7:7" x14ac:dyDescent="0.3">
      <c r="G110"/>
    </row>
    <row r="111" spans="7:7" x14ac:dyDescent="0.3">
      <c r="G111"/>
    </row>
    <row r="112" spans="7:7" x14ac:dyDescent="0.3">
      <c r="G112"/>
    </row>
    <row r="113" spans="7:7" x14ac:dyDescent="0.3">
      <c r="G113"/>
    </row>
    <row r="114" spans="7:7" x14ac:dyDescent="0.3">
      <c r="G114"/>
    </row>
    <row r="115" spans="7:7" x14ac:dyDescent="0.3">
      <c r="G115"/>
    </row>
    <row r="116" spans="7:7" x14ac:dyDescent="0.3">
      <c r="G116"/>
    </row>
    <row r="117" spans="7:7" x14ac:dyDescent="0.3">
      <c r="G117"/>
    </row>
    <row r="118" spans="7:7" x14ac:dyDescent="0.3">
      <c r="G118"/>
    </row>
    <row r="119" spans="7:7" x14ac:dyDescent="0.3">
      <c r="G119"/>
    </row>
    <row r="120" spans="7:7" x14ac:dyDescent="0.3">
      <c r="G120"/>
    </row>
    <row r="121" spans="7:7" x14ac:dyDescent="0.3">
      <c r="G121"/>
    </row>
    <row r="122" spans="7:7" x14ac:dyDescent="0.3">
      <c r="G122"/>
    </row>
    <row r="123" spans="7:7" x14ac:dyDescent="0.3">
      <c r="G123"/>
    </row>
    <row r="124" spans="7:7" x14ac:dyDescent="0.3">
      <c r="G124"/>
    </row>
    <row r="125" spans="7:7" x14ac:dyDescent="0.3">
      <c r="G125"/>
    </row>
    <row r="126" spans="7:7" x14ac:dyDescent="0.3">
      <c r="G126"/>
    </row>
    <row r="127" spans="7:7" x14ac:dyDescent="0.3">
      <c r="G127"/>
    </row>
    <row r="128" spans="7:7" x14ac:dyDescent="0.3">
      <c r="G128"/>
    </row>
    <row r="129" spans="7:7" x14ac:dyDescent="0.3">
      <c r="G129"/>
    </row>
    <row r="130" spans="7:7" x14ac:dyDescent="0.3">
      <c r="G130"/>
    </row>
    <row r="131" spans="7:7" x14ac:dyDescent="0.3">
      <c r="G131"/>
    </row>
    <row r="132" spans="7:7" x14ac:dyDescent="0.3">
      <c r="G132"/>
    </row>
    <row r="133" spans="7:7" x14ac:dyDescent="0.3">
      <c r="G133"/>
    </row>
    <row r="134" spans="7:7" x14ac:dyDescent="0.3">
      <c r="G134"/>
    </row>
    <row r="135" spans="7:7" x14ac:dyDescent="0.3">
      <c r="G135"/>
    </row>
    <row r="136" spans="7:7" x14ac:dyDescent="0.3">
      <c r="G136"/>
    </row>
    <row r="137" spans="7:7" x14ac:dyDescent="0.3">
      <c r="G137"/>
    </row>
    <row r="138" spans="7:7" x14ac:dyDescent="0.3">
      <c r="G138"/>
    </row>
    <row r="139" spans="7:7" x14ac:dyDescent="0.3">
      <c r="G139"/>
    </row>
    <row r="140" spans="7:7" x14ac:dyDescent="0.3">
      <c r="G140"/>
    </row>
    <row r="141" spans="7:7" x14ac:dyDescent="0.3">
      <c r="G141"/>
    </row>
    <row r="142" spans="7:7" x14ac:dyDescent="0.3">
      <c r="G142"/>
    </row>
    <row r="143" spans="7:7" x14ac:dyDescent="0.3">
      <c r="G143"/>
    </row>
    <row r="144" spans="7:7" x14ac:dyDescent="0.3">
      <c r="G144"/>
    </row>
    <row r="145" spans="7:7" x14ac:dyDescent="0.3">
      <c r="G145"/>
    </row>
    <row r="146" spans="7:7" x14ac:dyDescent="0.3">
      <c r="G146"/>
    </row>
    <row r="147" spans="7:7" x14ac:dyDescent="0.3">
      <c r="G147"/>
    </row>
    <row r="148" spans="7:7" x14ac:dyDescent="0.3">
      <c r="G148"/>
    </row>
    <row r="149" spans="7:7" x14ac:dyDescent="0.3">
      <c r="G149"/>
    </row>
    <row r="150" spans="7:7" x14ac:dyDescent="0.3">
      <c r="G150"/>
    </row>
    <row r="151" spans="7:7" x14ac:dyDescent="0.3">
      <c r="G151"/>
    </row>
    <row r="152" spans="7:7" x14ac:dyDescent="0.3">
      <c r="G152"/>
    </row>
    <row r="153" spans="7:7" x14ac:dyDescent="0.3">
      <c r="G153"/>
    </row>
    <row r="154" spans="7:7" x14ac:dyDescent="0.3">
      <c r="G154"/>
    </row>
    <row r="155" spans="7:7" x14ac:dyDescent="0.3">
      <c r="G155"/>
    </row>
    <row r="156" spans="7:7" x14ac:dyDescent="0.3">
      <c r="G156"/>
    </row>
    <row r="157" spans="7:7" x14ac:dyDescent="0.3">
      <c r="G157"/>
    </row>
    <row r="158" spans="7:7" x14ac:dyDescent="0.3">
      <c r="G158"/>
    </row>
    <row r="159" spans="7:7" x14ac:dyDescent="0.3">
      <c r="G159"/>
    </row>
    <row r="160" spans="7:7" x14ac:dyDescent="0.3">
      <c r="G160"/>
    </row>
    <row r="161" spans="7:7" x14ac:dyDescent="0.3">
      <c r="G161"/>
    </row>
    <row r="162" spans="7:7" x14ac:dyDescent="0.3">
      <c r="G162"/>
    </row>
    <row r="163" spans="7:7" x14ac:dyDescent="0.3">
      <c r="G163"/>
    </row>
    <row r="164" spans="7:7" x14ac:dyDescent="0.3">
      <c r="G164"/>
    </row>
    <row r="165" spans="7:7" x14ac:dyDescent="0.3">
      <c r="G165"/>
    </row>
    <row r="166" spans="7:7" x14ac:dyDescent="0.3">
      <c r="G166"/>
    </row>
    <row r="167" spans="7:7" x14ac:dyDescent="0.3">
      <c r="G167"/>
    </row>
    <row r="168" spans="7:7" x14ac:dyDescent="0.3">
      <c r="G168"/>
    </row>
    <row r="169" spans="7:7" x14ac:dyDescent="0.3">
      <c r="G169"/>
    </row>
    <row r="170" spans="7:7" x14ac:dyDescent="0.3">
      <c r="G170"/>
    </row>
    <row r="171" spans="7:7" x14ac:dyDescent="0.3">
      <c r="G171"/>
    </row>
    <row r="172" spans="7:7" x14ac:dyDescent="0.3">
      <c r="G172"/>
    </row>
    <row r="173" spans="7:7" x14ac:dyDescent="0.3">
      <c r="G173"/>
    </row>
    <row r="174" spans="7:7" x14ac:dyDescent="0.3">
      <c r="G174"/>
    </row>
    <row r="175" spans="7:7" x14ac:dyDescent="0.3">
      <c r="G175"/>
    </row>
    <row r="176" spans="7:7" x14ac:dyDescent="0.3">
      <c r="G176"/>
    </row>
    <row r="177" spans="7:7" x14ac:dyDescent="0.3">
      <c r="G177"/>
    </row>
    <row r="178" spans="7:7" x14ac:dyDescent="0.3">
      <c r="G178"/>
    </row>
    <row r="179" spans="7:7" x14ac:dyDescent="0.3">
      <c r="G179"/>
    </row>
    <row r="180" spans="7:7" x14ac:dyDescent="0.3">
      <c r="G180"/>
    </row>
    <row r="181" spans="7:7" x14ac:dyDescent="0.3">
      <c r="G181"/>
    </row>
    <row r="182" spans="7:7" x14ac:dyDescent="0.3">
      <c r="G182"/>
    </row>
    <row r="183" spans="7:7" x14ac:dyDescent="0.3">
      <c r="G183"/>
    </row>
    <row r="184" spans="7:7" x14ac:dyDescent="0.3">
      <c r="G184"/>
    </row>
    <row r="185" spans="7:7" x14ac:dyDescent="0.3">
      <c r="G185"/>
    </row>
    <row r="186" spans="7:7" x14ac:dyDescent="0.3">
      <c r="G186"/>
    </row>
    <row r="187" spans="7:7" x14ac:dyDescent="0.3">
      <c r="G187"/>
    </row>
    <row r="188" spans="7:7" x14ac:dyDescent="0.3">
      <c r="G188"/>
    </row>
    <row r="189" spans="7:7" x14ac:dyDescent="0.3">
      <c r="G189"/>
    </row>
    <row r="190" spans="7:7" x14ac:dyDescent="0.3">
      <c r="G190"/>
    </row>
    <row r="191" spans="7:7" x14ac:dyDescent="0.3">
      <c r="G191"/>
    </row>
    <row r="192" spans="7:7" x14ac:dyDescent="0.3">
      <c r="G192"/>
    </row>
    <row r="193" spans="7:7" x14ac:dyDescent="0.3">
      <c r="G193"/>
    </row>
    <row r="194" spans="7:7" x14ac:dyDescent="0.3">
      <c r="G194"/>
    </row>
    <row r="195" spans="7:7" x14ac:dyDescent="0.3">
      <c r="G195"/>
    </row>
    <row r="196" spans="7:7" x14ac:dyDescent="0.3">
      <c r="G196"/>
    </row>
    <row r="197" spans="7:7" x14ac:dyDescent="0.3">
      <c r="G197"/>
    </row>
    <row r="198" spans="7:7" x14ac:dyDescent="0.3">
      <c r="G198"/>
    </row>
    <row r="199" spans="7:7" x14ac:dyDescent="0.3">
      <c r="G199"/>
    </row>
    <row r="200" spans="7:7" x14ac:dyDescent="0.3">
      <c r="G200"/>
    </row>
    <row r="201" spans="7:7" x14ac:dyDescent="0.3">
      <c r="G201"/>
    </row>
    <row r="202" spans="7:7" x14ac:dyDescent="0.3">
      <c r="G202"/>
    </row>
    <row r="203" spans="7:7" x14ac:dyDescent="0.3">
      <c r="G203"/>
    </row>
    <row r="204" spans="7:7" x14ac:dyDescent="0.3">
      <c r="G204"/>
    </row>
    <row r="205" spans="7:7" x14ac:dyDescent="0.3">
      <c r="G205"/>
    </row>
    <row r="206" spans="7:7" x14ac:dyDescent="0.3">
      <c r="G206"/>
    </row>
    <row r="207" spans="7:7" x14ac:dyDescent="0.3">
      <c r="G207"/>
    </row>
    <row r="208" spans="7:7" x14ac:dyDescent="0.3">
      <c r="G208"/>
    </row>
    <row r="209" spans="7:7" x14ac:dyDescent="0.3">
      <c r="G209"/>
    </row>
    <row r="210" spans="7:7" x14ac:dyDescent="0.3">
      <c r="G210"/>
    </row>
    <row r="211" spans="7:7" x14ac:dyDescent="0.3">
      <c r="G211"/>
    </row>
    <row r="212" spans="7:7" x14ac:dyDescent="0.3">
      <c r="G212"/>
    </row>
    <row r="213" spans="7:7" x14ac:dyDescent="0.3">
      <c r="G213"/>
    </row>
    <row r="214" spans="7:7" x14ac:dyDescent="0.3">
      <c r="G214"/>
    </row>
    <row r="215" spans="7:7" x14ac:dyDescent="0.3">
      <c r="G215"/>
    </row>
    <row r="216" spans="7:7" x14ac:dyDescent="0.3">
      <c r="G216"/>
    </row>
    <row r="217" spans="7:7" x14ac:dyDescent="0.3">
      <c r="G217"/>
    </row>
    <row r="218" spans="7:7" x14ac:dyDescent="0.3">
      <c r="G218"/>
    </row>
    <row r="219" spans="7:7" x14ac:dyDescent="0.3">
      <c r="G219"/>
    </row>
    <row r="220" spans="7:7" x14ac:dyDescent="0.3">
      <c r="G220"/>
    </row>
    <row r="221" spans="7:7" x14ac:dyDescent="0.3">
      <c r="G221"/>
    </row>
    <row r="222" spans="7:7" x14ac:dyDescent="0.3">
      <c r="G222"/>
    </row>
    <row r="223" spans="7:7" x14ac:dyDescent="0.3">
      <c r="G223"/>
    </row>
    <row r="224" spans="7:7" x14ac:dyDescent="0.3">
      <c r="G224"/>
    </row>
    <row r="225" spans="7:7" x14ac:dyDescent="0.3">
      <c r="G225"/>
    </row>
    <row r="226" spans="7:7" x14ac:dyDescent="0.3">
      <c r="G226"/>
    </row>
    <row r="227" spans="7:7" x14ac:dyDescent="0.3">
      <c r="G227"/>
    </row>
    <row r="228" spans="7:7" x14ac:dyDescent="0.3">
      <c r="G228"/>
    </row>
    <row r="229" spans="7:7" x14ac:dyDescent="0.3">
      <c r="G229"/>
    </row>
    <row r="230" spans="7:7" x14ac:dyDescent="0.3">
      <c r="G230"/>
    </row>
    <row r="231" spans="7:7" x14ac:dyDescent="0.3">
      <c r="G231"/>
    </row>
    <row r="232" spans="7:7" x14ac:dyDescent="0.3">
      <c r="G232"/>
    </row>
    <row r="233" spans="7:7" x14ac:dyDescent="0.3">
      <c r="G233"/>
    </row>
    <row r="234" spans="7:7" x14ac:dyDescent="0.3">
      <c r="G234"/>
    </row>
    <row r="235" spans="7:7" x14ac:dyDescent="0.3">
      <c r="G235"/>
    </row>
    <row r="236" spans="7:7" x14ac:dyDescent="0.3">
      <c r="G236"/>
    </row>
    <row r="237" spans="7:7" x14ac:dyDescent="0.3">
      <c r="G237"/>
    </row>
    <row r="238" spans="7:7" x14ac:dyDescent="0.3">
      <c r="G238"/>
    </row>
    <row r="239" spans="7:7" x14ac:dyDescent="0.3">
      <c r="G239"/>
    </row>
    <row r="240" spans="7:7" x14ac:dyDescent="0.3">
      <c r="G240"/>
    </row>
    <row r="241" spans="7:7" x14ac:dyDescent="0.3">
      <c r="G241"/>
    </row>
    <row r="242" spans="7:7" x14ac:dyDescent="0.3">
      <c r="G242"/>
    </row>
    <row r="243" spans="7:7" x14ac:dyDescent="0.3">
      <c r="G243"/>
    </row>
    <row r="244" spans="7:7" x14ac:dyDescent="0.3">
      <c r="G244"/>
    </row>
    <row r="245" spans="7:7" x14ac:dyDescent="0.3">
      <c r="G245"/>
    </row>
    <row r="246" spans="7:7" x14ac:dyDescent="0.3">
      <c r="G246"/>
    </row>
    <row r="247" spans="7:7" x14ac:dyDescent="0.3">
      <c r="G247"/>
    </row>
    <row r="248" spans="7:7" x14ac:dyDescent="0.3">
      <c r="G248"/>
    </row>
    <row r="249" spans="7:7" x14ac:dyDescent="0.3">
      <c r="G249"/>
    </row>
    <row r="250" spans="7:7" x14ac:dyDescent="0.3">
      <c r="G250"/>
    </row>
    <row r="251" spans="7:7" x14ac:dyDescent="0.3">
      <c r="G251"/>
    </row>
    <row r="252" spans="7:7" x14ac:dyDescent="0.3">
      <c r="G252"/>
    </row>
    <row r="253" spans="7:7" x14ac:dyDescent="0.3">
      <c r="G253"/>
    </row>
    <row r="254" spans="7:7" x14ac:dyDescent="0.3">
      <c r="G254"/>
    </row>
    <row r="255" spans="7:7" x14ac:dyDescent="0.3">
      <c r="G255"/>
    </row>
    <row r="256" spans="7:7" x14ac:dyDescent="0.3">
      <c r="G256"/>
    </row>
    <row r="257" spans="7:7" x14ac:dyDescent="0.3">
      <c r="G257"/>
    </row>
    <row r="258" spans="7:7" x14ac:dyDescent="0.3">
      <c r="G258"/>
    </row>
    <row r="259" spans="7:7" x14ac:dyDescent="0.3">
      <c r="G259"/>
    </row>
    <row r="260" spans="7:7" x14ac:dyDescent="0.3">
      <c r="G260"/>
    </row>
    <row r="261" spans="7:7" x14ac:dyDescent="0.3">
      <c r="G261"/>
    </row>
    <row r="262" spans="7:7" x14ac:dyDescent="0.3">
      <c r="G262"/>
    </row>
    <row r="263" spans="7:7" x14ac:dyDescent="0.3">
      <c r="G263"/>
    </row>
    <row r="264" spans="7:7" x14ac:dyDescent="0.3">
      <c r="G264"/>
    </row>
    <row r="265" spans="7:7" x14ac:dyDescent="0.3">
      <c r="G265"/>
    </row>
    <row r="266" spans="7:7" x14ac:dyDescent="0.3">
      <c r="G266"/>
    </row>
    <row r="267" spans="7:7" x14ac:dyDescent="0.3">
      <c r="G267"/>
    </row>
    <row r="268" spans="7:7" x14ac:dyDescent="0.3">
      <c r="G268"/>
    </row>
    <row r="269" spans="7:7" x14ac:dyDescent="0.3">
      <c r="G269"/>
    </row>
    <row r="270" spans="7:7" x14ac:dyDescent="0.3">
      <c r="G270"/>
    </row>
    <row r="271" spans="7:7" x14ac:dyDescent="0.3">
      <c r="G271"/>
    </row>
    <row r="272" spans="7:7" x14ac:dyDescent="0.3">
      <c r="G272"/>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2A3A5-0DD5-4AF0-8C4D-6B622418395B}">
  <sheetPr codeName="Sheet5"/>
  <dimension ref="A5:K272"/>
  <sheetViews>
    <sheetView zoomScale="70" zoomScaleNormal="70" workbookViewId="0">
      <selection activeCell="H55" sqref="H55"/>
    </sheetView>
  </sheetViews>
  <sheetFormatPr defaultRowHeight="14.4" x14ac:dyDescent="0.3"/>
  <cols>
    <col min="1" max="1" width="14" bestFit="1" customWidth="1"/>
    <col min="2" max="2" width="10.6640625" bestFit="1" customWidth="1"/>
    <col min="3" max="3" width="10" bestFit="1" customWidth="1"/>
    <col min="4" max="4" width="11.88671875" bestFit="1" customWidth="1"/>
    <col min="5" max="5" width="11.6640625" customWidth="1"/>
    <col min="6" max="6" width="19.5546875" bestFit="1" customWidth="1"/>
    <col min="7" max="7" width="16.44140625" customWidth="1"/>
    <col min="8" max="8" width="14" style="15" bestFit="1" customWidth="1"/>
    <col min="9" max="10" width="12.33203125" style="15" bestFit="1" customWidth="1"/>
    <col min="11" max="11" width="7.5546875" style="15" bestFit="1" customWidth="1"/>
    <col min="12" max="15" width="16.44140625" bestFit="1" customWidth="1"/>
    <col min="16" max="28" width="3" bestFit="1" customWidth="1"/>
    <col min="29" max="30" width="4" bestFit="1" customWidth="1"/>
    <col min="31" max="36" width="3" bestFit="1" customWidth="1"/>
    <col min="37" max="37" width="4" bestFit="1" customWidth="1"/>
    <col min="38" max="43" width="3" bestFit="1" customWidth="1"/>
    <col min="44" max="46" width="4" bestFit="1" customWidth="1"/>
    <col min="47" max="47" width="9.5546875" bestFit="1" customWidth="1"/>
    <col min="48" max="49" width="2" bestFit="1" customWidth="1"/>
    <col min="50" max="50" width="3" bestFit="1" customWidth="1"/>
    <col min="51" max="52" width="2" bestFit="1" customWidth="1"/>
    <col min="53" max="86" width="3" bestFit="1" customWidth="1"/>
    <col min="87" max="89" width="4" bestFit="1" customWidth="1"/>
    <col min="90" max="90" width="10.44140625" bestFit="1" customWidth="1"/>
    <col min="91" max="92" width="2" bestFit="1" customWidth="1"/>
    <col min="93" max="93" width="3" bestFit="1" customWidth="1"/>
    <col min="94" max="95" width="2" bestFit="1" customWidth="1"/>
    <col min="96" max="115" width="3" bestFit="1" customWidth="1"/>
    <col min="116" max="116" width="4" bestFit="1" customWidth="1"/>
    <col min="117" max="129" width="3" bestFit="1" customWidth="1"/>
    <col min="130" max="132" width="4" bestFit="1" customWidth="1"/>
    <col min="133" max="133" width="10.44140625" bestFit="1" customWidth="1"/>
    <col min="134" max="134" width="12.44140625" bestFit="1" customWidth="1"/>
    <col min="135" max="135" width="7.5546875" bestFit="1" customWidth="1"/>
    <col min="136" max="136" width="12.44140625" bestFit="1" customWidth="1"/>
    <col min="137" max="137" width="7.5546875" bestFit="1" customWidth="1"/>
    <col min="138" max="138" width="7.44140625" bestFit="1" customWidth="1"/>
    <col min="139" max="139" width="7.5546875" bestFit="1" customWidth="1"/>
    <col min="140" max="141" width="12.44140625" bestFit="1" customWidth="1"/>
    <col min="142" max="142" width="7.5546875" bestFit="1" customWidth="1"/>
    <col min="143" max="147" width="12.44140625" bestFit="1" customWidth="1"/>
    <col min="148" max="148" width="11" bestFit="1" customWidth="1"/>
    <col min="149" max="151" width="12.44140625" bestFit="1" customWidth="1"/>
    <col min="152" max="152" width="7.5546875" bestFit="1" customWidth="1"/>
    <col min="153" max="160" width="12.44140625" bestFit="1" customWidth="1"/>
    <col min="161" max="161" width="11" bestFit="1" customWidth="1"/>
    <col min="162" max="162" width="7.5546875" bestFit="1" customWidth="1"/>
    <col min="163" max="166" width="12.44140625" bestFit="1" customWidth="1"/>
    <col min="167" max="167" width="7.5546875" bestFit="1" customWidth="1"/>
    <col min="168" max="175" width="12.44140625" bestFit="1" customWidth="1"/>
    <col min="176" max="178" width="7.5546875" bestFit="1" customWidth="1"/>
    <col min="179" max="179" width="7.44140625" bestFit="1" customWidth="1"/>
    <col min="180" max="186" width="7.5546875" bestFit="1" customWidth="1"/>
    <col min="187" max="188" width="7.44140625" bestFit="1" customWidth="1"/>
    <col min="189" max="194" width="7.5546875" bestFit="1" customWidth="1"/>
    <col min="195" max="195" width="12.44140625" bestFit="1" customWidth="1"/>
    <col min="196" max="197" width="7.5546875" bestFit="1" customWidth="1"/>
    <col min="198" max="198" width="12.44140625" bestFit="1" customWidth="1"/>
    <col min="199" max="200" width="7.5546875" bestFit="1" customWidth="1"/>
    <col min="201" max="202" width="12.44140625" bestFit="1" customWidth="1"/>
    <col min="203" max="205" width="7.5546875" bestFit="1" customWidth="1"/>
    <col min="206" max="206" width="12.44140625" bestFit="1" customWidth="1"/>
    <col min="207" max="208" width="7.5546875" bestFit="1" customWidth="1"/>
    <col min="209" max="212" width="12.44140625" bestFit="1" customWidth="1"/>
    <col min="213" max="215" width="7.5546875" bestFit="1" customWidth="1"/>
    <col min="216" max="216" width="11" bestFit="1" customWidth="1"/>
    <col min="217" max="217" width="7.5546875" bestFit="1" customWidth="1"/>
    <col min="218" max="218" width="12.44140625" bestFit="1" customWidth="1"/>
    <col min="219" max="219" width="7.5546875" bestFit="1" customWidth="1"/>
    <col min="220" max="220" width="12.44140625" bestFit="1" customWidth="1"/>
    <col min="221" max="221" width="7.5546875" bestFit="1" customWidth="1"/>
    <col min="222" max="222" width="12.44140625" bestFit="1" customWidth="1"/>
    <col min="223" max="226" width="7.5546875" bestFit="1" customWidth="1"/>
    <col min="227" max="227" width="12.44140625" bestFit="1" customWidth="1"/>
    <col min="228" max="228" width="7.5546875" bestFit="1" customWidth="1"/>
    <col min="229" max="229" width="12.44140625" bestFit="1" customWidth="1"/>
    <col min="230" max="230" width="7.44140625" bestFit="1" customWidth="1"/>
    <col min="231" max="233" width="12.44140625" bestFit="1" customWidth="1"/>
    <col min="234" max="234" width="7.5546875" bestFit="1" customWidth="1"/>
    <col min="235" max="237" width="12.44140625" bestFit="1" customWidth="1"/>
    <col min="238" max="240" width="7.5546875" bestFit="1" customWidth="1"/>
    <col min="241" max="241" width="12.44140625" bestFit="1" customWidth="1"/>
    <col min="242" max="243" width="7.5546875" bestFit="1" customWidth="1"/>
    <col min="244" max="245" width="12.44140625" bestFit="1" customWidth="1"/>
    <col min="246" max="246" width="7.5546875" bestFit="1" customWidth="1"/>
    <col min="247" max="247" width="12.44140625" bestFit="1" customWidth="1"/>
    <col min="248" max="248" width="7.5546875" bestFit="1" customWidth="1"/>
    <col min="249" max="249" width="12.44140625" bestFit="1" customWidth="1"/>
    <col min="250" max="251" width="7.5546875" bestFit="1" customWidth="1"/>
    <col min="252" max="252" width="7.44140625" bestFit="1" customWidth="1"/>
    <col min="253" max="256" width="12.44140625" bestFit="1" customWidth="1"/>
    <col min="257" max="258" width="7.5546875" bestFit="1" customWidth="1"/>
    <col min="259" max="259" width="12.44140625" bestFit="1" customWidth="1"/>
    <col min="260" max="260" width="7.5546875" bestFit="1" customWidth="1"/>
    <col min="261" max="261" width="12.44140625" bestFit="1" customWidth="1"/>
    <col min="262" max="262" width="10.44140625" bestFit="1" customWidth="1"/>
    <col min="263" max="264" width="7.5546875" bestFit="1" customWidth="1"/>
    <col min="265" max="265" width="7.44140625" bestFit="1" customWidth="1"/>
    <col min="266" max="266" width="12.44140625" bestFit="1" customWidth="1"/>
    <col min="267" max="267" width="7.44140625" bestFit="1" customWidth="1"/>
    <col min="268" max="270" width="12.44140625" bestFit="1" customWidth="1"/>
    <col min="271" max="271" width="7.5546875" bestFit="1" customWidth="1"/>
    <col min="272" max="274" width="12.44140625" bestFit="1" customWidth="1"/>
    <col min="275" max="275" width="7.44140625" bestFit="1" customWidth="1"/>
    <col min="276" max="276" width="12.44140625" bestFit="1" customWidth="1"/>
    <col min="277" max="277" width="7.5546875" bestFit="1" customWidth="1"/>
    <col min="278" max="280" width="12.44140625" bestFit="1" customWidth="1"/>
    <col min="281" max="282" width="7.5546875" bestFit="1" customWidth="1"/>
    <col min="283" max="284" width="12.44140625" bestFit="1" customWidth="1"/>
    <col min="285" max="285" width="7.5546875" bestFit="1" customWidth="1"/>
    <col min="286" max="289" width="12.44140625" bestFit="1" customWidth="1"/>
    <col min="290" max="291" width="7.5546875" bestFit="1" customWidth="1"/>
    <col min="292" max="292" width="7.44140625" bestFit="1" customWidth="1"/>
    <col min="293" max="293" width="12.44140625" bestFit="1" customWidth="1"/>
    <col min="294" max="294" width="11" bestFit="1" customWidth="1"/>
    <col min="295" max="295" width="12.44140625" bestFit="1" customWidth="1"/>
    <col min="296" max="296" width="7.5546875" bestFit="1" customWidth="1"/>
    <col min="297" max="297" width="12.44140625" bestFit="1" customWidth="1"/>
    <col min="298" max="299" width="7.5546875" bestFit="1" customWidth="1"/>
    <col min="300" max="300" width="12.44140625" bestFit="1" customWidth="1"/>
    <col min="301" max="301" width="7.5546875" bestFit="1" customWidth="1"/>
    <col min="302" max="303" width="12.44140625" bestFit="1" customWidth="1"/>
    <col min="304" max="304" width="11" bestFit="1" customWidth="1"/>
    <col min="305" max="306" width="14.5546875" bestFit="1" customWidth="1"/>
    <col min="307" max="308" width="15.44140625" bestFit="1" customWidth="1"/>
    <col min="309" max="309" width="12.5546875" bestFit="1" customWidth="1"/>
    <col min="310" max="310" width="12.44140625" bestFit="1" customWidth="1"/>
    <col min="311" max="311" width="15" bestFit="1" customWidth="1"/>
  </cols>
  <sheetData>
    <row r="5" spans="1:11" x14ac:dyDescent="0.3">
      <c r="A5" s="11" t="s">
        <v>0</v>
      </c>
      <c r="B5" t="s">
        <v>143</v>
      </c>
      <c r="C5" t="s">
        <v>3</v>
      </c>
      <c r="D5" t="s">
        <v>144</v>
      </c>
      <c r="H5" s="11" t="s">
        <v>0</v>
      </c>
      <c r="I5" t="s">
        <v>145</v>
      </c>
      <c r="J5" t="s">
        <v>146</v>
      </c>
      <c r="K5"/>
    </row>
    <row r="6" spans="1:11" x14ac:dyDescent="0.3">
      <c r="A6" s="12" t="s">
        <v>22</v>
      </c>
      <c r="B6">
        <v>26</v>
      </c>
      <c r="C6">
        <v>47</v>
      </c>
      <c r="D6" s="13">
        <v>0.36619718309859156</v>
      </c>
      <c r="E6" s="13"/>
      <c r="H6" s="12" t="s">
        <v>22</v>
      </c>
      <c r="I6" s="13">
        <v>7.6923076923076927E-2</v>
      </c>
      <c r="J6" s="13">
        <v>0</v>
      </c>
      <c r="K6"/>
    </row>
    <row r="7" spans="1:11" x14ac:dyDescent="0.3">
      <c r="A7" s="14" t="s">
        <v>93</v>
      </c>
      <c r="B7">
        <v>0</v>
      </c>
      <c r="C7">
        <v>4</v>
      </c>
      <c r="D7" s="13">
        <v>0</v>
      </c>
      <c r="E7" s="13"/>
      <c r="H7" s="14" t="s">
        <v>93</v>
      </c>
      <c r="I7" t="e">
        <v>#DIV/0!</v>
      </c>
      <c r="J7">
        <v>0</v>
      </c>
      <c r="K7"/>
    </row>
    <row r="8" spans="1:11" x14ac:dyDescent="0.3">
      <c r="A8" s="14" t="s">
        <v>94</v>
      </c>
      <c r="B8">
        <v>0</v>
      </c>
      <c r="C8">
        <v>0</v>
      </c>
      <c r="D8" s="13" t="e">
        <v>#DIV/0!</v>
      </c>
      <c r="E8" s="13"/>
      <c r="H8" s="14" t="s">
        <v>94</v>
      </c>
      <c r="I8" t="e">
        <v>#DIV/0!</v>
      </c>
      <c r="J8" t="e">
        <v>#DIV/0!</v>
      </c>
      <c r="K8"/>
    </row>
    <row r="9" spans="1:11" x14ac:dyDescent="0.3">
      <c r="A9" s="14" t="s">
        <v>92</v>
      </c>
      <c r="B9">
        <v>8</v>
      </c>
      <c r="C9">
        <v>8</v>
      </c>
      <c r="D9" s="13">
        <v>1</v>
      </c>
      <c r="E9" s="13"/>
      <c r="H9" s="14" t="s">
        <v>92</v>
      </c>
      <c r="I9">
        <v>0</v>
      </c>
      <c r="J9">
        <v>0</v>
      </c>
      <c r="K9"/>
    </row>
    <row r="10" spans="1:11" x14ac:dyDescent="0.3">
      <c r="A10" s="14" t="s">
        <v>96</v>
      </c>
      <c r="B10">
        <v>3</v>
      </c>
      <c r="C10">
        <v>0</v>
      </c>
      <c r="D10" s="13">
        <v>0.6</v>
      </c>
      <c r="E10" s="13"/>
      <c r="H10" s="14" t="s">
        <v>96</v>
      </c>
      <c r="I10">
        <v>0.33333333333333331</v>
      </c>
      <c r="J10" t="e">
        <v>#DIV/0!</v>
      </c>
      <c r="K10"/>
    </row>
    <row r="11" spans="1:11" x14ac:dyDescent="0.3">
      <c r="A11" s="14" t="s">
        <v>95</v>
      </c>
      <c r="B11">
        <v>5</v>
      </c>
      <c r="C11">
        <v>0</v>
      </c>
      <c r="D11" s="13">
        <v>0.625</v>
      </c>
      <c r="E11" s="13"/>
      <c r="H11" s="14" t="s">
        <v>95</v>
      </c>
      <c r="I11">
        <v>0</v>
      </c>
      <c r="J11" t="e">
        <v>#DIV/0!</v>
      </c>
      <c r="K11"/>
    </row>
    <row r="12" spans="1:11" x14ac:dyDescent="0.3">
      <c r="A12" s="14" t="s">
        <v>97</v>
      </c>
      <c r="B12">
        <v>0</v>
      </c>
      <c r="C12">
        <v>1</v>
      </c>
      <c r="D12" s="13">
        <v>0</v>
      </c>
      <c r="E12" s="13"/>
      <c r="H12" s="14" t="s">
        <v>97</v>
      </c>
      <c r="I12" t="e">
        <v>#DIV/0!</v>
      </c>
      <c r="J12">
        <v>0</v>
      </c>
      <c r="K12"/>
    </row>
    <row r="13" spans="1:11" x14ac:dyDescent="0.3">
      <c r="A13" s="14" t="s">
        <v>98</v>
      </c>
      <c r="B13">
        <v>0</v>
      </c>
      <c r="C13">
        <v>20</v>
      </c>
      <c r="D13" s="13">
        <v>0</v>
      </c>
      <c r="E13" s="13"/>
      <c r="H13" s="14" t="s">
        <v>98</v>
      </c>
      <c r="I13" t="e">
        <v>#DIV/0!</v>
      </c>
      <c r="J13">
        <v>0</v>
      </c>
      <c r="K13"/>
    </row>
    <row r="14" spans="1:11" x14ac:dyDescent="0.3">
      <c r="A14" s="14" t="s">
        <v>99</v>
      </c>
      <c r="B14">
        <v>0</v>
      </c>
      <c r="C14">
        <v>2</v>
      </c>
      <c r="D14" s="13">
        <v>0</v>
      </c>
      <c r="E14" s="13"/>
      <c r="H14" s="14" t="s">
        <v>99</v>
      </c>
      <c r="I14" t="e">
        <v>#DIV/0!</v>
      </c>
      <c r="J14">
        <v>0</v>
      </c>
      <c r="K14"/>
    </row>
    <row r="15" spans="1:11" x14ac:dyDescent="0.3">
      <c r="A15" s="14" t="s">
        <v>91</v>
      </c>
      <c r="B15">
        <v>0</v>
      </c>
      <c r="C15">
        <v>1</v>
      </c>
      <c r="D15" s="13">
        <v>0</v>
      </c>
      <c r="E15" s="13"/>
      <c r="H15" s="14" t="s">
        <v>91</v>
      </c>
      <c r="I15" t="e">
        <v>#DIV/0!</v>
      </c>
      <c r="J15">
        <v>0</v>
      </c>
      <c r="K15"/>
    </row>
    <row r="16" spans="1:11" x14ac:dyDescent="0.3">
      <c r="A16" s="14" t="s">
        <v>88</v>
      </c>
      <c r="B16">
        <v>9</v>
      </c>
      <c r="C16">
        <v>9</v>
      </c>
      <c r="D16" s="13">
        <v>1</v>
      </c>
      <c r="E16" s="13"/>
      <c r="H16" s="14" t="s">
        <v>88</v>
      </c>
      <c r="I16">
        <v>0.1111111111111111</v>
      </c>
      <c r="J16">
        <v>0</v>
      </c>
      <c r="K16"/>
    </row>
    <row r="17" spans="1:10" x14ac:dyDescent="0.3">
      <c r="A17" s="14" t="s">
        <v>90</v>
      </c>
      <c r="B17">
        <v>0</v>
      </c>
      <c r="C17">
        <v>0</v>
      </c>
      <c r="D17" s="13">
        <v>0</v>
      </c>
      <c r="E17" s="13"/>
      <c r="H17" s="14" t="s">
        <v>90</v>
      </c>
      <c r="I17" t="e">
        <v>#DIV/0!</v>
      </c>
      <c r="J17" t="e">
        <v>#DIV/0!</v>
      </c>
    </row>
    <row r="18" spans="1:10" x14ac:dyDescent="0.3">
      <c r="A18" s="14" t="s">
        <v>100</v>
      </c>
      <c r="B18">
        <v>1</v>
      </c>
      <c r="C18">
        <v>2</v>
      </c>
      <c r="D18" s="13">
        <v>0.33333333333333331</v>
      </c>
      <c r="E18" s="13"/>
      <c r="H18" s="14" t="s">
        <v>100</v>
      </c>
      <c r="I18">
        <v>0</v>
      </c>
      <c r="J18">
        <v>0</v>
      </c>
    </row>
    <row r="19" spans="1:10" x14ac:dyDescent="0.3">
      <c r="A19" s="12" t="s">
        <v>25</v>
      </c>
      <c r="B19">
        <v>22</v>
      </c>
      <c r="C19">
        <v>30</v>
      </c>
      <c r="D19" s="13">
        <v>0.70967741935483875</v>
      </c>
      <c r="E19" s="13"/>
      <c r="H19" s="12" t="s">
        <v>25</v>
      </c>
      <c r="I19">
        <v>9.0909090909090912E-2</v>
      </c>
      <c r="J19">
        <v>3.3333333333333333E-2</v>
      </c>
    </row>
    <row r="20" spans="1:10" x14ac:dyDescent="0.3">
      <c r="A20" s="14" t="s">
        <v>93</v>
      </c>
      <c r="B20">
        <v>4</v>
      </c>
      <c r="C20">
        <v>8</v>
      </c>
      <c r="D20" s="13">
        <v>0.5</v>
      </c>
      <c r="H20" s="14" t="s">
        <v>93</v>
      </c>
      <c r="I20">
        <v>0.25</v>
      </c>
      <c r="J20">
        <v>0</v>
      </c>
    </row>
    <row r="21" spans="1:10" x14ac:dyDescent="0.3">
      <c r="A21" s="14" t="s">
        <v>94</v>
      </c>
      <c r="B21">
        <v>0</v>
      </c>
      <c r="C21">
        <v>0</v>
      </c>
      <c r="D21" s="13" t="e">
        <v>#DIV/0!</v>
      </c>
      <c r="H21" s="14" t="s">
        <v>94</v>
      </c>
      <c r="I21" t="e">
        <v>#DIV/0!</v>
      </c>
      <c r="J21" t="e">
        <v>#DIV/0!</v>
      </c>
    </row>
    <row r="22" spans="1:10" x14ac:dyDescent="0.3">
      <c r="A22" s="14" t="s">
        <v>92</v>
      </c>
      <c r="B22">
        <v>3</v>
      </c>
      <c r="C22">
        <v>3</v>
      </c>
      <c r="D22" s="13">
        <v>1</v>
      </c>
      <c r="H22" s="14" t="s">
        <v>92</v>
      </c>
      <c r="I22">
        <v>0.33333333333333331</v>
      </c>
      <c r="J22">
        <v>0</v>
      </c>
    </row>
    <row r="23" spans="1:10" x14ac:dyDescent="0.3">
      <c r="A23" s="14" t="s">
        <v>96</v>
      </c>
      <c r="B23">
        <v>11</v>
      </c>
      <c r="C23">
        <v>12</v>
      </c>
      <c r="D23" s="13">
        <v>0.84615384615384615</v>
      </c>
      <c r="H23" s="14" t="s">
        <v>96</v>
      </c>
      <c r="I23">
        <v>0</v>
      </c>
      <c r="J23">
        <v>0</v>
      </c>
    </row>
    <row r="24" spans="1:10" x14ac:dyDescent="0.3">
      <c r="A24" s="14" t="s">
        <v>95</v>
      </c>
      <c r="B24">
        <v>4</v>
      </c>
      <c r="C24">
        <v>7</v>
      </c>
      <c r="D24" s="13">
        <v>0.5714285714285714</v>
      </c>
      <c r="H24" s="14" t="s">
        <v>95</v>
      </c>
      <c r="I24">
        <v>0</v>
      </c>
      <c r="J24">
        <v>0.14285714285714285</v>
      </c>
    </row>
    <row r="25" spans="1:10" x14ac:dyDescent="0.3">
      <c r="A25" s="12" t="s">
        <v>23</v>
      </c>
      <c r="B25">
        <v>48</v>
      </c>
      <c r="C25">
        <v>77</v>
      </c>
      <c r="D25" s="13">
        <v>0.47058823529411764</v>
      </c>
      <c r="H25" s="12" t="s">
        <v>23</v>
      </c>
      <c r="I25">
        <v>8.3333333333333329E-2</v>
      </c>
      <c r="J25">
        <v>1.2987012987012988E-2</v>
      </c>
    </row>
    <row r="26" spans="1:10" x14ac:dyDescent="0.3">
      <c r="H26"/>
    </row>
    <row r="27" spans="1:10" x14ac:dyDescent="0.3">
      <c r="H27"/>
    </row>
    <row r="28" spans="1:10" x14ac:dyDescent="0.3">
      <c r="H28"/>
    </row>
    <row r="29" spans="1:10" x14ac:dyDescent="0.3">
      <c r="H29"/>
    </row>
    <row r="30" spans="1:10" x14ac:dyDescent="0.3">
      <c r="H30"/>
    </row>
    <row r="31" spans="1:10" x14ac:dyDescent="0.3">
      <c r="H31"/>
    </row>
    <row r="32" spans="1:10" x14ac:dyDescent="0.3">
      <c r="H32"/>
    </row>
    <row r="33" spans="8:8" x14ac:dyDescent="0.3">
      <c r="H33"/>
    </row>
    <row r="34" spans="8:8" x14ac:dyDescent="0.3">
      <c r="H34"/>
    </row>
    <row r="35" spans="8:8" x14ac:dyDescent="0.3">
      <c r="H35"/>
    </row>
    <row r="36" spans="8:8" x14ac:dyDescent="0.3">
      <c r="H36"/>
    </row>
    <row r="37" spans="8:8" x14ac:dyDescent="0.3">
      <c r="H37"/>
    </row>
    <row r="38" spans="8:8" x14ac:dyDescent="0.3">
      <c r="H38"/>
    </row>
    <row r="39" spans="8:8" x14ac:dyDescent="0.3">
      <c r="H39"/>
    </row>
    <row r="40" spans="8:8" x14ac:dyDescent="0.3">
      <c r="H40"/>
    </row>
    <row r="41" spans="8:8" x14ac:dyDescent="0.3">
      <c r="H41"/>
    </row>
    <row r="42" spans="8:8" x14ac:dyDescent="0.3">
      <c r="H42"/>
    </row>
    <row r="43" spans="8:8" x14ac:dyDescent="0.3">
      <c r="H43"/>
    </row>
    <row r="44" spans="8:8" x14ac:dyDescent="0.3">
      <c r="H44"/>
    </row>
    <row r="45" spans="8:8" x14ac:dyDescent="0.3">
      <c r="H45"/>
    </row>
    <row r="46" spans="8:8" x14ac:dyDescent="0.3">
      <c r="H46"/>
    </row>
    <row r="47" spans="8:8" x14ac:dyDescent="0.3">
      <c r="H47"/>
    </row>
    <row r="48" spans="8:8" x14ac:dyDescent="0.3">
      <c r="H48"/>
    </row>
    <row r="49" spans="8:8" x14ac:dyDescent="0.3">
      <c r="H49"/>
    </row>
    <row r="50" spans="8:8" x14ac:dyDescent="0.3">
      <c r="H50"/>
    </row>
    <row r="51" spans="8:8" x14ac:dyDescent="0.3">
      <c r="H51"/>
    </row>
    <row r="52" spans="8:8" x14ac:dyDescent="0.3">
      <c r="H52"/>
    </row>
    <row r="53" spans="8:8" x14ac:dyDescent="0.3">
      <c r="H53"/>
    </row>
    <row r="54" spans="8:8" x14ac:dyDescent="0.3">
      <c r="H54"/>
    </row>
    <row r="55" spans="8:8" x14ac:dyDescent="0.3">
      <c r="H55"/>
    </row>
    <row r="56" spans="8:8" x14ac:dyDescent="0.3">
      <c r="H56"/>
    </row>
    <row r="57" spans="8:8" x14ac:dyDescent="0.3">
      <c r="H57"/>
    </row>
    <row r="58" spans="8:8" x14ac:dyDescent="0.3">
      <c r="H58"/>
    </row>
    <row r="59" spans="8:8" x14ac:dyDescent="0.3">
      <c r="H59"/>
    </row>
    <row r="60" spans="8:8" x14ac:dyDescent="0.3">
      <c r="H60"/>
    </row>
    <row r="61" spans="8:8" x14ac:dyDescent="0.3">
      <c r="H61"/>
    </row>
    <row r="62" spans="8:8" x14ac:dyDescent="0.3">
      <c r="H62"/>
    </row>
    <row r="63" spans="8:8" x14ac:dyDescent="0.3">
      <c r="H63"/>
    </row>
    <row r="64" spans="8:8" x14ac:dyDescent="0.3">
      <c r="H64"/>
    </row>
    <row r="65" spans="8:8" x14ac:dyDescent="0.3">
      <c r="H65"/>
    </row>
    <row r="66" spans="8:8" x14ac:dyDescent="0.3">
      <c r="H66"/>
    </row>
    <row r="67" spans="8:8" x14ac:dyDescent="0.3">
      <c r="H67"/>
    </row>
    <row r="68" spans="8:8" x14ac:dyDescent="0.3">
      <c r="H68"/>
    </row>
    <row r="69" spans="8:8" x14ac:dyDescent="0.3">
      <c r="H69"/>
    </row>
    <row r="70" spans="8:8" x14ac:dyDescent="0.3">
      <c r="H70"/>
    </row>
    <row r="71" spans="8:8" x14ac:dyDescent="0.3">
      <c r="H71"/>
    </row>
    <row r="72" spans="8:8" x14ac:dyDescent="0.3">
      <c r="H72"/>
    </row>
    <row r="73" spans="8:8" x14ac:dyDescent="0.3">
      <c r="H73"/>
    </row>
    <row r="74" spans="8:8" x14ac:dyDescent="0.3">
      <c r="H74"/>
    </row>
    <row r="75" spans="8:8" x14ac:dyDescent="0.3">
      <c r="H75"/>
    </row>
    <row r="76" spans="8:8" x14ac:dyDescent="0.3">
      <c r="H76"/>
    </row>
    <row r="77" spans="8:8" x14ac:dyDescent="0.3">
      <c r="H77"/>
    </row>
    <row r="78" spans="8:8" x14ac:dyDescent="0.3">
      <c r="H78"/>
    </row>
    <row r="79" spans="8:8" x14ac:dyDescent="0.3">
      <c r="H79"/>
    </row>
    <row r="80" spans="8:8" x14ac:dyDescent="0.3">
      <c r="H80"/>
    </row>
    <row r="81" spans="8:8" x14ac:dyDescent="0.3">
      <c r="H81"/>
    </row>
    <row r="82" spans="8:8" x14ac:dyDescent="0.3">
      <c r="H82"/>
    </row>
    <row r="83" spans="8:8" x14ac:dyDescent="0.3">
      <c r="H83"/>
    </row>
    <row r="84" spans="8:8" x14ac:dyDescent="0.3">
      <c r="H84"/>
    </row>
    <row r="85" spans="8:8" x14ac:dyDescent="0.3">
      <c r="H85"/>
    </row>
    <row r="86" spans="8:8" x14ac:dyDescent="0.3">
      <c r="H86"/>
    </row>
    <row r="87" spans="8:8" x14ac:dyDescent="0.3">
      <c r="H87"/>
    </row>
    <row r="88" spans="8:8" x14ac:dyDescent="0.3">
      <c r="H88"/>
    </row>
    <row r="89" spans="8:8" x14ac:dyDescent="0.3">
      <c r="H89"/>
    </row>
    <row r="90" spans="8:8" x14ac:dyDescent="0.3">
      <c r="H90"/>
    </row>
    <row r="91" spans="8:8" x14ac:dyDescent="0.3">
      <c r="H91"/>
    </row>
    <row r="92" spans="8:8" x14ac:dyDescent="0.3">
      <c r="H92"/>
    </row>
    <row r="93" spans="8:8" x14ac:dyDescent="0.3">
      <c r="H93"/>
    </row>
    <row r="94" spans="8:8" x14ac:dyDescent="0.3">
      <c r="H94"/>
    </row>
    <row r="95" spans="8:8" x14ac:dyDescent="0.3">
      <c r="H95"/>
    </row>
    <row r="96" spans="8:8" x14ac:dyDescent="0.3">
      <c r="H96"/>
    </row>
    <row r="97" spans="8:8" x14ac:dyDescent="0.3">
      <c r="H97"/>
    </row>
    <row r="98" spans="8:8" x14ac:dyDescent="0.3">
      <c r="H98"/>
    </row>
    <row r="99" spans="8:8" x14ac:dyDescent="0.3">
      <c r="H99"/>
    </row>
    <row r="100" spans="8:8" x14ac:dyDescent="0.3">
      <c r="H100"/>
    </row>
    <row r="101" spans="8:8" x14ac:dyDescent="0.3">
      <c r="H101"/>
    </row>
    <row r="102" spans="8:8" x14ac:dyDescent="0.3">
      <c r="H102"/>
    </row>
    <row r="103" spans="8:8" x14ac:dyDescent="0.3">
      <c r="H103"/>
    </row>
    <row r="104" spans="8:8" x14ac:dyDescent="0.3">
      <c r="H104"/>
    </row>
    <row r="105" spans="8:8" x14ac:dyDescent="0.3">
      <c r="H105"/>
    </row>
    <row r="106" spans="8:8" x14ac:dyDescent="0.3">
      <c r="H106"/>
    </row>
    <row r="107" spans="8:8" x14ac:dyDescent="0.3">
      <c r="H107"/>
    </row>
    <row r="108" spans="8:8" x14ac:dyDescent="0.3">
      <c r="H108"/>
    </row>
    <row r="109" spans="8:8" x14ac:dyDescent="0.3">
      <c r="H109"/>
    </row>
    <row r="110" spans="8:8" x14ac:dyDescent="0.3">
      <c r="H110"/>
    </row>
    <row r="111" spans="8:8" x14ac:dyDescent="0.3">
      <c r="H111"/>
    </row>
    <row r="112" spans="8:8" x14ac:dyDescent="0.3">
      <c r="H112"/>
    </row>
    <row r="113" spans="8:8" x14ac:dyDescent="0.3">
      <c r="H113"/>
    </row>
    <row r="114" spans="8:8" x14ac:dyDescent="0.3">
      <c r="H114"/>
    </row>
    <row r="115" spans="8:8" x14ac:dyDescent="0.3">
      <c r="H115"/>
    </row>
    <row r="116" spans="8:8" x14ac:dyDescent="0.3">
      <c r="H116"/>
    </row>
    <row r="117" spans="8:8" x14ac:dyDescent="0.3">
      <c r="H117"/>
    </row>
    <row r="118" spans="8:8" x14ac:dyDescent="0.3">
      <c r="H118"/>
    </row>
    <row r="119" spans="8:8" x14ac:dyDescent="0.3">
      <c r="H119"/>
    </row>
    <row r="120" spans="8:8" x14ac:dyDescent="0.3">
      <c r="H120"/>
    </row>
    <row r="121" spans="8:8" x14ac:dyDescent="0.3">
      <c r="H121"/>
    </row>
    <row r="122" spans="8:8" x14ac:dyDescent="0.3">
      <c r="H122"/>
    </row>
    <row r="123" spans="8:8" x14ac:dyDescent="0.3">
      <c r="H123"/>
    </row>
    <row r="124" spans="8:8" x14ac:dyDescent="0.3">
      <c r="H124"/>
    </row>
    <row r="125" spans="8:8" x14ac:dyDescent="0.3">
      <c r="H125"/>
    </row>
    <row r="126" spans="8:8" x14ac:dyDescent="0.3">
      <c r="H126"/>
    </row>
    <row r="127" spans="8:8" x14ac:dyDescent="0.3">
      <c r="H127"/>
    </row>
    <row r="128" spans="8:8" x14ac:dyDescent="0.3">
      <c r="H128"/>
    </row>
    <row r="129" spans="8:8" x14ac:dyDescent="0.3">
      <c r="H129"/>
    </row>
    <row r="130" spans="8:8" x14ac:dyDescent="0.3">
      <c r="H130"/>
    </row>
    <row r="131" spans="8:8" x14ac:dyDescent="0.3">
      <c r="H131"/>
    </row>
    <row r="132" spans="8:8" x14ac:dyDescent="0.3">
      <c r="H132"/>
    </row>
    <row r="133" spans="8:8" x14ac:dyDescent="0.3">
      <c r="H133"/>
    </row>
    <row r="134" spans="8:8" x14ac:dyDescent="0.3">
      <c r="H134"/>
    </row>
    <row r="135" spans="8:8" x14ac:dyDescent="0.3">
      <c r="H135"/>
    </row>
    <row r="136" spans="8:8" x14ac:dyDescent="0.3">
      <c r="H136"/>
    </row>
    <row r="137" spans="8:8" x14ac:dyDescent="0.3">
      <c r="H137"/>
    </row>
    <row r="138" spans="8:8" x14ac:dyDescent="0.3">
      <c r="H138"/>
    </row>
    <row r="139" spans="8:8" x14ac:dyDescent="0.3">
      <c r="H139"/>
    </row>
    <row r="140" spans="8:8" x14ac:dyDescent="0.3">
      <c r="H140"/>
    </row>
    <row r="141" spans="8:8" x14ac:dyDescent="0.3">
      <c r="H141"/>
    </row>
    <row r="142" spans="8:8" x14ac:dyDescent="0.3">
      <c r="H142"/>
    </row>
    <row r="143" spans="8:8" x14ac:dyDescent="0.3">
      <c r="H143"/>
    </row>
    <row r="144" spans="8:8" x14ac:dyDescent="0.3">
      <c r="H144"/>
    </row>
    <row r="145" spans="8:8" x14ac:dyDescent="0.3">
      <c r="H145"/>
    </row>
    <row r="146" spans="8:8" x14ac:dyDescent="0.3">
      <c r="H146"/>
    </row>
    <row r="147" spans="8:8" x14ac:dyDescent="0.3">
      <c r="H147"/>
    </row>
    <row r="148" spans="8:8" x14ac:dyDescent="0.3">
      <c r="H148"/>
    </row>
    <row r="149" spans="8:8" x14ac:dyDescent="0.3">
      <c r="H149"/>
    </row>
    <row r="150" spans="8:8" x14ac:dyDescent="0.3">
      <c r="H150"/>
    </row>
    <row r="151" spans="8:8" x14ac:dyDescent="0.3">
      <c r="H151"/>
    </row>
    <row r="152" spans="8:8" x14ac:dyDescent="0.3">
      <c r="H152"/>
    </row>
    <row r="153" spans="8:8" x14ac:dyDescent="0.3">
      <c r="H153"/>
    </row>
    <row r="154" spans="8:8" x14ac:dyDescent="0.3">
      <c r="H154"/>
    </row>
    <row r="155" spans="8:8" x14ac:dyDescent="0.3">
      <c r="H155"/>
    </row>
    <row r="156" spans="8:8" x14ac:dyDescent="0.3">
      <c r="H156"/>
    </row>
    <row r="157" spans="8:8" x14ac:dyDescent="0.3">
      <c r="H157"/>
    </row>
    <row r="158" spans="8:8" x14ac:dyDescent="0.3">
      <c r="H158"/>
    </row>
    <row r="159" spans="8:8" x14ac:dyDescent="0.3">
      <c r="H159"/>
    </row>
    <row r="160" spans="8:8" x14ac:dyDescent="0.3">
      <c r="H160"/>
    </row>
    <row r="161" spans="8:8" x14ac:dyDescent="0.3">
      <c r="H161"/>
    </row>
    <row r="162" spans="8:8" x14ac:dyDescent="0.3">
      <c r="H162"/>
    </row>
    <row r="163" spans="8:8" x14ac:dyDescent="0.3">
      <c r="H163"/>
    </row>
    <row r="164" spans="8:8" x14ac:dyDescent="0.3">
      <c r="H164"/>
    </row>
    <row r="165" spans="8:8" x14ac:dyDescent="0.3">
      <c r="H165"/>
    </row>
    <row r="166" spans="8:8" x14ac:dyDescent="0.3">
      <c r="H166"/>
    </row>
    <row r="167" spans="8:8" x14ac:dyDescent="0.3">
      <c r="H167"/>
    </row>
    <row r="168" spans="8:8" x14ac:dyDescent="0.3">
      <c r="H168"/>
    </row>
    <row r="169" spans="8:8" x14ac:dyDescent="0.3">
      <c r="H169"/>
    </row>
    <row r="170" spans="8:8" x14ac:dyDescent="0.3">
      <c r="H170"/>
    </row>
    <row r="171" spans="8:8" x14ac:dyDescent="0.3">
      <c r="H171"/>
    </row>
    <row r="172" spans="8:8" x14ac:dyDescent="0.3">
      <c r="H172"/>
    </row>
    <row r="173" spans="8:8" x14ac:dyDescent="0.3">
      <c r="H173"/>
    </row>
    <row r="174" spans="8:8" x14ac:dyDescent="0.3">
      <c r="H174"/>
    </row>
    <row r="175" spans="8:8" x14ac:dyDescent="0.3">
      <c r="H175"/>
    </row>
    <row r="176" spans="8:8" x14ac:dyDescent="0.3">
      <c r="H176"/>
    </row>
    <row r="177" spans="8:8" x14ac:dyDescent="0.3">
      <c r="H177"/>
    </row>
    <row r="178" spans="8:8" x14ac:dyDescent="0.3">
      <c r="H178"/>
    </row>
    <row r="179" spans="8:8" x14ac:dyDescent="0.3">
      <c r="H179"/>
    </row>
    <row r="180" spans="8:8" x14ac:dyDescent="0.3">
      <c r="H180"/>
    </row>
    <row r="181" spans="8:8" x14ac:dyDescent="0.3">
      <c r="H181"/>
    </row>
    <row r="182" spans="8:8" x14ac:dyDescent="0.3">
      <c r="H182"/>
    </row>
    <row r="183" spans="8:8" x14ac:dyDescent="0.3">
      <c r="H183"/>
    </row>
    <row r="184" spans="8:8" x14ac:dyDescent="0.3">
      <c r="H184"/>
    </row>
    <row r="185" spans="8:8" x14ac:dyDescent="0.3">
      <c r="H185"/>
    </row>
    <row r="186" spans="8:8" x14ac:dyDescent="0.3">
      <c r="H186"/>
    </row>
    <row r="187" spans="8:8" x14ac:dyDescent="0.3">
      <c r="H187"/>
    </row>
    <row r="188" spans="8:8" x14ac:dyDescent="0.3">
      <c r="H188"/>
    </row>
    <row r="189" spans="8:8" x14ac:dyDescent="0.3">
      <c r="H189"/>
    </row>
    <row r="190" spans="8:8" x14ac:dyDescent="0.3">
      <c r="H190"/>
    </row>
    <row r="191" spans="8:8" x14ac:dyDescent="0.3">
      <c r="H191"/>
    </row>
    <row r="192" spans="8:8" x14ac:dyDescent="0.3">
      <c r="H192"/>
    </row>
    <row r="193" spans="8:8" x14ac:dyDescent="0.3">
      <c r="H193"/>
    </row>
    <row r="194" spans="8:8" x14ac:dyDescent="0.3">
      <c r="H194"/>
    </row>
    <row r="195" spans="8:8" x14ac:dyDescent="0.3">
      <c r="H195"/>
    </row>
    <row r="196" spans="8:8" x14ac:dyDescent="0.3">
      <c r="H196"/>
    </row>
    <row r="197" spans="8:8" x14ac:dyDescent="0.3">
      <c r="H197"/>
    </row>
    <row r="198" spans="8:8" x14ac:dyDescent="0.3">
      <c r="H198"/>
    </row>
    <row r="199" spans="8:8" x14ac:dyDescent="0.3">
      <c r="H199"/>
    </row>
    <row r="200" spans="8:8" x14ac:dyDescent="0.3">
      <c r="H200"/>
    </row>
    <row r="201" spans="8:8" x14ac:dyDescent="0.3">
      <c r="H201"/>
    </row>
    <row r="202" spans="8:8" x14ac:dyDescent="0.3">
      <c r="H202"/>
    </row>
    <row r="203" spans="8:8" x14ac:dyDescent="0.3">
      <c r="H203"/>
    </row>
    <row r="204" spans="8:8" x14ac:dyDescent="0.3">
      <c r="H204"/>
    </row>
    <row r="205" spans="8:8" x14ac:dyDescent="0.3">
      <c r="H205"/>
    </row>
    <row r="206" spans="8:8" x14ac:dyDescent="0.3">
      <c r="H206"/>
    </row>
    <row r="207" spans="8:8" x14ac:dyDescent="0.3">
      <c r="H207"/>
    </row>
    <row r="208" spans="8:8" x14ac:dyDescent="0.3">
      <c r="H208"/>
    </row>
    <row r="209" spans="8:8" x14ac:dyDescent="0.3">
      <c r="H209"/>
    </row>
    <row r="210" spans="8:8" x14ac:dyDescent="0.3">
      <c r="H210"/>
    </row>
    <row r="211" spans="8:8" x14ac:dyDescent="0.3">
      <c r="H211"/>
    </row>
    <row r="212" spans="8:8" x14ac:dyDescent="0.3">
      <c r="H212"/>
    </row>
    <row r="213" spans="8:8" x14ac:dyDescent="0.3">
      <c r="H213"/>
    </row>
    <row r="214" spans="8:8" x14ac:dyDescent="0.3">
      <c r="H214"/>
    </row>
    <row r="215" spans="8:8" x14ac:dyDescent="0.3">
      <c r="H215"/>
    </row>
    <row r="216" spans="8:8" x14ac:dyDescent="0.3">
      <c r="H216"/>
    </row>
    <row r="217" spans="8:8" x14ac:dyDescent="0.3">
      <c r="H217"/>
    </row>
    <row r="218" spans="8:8" x14ac:dyDescent="0.3">
      <c r="H218"/>
    </row>
    <row r="219" spans="8:8" x14ac:dyDescent="0.3">
      <c r="H219"/>
    </row>
    <row r="220" spans="8:8" x14ac:dyDescent="0.3">
      <c r="H220"/>
    </row>
    <row r="221" spans="8:8" x14ac:dyDescent="0.3">
      <c r="H221"/>
    </row>
    <row r="222" spans="8:8" x14ac:dyDescent="0.3">
      <c r="H222"/>
    </row>
    <row r="223" spans="8:8" x14ac:dyDescent="0.3">
      <c r="H223"/>
    </row>
    <row r="224" spans="8:8" x14ac:dyDescent="0.3">
      <c r="H224"/>
    </row>
    <row r="225" spans="8:8" x14ac:dyDescent="0.3">
      <c r="H225"/>
    </row>
    <row r="226" spans="8:8" x14ac:dyDescent="0.3">
      <c r="H226"/>
    </row>
    <row r="227" spans="8:8" x14ac:dyDescent="0.3">
      <c r="H227"/>
    </row>
    <row r="228" spans="8:8" x14ac:dyDescent="0.3">
      <c r="H228"/>
    </row>
    <row r="229" spans="8:8" x14ac:dyDescent="0.3">
      <c r="H229"/>
    </row>
    <row r="230" spans="8:8" x14ac:dyDescent="0.3">
      <c r="H230"/>
    </row>
    <row r="231" spans="8:8" x14ac:dyDescent="0.3">
      <c r="H231"/>
    </row>
    <row r="232" spans="8:8" x14ac:dyDescent="0.3">
      <c r="H232"/>
    </row>
    <row r="233" spans="8:8" x14ac:dyDescent="0.3">
      <c r="H233"/>
    </row>
    <row r="234" spans="8:8" x14ac:dyDescent="0.3">
      <c r="H234"/>
    </row>
    <row r="235" spans="8:8" x14ac:dyDescent="0.3">
      <c r="H235"/>
    </row>
    <row r="236" spans="8:8" x14ac:dyDescent="0.3">
      <c r="H236"/>
    </row>
    <row r="237" spans="8:8" x14ac:dyDescent="0.3">
      <c r="H237"/>
    </row>
    <row r="238" spans="8:8" x14ac:dyDescent="0.3">
      <c r="H238"/>
    </row>
    <row r="239" spans="8:8" x14ac:dyDescent="0.3">
      <c r="H239"/>
    </row>
    <row r="240" spans="8:8" x14ac:dyDescent="0.3">
      <c r="H240"/>
    </row>
    <row r="241" spans="8:8" x14ac:dyDescent="0.3">
      <c r="H241"/>
    </row>
    <row r="242" spans="8:8" x14ac:dyDescent="0.3">
      <c r="H242"/>
    </row>
    <row r="243" spans="8:8" x14ac:dyDescent="0.3">
      <c r="H243"/>
    </row>
    <row r="244" spans="8:8" x14ac:dyDescent="0.3">
      <c r="H244"/>
    </row>
    <row r="245" spans="8:8" x14ac:dyDescent="0.3">
      <c r="H245"/>
    </row>
    <row r="246" spans="8:8" x14ac:dyDescent="0.3">
      <c r="H246"/>
    </row>
    <row r="247" spans="8:8" x14ac:dyDescent="0.3">
      <c r="H247"/>
    </row>
    <row r="248" spans="8:8" x14ac:dyDescent="0.3">
      <c r="H248"/>
    </row>
    <row r="249" spans="8:8" x14ac:dyDescent="0.3">
      <c r="H249"/>
    </row>
    <row r="250" spans="8:8" x14ac:dyDescent="0.3">
      <c r="H250"/>
    </row>
    <row r="251" spans="8:8" x14ac:dyDescent="0.3">
      <c r="H251"/>
    </row>
    <row r="252" spans="8:8" x14ac:dyDescent="0.3">
      <c r="H252"/>
    </row>
    <row r="253" spans="8:8" x14ac:dyDescent="0.3">
      <c r="H253"/>
    </row>
    <row r="254" spans="8:8" x14ac:dyDescent="0.3">
      <c r="H254"/>
    </row>
    <row r="255" spans="8:8" x14ac:dyDescent="0.3">
      <c r="H255"/>
    </row>
    <row r="256" spans="8:8" x14ac:dyDescent="0.3">
      <c r="H256"/>
    </row>
    <row r="257" spans="8:8" x14ac:dyDescent="0.3">
      <c r="H257"/>
    </row>
    <row r="258" spans="8:8" x14ac:dyDescent="0.3">
      <c r="H258"/>
    </row>
    <row r="259" spans="8:8" x14ac:dyDescent="0.3">
      <c r="H259"/>
    </row>
    <row r="260" spans="8:8" x14ac:dyDescent="0.3">
      <c r="H260"/>
    </row>
    <row r="261" spans="8:8" x14ac:dyDescent="0.3">
      <c r="H261"/>
    </row>
    <row r="262" spans="8:8" x14ac:dyDescent="0.3">
      <c r="H262"/>
    </row>
    <row r="263" spans="8:8" x14ac:dyDescent="0.3">
      <c r="H263"/>
    </row>
    <row r="264" spans="8:8" x14ac:dyDescent="0.3">
      <c r="H264"/>
    </row>
    <row r="265" spans="8:8" x14ac:dyDescent="0.3">
      <c r="H265"/>
    </row>
    <row r="266" spans="8:8" x14ac:dyDescent="0.3">
      <c r="H266"/>
    </row>
    <row r="267" spans="8:8" x14ac:dyDescent="0.3">
      <c r="H267"/>
    </row>
    <row r="268" spans="8:8" x14ac:dyDescent="0.3">
      <c r="H268"/>
    </row>
    <row r="269" spans="8:8" x14ac:dyDescent="0.3">
      <c r="H269"/>
    </row>
    <row r="270" spans="8:8" x14ac:dyDescent="0.3">
      <c r="H270"/>
    </row>
    <row r="271" spans="8:8" x14ac:dyDescent="0.3">
      <c r="H271"/>
    </row>
    <row r="272" spans="8:8" x14ac:dyDescent="0.3">
      <c r="H272"/>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2ED9D-C39C-4339-9F5E-ADFAEA407E4B}">
  <sheetPr codeName="Sheet1"/>
  <dimension ref="A5:L272"/>
  <sheetViews>
    <sheetView topLeftCell="A4" zoomScale="80" zoomScaleNormal="80" workbookViewId="0">
      <selection activeCell="H13" sqref="H13"/>
    </sheetView>
  </sheetViews>
  <sheetFormatPr defaultRowHeight="14.4" x14ac:dyDescent="0.3"/>
  <cols>
    <col min="1" max="1" width="14" bestFit="1" customWidth="1"/>
    <col min="2" max="2" width="10.33203125" bestFit="1" customWidth="1"/>
    <col min="3" max="3" width="10.6640625" bestFit="1" customWidth="1"/>
    <col min="4" max="4" width="10" bestFit="1" customWidth="1"/>
    <col min="5" max="5" width="20.5546875" bestFit="1" customWidth="1"/>
    <col min="6" max="7" width="20.109375" customWidth="1"/>
    <col min="8" max="8" width="16.44140625" customWidth="1"/>
    <col min="9" max="9" width="14" style="15" bestFit="1" customWidth="1"/>
    <col min="10" max="10" width="12.33203125" style="15" bestFit="1" customWidth="1"/>
    <col min="11" max="11" width="8" style="15" bestFit="1" customWidth="1"/>
    <col min="12" max="12" width="12.33203125" style="15" bestFit="1" customWidth="1"/>
    <col min="13" max="16" width="16.44140625" bestFit="1" customWidth="1"/>
    <col min="17" max="29" width="3" bestFit="1" customWidth="1"/>
    <col min="30" max="31" width="4" bestFit="1" customWidth="1"/>
    <col min="32" max="37" width="3" bestFit="1" customWidth="1"/>
    <col min="38" max="38" width="4" bestFit="1" customWidth="1"/>
    <col min="39" max="44" width="3" bestFit="1" customWidth="1"/>
    <col min="45" max="47" width="4" bestFit="1" customWidth="1"/>
    <col min="48" max="48" width="9.5546875" bestFit="1" customWidth="1"/>
    <col min="49" max="50" width="2" bestFit="1" customWidth="1"/>
    <col min="51" max="51" width="3" bestFit="1" customWidth="1"/>
    <col min="52" max="53" width="2" bestFit="1" customWidth="1"/>
    <col min="54" max="87" width="3" bestFit="1" customWidth="1"/>
    <col min="88" max="90" width="4" bestFit="1" customWidth="1"/>
    <col min="91" max="91" width="10.44140625" bestFit="1" customWidth="1"/>
    <col min="92" max="93" width="2" bestFit="1" customWidth="1"/>
    <col min="94" max="94" width="3" bestFit="1" customWidth="1"/>
    <col min="95" max="96" width="2" bestFit="1" customWidth="1"/>
    <col min="97" max="116" width="3" bestFit="1" customWidth="1"/>
    <col min="117" max="117" width="4" bestFit="1" customWidth="1"/>
    <col min="118" max="130" width="3" bestFit="1" customWidth="1"/>
    <col min="131" max="133" width="4" bestFit="1" customWidth="1"/>
    <col min="134" max="134" width="10.44140625" bestFit="1" customWidth="1"/>
    <col min="135" max="135" width="12.44140625" bestFit="1" customWidth="1"/>
    <col min="136" max="136" width="7.5546875" bestFit="1" customWidth="1"/>
    <col min="137" max="137" width="12.44140625" bestFit="1" customWidth="1"/>
    <col min="138" max="138" width="7.5546875" bestFit="1" customWidth="1"/>
    <col min="139" max="139" width="7.44140625" bestFit="1" customWidth="1"/>
    <col min="140" max="140" width="7.5546875" bestFit="1" customWidth="1"/>
    <col min="141" max="142" width="12.44140625" bestFit="1" customWidth="1"/>
    <col min="143" max="143" width="7.5546875" bestFit="1" customWidth="1"/>
    <col min="144" max="148" width="12.44140625" bestFit="1" customWidth="1"/>
    <col min="149" max="149" width="11" bestFit="1" customWidth="1"/>
    <col min="150" max="152" width="12.44140625" bestFit="1" customWidth="1"/>
    <col min="153" max="153" width="7.5546875" bestFit="1" customWidth="1"/>
    <col min="154" max="161" width="12.44140625" bestFit="1" customWidth="1"/>
    <col min="162" max="162" width="11" bestFit="1" customWidth="1"/>
    <col min="163" max="163" width="7.5546875" bestFit="1" customWidth="1"/>
    <col min="164" max="167" width="12.44140625" bestFit="1" customWidth="1"/>
    <col min="168" max="168" width="7.5546875" bestFit="1" customWidth="1"/>
    <col min="169" max="176" width="12.44140625" bestFit="1" customWidth="1"/>
    <col min="177" max="179" width="7.5546875" bestFit="1" customWidth="1"/>
    <col min="180" max="180" width="7.44140625" bestFit="1" customWidth="1"/>
    <col min="181" max="187" width="7.5546875" bestFit="1" customWidth="1"/>
    <col min="188" max="189" width="7.44140625" bestFit="1" customWidth="1"/>
    <col min="190" max="195" width="7.5546875" bestFit="1" customWidth="1"/>
    <col min="196" max="196" width="12.44140625" bestFit="1" customWidth="1"/>
    <col min="197" max="198" width="7.5546875" bestFit="1" customWidth="1"/>
    <col min="199" max="199" width="12.44140625" bestFit="1" customWidth="1"/>
    <col min="200" max="201" width="7.5546875" bestFit="1" customWidth="1"/>
    <col min="202" max="203" width="12.44140625" bestFit="1" customWidth="1"/>
    <col min="204" max="206" width="7.5546875" bestFit="1" customWidth="1"/>
    <col min="207" max="207" width="12.44140625" bestFit="1" customWidth="1"/>
    <col min="208" max="209" width="7.5546875" bestFit="1" customWidth="1"/>
    <col min="210" max="213" width="12.44140625" bestFit="1" customWidth="1"/>
    <col min="214" max="216" width="7.5546875" bestFit="1" customWidth="1"/>
    <col min="217" max="217" width="11" bestFit="1" customWidth="1"/>
    <col min="218" max="218" width="7.5546875" bestFit="1" customWidth="1"/>
    <col min="219" max="219" width="12.44140625" bestFit="1" customWidth="1"/>
    <col min="220" max="220" width="7.5546875" bestFit="1" customWidth="1"/>
    <col min="221" max="221" width="12.44140625" bestFit="1" customWidth="1"/>
    <col min="222" max="222" width="7.5546875" bestFit="1" customWidth="1"/>
    <col min="223" max="223" width="12.44140625" bestFit="1" customWidth="1"/>
    <col min="224" max="227" width="7.5546875" bestFit="1" customWidth="1"/>
    <col min="228" max="228" width="12.44140625" bestFit="1" customWidth="1"/>
    <col min="229" max="229" width="7.5546875" bestFit="1" customWidth="1"/>
    <col min="230" max="230" width="12.44140625" bestFit="1" customWidth="1"/>
    <col min="231" max="231" width="7.44140625" bestFit="1" customWidth="1"/>
    <col min="232" max="234" width="12.44140625" bestFit="1" customWidth="1"/>
    <col min="235" max="235" width="7.5546875" bestFit="1" customWidth="1"/>
    <col min="236" max="238" width="12.44140625" bestFit="1" customWidth="1"/>
    <col min="239" max="241" width="7.5546875" bestFit="1" customWidth="1"/>
    <col min="242" max="242" width="12.44140625" bestFit="1" customWidth="1"/>
    <col min="243" max="244" width="7.5546875" bestFit="1" customWidth="1"/>
    <col min="245" max="246" width="12.44140625" bestFit="1" customWidth="1"/>
    <col min="247" max="247" width="7.5546875" bestFit="1" customWidth="1"/>
    <col min="248" max="248" width="12.44140625" bestFit="1" customWidth="1"/>
    <col min="249" max="249" width="7.5546875" bestFit="1" customWidth="1"/>
    <col min="250" max="250" width="12.44140625" bestFit="1" customWidth="1"/>
    <col min="251" max="252" width="7.5546875" bestFit="1" customWidth="1"/>
    <col min="253" max="253" width="7.44140625" bestFit="1" customWidth="1"/>
    <col min="254" max="257" width="12.44140625" bestFit="1" customWidth="1"/>
    <col min="258" max="259" width="7.5546875" bestFit="1" customWidth="1"/>
    <col min="260" max="260" width="12.44140625" bestFit="1" customWidth="1"/>
    <col min="261" max="261" width="7.5546875" bestFit="1" customWidth="1"/>
    <col min="262" max="262" width="12.44140625" bestFit="1" customWidth="1"/>
    <col min="263" max="263" width="10.44140625" bestFit="1" customWidth="1"/>
    <col min="264" max="265" width="7.5546875" bestFit="1" customWidth="1"/>
    <col min="266" max="266" width="7.44140625" bestFit="1" customWidth="1"/>
    <col min="267" max="267" width="12.44140625" bestFit="1" customWidth="1"/>
    <col min="268" max="268" width="7.44140625" bestFit="1" customWidth="1"/>
    <col min="269" max="271" width="12.44140625" bestFit="1" customWidth="1"/>
    <col min="272" max="272" width="7.5546875" bestFit="1" customWidth="1"/>
    <col min="273" max="275" width="12.44140625" bestFit="1" customWidth="1"/>
    <col min="276" max="276" width="7.44140625" bestFit="1" customWidth="1"/>
    <col min="277" max="277" width="12.44140625" bestFit="1" customWidth="1"/>
    <col min="278" max="278" width="7.5546875" bestFit="1" customWidth="1"/>
    <col min="279" max="281" width="12.44140625" bestFit="1" customWidth="1"/>
    <col min="282" max="283" width="7.5546875" bestFit="1" customWidth="1"/>
    <col min="284" max="285" width="12.44140625" bestFit="1" customWidth="1"/>
    <col min="286" max="286" width="7.5546875" bestFit="1" customWidth="1"/>
    <col min="287" max="290" width="12.44140625" bestFit="1" customWidth="1"/>
    <col min="291" max="292" width="7.5546875" bestFit="1" customWidth="1"/>
    <col min="293" max="293" width="7.44140625" bestFit="1" customWidth="1"/>
    <col min="294" max="294" width="12.44140625" bestFit="1" customWidth="1"/>
    <col min="295" max="295" width="11" bestFit="1" customWidth="1"/>
    <col min="296" max="296" width="12.44140625" bestFit="1" customWidth="1"/>
    <col min="297" max="297" width="7.5546875" bestFit="1" customWidth="1"/>
    <col min="298" max="298" width="12.44140625" bestFit="1" customWidth="1"/>
    <col min="299" max="300" width="7.5546875" bestFit="1" customWidth="1"/>
    <col min="301" max="301" width="12.44140625" bestFit="1" customWidth="1"/>
    <col min="302" max="302" width="7.5546875" bestFit="1" customWidth="1"/>
    <col min="303" max="304" width="12.44140625" bestFit="1" customWidth="1"/>
    <col min="305" max="305" width="11" bestFit="1" customWidth="1"/>
    <col min="306" max="307" width="14.5546875" bestFit="1" customWidth="1"/>
    <col min="308" max="309" width="15.44140625" bestFit="1" customWidth="1"/>
    <col min="310" max="310" width="12.5546875" bestFit="1" customWidth="1"/>
    <col min="311" max="311" width="12.44140625" bestFit="1" customWidth="1"/>
    <col min="312" max="312" width="15" bestFit="1" customWidth="1"/>
  </cols>
  <sheetData>
    <row r="5" spans="1:12" x14ac:dyDescent="0.3">
      <c r="A5" s="11" t="s">
        <v>0</v>
      </c>
      <c r="B5" t="s">
        <v>139</v>
      </c>
      <c r="C5" t="s">
        <v>143</v>
      </c>
      <c r="D5" t="s">
        <v>3</v>
      </c>
      <c r="E5" t="s">
        <v>147</v>
      </c>
      <c r="I5" s="11" t="s">
        <v>0</v>
      </c>
      <c r="J5" t="s">
        <v>148</v>
      </c>
      <c r="K5" t="s">
        <v>145</v>
      </c>
      <c r="L5" t="s">
        <v>146</v>
      </c>
    </row>
    <row r="6" spans="1:12" x14ac:dyDescent="0.3">
      <c r="A6" s="12" t="s">
        <v>22</v>
      </c>
      <c r="B6">
        <v>180</v>
      </c>
      <c r="C6">
        <v>17</v>
      </c>
      <c r="D6">
        <v>26</v>
      </c>
      <c r="E6" s="13">
        <v>0.967741935483871</v>
      </c>
      <c r="F6" s="13"/>
      <c r="G6" s="13"/>
      <c r="I6" s="12" t="s">
        <v>22</v>
      </c>
      <c r="J6" s="13">
        <v>0.17222222222222222</v>
      </c>
      <c r="K6" s="13">
        <v>0</v>
      </c>
      <c r="L6" s="13">
        <v>0</v>
      </c>
    </row>
    <row r="7" spans="1:12" x14ac:dyDescent="0.3">
      <c r="A7" s="14" t="s">
        <v>93</v>
      </c>
      <c r="B7">
        <v>19</v>
      </c>
      <c r="C7">
        <v>2</v>
      </c>
      <c r="D7">
        <v>2</v>
      </c>
      <c r="E7" s="13">
        <v>1</v>
      </c>
      <c r="F7" s="13"/>
      <c r="G7" s="13"/>
      <c r="I7" s="14" t="s">
        <v>93</v>
      </c>
      <c r="J7">
        <v>0.15789473684210525</v>
      </c>
      <c r="K7">
        <v>0</v>
      </c>
      <c r="L7">
        <v>0</v>
      </c>
    </row>
    <row r="8" spans="1:12" x14ac:dyDescent="0.3">
      <c r="A8" s="37">
        <v>19</v>
      </c>
      <c r="B8">
        <v>19</v>
      </c>
      <c r="C8">
        <v>2</v>
      </c>
      <c r="D8">
        <v>2</v>
      </c>
      <c r="E8" s="13">
        <v>1</v>
      </c>
      <c r="F8" s="13"/>
      <c r="G8" s="13"/>
      <c r="I8" s="14" t="s">
        <v>94</v>
      </c>
      <c r="J8">
        <v>0.15789473684210525</v>
      </c>
      <c r="K8">
        <v>0</v>
      </c>
      <c r="L8" t="e">
        <v>#DIV/0!</v>
      </c>
    </row>
    <row r="9" spans="1:12" x14ac:dyDescent="0.3">
      <c r="A9" s="14" t="s">
        <v>94</v>
      </c>
      <c r="B9">
        <v>19</v>
      </c>
      <c r="C9">
        <v>2</v>
      </c>
      <c r="D9">
        <v>0</v>
      </c>
      <c r="E9" s="13">
        <v>1</v>
      </c>
      <c r="F9" s="13"/>
      <c r="G9" s="13"/>
      <c r="I9" s="14" t="s">
        <v>92</v>
      </c>
      <c r="J9">
        <v>0.25</v>
      </c>
      <c r="K9">
        <v>0</v>
      </c>
      <c r="L9" t="e">
        <v>#DIV/0!</v>
      </c>
    </row>
    <row r="10" spans="1:12" x14ac:dyDescent="0.3">
      <c r="A10" s="37">
        <v>19</v>
      </c>
      <c r="B10">
        <v>19</v>
      </c>
      <c r="C10">
        <v>2</v>
      </c>
      <c r="D10">
        <v>0</v>
      </c>
      <c r="E10" s="13">
        <v>1</v>
      </c>
      <c r="F10" s="13"/>
      <c r="G10" s="13"/>
      <c r="I10" s="14" t="s">
        <v>96</v>
      </c>
      <c r="J10">
        <v>0</v>
      </c>
      <c r="K10" t="e">
        <v>#DIV/0!</v>
      </c>
      <c r="L10" t="e">
        <v>#DIV/0!</v>
      </c>
    </row>
    <row r="11" spans="1:12" x14ac:dyDescent="0.3">
      <c r="A11" s="14" t="s">
        <v>92</v>
      </c>
      <c r="B11">
        <v>8</v>
      </c>
      <c r="C11">
        <v>2</v>
      </c>
      <c r="D11">
        <v>0</v>
      </c>
      <c r="E11" s="13">
        <v>1</v>
      </c>
      <c r="F11" s="13"/>
      <c r="G11" s="13"/>
      <c r="I11" s="14" t="s">
        <v>95</v>
      </c>
      <c r="J11">
        <v>0.21428571428571427</v>
      </c>
      <c r="K11">
        <v>0</v>
      </c>
      <c r="L11">
        <v>0</v>
      </c>
    </row>
    <row r="12" spans="1:12" x14ac:dyDescent="0.3">
      <c r="A12" s="37">
        <v>8</v>
      </c>
      <c r="B12">
        <v>8</v>
      </c>
      <c r="C12">
        <v>2</v>
      </c>
      <c r="D12">
        <v>0</v>
      </c>
      <c r="E12" s="13">
        <v>1</v>
      </c>
      <c r="F12" s="13"/>
      <c r="G12" s="13"/>
      <c r="I12" s="14" t="s">
        <v>97</v>
      </c>
      <c r="J12">
        <v>0.13043478260869565</v>
      </c>
      <c r="K12" t="e">
        <v>#DIV/0!</v>
      </c>
      <c r="L12">
        <v>0</v>
      </c>
    </row>
    <row r="13" spans="1:12" x14ac:dyDescent="0.3">
      <c r="A13" s="14" t="s">
        <v>96</v>
      </c>
      <c r="B13">
        <v>13</v>
      </c>
      <c r="C13">
        <v>0</v>
      </c>
      <c r="D13">
        <v>0</v>
      </c>
      <c r="E13" s="13">
        <v>0.9285714285714286</v>
      </c>
      <c r="F13" s="13"/>
      <c r="G13" s="13"/>
      <c r="I13" s="14" t="s">
        <v>98</v>
      </c>
      <c r="J13">
        <v>0.2</v>
      </c>
      <c r="K13" t="e">
        <v>#DIV/0!</v>
      </c>
      <c r="L13">
        <v>0</v>
      </c>
    </row>
    <row r="14" spans="1:12" x14ac:dyDescent="0.3">
      <c r="A14" s="37">
        <v>14</v>
      </c>
      <c r="B14">
        <v>13</v>
      </c>
      <c r="C14">
        <v>0</v>
      </c>
      <c r="D14">
        <v>0</v>
      </c>
      <c r="E14" s="13">
        <v>0.9285714285714286</v>
      </c>
      <c r="F14" s="13"/>
      <c r="G14" s="13"/>
      <c r="I14" s="14" t="s">
        <v>99</v>
      </c>
      <c r="J14">
        <v>0.25</v>
      </c>
      <c r="K14" t="e">
        <v>#DIV/0!</v>
      </c>
      <c r="L14" t="e">
        <v>#DIV/0!</v>
      </c>
    </row>
    <row r="15" spans="1:12" x14ac:dyDescent="0.3">
      <c r="A15" s="14" t="s">
        <v>95</v>
      </c>
      <c r="B15">
        <v>14</v>
      </c>
      <c r="C15">
        <v>1</v>
      </c>
      <c r="D15">
        <v>4</v>
      </c>
      <c r="E15" s="13">
        <v>0.875</v>
      </c>
      <c r="F15" s="13"/>
      <c r="G15" s="13"/>
      <c r="I15" s="14" t="s">
        <v>91</v>
      </c>
      <c r="J15">
        <v>0.23529411764705882</v>
      </c>
      <c r="K15">
        <v>0</v>
      </c>
      <c r="L15">
        <v>0</v>
      </c>
    </row>
    <row r="16" spans="1:12" x14ac:dyDescent="0.3">
      <c r="A16" s="37">
        <v>16</v>
      </c>
      <c r="B16">
        <v>14</v>
      </c>
      <c r="C16">
        <v>1</v>
      </c>
      <c r="D16">
        <v>4</v>
      </c>
      <c r="E16" s="13">
        <v>0.875</v>
      </c>
      <c r="F16" s="13"/>
      <c r="G16" s="13"/>
      <c r="I16" s="14" t="s">
        <v>88</v>
      </c>
      <c r="J16">
        <v>0.2</v>
      </c>
      <c r="K16">
        <v>0</v>
      </c>
      <c r="L16">
        <v>0</v>
      </c>
    </row>
    <row r="17" spans="1:12" x14ac:dyDescent="0.3">
      <c r="A17" s="14" t="s">
        <v>97</v>
      </c>
      <c r="B17">
        <v>23</v>
      </c>
      <c r="C17">
        <v>0</v>
      </c>
      <c r="D17">
        <v>3</v>
      </c>
      <c r="E17" s="13">
        <v>1</v>
      </c>
      <c r="F17" s="13"/>
      <c r="G17" s="13"/>
      <c r="I17" s="14" t="s">
        <v>90</v>
      </c>
      <c r="J17">
        <v>0.18181818181818182</v>
      </c>
      <c r="K17">
        <v>0</v>
      </c>
      <c r="L17">
        <v>0</v>
      </c>
    </row>
    <row r="18" spans="1:12" x14ac:dyDescent="0.3">
      <c r="A18" s="37">
        <v>23</v>
      </c>
      <c r="B18">
        <v>23</v>
      </c>
      <c r="C18">
        <v>0</v>
      </c>
      <c r="D18">
        <v>3</v>
      </c>
      <c r="E18" s="13">
        <v>1</v>
      </c>
      <c r="F18" s="13"/>
      <c r="G18" s="13"/>
      <c r="I18" s="14" t="s">
        <v>100</v>
      </c>
      <c r="J18">
        <v>0.14285714285714285</v>
      </c>
      <c r="K18">
        <v>0</v>
      </c>
      <c r="L18">
        <v>0</v>
      </c>
    </row>
    <row r="19" spans="1:12" x14ac:dyDescent="0.3">
      <c r="A19" s="14" t="s">
        <v>98</v>
      </c>
      <c r="B19">
        <v>20</v>
      </c>
      <c r="C19">
        <v>0</v>
      </c>
      <c r="D19">
        <v>7</v>
      </c>
      <c r="E19" s="13">
        <v>0.86956521739130432</v>
      </c>
      <c r="F19" s="13"/>
      <c r="G19" s="13"/>
      <c r="I19" s="12" t="s">
        <v>25</v>
      </c>
      <c r="J19">
        <v>0.16363636363636364</v>
      </c>
      <c r="K19">
        <v>0</v>
      </c>
      <c r="L19">
        <v>0.08</v>
      </c>
    </row>
    <row r="20" spans="1:12" x14ac:dyDescent="0.3">
      <c r="A20" s="37">
        <v>23</v>
      </c>
      <c r="B20">
        <v>20</v>
      </c>
      <c r="C20">
        <v>0</v>
      </c>
      <c r="D20">
        <v>7</v>
      </c>
      <c r="E20" s="13">
        <v>0.86956521739130432</v>
      </c>
      <c r="I20" s="14" t="s">
        <v>93</v>
      </c>
      <c r="J20">
        <v>0.2857142857142857</v>
      </c>
      <c r="K20">
        <v>0</v>
      </c>
      <c r="L20">
        <v>0</v>
      </c>
    </row>
    <row r="21" spans="1:12" x14ac:dyDescent="0.3">
      <c r="A21" s="14" t="s">
        <v>99</v>
      </c>
      <c r="B21">
        <v>12</v>
      </c>
      <c r="C21">
        <v>0</v>
      </c>
      <c r="D21">
        <v>0</v>
      </c>
      <c r="E21" s="13">
        <v>1</v>
      </c>
      <c r="I21" s="14" t="s">
        <v>94</v>
      </c>
      <c r="J21">
        <v>0.2857142857142857</v>
      </c>
      <c r="K21">
        <v>0</v>
      </c>
      <c r="L21">
        <v>0</v>
      </c>
    </row>
    <row r="22" spans="1:12" x14ac:dyDescent="0.3">
      <c r="A22" s="37">
        <v>12</v>
      </c>
      <c r="B22">
        <v>12</v>
      </c>
      <c r="C22">
        <v>0</v>
      </c>
      <c r="D22">
        <v>0</v>
      </c>
      <c r="E22" s="13">
        <v>1</v>
      </c>
      <c r="I22" s="14" t="s">
        <v>92</v>
      </c>
      <c r="J22">
        <v>0.11764705882352941</v>
      </c>
      <c r="K22">
        <v>0</v>
      </c>
      <c r="L22">
        <v>0.1111111111111111</v>
      </c>
    </row>
    <row r="23" spans="1:12" x14ac:dyDescent="0.3">
      <c r="A23" s="14" t="s">
        <v>91</v>
      </c>
      <c r="B23">
        <v>17</v>
      </c>
      <c r="C23">
        <v>4</v>
      </c>
      <c r="D23">
        <v>4</v>
      </c>
      <c r="E23" s="13">
        <v>1</v>
      </c>
      <c r="I23" s="14" t="s">
        <v>96</v>
      </c>
      <c r="J23">
        <v>9.0909090909090912E-2</v>
      </c>
      <c r="K23">
        <v>0</v>
      </c>
      <c r="L23">
        <v>0</v>
      </c>
    </row>
    <row r="24" spans="1:12" x14ac:dyDescent="0.3">
      <c r="A24" s="37">
        <v>17</v>
      </c>
      <c r="B24">
        <v>17</v>
      </c>
      <c r="C24">
        <v>4</v>
      </c>
      <c r="D24">
        <v>4</v>
      </c>
      <c r="E24" s="13">
        <v>1</v>
      </c>
      <c r="I24" s="14" t="s">
        <v>95</v>
      </c>
      <c r="J24">
        <v>0.15384615384615385</v>
      </c>
      <c r="K24">
        <v>0</v>
      </c>
      <c r="L24">
        <v>0</v>
      </c>
    </row>
    <row r="25" spans="1:12" x14ac:dyDescent="0.3">
      <c r="A25" s="14" t="s">
        <v>88</v>
      </c>
      <c r="B25">
        <v>10</v>
      </c>
      <c r="C25">
        <v>2</v>
      </c>
      <c r="D25">
        <v>2</v>
      </c>
      <c r="E25" s="13">
        <v>1</v>
      </c>
      <c r="I25" s="12" t="s">
        <v>23</v>
      </c>
      <c r="J25">
        <v>0.1702127659574468</v>
      </c>
      <c r="K25">
        <v>0</v>
      </c>
      <c r="L25">
        <v>3.9215686274509803E-2</v>
      </c>
    </row>
    <row r="26" spans="1:12" x14ac:dyDescent="0.3">
      <c r="A26" s="37">
        <v>10</v>
      </c>
      <c r="B26">
        <v>10</v>
      </c>
      <c r="C26">
        <v>2</v>
      </c>
      <c r="D26">
        <v>2</v>
      </c>
      <c r="E26" s="13">
        <v>1</v>
      </c>
      <c r="I26"/>
    </row>
    <row r="27" spans="1:12" x14ac:dyDescent="0.3">
      <c r="A27" s="14" t="s">
        <v>90</v>
      </c>
      <c r="B27">
        <v>11</v>
      </c>
      <c r="C27">
        <v>2</v>
      </c>
      <c r="D27">
        <v>2</v>
      </c>
      <c r="E27" s="13">
        <v>1</v>
      </c>
      <c r="I27"/>
    </row>
    <row r="28" spans="1:12" x14ac:dyDescent="0.3">
      <c r="A28" s="37">
        <v>11</v>
      </c>
      <c r="B28">
        <v>11</v>
      </c>
      <c r="C28">
        <v>2</v>
      </c>
      <c r="D28">
        <v>2</v>
      </c>
      <c r="E28" s="13">
        <v>1</v>
      </c>
      <c r="I28"/>
    </row>
    <row r="29" spans="1:12" x14ac:dyDescent="0.3">
      <c r="A29" s="14" t="s">
        <v>100</v>
      </c>
      <c r="B29">
        <v>14</v>
      </c>
      <c r="C29">
        <v>2</v>
      </c>
      <c r="D29">
        <v>2</v>
      </c>
      <c r="E29" s="13">
        <v>1</v>
      </c>
      <c r="I29"/>
    </row>
    <row r="30" spans="1:12" x14ac:dyDescent="0.3">
      <c r="A30" s="37">
        <v>14</v>
      </c>
      <c r="B30">
        <v>14</v>
      </c>
      <c r="C30">
        <v>2</v>
      </c>
      <c r="D30">
        <v>2</v>
      </c>
      <c r="E30" s="13">
        <v>1</v>
      </c>
      <c r="I30"/>
    </row>
    <row r="31" spans="1:12" x14ac:dyDescent="0.3">
      <c r="A31" s="12" t="s">
        <v>25</v>
      </c>
      <c r="B31">
        <v>55</v>
      </c>
      <c r="C31">
        <v>10</v>
      </c>
      <c r="D31">
        <v>25</v>
      </c>
      <c r="E31" s="13">
        <v>0.9821428571428571</v>
      </c>
      <c r="I31"/>
    </row>
    <row r="32" spans="1:12" x14ac:dyDescent="0.3">
      <c r="A32" s="14" t="s">
        <v>93</v>
      </c>
      <c r="B32">
        <v>7</v>
      </c>
      <c r="C32">
        <v>2</v>
      </c>
      <c r="D32">
        <v>2</v>
      </c>
      <c r="E32" s="13">
        <v>1</v>
      </c>
      <c r="I32"/>
    </row>
    <row r="33" spans="1:9" x14ac:dyDescent="0.3">
      <c r="A33" s="37">
        <v>7</v>
      </c>
      <c r="B33">
        <v>7</v>
      </c>
      <c r="C33">
        <v>2</v>
      </c>
      <c r="D33">
        <v>2</v>
      </c>
      <c r="E33" s="13">
        <v>1</v>
      </c>
      <c r="I33"/>
    </row>
    <row r="34" spans="1:9" x14ac:dyDescent="0.3">
      <c r="A34" s="14" t="s">
        <v>94</v>
      </c>
      <c r="B34">
        <v>7</v>
      </c>
      <c r="C34">
        <v>2</v>
      </c>
      <c r="D34">
        <v>2</v>
      </c>
      <c r="E34" s="13">
        <v>1</v>
      </c>
      <c r="I34"/>
    </row>
    <row r="35" spans="1:9" x14ac:dyDescent="0.3">
      <c r="A35" s="37">
        <v>7</v>
      </c>
      <c r="B35">
        <v>7</v>
      </c>
      <c r="C35">
        <v>2</v>
      </c>
      <c r="D35">
        <v>2</v>
      </c>
      <c r="E35" s="13">
        <v>1</v>
      </c>
      <c r="I35"/>
    </row>
    <row r="36" spans="1:9" x14ac:dyDescent="0.3">
      <c r="A36" s="14" t="s">
        <v>92</v>
      </c>
      <c r="B36">
        <v>17</v>
      </c>
      <c r="C36">
        <v>3</v>
      </c>
      <c r="D36">
        <v>18</v>
      </c>
      <c r="E36" s="13">
        <v>0.94444444444444442</v>
      </c>
      <c r="I36"/>
    </row>
    <row r="37" spans="1:9" x14ac:dyDescent="0.3">
      <c r="A37" s="37">
        <v>18</v>
      </c>
      <c r="B37">
        <v>17</v>
      </c>
      <c r="C37">
        <v>3</v>
      </c>
      <c r="D37">
        <v>18</v>
      </c>
      <c r="E37" s="13">
        <v>0.94444444444444442</v>
      </c>
      <c r="I37"/>
    </row>
    <row r="38" spans="1:9" x14ac:dyDescent="0.3">
      <c r="A38" s="14" t="s">
        <v>96</v>
      </c>
      <c r="B38">
        <v>11</v>
      </c>
      <c r="C38">
        <v>1</v>
      </c>
      <c r="D38">
        <v>1</v>
      </c>
      <c r="E38" s="13">
        <v>1</v>
      </c>
      <c r="I38"/>
    </row>
    <row r="39" spans="1:9" x14ac:dyDescent="0.3">
      <c r="A39" s="37">
        <v>11</v>
      </c>
      <c r="B39">
        <v>11</v>
      </c>
      <c r="C39">
        <v>1</v>
      </c>
      <c r="D39">
        <v>1</v>
      </c>
      <c r="E39" s="13">
        <v>1</v>
      </c>
      <c r="I39"/>
    </row>
    <row r="40" spans="1:9" x14ac:dyDescent="0.3">
      <c r="A40" s="14" t="s">
        <v>95</v>
      </c>
      <c r="B40">
        <v>13</v>
      </c>
      <c r="C40">
        <v>2</v>
      </c>
      <c r="D40">
        <v>2</v>
      </c>
      <c r="E40" s="13">
        <v>1</v>
      </c>
      <c r="I40"/>
    </row>
    <row r="41" spans="1:9" x14ac:dyDescent="0.3">
      <c r="A41" s="37">
        <v>13</v>
      </c>
      <c r="B41">
        <v>13</v>
      </c>
      <c r="C41">
        <v>2</v>
      </c>
      <c r="D41">
        <v>2</v>
      </c>
      <c r="E41" s="13">
        <v>1</v>
      </c>
      <c r="I41"/>
    </row>
    <row r="42" spans="1:9" x14ac:dyDescent="0.3">
      <c r="A42" s="12" t="s">
        <v>23</v>
      </c>
      <c r="B42">
        <v>235</v>
      </c>
      <c r="C42">
        <v>27</v>
      </c>
      <c r="D42">
        <v>51</v>
      </c>
      <c r="E42" s="13">
        <v>0.97107438016528924</v>
      </c>
      <c r="I42"/>
    </row>
    <row r="43" spans="1:9" x14ac:dyDescent="0.3">
      <c r="I43"/>
    </row>
    <row r="44" spans="1:9" x14ac:dyDescent="0.3">
      <c r="I44"/>
    </row>
    <row r="45" spans="1:9" x14ac:dyDescent="0.3">
      <c r="I45"/>
    </row>
    <row r="46" spans="1:9" x14ac:dyDescent="0.3">
      <c r="I46"/>
    </row>
    <row r="47" spans="1:9" x14ac:dyDescent="0.3">
      <c r="I47"/>
    </row>
    <row r="48" spans="1:9" x14ac:dyDescent="0.3">
      <c r="I48"/>
    </row>
    <row r="49" spans="9:9" x14ac:dyDescent="0.3">
      <c r="I49"/>
    </row>
    <row r="50" spans="9:9" x14ac:dyDescent="0.3">
      <c r="I50"/>
    </row>
    <row r="51" spans="9:9" x14ac:dyDescent="0.3">
      <c r="I51"/>
    </row>
    <row r="52" spans="9:9" x14ac:dyDescent="0.3">
      <c r="I52"/>
    </row>
    <row r="53" spans="9:9" x14ac:dyDescent="0.3">
      <c r="I53"/>
    </row>
    <row r="54" spans="9:9" x14ac:dyDescent="0.3">
      <c r="I54"/>
    </row>
    <row r="55" spans="9:9" x14ac:dyDescent="0.3">
      <c r="I55"/>
    </row>
    <row r="56" spans="9:9" x14ac:dyDescent="0.3">
      <c r="I56"/>
    </row>
    <row r="57" spans="9:9" x14ac:dyDescent="0.3">
      <c r="I57"/>
    </row>
    <row r="58" spans="9:9" x14ac:dyDescent="0.3">
      <c r="I58"/>
    </row>
    <row r="59" spans="9:9" x14ac:dyDescent="0.3">
      <c r="I59"/>
    </row>
    <row r="60" spans="9:9" x14ac:dyDescent="0.3">
      <c r="I60"/>
    </row>
    <row r="61" spans="9:9" x14ac:dyDescent="0.3">
      <c r="I61"/>
    </row>
    <row r="62" spans="9:9" x14ac:dyDescent="0.3">
      <c r="I62"/>
    </row>
    <row r="63" spans="9:9" x14ac:dyDescent="0.3">
      <c r="I63"/>
    </row>
    <row r="64" spans="9:9" x14ac:dyDescent="0.3">
      <c r="I64"/>
    </row>
    <row r="65" spans="9:9" x14ac:dyDescent="0.3">
      <c r="I65"/>
    </row>
    <row r="66" spans="9:9" x14ac:dyDescent="0.3">
      <c r="I66"/>
    </row>
    <row r="67" spans="9:9" x14ac:dyDescent="0.3">
      <c r="I67"/>
    </row>
    <row r="68" spans="9:9" x14ac:dyDescent="0.3">
      <c r="I68"/>
    </row>
    <row r="69" spans="9:9" x14ac:dyDescent="0.3">
      <c r="I69"/>
    </row>
    <row r="70" spans="9:9" x14ac:dyDescent="0.3">
      <c r="I70"/>
    </row>
    <row r="71" spans="9:9" x14ac:dyDescent="0.3">
      <c r="I71"/>
    </row>
    <row r="72" spans="9:9" x14ac:dyDescent="0.3">
      <c r="I72"/>
    </row>
    <row r="73" spans="9:9" x14ac:dyDescent="0.3">
      <c r="I73"/>
    </row>
    <row r="74" spans="9:9" x14ac:dyDescent="0.3">
      <c r="I74"/>
    </row>
    <row r="75" spans="9:9" x14ac:dyDescent="0.3">
      <c r="I75"/>
    </row>
    <row r="76" spans="9:9" x14ac:dyDescent="0.3">
      <c r="I76"/>
    </row>
    <row r="77" spans="9:9" x14ac:dyDescent="0.3">
      <c r="I77"/>
    </row>
    <row r="78" spans="9:9" x14ac:dyDescent="0.3">
      <c r="I78"/>
    </row>
    <row r="79" spans="9:9" x14ac:dyDescent="0.3">
      <c r="I79"/>
    </row>
    <row r="80" spans="9:9" x14ac:dyDescent="0.3">
      <c r="I80"/>
    </row>
    <row r="81" spans="9:9" x14ac:dyDescent="0.3">
      <c r="I81"/>
    </row>
    <row r="82" spans="9:9" x14ac:dyDescent="0.3">
      <c r="I82"/>
    </row>
    <row r="83" spans="9:9" x14ac:dyDescent="0.3">
      <c r="I83"/>
    </row>
    <row r="84" spans="9:9" x14ac:dyDescent="0.3">
      <c r="I84"/>
    </row>
    <row r="85" spans="9:9" x14ac:dyDescent="0.3">
      <c r="I85"/>
    </row>
    <row r="86" spans="9:9" x14ac:dyDescent="0.3">
      <c r="I86"/>
    </row>
    <row r="87" spans="9:9" x14ac:dyDescent="0.3">
      <c r="I87"/>
    </row>
    <row r="88" spans="9:9" x14ac:dyDescent="0.3">
      <c r="I88"/>
    </row>
    <row r="89" spans="9:9" x14ac:dyDescent="0.3">
      <c r="I89"/>
    </row>
    <row r="90" spans="9:9" x14ac:dyDescent="0.3">
      <c r="I90"/>
    </row>
    <row r="91" spans="9:9" x14ac:dyDescent="0.3">
      <c r="I91"/>
    </row>
    <row r="92" spans="9:9" x14ac:dyDescent="0.3">
      <c r="I92"/>
    </row>
    <row r="93" spans="9:9" x14ac:dyDescent="0.3">
      <c r="I93"/>
    </row>
    <row r="94" spans="9:9" x14ac:dyDescent="0.3">
      <c r="I94"/>
    </row>
    <row r="95" spans="9:9" x14ac:dyDescent="0.3">
      <c r="I95"/>
    </row>
    <row r="96" spans="9:9" x14ac:dyDescent="0.3">
      <c r="I96"/>
    </row>
    <row r="97" spans="9:9" x14ac:dyDescent="0.3">
      <c r="I97"/>
    </row>
    <row r="98" spans="9:9" x14ac:dyDescent="0.3">
      <c r="I98"/>
    </row>
    <row r="99" spans="9:9" x14ac:dyDescent="0.3">
      <c r="I99"/>
    </row>
    <row r="100" spans="9:9" x14ac:dyDescent="0.3">
      <c r="I100"/>
    </row>
    <row r="101" spans="9:9" x14ac:dyDescent="0.3">
      <c r="I101"/>
    </row>
    <row r="102" spans="9:9" x14ac:dyDescent="0.3">
      <c r="I102"/>
    </row>
    <row r="103" spans="9:9" x14ac:dyDescent="0.3">
      <c r="I103"/>
    </row>
    <row r="104" spans="9:9" x14ac:dyDescent="0.3">
      <c r="I104"/>
    </row>
    <row r="105" spans="9:9" x14ac:dyDescent="0.3">
      <c r="I105"/>
    </row>
    <row r="106" spans="9:9" x14ac:dyDescent="0.3">
      <c r="I106"/>
    </row>
    <row r="107" spans="9:9" x14ac:dyDescent="0.3">
      <c r="I107"/>
    </row>
    <row r="108" spans="9:9" x14ac:dyDescent="0.3">
      <c r="I108"/>
    </row>
    <row r="109" spans="9:9" x14ac:dyDescent="0.3">
      <c r="I109"/>
    </row>
    <row r="110" spans="9:9" x14ac:dyDescent="0.3">
      <c r="I110"/>
    </row>
    <row r="111" spans="9:9" x14ac:dyDescent="0.3">
      <c r="I111"/>
    </row>
    <row r="112" spans="9:9" x14ac:dyDescent="0.3">
      <c r="I112"/>
    </row>
    <row r="113" spans="9:9" x14ac:dyDescent="0.3">
      <c r="I113"/>
    </row>
    <row r="114" spans="9:9" x14ac:dyDescent="0.3">
      <c r="I114"/>
    </row>
    <row r="115" spans="9:9" x14ac:dyDescent="0.3">
      <c r="I115"/>
    </row>
    <row r="116" spans="9:9" x14ac:dyDescent="0.3">
      <c r="I116"/>
    </row>
    <row r="117" spans="9:9" x14ac:dyDescent="0.3">
      <c r="I117"/>
    </row>
    <row r="118" spans="9:9" x14ac:dyDescent="0.3">
      <c r="I118"/>
    </row>
    <row r="119" spans="9:9" x14ac:dyDescent="0.3">
      <c r="I119"/>
    </row>
    <row r="120" spans="9:9" x14ac:dyDescent="0.3">
      <c r="I120"/>
    </row>
    <row r="121" spans="9:9" x14ac:dyDescent="0.3">
      <c r="I121"/>
    </row>
    <row r="122" spans="9:9" x14ac:dyDescent="0.3">
      <c r="I122"/>
    </row>
    <row r="123" spans="9:9" x14ac:dyDescent="0.3">
      <c r="I123"/>
    </row>
    <row r="124" spans="9:9" x14ac:dyDescent="0.3">
      <c r="I124"/>
    </row>
    <row r="125" spans="9:9" x14ac:dyDescent="0.3">
      <c r="I125"/>
    </row>
    <row r="126" spans="9:9" x14ac:dyDescent="0.3">
      <c r="I126"/>
    </row>
    <row r="127" spans="9:9" x14ac:dyDescent="0.3">
      <c r="I127"/>
    </row>
    <row r="128" spans="9:9" x14ac:dyDescent="0.3">
      <c r="I128"/>
    </row>
    <row r="129" spans="9:9" x14ac:dyDescent="0.3">
      <c r="I129"/>
    </row>
    <row r="130" spans="9:9" x14ac:dyDescent="0.3">
      <c r="I130"/>
    </row>
    <row r="131" spans="9:9" x14ac:dyDescent="0.3">
      <c r="I131"/>
    </row>
    <row r="132" spans="9:9" x14ac:dyDescent="0.3">
      <c r="I132"/>
    </row>
    <row r="133" spans="9:9" x14ac:dyDescent="0.3">
      <c r="I133"/>
    </row>
    <row r="134" spans="9:9" x14ac:dyDescent="0.3">
      <c r="I134"/>
    </row>
    <row r="135" spans="9:9" x14ac:dyDescent="0.3">
      <c r="I135"/>
    </row>
    <row r="136" spans="9:9" x14ac:dyDescent="0.3">
      <c r="I136"/>
    </row>
    <row r="137" spans="9:9" x14ac:dyDescent="0.3">
      <c r="I137"/>
    </row>
    <row r="138" spans="9:9" x14ac:dyDescent="0.3">
      <c r="I138"/>
    </row>
    <row r="139" spans="9:9" x14ac:dyDescent="0.3">
      <c r="I139"/>
    </row>
    <row r="140" spans="9:9" x14ac:dyDescent="0.3">
      <c r="I140"/>
    </row>
    <row r="141" spans="9:9" x14ac:dyDescent="0.3">
      <c r="I141"/>
    </row>
    <row r="142" spans="9:9" x14ac:dyDescent="0.3">
      <c r="I142"/>
    </row>
    <row r="143" spans="9:9" x14ac:dyDescent="0.3">
      <c r="I143"/>
    </row>
    <row r="144" spans="9:9" x14ac:dyDescent="0.3">
      <c r="I144"/>
    </row>
    <row r="145" spans="9:9" x14ac:dyDescent="0.3">
      <c r="I145"/>
    </row>
    <row r="146" spans="9:9" x14ac:dyDescent="0.3">
      <c r="I146"/>
    </row>
    <row r="147" spans="9:9" x14ac:dyDescent="0.3">
      <c r="I147"/>
    </row>
    <row r="148" spans="9:9" x14ac:dyDescent="0.3">
      <c r="I148"/>
    </row>
    <row r="149" spans="9:9" x14ac:dyDescent="0.3">
      <c r="I149"/>
    </row>
    <row r="150" spans="9:9" x14ac:dyDescent="0.3">
      <c r="I150"/>
    </row>
    <row r="151" spans="9:9" x14ac:dyDescent="0.3">
      <c r="I151"/>
    </row>
    <row r="152" spans="9:9" x14ac:dyDescent="0.3">
      <c r="I152"/>
    </row>
    <row r="153" spans="9:9" x14ac:dyDescent="0.3">
      <c r="I153"/>
    </row>
    <row r="154" spans="9:9" x14ac:dyDescent="0.3">
      <c r="I154"/>
    </row>
    <row r="155" spans="9:9" x14ac:dyDescent="0.3">
      <c r="I155"/>
    </row>
    <row r="156" spans="9:9" x14ac:dyDescent="0.3">
      <c r="I156"/>
    </row>
    <row r="157" spans="9:9" x14ac:dyDescent="0.3">
      <c r="I157"/>
    </row>
    <row r="158" spans="9:9" x14ac:dyDescent="0.3">
      <c r="I158"/>
    </row>
    <row r="159" spans="9:9" x14ac:dyDescent="0.3">
      <c r="I159"/>
    </row>
    <row r="160" spans="9:9" x14ac:dyDescent="0.3">
      <c r="I160"/>
    </row>
    <row r="161" spans="9:9" x14ac:dyDescent="0.3">
      <c r="I161"/>
    </row>
    <row r="162" spans="9:9" x14ac:dyDescent="0.3">
      <c r="I162"/>
    </row>
    <row r="163" spans="9:9" x14ac:dyDescent="0.3">
      <c r="I163"/>
    </row>
    <row r="164" spans="9:9" x14ac:dyDescent="0.3">
      <c r="I164"/>
    </row>
    <row r="165" spans="9:9" x14ac:dyDescent="0.3">
      <c r="I165"/>
    </row>
    <row r="166" spans="9:9" x14ac:dyDescent="0.3">
      <c r="I166"/>
    </row>
    <row r="167" spans="9:9" x14ac:dyDescent="0.3">
      <c r="I167"/>
    </row>
    <row r="168" spans="9:9" x14ac:dyDescent="0.3">
      <c r="I168"/>
    </row>
    <row r="169" spans="9:9" x14ac:dyDescent="0.3">
      <c r="I169"/>
    </row>
    <row r="170" spans="9:9" x14ac:dyDescent="0.3">
      <c r="I170"/>
    </row>
    <row r="171" spans="9:9" x14ac:dyDescent="0.3">
      <c r="I171"/>
    </row>
    <row r="172" spans="9:9" x14ac:dyDescent="0.3">
      <c r="I172"/>
    </row>
    <row r="173" spans="9:9" x14ac:dyDescent="0.3">
      <c r="I173"/>
    </row>
    <row r="174" spans="9:9" x14ac:dyDescent="0.3">
      <c r="I174"/>
    </row>
    <row r="175" spans="9:9" x14ac:dyDescent="0.3">
      <c r="I175"/>
    </row>
    <row r="176" spans="9:9" x14ac:dyDescent="0.3">
      <c r="I176"/>
    </row>
    <row r="177" spans="9:9" x14ac:dyDescent="0.3">
      <c r="I177"/>
    </row>
    <row r="178" spans="9:9" x14ac:dyDescent="0.3">
      <c r="I178"/>
    </row>
    <row r="179" spans="9:9" x14ac:dyDescent="0.3">
      <c r="I179"/>
    </row>
    <row r="180" spans="9:9" x14ac:dyDescent="0.3">
      <c r="I180"/>
    </row>
    <row r="181" spans="9:9" x14ac:dyDescent="0.3">
      <c r="I181"/>
    </row>
    <row r="182" spans="9:9" x14ac:dyDescent="0.3">
      <c r="I182"/>
    </row>
    <row r="183" spans="9:9" x14ac:dyDescent="0.3">
      <c r="I183"/>
    </row>
    <row r="184" spans="9:9" x14ac:dyDescent="0.3">
      <c r="I184"/>
    </row>
    <row r="185" spans="9:9" x14ac:dyDescent="0.3">
      <c r="I185"/>
    </row>
    <row r="186" spans="9:9" x14ac:dyDescent="0.3">
      <c r="I186"/>
    </row>
    <row r="187" spans="9:9" x14ac:dyDescent="0.3">
      <c r="I187"/>
    </row>
    <row r="188" spans="9:9" x14ac:dyDescent="0.3">
      <c r="I188"/>
    </row>
    <row r="189" spans="9:9" x14ac:dyDescent="0.3">
      <c r="I189"/>
    </row>
    <row r="190" spans="9:9" x14ac:dyDescent="0.3">
      <c r="I190"/>
    </row>
    <row r="191" spans="9:9" x14ac:dyDescent="0.3">
      <c r="I191"/>
    </row>
    <row r="192" spans="9:9" x14ac:dyDescent="0.3">
      <c r="I192"/>
    </row>
    <row r="193" spans="9:9" x14ac:dyDescent="0.3">
      <c r="I193"/>
    </row>
    <row r="194" spans="9:9" x14ac:dyDescent="0.3">
      <c r="I194"/>
    </row>
    <row r="195" spans="9:9" x14ac:dyDescent="0.3">
      <c r="I195"/>
    </row>
    <row r="196" spans="9:9" x14ac:dyDescent="0.3">
      <c r="I196"/>
    </row>
    <row r="197" spans="9:9" x14ac:dyDescent="0.3">
      <c r="I197"/>
    </row>
    <row r="198" spans="9:9" x14ac:dyDescent="0.3">
      <c r="I198"/>
    </row>
    <row r="199" spans="9:9" x14ac:dyDescent="0.3">
      <c r="I199"/>
    </row>
    <row r="200" spans="9:9" x14ac:dyDescent="0.3">
      <c r="I200"/>
    </row>
    <row r="201" spans="9:9" x14ac:dyDescent="0.3">
      <c r="I201"/>
    </row>
    <row r="202" spans="9:9" x14ac:dyDescent="0.3">
      <c r="I202"/>
    </row>
    <row r="203" spans="9:9" x14ac:dyDescent="0.3">
      <c r="I203"/>
    </row>
    <row r="204" spans="9:9" x14ac:dyDescent="0.3">
      <c r="I204"/>
    </row>
    <row r="205" spans="9:9" x14ac:dyDescent="0.3">
      <c r="I205"/>
    </row>
    <row r="206" spans="9:9" x14ac:dyDescent="0.3">
      <c r="I206"/>
    </row>
    <row r="207" spans="9:9" x14ac:dyDescent="0.3">
      <c r="I207"/>
    </row>
    <row r="208" spans="9:9" x14ac:dyDescent="0.3">
      <c r="I208"/>
    </row>
    <row r="209" spans="9:9" x14ac:dyDescent="0.3">
      <c r="I209"/>
    </row>
    <row r="210" spans="9:9" x14ac:dyDescent="0.3">
      <c r="I210"/>
    </row>
    <row r="211" spans="9:9" x14ac:dyDescent="0.3">
      <c r="I211"/>
    </row>
    <row r="212" spans="9:9" x14ac:dyDescent="0.3">
      <c r="I212"/>
    </row>
    <row r="213" spans="9:9" x14ac:dyDescent="0.3">
      <c r="I213"/>
    </row>
    <row r="214" spans="9:9" x14ac:dyDescent="0.3">
      <c r="I214"/>
    </row>
    <row r="215" spans="9:9" x14ac:dyDescent="0.3">
      <c r="I215"/>
    </row>
    <row r="216" spans="9:9" x14ac:dyDescent="0.3">
      <c r="I216"/>
    </row>
    <row r="217" spans="9:9" x14ac:dyDescent="0.3">
      <c r="I217"/>
    </row>
    <row r="218" spans="9:9" x14ac:dyDescent="0.3">
      <c r="I218"/>
    </row>
    <row r="219" spans="9:9" x14ac:dyDescent="0.3">
      <c r="I219"/>
    </row>
    <row r="220" spans="9:9" x14ac:dyDescent="0.3">
      <c r="I220"/>
    </row>
    <row r="221" spans="9:9" x14ac:dyDescent="0.3">
      <c r="I221"/>
    </row>
    <row r="222" spans="9:9" x14ac:dyDescent="0.3">
      <c r="I222"/>
    </row>
    <row r="223" spans="9:9" x14ac:dyDescent="0.3">
      <c r="I223"/>
    </row>
    <row r="224" spans="9:9" x14ac:dyDescent="0.3">
      <c r="I224"/>
    </row>
    <row r="225" spans="9:9" x14ac:dyDescent="0.3">
      <c r="I225"/>
    </row>
    <row r="226" spans="9:9" x14ac:dyDescent="0.3">
      <c r="I226"/>
    </row>
    <row r="227" spans="9:9" x14ac:dyDescent="0.3">
      <c r="I227"/>
    </row>
    <row r="228" spans="9:9" x14ac:dyDescent="0.3">
      <c r="I228"/>
    </row>
    <row r="229" spans="9:9" x14ac:dyDescent="0.3">
      <c r="I229"/>
    </row>
    <row r="230" spans="9:9" x14ac:dyDescent="0.3">
      <c r="I230"/>
    </row>
    <row r="231" spans="9:9" x14ac:dyDescent="0.3">
      <c r="I231"/>
    </row>
    <row r="232" spans="9:9" x14ac:dyDescent="0.3">
      <c r="I232"/>
    </row>
    <row r="233" spans="9:9" x14ac:dyDescent="0.3">
      <c r="I233"/>
    </row>
    <row r="234" spans="9:9" x14ac:dyDescent="0.3">
      <c r="I234"/>
    </row>
    <row r="235" spans="9:9" x14ac:dyDescent="0.3">
      <c r="I235"/>
    </row>
    <row r="236" spans="9:9" x14ac:dyDescent="0.3">
      <c r="I236"/>
    </row>
    <row r="237" spans="9:9" x14ac:dyDescent="0.3">
      <c r="I237"/>
    </row>
    <row r="238" spans="9:9" x14ac:dyDescent="0.3">
      <c r="I238"/>
    </row>
    <row r="239" spans="9:9" x14ac:dyDescent="0.3">
      <c r="I239"/>
    </row>
    <row r="240" spans="9:9" x14ac:dyDescent="0.3">
      <c r="I240"/>
    </row>
    <row r="241" spans="9:9" x14ac:dyDescent="0.3">
      <c r="I241"/>
    </row>
    <row r="242" spans="9:9" x14ac:dyDescent="0.3">
      <c r="I242"/>
    </row>
    <row r="243" spans="9:9" x14ac:dyDescent="0.3">
      <c r="I243"/>
    </row>
    <row r="244" spans="9:9" x14ac:dyDescent="0.3">
      <c r="I244"/>
    </row>
    <row r="245" spans="9:9" x14ac:dyDescent="0.3">
      <c r="I245"/>
    </row>
    <row r="246" spans="9:9" x14ac:dyDescent="0.3">
      <c r="I246"/>
    </row>
    <row r="247" spans="9:9" x14ac:dyDescent="0.3">
      <c r="I247"/>
    </row>
    <row r="248" spans="9:9" x14ac:dyDescent="0.3">
      <c r="I248"/>
    </row>
    <row r="249" spans="9:9" x14ac:dyDescent="0.3">
      <c r="I249"/>
    </row>
    <row r="250" spans="9:9" x14ac:dyDescent="0.3">
      <c r="I250"/>
    </row>
    <row r="251" spans="9:9" x14ac:dyDescent="0.3">
      <c r="I251"/>
    </row>
    <row r="252" spans="9:9" x14ac:dyDescent="0.3">
      <c r="I252"/>
    </row>
    <row r="253" spans="9:9" x14ac:dyDescent="0.3">
      <c r="I253"/>
    </row>
    <row r="254" spans="9:9" x14ac:dyDescent="0.3">
      <c r="I254"/>
    </row>
    <row r="255" spans="9:9" x14ac:dyDescent="0.3">
      <c r="I255"/>
    </row>
    <row r="256" spans="9:9" x14ac:dyDescent="0.3">
      <c r="I256"/>
    </row>
    <row r="257" spans="9:9" x14ac:dyDescent="0.3">
      <c r="I257"/>
    </row>
    <row r="258" spans="9:9" x14ac:dyDescent="0.3">
      <c r="I258"/>
    </row>
    <row r="259" spans="9:9" x14ac:dyDescent="0.3">
      <c r="I259"/>
    </row>
    <row r="260" spans="9:9" x14ac:dyDescent="0.3">
      <c r="I260"/>
    </row>
    <row r="261" spans="9:9" x14ac:dyDescent="0.3">
      <c r="I261"/>
    </row>
    <row r="262" spans="9:9" x14ac:dyDescent="0.3">
      <c r="I262"/>
    </row>
    <row r="263" spans="9:9" x14ac:dyDescent="0.3">
      <c r="I263"/>
    </row>
    <row r="264" spans="9:9" x14ac:dyDescent="0.3">
      <c r="I264"/>
    </row>
    <row r="265" spans="9:9" x14ac:dyDescent="0.3">
      <c r="I265"/>
    </row>
    <row r="266" spans="9:9" x14ac:dyDescent="0.3">
      <c r="I266"/>
    </row>
    <row r="267" spans="9:9" x14ac:dyDescent="0.3">
      <c r="I267"/>
    </row>
    <row r="268" spans="9:9" x14ac:dyDescent="0.3">
      <c r="I268"/>
    </row>
    <row r="269" spans="9:9" x14ac:dyDescent="0.3">
      <c r="I269"/>
    </row>
    <row r="270" spans="9:9" x14ac:dyDescent="0.3">
      <c r="I270"/>
    </row>
    <row r="271" spans="9:9" x14ac:dyDescent="0.3">
      <c r="I271"/>
    </row>
    <row r="272" spans="9:9" x14ac:dyDescent="0.3">
      <c r="I272"/>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D4C05-F337-4A03-81E0-E060F72B149A}">
  <dimension ref="A2:H23"/>
  <sheetViews>
    <sheetView workbookViewId="0">
      <selection activeCell="F24" sqref="F24"/>
    </sheetView>
  </sheetViews>
  <sheetFormatPr defaultRowHeight="14.4" x14ac:dyDescent="0.3"/>
  <cols>
    <col min="3" max="3" width="22.44140625" customWidth="1"/>
    <col min="4" max="4" width="14.5546875" bestFit="1" customWidth="1"/>
    <col min="5" max="5" width="8.44140625" style="17" bestFit="1" customWidth="1"/>
    <col min="6" max="6" width="16.44140625" bestFit="1" customWidth="1"/>
    <col min="7" max="7" width="21" bestFit="1" customWidth="1"/>
    <col min="8" max="8" width="8.44140625" style="17" bestFit="1" customWidth="1"/>
  </cols>
  <sheetData>
    <row r="2" spans="1:8" ht="14.1" customHeight="1" thickBot="1" x14ac:dyDescent="0.35"/>
    <row r="3" spans="1:8" x14ac:dyDescent="0.3">
      <c r="A3" s="20" t="s">
        <v>149</v>
      </c>
      <c r="B3" s="21" t="s">
        <v>150</v>
      </c>
      <c r="C3" s="21" t="s">
        <v>151</v>
      </c>
      <c r="D3" s="26" t="s">
        <v>152</v>
      </c>
      <c r="E3" s="29" t="s">
        <v>153</v>
      </c>
      <c r="F3" s="30" t="s">
        <v>154</v>
      </c>
      <c r="G3" s="26" t="s">
        <v>155</v>
      </c>
      <c r="H3" s="29" t="s">
        <v>153</v>
      </c>
    </row>
    <row r="4" spans="1:8" x14ac:dyDescent="0.3">
      <c r="A4" s="22" t="s">
        <v>22</v>
      </c>
      <c r="B4" s="18" t="s">
        <v>156</v>
      </c>
      <c r="C4" s="19">
        <v>57</v>
      </c>
      <c r="D4" s="27"/>
      <c r="E4" s="33">
        <f>D4-C4</f>
        <v>-57</v>
      </c>
      <c r="F4" s="31">
        <v>54</v>
      </c>
      <c r="G4" s="27">
        <v>48</v>
      </c>
      <c r="H4" s="29">
        <f>G4-F4</f>
        <v>-6</v>
      </c>
    </row>
    <row r="5" spans="1:8" x14ac:dyDescent="0.3">
      <c r="A5" s="22" t="s">
        <v>22</v>
      </c>
      <c r="B5" s="18" t="s">
        <v>157</v>
      </c>
      <c r="C5" s="19">
        <v>51</v>
      </c>
      <c r="D5" s="27"/>
      <c r="E5" s="33">
        <f t="shared" ref="E5:E23" si="0">D5-C5</f>
        <v>-51</v>
      </c>
      <c r="F5" s="31">
        <v>49</v>
      </c>
      <c r="G5" s="27">
        <v>38</v>
      </c>
      <c r="H5" s="29">
        <f t="shared" ref="H5:H23" si="1">G5-F5</f>
        <v>-11</v>
      </c>
    </row>
    <row r="6" spans="1:8" x14ac:dyDescent="0.3">
      <c r="A6" s="22" t="s">
        <v>22</v>
      </c>
      <c r="B6" s="18" t="s">
        <v>158</v>
      </c>
      <c r="C6" s="19">
        <v>37</v>
      </c>
      <c r="D6" s="27"/>
      <c r="E6" s="33">
        <f t="shared" si="0"/>
        <v>-37</v>
      </c>
      <c r="F6" s="31">
        <v>37</v>
      </c>
      <c r="G6" s="27">
        <v>29</v>
      </c>
      <c r="H6" s="29">
        <f t="shared" si="1"/>
        <v>-8</v>
      </c>
    </row>
    <row r="7" spans="1:8" x14ac:dyDescent="0.3">
      <c r="A7" s="22" t="s">
        <v>22</v>
      </c>
      <c r="B7" s="18" t="s">
        <v>159</v>
      </c>
      <c r="C7" s="19">
        <v>54</v>
      </c>
      <c r="D7" s="27"/>
      <c r="E7" s="33">
        <f t="shared" si="0"/>
        <v>-54</v>
      </c>
      <c r="F7" s="31">
        <v>53</v>
      </c>
      <c r="G7" s="27">
        <v>46</v>
      </c>
      <c r="H7" s="29">
        <f t="shared" si="1"/>
        <v>-7</v>
      </c>
    </row>
    <row r="8" spans="1:8" ht="15" thickBot="1" x14ac:dyDescent="0.35">
      <c r="A8" s="23" t="s">
        <v>22</v>
      </c>
      <c r="B8" s="24" t="s">
        <v>95</v>
      </c>
      <c r="C8" s="25"/>
      <c r="D8" s="28"/>
      <c r="E8" s="33">
        <f t="shared" si="0"/>
        <v>0</v>
      </c>
      <c r="F8" s="32"/>
      <c r="G8" s="28"/>
      <c r="H8" s="29">
        <f t="shared" si="1"/>
        <v>0</v>
      </c>
    </row>
    <row r="9" spans="1:8" ht="15" thickBot="1" x14ac:dyDescent="0.35">
      <c r="A9" s="16"/>
      <c r="B9" s="16"/>
      <c r="E9" s="33"/>
      <c r="H9" s="29"/>
    </row>
    <row r="10" spans="1:8" x14ac:dyDescent="0.3">
      <c r="A10" s="20" t="s">
        <v>149</v>
      </c>
      <c r="B10" s="21" t="s">
        <v>150</v>
      </c>
      <c r="C10" s="21" t="s">
        <v>160</v>
      </c>
      <c r="D10" s="26" t="s">
        <v>161</v>
      </c>
      <c r="E10" s="33" t="e">
        <f t="shared" si="0"/>
        <v>#VALUE!</v>
      </c>
      <c r="F10" s="30" t="s">
        <v>154</v>
      </c>
      <c r="G10" s="26" t="s">
        <v>155</v>
      </c>
      <c r="H10" s="29" t="e">
        <f t="shared" si="1"/>
        <v>#VALUE!</v>
      </c>
    </row>
    <row r="11" spans="1:8" x14ac:dyDescent="0.3">
      <c r="A11" s="22" t="s">
        <v>22</v>
      </c>
      <c r="B11" s="18" t="s">
        <v>156</v>
      </c>
      <c r="C11" s="19">
        <v>23</v>
      </c>
      <c r="D11" s="27"/>
      <c r="E11" s="33">
        <f t="shared" si="0"/>
        <v>-23</v>
      </c>
      <c r="F11" s="31">
        <v>23</v>
      </c>
      <c r="G11" s="27">
        <v>22</v>
      </c>
      <c r="H11" s="29">
        <f t="shared" si="1"/>
        <v>-1</v>
      </c>
    </row>
    <row r="12" spans="1:8" x14ac:dyDescent="0.3">
      <c r="A12" s="22" t="s">
        <v>22</v>
      </c>
      <c r="B12" s="18" t="s">
        <v>157</v>
      </c>
      <c r="C12" s="19">
        <v>24</v>
      </c>
      <c r="D12" s="27"/>
      <c r="E12" s="33">
        <f t="shared" si="0"/>
        <v>-24</v>
      </c>
      <c r="F12" s="31">
        <v>22</v>
      </c>
      <c r="G12" s="27">
        <v>21</v>
      </c>
      <c r="H12" s="29">
        <f t="shared" si="1"/>
        <v>-1</v>
      </c>
    </row>
    <row r="13" spans="1:8" x14ac:dyDescent="0.3">
      <c r="A13" s="22" t="s">
        <v>22</v>
      </c>
      <c r="B13" s="18" t="s">
        <v>158</v>
      </c>
      <c r="C13" s="19">
        <v>35</v>
      </c>
      <c r="D13" s="27"/>
      <c r="E13" s="33">
        <f t="shared" si="0"/>
        <v>-35</v>
      </c>
      <c r="F13" s="31">
        <v>35</v>
      </c>
      <c r="G13" s="27">
        <v>26</v>
      </c>
      <c r="H13" s="29">
        <f t="shared" si="1"/>
        <v>-9</v>
      </c>
    </row>
    <row r="14" spans="1:8" x14ac:dyDescent="0.3">
      <c r="A14" s="22" t="s">
        <v>22</v>
      </c>
      <c r="B14" s="18" t="s">
        <v>159</v>
      </c>
      <c r="C14" s="19">
        <v>18</v>
      </c>
      <c r="D14" s="27"/>
      <c r="E14" s="33">
        <f t="shared" si="0"/>
        <v>-18</v>
      </c>
      <c r="F14" s="31">
        <v>18</v>
      </c>
      <c r="G14" s="27">
        <v>17</v>
      </c>
      <c r="H14" s="29">
        <f t="shared" si="1"/>
        <v>-1</v>
      </c>
    </row>
    <row r="15" spans="1:8" ht="15" thickBot="1" x14ac:dyDescent="0.35">
      <c r="A15" s="23" t="s">
        <v>22</v>
      </c>
      <c r="B15" s="24" t="s">
        <v>95</v>
      </c>
      <c r="C15" s="25">
        <v>25</v>
      </c>
      <c r="D15" s="28"/>
      <c r="E15" s="33">
        <f t="shared" si="0"/>
        <v>-25</v>
      </c>
      <c r="F15" s="32"/>
      <c r="G15" s="28">
        <v>28</v>
      </c>
      <c r="H15" s="29">
        <f t="shared" si="1"/>
        <v>28</v>
      </c>
    </row>
    <row r="16" spans="1:8" x14ac:dyDescent="0.3">
      <c r="A16" s="16"/>
      <c r="B16" s="16"/>
      <c r="E16" s="33"/>
      <c r="H16" s="29"/>
    </row>
    <row r="17" spans="1:8" ht="15" thickBot="1" x14ac:dyDescent="0.35">
      <c r="A17" s="16"/>
      <c r="B17" s="16"/>
      <c r="E17" s="33"/>
      <c r="H17" s="29"/>
    </row>
    <row r="18" spans="1:8" x14ac:dyDescent="0.3">
      <c r="A18" s="20" t="s">
        <v>149</v>
      </c>
      <c r="B18" s="21" t="s">
        <v>150</v>
      </c>
      <c r="C18" s="21" t="s">
        <v>162</v>
      </c>
      <c r="D18" s="26" t="s">
        <v>163</v>
      </c>
      <c r="E18" s="33" t="e">
        <f t="shared" si="0"/>
        <v>#VALUE!</v>
      </c>
      <c r="F18" s="30" t="s">
        <v>154</v>
      </c>
      <c r="G18" s="26" t="s">
        <v>155</v>
      </c>
      <c r="H18" s="29" t="e">
        <f t="shared" si="1"/>
        <v>#VALUE!</v>
      </c>
    </row>
    <row r="19" spans="1:8" x14ac:dyDescent="0.3">
      <c r="A19" s="22" t="s">
        <v>22</v>
      </c>
      <c r="B19" s="18" t="s">
        <v>156</v>
      </c>
      <c r="C19" s="19">
        <v>37</v>
      </c>
      <c r="D19" s="27">
        <v>43</v>
      </c>
      <c r="E19" s="33">
        <f t="shared" si="0"/>
        <v>6</v>
      </c>
      <c r="F19" s="31">
        <v>35</v>
      </c>
      <c r="G19" s="27">
        <v>37</v>
      </c>
      <c r="H19" s="29">
        <f t="shared" si="1"/>
        <v>2</v>
      </c>
    </row>
    <row r="20" spans="1:8" x14ac:dyDescent="0.3">
      <c r="A20" s="22" t="s">
        <v>22</v>
      </c>
      <c r="B20" s="18" t="s">
        <v>157</v>
      </c>
      <c r="C20" s="19">
        <v>34</v>
      </c>
      <c r="D20" s="27">
        <v>30</v>
      </c>
      <c r="E20" s="33">
        <f t="shared" si="0"/>
        <v>-4</v>
      </c>
      <c r="F20" s="31">
        <v>32</v>
      </c>
      <c r="G20" s="27">
        <v>32</v>
      </c>
      <c r="H20" s="29">
        <f t="shared" si="1"/>
        <v>0</v>
      </c>
    </row>
    <row r="21" spans="1:8" x14ac:dyDescent="0.3">
      <c r="A21" s="22" t="s">
        <v>22</v>
      </c>
      <c r="B21" s="18" t="s">
        <v>158</v>
      </c>
      <c r="C21" s="19">
        <v>31</v>
      </c>
      <c r="D21" s="27">
        <v>27</v>
      </c>
      <c r="E21" s="33">
        <f t="shared" si="0"/>
        <v>-4</v>
      </c>
      <c r="F21" s="31">
        <v>31</v>
      </c>
      <c r="G21" s="27">
        <v>20</v>
      </c>
      <c r="H21" s="29">
        <f t="shared" si="1"/>
        <v>-11</v>
      </c>
    </row>
    <row r="22" spans="1:8" x14ac:dyDescent="0.3">
      <c r="A22" s="22" t="s">
        <v>22</v>
      </c>
      <c r="B22" s="18" t="s">
        <v>159</v>
      </c>
      <c r="C22" s="19">
        <v>21</v>
      </c>
      <c r="D22" s="27">
        <v>10</v>
      </c>
      <c r="E22" s="33">
        <f t="shared" si="0"/>
        <v>-11</v>
      </c>
      <c r="F22" s="31">
        <v>21</v>
      </c>
      <c r="G22" s="27">
        <v>20</v>
      </c>
      <c r="H22" s="29">
        <f t="shared" si="1"/>
        <v>-1</v>
      </c>
    </row>
    <row r="23" spans="1:8" ht="15" thickBot="1" x14ac:dyDescent="0.35">
      <c r="A23" s="23" t="s">
        <v>22</v>
      </c>
      <c r="B23" s="24" t="s">
        <v>95</v>
      </c>
      <c r="C23" s="25">
        <v>22</v>
      </c>
      <c r="D23" s="28"/>
      <c r="E23" s="33">
        <f t="shared" si="0"/>
        <v>-22</v>
      </c>
      <c r="F23" s="32">
        <v>22</v>
      </c>
      <c r="G23" s="28">
        <v>24</v>
      </c>
      <c r="H23" s="29">
        <f t="shared" si="1"/>
        <v>2</v>
      </c>
    </row>
  </sheetData>
  <phoneticPr fontId="4"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828B6-00B0-4830-BD18-06B628F4B997}">
  <sheetPr codeName="Sheet10"/>
  <dimension ref="A2:O98"/>
  <sheetViews>
    <sheetView zoomScale="70" zoomScaleNormal="70" workbookViewId="0">
      <selection activeCell="A3" sqref="A3"/>
    </sheetView>
  </sheetViews>
  <sheetFormatPr defaultColWidth="9.44140625" defaultRowHeight="14.4" x14ac:dyDescent="0.3"/>
  <cols>
    <col min="1" max="4" width="20.33203125" style="7" bestFit="1" customWidth="1"/>
    <col min="5" max="5" width="17.109375" style="7" bestFit="1" customWidth="1"/>
    <col min="6" max="6" width="12.88671875" style="7" bestFit="1" customWidth="1"/>
    <col min="7" max="7" width="19.33203125" style="7" bestFit="1" customWidth="1"/>
    <col min="8" max="8" width="40.44140625" style="7" bestFit="1" customWidth="1"/>
    <col min="9" max="9" width="14.33203125" style="7" bestFit="1" customWidth="1"/>
    <col min="10" max="10" width="16" style="7" bestFit="1" customWidth="1"/>
    <col min="11" max="11" width="17" style="7" bestFit="1" customWidth="1"/>
    <col min="12" max="12" width="17.5546875" style="7" bestFit="1" customWidth="1"/>
    <col min="13" max="13" width="14.33203125" style="9" bestFit="1" customWidth="1"/>
    <col min="14" max="14" width="12.109375" style="8" bestFit="1" customWidth="1"/>
    <col min="15" max="15" width="13.33203125" style="10" bestFit="1" customWidth="1"/>
    <col min="16" max="17" width="13" style="7" bestFit="1" customWidth="1"/>
    <col min="18" max="21" width="20.5546875" style="7" bestFit="1" customWidth="1"/>
    <col min="22" max="22" width="26" style="7" bestFit="1" customWidth="1"/>
    <col min="23" max="29" width="20.5546875" style="7" bestFit="1" customWidth="1"/>
    <col min="30" max="33" width="26.44140625" style="7" bestFit="1" customWidth="1"/>
    <col min="34" max="16384" width="9.44140625" style="7"/>
  </cols>
  <sheetData>
    <row r="2" spans="1:10" x14ac:dyDescent="0.3">
      <c r="A2" s="7" t="s">
        <v>164</v>
      </c>
      <c r="B2" s="7" t="s">
        <v>57</v>
      </c>
      <c r="D2"/>
      <c r="E2"/>
      <c r="F2"/>
      <c r="G2"/>
      <c r="H2"/>
      <c r="I2"/>
      <c r="J2"/>
    </row>
    <row r="3" spans="1:10" x14ac:dyDescent="0.3">
      <c r="A3" s="7" t="s">
        <v>46</v>
      </c>
      <c r="B3" s="7" t="s">
        <v>89</v>
      </c>
      <c r="C3" s="7" t="s">
        <v>23</v>
      </c>
      <c r="D3"/>
      <c r="E3"/>
      <c r="F3"/>
      <c r="G3"/>
      <c r="H3"/>
      <c r="I3"/>
      <c r="J3"/>
    </row>
    <row r="4" spans="1:10" x14ac:dyDescent="0.3">
      <c r="A4" s="7" t="s">
        <v>115</v>
      </c>
      <c r="B4" s="7">
        <v>393</v>
      </c>
      <c r="C4" s="7">
        <v>393</v>
      </c>
      <c r="D4"/>
      <c r="E4"/>
      <c r="F4"/>
      <c r="G4"/>
      <c r="H4"/>
      <c r="I4"/>
      <c r="J4"/>
    </row>
    <row r="5" spans="1:10" x14ac:dyDescent="0.3">
      <c r="A5" s="7" t="s">
        <v>116</v>
      </c>
      <c r="B5" s="7">
        <v>38</v>
      </c>
      <c r="C5" s="7">
        <v>38</v>
      </c>
      <c r="D5"/>
      <c r="E5"/>
      <c r="F5"/>
      <c r="G5"/>
      <c r="H5"/>
      <c r="I5"/>
      <c r="J5"/>
    </row>
    <row r="6" spans="1:10" x14ac:dyDescent="0.3">
      <c r="A6" s="7" t="s">
        <v>118</v>
      </c>
      <c r="B6" s="7">
        <v>423</v>
      </c>
      <c r="C6" s="7">
        <v>423</v>
      </c>
      <c r="D6"/>
      <c r="E6"/>
      <c r="F6"/>
      <c r="G6"/>
      <c r="H6"/>
      <c r="I6"/>
      <c r="J6"/>
    </row>
    <row r="7" spans="1:10" x14ac:dyDescent="0.3">
      <c r="A7" s="7" t="s">
        <v>119</v>
      </c>
      <c r="B7" s="7">
        <v>1057</v>
      </c>
      <c r="C7" s="7">
        <v>1057</v>
      </c>
      <c r="D7"/>
      <c r="E7"/>
      <c r="F7"/>
      <c r="G7"/>
      <c r="H7"/>
      <c r="I7"/>
      <c r="J7"/>
    </row>
    <row r="8" spans="1:10" x14ac:dyDescent="0.3">
      <c r="A8" s="7" t="s">
        <v>23</v>
      </c>
      <c r="B8" s="7">
        <v>1911</v>
      </c>
      <c r="C8" s="7">
        <v>1911</v>
      </c>
      <c r="D8"/>
      <c r="E8"/>
      <c r="F8"/>
      <c r="G8"/>
      <c r="H8"/>
      <c r="I8"/>
      <c r="J8"/>
    </row>
    <row r="9" spans="1:10" x14ac:dyDescent="0.3">
      <c r="A9"/>
      <c r="B9"/>
      <c r="C9"/>
      <c r="D9"/>
      <c r="E9"/>
      <c r="F9"/>
      <c r="G9"/>
      <c r="H9"/>
      <c r="I9"/>
      <c r="J9"/>
    </row>
    <row r="10" spans="1:10" x14ac:dyDescent="0.3">
      <c r="A10"/>
      <c r="B10"/>
      <c r="C10"/>
      <c r="D10"/>
      <c r="E10"/>
      <c r="F10"/>
      <c r="G10"/>
      <c r="H10"/>
      <c r="I10"/>
      <c r="J10"/>
    </row>
    <row r="11" spans="1:10" x14ac:dyDescent="0.3">
      <c r="A11"/>
      <c r="B11"/>
      <c r="C11"/>
      <c r="D11"/>
      <c r="E11"/>
      <c r="F11"/>
      <c r="G11"/>
      <c r="H11"/>
      <c r="I11"/>
      <c r="J11"/>
    </row>
    <row r="12" spans="1:10" x14ac:dyDescent="0.3">
      <c r="A12"/>
      <c r="B12"/>
      <c r="C12"/>
      <c r="D12"/>
      <c r="E12"/>
      <c r="F12"/>
      <c r="G12"/>
      <c r="H12"/>
      <c r="I12"/>
      <c r="J12"/>
    </row>
    <row r="13" spans="1:10" x14ac:dyDescent="0.3">
      <c r="A13"/>
      <c r="B13"/>
      <c r="C13"/>
      <c r="D13"/>
      <c r="E13"/>
      <c r="F13"/>
      <c r="G13"/>
      <c r="H13"/>
      <c r="I13"/>
      <c r="J13"/>
    </row>
    <row r="14" spans="1:10" x14ac:dyDescent="0.3">
      <c r="A14"/>
      <c r="B14"/>
      <c r="C14"/>
      <c r="D14"/>
      <c r="E14"/>
      <c r="F14"/>
      <c r="G14"/>
      <c r="H14"/>
      <c r="I14"/>
      <c r="J14"/>
    </row>
    <row r="15" spans="1:10" x14ac:dyDescent="0.3">
      <c r="A15"/>
      <c r="B15"/>
      <c r="C15"/>
      <c r="D15"/>
      <c r="E15"/>
      <c r="F15"/>
      <c r="G15"/>
      <c r="H15"/>
      <c r="I15"/>
      <c r="J15"/>
    </row>
    <row r="16" spans="1:10" x14ac:dyDescent="0.3">
      <c r="A16"/>
      <c r="B16"/>
      <c r="C16"/>
      <c r="D16"/>
      <c r="E16"/>
      <c r="F16"/>
      <c r="G16"/>
      <c r="H16"/>
      <c r="I16"/>
      <c r="J16"/>
    </row>
    <row r="17" spans="1:10" x14ac:dyDescent="0.3">
      <c r="A17"/>
      <c r="B17"/>
      <c r="C17"/>
      <c r="D17"/>
      <c r="E17"/>
      <c r="F17"/>
      <c r="G17"/>
      <c r="H17"/>
      <c r="I17"/>
      <c r="J17"/>
    </row>
    <row r="18" spans="1:10" x14ac:dyDescent="0.3">
      <c r="A18"/>
      <c r="B18"/>
      <c r="C18"/>
      <c r="D18"/>
      <c r="E18"/>
      <c r="F18"/>
      <c r="G18"/>
      <c r="H18"/>
      <c r="I18"/>
      <c r="J18"/>
    </row>
    <row r="19" spans="1:10" x14ac:dyDescent="0.3">
      <c r="A19"/>
      <c r="B19"/>
      <c r="C19"/>
      <c r="D19"/>
      <c r="E19"/>
      <c r="F19"/>
      <c r="G19"/>
      <c r="H19"/>
      <c r="I19"/>
      <c r="J19"/>
    </row>
    <row r="20" spans="1:10" x14ac:dyDescent="0.3">
      <c r="A20"/>
      <c r="B20"/>
      <c r="C20"/>
      <c r="D20"/>
      <c r="E20"/>
      <c r="F20"/>
      <c r="G20"/>
      <c r="H20"/>
      <c r="I20"/>
      <c r="J20"/>
    </row>
    <row r="21" spans="1:10" x14ac:dyDescent="0.3">
      <c r="A21"/>
      <c r="B21"/>
      <c r="C21"/>
      <c r="D21"/>
      <c r="E21"/>
      <c r="F21"/>
      <c r="G21"/>
      <c r="H21"/>
      <c r="I21"/>
      <c r="J21"/>
    </row>
    <row r="22" spans="1:10" x14ac:dyDescent="0.3">
      <c r="A22"/>
      <c r="B22"/>
      <c r="C22"/>
      <c r="D22"/>
      <c r="E22"/>
      <c r="F22"/>
      <c r="G22"/>
      <c r="H22"/>
      <c r="I22"/>
      <c r="J22"/>
    </row>
    <row r="23" spans="1:10" x14ac:dyDescent="0.3">
      <c r="A23"/>
      <c r="B23"/>
      <c r="C23"/>
      <c r="D23"/>
      <c r="E23"/>
      <c r="F23"/>
      <c r="G23"/>
      <c r="H23"/>
      <c r="I23"/>
      <c r="J23"/>
    </row>
    <row r="24" spans="1:10" x14ac:dyDescent="0.3">
      <c r="A24"/>
      <c r="B24"/>
      <c r="C24"/>
      <c r="D24"/>
      <c r="E24"/>
      <c r="F24"/>
      <c r="G24"/>
      <c r="H24"/>
      <c r="I24"/>
      <c r="J24"/>
    </row>
    <row r="25" spans="1:10" x14ac:dyDescent="0.3">
      <c r="A25"/>
      <c r="B25"/>
      <c r="C25"/>
      <c r="D25"/>
      <c r="E25"/>
      <c r="F25"/>
      <c r="G25"/>
      <c r="H25"/>
      <c r="I25"/>
      <c r="J25"/>
    </row>
    <row r="26" spans="1:10" x14ac:dyDescent="0.3">
      <c r="A26"/>
      <c r="B26"/>
      <c r="C26"/>
      <c r="D26"/>
      <c r="E26"/>
      <c r="F26"/>
      <c r="G26"/>
      <c r="H26"/>
      <c r="I26"/>
    </row>
    <row r="27" spans="1:10" x14ac:dyDescent="0.3">
      <c r="A27"/>
      <c r="B27"/>
      <c r="C27"/>
    </row>
    <row r="28" spans="1:10" x14ac:dyDescent="0.3">
      <c r="A28"/>
      <c r="B28"/>
      <c r="C28"/>
    </row>
    <row r="29" spans="1:10" x14ac:dyDescent="0.3">
      <c r="A29" s="7" t="s">
        <v>165</v>
      </c>
      <c r="B29" s="7" t="s">
        <v>166</v>
      </c>
      <c r="C29" s="7" t="s">
        <v>167</v>
      </c>
      <c r="D29" s="7" t="s">
        <v>168</v>
      </c>
      <c r="E29"/>
    </row>
    <row r="30" spans="1:10" x14ac:dyDescent="0.3">
      <c r="A30" s="7">
        <v>1193</v>
      </c>
      <c r="B30" s="7">
        <v>278</v>
      </c>
      <c r="C30" s="7">
        <v>271</v>
      </c>
      <c r="D30" s="7">
        <v>168</v>
      </c>
      <c r="E30"/>
    </row>
    <row r="31" spans="1:10" x14ac:dyDescent="0.3">
      <c r="A31"/>
      <c r="B31"/>
      <c r="C31"/>
      <c r="D31"/>
      <c r="E31"/>
    </row>
    <row r="32" spans="1:10" x14ac:dyDescent="0.3">
      <c r="A32"/>
      <c r="B32"/>
      <c r="C32"/>
      <c r="D32"/>
      <c r="E32"/>
    </row>
    <row r="33" spans="1:11" x14ac:dyDescent="0.3">
      <c r="A33"/>
      <c r="B33"/>
      <c r="C33"/>
      <c r="D33"/>
      <c r="E33"/>
    </row>
    <row r="34" spans="1:11" x14ac:dyDescent="0.3">
      <c r="A34"/>
      <c r="B34"/>
      <c r="C34"/>
      <c r="D34"/>
      <c r="E34"/>
    </row>
    <row r="35" spans="1:11" x14ac:dyDescent="0.3">
      <c r="A35"/>
      <c r="B35"/>
      <c r="C35"/>
      <c r="D35"/>
      <c r="E35"/>
    </row>
    <row r="36" spans="1:11" x14ac:dyDescent="0.3">
      <c r="A36"/>
      <c r="B36"/>
      <c r="C36"/>
      <c r="D36"/>
      <c r="E36"/>
    </row>
    <row r="37" spans="1:11" x14ac:dyDescent="0.3">
      <c r="A37"/>
      <c r="B37"/>
      <c r="C37"/>
      <c r="D37"/>
      <c r="E37"/>
    </row>
    <row r="38" spans="1:11" x14ac:dyDescent="0.3">
      <c r="A38"/>
      <c r="B38"/>
      <c r="C38"/>
      <c r="D38"/>
      <c r="E38"/>
    </row>
    <row r="39" spans="1:11" x14ac:dyDescent="0.3">
      <c r="A39"/>
      <c r="B39"/>
      <c r="C39"/>
      <c r="D39"/>
      <c r="E39"/>
    </row>
    <row r="40" spans="1:11" x14ac:dyDescent="0.3">
      <c r="A40"/>
      <c r="B40"/>
      <c r="C40"/>
      <c r="D40"/>
      <c r="E40"/>
    </row>
    <row r="41" spans="1:11" x14ac:dyDescent="0.3">
      <c r="A41"/>
      <c r="B41"/>
      <c r="C41"/>
      <c r="D41"/>
      <c r="E41"/>
    </row>
    <row r="42" spans="1:11" x14ac:dyDescent="0.3">
      <c r="A42"/>
      <c r="B42"/>
      <c r="C42"/>
      <c r="D42"/>
      <c r="E42"/>
    </row>
    <row r="43" spans="1:11" x14ac:dyDescent="0.3">
      <c r="A43"/>
      <c r="B43"/>
      <c r="C43"/>
      <c r="D43"/>
      <c r="E43"/>
    </row>
    <row r="44" spans="1:11" x14ac:dyDescent="0.3">
      <c r="A44"/>
      <c r="B44"/>
      <c r="C44"/>
      <c r="D44"/>
      <c r="E44"/>
    </row>
    <row r="45" spans="1:11" x14ac:dyDescent="0.3">
      <c r="A45"/>
      <c r="B45"/>
      <c r="C45"/>
      <c r="D45"/>
      <c r="E45"/>
    </row>
    <row r="48" spans="1:11" x14ac:dyDescent="0.3">
      <c r="A48" s="7" t="s">
        <v>10</v>
      </c>
      <c r="B48" s="7" t="s">
        <v>169</v>
      </c>
      <c r="C48"/>
      <c r="E48" s="7" t="s">
        <v>11</v>
      </c>
      <c r="F48" s="7" t="s">
        <v>170</v>
      </c>
      <c r="G48"/>
      <c r="I48" s="7" t="s">
        <v>46</v>
      </c>
      <c r="J48" s="7" t="s">
        <v>171</v>
      </c>
      <c r="K48" s="7" t="s">
        <v>172</v>
      </c>
    </row>
    <row r="49" spans="1:11" x14ac:dyDescent="0.3">
      <c r="A49" s="7">
        <v>1203</v>
      </c>
      <c r="B49" s="7">
        <v>574</v>
      </c>
      <c r="C49"/>
      <c r="E49" s="7">
        <v>577</v>
      </c>
      <c r="F49" s="7">
        <v>17</v>
      </c>
      <c r="G49"/>
      <c r="I49" s="7" t="s">
        <v>115</v>
      </c>
      <c r="J49" s="7">
        <v>4</v>
      </c>
      <c r="K49" s="7">
        <v>2</v>
      </c>
    </row>
    <row r="50" spans="1:11" x14ac:dyDescent="0.3">
      <c r="A50"/>
      <c r="B50"/>
      <c r="C50"/>
      <c r="E50"/>
      <c r="F50"/>
      <c r="G50"/>
      <c r="I50" s="7" t="s">
        <v>116</v>
      </c>
      <c r="J50" s="7">
        <v>0</v>
      </c>
      <c r="K50" s="7">
        <v>0</v>
      </c>
    </row>
    <row r="51" spans="1:11" x14ac:dyDescent="0.3">
      <c r="A51"/>
      <c r="B51"/>
      <c r="C51"/>
      <c r="E51"/>
      <c r="F51"/>
      <c r="G51"/>
      <c r="I51" s="7" t="s">
        <v>118</v>
      </c>
      <c r="J51" s="7">
        <v>10</v>
      </c>
      <c r="K51" s="7">
        <v>1</v>
      </c>
    </row>
    <row r="52" spans="1:11" x14ac:dyDescent="0.3">
      <c r="A52"/>
      <c r="B52"/>
      <c r="C52"/>
      <c r="E52"/>
      <c r="F52"/>
      <c r="G52"/>
      <c r="I52" s="7" t="s">
        <v>119</v>
      </c>
      <c r="J52" s="7">
        <v>13</v>
      </c>
      <c r="K52" s="7">
        <v>2</v>
      </c>
    </row>
    <row r="53" spans="1:11" x14ac:dyDescent="0.3">
      <c r="A53"/>
      <c r="B53"/>
      <c r="C53"/>
      <c r="E53"/>
      <c r="F53"/>
      <c r="G53"/>
      <c r="I53" s="7" t="s">
        <v>23</v>
      </c>
      <c r="J53" s="7">
        <v>27</v>
      </c>
      <c r="K53" s="7">
        <v>5</v>
      </c>
    </row>
    <row r="54" spans="1:11" x14ac:dyDescent="0.3">
      <c r="A54"/>
      <c r="B54"/>
      <c r="C54"/>
      <c r="E54"/>
      <c r="F54"/>
      <c r="G54"/>
      <c r="I54"/>
      <c r="J54"/>
      <c r="K54"/>
    </row>
    <row r="55" spans="1:11" x14ac:dyDescent="0.3">
      <c r="A55"/>
      <c r="B55"/>
      <c r="C55"/>
      <c r="E55"/>
      <c r="F55"/>
      <c r="G55"/>
      <c r="I55"/>
      <c r="J55"/>
      <c r="K55"/>
    </row>
    <row r="56" spans="1:11" x14ac:dyDescent="0.3">
      <c r="A56"/>
      <c r="B56"/>
      <c r="C56"/>
      <c r="E56"/>
      <c r="F56"/>
      <c r="G56"/>
      <c r="I56"/>
      <c r="J56"/>
      <c r="K56"/>
    </row>
    <row r="57" spans="1:11" x14ac:dyDescent="0.3">
      <c r="A57"/>
      <c r="B57"/>
      <c r="C57"/>
      <c r="E57"/>
      <c r="F57"/>
      <c r="G57"/>
      <c r="I57"/>
      <c r="J57"/>
      <c r="K57"/>
    </row>
    <row r="58" spans="1:11" x14ac:dyDescent="0.3">
      <c r="A58"/>
      <c r="B58"/>
      <c r="C58"/>
      <c r="E58"/>
      <c r="F58"/>
      <c r="G58"/>
      <c r="I58"/>
      <c r="J58"/>
      <c r="K58"/>
    </row>
    <row r="59" spans="1:11" x14ac:dyDescent="0.3">
      <c r="A59"/>
      <c r="B59"/>
      <c r="C59"/>
      <c r="E59"/>
      <c r="F59"/>
      <c r="G59"/>
      <c r="I59"/>
      <c r="J59"/>
      <c r="K59"/>
    </row>
    <row r="60" spans="1:11" x14ac:dyDescent="0.3">
      <c r="A60"/>
      <c r="B60"/>
      <c r="C60"/>
      <c r="E60"/>
      <c r="F60"/>
      <c r="G60"/>
      <c r="I60"/>
      <c r="J60"/>
      <c r="K60"/>
    </row>
    <row r="61" spans="1:11" x14ac:dyDescent="0.3">
      <c r="A61"/>
      <c r="B61"/>
      <c r="C61"/>
      <c r="E61"/>
      <c r="F61"/>
      <c r="G61"/>
      <c r="I61"/>
      <c r="J61"/>
      <c r="K61"/>
    </row>
    <row r="62" spans="1:11" x14ac:dyDescent="0.3">
      <c r="A62"/>
      <c r="B62"/>
      <c r="C62"/>
      <c r="E62"/>
      <c r="F62"/>
      <c r="G62"/>
      <c r="I62"/>
      <c r="J62"/>
      <c r="K62"/>
    </row>
    <row r="63" spans="1:11" x14ac:dyDescent="0.3">
      <c r="A63"/>
      <c r="B63"/>
      <c r="C63"/>
      <c r="E63"/>
      <c r="F63"/>
      <c r="G63"/>
      <c r="I63"/>
      <c r="J63"/>
      <c r="K63"/>
    </row>
    <row r="64" spans="1:11" x14ac:dyDescent="0.3">
      <c r="A64"/>
      <c r="B64"/>
      <c r="C64"/>
      <c r="E64"/>
      <c r="F64"/>
      <c r="G64"/>
      <c r="I64"/>
      <c r="J64"/>
      <c r="K64"/>
    </row>
    <row r="65" spans="1:15" x14ac:dyDescent="0.3">
      <c r="A65" s="7" t="s">
        <v>12</v>
      </c>
      <c r="B65" s="7" t="s">
        <v>40</v>
      </c>
      <c r="C65"/>
      <c r="E65" s="7" t="s">
        <v>46</v>
      </c>
      <c r="F65" s="7" t="s">
        <v>34</v>
      </c>
      <c r="G65" s="7" t="s">
        <v>35</v>
      </c>
      <c r="I65" s="7" t="s">
        <v>46</v>
      </c>
      <c r="J65" s="7" t="s">
        <v>36</v>
      </c>
      <c r="K65" s="7" t="s">
        <v>37</v>
      </c>
      <c r="M65" s="7" t="s">
        <v>46</v>
      </c>
      <c r="N65" s="8" t="s">
        <v>38</v>
      </c>
      <c r="O65" s="7" t="s">
        <v>39</v>
      </c>
    </row>
    <row r="66" spans="1:15" x14ac:dyDescent="0.3">
      <c r="A66" s="7">
        <v>152</v>
      </c>
      <c r="B66" s="7">
        <v>13</v>
      </c>
      <c r="C66"/>
      <c r="E66" s="7" t="s">
        <v>115</v>
      </c>
      <c r="F66" s="7">
        <v>9</v>
      </c>
      <c r="G66" s="7">
        <v>3</v>
      </c>
      <c r="I66" s="7" t="s">
        <v>115</v>
      </c>
      <c r="J66" s="7">
        <v>11</v>
      </c>
      <c r="K66" s="7">
        <v>4</v>
      </c>
      <c r="M66" s="7" t="s">
        <v>115</v>
      </c>
      <c r="N66" s="8">
        <v>82</v>
      </c>
      <c r="O66" s="7">
        <v>3</v>
      </c>
    </row>
    <row r="67" spans="1:15" x14ac:dyDescent="0.3">
      <c r="A67"/>
      <c r="B67"/>
      <c r="C67"/>
      <c r="E67" s="7" t="s">
        <v>116</v>
      </c>
      <c r="F67" s="7">
        <v>0</v>
      </c>
      <c r="G67" s="7">
        <v>0</v>
      </c>
      <c r="I67" s="7" t="s">
        <v>116</v>
      </c>
      <c r="J67" s="7">
        <v>0</v>
      </c>
      <c r="K67" s="7">
        <v>0</v>
      </c>
      <c r="M67" s="7" t="s">
        <v>116</v>
      </c>
      <c r="N67" s="8">
        <v>0</v>
      </c>
      <c r="O67" s="7">
        <v>0</v>
      </c>
    </row>
    <row r="68" spans="1:15" x14ac:dyDescent="0.3">
      <c r="A68"/>
      <c r="B68"/>
      <c r="C68"/>
      <c r="E68" s="7" t="s">
        <v>118</v>
      </c>
      <c r="F68" s="7">
        <v>24</v>
      </c>
      <c r="G68" s="7">
        <v>2</v>
      </c>
      <c r="I68" s="7" t="s">
        <v>118</v>
      </c>
      <c r="J68" s="7">
        <v>34</v>
      </c>
      <c r="K68" s="7">
        <v>13</v>
      </c>
      <c r="M68" s="7" t="s">
        <v>118</v>
      </c>
      <c r="N68" s="8">
        <v>123</v>
      </c>
      <c r="O68" s="7">
        <v>15</v>
      </c>
    </row>
    <row r="69" spans="1:15" x14ac:dyDescent="0.3">
      <c r="A69"/>
      <c r="B69"/>
      <c r="C69"/>
      <c r="E69" s="7" t="s">
        <v>119</v>
      </c>
      <c r="F69" s="7">
        <v>0</v>
      </c>
      <c r="G69" s="7">
        <v>0</v>
      </c>
      <c r="I69" s="7" t="s">
        <v>119</v>
      </c>
      <c r="J69" s="7">
        <v>0</v>
      </c>
      <c r="K69" s="7">
        <v>0</v>
      </c>
      <c r="M69" s="7" t="s">
        <v>119</v>
      </c>
      <c r="N69" s="8">
        <v>231</v>
      </c>
      <c r="O69" s="7">
        <v>37</v>
      </c>
    </row>
    <row r="70" spans="1:15" x14ac:dyDescent="0.3">
      <c r="A70"/>
      <c r="B70"/>
      <c r="C70"/>
      <c r="E70" s="7" t="s">
        <v>23</v>
      </c>
      <c r="F70" s="7">
        <v>33</v>
      </c>
      <c r="G70" s="7">
        <v>5</v>
      </c>
      <c r="I70" s="7" t="s">
        <v>23</v>
      </c>
      <c r="J70" s="7">
        <v>45</v>
      </c>
      <c r="K70" s="7">
        <v>17</v>
      </c>
      <c r="M70" s="7" t="s">
        <v>23</v>
      </c>
      <c r="N70" s="8">
        <v>436</v>
      </c>
      <c r="O70" s="7">
        <v>55</v>
      </c>
    </row>
    <row r="71" spans="1:15" x14ac:dyDescent="0.3">
      <c r="A71"/>
      <c r="B71"/>
      <c r="C71"/>
      <c r="E71"/>
      <c r="F71"/>
      <c r="G71"/>
      <c r="I71"/>
      <c r="J71"/>
      <c r="K71"/>
      <c r="M71"/>
      <c r="N71"/>
      <c r="O71"/>
    </row>
    <row r="72" spans="1:15" x14ac:dyDescent="0.3">
      <c r="A72"/>
      <c r="B72"/>
      <c r="C72"/>
      <c r="E72"/>
      <c r="F72"/>
      <c r="G72"/>
      <c r="I72"/>
      <c r="J72"/>
      <c r="K72"/>
      <c r="M72"/>
      <c r="N72"/>
      <c r="O72"/>
    </row>
    <row r="73" spans="1:15" x14ac:dyDescent="0.3">
      <c r="A73"/>
      <c r="B73"/>
      <c r="C73"/>
      <c r="E73"/>
      <c r="F73"/>
      <c r="G73"/>
      <c r="I73"/>
      <c r="J73"/>
      <c r="K73"/>
      <c r="M73"/>
      <c r="N73"/>
      <c r="O73"/>
    </row>
    <row r="74" spans="1:15" x14ac:dyDescent="0.3">
      <c r="A74"/>
      <c r="B74"/>
      <c r="C74"/>
      <c r="E74"/>
      <c r="F74"/>
      <c r="G74"/>
      <c r="I74"/>
      <c r="J74"/>
      <c r="K74"/>
      <c r="M74"/>
      <c r="N74"/>
      <c r="O74"/>
    </row>
    <row r="75" spans="1:15" x14ac:dyDescent="0.3">
      <c r="A75"/>
      <c r="B75"/>
      <c r="C75"/>
      <c r="E75"/>
      <c r="F75"/>
      <c r="G75"/>
      <c r="I75"/>
      <c r="J75"/>
      <c r="K75"/>
      <c r="M75"/>
      <c r="N75"/>
      <c r="O75"/>
    </row>
    <row r="76" spans="1:15" x14ac:dyDescent="0.3">
      <c r="A76"/>
      <c r="B76"/>
      <c r="C76"/>
      <c r="E76"/>
      <c r="F76"/>
      <c r="G76"/>
      <c r="I76"/>
      <c r="J76"/>
      <c r="K76"/>
      <c r="M76"/>
      <c r="N76"/>
      <c r="O76"/>
    </row>
    <row r="77" spans="1:15" x14ac:dyDescent="0.3">
      <c r="A77"/>
      <c r="B77"/>
      <c r="C77"/>
      <c r="E77"/>
      <c r="F77"/>
      <c r="G77"/>
      <c r="I77"/>
      <c r="J77"/>
      <c r="K77"/>
      <c r="M77"/>
      <c r="N77"/>
      <c r="O77"/>
    </row>
    <row r="78" spans="1:15" x14ac:dyDescent="0.3">
      <c r="A78"/>
      <c r="B78"/>
      <c r="C78"/>
      <c r="E78"/>
      <c r="F78"/>
      <c r="G78"/>
      <c r="I78"/>
      <c r="J78"/>
      <c r="K78"/>
      <c r="M78"/>
      <c r="N78"/>
      <c r="O78"/>
    </row>
    <row r="79" spans="1:15" x14ac:dyDescent="0.3">
      <c r="A79"/>
      <c r="B79"/>
      <c r="C79"/>
      <c r="E79"/>
      <c r="F79"/>
      <c r="G79"/>
      <c r="I79"/>
      <c r="J79"/>
      <c r="K79"/>
      <c r="M79"/>
      <c r="N79"/>
      <c r="O79"/>
    </row>
    <row r="80" spans="1:15" x14ac:dyDescent="0.3">
      <c r="A80"/>
      <c r="B80"/>
      <c r="C80"/>
      <c r="E80"/>
      <c r="F80"/>
      <c r="G80"/>
      <c r="I80"/>
      <c r="J80"/>
      <c r="K80"/>
      <c r="M80"/>
      <c r="N80"/>
      <c r="O80"/>
    </row>
    <row r="81" spans="1:15" x14ac:dyDescent="0.3">
      <c r="A81"/>
      <c r="B81"/>
      <c r="C81"/>
      <c r="E81"/>
      <c r="F81"/>
      <c r="G81"/>
      <c r="I81"/>
      <c r="J81"/>
      <c r="K81"/>
      <c r="M81"/>
      <c r="N81"/>
      <c r="O81"/>
    </row>
    <row r="82" spans="1:15" x14ac:dyDescent="0.3">
      <c r="A82" s="7" t="s">
        <v>46</v>
      </c>
      <c r="B82" s="7" t="s">
        <v>173</v>
      </c>
      <c r="C82" s="7" t="s">
        <v>174</v>
      </c>
      <c r="D82" s="7" t="s">
        <v>175</v>
      </c>
      <c r="E82" s="7" t="s">
        <v>176</v>
      </c>
    </row>
    <row r="83" spans="1:15" x14ac:dyDescent="0.3">
      <c r="A83" s="7" t="s">
        <v>115</v>
      </c>
      <c r="B83" s="7">
        <v>14</v>
      </c>
      <c r="C83" s="7">
        <v>4</v>
      </c>
      <c r="D83" s="7">
        <v>0</v>
      </c>
      <c r="E83" s="7">
        <v>2</v>
      </c>
    </row>
    <row r="84" spans="1:15" x14ac:dyDescent="0.3">
      <c r="A84" s="7" t="s">
        <v>116</v>
      </c>
      <c r="B84" s="7">
        <v>1</v>
      </c>
      <c r="C84" s="7">
        <v>0</v>
      </c>
      <c r="D84" s="7">
        <v>0</v>
      </c>
      <c r="E84" s="7">
        <v>0</v>
      </c>
    </row>
    <row r="85" spans="1:15" x14ac:dyDescent="0.3">
      <c r="A85" s="7" t="s">
        <v>118</v>
      </c>
      <c r="B85" s="7">
        <v>17</v>
      </c>
      <c r="C85" s="7">
        <v>1</v>
      </c>
      <c r="D85" s="7">
        <v>4</v>
      </c>
      <c r="E85" s="7">
        <v>11</v>
      </c>
    </row>
    <row r="86" spans="1:15" x14ac:dyDescent="0.3">
      <c r="A86" s="7" t="s">
        <v>119</v>
      </c>
      <c r="B86" s="7">
        <v>45</v>
      </c>
      <c r="C86" s="7">
        <v>20</v>
      </c>
      <c r="D86" s="7">
        <v>5</v>
      </c>
      <c r="E86" s="7">
        <v>29</v>
      </c>
    </row>
    <row r="87" spans="1:15" x14ac:dyDescent="0.3">
      <c r="A87" s="7" t="s">
        <v>23</v>
      </c>
      <c r="B87" s="7">
        <v>77</v>
      </c>
      <c r="C87" s="7">
        <v>25</v>
      </c>
      <c r="D87" s="7">
        <v>9</v>
      </c>
      <c r="E87" s="7">
        <v>42</v>
      </c>
    </row>
    <row r="88" spans="1:15" x14ac:dyDescent="0.3">
      <c r="A88"/>
      <c r="B88"/>
      <c r="C88"/>
      <c r="D88"/>
      <c r="E88"/>
    </row>
    <row r="89" spans="1:15" x14ac:dyDescent="0.3">
      <c r="A89"/>
      <c r="B89"/>
      <c r="C89"/>
      <c r="D89"/>
      <c r="E89"/>
    </row>
    <row r="90" spans="1:15" x14ac:dyDescent="0.3">
      <c r="A90"/>
      <c r="B90"/>
      <c r="C90"/>
      <c r="D90"/>
      <c r="E90"/>
    </row>
    <row r="91" spans="1:15" x14ac:dyDescent="0.3">
      <c r="A91"/>
      <c r="B91"/>
      <c r="C91"/>
      <c r="D91"/>
      <c r="E91"/>
    </row>
    <row r="92" spans="1:15" x14ac:dyDescent="0.3">
      <c r="A92"/>
      <c r="B92"/>
      <c r="C92"/>
      <c r="D92"/>
      <c r="E92"/>
    </row>
    <row r="93" spans="1:15" x14ac:dyDescent="0.3">
      <c r="A93"/>
      <c r="B93"/>
      <c r="C93"/>
      <c r="D93"/>
      <c r="E93"/>
    </row>
    <row r="94" spans="1:15" x14ac:dyDescent="0.3">
      <c r="A94"/>
      <c r="B94"/>
      <c r="C94"/>
      <c r="D94"/>
      <c r="E94"/>
    </row>
    <row r="95" spans="1:15" x14ac:dyDescent="0.3">
      <c r="A95"/>
      <c r="B95"/>
      <c r="C95"/>
      <c r="D95"/>
      <c r="E95"/>
    </row>
    <row r="96" spans="1:15" x14ac:dyDescent="0.3">
      <c r="A96"/>
      <c r="B96"/>
      <c r="C96"/>
      <c r="D96"/>
      <c r="E96"/>
    </row>
    <row r="97" spans="1:5" x14ac:dyDescent="0.3">
      <c r="A97"/>
      <c r="B97"/>
      <c r="C97"/>
      <c r="D97"/>
      <c r="E97"/>
    </row>
    <row r="98" spans="1:5" x14ac:dyDescent="0.3">
      <c r="A98"/>
      <c r="B98"/>
      <c r="C98"/>
      <c r="D98"/>
      <c r="E98"/>
    </row>
  </sheetData>
  <pageMargins left="0.7" right="0.7" top="0.75" bottom="0.75" header="0.3" footer="0.3"/>
  <drawing r:id="rId11"/>
  <legacyDrawing r:id="rId12"/>
  <extLst>
    <ext xmlns:x14="http://schemas.microsoft.com/office/spreadsheetml/2009/9/main" uri="{A8765BA9-456A-4dab-B4F3-ACF838C121DE}">
      <x14:slicerList>
        <x14:slicer r:id="rId13"/>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51427-C8A9-40BB-A120-4EBBE7F7CE8F}">
  <sheetPr codeName="Sheet6"/>
  <dimension ref="A5:S272"/>
  <sheetViews>
    <sheetView zoomScale="60" zoomScaleNormal="60" workbookViewId="0">
      <selection activeCell="N38" sqref="N38"/>
    </sheetView>
  </sheetViews>
  <sheetFormatPr defaultRowHeight="14.4" x14ac:dyDescent="0.3"/>
  <cols>
    <col min="1" max="1" width="14" bestFit="1" customWidth="1"/>
    <col min="2" max="2" width="10.33203125" bestFit="1" customWidth="1"/>
    <col min="3" max="3" width="10.6640625" bestFit="1" customWidth="1"/>
    <col min="4" max="4" width="10" bestFit="1" customWidth="1"/>
    <col min="5" max="5" width="9.6640625" bestFit="1" customWidth="1"/>
    <col min="6" max="6" width="27.109375" bestFit="1" customWidth="1"/>
    <col min="7" max="7" width="27.5546875" bestFit="1" customWidth="1"/>
    <col min="8" max="8" width="14" style="15" bestFit="1" customWidth="1"/>
    <col min="9" max="11" width="12.33203125" style="15" bestFit="1" customWidth="1"/>
    <col min="12" max="12" width="12.5546875" bestFit="1" customWidth="1"/>
    <col min="13" max="15" width="16.44140625" bestFit="1" customWidth="1"/>
    <col min="16" max="16" width="14" bestFit="1" customWidth="1"/>
    <col min="17" max="17" width="28" bestFit="1" customWidth="1"/>
    <col min="18" max="18" width="16.44140625" bestFit="1" customWidth="1"/>
    <col min="19" max="19" width="16.88671875" bestFit="1" customWidth="1"/>
    <col min="20" max="28" width="3" bestFit="1" customWidth="1"/>
    <col min="29" max="30" width="4" bestFit="1" customWidth="1"/>
    <col min="31" max="36" width="3" bestFit="1" customWidth="1"/>
    <col min="37" max="37" width="4" bestFit="1" customWidth="1"/>
    <col min="38" max="43" width="3" bestFit="1" customWidth="1"/>
    <col min="44" max="46" width="4" bestFit="1" customWidth="1"/>
    <col min="47" max="47" width="9.5546875" bestFit="1" customWidth="1"/>
    <col min="48" max="49" width="2" bestFit="1" customWidth="1"/>
    <col min="50" max="50" width="3" bestFit="1" customWidth="1"/>
    <col min="51" max="52" width="2" bestFit="1" customWidth="1"/>
    <col min="53" max="86" width="3" bestFit="1" customWidth="1"/>
    <col min="87" max="89" width="4" bestFit="1" customWidth="1"/>
    <col min="90" max="90" width="10.44140625" bestFit="1" customWidth="1"/>
    <col min="91" max="92" width="2" bestFit="1" customWidth="1"/>
    <col min="93" max="93" width="3" bestFit="1" customWidth="1"/>
    <col min="94" max="95" width="2" bestFit="1" customWidth="1"/>
    <col min="96" max="115" width="3" bestFit="1" customWidth="1"/>
    <col min="116" max="116" width="4" bestFit="1" customWidth="1"/>
    <col min="117" max="129" width="3" bestFit="1" customWidth="1"/>
    <col min="130" max="132" width="4" bestFit="1" customWidth="1"/>
    <col min="133" max="133" width="10.44140625" bestFit="1" customWidth="1"/>
    <col min="134" max="134" width="12.44140625" bestFit="1" customWidth="1"/>
    <col min="135" max="135" width="7.5546875" bestFit="1" customWidth="1"/>
    <col min="136" max="136" width="12.44140625" bestFit="1" customWidth="1"/>
    <col min="137" max="137" width="7.5546875" bestFit="1" customWidth="1"/>
    <col min="138" max="138" width="7.44140625" bestFit="1" customWidth="1"/>
    <col min="139" max="139" width="7.5546875" bestFit="1" customWidth="1"/>
    <col min="140" max="141" width="12.44140625" bestFit="1" customWidth="1"/>
    <col min="142" max="142" width="7.5546875" bestFit="1" customWidth="1"/>
    <col min="143" max="147" width="12.44140625" bestFit="1" customWidth="1"/>
    <col min="148" max="148" width="11" bestFit="1" customWidth="1"/>
    <col min="149" max="151" width="12.44140625" bestFit="1" customWidth="1"/>
    <col min="152" max="152" width="7.5546875" bestFit="1" customWidth="1"/>
    <col min="153" max="160" width="12.44140625" bestFit="1" customWidth="1"/>
    <col min="161" max="161" width="11" bestFit="1" customWidth="1"/>
    <col min="162" max="162" width="7.5546875" bestFit="1" customWidth="1"/>
    <col min="163" max="166" width="12.44140625" bestFit="1" customWidth="1"/>
    <col min="167" max="167" width="7.5546875" bestFit="1" customWidth="1"/>
    <col min="168" max="175" width="12.44140625" bestFit="1" customWidth="1"/>
    <col min="176" max="178" width="7.5546875" bestFit="1" customWidth="1"/>
    <col min="179" max="179" width="7.44140625" bestFit="1" customWidth="1"/>
    <col min="180" max="186" width="7.5546875" bestFit="1" customWidth="1"/>
    <col min="187" max="188" width="7.44140625" bestFit="1" customWidth="1"/>
    <col min="189" max="194" width="7.5546875" bestFit="1" customWidth="1"/>
    <col min="195" max="195" width="12.44140625" bestFit="1" customWidth="1"/>
    <col min="196" max="197" width="7.5546875" bestFit="1" customWidth="1"/>
    <col min="198" max="198" width="12.44140625" bestFit="1" customWidth="1"/>
    <col min="199" max="200" width="7.5546875" bestFit="1" customWidth="1"/>
    <col min="201" max="202" width="12.44140625" bestFit="1" customWidth="1"/>
    <col min="203" max="205" width="7.5546875" bestFit="1" customWidth="1"/>
    <col min="206" max="206" width="12.44140625" bestFit="1" customWidth="1"/>
    <col min="207" max="208" width="7.5546875" bestFit="1" customWidth="1"/>
    <col min="209" max="212" width="12.44140625" bestFit="1" customWidth="1"/>
    <col min="213" max="215" width="7.5546875" bestFit="1" customWidth="1"/>
    <col min="216" max="216" width="11" bestFit="1" customWidth="1"/>
    <col min="217" max="217" width="7.5546875" bestFit="1" customWidth="1"/>
    <col min="218" max="218" width="12.44140625" bestFit="1" customWidth="1"/>
    <col min="219" max="219" width="7.5546875" bestFit="1" customWidth="1"/>
    <col min="220" max="220" width="12.44140625" bestFit="1" customWidth="1"/>
    <col min="221" max="221" width="7.5546875" bestFit="1" customWidth="1"/>
    <col min="222" max="222" width="12.44140625" bestFit="1" customWidth="1"/>
    <col min="223" max="226" width="7.5546875" bestFit="1" customWidth="1"/>
    <col min="227" max="227" width="12.44140625" bestFit="1" customWidth="1"/>
    <col min="228" max="228" width="7.5546875" bestFit="1" customWidth="1"/>
    <col min="229" max="229" width="12.44140625" bestFit="1" customWidth="1"/>
    <col min="230" max="230" width="7.44140625" bestFit="1" customWidth="1"/>
    <col min="231" max="233" width="12.44140625" bestFit="1" customWidth="1"/>
    <col min="234" max="234" width="7.5546875" bestFit="1" customWidth="1"/>
    <col min="235" max="237" width="12.44140625" bestFit="1" customWidth="1"/>
    <col min="238" max="240" width="7.5546875" bestFit="1" customWidth="1"/>
    <col min="241" max="241" width="12.44140625" bestFit="1" customWidth="1"/>
    <col min="242" max="243" width="7.5546875" bestFit="1" customWidth="1"/>
    <col min="244" max="245" width="12.44140625" bestFit="1" customWidth="1"/>
    <col min="246" max="246" width="7.5546875" bestFit="1" customWidth="1"/>
    <col min="247" max="247" width="12.44140625" bestFit="1" customWidth="1"/>
    <col min="248" max="248" width="7.5546875" bestFit="1" customWidth="1"/>
    <col min="249" max="249" width="12.44140625" bestFit="1" customWidth="1"/>
    <col min="250" max="251" width="7.5546875" bestFit="1" customWidth="1"/>
    <col min="252" max="252" width="7.44140625" bestFit="1" customWidth="1"/>
    <col min="253" max="256" width="12.44140625" bestFit="1" customWidth="1"/>
    <col min="257" max="258" width="7.5546875" bestFit="1" customWidth="1"/>
    <col min="259" max="259" width="12.44140625" bestFit="1" customWidth="1"/>
    <col min="260" max="260" width="7.5546875" bestFit="1" customWidth="1"/>
    <col min="261" max="261" width="12.44140625" bestFit="1" customWidth="1"/>
    <col min="262" max="262" width="10.44140625" bestFit="1" customWidth="1"/>
    <col min="263" max="264" width="7.5546875" bestFit="1" customWidth="1"/>
    <col min="265" max="265" width="7.44140625" bestFit="1" customWidth="1"/>
    <col min="266" max="266" width="12.44140625" bestFit="1" customWidth="1"/>
    <col min="267" max="267" width="7.44140625" bestFit="1" customWidth="1"/>
    <col min="268" max="270" width="12.44140625" bestFit="1" customWidth="1"/>
    <col min="271" max="271" width="7.5546875" bestFit="1" customWidth="1"/>
    <col min="272" max="274" width="12.44140625" bestFit="1" customWidth="1"/>
    <col min="275" max="275" width="7.44140625" bestFit="1" customWidth="1"/>
    <col min="276" max="276" width="12.44140625" bestFit="1" customWidth="1"/>
    <col min="277" max="277" width="7.5546875" bestFit="1" customWidth="1"/>
    <col min="278" max="280" width="12.44140625" bestFit="1" customWidth="1"/>
    <col min="281" max="282" width="7.5546875" bestFit="1" customWidth="1"/>
    <col min="283" max="284" width="12.44140625" bestFit="1" customWidth="1"/>
    <col min="285" max="285" width="7.5546875" bestFit="1" customWidth="1"/>
    <col min="286" max="289" width="12.44140625" bestFit="1" customWidth="1"/>
    <col min="290" max="291" width="7.5546875" bestFit="1" customWidth="1"/>
    <col min="292" max="292" width="7.44140625" bestFit="1" customWidth="1"/>
    <col min="293" max="293" width="12.44140625" bestFit="1" customWidth="1"/>
    <col min="294" max="294" width="11" bestFit="1" customWidth="1"/>
    <col min="295" max="295" width="12.44140625" bestFit="1" customWidth="1"/>
    <col min="296" max="296" width="7.5546875" bestFit="1" customWidth="1"/>
    <col min="297" max="297" width="12.44140625" bestFit="1" customWidth="1"/>
    <col min="298" max="299" width="7.5546875" bestFit="1" customWidth="1"/>
    <col min="300" max="300" width="12.44140625" bestFit="1" customWidth="1"/>
    <col min="301" max="301" width="7.5546875" bestFit="1" customWidth="1"/>
    <col min="302" max="303" width="12.44140625" bestFit="1" customWidth="1"/>
    <col min="304" max="304" width="11" bestFit="1" customWidth="1"/>
    <col min="305" max="306" width="14.5546875" bestFit="1" customWidth="1"/>
    <col min="307" max="308" width="15.44140625" bestFit="1" customWidth="1"/>
    <col min="309" max="309" width="12.5546875" bestFit="1" customWidth="1"/>
    <col min="310" max="310" width="12.44140625" bestFit="1" customWidth="1"/>
    <col min="311" max="311" width="15" bestFit="1" customWidth="1"/>
  </cols>
  <sheetData>
    <row r="5" spans="1:19" x14ac:dyDescent="0.3">
      <c r="A5" s="11" t="s">
        <v>0</v>
      </c>
      <c r="B5" t="s">
        <v>139</v>
      </c>
      <c r="C5" t="s">
        <v>143</v>
      </c>
      <c r="D5" t="s">
        <v>3</v>
      </c>
      <c r="E5" t="s">
        <v>177</v>
      </c>
      <c r="H5" s="11" t="s">
        <v>0</v>
      </c>
      <c r="I5" t="s">
        <v>148</v>
      </c>
      <c r="J5" t="s">
        <v>145</v>
      </c>
      <c r="K5" t="s">
        <v>146</v>
      </c>
      <c r="P5" s="11" t="s">
        <v>0</v>
      </c>
      <c r="Q5" t="s">
        <v>9</v>
      </c>
      <c r="R5" t="s">
        <v>10</v>
      </c>
      <c r="S5" t="s">
        <v>178</v>
      </c>
    </row>
    <row r="6" spans="1:19" x14ac:dyDescent="0.3">
      <c r="A6" s="12" t="s">
        <v>22</v>
      </c>
      <c r="B6">
        <v>988</v>
      </c>
      <c r="C6">
        <v>253</v>
      </c>
      <c r="D6">
        <v>434</v>
      </c>
      <c r="E6" s="13">
        <v>0.92164179104477617</v>
      </c>
      <c r="H6" s="12" t="s">
        <v>22</v>
      </c>
      <c r="I6" s="13">
        <v>0.40890688259109309</v>
      </c>
      <c r="J6" s="13">
        <v>0.1067193675889328</v>
      </c>
      <c r="K6" s="13">
        <v>3.9170506912442393E-2</v>
      </c>
      <c r="P6" s="12" t="s">
        <v>22</v>
      </c>
      <c r="Q6">
        <v>1072</v>
      </c>
      <c r="R6">
        <v>988</v>
      </c>
      <c r="S6" s="13">
        <v>0.92164179104477617</v>
      </c>
    </row>
    <row r="7" spans="1:19" x14ac:dyDescent="0.3">
      <c r="A7" s="14" t="s">
        <v>93</v>
      </c>
      <c r="B7">
        <v>74</v>
      </c>
      <c r="C7">
        <v>34</v>
      </c>
      <c r="D7">
        <v>34</v>
      </c>
      <c r="E7" s="13">
        <v>1</v>
      </c>
      <c r="H7" s="14" t="s">
        <v>93</v>
      </c>
      <c r="I7">
        <v>0.41891891891891891</v>
      </c>
      <c r="J7">
        <v>8.8235294117647065E-2</v>
      </c>
      <c r="K7">
        <v>2.9411764705882353E-2</v>
      </c>
      <c r="P7" s="12" t="s">
        <v>25</v>
      </c>
      <c r="Q7">
        <v>338</v>
      </c>
      <c r="R7">
        <v>322</v>
      </c>
      <c r="S7" s="13">
        <v>0.9526627218934911</v>
      </c>
    </row>
    <row r="8" spans="1:19" x14ac:dyDescent="0.3">
      <c r="A8" s="37">
        <v>74</v>
      </c>
      <c r="B8">
        <v>74</v>
      </c>
      <c r="C8">
        <v>34</v>
      </c>
      <c r="D8">
        <v>34</v>
      </c>
      <c r="E8" s="13">
        <v>1</v>
      </c>
      <c r="H8" s="14" t="s">
        <v>94</v>
      </c>
      <c r="I8">
        <v>0.27160493827160492</v>
      </c>
      <c r="J8">
        <v>0.1</v>
      </c>
      <c r="K8">
        <v>0</v>
      </c>
      <c r="P8" s="12" t="s">
        <v>23</v>
      </c>
      <c r="Q8">
        <v>1410</v>
      </c>
      <c r="R8">
        <v>1310</v>
      </c>
      <c r="S8" s="13">
        <v>0.92907801418439717</v>
      </c>
    </row>
    <row r="9" spans="1:19" x14ac:dyDescent="0.3">
      <c r="A9" s="14" t="s">
        <v>94</v>
      </c>
      <c r="B9">
        <v>81</v>
      </c>
      <c r="C9">
        <v>20</v>
      </c>
      <c r="D9">
        <v>22</v>
      </c>
      <c r="E9" s="13">
        <v>1</v>
      </c>
      <c r="H9" s="14" t="s">
        <v>92</v>
      </c>
      <c r="I9">
        <v>0.32432432432432434</v>
      </c>
      <c r="J9">
        <v>0</v>
      </c>
      <c r="K9">
        <v>0</v>
      </c>
    </row>
    <row r="10" spans="1:19" x14ac:dyDescent="0.3">
      <c r="A10" s="37">
        <v>81</v>
      </c>
      <c r="B10">
        <v>81</v>
      </c>
      <c r="C10">
        <v>20</v>
      </c>
      <c r="D10">
        <v>22</v>
      </c>
      <c r="E10" s="13">
        <v>1</v>
      </c>
      <c r="H10" s="14" t="s">
        <v>96</v>
      </c>
      <c r="I10">
        <v>0.48</v>
      </c>
      <c r="J10">
        <v>0.1875</v>
      </c>
      <c r="K10">
        <v>0</v>
      </c>
    </row>
    <row r="11" spans="1:19" x14ac:dyDescent="0.3">
      <c r="A11" s="14" t="s">
        <v>92</v>
      </c>
      <c r="B11">
        <v>74</v>
      </c>
      <c r="C11">
        <v>22</v>
      </c>
      <c r="D11">
        <v>22</v>
      </c>
      <c r="E11" s="13">
        <v>0.96103896103896103</v>
      </c>
      <c r="H11" s="14" t="s">
        <v>95</v>
      </c>
      <c r="I11">
        <v>0.42528735632183906</v>
      </c>
      <c r="J11" t="e">
        <v>#DIV/0!</v>
      </c>
      <c r="K11">
        <v>2.1276595744680851E-2</v>
      </c>
    </row>
    <row r="12" spans="1:19" x14ac:dyDescent="0.3">
      <c r="A12" s="37">
        <v>77</v>
      </c>
      <c r="B12">
        <v>74</v>
      </c>
      <c r="C12">
        <v>22</v>
      </c>
      <c r="D12">
        <v>22</v>
      </c>
      <c r="E12" s="13">
        <v>0.96103896103896103</v>
      </c>
      <c r="H12" s="14" t="s">
        <v>97</v>
      </c>
      <c r="I12">
        <v>0.52777777777777779</v>
      </c>
      <c r="J12" t="e">
        <v>#DIV/0!</v>
      </c>
      <c r="K12">
        <v>0.05</v>
      </c>
    </row>
    <row r="13" spans="1:19" x14ac:dyDescent="0.3">
      <c r="A13" s="14" t="s">
        <v>96</v>
      </c>
      <c r="B13">
        <v>75</v>
      </c>
      <c r="C13">
        <v>32</v>
      </c>
      <c r="D13">
        <v>42</v>
      </c>
      <c r="E13" s="13">
        <v>0.63559322033898302</v>
      </c>
      <c r="H13" s="14" t="s">
        <v>98</v>
      </c>
      <c r="I13">
        <v>0.39795918367346939</v>
      </c>
      <c r="J13" t="e">
        <v>#DIV/0!</v>
      </c>
      <c r="K13">
        <v>2.3809523809523808E-2</v>
      </c>
    </row>
    <row r="14" spans="1:19" x14ac:dyDescent="0.3">
      <c r="A14" s="37">
        <v>118</v>
      </c>
      <c r="B14">
        <v>75</v>
      </c>
      <c r="C14">
        <v>32</v>
      </c>
      <c r="D14">
        <v>42</v>
      </c>
      <c r="E14" s="13">
        <v>0.63559322033898302</v>
      </c>
      <c r="H14" s="14" t="s">
        <v>99</v>
      </c>
      <c r="I14">
        <v>0.40540540540540543</v>
      </c>
      <c r="J14">
        <v>0</v>
      </c>
      <c r="K14">
        <v>6.25E-2</v>
      </c>
    </row>
    <row r="15" spans="1:19" x14ac:dyDescent="0.3">
      <c r="A15" s="14" t="s">
        <v>95</v>
      </c>
      <c r="B15">
        <v>87</v>
      </c>
      <c r="C15">
        <v>0</v>
      </c>
      <c r="D15">
        <v>47</v>
      </c>
      <c r="E15" s="13">
        <v>0.8529411764705882</v>
      </c>
      <c r="H15" s="14" t="s">
        <v>91</v>
      </c>
      <c r="I15">
        <v>0.55384615384615388</v>
      </c>
      <c r="J15">
        <v>0.17241379310344829</v>
      </c>
      <c r="K15">
        <v>8.5714285714285715E-2</v>
      </c>
    </row>
    <row r="16" spans="1:19" x14ac:dyDescent="0.3">
      <c r="A16" s="37">
        <v>102</v>
      </c>
      <c r="B16">
        <v>87</v>
      </c>
      <c r="C16">
        <v>0</v>
      </c>
      <c r="D16">
        <v>47</v>
      </c>
      <c r="E16" s="13">
        <v>0.8529411764705882</v>
      </c>
      <c r="H16" s="14" t="s">
        <v>88</v>
      </c>
      <c r="I16">
        <v>0.34146341463414637</v>
      </c>
      <c r="J16">
        <v>8.3333333333333329E-2</v>
      </c>
      <c r="K16">
        <v>0.13333333333333333</v>
      </c>
    </row>
    <row r="17" spans="1:11" x14ac:dyDescent="0.3">
      <c r="A17" s="14" t="s">
        <v>97</v>
      </c>
      <c r="B17">
        <v>72</v>
      </c>
      <c r="C17">
        <v>0</v>
      </c>
      <c r="D17">
        <v>40</v>
      </c>
      <c r="E17" s="13">
        <v>1</v>
      </c>
      <c r="H17" s="14" t="s">
        <v>90</v>
      </c>
      <c r="I17">
        <v>0.40952380952380951</v>
      </c>
      <c r="J17">
        <v>9.7560975609756101E-2</v>
      </c>
      <c r="K17">
        <v>2.2222222222222223E-2</v>
      </c>
    </row>
    <row r="18" spans="1:11" x14ac:dyDescent="0.3">
      <c r="A18" s="37">
        <v>72</v>
      </c>
      <c r="B18">
        <v>72</v>
      </c>
      <c r="C18">
        <v>0</v>
      </c>
      <c r="D18">
        <v>40</v>
      </c>
      <c r="E18" s="13">
        <v>1</v>
      </c>
      <c r="H18" s="14" t="s">
        <v>100</v>
      </c>
      <c r="I18">
        <v>0.39603960396039606</v>
      </c>
      <c r="J18">
        <v>0.11627906976744186</v>
      </c>
      <c r="K18">
        <v>4.6511627906976744E-2</v>
      </c>
    </row>
    <row r="19" spans="1:11" x14ac:dyDescent="0.3">
      <c r="A19" s="14" t="s">
        <v>98</v>
      </c>
      <c r="B19">
        <v>98</v>
      </c>
      <c r="C19">
        <v>0</v>
      </c>
      <c r="D19">
        <v>42</v>
      </c>
      <c r="E19" s="13">
        <v>0.97029702970297027</v>
      </c>
      <c r="H19" s="12" t="s">
        <v>25</v>
      </c>
      <c r="I19">
        <v>0.41925465838509318</v>
      </c>
      <c r="J19">
        <v>8.3333333333333329E-2</v>
      </c>
      <c r="K19">
        <v>4.1095890410958902E-2</v>
      </c>
    </row>
    <row r="20" spans="1:11" x14ac:dyDescent="0.3">
      <c r="A20" s="37">
        <v>101</v>
      </c>
      <c r="B20">
        <v>98</v>
      </c>
      <c r="C20">
        <v>0</v>
      </c>
      <c r="D20">
        <v>42</v>
      </c>
      <c r="E20" s="13">
        <v>0.97029702970297027</v>
      </c>
      <c r="H20" s="14" t="s">
        <v>93</v>
      </c>
      <c r="I20">
        <v>0.47058823529411764</v>
      </c>
      <c r="J20">
        <v>7.6923076923076927E-2</v>
      </c>
      <c r="K20">
        <v>3.8461538461538464E-2</v>
      </c>
    </row>
    <row r="21" spans="1:11" x14ac:dyDescent="0.3">
      <c r="A21" s="14" t="s">
        <v>99</v>
      </c>
      <c r="B21">
        <v>74</v>
      </c>
      <c r="C21">
        <v>8</v>
      </c>
      <c r="D21">
        <v>32</v>
      </c>
      <c r="E21" s="13">
        <v>0.9135802469135802</v>
      </c>
      <c r="H21" s="14" t="s">
        <v>94</v>
      </c>
      <c r="I21">
        <v>0.35714285714285715</v>
      </c>
      <c r="J21">
        <v>0</v>
      </c>
      <c r="K21">
        <v>6.6666666666666666E-2</v>
      </c>
    </row>
    <row r="22" spans="1:11" x14ac:dyDescent="0.3">
      <c r="A22" s="37">
        <v>81</v>
      </c>
      <c r="B22">
        <v>74</v>
      </c>
      <c r="C22">
        <v>8</v>
      </c>
      <c r="D22">
        <v>32</v>
      </c>
      <c r="E22" s="13">
        <v>0.9135802469135802</v>
      </c>
      <c r="H22" s="14" t="s">
        <v>92</v>
      </c>
      <c r="I22">
        <v>0.32203389830508472</v>
      </c>
      <c r="J22">
        <v>0.1</v>
      </c>
      <c r="K22">
        <v>0</v>
      </c>
    </row>
    <row r="23" spans="1:11" x14ac:dyDescent="0.3">
      <c r="A23" s="14" t="s">
        <v>91</v>
      </c>
      <c r="B23">
        <v>65</v>
      </c>
      <c r="C23">
        <v>29</v>
      </c>
      <c r="D23">
        <v>35</v>
      </c>
      <c r="E23" s="13">
        <v>0.94202898550724634</v>
      </c>
      <c r="H23" s="14" t="s">
        <v>96</v>
      </c>
      <c r="I23">
        <v>0.40259740259740262</v>
      </c>
      <c r="J23">
        <v>0.11428571428571428</v>
      </c>
      <c r="K23">
        <v>2.8571428571428571E-2</v>
      </c>
    </row>
    <row r="24" spans="1:11" x14ac:dyDescent="0.3">
      <c r="A24" s="37">
        <v>69</v>
      </c>
      <c r="B24">
        <v>65</v>
      </c>
      <c r="C24">
        <v>29</v>
      </c>
      <c r="D24">
        <v>35</v>
      </c>
      <c r="E24" s="13">
        <v>0.94202898550724634</v>
      </c>
      <c r="H24" s="14" t="s">
        <v>95</v>
      </c>
      <c r="I24">
        <v>0.4946236559139785</v>
      </c>
      <c r="J24">
        <v>8.1081081081081086E-2</v>
      </c>
      <c r="K24">
        <v>5.8823529411764705E-2</v>
      </c>
    </row>
    <row r="25" spans="1:11" x14ac:dyDescent="0.3">
      <c r="A25" s="14" t="s">
        <v>88</v>
      </c>
      <c r="B25">
        <v>82</v>
      </c>
      <c r="C25">
        <v>24</v>
      </c>
      <c r="D25">
        <v>30</v>
      </c>
      <c r="E25" s="13">
        <v>0.95348837209302328</v>
      </c>
      <c r="H25" s="12" t="s">
        <v>23</v>
      </c>
      <c r="I25" s="13">
        <v>0.4114503816793893</v>
      </c>
      <c r="J25" s="13">
        <v>9.8701298701298706E-2</v>
      </c>
      <c r="K25" s="13">
        <v>3.9655172413793106E-2</v>
      </c>
    </row>
    <row r="26" spans="1:11" x14ac:dyDescent="0.3">
      <c r="A26" s="37">
        <v>86</v>
      </c>
      <c r="B26">
        <v>82</v>
      </c>
      <c r="C26">
        <v>24</v>
      </c>
      <c r="D26">
        <v>30</v>
      </c>
      <c r="E26" s="13">
        <v>0.95348837209302328</v>
      </c>
      <c r="H26"/>
      <c r="I26"/>
      <c r="J26"/>
      <c r="K26"/>
    </row>
    <row r="27" spans="1:11" x14ac:dyDescent="0.3">
      <c r="A27" s="14" t="s">
        <v>90</v>
      </c>
      <c r="B27">
        <v>105</v>
      </c>
      <c r="C27">
        <v>41</v>
      </c>
      <c r="D27">
        <v>45</v>
      </c>
      <c r="E27" s="13">
        <v>0.98130841121495327</v>
      </c>
      <c r="H27"/>
    </row>
    <row r="28" spans="1:11" x14ac:dyDescent="0.3">
      <c r="A28" s="37">
        <v>107</v>
      </c>
      <c r="B28">
        <v>105</v>
      </c>
      <c r="C28">
        <v>41</v>
      </c>
      <c r="D28">
        <v>45</v>
      </c>
      <c r="E28" s="13">
        <v>0.98130841121495327</v>
      </c>
      <c r="H28"/>
    </row>
    <row r="29" spans="1:11" x14ac:dyDescent="0.3">
      <c r="A29" s="14" t="s">
        <v>100</v>
      </c>
      <c r="B29">
        <v>101</v>
      </c>
      <c r="C29">
        <v>43</v>
      </c>
      <c r="D29">
        <v>43</v>
      </c>
      <c r="E29" s="13">
        <v>0.97115384615384615</v>
      </c>
      <c r="H29"/>
    </row>
    <row r="30" spans="1:11" x14ac:dyDescent="0.3">
      <c r="A30" s="37">
        <v>104</v>
      </c>
      <c r="B30">
        <v>101</v>
      </c>
      <c r="C30">
        <v>43</v>
      </c>
      <c r="D30">
        <v>43</v>
      </c>
      <c r="E30" s="13">
        <v>0.97115384615384615</v>
      </c>
      <c r="H30"/>
    </row>
    <row r="31" spans="1:11" x14ac:dyDescent="0.3">
      <c r="A31" s="12" t="s">
        <v>25</v>
      </c>
      <c r="B31">
        <v>322</v>
      </c>
      <c r="C31">
        <v>132</v>
      </c>
      <c r="D31">
        <v>146</v>
      </c>
      <c r="E31" s="13">
        <v>0.9526627218934911</v>
      </c>
      <c r="H31"/>
    </row>
    <row r="32" spans="1:11" x14ac:dyDescent="0.3">
      <c r="A32" s="14" t="s">
        <v>93</v>
      </c>
      <c r="B32">
        <v>51</v>
      </c>
      <c r="C32">
        <v>26</v>
      </c>
      <c r="D32">
        <v>26</v>
      </c>
      <c r="E32" s="13">
        <v>0.94444444444444442</v>
      </c>
      <c r="H32"/>
    </row>
    <row r="33" spans="1:8" x14ac:dyDescent="0.3">
      <c r="A33" s="37">
        <v>54</v>
      </c>
      <c r="B33">
        <v>51</v>
      </c>
      <c r="C33">
        <v>26</v>
      </c>
      <c r="D33">
        <v>26</v>
      </c>
      <c r="E33" s="13">
        <v>0.94444444444444442</v>
      </c>
      <c r="H33"/>
    </row>
    <row r="34" spans="1:8" x14ac:dyDescent="0.3">
      <c r="A34" s="14" t="s">
        <v>94</v>
      </c>
      <c r="B34">
        <v>42</v>
      </c>
      <c r="C34">
        <v>14</v>
      </c>
      <c r="D34">
        <v>15</v>
      </c>
      <c r="E34" s="13">
        <v>1</v>
      </c>
      <c r="H34"/>
    </row>
    <row r="35" spans="1:8" x14ac:dyDescent="0.3">
      <c r="A35" s="37">
        <v>42</v>
      </c>
      <c r="B35">
        <v>42</v>
      </c>
      <c r="C35">
        <v>14</v>
      </c>
      <c r="D35">
        <v>15</v>
      </c>
      <c r="E35" s="13">
        <v>1</v>
      </c>
      <c r="H35"/>
    </row>
    <row r="36" spans="1:8" x14ac:dyDescent="0.3">
      <c r="A36" s="14" t="s">
        <v>92</v>
      </c>
      <c r="B36">
        <v>59</v>
      </c>
      <c r="C36">
        <v>20</v>
      </c>
      <c r="D36">
        <v>19</v>
      </c>
      <c r="E36" s="13">
        <v>0.96721311475409832</v>
      </c>
      <c r="H36"/>
    </row>
    <row r="37" spans="1:8" x14ac:dyDescent="0.3">
      <c r="A37" s="37">
        <v>61</v>
      </c>
      <c r="B37">
        <v>59</v>
      </c>
      <c r="C37">
        <v>20</v>
      </c>
      <c r="D37">
        <v>19</v>
      </c>
      <c r="E37" s="13">
        <v>0.96721311475409832</v>
      </c>
      <c r="H37"/>
    </row>
    <row r="38" spans="1:8" x14ac:dyDescent="0.3">
      <c r="A38" s="14" t="s">
        <v>96</v>
      </c>
      <c r="B38">
        <v>77</v>
      </c>
      <c r="C38">
        <v>35</v>
      </c>
      <c r="D38">
        <v>35</v>
      </c>
      <c r="E38" s="13">
        <v>0.875</v>
      </c>
      <c r="H38"/>
    </row>
    <row r="39" spans="1:8" x14ac:dyDescent="0.3">
      <c r="A39" s="37">
        <v>88</v>
      </c>
      <c r="B39">
        <v>77</v>
      </c>
      <c r="C39">
        <v>35</v>
      </c>
      <c r="D39">
        <v>35</v>
      </c>
      <c r="E39" s="13">
        <v>0.875</v>
      </c>
      <c r="H39"/>
    </row>
    <row r="40" spans="1:8" x14ac:dyDescent="0.3">
      <c r="A40" s="14" t="s">
        <v>95</v>
      </c>
      <c r="B40">
        <v>93</v>
      </c>
      <c r="C40">
        <v>37</v>
      </c>
      <c r="D40">
        <v>51</v>
      </c>
      <c r="E40" s="13">
        <v>1</v>
      </c>
      <c r="H40"/>
    </row>
    <row r="41" spans="1:8" x14ac:dyDescent="0.3">
      <c r="A41" s="37">
        <v>93</v>
      </c>
      <c r="B41">
        <v>93</v>
      </c>
      <c r="C41">
        <v>37</v>
      </c>
      <c r="D41">
        <v>51</v>
      </c>
      <c r="E41" s="13">
        <v>1</v>
      </c>
      <c r="H41"/>
    </row>
    <row r="42" spans="1:8" x14ac:dyDescent="0.3">
      <c r="A42" s="12" t="s">
        <v>23</v>
      </c>
      <c r="B42">
        <v>1310</v>
      </c>
      <c r="C42">
        <v>385</v>
      </c>
      <c r="D42">
        <v>580</v>
      </c>
      <c r="E42" s="13">
        <v>0.92907801418439717</v>
      </c>
      <c r="H42"/>
    </row>
    <row r="43" spans="1:8" x14ac:dyDescent="0.3">
      <c r="H43"/>
    </row>
    <row r="44" spans="1:8" x14ac:dyDescent="0.3">
      <c r="H44"/>
    </row>
    <row r="45" spans="1:8" x14ac:dyDescent="0.3">
      <c r="H45"/>
    </row>
    <row r="46" spans="1:8" x14ac:dyDescent="0.3">
      <c r="H46"/>
    </row>
    <row r="47" spans="1:8" x14ac:dyDescent="0.3">
      <c r="H47"/>
    </row>
    <row r="48" spans="1:8" x14ac:dyDescent="0.3">
      <c r="H48"/>
    </row>
    <row r="49" spans="8:8" x14ac:dyDescent="0.3">
      <c r="H49"/>
    </row>
    <row r="50" spans="8:8" x14ac:dyDescent="0.3">
      <c r="H50"/>
    </row>
    <row r="51" spans="8:8" x14ac:dyDescent="0.3">
      <c r="H51"/>
    </row>
    <row r="52" spans="8:8" x14ac:dyDescent="0.3">
      <c r="H52"/>
    </row>
    <row r="53" spans="8:8" x14ac:dyDescent="0.3">
      <c r="H53"/>
    </row>
    <row r="54" spans="8:8" x14ac:dyDescent="0.3">
      <c r="H54"/>
    </row>
    <row r="55" spans="8:8" x14ac:dyDescent="0.3">
      <c r="H55"/>
    </row>
    <row r="56" spans="8:8" x14ac:dyDescent="0.3">
      <c r="H56"/>
    </row>
    <row r="57" spans="8:8" x14ac:dyDescent="0.3">
      <c r="H57"/>
    </row>
    <row r="58" spans="8:8" x14ac:dyDescent="0.3">
      <c r="H58"/>
    </row>
    <row r="59" spans="8:8" x14ac:dyDescent="0.3">
      <c r="H59"/>
    </row>
    <row r="60" spans="8:8" x14ac:dyDescent="0.3">
      <c r="H60"/>
    </row>
    <row r="61" spans="8:8" x14ac:dyDescent="0.3">
      <c r="H61"/>
    </row>
    <row r="62" spans="8:8" x14ac:dyDescent="0.3">
      <c r="H62"/>
    </row>
    <row r="63" spans="8:8" x14ac:dyDescent="0.3">
      <c r="H63"/>
    </row>
    <row r="64" spans="8:8" x14ac:dyDescent="0.3">
      <c r="H64"/>
    </row>
    <row r="65" spans="8:8" x14ac:dyDescent="0.3">
      <c r="H65"/>
    </row>
    <row r="66" spans="8:8" x14ac:dyDescent="0.3">
      <c r="H66"/>
    </row>
    <row r="67" spans="8:8" x14ac:dyDescent="0.3">
      <c r="H67"/>
    </row>
    <row r="68" spans="8:8" x14ac:dyDescent="0.3">
      <c r="H68"/>
    </row>
    <row r="69" spans="8:8" x14ac:dyDescent="0.3">
      <c r="H69"/>
    </row>
    <row r="70" spans="8:8" x14ac:dyDescent="0.3">
      <c r="H70"/>
    </row>
    <row r="71" spans="8:8" x14ac:dyDescent="0.3">
      <c r="H71"/>
    </row>
    <row r="72" spans="8:8" x14ac:dyDescent="0.3">
      <c r="H72"/>
    </row>
    <row r="73" spans="8:8" x14ac:dyDescent="0.3">
      <c r="H73"/>
    </row>
    <row r="74" spans="8:8" x14ac:dyDescent="0.3">
      <c r="H74"/>
    </row>
    <row r="75" spans="8:8" x14ac:dyDescent="0.3">
      <c r="H75"/>
    </row>
    <row r="76" spans="8:8" x14ac:dyDescent="0.3">
      <c r="H76"/>
    </row>
    <row r="77" spans="8:8" x14ac:dyDescent="0.3">
      <c r="H77"/>
    </row>
    <row r="78" spans="8:8" x14ac:dyDescent="0.3">
      <c r="H78"/>
    </row>
    <row r="79" spans="8:8" x14ac:dyDescent="0.3">
      <c r="H79"/>
    </row>
    <row r="80" spans="8:8" x14ac:dyDescent="0.3">
      <c r="H80"/>
    </row>
    <row r="81" spans="8:8" x14ac:dyDescent="0.3">
      <c r="H81"/>
    </row>
    <row r="82" spans="8:8" x14ac:dyDescent="0.3">
      <c r="H82"/>
    </row>
    <row r="83" spans="8:8" x14ac:dyDescent="0.3">
      <c r="H83"/>
    </row>
    <row r="84" spans="8:8" x14ac:dyDescent="0.3">
      <c r="H84"/>
    </row>
    <row r="85" spans="8:8" x14ac:dyDescent="0.3">
      <c r="H85"/>
    </row>
    <row r="86" spans="8:8" x14ac:dyDescent="0.3">
      <c r="H86"/>
    </row>
    <row r="87" spans="8:8" x14ac:dyDescent="0.3">
      <c r="H87"/>
    </row>
    <row r="88" spans="8:8" x14ac:dyDescent="0.3">
      <c r="H88"/>
    </row>
    <row r="89" spans="8:8" x14ac:dyDescent="0.3">
      <c r="H89"/>
    </row>
    <row r="90" spans="8:8" x14ac:dyDescent="0.3">
      <c r="H90"/>
    </row>
    <row r="91" spans="8:8" x14ac:dyDescent="0.3">
      <c r="H91"/>
    </row>
    <row r="92" spans="8:8" x14ac:dyDescent="0.3">
      <c r="H92"/>
    </row>
    <row r="93" spans="8:8" x14ac:dyDescent="0.3">
      <c r="H93"/>
    </row>
    <row r="94" spans="8:8" x14ac:dyDescent="0.3">
      <c r="H94"/>
    </row>
    <row r="95" spans="8:8" x14ac:dyDescent="0.3">
      <c r="H95"/>
    </row>
    <row r="96" spans="8:8" x14ac:dyDescent="0.3">
      <c r="H96"/>
    </row>
    <row r="97" spans="8:8" x14ac:dyDescent="0.3">
      <c r="H97"/>
    </row>
    <row r="98" spans="8:8" x14ac:dyDescent="0.3">
      <c r="H98"/>
    </row>
    <row r="99" spans="8:8" x14ac:dyDescent="0.3">
      <c r="H99"/>
    </row>
    <row r="100" spans="8:8" x14ac:dyDescent="0.3">
      <c r="H100"/>
    </row>
    <row r="101" spans="8:8" x14ac:dyDescent="0.3">
      <c r="H101"/>
    </row>
    <row r="102" spans="8:8" x14ac:dyDescent="0.3">
      <c r="H102"/>
    </row>
    <row r="103" spans="8:8" x14ac:dyDescent="0.3">
      <c r="H103"/>
    </row>
    <row r="104" spans="8:8" x14ac:dyDescent="0.3">
      <c r="H104"/>
    </row>
    <row r="105" spans="8:8" x14ac:dyDescent="0.3">
      <c r="H105"/>
    </row>
    <row r="106" spans="8:8" x14ac:dyDescent="0.3">
      <c r="H106"/>
    </row>
    <row r="107" spans="8:8" x14ac:dyDescent="0.3">
      <c r="H107"/>
    </row>
    <row r="108" spans="8:8" x14ac:dyDescent="0.3">
      <c r="H108"/>
    </row>
    <row r="109" spans="8:8" x14ac:dyDescent="0.3">
      <c r="H109"/>
    </row>
    <row r="110" spans="8:8" x14ac:dyDescent="0.3">
      <c r="H110"/>
    </row>
    <row r="111" spans="8:8" x14ac:dyDescent="0.3">
      <c r="H111"/>
    </row>
    <row r="112" spans="8:8" x14ac:dyDescent="0.3">
      <c r="H112"/>
    </row>
    <row r="113" spans="8:8" x14ac:dyDescent="0.3">
      <c r="H113"/>
    </row>
    <row r="114" spans="8:8" x14ac:dyDescent="0.3">
      <c r="H114"/>
    </row>
    <row r="115" spans="8:8" x14ac:dyDescent="0.3">
      <c r="H115"/>
    </row>
    <row r="116" spans="8:8" x14ac:dyDescent="0.3">
      <c r="H116"/>
    </row>
    <row r="117" spans="8:8" x14ac:dyDescent="0.3">
      <c r="H117"/>
    </row>
    <row r="118" spans="8:8" x14ac:dyDescent="0.3">
      <c r="H118"/>
    </row>
    <row r="119" spans="8:8" x14ac:dyDescent="0.3">
      <c r="H119"/>
    </row>
    <row r="120" spans="8:8" x14ac:dyDescent="0.3">
      <c r="H120"/>
    </row>
    <row r="121" spans="8:8" x14ac:dyDescent="0.3">
      <c r="H121"/>
    </row>
    <row r="122" spans="8:8" x14ac:dyDescent="0.3">
      <c r="H122"/>
    </row>
    <row r="123" spans="8:8" x14ac:dyDescent="0.3">
      <c r="H123"/>
    </row>
    <row r="124" spans="8:8" x14ac:dyDescent="0.3">
      <c r="H124"/>
    </row>
    <row r="125" spans="8:8" x14ac:dyDescent="0.3">
      <c r="H125"/>
    </row>
    <row r="126" spans="8:8" x14ac:dyDescent="0.3">
      <c r="H126"/>
    </row>
    <row r="127" spans="8:8" x14ac:dyDescent="0.3">
      <c r="H127"/>
    </row>
    <row r="128" spans="8:8" x14ac:dyDescent="0.3">
      <c r="H128"/>
    </row>
    <row r="129" spans="8:8" x14ac:dyDescent="0.3">
      <c r="H129"/>
    </row>
    <row r="130" spans="8:8" x14ac:dyDescent="0.3">
      <c r="H130"/>
    </row>
    <row r="131" spans="8:8" x14ac:dyDescent="0.3">
      <c r="H131"/>
    </row>
    <row r="132" spans="8:8" x14ac:dyDescent="0.3">
      <c r="H132"/>
    </row>
    <row r="133" spans="8:8" x14ac:dyDescent="0.3">
      <c r="H133"/>
    </row>
    <row r="134" spans="8:8" x14ac:dyDescent="0.3">
      <c r="H134"/>
    </row>
    <row r="135" spans="8:8" x14ac:dyDescent="0.3">
      <c r="H135"/>
    </row>
    <row r="136" spans="8:8" x14ac:dyDescent="0.3">
      <c r="H136"/>
    </row>
    <row r="137" spans="8:8" x14ac:dyDescent="0.3">
      <c r="H137"/>
    </row>
    <row r="138" spans="8:8" x14ac:dyDescent="0.3">
      <c r="H138"/>
    </row>
    <row r="139" spans="8:8" x14ac:dyDescent="0.3">
      <c r="H139"/>
    </row>
    <row r="140" spans="8:8" x14ac:dyDescent="0.3">
      <c r="H140"/>
    </row>
    <row r="141" spans="8:8" x14ac:dyDescent="0.3">
      <c r="H141"/>
    </row>
    <row r="142" spans="8:8" x14ac:dyDescent="0.3">
      <c r="H142"/>
    </row>
    <row r="143" spans="8:8" x14ac:dyDescent="0.3">
      <c r="H143"/>
    </row>
    <row r="144" spans="8:8" x14ac:dyDescent="0.3">
      <c r="H144"/>
    </row>
    <row r="145" spans="8:8" x14ac:dyDescent="0.3">
      <c r="H145"/>
    </row>
    <row r="146" spans="8:8" x14ac:dyDescent="0.3">
      <c r="H146"/>
    </row>
    <row r="147" spans="8:8" x14ac:dyDescent="0.3">
      <c r="H147"/>
    </row>
    <row r="148" spans="8:8" x14ac:dyDescent="0.3">
      <c r="H148"/>
    </row>
    <row r="149" spans="8:8" x14ac:dyDescent="0.3">
      <c r="H149"/>
    </row>
    <row r="150" spans="8:8" x14ac:dyDescent="0.3">
      <c r="H150"/>
    </row>
    <row r="151" spans="8:8" x14ac:dyDescent="0.3">
      <c r="H151"/>
    </row>
    <row r="152" spans="8:8" x14ac:dyDescent="0.3">
      <c r="H152"/>
    </row>
    <row r="153" spans="8:8" x14ac:dyDescent="0.3">
      <c r="H153"/>
    </row>
    <row r="154" spans="8:8" x14ac:dyDescent="0.3">
      <c r="H154"/>
    </row>
    <row r="155" spans="8:8" x14ac:dyDescent="0.3">
      <c r="H155"/>
    </row>
    <row r="156" spans="8:8" x14ac:dyDescent="0.3">
      <c r="H156"/>
    </row>
    <row r="157" spans="8:8" x14ac:dyDescent="0.3">
      <c r="H157"/>
    </row>
    <row r="158" spans="8:8" x14ac:dyDescent="0.3">
      <c r="H158"/>
    </row>
    <row r="159" spans="8:8" x14ac:dyDescent="0.3">
      <c r="H159"/>
    </row>
    <row r="160" spans="8:8" x14ac:dyDescent="0.3">
      <c r="H160"/>
    </row>
    <row r="161" spans="8:8" x14ac:dyDescent="0.3">
      <c r="H161"/>
    </row>
    <row r="162" spans="8:8" x14ac:dyDescent="0.3">
      <c r="H162"/>
    </row>
    <row r="163" spans="8:8" x14ac:dyDescent="0.3">
      <c r="H163"/>
    </row>
    <row r="164" spans="8:8" x14ac:dyDescent="0.3">
      <c r="H164"/>
    </row>
    <row r="165" spans="8:8" x14ac:dyDescent="0.3">
      <c r="H165"/>
    </row>
    <row r="166" spans="8:8" x14ac:dyDescent="0.3">
      <c r="H166"/>
    </row>
    <row r="167" spans="8:8" x14ac:dyDescent="0.3">
      <c r="H167"/>
    </row>
    <row r="168" spans="8:8" x14ac:dyDescent="0.3">
      <c r="H168"/>
    </row>
    <row r="169" spans="8:8" x14ac:dyDescent="0.3">
      <c r="H169"/>
    </row>
    <row r="170" spans="8:8" x14ac:dyDescent="0.3">
      <c r="H170"/>
    </row>
    <row r="171" spans="8:8" x14ac:dyDescent="0.3">
      <c r="H171"/>
    </row>
    <row r="172" spans="8:8" x14ac:dyDescent="0.3">
      <c r="H172"/>
    </row>
    <row r="173" spans="8:8" x14ac:dyDescent="0.3">
      <c r="H173"/>
    </row>
    <row r="174" spans="8:8" x14ac:dyDescent="0.3">
      <c r="H174"/>
    </row>
    <row r="175" spans="8:8" x14ac:dyDescent="0.3">
      <c r="H175"/>
    </row>
    <row r="176" spans="8:8" x14ac:dyDescent="0.3">
      <c r="H176"/>
    </row>
    <row r="177" spans="8:8" x14ac:dyDescent="0.3">
      <c r="H177"/>
    </row>
    <row r="178" spans="8:8" x14ac:dyDescent="0.3">
      <c r="H178"/>
    </row>
    <row r="179" spans="8:8" x14ac:dyDescent="0.3">
      <c r="H179"/>
    </row>
    <row r="180" spans="8:8" x14ac:dyDescent="0.3">
      <c r="H180"/>
    </row>
    <row r="181" spans="8:8" x14ac:dyDescent="0.3">
      <c r="H181"/>
    </row>
    <row r="182" spans="8:8" x14ac:dyDescent="0.3">
      <c r="H182"/>
    </row>
    <row r="183" spans="8:8" x14ac:dyDescent="0.3">
      <c r="H183"/>
    </row>
    <row r="184" spans="8:8" x14ac:dyDescent="0.3">
      <c r="H184"/>
    </row>
    <row r="185" spans="8:8" x14ac:dyDescent="0.3">
      <c r="H185"/>
    </row>
    <row r="186" spans="8:8" x14ac:dyDescent="0.3">
      <c r="H186"/>
    </row>
    <row r="187" spans="8:8" x14ac:dyDescent="0.3">
      <c r="H187"/>
    </row>
    <row r="188" spans="8:8" x14ac:dyDescent="0.3">
      <c r="H188"/>
    </row>
    <row r="189" spans="8:8" x14ac:dyDescent="0.3">
      <c r="H189"/>
    </row>
    <row r="190" spans="8:8" x14ac:dyDescent="0.3">
      <c r="H190"/>
    </row>
    <row r="191" spans="8:8" x14ac:dyDescent="0.3">
      <c r="H191"/>
    </row>
    <row r="192" spans="8:8" x14ac:dyDescent="0.3">
      <c r="H192"/>
    </row>
    <row r="193" spans="8:8" x14ac:dyDescent="0.3">
      <c r="H193"/>
    </row>
    <row r="194" spans="8:8" x14ac:dyDescent="0.3">
      <c r="H194"/>
    </row>
    <row r="195" spans="8:8" x14ac:dyDescent="0.3">
      <c r="H195"/>
    </row>
    <row r="196" spans="8:8" x14ac:dyDescent="0.3">
      <c r="H196"/>
    </row>
    <row r="197" spans="8:8" x14ac:dyDescent="0.3">
      <c r="H197"/>
    </row>
    <row r="198" spans="8:8" x14ac:dyDescent="0.3">
      <c r="H198"/>
    </row>
    <row r="199" spans="8:8" x14ac:dyDescent="0.3">
      <c r="H199"/>
    </row>
    <row r="200" spans="8:8" x14ac:dyDescent="0.3">
      <c r="H200"/>
    </row>
    <row r="201" spans="8:8" x14ac:dyDescent="0.3">
      <c r="H201"/>
    </row>
    <row r="202" spans="8:8" x14ac:dyDescent="0.3">
      <c r="H202"/>
    </row>
    <row r="203" spans="8:8" x14ac:dyDescent="0.3">
      <c r="H203"/>
    </row>
    <row r="204" spans="8:8" x14ac:dyDescent="0.3">
      <c r="H204"/>
    </row>
    <row r="205" spans="8:8" x14ac:dyDescent="0.3">
      <c r="H205"/>
    </row>
    <row r="206" spans="8:8" x14ac:dyDescent="0.3">
      <c r="H206"/>
    </row>
    <row r="207" spans="8:8" x14ac:dyDescent="0.3">
      <c r="H207"/>
    </row>
    <row r="208" spans="8:8" x14ac:dyDescent="0.3">
      <c r="H208"/>
    </row>
    <row r="209" spans="8:8" x14ac:dyDescent="0.3">
      <c r="H209"/>
    </row>
    <row r="210" spans="8:8" x14ac:dyDescent="0.3">
      <c r="H210"/>
    </row>
    <row r="211" spans="8:8" x14ac:dyDescent="0.3">
      <c r="H211"/>
    </row>
    <row r="212" spans="8:8" x14ac:dyDescent="0.3">
      <c r="H212"/>
    </row>
    <row r="213" spans="8:8" x14ac:dyDescent="0.3">
      <c r="H213"/>
    </row>
    <row r="214" spans="8:8" x14ac:dyDescent="0.3">
      <c r="H214"/>
    </row>
    <row r="215" spans="8:8" x14ac:dyDescent="0.3">
      <c r="H215"/>
    </row>
    <row r="216" spans="8:8" x14ac:dyDescent="0.3">
      <c r="H216"/>
    </row>
    <row r="217" spans="8:8" x14ac:dyDescent="0.3">
      <c r="H217"/>
    </row>
    <row r="218" spans="8:8" x14ac:dyDescent="0.3">
      <c r="H218"/>
    </row>
    <row r="219" spans="8:8" x14ac:dyDescent="0.3">
      <c r="H219"/>
    </row>
    <row r="220" spans="8:8" x14ac:dyDescent="0.3">
      <c r="H220"/>
    </row>
    <row r="221" spans="8:8" x14ac:dyDescent="0.3">
      <c r="H221"/>
    </row>
    <row r="222" spans="8:8" x14ac:dyDescent="0.3">
      <c r="H222"/>
    </row>
    <row r="223" spans="8:8" x14ac:dyDescent="0.3">
      <c r="H223"/>
    </row>
    <row r="224" spans="8:8" x14ac:dyDescent="0.3">
      <c r="H224"/>
    </row>
    <row r="225" spans="8:8" x14ac:dyDescent="0.3">
      <c r="H225"/>
    </row>
    <row r="226" spans="8:8" x14ac:dyDescent="0.3">
      <c r="H226"/>
    </row>
    <row r="227" spans="8:8" x14ac:dyDescent="0.3">
      <c r="H227"/>
    </row>
    <row r="228" spans="8:8" x14ac:dyDescent="0.3">
      <c r="H228"/>
    </row>
    <row r="229" spans="8:8" x14ac:dyDescent="0.3">
      <c r="H229"/>
    </row>
    <row r="230" spans="8:8" x14ac:dyDescent="0.3">
      <c r="H230"/>
    </row>
    <row r="231" spans="8:8" x14ac:dyDescent="0.3">
      <c r="H231"/>
    </row>
    <row r="232" spans="8:8" x14ac:dyDescent="0.3">
      <c r="H232"/>
    </row>
    <row r="233" spans="8:8" x14ac:dyDescent="0.3">
      <c r="H233"/>
    </row>
    <row r="234" spans="8:8" x14ac:dyDescent="0.3">
      <c r="H234"/>
    </row>
    <row r="235" spans="8:8" x14ac:dyDescent="0.3">
      <c r="H235"/>
    </row>
    <row r="236" spans="8:8" x14ac:dyDescent="0.3">
      <c r="H236"/>
    </row>
    <row r="237" spans="8:8" x14ac:dyDescent="0.3">
      <c r="H237"/>
    </row>
    <row r="238" spans="8:8" x14ac:dyDescent="0.3">
      <c r="H238"/>
    </row>
    <row r="239" spans="8:8" x14ac:dyDescent="0.3">
      <c r="H239"/>
    </row>
    <row r="240" spans="8:8" x14ac:dyDescent="0.3">
      <c r="H240"/>
    </row>
    <row r="241" spans="8:8" x14ac:dyDescent="0.3">
      <c r="H241"/>
    </row>
    <row r="242" spans="8:8" x14ac:dyDescent="0.3">
      <c r="H242"/>
    </row>
    <row r="243" spans="8:8" x14ac:dyDescent="0.3">
      <c r="H243"/>
    </row>
    <row r="244" spans="8:8" x14ac:dyDescent="0.3">
      <c r="H244"/>
    </row>
    <row r="245" spans="8:8" x14ac:dyDescent="0.3">
      <c r="H245"/>
    </row>
    <row r="246" spans="8:8" x14ac:dyDescent="0.3">
      <c r="H246"/>
    </row>
    <row r="247" spans="8:8" x14ac:dyDescent="0.3">
      <c r="H247"/>
    </row>
    <row r="248" spans="8:8" x14ac:dyDescent="0.3">
      <c r="H248"/>
    </row>
    <row r="249" spans="8:8" x14ac:dyDescent="0.3">
      <c r="H249"/>
    </row>
    <row r="250" spans="8:8" x14ac:dyDescent="0.3">
      <c r="H250"/>
    </row>
    <row r="251" spans="8:8" x14ac:dyDescent="0.3">
      <c r="H251"/>
    </row>
    <row r="252" spans="8:8" x14ac:dyDescent="0.3">
      <c r="H252"/>
    </row>
    <row r="253" spans="8:8" x14ac:dyDescent="0.3">
      <c r="H253"/>
    </row>
    <row r="254" spans="8:8" x14ac:dyDescent="0.3">
      <c r="H254"/>
    </row>
    <row r="255" spans="8:8" x14ac:dyDescent="0.3">
      <c r="H255"/>
    </row>
    <row r="256" spans="8:8" x14ac:dyDescent="0.3">
      <c r="H256"/>
    </row>
    <row r="257" spans="8:8" x14ac:dyDescent="0.3">
      <c r="H257"/>
    </row>
    <row r="258" spans="8:8" x14ac:dyDescent="0.3">
      <c r="H258"/>
    </row>
    <row r="259" spans="8:8" x14ac:dyDescent="0.3">
      <c r="H259"/>
    </row>
    <row r="260" spans="8:8" x14ac:dyDescent="0.3">
      <c r="H260"/>
    </row>
    <row r="261" spans="8:8" x14ac:dyDescent="0.3">
      <c r="H261"/>
    </row>
    <row r="262" spans="8:8" x14ac:dyDescent="0.3">
      <c r="H262"/>
    </row>
    <row r="263" spans="8:8" x14ac:dyDescent="0.3">
      <c r="H263"/>
    </row>
    <row r="264" spans="8:8" x14ac:dyDescent="0.3">
      <c r="H264"/>
    </row>
    <row r="265" spans="8:8" x14ac:dyDescent="0.3">
      <c r="H265"/>
    </row>
    <row r="266" spans="8:8" x14ac:dyDescent="0.3">
      <c r="H266"/>
    </row>
    <row r="267" spans="8:8" x14ac:dyDescent="0.3">
      <c r="H267"/>
    </row>
    <row r="268" spans="8:8" x14ac:dyDescent="0.3">
      <c r="H268"/>
    </row>
    <row r="269" spans="8:8" x14ac:dyDescent="0.3">
      <c r="H269"/>
    </row>
    <row r="270" spans="8:8" x14ac:dyDescent="0.3">
      <c r="H270"/>
    </row>
    <row r="271" spans="8:8" x14ac:dyDescent="0.3">
      <c r="H271"/>
    </row>
    <row r="272" spans="8:8" x14ac:dyDescent="0.3">
      <c r="H272"/>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700DA-E1D2-4703-811C-5AF8D0B45012}">
  <sheetPr codeName="Sheet2"/>
  <dimension ref="A5:L272"/>
  <sheetViews>
    <sheetView topLeftCell="A7" zoomScale="70" zoomScaleNormal="70" workbookViewId="0">
      <selection activeCell="F7" sqref="F7"/>
    </sheetView>
  </sheetViews>
  <sheetFormatPr defaultRowHeight="14.4" x14ac:dyDescent="0.3"/>
  <cols>
    <col min="1" max="1" width="14" bestFit="1" customWidth="1"/>
    <col min="2" max="2" width="10.33203125" bestFit="1" customWidth="1"/>
    <col min="3" max="3" width="10.6640625" bestFit="1" customWidth="1"/>
    <col min="4" max="4" width="10" bestFit="1" customWidth="1"/>
    <col min="5" max="5" width="20.5546875" bestFit="1" customWidth="1"/>
    <col min="6" max="7" width="20.109375" customWidth="1"/>
    <col min="8" max="8" width="28.88671875" customWidth="1"/>
    <col min="9" max="9" width="14" style="15" bestFit="1" customWidth="1"/>
    <col min="10" max="12" width="12.33203125" style="15" bestFit="1" customWidth="1"/>
    <col min="13" max="16" width="16.44140625" bestFit="1" customWidth="1"/>
    <col min="17" max="29" width="3" bestFit="1" customWidth="1"/>
    <col min="30" max="31" width="4" bestFit="1" customWidth="1"/>
    <col min="32" max="37" width="3" bestFit="1" customWidth="1"/>
    <col min="38" max="38" width="4" bestFit="1" customWidth="1"/>
    <col min="39" max="44" width="3" bestFit="1" customWidth="1"/>
    <col min="45" max="47" width="4" bestFit="1" customWidth="1"/>
    <col min="48" max="48" width="9.5546875" bestFit="1" customWidth="1"/>
    <col min="49" max="50" width="2" bestFit="1" customWidth="1"/>
    <col min="51" max="51" width="3" bestFit="1" customWidth="1"/>
    <col min="52" max="53" width="2" bestFit="1" customWidth="1"/>
    <col min="54" max="87" width="3" bestFit="1" customWidth="1"/>
    <col min="88" max="90" width="4" bestFit="1" customWidth="1"/>
    <col min="91" max="91" width="10.44140625" bestFit="1" customWidth="1"/>
    <col min="92" max="93" width="2" bestFit="1" customWidth="1"/>
    <col min="94" max="94" width="3" bestFit="1" customWidth="1"/>
    <col min="95" max="96" width="2" bestFit="1" customWidth="1"/>
    <col min="97" max="116" width="3" bestFit="1" customWidth="1"/>
    <col min="117" max="117" width="4" bestFit="1" customWidth="1"/>
    <col min="118" max="130" width="3" bestFit="1" customWidth="1"/>
    <col min="131" max="133" width="4" bestFit="1" customWidth="1"/>
    <col min="134" max="134" width="10.44140625" bestFit="1" customWidth="1"/>
    <col min="135" max="135" width="12.44140625" bestFit="1" customWidth="1"/>
    <col min="136" max="136" width="7.5546875" bestFit="1" customWidth="1"/>
    <col min="137" max="137" width="12.44140625" bestFit="1" customWidth="1"/>
    <col min="138" max="138" width="7.5546875" bestFit="1" customWidth="1"/>
    <col min="139" max="139" width="7.44140625" bestFit="1" customWidth="1"/>
    <col min="140" max="140" width="7.5546875" bestFit="1" customWidth="1"/>
    <col min="141" max="142" width="12.44140625" bestFit="1" customWidth="1"/>
    <col min="143" max="143" width="7.5546875" bestFit="1" customWidth="1"/>
    <col min="144" max="148" width="12.44140625" bestFit="1" customWidth="1"/>
    <col min="149" max="149" width="11" bestFit="1" customWidth="1"/>
    <col min="150" max="152" width="12.44140625" bestFit="1" customWidth="1"/>
    <col min="153" max="153" width="7.5546875" bestFit="1" customWidth="1"/>
    <col min="154" max="161" width="12.44140625" bestFit="1" customWidth="1"/>
    <col min="162" max="162" width="11" bestFit="1" customWidth="1"/>
    <col min="163" max="163" width="7.5546875" bestFit="1" customWidth="1"/>
    <col min="164" max="167" width="12.44140625" bestFit="1" customWidth="1"/>
    <col min="168" max="168" width="7.5546875" bestFit="1" customWidth="1"/>
    <col min="169" max="176" width="12.44140625" bestFit="1" customWidth="1"/>
    <col min="177" max="179" width="7.5546875" bestFit="1" customWidth="1"/>
    <col min="180" max="180" width="7.44140625" bestFit="1" customWidth="1"/>
    <col min="181" max="187" width="7.5546875" bestFit="1" customWidth="1"/>
    <col min="188" max="189" width="7.44140625" bestFit="1" customWidth="1"/>
    <col min="190" max="195" width="7.5546875" bestFit="1" customWidth="1"/>
    <col min="196" max="196" width="12.44140625" bestFit="1" customWidth="1"/>
    <col min="197" max="198" width="7.5546875" bestFit="1" customWidth="1"/>
    <col min="199" max="199" width="12.44140625" bestFit="1" customWidth="1"/>
    <col min="200" max="201" width="7.5546875" bestFit="1" customWidth="1"/>
    <col min="202" max="203" width="12.44140625" bestFit="1" customWidth="1"/>
    <col min="204" max="206" width="7.5546875" bestFit="1" customWidth="1"/>
    <col min="207" max="207" width="12.44140625" bestFit="1" customWidth="1"/>
    <col min="208" max="209" width="7.5546875" bestFit="1" customWidth="1"/>
    <col min="210" max="213" width="12.44140625" bestFit="1" customWidth="1"/>
    <col min="214" max="216" width="7.5546875" bestFit="1" customWidth="1"/>
    <col min="217" max="217" width="11" bestFit="1" customWidth="1"/>
    <col min="218" max="218" width="7.5546875" bestFit="1" customWidth="1"/>
    <col min="219" max="219" width="12.44140625" bestFit="1" customWidth="1"/>
    <col min="220" max="220" width="7.5546875" bestFit="1" customWidth="1"/>
    <col min="221" max="221" width="12.44140625" bestFit="1" customWidth="1"/>
    <col min="222" max="222" width="7.5546875" bestFit="1" customWidth="1"/>
    <col min="223" max="223" width="12.44140625" bestFit="1" customWidth="1"/>
    <col min="224" max="227" width="7.5546875" bestFit="1" customWidth="1"/>
    <col min="228" max="228" width="12.44140625" bestFit="1" customWidth="1"/>
    <col min="229" max="229" width="7.5546875" bestFit="1" customWidth="1"/>
    <col min="230" max="230" width="12.44140625" bestFit="1" customWidth="1"/>
    <col min="231" max="231" width="7.44140625" bestFit="1" customWidth="1"/>
    <col min="232" max="234" width="12.44140625" bestFit="1" customWidth="1"/>
    <col min="235" max="235" width="7.5546875" bestFit="1" customWidth="1"/>
    <col min="236" max="238" width="12.44140625" bestFit="1" customWidth="1"/>
    <col min="239" max="241" width="7.5546875" bestFit="1" customWidth="1"/>
    <col min="242" max="242" width="12.44140625" bestFit="1" customWidth="1"/>
    <col min="243" max="244" width="7.5546875" bestFit="1" customWidth="1"/>
    <col min="245" max="246" width="12.44140625" bestFit="1" customWidth="1"/>
    <col min="247" max="247" width="7.5546875" bestFit="1" customWidth="1"/>
    <col min="248" max="248" width="12.44140625" bestFit="1" customWidth="1"/>
    <col min="249" max="249" width="7.5546875" bestFit="1" customWidth="1"/>
    <col min="250" max="250" width="12.44140625" bestFit="1" customWidth="1"/>
    <col min="251" max="252" width="7.5546875" bestFit="1" customWidth="1"/>
    <col min="253" max="253" width="7.44140625" bestFit="1" customWidth="1"/>
    <col min="254" max="257" width="12.44140625" bestFit="1" customWidth="1"/>
    <col min="258" max="259" width="7.5546875" bestFit="1" customWidth="1"/>
    <col min="260" max="260" width="12.44140625" bestFit="1" customWidth="1"/>
    <col min="261" max="261" width="7.5546875" bestFit="1" customWidth="1"/>
    <col min="262" max="262" width="12.44140625" bestFit="1" customWidth="1"/>
    <col min="263" max="263" width="10.44140625" bestFit="1" customWidth="1"/>
    <col min="264" max="265" width="7.5546875" bestFit="1" customWidth="1"/>
    <col min="266" max="266" width="7.44140625" bestFit="1" customWidth="1"/>
    <col min="267" max="267" width="12.44140625" bestFit="1" customWidth="1"/>
    <col min="268" max="268" width="7.44140625" bestFit="1" customWidth="1"/>
    <col min="269" max="271" width="12.44140625" bestFit="1" customWidth="1"/>
    <col min="272" max="272" width="7.5546875" bestFit="1" customWidth="1"/>
    <col min="273" max="275" width="12.44140625" bestFit="1" customWidth="1"/>
    <col min="276" max="276" width="7.44140625" bestFit="1" customWidth="1"/>
    <col min="277" max="277" width="12.44140625" bestFit="1" customWidth="1"/>
    <col min="278" max="278" width="7.5546875" bestFit="1" customWidth="1"/>
    <col min="279" max="281" width="12.44140625" bestFit="1" customWidth="1"/>
    <col min="282" max="283" width="7.5546875" bestFit="1" customWidth="1"/>
    <col min="284" max="285" width="12.44140625" bestFit="1" customWidth="1"/>
    <col min="286" max="286" width="7.5546875" bestFit="1" customWidth="1"/>
    <col min="287" max="290" width="12.44140625" bestFit="1" customWidth="1"/>
    <col min="291" max="292" width="7.5546875" bestFit="1" customWidth="1"/>
    <col min="293" max="293" width="7.44140625" bestFit="1" customWidth="1"/>
    <col min="294" max="294" width="12.44140625" bestFit="1" customWidth="1"/>
    <col min="295" max="295" width="11" bestFit="1" customWidth="1"/>
    <col min="296" max="296" width="12.44140625" bestFit="1" customWidth="1"/>
    <col min="297" max="297" width="7.5546875" bestFit="1" customWidth="1"/>
    <col min="298" max="298" width="12.44140625" bestFit="1" customWidth="1"/>
    <col min="299" max="300" width="7.5546875" bestFit="1" customWidth="1"/>
    <col min="301" max="301" width="12.44140625" bestFit="1" customWidth="1"/>
    <col min="302" max="302" width="7.5546875" bestFit="1" customWidth="1"/>
    <col min="303" max="304" width="12.44140625" bestFit="1" customWidth="1"/>
    <col min="305" max="305" width="11" bestFit="1" customWidth="1"/>
    <col min="306" max="307" width="14.5546875" bestFit="1" customWidth="1"/>
    <col min="308" max="309" width="15.44140625" bestFit="1" customWidth="1"/>
    <col min="310" max="310" width="12.5546875" bestFit="1" customWidth="1"/>
    <col min="311" max="311" width="12.44140625" bestFit="1" customWidth="1"/>
    <col min="312" max="312" width="15" bestFit="1" customWidth="1"/>
  </cols>
  <sheetData>
    <row r="5" spans="1:12" x14ac:dyDescent="0.3">
      <c r="A5" s="11" t="s">
        <v>0</v>
      </c>
      <c r="B5" t="s">
        <v>139</v>
      </c>
      <c r="C5" t="s">
        <v>143</v>
      </c>
      <c r="D5" t="s">
        <v>3</v>
      </c>
      <c r="E5" t="s">
        <v>147</v>
      </c>
      <c r="I5" s="11" t="s">
        <v>0</v>
      </c>
      <c r="J5" t="s">
        <v>148</v>
      </c>
      <c r="K5" t="s">
        <v>145</v>
      </c>
      <c r="L5" t="s">
        <v>146</v>
      </c>
    </row>
    <row r="6" spans="1:12" x14ac:dyDescent="0.3">
      <c r="A6" s="12" t="s">
        <v>22</v>
      </c>
      <c r="B6">
        <v>1997</v>
      </c>
      <c r="C6">
        <v>377</v>
      </c>
      <c r="D6">
        <v>553</v>
      </c>
      <c r="E6" s="13">
        <v>0.96102021174205965</v>
      </c>
      <c r="F6" s="13"/>
      <c r="G6" s="13"/>
      <c r="I6" s="12" t="s">
        <v>22</v>
      </c>
      <c r="J6" s="13">
        <v>0.36705057586379569</v>
      </c>
      <c r="K6" s="13">
        <v>0.14323607427055704</v>
      </c>
      <c r="L6" s="13">
        <v>5.6057866184448461E-2</v>
      </c>
    </row>
    <row r="7" spans="1:12" x14ac:dyDescent="0.3">
      <c r="A7" s="14" t="s">
        <v>93</v>
      </c>
      <c r="B7">
        <v>209</v>
      </c>
      <c r="C7">
        <v>82</v>
      </c>
      <c r="D7">
        <v>98</v>
      </c>
      <c r="E7" s="13">
        <v>0.954337899543379</v>
      </c>
      <c r="F7" s="13"/>
      <c r="G7" s="13"/>
      <c r="I7" s="14" t="s">
        <v>93</v>
      </c>
      <c r="J7">
        <v>0.37799043062200954</v>
      </c>
      <c r="K7">
        <v>9.7560975609756101E-2</v>
      </c>
      <c r="L7">
        <v>2.0408163265306121E-2</v>
      </c>
    </row>
    <row r="8" spans="1:12" x14ac:dyDescent="0.3">
      <c r="A8" s="37">
        <v>219</v>
      </c>
      <c r="B8">
        <v>209</v>
      </c>
      <c r="C8">
        <v>82</v>
      </c>
      <c r="D8">
        <v>98</v>
      </c>
      <c r="E8" s="13">
        <v>0.954337899543379</v>
      </c>
      <c r="F8" s="13"/>
      <c r="G8" s="13"/>
      <c r="I8" s="14" t="s">
        <v>94</v>
      </c>
      <c r="J8">
        <v>0.34134615384615385</v>
      </c>
      <c r="K8">
        <v>0.15384615384615385</v>
      </c>
      <c r="L8">
        <v>2.8169014084507043E-2</v>
      </c>
    </row>
    <row r="9" spans="1:12" x14ac:dyDescent="0.3">
      <c r="A9" s="14" t="s">
        <v>94</v>
      </c>
      <c r="B9">
        <v>208</v>
      </c>
      <c r="C9">
        <v>52</v>
      </c>
      <c r="D9">
        <v>71</v>
      </c>
      <c r="E9" s="13">
        <v>0.9719626168224299</v>
      </c>
      <c r="F9" s="13"/>
      <c r="G9" s="13"/>
      <c r="I9" s="14" t="s">
        <v>92</v>
      </c>
      <c r="J9">
        <v>0.4</v>
      </c>
      <c r="K9">
        <v>0.11320754716981132</v>
      </c>
      <c r="L9">
        <v>7.0588235294117646E-2</v>
      </c>
    </row>
    <row r="10" spans="1:12" x14ac:dyDescent="0.3">
      <c r="A10" s="37">
        <v>214</v>
      </c>
      <c r="B10">
        <v>208</v>
      </c>
      <c r="C10">
        <v>52</v>
      </c>
      <c r="D10">
        <v>71</v>
      </c>
      <c r="E10" s="13">
        <v>0.9719626168224299</v>
      </c>
      <c r="F10" s="13"/>
      <c r="G10" s="13"/>
      <c r="I10" s="14" t="s">
        <v>96</v>
      </c>
      <c r="J10">
        <v>0.3007518796992481</v>
      </c>
      <c r="K10">
        <v>0</v>
      </c>
      <c r="L10">
        <v>6.25E-2</v>
      </c>
    </row>
    <row r="11" spans="1:12" x14ac:dyDescent="0.3">
      <c r="A11" s="14" t="s">
        <v>92</v>
      </c>
      <c r="B11">
        <v>185</v>
      </c>
      <c r="C11">
        <v>53</v>
      </c>
      <c r="D11">
        <v>85</v>
      </c>
      <c r="E11" s="13">
        <v>0.93434343434343436</v>
      </c>
      <c r="F11" s="13"/>
      <c r="G11" s="13"/>
      <c r="I11" s="14" t="s">
        <v>95</v>
      </c>
      <c r="J11">
        <v>0.43478260869565216</v>
      </c>
      <c r="K11" t="e">
        <v>#DIV/0!</v>
      </c>
      <c r="L11" t="e">
        <v>#DIV/0!</v>
      </c>
    </row>
    <row r="12" spans="1:12" x14ac:dyDescent="0.3">
      <c r="A12" s="37">
        <v>198</v>
      </c>
      <c r="B12">
        <v>185</v>
      </c>
      <c r="C12">
        <v>53</v>
      </c>
      <c r="D12">
        <v>85</v>
      </c>
      <c r="E12" s="13">
        <v>0.93434343434343436</v>
      </c>
      <c r="F12" s="13"/>
      <c r="G12" s="13"/>
      <c r="I12" s="14" t="s">
        <v>97</v>
      </c>
      <c r="J12">
        <v>0.47058823529411764</v>
      </c>
      <c r="K12" t="e">
        <v>#DIV/0!</v>
      </c>
      <c r="L12" t="e">
        <v>#DIV/0!</v>
      </c>
    </row>
    <row r="13" spans="1:12" x14ac:dyDescent="0.3">
      <c r="A13" s="14" t="s">
        <v>96</v>
      </c>
      <c r="B13">
        <v>133</v>
      </c>
      <c r="C13">
        <v>14</v>
      </c>
      <c r="D13">
        <v>48</v>
      </c>
      <c r="E13" s="13">
        <v>0.93006993006993011</v>
      </c>
      <c r="F13" s="13"/>
      <c r="G13" s="13"/>
      <c r="I13" s="14" t="s">
        <v>98</v>
      </c>
      <c r="J13">
        <v>0.40816326530612246</v>
      </c>
      <c r="K13" t="e">
        <v>#DIV/0!</v>
      </c>
      <c r="L13">
        <v>2.564102564102564E-2</v>
      </c>
    </row>
    <row r="14" spans="1:12" x14ac:dyDescent="0.3">
      <c r="A14" s="37">
        <v>143</v>
      </c>
      <c r="B14">
        <v>133</v>
      </c>
      <c r="C14">
        <v>14</v>
      </c>
      <c r="D14">
        <v>48</v>
      </c>
      <c r="E14" s="13">
        <v>0.93006993006993011</v>
      </c>
      <c r="F14" s="13"/>
      <c r="G14" s="13"/>
      <c r="I14" s="14" t="s">
        <v>99</v>
      </c>
      <c r="J14">
        <v>0.47787610619469029</v>
      </c>
      <c r="K14">
        <v>0.25</v>
      </c>
      <c r="L14">
        <v>6.8965517241379309E-2</v>
      </c>
    </row>
    <row r="15" spans="1:12" x14ac:dyDescent="0.3">
      <c r="A15" s="14" t="s">
        <v>95</v>
      </c>
      <c r="B15">
        <v>184</v>
      </c>
      <c r="C15">
        <v>0</v>
      </c>
      <c r="D15">
        <v>0</v>
      </c>
      <c r="E15" s="13">
        <v>0.98395721925133695</v>
      </c>
      <c r="F15" s="13"/>
      <c r="G15" s="13"/>
      <c r="I15" s="14" t="s">
        <v>91</v>
      </c>
      <c r="J15">
        <v>0.08</v>
      </c>
      <c r="K15">
        <v>0.23529411764705882</v>
      </c>
      <c r="L15">
        <v>0.375</v>
      </c>
    </row>
    <row r="16" spans="1:12" x14ac:dyDescent="0.3">
      <c r="A16" s="37">
        <v>187</v>
      </c>
      <c r="B16">
        <v>184</v>
      </c>
      <c r="C16">
        <v>0</v>
      </c>
      <c r="D16">
        <v>0</v>
      </c>
      <c r="E16" s="13">
        <v>0.98395721925133695</v>
      </c>
      <c r="F16" s="13"/>
      <c r="G16" s="13"/>
      <c r="I16" s="14" t="s">
        <v>88</v>
      </c>
      <c r="J16">
        <v>0.37179487179487181</v>
      </c>
      <c r="K16">
        <v>9.3023255813953487E-2</v>
      </c>
      <c r="L16">
        <v>0.1</v>
      </c>
    </row>
    <row r="17" spans="1:12" x14ac:dyDescent="0.3">
      <c r="A17" s="14" t="s">
        <v>97</v>
      </c>
      <c r="B17">
        <v>170</v>
      </c>
      <c r="C17">
        <v>0</v>
      </c>
      <c r="D17">
        <v>0</v>
      </c>
      <c r="E17" s="13">
        <v>1</v>
      </c>
      <c r="F17" s="13"/>
      <c r="G17" s="13"/>
      <c r="I17" s="14" t="s">
        <v>90</v>
      </c>
      <c r="J17">
        <v>0.34031413612565448</v>
      </c>
      <c r="K17">
        <v>0.15254237288135594</v>
      </c>
      <c r="L17" t="e">
        <v>#DIV/0!</v>
      </c>
    </row>
    <row r="18" spans="1:12" x14ac:dyDescent="0.3">
      <c r="A18" s="37">
        <v>170</v>
      </c>
      <c r="B18">
        <v>170</v>
      </c>
      <c r="C18">
        <v>0</v>
      </c>
      <c r="D18">
        <v>0</v>
      </c>
      <c r="E18" s="13">
        <v>1</v>
      </c>
      <c r="F18" s="13"/>
      <c r="G18" s="13"/>
      <c r="I18" s="14" t="s">
        <v>100</v>
      </c>
      <c r="J18">
        <v>0.33070866141732286</v>
      </c>
      <c r="K18">
        <v>0.27777777777777779</v>
      </c>
      <c r="L18">
        <v>6.3829787234042548E-2</v>
      </c>
    </row>
    <row r="19" spans="1:12" x14ac:dyDescent="0.3">
      <c r="A19" s="14" t="s">
        <v>98</v>
      </c>
      <c r="B19">
        <v>196</v>
      </c>
      <c r="C19">
        <v>0</v>
      </c>
      <c r="D19">
        <v>78</v>
      </c>
      <c r="E19" s="13">
        <v>1</v>
      </c>
      <c r="F19" s="13"/>
      <c r="G19" s="13"/>
      <c r="I19" s="12" t="s">
        <v>25</v>
      </c>
      <c r="J19">
        <v>0.38311688311688313</v>
      </c>
      <c r="K19">
        <v>0.19580419580419581</v>
      </c>
      <c r="L19">
        <v>6.7796610169491525E-2</v>
      </c>
    </row>
    <row r="20" spans="1:12" x14ac:dyDescent="0.3">
      <c r="A20" s="37">
        <v>196</v>
      </c>
      <c r="B20">
        <v>196</v>
      </c>
      <c r="C20">
        <v>0</v>
      </c>
      <c r="D20">
        <v>78</v>
      </c>
      <c r="E20" s="13">
        <v>1</v>
      </c>
      <c r="I20" s="14" t="s">
        <v>93</v>
      </c>
      <c r="J20">
        <v>0.37988826815642457</v>
      </c>
      <c r="K20">
        <v>0.18518518518518517</v>
      </c>
      <c r="L20">
        <v>8.4507042253521125E-2</v>
      </c>
    </row>
    <row r="21" spans="1:12" x14ac:dyDescent="0.3">
      <c r="A21" s="14" t="s">
        <v>99</v>
      </c>
      <c r="B21">
        <v>113</v>
      </c>
      <c r="C21">
        <v>4</v>
      </c>
      <c r="D21">
        <v>58</v>
      </c>
      <c r="E21" s="13">
        <v>0.97413793103448276</v>
      </c>
      <c r="I21" s="14" t="s">
        <v>94</v>
      </c>
      <c r="J21" t="e">
        <v>#DIV/0!</v>
      </c>
      <c r="K21" t="e">
        <v>#DIV/0!</v>
      </c>
      <c r="L21" t="e">
        <v>#DIV/0!</v>
      </c>
    </row>
    <row r="22" spans="1:12" x14ac:dyDescent="0.3">
      <c r="A22" s="37">
        <v>116</v>
      </c>
      <c r="B22">
        <v>113</v>
      </c>
      <c r="C22">
        <v>4</v>
      </c>
      <c r="D22">
        <v>58</v>
      </c>
      <c r="E22" s="13">
        <v>0.97413793103448276</v>
      </c>
      <c r="I22" s="14" t="s">
        <v>92</v>
      </c>
      <c r="J22" t="e">
        <v>#DIV/0!</v>
      </c>
      <c r="K22" t="e">
        <v>#DIV/0!</v>
      </c>
      <c r="L22" t="e">
        <v>#DIV/0!</v>
      </c>
    </row>
    <row r="23" spans="1:12" x14ac:dyDescent="0.3">
      <c r="A23" s="14" t="s">
        <v>91</v>
      </c>
      <c r="B23">
        <v>125</v>
      </c>
      <c r="C23">
        <v>34</v>
      </c>
      <c r="D23">
        <v>8</v>
      </c>
      <c r="E23" s="13">
        <v>0.91240875912408759</v>
      </c>
      <c r="I23" s="14" t="s">
        <v>96</v>
      </c>
      <c r="J23">
        <v>0.37383177570093457</v>
      </c>
      <c r="K23">
        <v>0.25</v>
      </c>
      <c r="L23">
        <v>9.0909090909090912E-2</v>
      </c>
    </row>
    <row r="24" spans="1:12" x14ac:dyDescent="0.3">
      <c r="A24" s="37">
        <v>137</v>
      </c>
      <c r="B24">
        <v>125</v>
      </c>
      <c r="C24">
        <v>34</v>
      </c>
      <c r="D24">
        <v>8</v>
      </c>
      <c r="E24" s="13">
        <v>0.91240875912408759</v>
      </c>
      <c r="I24" s="14" t="s">
        <v>95</v>
      </c>
      <c r="J24">
        <v>0.40229885057471265</v>
      </c>
      <c r="K24">
        <v>9.0909090909090912E-2</v>
      </c>
      <c r="L24" t="e">
        <v>#DIV/0!</v>
      </c>
    </row>
    <row r="25" spans="1:12" x14ac:dyDescent="0.3">
      <c r="A25" s="14" t="s">
        <v>88</v>
      </c>
      <c r="B25">
        <v>156</v>
      </c>
      <c r="C25">
        <v>43</v>
      </c>
      <c r="D25">
        <v>60</v>
      </c>
      <c r="E25" s="13">
        <v>0.94545454545454544</v>
      </c>
      <c r="I25" s="14" t="s">
        <v>97</v>
      </c>
      <c r="J25">
        <v>0.37179487179487181</v>
      </c>
      <c r="K25">
        <v>0.23255813953488372</v>
      </c>
      <c r="L25">
        <v>3.2258064516129031E-2</v>
      </c>
    </row>
    <row r="26" spans="1:12" x14ac:dyDescent="0.3">
      <c r="A26" s="37">
        <v>165</v>
      </c>
      <c r="B26">
        <v>156</v>
      </c>
      <c r="C26">
        <v>43</v>
      </c>
      <c r="D26">
        <v>60</v>
      </c>
      <c r="E26" s="13">
        <v>0.94545454545454544</v>
      </c>
      <c r="I26" s="12" t="s">
        <v>23</v>
      </c>
      <c r="J26">
        <v>0.37083811710677383</v>
      </c>
      <c r="K26">
        <v>0.15769230769230769</v>
      </c>
      <c r="L26">
        <v>5.8904109589041097E-2</v>
      </c>
    </row>
    <row r="27" spans="1:12" x14ac:dyDescent="0.3">
      <c r="A27" s="14" t="s">
        <v>90</v>
      </c>
      <c r="B27">
        <v>191</v>
      </c>
      <c r="C27">
        <v>59</v>
      </c>
      <c r="D27">
        <v>0</v>
      </c>
      <c r="E27" s="13">
        <v>0.96464646464646464</v>
      </c>
      <c r="I27"/>
      <c r="J27"/>
      <c r="K27"/>
      <c r="L27"/>
    </row>
    <row r="28" spans="1:12" x14ac:dyDescent="0.3">
      <c r="A28" s="37">
        <v>198</v>
      </c>
      <c r="B28">
        <v>191</v>
      </c>
      <c r="C28">
        <v>59</v>
      </c>
      <c r="D28">
        <v>0</v>
      </c>
      <c r="E28" s="13">
        <v>0.96464646464646464</v>
      </c>
      <c r="I28"/>
      <c r="J28"/>
      <c r="K28"/>
      <c r="L28"/>
    </row>
    <row r="29" spans="1:12" x14ac:dyDescent="0.3">
      <c r="A29" s="14" t="s">
        <v>100</v>
      </c>
      <c r="B29">
        <v>127</v>
      </c>
      <c r="C29">
        <v>36</v>
      </c>
      <c r="D29">
        <v>47</v>
      </c>
      <c r="E29" s="13">
        <v>0.94074074074074077</v>
      </c>
      <c r="I29"/>
    </row>
    <row r="30" spans="1:12" x14ac:dyDescent="0.3">
      <c r="A30" s="37">
        <v>135</v>
      </c>
      <c r="B30">
        <v>127</v>
      </c>
      <c r="C30">
        <v>36</v>
      </c>
      <c r="D30">
        <v>47</v>
      </c>
      <c r="E30" s="13">
        <v>0.94074074074074077</v>
      </c>
      <c r="I30"/>
    </row>
    <row r="31" spans="1:12" x14ac:dyDescent="0.3">
      <c r="A31" s="12" t="s">
        <v>25</v>
      </c>
      <c r="B31">
        <v>616</v>
      </c>
      <c r="C31">
        <v>143</v>
      </c>
      <c r="D31">
        <v>177</v>
      </c>
      <c r="E31" s="13">
        <v>0.95208655332302938</v>
      </c>
      <c r="I31"/>
    </row>
    <row r="32" spans="1:12" x14ac:dyDescent="0.3">
      <c r="A32" s="14" t="s">
        <v>93</v>
      </c>
      <c r="B32">
        <v>179</v>
      </c>
      <c r="C32">
        <v>54</v>
      </c>
      <c r="D32">
        <v>71</v>
      </c>
      <c r="E32" s="13">
        <v>0.9623655913978495</v>
      </c>
      <c r="I32"/>
    </row>
    <row r="33" spans="1:9" x14ac:dyDescent="0.3">
      <c r="A33" s="37">
        <v>186</v>
      </c>
      <c r="B33">
        <v>179</v>
      </c>
      <c r="C33">
        <v>54</v>
      </c>
      <c r="D33">
        <v>71</v>
      </c>
      <c r="E33" s="13">
        <v>0.9623655913978495</v>
      </c>
      <c r="I33"/>
    </row>
    <row r="34" spans="1:9" x14ac:dyDescent="0.3">
      <c r="A34" s="14" t="s">
        <v>94</v>
      </c>
      <c r="B34">
        <v>0</v>
      </c>
      <c r="C34">
        <v>0</v>
      </c>
      <c r="D34">
        <v>0</v>
      </c>
      <c r="E34" s="13" t="e">
        <v>#DIV/0!</v>
      </c>
      <c r="I34"/>
    </row>
    <row r="35" spans="1:9" x14ac:dyDescent="0.3">
      <c r="A35" s="37">
        <v>0</v>
      </c>
      <c r="B35">
        <v>0</v>
      </c>
      <c r="C35">
        <v>0</v>
      </c>
      <c r="D35">
        <v>0</v>
      </c>
      <c r="E35" s="13" t="e">
        <v>#DIV/0!</v>
      </c>
      <c r="I35"/>
    </row>
    <row r="36" spans="1:9" x14ac:dyDescent="0.3">
      <c r="A36" s="14" t="s">
        <v>92</v>
      </c>
      <c r="B36">
        <v>0</v>
      </c>
      <c r="C36">
        <v>0</v>
      </c>
      <c r="D36">
        <v>0</v>
      </c>
      <c r="E36" s="13" t="e">
        <v>#DIV/0!</v>
      </c>
      <c r="I36"/>
    </row>
    <row r="37" spans="1:9" x14ac:dyDescent="0.3">
      <c r="A37" s="37">
        <v>0</v>
      </c>
      <c r="B37">
        <v>0</v>
      </c>
      <c r="C37">
        <v>0</v>
      </c>
      <c r="D37">
        <v>0</v>
      </c>
      <c r="E37" s="13" t="e">
        <v>#DIV/0!</v>
      </c>
      <c r="I37"/>
    </row>
    <row r="38" spans="1:9" x14ac:dyDescent="0.3">
      <c r="A38" s="14" t="s">
        <v>96</v>
      </c>
      <c r="B38">
        <v>107</v>
      </c>
      <c r="C38">
        <v>24</v>
      </c>
      <c r="D38">
        <v>44</v>
      </c>
      <c r="E38" s="13">
        <v>0.92241379310344829</v>
      </c>
      <c r="I38"/>
    </row>
    <row r="39" spans="1:9" x14ac:dyDescent="0.3">
      <c r="A39" s="37">
        <v>116</v>
      </c>
      <c r="B39">
        <v>107</v>
      </c>
      <c r="C39">
        <v>24</v>
      </c>
      <c r="D39">
        <v>44</v>
      </c>
      <c r="E39" s="13">
        <v>0.92241379310344829</v>
      </c>
      <c r="I39"/>
    </row>
    <row r="40" spans="1:9" x14ac:dyDescent="0.3">
      <c r="A40" s="14" t="s">
        <v>95</v>
      </c>
      <c r="B40">
        <v>174</v>
      </c>
      <c r="C40">
        <v>22</v>
      </c>
      <c r="D40">
        <v>0</v>
      </c>
      <c r="E40" s="13">
        <v>0.95604395604395609</v>
      </c>
      <c r="I40"/>
    </row>
    <row r="41" spans="1:9" x14ac:dyDescent="0.3">
      <c r="A41" s="37">
        <v>182</v>
      </c>
      <c r="B41">
        <v>174</v>
      </c>
      <c r="C41">
        <v>22</v>
      </c>
      <c r="D41">
        <v>0</v>
      </c>
      <c r="E41" s="13">
        <v>0.95604395604395609</v>
      </c>
      <c r="I41"/>
    </row>
    <row r="42" spans="1:9" x14ac:dyDescent="0.3">
      <c r="A42" s="14" t="s">
        <v>97</v>
      </c>
      <c r="B42">
        <v>156</v>
      </c>
      <c r="C42">
        <v>43</v>
      </c>
      <c r="D42">
        <v>62</v>
      </c>
      <c r="E42" s="13">
        <v>0.95705521472392641</v>
      </c>
      <c r="I42"/>
    </row>
    <row r="43" spans="1:9" x14ac:dyDescent="0.3">
      <c r="A43" s="37">
        <v>163</v>
      </c>
      <c r="B43">
        <v>156</v>
      </c>
      <c r="C43">
        <v>43</v>
      </c>
      <c r="D43">
        <v>62</v>
      </c>
      <c r="E43" s="13">
        <v>0.95705521472392641</v>
      </c>
      <c r="I43"/>
    </row>
    <row r="44" spans="1:9" x14ac:dyDescent="0.3">
      <c r="A44" s="12" t="s">
        <v>23</v>
      </c>
      <c r="B44">
        <v>2613</v>
      </c>
      <c r="C44">
        <v>520</v>
      </c>
      <c r="D44">
        <v>730</v>
      </c>
      <c r="E44" s="13">
        <v>0.95889908256880729</v>
      </c>
      <c r="I44"/>
    </row>
    <row r="45" spans="1:9" x14ac:dyDescent="0.3">
      <c r="I45"/>
    </row>
    <row r="46" spans="1:9" x14ac:dyDescent="0.3">
      <c r="I46"/>
    </row>
    <row r="47" spans="1:9" x14ac:dyDescent="0.3">
      <c r="I47"/>
    </row>
    <row r="48" spans="1:9" x14ac:dyDescent="0.3">
      <c r="I48"/>
    </row>
    <row r="49" spans="9:9" x14ac:dyDescent="0.3">
      <c r="I49"/>
    </row>
    <row r="50" spans="9:9" x14ac:dyDescent="0.3">
      <c r="I50"/>
    </row>
    <row r="51" spans="9:9" x14ac:dyDescent="0.3">
      <c r="I51"/>
    </row>
    <row r="52" spans="9:9" x14ac:dyDescent="0.3">
      <c r="I52"/>
    </row>
    <row r="53" spans="9:9" x14ac:dyDescent="0.3">
      <c r="I53"/>
    </row>
    <row r="54" spans="9:9" x14ac:dyDescent="0.3">
      <c r="I54"/>
    </row>
    <row r="55" spans="9:9" x14ac:dyDescent="0.3">
      <c r="I55"/>
    </row>
    <row r="56" spans="9:9" x14ac:dyDescent="0.3">
      <c r="I56"/>
    </row>
    <row r="57" spans="9:9" x14ac:dyDescent="0.3">
      <c r="I57"/>
    </row>
    <row r="58" spans="9:9" x14ac:dyDescent="0.3">
      <c r="I58"/>
    </row>
    <row r="59" spans="9:9" x14ac:dyDescent="0.3">
      <c r="I59"/>
    </row>
    <row r="60" spans="9:9" x14ac:dyDescent="0.3">
      <c r="I60"/>
    </row>
    <row r="61" spans="9:9" x14ac:dyDescent="0.3">
      <c r="I61"/>
    </row>
    <row r="62" spans="9:9" x14ac:dyDescent="0.3">
      <c r="I62"/>
    </row>
    <row r="63" spans="9:9" x14ac:dyDescent="0.3">
      <c r="I63"/>
    </row>
    <row r="64" spans="9:9" x14ac:dyDescent="0.3">
      <c r="I64"/>
    </row>
    <row r="65" spans="9:9" x14ac:dyDescent="0.3">
      <c r="I65"/>
    </row>
    <row r="66" spans="9:9" x14ac:dyDescent="0.3">
      <c r="I66"/>
    </row>
    <row r="67" spans="9:9" x14ac:dyDescent="0.3">
      <c r="I67"/>
    </row>
    <row r="68" spans="9:9" x14ac:dyDescent="0.3">
      <c r="I68"/>
    </row>
    <row r="69" spans="9:9" x14ac:dyDescent="0.3">
      <c r="I69"/>
    </row>
    <row r="70" spans="9:9" x14ac:dyDescent="0.3">
      <c r="I70"/>
    </row>
    <row r="71" spans="9:9" x14ac:dyDescent="0.3">
      <c r="I71"/>
    </row>
    <row r="72" spans="9:9" x14ac:dyDescent="0.3">
      <c r="I72"/>
    </row>
    <row r="73" spans="9:9" x14ac:dyDescent="0.3">
      <c r="I73"/>
    </row>
    <row r="74" spans="9:9" x14ac:dyDescent="0.3">
      <c r="I74"/>
    </row>
    <row r="75" spans="9:9" x14ac:dyDescent="0.3">
      <c r="I75"/>
    </row>
    <row r="76" spans="9:9" x14ac:dyDescent="0.3">
      <c r="I76"/>
    </row>
    <row r="77" spans="9:9" x14ac:dyDescent="0.3">
      <c r="I77"/>
    </row>
    <row r="78" spans="9:9" x14ac:dyDescent="0.3">
      <c r="I78"/>
    </row>
    <row r="79" spans="9:9" x14ac:dyDescent="0.3">
      <c r="I79"/>
    </row>
    <row r="80" spans="9:9" x14ac:dyDescent="0.3">
      <c r="I80"/>
    </row>
    <row r="81" spans="9:9" x14ac:dyDescent="0.3">
      <c r="I81"/>
    </row>
    <row r="82" spans="9:9" x14ac:dyDescent="0.3">
      <c r="I82"/>
    </row>
    <row r="83" spans="9:9" x14ac:dyDescent="0.3">
      <c r="I83"/>
    </row>
    <row r="84" spans="9:9" x14ac:dyDescent="0.3">
      <c r="I84"/>
    </row>
    <row r="85" spans="9:9" x14ac:dyDescent="0.3">
      <c r="I85"/>
    </row>
    <row r="86" spans="9:9" x14ac:dyDescent="0.3">
      <c r="I86"/>
    </row>
    <row r="87" spans="9:9" x14ac:dyDescent="0.3">
      <c r="I87"/>
    </row>
    <row r="88" spans="9:9" x14ac:dyDescent="0.3">
      <c r="I88"/>
    </row>
    <row r="89" spans="9:9" x14ac:dyDescent="0.3">
      <c r="I89"/>
    </row>
    <row r="90" spans="9:9" x14ac:dyDescent="0.3">
      <c r="I90"/>
    </row>
    <row r="91" spans="9:9" x14ac:dyDescent="0.3">
      <c r="I91"/>
    </row>
    <row r="92" spans="9:9" x14ac:dyDescent="0.3">
      <c r="I92"/>
    </row>
    <row r="93" spans="9:9" x14ac:dyDescent="0.3">
      <c r="I93"/>
    </row>
    <row r="94" spans="9:9" x14ac:dyDescent="0.3">
      <c r="I94"/>
    </row>
    <row r="95" spans="9:9" x14ac:dyDescent="0.3">
      <c r="I95"/>
    </row>
    <row r="96" spans="9:9" x14ac:dyDescent="0.3">
      <c r="I96"/>
    </row>
    <row r="97" spans="9:9" x14ac:dyDescent="0.3">
      <c r="I97"/>
    </row>
    <row r="98" spans="9:9" x14ac:dyDescent="0.3">
      <c r="I98"/>
    </row>
    <row r="99" spans="9:9" x14ac:dyDescent="0.3">
      <c r="I99"/>
    </row>
    <row r="100" spans="9:9" x14ac:dyDescent="0.3">
      <c r="I100"/>
    </row>
    <row r="101" spans="9:9" x14ac:dyDescent="0.3">
      <c r="I101"/>
    </row>
    <row r="102" spans="9:9" x14ac:dyDescent="0.3">
      <c r="I102"/>
    </row>
    <row r="103" spans="9:9" x14ac:dyDescent="0.3">
      <c r="I103"/>
    </row>
    <row r="104" spans="9:9" x14ac:dyDescent="0.3">
      <c r="I104"/>
    </row>
    <row r="105" spans="9:9" x14ac:dyDescent="0.3">
      <c r="I105"/>
    </row>
    <row r="106" spans="9:9" x14ac:dyDescent="0.3">
      <c r="I106"/>
    </row>
    <row r="107" spans="9:9" x14ac:dyDescent="0.3">
      <c r="I107"/>
    </row>
    <row r="108" spans="9:9" x14ac:dyDescent="0.3">
      <c r="I108"/>
    </row>
    <row r="109" spans="9:9" x14ac:dyDescent="0.3">
      <c r="I109"/>
    </row>
    <row r="110" spans="9:9" x14ac:dyDescent="0.3">
      <c r="I110"/>
    </row>
    <row r="111" spans="9:9" x14ac:dyDescent="0.3">
      <c r="I111"/>
    </row>
    <row r="112" spans="9:9" x14ac:dyDescent="0.3">
      <c r="I112"/>
    </row>
    <row r="113" spans="9:9" x14ac:dyDescent="0.3">
      <c r="I113"/>
    </row>
    <row r="114" spans="9:9" x14ac:dyDescent="0.3">
      <c r="I114"/>
    </row>
    <row r="115" spans="9:9" x14ac:dyDescent="0.3">
      <c r="I115"/>
    </row>
    <row r="116" spans="9:9" x14ac:dyDescent="0.3">
      <c r="I116"/>
    </row>
    <row r="117" spans="9:9" x14ac:dyDescent="0.3">
      <c r="I117"/>
    </row>
    <row r="118" spans="9:9" x14ac:dyDescent="0.3">
      <c r="I118"/>
    </row>
    <row r="119" spans="9:9" x14ac:dyDescent="0.3">
      <c r="I119"/>
    </row>
    <row r="120" spans="9:9" x14ac:dyDescent="0.3">
      <c r="I120"/>
    </row>
    <row r="121" spans="9:9" x14ac:dyDescent="0.3">
      <c r="I121"/>
    </row>
    <row r="122" spans="9:9" x14ac:dyDescent="0.3">
      <c r="I122"/>
    </row>
    <row r="123" spans="9:9" x14ac:dyDescent="0.3">
      <c r="I123"/>
    </row>
    <row r="124" spans="9:9" x14ac:dyDescent="0.3">
      <c r="I124"/>
    </row>
    <row r="125" spans="9:9" x14ac:dyDescent="0.3">
      <c r="I125"/>
    </row>
    <row r="126" spans="9:9" x14ac:dyDescent="0.3">
      <c r="I126"/>
    </row>
    <row r="127" spans="9:9" x14ac:dyDescent="0.3">
      <c r="I127"/>
    </row>
    <row r="128" spans="9:9" x14ac:dyDescent="0.3">
      <c r="I128"/>
    </row>
    <row r="129" spans="9:9" x14ac:dyDescent="0.3">
      <c r="I129"/>
    </row>
    <row r="130" spans="9:9" x14ac:dyDescent="0.3">
      <c r="I130"/>
    </row>
    <row r="131" spans="9:9" x14ac:dyDescent="0.3">
      <c r="I131"/>
    </row>
    <row r="132" spans="9:9" x14ac:dyDescent="0.3">
      <c r="I132"/>
    </row>
    <row r="133" spans="9:9" x14ac:dyDescent="0.3">
      <c r="I133"/>
    </row>
    <row r="134" spans="9:9" x14ac:dyDescent="0.3">
      <c r="I134"/>
    </row>
    <row r="135" spans="9:9" x14ac:dyDescent="0.3">
      <c r="I135"/>
    </row>
    <row r="136" spans="9:9" x14ac:dyDescent="0.3">
      <c r="I136"/>
    </row>
    <row r="137" spans="9:9" x14ac:dyDescent="0.3">
      <c r="I137"/>
    </row>
    <row r="138" spans="9:9" x14ac:dyDescent="0.3">
      <c r="I138"/>
    </row>
    <row r="139" spans="9:9" x14ac:dyDescent="0.3">
      <c r="I139"/>
    </row>
    <row r="140" spans="9:9" x14ac:dyDescent="0.3">
      <c r="I140"/>
    </row>
    <row r="141" spans="9:9" x14ac:dyDescent="0.3">
      <c r="I141"/>
    </row>
    <row r="142" spans="9:9" x14ac:dyDescent="0.3">
      <c r="I142"/>
    </row>
    <row r="143" spans="9:9" x14ac:dyDescent="0.3">
      <c r="I143"/>
    </row>
    <row r="144" spans="9:9" x14ac:dyDescent="0.3">
      <c r="I144"/>
    </row>
    <row r="145" spans="9:9" x14ac:dyDescent="0.3">
      <c r="I145"/>
    </row>
    <row r="146" spans="9:9" x14ac:dyDescent="0.3">
      <c r="I146"/>
    </row>
    <row r="147" spans="9:9" x14ac:dyDescent="0.3">
      <c r="I147"/>
    </row>
    <row r="148" spans="9:9" x14ac:dyDescent="0.3">
      <c r="I148"/>
    </row>
    <row r="149" spans="9:9" x14ac:dyDescent="0.3">
      <c r="I149"/>
    </row>
    <row r="150" spans="9:9" x14ac:dyDescent="0.3">
      <c r="I150"/>
    </row>
    <row r="151" spans="9:9" x14ac:dyDescent="0.3">
      <c r="I151"/>
    </row>
    <row r="152" spans="9:9" x14ac:dyDescent="0.3">
      <c r="I152"/>
    </row>
    <row r="153" spans="9:9" x14ac:dyDescent="0.3">
      <c r="I153"/>
    </row>
    <row r="154" spans="9:9" x14ac:dyDescent="0.3">
      <c r="I154"/>
    </row>
    <row r="155" spans="9:9" x14ac:dyDescent="0.3">
      <c r="I155"/>
    </row>
    <row r="156" spans="9:9" x14ac:dyDescent="0.3">
      <c r="I156"/>
    </row>
    <row r="157" spans="9:9" x14ac:dyDescent="0.3">
      <c r="I157"/>
    </row>
    <row r="158" spans="9:9" x14ac:dyDescent="0.3">
      <c r="I158"/>
    </row>
    <row r="159" spans="9:9" x14ac:dyDescent="0.3">
      <c r="I159"/>
    </row>
    <row r="160" spans="9:9" x14ac:dyDescent="0.3">
      <c r="I160"/>
    </row>
    <row r="161" spans="9:9" x14ac:dyDescent="0.3">
      <c r="I161"/>
    </row>
    <row r="162" spans="9:9" x14ac:dyDescent="0.3">
      <c r="I162"/>
    </row>
    <row r="163" spans="9:9" x14ac:dyDescent="0.3">
      <c r="I163"/>
    </row>
    <row r="164" spans="9:9" x14ac:dyDescent="0.3">
      <c r="I164"/>
    </row>
    <row r="165" spans="9:9" x14ac:dyDescent="0.3">
      <c r="I165"/>
    </row>
    <row r="166" spans="9:9" x14ac:dyDescent="0.3">
      <c r="I166"/>
    </row>
    <row r="167" spans="9:9" x14ac:dyDescent="0.3">
      <c r="I167"/>
    </row>
    <row r="168" spans="9:9" x14ac:dyDescent="0.3">
      <c r="I168"/>
    </row>
    <row r="169" spans="9:9" x14ac:dyDescent="0.3">
      <c r="I169"/>
    </row>
    <row r="170" spans="9:9" x14ac:dyDescent="0.3">
      <c r="I170"/>
    </row>
    <row r="171" spans="9:9" x14ac:dyDescent="0.3">
      <c r="I171"/>
    </row>
    <row r="172" spans="9:9" x14ac:dyDescent="0.3">
      <c r="I172"/>
    </row>
    <row r="173" spans="9:9" x14ac:dyDescent="0.3">
      <c r="I173"/>
    </row>
    <row r="174" spans="9:9" x14ac:dyDescent="0.3">
      <c r="I174"/>
    </row>
    <row r="175" spans="9:9" x14ac:dyDescent="0.3">
      <c r="I175"/>
    </row>
    <row r="176" spans="9:9" x14ac:dyDescent="0.3">
      <c r="I176"/>
    </row>
    <row r="177" spans="9:9" x14ac:dyDescent="0.3">
      <c r="I177"/>
    </row>
    <row r="178" spans="9:9" x14ac:dyDescent="0.3">
      <c r="I178"/>
    </row>
    <row r="179" spans="9:9" x14ac:dyDescent="0.3">
      <c r="I179"/>
    </row>
    <row r="180" spans="9:9" x14ac:dyDescent="0.3">
      <c r="I180"/>
    </row>
    <row r="181" spans="9:9" x14ac:dyDescent="0.3">
      <c r="I181"/>
    </row>
    <row r="182" spans="9:9" x14ac:dyDescent="0.3">
      <c r="I182"/>
    </row>
    <row r="183" spans="9:9" x14ac:dyDescent="0.3">
      <c r="I183"/>
    </row>
    <row r="184" spans="9:9" x14ac:dyDescent="0.3">
      <c r="I184"/>
    </row>
    <row r="185" spans="9:9" x14ac:dyDescent="0.3">
      <c r="I185"/>
    </row>
    <row r="186" spans="9:9" x14ac:dyDescent="0.3">
      <c r="I186"/>
    </row>
    <row r="187" spans="9:9" x14ac:dyDescent="0.3">
      <c r="I187"/>
    </row>
    <row r="188" spans="9:9" x14ac:dyDescent="0.3">
      <c r="I188"/>
    </row>
    <row r="189" spans="9:9" x14ac:dyDescent="0.3">
      <c r="I189"/>
    </row>
    <row r="190" spans="9:9" x14ac:dyDescent="0.3">
      <c r="I190"/>
    </row>
    <row r="191" spans="9:9" x14ac:dyDescent="0.3">
      <c r="I191"/>
    </row>
    <row r="192" spans="9:9" x14ac:dyDescent="0.3">
      <c r="I192"/>
    </row>
    <row r="193" spans="9:9" x14ac:dyDescent="0.3">
      <c r="I193"/>
    </row>
    <row r="194" spans="9:9" x14ac:dyDescent="0.3">
      <c r="I194"/>
    </row>
    <row r="195" spans="9:9" x14ac:dyDescent="0.3">
      <c r="I195"/>
    </row>
    <row r="196" spans="9:9" x14ac:dyDescent="0.3">
      <c r="I196"/>
    </row>
    <row r="197" spans="9:9" x14ac:dyDescent="0.3">
      <c r="I197"/>
    </row>
    <row r="198" spans="9:9" x14ac:dyDescent="0.3">
      <c r="I198"/>
    </row>
    <row r="199" spans="9:9" x14ac:dyDescent="0.3">
      <c r="I199"/>
    </row>
    <row r="200" spans="9:9" x14ac:dyDescent="0.3">
      <c r="I200"/>
    </row>
    <row r="201" spans="9:9" x14ac:dyDescent="0.3">
      <c r="I201"/>
    </row>
    <row r="202" spans="9:9" x14ac:dyDescent="0.3">
      <c r="I202"/>
    </row>
    <row r="203" spans="9:9" x14ac:dyDescent="0.3">
      <c r="I203"/>
    </row>
    <row r="204" spans="9:9" x14ac:dyDescent="0.3">
      <c r="I204"/>
    </row>
    <row r="205" spans="9:9" x14ac:dyDescent="0.3">
      <c r="I205"/>
    </row>
    <row r="206" spans="9:9" x14ac:dyDescent="0.3">
      <c r="I206"/>
    </row>
    <row r="207" spans="9:9" x14ac:dyDescent="0.3">
      <c r="I207"/>
    </row>
    <row r="208" spans="9:9" x14ac:dyDescent="0.3">
      <c r="I208"/>
    </row>
    <row r="209" spans="9:9" x14ac:dyDescent="0.3">
      <c r="I209"/>
    </row>
    <row r="210" spans="9:9" x14ac:dyDescent="0.3">
      <c r="I210"/>
    </row>
    <row r="211" spans="9:9" x14ac:dyDescent="0.3">
      <c r="I211"/>
    </row>
    <row r="212" spans="9:9" x14ac:dyDescent="0.3">
      <c r="I212"/>
    </row>
    <row r="213" spans="9:9" x14ac:dyDescent="0.3">
      <c r="I213"/>
    </row>
    <row r="214" spans="9:9" x14ac:dyDescent="0.3">
      <c r="I214"/>
    </row>
    <row r="215" spans="9:9" x14ac:dyDescent="0.3">
      <c r="I215"/>
    </row>
    <row r="216" spans="9:9" x14ac:dyDescent="0.3">
      <c r="I216"/>
    </row>
    <row r="217" spans="9:9" x14ac:dyDescent="0.3">
      <c r="I217"/>
    </row>
    <row r="218" spans="9:9" x14ac:dyDescent="0.3">
      <c r="I218"/>
    </row>
    <row r="219" spans="9:9" x14ac:dyDescent="0.3">
      <c r="I219"/>
    </row>
    <row r="220" spans="9:9" x14ac:dyDescent="0.3">
      <c r="I220"/>
    </row>
    <row r="221" spans="9:9" x14ac:dyDescent="0.3">
      <c r="I221"/>
    </row>
    <row r="222" spans="9:9" x14ac:dyDescent="0.3">
      <c r="I222"/>
    </row>
    <row r="223" spans="9:9" x14ac:dyDescent="0.3">
      <c r="I223"/>
    </row>
    <row r="224" spans="9:9" x14ac:dyDescent="0.3">
      <c r="I224"/>
    </row>
    <row r="225" spans="9:9" x14ac:dyDescent="0.3">
      <c r="I225"/>
    </row>
    <row r="226" spans="9:9" x14ac:dyDescent="0.3">
      <c r="I226"/>
    </row>
    <row r="227" spans="9:9" x14ac:dyDescent="0.3">
      <c r="I227"/>
    </row>
    <row r="228" spans="9:9" x14ac:dyDescent="0.3">
      <c r="I228"/>
    </row>
    <row r="229" spans="9:9" x14ac:dyDescent="0.3">
      <c r="I229"/>
    </row>
    <row r="230" spans="9:9" x14ac:dyDescent="0.3">
      <c r="I230"/>
    </row>
    <row r="231" spans="9:9" x14ac:dyDescent="0.3">
      <c r="I231"/>
    </row>
    <row r="232" spans="9:9" x14ac:dyDescent="0.3">
      <c r="I232"/>
    </row>
    <row r="233" spans="9:9" x14ac:dyDescent="0.3">
      <c r="I233"/>
    </row>
    <row r="234" spans="9:9" x14ac:dyDescent="0.3">
      <c r="I234"/>
    </row>
    <row r="235" spans="9:9" x14ac:dyDescent="0.3">
      <c r="I235"/>
    </row>
    <row r="236" spans="9:9" x14ac:dyDescent="0.3">
      <c r="I236"/>
    </row>
    <row r="237" spans="9:9" x14ac:dyDescent="0.3">
      <c r="I237"/>
    </row>
    <row r="238" spans="9:9" x14ac:dyDescent="0.3">
      <c r="I238"/>
    </row>
    <row r="239" spans="9:9" x14ac:dyDescent="0.3">
      <c r="I239"/>
    </row>
    <row r="240" spans="9:9" x14ac:dyDescent="0.3">
      <c r="I240"/>
    </row>
    <row r="241" spans="9:9" x14ac:dyDescent="0.3">
      <c r="I241"/>
    </row>
    <row r="242" spans="9:9" x14ac:dyDescent="0.3">
      <c r="I242"/>
    </row>
    <row r="243" spans="9:9" x14ac:dyDescent="0.3">
      <c r="I243"/>
    </row>
    <row r="244" spans="9:9" x14ac:dyDescent="0.3">
      <c r="I244"/>
    </row>
    <row r="245" spans="9:9" x14ac:dyDescent="0.3">
      <c r="I245"/>
    </row>
    <row r="246" spans="9:9" x14ac:dyDescent="0.3">
      <c r="I246"/>
    </row>
    <row r="247" spans="9:9" x14ac:dyDescent="0.3">
      <c r="I247"/>
    </row>
    <row r="248" spans="9:9" x14ac:dyDescent="0.3">
      <c r="I248"/>
    </row>
    <row r="249" spans="9:9" x14ac:dyDescent="0.3">
      <c r="I249"/>
    </row>
    <row r="250" spans="9:9" x14ac:dyDescent="0.3">
      <c r="I250"/>
    </row>
    <row r="251" spans="9:9" x14ac:dyDescent="0.3">
      <c r="I251"/>
    </row>
    <row r="252" spans="9:9" x14ac:dyDescent="0.3">
      <c r="I252"/>
    </row>
    <row r="253" spans="9:9" x14ac:dyDescent="0.3">
      <c r="I253"/>
    </row>
    <row r="254" spans="9:9" x14ac:dyDescent="0.3">
      <c r="I254"/>
    </row>
    <row r="255" spans="9:9" x14ac:dyDescent="0.3">
      <c r="I255"/>
    </row>
    <row r="256" spans="9:9" x14ac:dyDescent="0.3">
      <c r="I256"/>
    </row>
    <row r="257" spans="9:9" x14ac:dyDescent="0.3">
      <c r="I257"/>
    </row>
    <row r="258" spans="9:9" x14ac:dyDescent="0.3">
      <c r="I258"/>
    </row>
    <row r="259" spans="9:9" x14ac:dyDescent="0.3">
      <c r="I259"/>
    </row>
    <row r="260" spans="9:9" x14ac:dyDescent="0.3">
      <c r="I260"/>
    </row>
    <row r="261" spans="9:9" x14ac:dyDescent="0.3">
      <c r="I261"/>
    </row>
    <row r="262" spans="9:9" x14ac:dyDescent="0.3">
      <c r="I262"/>
    </row>
    <row r="263" spans="9:9" x14ac:dyDescent="0.3">
      <c r="I263"/>
    </row>
    <row r="264" spans="9:9" x14ac:dyDescent="0.3">
      <c r="I264"/>
    </row>
    <row r="265" spans="9:9" x14ac:dyDescent="0.3">
      <c r="I265"/>
    </row>
    <row r="266" spans="9:9" x14ac:dyDescent="0.3">
      <c r="I266"/>
    </row>
    <row r="267" spans="9:9" x14ac:dyDescent="0.3">
      <c r="I267"/>
    </row>
    <row r="268" spans="9:9" x14ac:dyDescent="0.3">
      <c r="I268"/>
    </row>
    <row r="269" spans="9:9" x14ac:dyDescent="0.3">
      <c r="I269"/>
    </row>
    <row r="270" spans="9:9" x14ac:dyDescent="0.3">
      <c r="I270"/>
    </row>
    <row r="271" spans="9:9" x14ac:dyDescent="0.3">
      <c r="I271"/>
    </row>
    <row r="272" spans="9:9" x14ac:dyDescent="0.3">
      <c r="I272"/>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9CECD-2557-454F-9199-55D69630B0CA}">
  <sheetPr codeName="Sheet3"/>
  <dimension ref="A5:X272"/>
  <sheetViews>
    <sheetView topLeftCell="A27" zoomScale="60" zoomScaleNormal="60" workbookViewId="0">
      <selection activeCell="K92" sqref="K76:AK92"/>
    </sheetView>
  </sheetViews>
  <sheetFormatPr defaultRowHeight="14.4" x14ac:dyDescent="0.3"/>
  <cols>
    <col min="1" max="1" width="14" bestFit="1" customWidth="1"/>
    <col min="2" max="2" width="10.33203125" bestFit="1" customWidth="1"/>
    <col min="3" max="3" width="10.6640625" bestFit="1" customWidth="1"/>
    <col min="4" max="4" width="10" bestFit="1" customWidth="1"/>
    <col min="5" max="5" width="20.5546875" bestFit="1" customWidth="1"/>
    <col min="6" max="7" width="27.6640625" customWidth="1"/>
    <col min="8" max="8" width="16.44140625" customWidth="1"/>
    <col min="9" max="9" width="14" style="15" bestFit="1" customWidth="1"/>
    <col min="10" max="12" width="12.33203125" style="15" bestFit="1" customWidth="1"/>
    <col min="13" max="16" width="16.44140625" bestFit="1" customWidth="1"/>
    <col min="17" max="29" width="3" bestFit="1" customWidth="1"/>
    <col min="30" max="31" width="4" bestFit="1" customWidth="1"/>
    <col min="32" max="37" width="3" bestFit="1" customWidth="1"/>
    <col min="38" max="38" width="4" bestFit="1" customWidth="1"/>
    <col min="39" max="44" width="3" bestFit="1" customWidth="1"/>
    <col min="45" max="47" width="4" bestFit="1" customWidth="1"/>
    <col min="48" max="48" width="9.5546875" bestFit="1" customWidth="1"/>
    <col min="49" max="50" width="2" bestFit="1" customWidth="1"/>
    <col min="51" max="51" width="3" bestFit="1" customWidth="1"/>
    <col min="52" max="53" width="2" bestFit="1" customWidth="1"/>
    <col min="54" max="87" width="3" bestFit="1" customWidth="1"/>
    <col min="88" max="90" width="4" bestFit="1" customWidth="1"/>
    <col min="91" max="91" width="10.44140625" bestFit="1" customWidth="1"/>
    <col min="92" max="93" width="2" bestFit="1" customWidth="1"/>
    <col min="94" max="94" width="3" bestFit="1" customWidth="1"/>
    <col min="95" max="96" width="2" bestFit="1" customWidth="1"/>
    <col min="97" max="116" width="3" bestFit="1" customWidth="1"/>
    <col min="117" max="117" width="4" bestFit="1" customWidth="1"/>
    <col min="118" max="130" width="3" bestFit="1" customWidth="1"/>
    <col min="131" max="133" width="4" bestFit="1" customWidth="1"/>
    <col min="134" max="134" width="10.44140625" bestFit="1" customWidth="1"/>
    <col min="135" max="135" width="12.44140625" bestFit="1" customWidth="1"/>
    <col min="136" max="136" width="7.5546875" bestFit="1" customWidth="1"/>
    <col min="137" max="137" width="12.44140625" bestFit="1" customWidth="1"/>
    <col min="138" max="138" width="7.5546875" bestFit="1" customWidth="1"/>
    <col min="139" max="139" width="7.44140625" bestFit="1" customWidth="1"/>
    <col min="140" max="140" width="7.5546875" bestFit="1" customWidth="1"/>
    <col min="141" max="142" width="12.44140625" bestFit="1" customWidth="1"/>
    <col min="143" max="143" width="7.5546875" bestFit="1" customWidth="1"/>
    <col min="144" max="148" width="12.44140625" bestFit="1" customWidth="1"/>
    <col min="149" max="149" width="11" bestFit="1" customWidth="1"/>
    <col min="150" max="152" width="12.44140625" bestFit="1" customWidth="1"/>
    <col min="153" max="153" width="7.5546875" bestFit="1" customWidth="1"/>
    <col min="154" max="161" width="12.44140625" bestFit="1" customWidth="1"/>
    <col min="162" max="162" width="11" bestFit="1" customWidth="1"/>
    <col min="163" max="163" width="7.5546875" bestFit="1" customWidth="1"/>
    <col min="164" max="167" width="12.44140625" bestFit="1" customWidth="1"/>
    <col min="168" max="168" width="7.5546875" bestFit="1" customWidth="1"/>
    <col min="169" max="176" width="12.44140625" bestFit="1" customWidth="1"/>
    <col min="177" max="179" width="7.5546875" bestFit="1" customWidth="1"/>
    <col min="180" max="180" width="7.44140625" bestFit="1" customWidth="1"/>
    <col min="181" max="187" width="7.5546875" bestFit="1" customWidth="1"/>
    <col min="188" max="189" width="7.44140625" bestFit="1" customWidth="1"/>
    <col min="190" max="195" width="7.5546875" bestFit="1" customWidth="1"/>
    <col min="196" max="196" width="12.44140625" bestFit="1" customWidth="1"/>
    <col min="197" max="198" width="7.5546875" bestFit="1" customWidth="1"/>
    <col min="199" max="199" width="12.44140625" bestFit="1" customWidth="1"/>
    <col min="200" max="201" width="7.5546875" bestFit="1" customWidth="1"/>
    <col min="202" max="203" width="12.44140625" bestFit="1" customWidth="1"/>
    <col min="204" max="206" width="7.5546875" bestFit="1" customWidth="1"/>
    <col min="207" max="207" width="12.44140625" bestFit="1" customWidth="1"/>
    <col min="208" max="209" width="7.5546875" bestFit="1" customWidth="1"/>
    <col min="210" max="213" width="12.44140625" bestFit="1" customWidth="1"/>
    <col min="214" max="216" width="7.5546875" bestFit="1" customWidth="1"/>
    <col min="217" max="217" width="11" bestFit="1" customWidth="1"/>
    <col min="218" max="218" width="7.5546875" bestFit="1" customWidth="1"/>
    <col min="219" max="219" width="12.44140625" bestFit="1" customWidth="1"/>
    <col min="220" max="220" width="7.5546875" bestFit="1" customWidth="1"/>
    <col min="221" max="221" width="12.44140625" bestFit="1" customWidth="1"/>
    <col min="222" max="222" width="7.5546875" bestFit="1" customWidth="1"/>
    <col min="223" max="223" width="12.44140625" bestFit="1" customWidth="1"/>
    <col min="224" max="227" width="7.5546875" bestFit="1" customWidth="1"/>
    <col min="228" max="228" width="12.44140625" bestFit="1" customWidth="1"/>
    <col min="229" max="229" width="7.5546875" bestFit="1" customWidth="1"/>
    <col min="230" max="230" width="12.44140625" bestFit="1" customWidth="1"/>
    <col min="231" max="231" width="7.44140625" bestFit="1" customWidth="1"/>
    <col min="232" max="234" width="12.44140625" bestFit="1" customWidth="1"/>
    <col min="235" max="235" width="7.5546875" bestFit="1" customWidth="1"/>
    <col min="236" max="238" width="12.44140625" bestFit="1" customWidth="1"/>
    <col min="239" max="241" width="7.5546875" bestFit="1" customWidth="1"/>
    <col min="242" max="242" width="12.44140625" bestFit="1" customWidth="1"/>
    <col min="243" max="244" width="7.5546875" bestFit="1" customWidth="1"/>
    <col min="245" max="246" width="12.44140625" bestFit="1" customWidth="1"/>
    <col min="247" max="247" width="7.5546875" bestFit="1" customWidth="1"/>
    <col min="248" max="248" width="12.44140625" bestFit="1" customWidth="1"/>
    <col min="249" max="249" width="7.5546875" bestFit="1" customWidth="1"/>
    <col min="250" max="250" width="12.44140625" bestFit="1" customWidth="1"/>
    <col min="251" max="252" width="7.5546875" bestFit="1" customWidth="1"/>
    <col min="253" max="253" width="7.44140625" bestFit="1" customWidth="1"/>
    <col min="254" max="257" width="12.44140625" bestFit="1" customWidth="1"/>
    <col min="258" max="259" width="7.5546875" bestFit="1" customWidth="1"/>
    <col min="260" max="260" width="12.44140625" bestFit="1" customWidth="1"/>
    <col min="261" max="261" width="7.5546875" bestFit="1" customWidth="1"/>
    <col min="262" max="262" width="12.44140625" bestFit="1" customWidth="1"/>
    <col min="263" max="263" width="10.44140625" bestFit="1" customWidth="1"/>
    <col min="264" max="265" width="7.5546875" bestFit="1" customWidth="1"/>
    <col min="266" max="266" width="7.44140625" bestFit="1" customWidth="1"/>
    <col min="267" max="267" width="12.44140625" bestFit="1" customWidth="1"/>
    <col min="268" max="268" width="7.44140625" bestFit="1" customWidth="1"/>
    <col min="269" max="271" width="12.44140625" bestFit="1" customWidth="1"/>
    <col min="272" max="272" width="7.5546875" bestFit="1" customWidth="1"/>
    <col min="273" max="275" width="12.44140625" bestFit="1" customWidth="1"/>
    <col min="276" max="276" width="7.44140625" bestFit="1" customWidth="1"/>
    <col min="277" max="277" width="12.44140625" bestFit="1" customWidth="1"/>
    <col min="278" max="278" width="7.5546875" bestFit="1" customWidth="1"/>
    <col min="279" max="281" width="12.44140625" bestFit="1" customWidth="1"/>
    <col min="282" max="283" width="7.5546875" bestFit="1" customWidth="1"/>
    <col min="284" max="285" width="12.44140625" bestFit="1" customWidth="1"/>
    <col min="286" max="286" width="7.5546875" bestFit="1" customWidth="1"/>
    <col min="287" max="290" width="12.44140625" bestFit="1" customWidth="1"/>
    <col min="291" max="292" width="7.5546875" bestFit="1" customWidth="1"/>
    <col min="293" max="293" width="7.44140625" bestFit="1" customWidth="1"/>
    <col min="294" max="294" width="12.44140625" bestFit="1" customWidth="1"/>
    <col min="295" max="295" width="11" bestFit="1" customWidth="1"/>
    <col min="296" max="296" width="12.44140625" bestFit="1" customWidth="1"/>
    <col min="297" max="297" width="7.5546875" bestFit="1" customWidth="1"/>
    <col min="298" max="298" width="12.44140625" bestFit="1" customWidth="1"/>
    <col min="299" max="300" width="7.5546875" bestFit="1" customWidth="1"/>
    <col min="301" max="301" width="12.44140625" bestFit="1" customWidth="1"/>
    <col min="302" max="302" width="7.5546875" bestFit="1" customWidth="1"/>
    <col min="303" max="304" width="12.44140625" bestFit="1" customWidth="1"/>
    <col min="305" max="305" width="11" bestFit="1" customWidth="1"/>
    <col min="306" max="307" width="14.5546875" bestFit="1" customWidth="1"/>
    <col min="308" max="309" width="15.44140625" bestFit="1" customWidth="1"/>
    <col min="310" max="310" width="12.5546875" bestFit="1" customWidth="1"/>
    <col min="311" max="311" width="12.44140625" bestFit="1" customWidth="1"/>
    <col min="312" max="312" width="15" bestFit="1" customWidth="1"/>
  </cols>
  <sheetData>
    <row r="5" spans="1:12" x14ac:dyDescent="0.3">
      <c r="A5" s="11" t="s">
        <v>0</v>
      </c>
      <c r="B5" t="s">
        <v>139</v>
      </c>
      <c r="C5" t="s">
        <v>143</v>
      </c>
      <c r="D5" t="s">
        <v>3</v>
      </c>
      <c r="E5" t="s">
        <v>147</v>
      </c>
      <c r="I5" s="11" t="s">
        <v>0</v>
      </c>
      <c r="J5" t="s">
        <v>148</v>
      </c>
      <c r="K5" t="s">
        <v>145</v>
      </c>
      <c r="L5" t="s">
        <v>146</v>
      </c>
    </row>
    <row r="6" spans="1:12" x14ac:dyDescent="0.3">
      <c r="A6" s="12" t="s">
        <v>22</v>
      </c>
      <c r="B6">
        <v>1142</v>
      </c>
      <c r="C6">
        <v>191</v>
      </c>
      <c r="D6">
        <v>312</v>
      </c>
      <c r="E6" s="13">
        <v>0.96452702702702697</v>
      </c>
      <c r="F6" s="13"/>
      <c r="G6" s="13"/>
      <c r="I6" s="12" t="s">
        <v>22</v>
      </c>
      <c r="J6" s="13">
        <v>0.2574430823117338</v>
      </c>
      <c r="K6" s="13">
        <v>3.1413612565445025E-2</v>
      </c>
      <c r="L6" s="13">
        <v>2.2435897435897436E-2</v>
      </c>
    </row>
    <row r="7" spans="1:12" x14ac:dyDescent="0.3">
      <c r="A7" s="14" t="s">
        <v>93</v>
      </c>
      <c r="B7">
        <v>102</v>
      </c>
      <c r="C7">
        <v>34</v>
      </c>
      <c r="D7">
        <v>34</v>
      </c>
      <c r="E7" s="13">
        <v>0.99029126213592233</v>
      </c>
      <c r="F7" s="13"/>
      <c r="G7" s="13"/>
      <c r="I7" s="14" t="s">
        <v>93</v>
      </c>
      <c r="J7">
        <v>0.33333333333333331</v>
      </c>
      <c r="K7">
        <v>0</v>
      </c>
      <c r="L7">
        <v>0</v>
      </c>
    </row>
    <row r="8" spans="1:12" x14ac:dyDescent="0.3">
      <c r="A8" s="37">
        <v>103</v>
      </c>
      <c r="B8">
        <v>102</v>
      </c>
      <c r="C8">
        <v>34</v>
      </c>
      <c r="D8">
        <v>34</v>
      </c>
      <c r="E8" s="13">
        <v>0.99029126213592233</v>
      </c>
      <c r="F8" s="13"/>
      <c r="G8" s="13"/>
      <c r="I8" s="14" t="s">
        <v>94</v>
      </c>
      <c r="J8">
        <v>0.24210526315789474</v>
      </c>
      <c r="K8">
        <v>0</v>
      </c>
      <c r="L8">
        <v>4.3478260869565216E-2</v>
      </c>
    </row>
    <row r="9" spans="1:12" x14ac:dyDescent="0.3">
      <c r="A9" s="14" t="s">
        <v>94</v>
      </c>
      <c r="B9">
        <v>95</v>
      </c>
      <c r="C9">
        <v>22</v>
      </c>
      <c r="D9">
        <v>23</v>
      </c>
      <c r="E9" s="13">
        <v>1</v>
      </c>
      <c r="F9" s="13"/>
      <c r="G9" s="13"/>
      <c r="I9" s="14" t="s">
        <v>92</v>
      </c>
      <c r="J9">
        <v>0.23711340206185566</v>
      </c>
      <c r="K9">
        <v>4.5454545454545456E-2</v>
      </c>
      <c r="L9">
        <v>0</v>
      </c>
    </row>
    <row r="10" spans="1:12" x14ac:dyDescent="0.3">
      <c r="A10" s="37">
        <v>95</v>
      </c>
      <c r="B10">
        <v>95</v>
      </c>
      <c r="C10">
        <v>22</v>
      </c>
      <c r="D10">
        <v>23</v>
      </c>
      <c r="E10" s="13">
        <v>1</v>
      </c>
      <c r="F10" s="13"/>
      <c r="G10" s="13"/>
      <c r="I10" s="14" t="s">
        <v>96</v>
      </c>
      <c r="J10">
        <v>0.21739130434782608</v>
      </c>
      <c r="K10">
        <v>0.1</v>
      </c>
      <c r="L10">
        <v>0</v>
      </c>
    </row>
    <row r="11" spans="1:12" x14ac:dyDescent="0.3">
      <c r="A11" s="14" t="s">
        <v>92</v>
      </c>
      <c r="B11">
        <v>97</v>
      </c>
      <c r="C11">
        <v>22</v>
      </c>
      <c r="D11">
        <v>23</v>
      </c>
      <c r="E11" s="13">
        <v>1</v>
      </c>
      <c r="F11" s="13"/>
      <c r="G11" s="13"/>
      <c r="I11" s="14" t="s">
        <v>95</v>
      </c>
      <c r="J11">
        <v>0.30208333333333331</v>
      </c>
      <c r="K11" t="e">
        <v>#DIV/0!</v>
      </c>
      <c r="L11">
        <v>0</v>
      </c>
    </row>
    <row r="12" spans="1:12" x14ac:dyDescent="0.3">
      <c r="A12" s="37">
        <v>97</v>
      </c>
      <c r="B12">
        <v>97</v>
      </c>
      <c r="C12">
        <v>22</v>
      </c>
      <c r="D12">
        <v>23</v>
      </c>
      <c r="E12" s="13">
        <v>1</v>
      </c>
      <c r="F12" s="13"/>
      <c r="G12" s="13"/>
      <c r="I12" s="14" t="s">
        <v>97</v>
      </c>
      <c r="J12">
        <v>0.26229508196721313</v>
      </c>
      <c r="K12" t="e">
        <v>#DIV/0!</v>
      </c>
      <c r="L12">
        <v>3.125E-2</v>
      </c>
    </row>
    <row r="13" spans="1:12" x14ac:dyDescent="0.3">
      <c r="A13" s="14" t="s">
        <v>96</v>
      </c>
      <c r="B13">
        <v>92</v>
      </c>
      <c r="C13">
        <v>20</v>
      </c>
      <c r="D13">
        <v>20</v>
      </c>
      <c r="E13" s="13">
        <v>0.90196078431372551</v>
      </c>
      <c r="F13" s="13"/>
      <c r="G13" s="13"/>
      <c r="I13" s="14" t="s">
        <v>98</v>
      </c>
      <c r="J13">
        <v>0.234375</v>
      </c>
      <c r="K13" t="e">
        <v>#DIV/0!</v>
      </c>
      <c r="L13">
        <v>2.4390243902439025E-2</v>
      </c>
    </row>
    <row r="14" spans="1:12" x14ac:dyDescent="0.3">
      <c r="A14" s="37">
        <v>102</v>
      </c>
      <c r="B14">
        <v>92</v>
      </c>
      <c r="C14">
        <v>20</v>
      </c>
      <c r="D14">
        <v>20</v>
      </c>
      <c r="E14" s="13">
        <v>0.90196078431372551</v>
      </c>
      <c r="F14" s="13"/>
      <c r="G14" s="13"/>
      <c r="I14" s="14" t="s">
        <v>99</v>
      </c>
      <c r="J14">
        <v>0.22222222222222221</v>
      </c>
      <c r="K14">
        <v>0</v>
      </c>
      <c r="L14">
        <v>0</v>
      </c>
    </row>
    <row r="15" spans="1:12" x14ac:dyDescent="0.3">
      <c r="A15" s="14" t="s">
        <v>95</v>
      </c>
      <c r="B15">
        <v>96</v>
      </c>
      <c r="C15">
        <v>0</v>
      </c>
      <c r="D15">
        <v>29</v>
      </c>
      <c r="E15" s="13">
        <v>0.97959183673469385</v>
      </c>
      <c r="F15" s="13"/>
      <c r="G15" s="13"/>
      <c r="I15" s="14" t="s">
        <v>91</v>
      </c>
      <c r="J15">
        <v>0.2087912087912088</v>
      </c>
      <c r="K15">
        <v>5.2631578947368418E-2</v>
      </c>
      <c r="L15">
        <v>5.2631578947368418E-2</v>
      </c>
    </row>
    <row r="16" spans="1:12" x14ac:dyDescent="0.3">
      <c r="A16" s="37">
        <v>98</v>
      </c>
      <c r="B16">
        <v>96</v>
      </c>
      <c r="C16">
        <v>0</v>
      </c>
      <c r="D16">
        <v>29</v>
      </c>
      <c r="E16" s="13">
        <v>0.97959183673469385</v>
      </c>
      <c r="F16" s="13"/>
      <c r="G16" s="13"/>
      <c r="I16" s="14" t="s">
        <v>88</v>
      </c>
      <c r="J16">
        <v>0.21686746987951808</v>
      </c>
      <c r="K16">
        <v>0.05</v>
      </c>
      <c r="L16">
        <v>0</v>
      </c>
    </row>
    <row r="17" spans="1:12" x14ac:dyDescent="0.3">
      <c r="A17" s="14" t="s">
        <v>97</v>
      </c>
      <c r="B17">
        <v>122</v>
      </c>
      <c r="C17">
        <v>0</v>
      </c>
      <c r="D17">
        <v>32</v>
      </c>
      <c r="E17" s="13">
        <v>0.99186991869918695</v>
      </c>
      <c r="F17" s="13"/>
      <c r="G17" s="13"/>
      <c r="I17" s="14" t="s">
        <v>90</v>
      </c>
      <c r="J17">
        <v>0.30864197530864196</v>
      </c>
      <c r="K17">
        <v>0</v>
      </c>
      <c r="L17">
        <v>3.8461538461538464E-2</v>
      </c>
    </row>
    <row r="18" spans="1:12" x14ac:dyDescent="0.3">
      <c r="A18" s="37">
        <v>123</v>
      </c>
      <c r="B18">
        <v>122</v>
      </c>
      <c r="C18">
        <v>0</v>
      </c>
      <c r="D18">
        <v>32</v>
      </c>
      <c r="E18" s="13">
        <v>0.99186991869918695</v>
      </c>
      <c r="F18" s="13"/>
      <c r="G18" s="13"/>
      <c r="I18" s="14" t="s">
        <v>100</v>
      </c>
      <c r="J18">
        <v>0.3108108108108108</v>
      </c>
      <c r="K18">
        <v>4.3478260869565216E-2</v>
      </c>
      <c r="L18">
        <v>8.6956521739130432E-2</v>
      </c>
    </row>
    <row r="19" spans="1:12" x14ac:dyDescent="0.3">
      <c r="A19" s="14" t="s">
        <v>98</v>
      </c>
      <c r="B19">
        <v>128</v>
      </c>
      <c r="C19">
        <v>0</v>
      </c>
      <c r="D19">
        <v>41</v>
      </c>
      <c r="E19" s="13">
        <v>0.86486486486486491</v>
      </c>
      <c r="F19" s="13"/>
      <c r="G19" s="13"/>
      <c r="I19" s="12" t="s">
        <v>25</v>
      </c>
      <c r="J19">
        <v>0.29903536977491962</v>
      </c>
      <c r="K19">
        <v>2.0618556701030927E-2</v>
      </c>
      <c r="L19">
        <v>4.9019607843137254E-2</v>
      </c>
    </row>
    <row r="20" spans="1:12" x14ac:dyDescent="0.3">
      <c r="A20" s="37">
        <v>148</v>
      </c>
      <c r="B20">
        <v>128</v>
      </c>
      <c r="C20">
        <v>0</v>
      </c>
      <c r="D20">
        <v>41</v>
      </c>
      <c r="E20" s="13">
        <v>0.86486486486486491</v>
      </c>
      <c r="I20" s="14" t="s">
        <v>93</v>
      </c>
      <c r="J20">
        <v>0.33695652173913043</v>
      </c>
      <c r="K20">
        <v>0</v>
      </c>
      <c r="L20">
        <v>2.7027027027027029E-2</v>
      </c>
    </row>
    <row r="21" spans="1:12" x14ac:dyDescent="0.3">
      <c r="A21" s="14" t="s">
        <v>99</v>
      </c>
      <c r="B21">
        <v>81</v>
      </c>
      <c r="C21">
        <v>7</v>
      </c>
      <c r="D21">
        <v>18</v>
      </c>
      <c r="E21" s="13">
        <v>0.98780487804878048</v>
      </c>
      <c r="I21" s="14" t="s">
        <v>94</v>
      </c>
      <c r="J21">
        <v>0.3125</v>
      </c>
      <c r="K21">
        <v>0</v>
      </c>
      <c r="L21">
        <v>0.3</v>
      </c>
    </row>
    <row r="22" spans="1:12" x14ac:dyDescent="0.3">
      <c r="A22" s="37">
        <v>82</v>
      </c>
      <c r="B22">
        <v>81</v>
      </c>
      <c r="C22">
        <v>7</v>
      </c>
      <c r="D22">
        <v>18</v>
      </c>
      <c r="E22" s="13">
        <v>0.98780487804878048</v>
      </c>
      <c r="I22" s="14" t="s">
        <v>92</v>
      </c>
      <c r="J22">
        <v>0.25</v>
      </c>
      <c r="K22">
        <v>0</v>
      </c>
      <c r="L22">
        <v>0</v>
      </c>
    </row>
    <row r="23" spans="1:12" x14ac:dyDescent="0.3">
      <c r="A23" s="14" t="s">
        <v>91</v>
      </c>
      <c r="B23">
        <v>91</v>
      </c>
      <c r="C23">
        <v>19</v>
      </c>
      <c r="D23">
        <v>19</v>
      </c>
      <c r="E23" s="13">
        <v>1</v>
      </c>
      <c r="I23" s="14" t="s">
        <v>96</v>
      </c>
      <c r="J23">
        <v>0.23529411764705882</v>
      </c>
      <c r="K23">
        <v>0</v>
      </c>
      <c r="L23">
        <v>0.05</v>
      </c>
    </row>
    <row r="24" spans="1:12" x14ac:dyDescent="0.3">
      <c r="A24" s="37">
        <v>91</v>
      </c>
      <c r="B24">
        <v>91</v>
      </c>
      <c r="C24">
        <v>19</v>
      </c>
      <c r="D24">
        <v>19</v>
      </c>
      <c r="E24" s="13">
        <v>1</v>
      </c>
      <c r="I24" s="14" t="s">
        <v>95</v>
      </c>
      <c r="J24">
        <v>0.3380281690140845</v>
      </c>
      <c r="K24">
        <v>8.6956521739130432E-2</v>
      </c>
      <c r="L24">
        <v>0</v>
      </c>
    </row>
    <row r="25" spans="1:12" x14ac:dyDescent="0.3">
      <c r="A25" s="14" t="s">
        <v>88</v>
      </c>
      <c r="B25">
        <v>83</v>
      </c>
      <c r="C25">
        <v>20</v>
      </c>
      <c r="D25">
        <v>24</v>
      </c>
      <c r="E25" s="13">
        <v>0.95402298850574707</v>
      </c>
      <c r="I25" s="12" t="s">
        <v>23</v>
      </c>
      <c r="J25">
        <v>0.2663454920853407</v>
      </c>
      <c r="K25">
        <v>2.7777777777777776E-2</v>
      </c>
      <c r="L25">
        <v>2.8985507246376812E-2</v>
      </c>
    </row>
    <row r="26" spans="1:12" x14ac:dyDescent="0.3">
      <c r="A26" s="37">
        <v>87</v>
      </c>
      <c r="B26">
        <v>83</v>
      </c>
      <c r="C26">
        <v>20</v>
      </c>
      <c r="D26">
        <v>24</v>
      </c>
      <c r="E26" s="13">
        <v>0.95402298850574707</v>
      </c>
      <c r="I26"/>
    </row>
    <row r="27" spans="1:12" x14ac:dyDescent="0.3">
      <c r="A27" s="14" t="s">
        <v>90</v>
      </c>
      <c r="B27">
        <v>81</v>
      </c>
      <c r="C27">
        <v>24</v>
      </c>
      <c r="D27">
        <v>26</v>
      </c>
      <c r="E27" s="13">
        <v>0.9642857142857143</v>
      </c>
      <c r="I27"/>
    </row>
    <row r="28" spans="1:12" x14ac:dyDescent="0.3">
      <c r="A28" s="37">
        <v>84</v>
      </c>
      <c r="B28">
        <v>81</v>
      </c>
      <c r="C28">
        <v>24</v>
      </c>
      <c r="D28">
        <v>26</v>
      </c>
      <c r="E28" s="13">
        <v>0.9642857142857143</v>
      </c>
      <c r="I28"/>
    </row>
    <row r="29" spans="1:12" x14ac:dyDescent="0.3">
      <c r="A29" s="14" t="s">
        <v>100</v>
      </c>
      <c r="B29">
        <v>74</v>
      </c>
      <c r="C29">
        <v>23</v>
      </c>
      <c r="D29">
        <v>23</v>
      </c>
      <c r="E29" s="13">
        <v>1</v>
      </c>
      <c r="I29"/>
    </row>
    <row r="30" spans="1:12" x14ac:dyDescent="0.3">
      <c r="A30" s="37">
        <v>74</v>
      </c>
      <c r="B30">
        <v>74</v>
      </c>
      <c r="C30">
        <v>23</v>
      </c>
      <c r="D30">
        <v>23</v>
      </c>
      <c r="E30" s="13">
        <v>1</v>
      </c>
      <c r="I30"/>
    </row>
    <row r="31" spans="1:12" x14ac:dyDescent="0.3">
      <c r="A31" s="12" t="s">
        <v>25</v>
      </c>
      <c r="B31">
        <v>311</v>
      </c>
      <c r="C31">
        <v>97</v>
      </c>
      <c r="D31">
        <v>102</v>
      </c>
      <c r="E31" s="13">
        <v>0.86871508379888274</v>
      </c>
      <c r="I31"/>
    </row>
    <row r="32" spans="1:12" x14ac:dyDescent="0.3">
      <c r="A32" s="14" t="s">
        <v>93</v>
      </c>
      <c r="B32">
        <v>92</v>
      </c>
      <c r="C32">
        <v>35</v>
      </c>
      <c r="D32">
        <v>37</v>
      </c>
      <c r="E32" s="13">
        <v>0.96842105263157896</v>
      </c>
      <c r="I32"/>
    </row>
    <row r="33" spans="1:24" x14ac:dyDescent="0.3">
      <c r="A33" s="37">
        <v>95</v>
      </c>
      <c r="B33">
        <v>92</v>
      </c>
      <c r="C33">
        <v>35</v>
      </c>
      <c r="D33">
        <v>37</v>
      </c>
      <c r="E33" s="13">
        <v>0.96842105263157896</v>
      </c>
      <c r="I33"/>
    </row>
    <row r="34" spans="1:24" x14ac:dyDescent="0.3">
      <c r="A34" s="14" t="s">
        <v>94</v>
      </c>
      <c r="B34">
        <v>32</v>
      </c>
      <c r="C34">
        <v>10</v>
      </c>
      <c r="D34">
        <v>10</v>
      </c>
      <c r="E34" s="13">
        <v>1</v>
      </c>
      <c r="I34"/>
    </row>
    <row r="35" spans="1:24" x14ac:dyDescent="0.3">
      <c r="A35" s="37">
        <v>32</v>
      </c>
      <c r="B35">
        <v>32</v>
      </c>
      <c r="C35">
        <v>10</v>
      </c>
      <c r="D35">
        <v>10</v>
      </c>
      <c r="E35" s="13">
        <v>1</v>
      </c>
      <c r="I35"/>
    </row>
    <row r="36" spans="1:24" x14ac:dyDescent="0.3">
      <c r="A36" s="14" t="s">
        <v>92</v>
      </c>
      <c r="B36">
        <v>48</v>
      </c>
      <c r="C36">
        <v>13</v>
      </c>
      <c r="D36">
        <v>13</v>
      </c>
      <c r="E36" s="13">
        <v>0.97959183673469385</v>
      </c>
      <c r="I36"/>
    </row>
    <row r="37" spans="1:24" x14ac:dyDescent="0.3">
      <c r="A37" s="37">
        <v>49</v>
      </c>
      <c r="B37">
        <v>48</v>
      </c>
      <c r="C37">
        <v>13</v>
      </c>
      <c r="D37">
        <v>13</v>
      </c>
      <c r="E37" s="13">
        <v>0.97959183673469385</v>
      </c>
      <c r="I37"/>
    </row>
    <row r="38" spans="1:24" x14ac:dyDescent="0.3">
      <c r="A38" s="14" t="s">
        <v>96</v>
      </c>
      <c r="B38">
        <v>68</v>
      </c>
      <c r="C38">
        <v>16</v>
      </c>
      <c r="D38">
        <v>20</v>
      </c>
      <c r="E38" s="13">
        <v>0.72340425531914898</v>
      </c>
      <c r="I38"/>
    </row>
    <row r="39" spans="1:24" x14ac:dyDescent="0.3">
      <c r="A39" s="37">
        <v>94</v>
      </c>
      <c r="B39">
        <v>68</v>
      </c>
      <c r="C39">
        <v>16</v>
      </c>
      <c r="D39">
        <v>20</v>
      </c>
      <c r="E39" s="13">
        <v>0.72340425531914898</v>
      </c>
      <c r="I39"/>
    </row>
    <row r="40" spans="1:24" x14ac:dyDescent="0.3">
      <c r="A40" s="14" t="s">
        <v>95</v>
      </c>
      <c r="B40">
        <v>71</v>
      </c>
      <c r="C40">
        <v>23</v>
      </c>
      <c r="D40">
        <v>22</v>
      </c>
      <c r="E40" s="13">
        <v>0.80681818181818177</v>
      </c>
      <c r="I40"/>
    </row>
    <row r="41" spans="1:24" x14ac:dyDescent="0.3">
      <c r="A41" s="37">
        <v>88</v>
      </c>
      <c r="B41">
        <v>71</v>
      </c>
      <c r="C41">
        <v>23</v>
      </c>
      <c r="D41">
        <v>22</v>
      </c>
      <c r="E41" s="13">
        <v>0.80681818181818177</v>
      </c>
      <c r="I41"/>
    </row>
    <row r="42" spans="1:24" x14ac:dyDescent="0.3">
      <c r="A42" s="12" t="s">
        <v>23</v>
      </c>
      <c r="B42">
        <v>1453</v>
      </c>
      <c r="C42">
        <v>288</v>
      </c>
      <c r="D42">
        <v>414</v>
      </c>
      <c r="E42" s="13">
        <v>0.94228274967574577</v>
      </c>
      <c r="I42"/>
    </row>
    <row r="43" spans="1:24" x14ac:dyDescent="0.3">
      <c r="I43"/>
    </row>
    <row r="44" spans="1:24" x14ac:dyDescent="0.3">
      <c r="I44"/>
    </row>
    <row r="45" spans="1:24" x14ac:dyDescent="0.3">
      <c r="I45"/>
    </row>
    <row r="46" spans="1:24" x14ac:dyDescent="0.3">
      <c r="I46"/>
    </row>
    <row r="47" spans="1:24" x14ac:dyDescent="0.3">
      <c r="I47"/>
    </row>
    <row r="48" spans="1:24" x14ac:dyDescent="0.3">
      <c r="I48"/>
    </row>
    <row r="49" spans="9:9" x14ac:dyDescent="0.3">
      <c r="I49"/>
    </row>
    <row r="50" spans="9:9" x14ac:dyDescent="0.3">
      <c r="I50"/>
    </row>
    <row r="51" spans="9:9" x14ac:dyDescent="0.3">
      <c r="I51"/>
    </row>
    <row r="52" spans="9:9" x14ac:dyDescent="0.3">
      <c r="I52"/>
    </row>
    <row r="53" spans="9:9" x14ac:dyDescent="0.3">
      <c r="I53"/>
    </row>
    <row r="54" spans="9:9" x14ac:dyDescent="0.3">
      <c r="I54"/>
    </row>
    <row r="55" spans="9:9" x14ac:dyDescent="0.3">
      <c r="I55"/>
    </row>
    <row r="56" spans="9:9" x14ac:dyDescent="0.3">
      <c r="I56"/>
    </row>
    <row r="57" spans="9:9" x14ac:dyDescent="0.3">
      <c r="I57"/>
    </row>
    <row r="58" spans="9:9" x14ac:dyDescent="0.3">
      <c r="I58"/>
    </row>
    <row r="59" spans="9:9" x14ac:dyDescent="0.3">
      <c r="I59"/>
    </row>
    <row r="60" spans="9:9" x14ac:dyDescent="0.3">
      <c r="I60"/>
    </row>
    <row r="61" spans="9:9" x14ac:dyDescent="0.3">
      <c r="I61"/>
    </row>
    <row r="62" spans="9:9" x14ac:dyDescent="0.3">
      <c r="I62"/>
    </row>
    <row r="63" spans="9:9" x14ac:dyDescent="0.3">
      <c r="I63"/>
    </row>
    <row r="64" spans="9:9" x14ac:dyDescent="0.3">
      <c r="I64"/>
    </row>
    <row r="65" spans="9:9" x14ac:dyDescent="0.3">
      <c r="I65"/>
    </row>
    <row r="66" spans="9:9" x14ac:dyDescent="0.3">
      <c r="I66"/>
    </row>
    <row r="67" spans="9:9" x14ac:dyDescent="0.3">
      <c r="I67"/>
    </row>
    <row r="68" spans="9:9" x14ac:dyDescent="0.3">
      <c r="I68"/>
    </row>
    <row r="69" spans="9:9" x14ac:dyDescent="0.3">
      <c r="I69"/>
    </row>
    <row r="70" spans="9:9" x14ac:dyDescent="0.3">
      <c r="I70"/>
    </row>
    <row r="71" spans="9:9" x14ac:dyDescent="0.3">
      <c r="I71"/>
    </row>
    <row r="72" spans="9:9" x14ac:dyDescent="0.3">
      <c r="I72"/>
    </row>
    <row r="73" spans="9:9" x14ac:dyDescent="0.3">
      <c r="I73"/>
    </row>
    <row r="74" spans="9:9" x14ac:dyDescent="0.3">
      <c r="I74"/>
    </row>
    <row r="75" spans="9:9" x14ac:dyDescent="0.3">
      <c r="I75"/>
    </row>
    <row r="76" spans="9:9" x14ac:dyDescent="0.3">
      <c r="I76"/>
    </row>
    <row r="77" spans="9:9" x14ac:dyDescent="0.3">
      <c r="I77"/>
    </row>
    <row r="78" spans="9:9" x14ac:dyDescent="0.3">
      <c r="I78"/>
    </row>
    <row r="79" spans="9:9" x14ac:dyDescent="0.3">
      <c r="I79"/>
    </row>
    <row r="80" spans="9:9" x14ac:dyDescent="0.3">
      <c r="I80"/>
    </row>
    <row r="81" spans="9:9" x14ac:dyDescent="0.3">
      <c r="I81"/>
    </row>
    <row r="82" spans="9:9" x14ac:dyDescent="0.3">
      <c r="I82"/>
    </row>
    <row r="83" spans="9:9" x14ac:dyDescent="0.3">
      <c r="I83"/>
    </row>
    <row r="84" spans="9:9" x14ac:dyDescent="0.3">
      <c r="I84"/>
    </row>
    <row r="85" spans="9:9" x14ac:dyDescent="0.3">
      <c r="I85"/>
    </row>
    <row r="86" spans="9:9" x14ac:dyDescent="0.3">
      <c r="I86"/>
    </row>
    <row r="87" spans="9:9" x14ac:dyDescent="0.3">
      <c r="I87"/>
    </row>
    <row r="88" spans="9:9" x14ac:dyDescent="0.3">
      <c r="I88"/>
    </row>
    <row r="89" spans="9:9" x14ac:dyDescent="0.3">
      <c r="I89"/>
    </row>
    <row r="90" spans="9:9" x14ac:dyDescent="0.3">
      <c r="I90"/>
    </row>
    <row r="91" spans="9:9" x14ac:dyDescent="0.3">
      <c r="I91"/>
    </row>
    <row r="92" spans="9:9" x14ac:dyDescent="0.3">
      <c r="I92"/>
    </row>
    <row r="93" spans="9:9" x14ac:dyDescent="0.3">
      <c r="I93"/>
    </row>
    <row r="94" spans="9:9" x14ac:dyDescent="0.3">
      <c r="I94"/>
    </row>
    <row r="95" spans="9:9" x14ac:dyDescent="0.3">
      <c r="I95"/>
    </row>
    <row r="96" spans="9:9" x14ac:dyDescent="0.3">
      <c r="I96"/>
    </row>
    <row r="97" spans="9:9" x14ac:dyDescent="0.3">
      <c r="I97"/>
    </row>
    <row r="98" spans="9:9" x14ac:dyDescent="0.3">
      <c r="I98"/>
    </row>
    <row r="99" spans="9:9" x14ac:dyDescent="0.3">
      <c r="I99"/>
    </row>
    <row r="100" spans="9:9" x14ac:dyDescent="0.3">
      <c r="I100"/>
    </row>
    <row r="101" spans="9:9" x14ac:dyDescent="0.3">
      <c r="I101"/>
    </row>
    <row r="102" spans="9:9" x14ac:dyDescent="0.3">
      <c r="I102"/>
    </row>
    <row r="103" spans="9:9" x14ac:dyDescent="0.3">
      <c r="I103"/>
    </row>
    <row r="104" spans="9:9" x14ac:dyDescent="0.3">
      <c r="I104"/>
    </row>
    <row r="105" spans="9:9" x14ac:dyDescent="0.3">
      <c r="I105"/>
    </row>
    <row r="106" spans="9:9" x14ac:dyDescent="0.3">
      <c r="I106"/>
    </row>
    <row r="107" spans="9:9" x14ac:dyDescent="0.3">
      <c r="I107"/>
    </row>
    <row r="108" spans="9:9" x14ac:dyDescent="0.3">
      <c r="I108"/>
    </row>
    <row r="109" spans="9:9" x14ac:dyDescent="0.3">
      <c r="I109"/>
    </row>
    <row r="110" spans="9:9" x14ac:dyDescent="0.3">
      <c r="I110"/>
    </row>
    <row r="111" spans="9:9" x14ac:dyDescent="0.3">
      <c r="I111"/>
    </row>
    <row r="112" spans="9:9" x14ac:dyDescent="0.3">
      <c r="I112"/>
    </row>
    <row r="113" spans="9:9" x14ac:dyDescent="0.3">
      <c r="I113"/>
    </row>
    <row r="114" spans="9:9" x14ac:dyDescent="0.3">
      <c r="I114"/>
    </row>
    <row r="115" spans="9:9" x14ac:dyDescent="0.3">
      <c r="I115"/>
    </row>
    <row r="116" spans="9:9" x14ac:dyDescent="0.3">
      <c r="I116"/>
    </row>
    <row r="117" spans="9:9" x14ac:dyDescent="0.3">
      <c r="I117"/>
    </row>
    <row r="118" spans="9:9" x14ac:dyDescent="0.3">
      <c r="I118"/>
    </row>
    <row r="119" spans="9:9" x14ac:dyDescent="0.3">
      <c r="I119"/>
    </row>
    <row r="120" spans="9:9" x14ac:dyDescent="0.3">
      <c r="I120"/>
    </row>
    <row r="121" spans="9:9" x14ac:dyDescent="0.3">
      <c r="I121"/>
    </row>
    <row r="122" spans="9:9" x14ac:dyDescent="0.3">
      <c r="I122"/>
    </row>
    <row r="123" spans="9:9" x14ac:dyDescent="0.3">
      <c r="I123"/>
    </row>
    <row r="124" spans="9:9" x14ac:dyDescent="0.3">
      <c r="I124"/>
    </row>
    <row r="125" spans="9:9" x14ac:dyDescent="0.3">
      <c r="I125"/>
    </row>
    <row r="126" spans="9:9" x14ac:dyDescent="0.3">
      <c r="I126"/>
    </row>
    <row r="127" spans="9:9" x14ac:dyDescent="0.3">
      <c r="I127"/>
    </row>
    <row r="128" spans="9:9" x14ac:dyDescent="0.3">
      <c r="I128"/>
    </row>
    <row r="129" spans="9:9" x14ac:dyDescent="0.3">
      <c r="I129"/>
    </row>
    <row r="130" spans="9:9" x14ac:dyDescent="0.3">
      <c r="I130"/>
    </row>
    <row r="131" spans="9:9" x14ac:dyDescent="0.3">
      <c r="I131"/>
    </row>
    <row r="132" spans="9:9" x14ac:dyDescent="0.3">
      <c r="I132"/>
    </row>
    <row r="133" spans="9:9" x14ac:dyDescent="0.3">
      <c r="I133"/>
    </row>
    <row r="134" spans="9:9" x14ac:dyDescent="0.3">
      <c r="I134"/>
    </row>
    <row r="135" spans="9:9" x14ac:dyDescent="0.3">
      <c r="I135"/>
    </row>
    <row r="136" spans="9:9" x14ac:dyDescent="0.3">
      <c r="I136"/>
    </row>
    <row r="137" spans="9:9" x14ac:dyDescent="0.3">
      <c r="I137"/>
    </row>
    <row r="138" spans="9:9" x14ac:dyDescent="0.3">
      <c r="I138"/>
    </row>
    <row r="139" spans="9:9" x14ac:dyDescent="0.3">
      <c r="I139"/>
    </row>
    <row r="140" spans="9:9" x14ac:dyDescent="0.3">
      <c r="I140"/>
    </row>
    <row r="141" spans="9:9" x14ac:dyDescent="0.3">
      <c r="I141"/>
    </row>
    <row r="142" spans="9:9" x14ac:dyDescent="0.3">
      <c r="I142"/>
    </row>
    <row r="143" spans="9:9" x14ac:dyDescent="0.3">
      <c r="I143"/>
    </row>
    <row r="144" spans="9:9" x14ac:dyDescent="0.3">
      <c r="I144"/>
    </row>
    <row r="145" spans="9:9" x14ac:dyDescent="0.3">
      <c r="I145"/>
    </row>
    <row r="146" spans="9:9" x14ac:dyDescent="0.3">
      <c r="I146"/>
    </row>
    <row r="147" spans="9:9" x14ac:dyDescent="0.3">
      <c r="I147"/>
    </row>
    <row r="148" spans="9:9" x14ac:dyDescent="0.3">
      <c r="I148"/>
    </row>
    <row r="149" spans="9:9" x14ac:dyDescent="0.3">
      <c r="I149"/>
    </row>
    <row r="150" spans="9:9" x14ac:dyDescent="0.3">
      <c r="I150"/>
    </row>
    <row r="151" spans="9:9" x14ac:dyDescent="0.3">
      <c r="I151"/>
    </row>
    <row r="152" spans="9:9" x14ac:dyDescent="0.3">
      <c r="I152"/>
    </row>
    <row r="153" spans="9:9" x14ac:dyDescent="0.3">
      <c r="I153"/>
    </row>
    <row r="154" spans="9:9" x14ac:dyDescent="0.3">
      <c r="I154"/>
    </row>
    <row r="155" spans="9:9" x14ac:dyDescent="0.3">
      <c r="I155"/>
    </row>
    <row r="156" spans="9:9" x14ac:dyDescent="0.3">
      <c r="I156"/>
    </row>
    <row r="157" spans="9:9" x14ac:dyDescent="0.3">
      <c r="I157"/>
    </row>
    <row r="158" spans="9:9" x14ac:dyDescent="0.3">
      <c r="I158"/>
    </row>
    <row r="159" spans="9:9" x14ac:dyDescent="0.3">
      <c r="I159"/>
    </row>
    <row r="160" spans="9:9" x14ac:dyDescent="0.3">
      <c r="I160"/>
    </row>
    <row r="161" spans="9:9" x14ac:dyDescent="0.3">
      <c r="I161"/>
    </row>
    <row r="162" spans="9:9" x14ac:dyDescent="0.3">
      <c r="I162"/>
    </row>
    <row r="163" spans="9:9" x14ac:dyDescent="0.3">
      <c r="I163"/>
    </row>
    <row r="164" spans="9:9" x14ac:dyDescent="0.3">
      <c r="I164"/>
    </row>
    <row r="165" spans="9:9" x14ac:dyDescent="0.3">
      <c r="I165"/>
    </row>
    <row r="166" spans="9:9" x14ac:dyDescent="0.3">
      <c r="I166"/>
    </row>
    <row r="167" spans="9:9" x14ac:dyDescent="0.3">
      <c r="I167"/>
    </row>
    <row r="168" spans="9:9" x14ac:dyDescent="0.3">
      <c r="I168"/>
    </row>
    <row r="169" spans="9:9" x14ac:dyDescent="0.3">
      <c r="I169"/>
    </row>
    <row r="170" spans="9:9" x14ac:dyDescent="0.3">
      <c r="I170"/>
    </row>
    <row r="171" spans="9:9" x14ac:dyDescent="0.3">
      <c r="I171"/>
    </row>
    <row r="172" spans="9:9" x14ac:dyDescent="0.3">
      <c r="I172"/>
    </row>
    <row r="173" spans="9:9" x14ac:dyDescent="0.3">
      <c r="I173"/>
    </row>
    <row r="174" spans="9:9" x14ac:dyDescent="0.3">
      <c r="I174"/>
    </row>
    <row r="175" spans="9:9" x14ac:dyDescent="0.3">
      <c r="I175"/>
    </row>
    <row r="176" spans="9:9" x14ac:dyDescent="0.3">
      <c r="I176"/>
    </row>
    <row r="177" spans="9:9" x14ac:dyDescent="0.3">
      <c r="I177"/>
    </row>
    <row r="178" spans="9:9" x14ac:dyDescent="0.3">
      <c r="I178"/>
    </row>
    <row r="179" spans="9:9" x14ac:dyDescent="0.3">
      <c r="I179"/>
    </row>
    <row r="180" spans="9:9" x14ac:dyDescent="0.3">
      <c r="I180"/>
    </row>
    <row r="181" spans="9:9" x14ac:dyDescent="0.3">
      <c r="I181"/>
    </row>
    <row r="182" spans="9:9" x14ac:dyDescent="0.3">
      <c r="I182"/>
    </row>
    <row r="183" spans="9:9" x14ac:dyDescent="0.3">
      <c r="I183"/>
    </row>
    <row r="184" spans="9:9" x14ac:dyDescent="0.3">
      <c r="I184"/>
    </row>
    <row r="185" spans="9:9" x14ac:dyDescent="0.3">
      <c r="I185"/>
    </row>
    <row r="186" spans="9:9" x14ac:dyDescent="0.3">
      <c r="I186"/>
    </row>
    <row r="187" spans="9:9" x14ac:dyDescent="0.3">
      <c r="I187"/>
    </row>
    <row r="188" spans="9:9" x14ac:dyDescent="0.3">
      <c r="I188"/>
    </row>
    <row r="189" spans="9:9" x14ac:dyDescent="0.3">
      <c r="I189"/>
    </row>
    <row r="190" spans="9:9" x14ac:dyDescent="0.3">
      <c r="I190"/>
    </row>
    <row r="191" spans="9:9" x14ac:dyDescent="0.3">
      <c r="I191"/>
    </row>
    <row r="192" spans="9:9" x14ac:dyDescent="0.3">
      <c r="I192"/>
    </row>
    <row r="193" spans="9:9" x14ac:dyDescent="0.3">
      <c r="I193"/>
    </row>
    <row r="194" spans="9:9" x14ac:dyDescent="0.3">
      <c r="I194"/>
    </row>
    <row r="195" spans="9:9" x14ac:dyDescent="0.3">
      <c r="I195"/>
    </row>
    <row r="196" spans="9:9" x14ac:dyDescent="0.3">
      <c r="I196"/>
    </row>
    <row r="197" spans="9:9" x14ac:dyDescent="0.3">
      <c r="I197"/>
    </row>
    <row r="198" spans="9:9" x14ac:dyDescent="0.3">
      <c r="I198"/>
    </row>
    <row r="199" spans="9:9" x14ac:dyDescent="0.3">
      <c r="I199"/>
    </row>
    <row r="200" spans="9:9" x14ac:dyDescent="0.3">
      <c r="I200"/>
    </row>
    <row r="201" spans="9:9" x14ac:dyDescent="0.3">
      <c r="I201"/>
    </row>
    <row r="202" spans="9:9" x14ac:dyDescent="0.3">
      <c r="I202"/>
    </row>
    <row r="203" spans="9:9" x14ac:dyDescent="0.3">
      <c r="I203"/>
    </row>
    <row r="204" spans="9:9" x14ac:dyDescent="0.3">
      <c r="I204"/>
    </row>
    <row r="205" spans="9:9" x14ac:dyDescent="0.3">
      <c r="I205"/>
    </row>
    <row r="206" spans="9:9" x14ac:dyDescent="0.3">
      <c r="I206"/>
    </row>
    <row r="207" spans="9:9" x14ac:dyDescent="0.3">
      <c r="I207"/>
    </row>
    <row r="208" spans="9:9" x14ac:dyDescent="0.3">
      <c r="I208"/>
    </row>
    <row r="209" spans="9:9" x14ac:dyDescent="0.3">
      <c r="I209"/>
    </row>
    <row r="210" spans="9:9" x14ac:dyDescent="0.3">
      <c r="I210"/>
    </row>
    <row r="211" spans="9:9" x14ac:dyDescent="0.3">
      <c r="I211"/>
    </row>
    <row r="212" spans="9:9" x14ac:dyDescent="0.3">
      <c r="I212"/>
    </row>
    <row r="213" spans="9:9" x14ac:dyDescent="0.3">
      <c r="I213"/>
    </row>
    <row r="214" spans="9:9" x14ac:dyDescent="0.3">
      <c r="I214"/>
    </row>
    <row r="215" spans="9:9" x14ac:dyDescent="0.3">
      <c r="I215"/>
    </row>
    <row r="216" spans="9:9" x14ac:dyDescent="0.3">
      <c r="I216"/>
    </row>
    <row r="217" spans="9:9" x14ac:dyDescent="0.3">
      <c r="I217"/>
    </row>
    <row r="218" spans="9:9" x14ac:dyDescent="0.3">
      <c r="I218"/>
    </row>
    <row r="219" spans="9:9" x14ac:dyDescent="0.3">
      <c r="I219"/>
    </row>
    <row r="220" spans="9:9" x14ac:dyDescent="0.3">
      <c r="I220"/>
    </row>
    <row r="221" spans="9:9" x14ac:dyDescent="0.3">
      <c r="I221"/>
    </row>
    <row r="222" spans="9:9" x14ac:dyDescent="0.3">
      <c r="I222"/>
    </row>
    <row r="223" spans="9:9" x14ac:dyDescent="0.3">
      <c r="I223"/>
    </row>
    <row r="224" spans="9:9" x14ac:dyDescent="0.3">
      <c r="I224"/>
    </row>
    <row r="225" spans="9:9" x14ac:dyDescent="0.3">
      <c r="I225"/>
    </row>
    <row r="226" spans="9:9" x14ac:dyDescent="0.3">
      <c r="I226"/>
    </row>
    <row r="227" spans="9:9" x14ac:dyDescent="0.3">
      <c r="I227"/>
    </row>
    <row r="228" spans="9:9" x14ac:dyDescent="0.3">
      <c r="I228"/>
    </row>
    <row r="229" spans="9:9" x14ac:dyDescent="0.3">
      <c r="I229"/>
    </row>
    <row r="230" spans="9:9" x14ac:dyDescent="0.3">
      <c r="I230"/>
    </row>
    <row r="231" spans="9:9" x14ac:dyDescent="0.3">
      <c r="I231"/>
    </row>
    <row r="232" spans="9:9" x14ac:dyDescent="0.3">
      <c r="I232"/>
    </row>
    <row r="233" spans="9:9" x14ac:dyDescent="0.3">
      <c r="I233"/>
    </row>
    <row r="234" spans="9:9" x14ac:dyDescent="0.3">
      <c r="I234"/>
    </row>
    <row r="235" spans="9:9" x14ac:dyDescent="0.3">
      <c r="I235"/>
    </row>
    <row r="236" spans="9:9" x14ac:dyDescent="0.3">
      <c r="I236"/>
    </row>
    <row r="237" spans="9:9" x14ac:dyDescent="0.3">
      <c r="I237"/>
    </row>
    <row r="238" spans="9:9" x14ac:dyDescent="0.3">
      <c r="I238"/>
    </row>
    <row r="239" spans="9:9" x14ac:dyDescent="0.3">
      <c r="I239"/>
    </row>
    <row r="240" spans="9:9" x14ac:dyDescent="0.3">
      <c r="I240"/>
    </row>
    <row r="241" spans="9:9" x14ac:dyDescent="0.3">
      <c r="I241"/>
    </row>
    <row r="242" spans="9:9" x14ac:dyDescent="0.3">
      <c r="I242"/>
    </row>
    <row r="243" spans="9:9" x14ac:dyDescent="0.3">
      <c r="I243"/>
    </row>
    <row r="244" spans="9:9" x14ac:dyDescent="0.3">
      <c r="I244"/>
    </row>
    <row r="245" spans="9:9" x14ac:dyDescent="0.3">
      <c r="I245"/>
    </row>
    <row r="246" spans="9:9" x14ac:dyDescent="0.3">
      <c r="I246"/>
    </row>
    <row r="247" spans="9:9" x14ac:dyDescent="0.3">
      <c r="I247"/>
    </row>
    <row r="248" spans="9:9" x14ac:dyDescent="0.3">
      <c r="I248"/>
    </row>
    <row r="249" spans="9:9" x14ac:dyDescent="0.3">
      <c r="I249"/>
    </row>
    <row r="250" spans="9:9" x14ac:dyDescent="0.3">
      <c r="I250"/>
    </row>
    <row r="251" spans="9:9" x14ac:dyDescent="0.3">
      <c r="I251"/>
    </row>
    <row r="252" spans="9:9" x14ac:dyDescent="0.3">
      <c r="I252"/>
    </row>
    <row r="253" spans="9:9" x14ac:dyDescent="0.3">
      <c r="I253"/>
    </row>
    <row r="254" spans="9:9" x14ac:dyDescent="0.3">
      <c r="I254"/>
    </row>
    <row r="255" spans="9:9" x14ac:dyDescent="0.3">
      <c r="I255"/>
    </row>
    <row r="256" spans="9:9" x14ac:dyDescent="0.3">
      <c r="I256"/>
    </row>
    <row r="257" spans="9:9" x14ac:dyDescent="0.3">
      <c r="I257"/>
    </row>
    <row r="258" spans="9:9" x14ac:dyDescent="0.3">
      <c r="I258"/>
    </row>
    <row r="259" spans="9:9" x14ac:dyDescent="0.3">
      <c r="I259"/>
    </row>
    <row r="260" spans="9:9" x14ac:dyDescent="0.3">
      <c r="I260"/>
    </row>
    <row r="261" spans="9:9" x14ac:dyDescent="0.3">
      <c r="I261"/>
    </row>
    <row r="262" spans="9:9" x14ac:dyDescent="0.3">
      <c r="I262"/>
    </row>
    <row r="263" spans="9:9" x14ac:dyDescent="0.3">
      <c r="I263"/>
    </row>
    <row r="264" spans="9:9" x14ac:dyDescent="0.3">
      <c r="I264"/>
    </row>
    <row r="265" spans="9:9" x14ac:dyDescent="0.3">
      <c r="I265"/>
    </row>
    <row r="266" spans="9:9" x14ac:dyDescent="0.3">
      <c r="I266"/>
    </row>
    <row r="267" spans="9:9" x14ac:dyDescent="0.3">
      <c r="I267"/>
    </row>
    <row r="268" spans="9:9" x14ac:dyDescent="0.3">
      <c r="I268"/>
    </row>
    <row r="269" spans="9:9" x14ac:dyDescent="0.3">
      <c r="I269"/>
    </row>
    <row r="270" spans="9:9" x14ac:dyDescent="0.3">
      <c r="I270"/>
    </row>
    <row r="271" spans="9:9" x14ac:dyDescent="0.3">
      <c r="I271"/>
    </row>
    <row r="272" spans="9:9" x14ac:dyDescent="0.3">
      <c r="I272"/>
    </row>
  </sheetData>
  <pageMargins left="0.7" right="0.7" top="0.75" bottom="0.75" header="0.3" footer="0.3"/>
  <drawing r:id="rId3"/>
  <legacyDrawing r:id="rId4"/>
  <extLst>
    <ext xmlns:x14="http://schemas.microsoft.com/office/spreadsheetml/2009/9/main" uri="{A8765BA9-456A-4dab-B4F3-ACF838C121DE}">
      <x14:slicerList>
        <x14:slicer r:id="rId5"/>
      </x14:slicerList>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0C039-1600-457B-A9B3-302A3940AE38}">
  <sheetPr codeName="Sheet4"/>
  <dimension ref="A5:AN272"/>
  <sheetViews>
    <sheetView zoomScale="60" zoomScaleNormal="60" workbookViewId="0">
      <selection activeCell="V15" sqref="V15"/>
    </sheetView>
  </sheetViews>
  <sheetFormatPr defaultRowHeight="14.4" x14ac:dyDescent="0.3"/>
  <cols>
    <col min="1" max="1" width="14" bestFit="1" customWidth="1"/>
    <col min="2" max="2" width="10.33203125" bestFit="1" customWidth="1"/>
    <col min="3" max="3" width="10.6640625" bestFit="1" customWidth="1"/>
    <col min="4" max="4" width="10" bestFit="1" customWidth="1"/>
    <col min="5" max="5" width="20.5546875" bestFit="1" customWidth="1"/>
    <col min="6" max="7" width="27.6640625" customWidth="1"/>
    <col min="8" max="8" width="16.44140625" customWidth="1"/>
    <col min="9" max="9" width="14" style="15" bestFit="1" customWidth="1"/>
    <col min="10" max="12" width="12.33203125" style="15" bestFit="1" customWidth="1"/>
    <col min="13" max="16" width="16.44140625" bestFit="1" customWidth="1"/>
    <col min="17" max="29" width="3" bestFit="1" customWidth="1"/>
    <col min="30" max="31" width="4" bestFit="1" customWidth="1"/>
    <col min="32" max="37" width="3" bestFit="1" customWidth="1"/>
    <col min="38" max="38" width="4" bestFit="1" customWidth="1"/>
    <col min="39" max="39" width="3" bestFit="1" customWidth="1"/>
    <col min="40" max="40" width="3.44140625" bestFit="1" customWidth="1"/>
    <col min="41" max="44" width="3" bestFit="1" customWidth="1"/>
    <col min="45" max="47" width="4" bestFit="1" customWidth="1"/>
    <col min="48" max="48" width="9.5546875" bestFit="1" customWidth="1"/>
    <col min="49" max="50" width="2" bestFit="1" customWidth="1"/>
    <col min="51" max="51" width="3" bestFit="1" customWidth="1"/>
    <col min="52" max="53" width="2" bestFit="1" customWidth="1"/>
    <col min="54" max="87" width="3" bestFit="1" customWidth="1"/>
    <col min="88" max="90" width="4" bestFit="1" customWidth="1"/>
    <col min="91" max="91" width="10.44140625" bestFit="1" customWidth="1"/>
    <col min="92" max="93" width="2" bestFit="1" customWidth="1"/>
    <col min="94" max="94" width="3" bestFit="1" customWidth="1"/>
    <col min="95" max="96" width="2" bestFit="1" customWidth="1"/>
    <col min="97" max="116" width="3" bestFit="1" customWidth="1"/>
    <col min="117" max="117" width="4" bestFit="1" customWidth="1"/>
    <col min="118" max="130" width="3" bestFit="1" customWidth="1"/>
    <col min="131" max="133" width="4" bestFit="1" customWidth="1"/>
    <col min="134" max="134" width="10.44140625" bestFit="1" customWidth="1"/>
    <col min="135" max="135" width="12.44140625" bestFit="1" customWidth="1"/>
    <col min="136" max="136" width="7.5546875" bestFit="1" customWidth="1"/>
    <col min="137" max="137" width="12.44140625" bestFit="1" customWidth="1"/>
    <col min="138" max="138" width="7.5546875" bestFit="1" customWidth="1"/>
    <col min="139" max="139" width="7.44140625" bestFit="1" customWidth="1"/>
    <col min="140" max="140" width="7.5546875" bestFit="1" customWidth="1"/>
    <col min="141" max="142" width="12.44140625" bestFit="1" customWidth="1"/>
    <col min="143" max="143" width="7.5546875" bestFit="1" customWidth="1"/>
    <col min="144" max="148" width="12.44140625" bestFit="1" customWidth="1"/>
    <col min="149" max="149" width="11" bestFit="1" customWidth="1"/>
    <col min="150" max="152" width="12.44140625" bestFit="1" customWidth="1"/>
    <col min="153" max="153" width="7.5546875" bestFit="1" customWidth="1"/>
    <col min="154" max="161" width="12.44140625" bestFit="1" customWidth="1"/>
    <col min="162" max="162" width="11" bestFit="1" customWidth="1"/>
    <col min="163" max="163" width="7.5546875" bestFit="1" customWidth="1"/>
    <col min="164" max="167" width="12.44140625" bestFit="1" customWidth="1"/>
    <col min="168" max="168" width="7.5546875" bestFit="1" customWidth="1"/>
    <col min="169" max="176" width="12.44140625" bestFit="1" customWidth="1"/>
    <col min="177" max="179" width="7.5546875" bestFit="1" customWidth="1"/>
    <col min="180" max="180" width="7.44140625" bestFit="1" customWidth="1"/>
    <col min="181" max="187" width="7.5546875" bestFit="1" customWidth="1"/>
    <col min="188" max="189" width="7.44140625" bestFit="1" customWidth="1"/>
    <col min="190" max="195" width="7.5546875" bestFit="1" customWidth="1"/>
    <col min="196" max="196" width="12.44140625" bestFit="1" customWidth="1"/>
    <col min="197" max="198" width="7.5546875" bestFit="1" customWidth="1"/>
    <col min="199" max="199" width="12.44140625" bestFit="1" customWidth="1"/>
    <col min="200" max="201" width="7.5546875" bestFit="1" customWidth="1"/>
    <col min="202" max="203" width="12.44140625" bestFit="1" customWidth="1"/>
    <col min="204" max="206" width="7.5546875" bestFit="1" customWidth="1"/>
    <col min="207" max="207" width="12.44140625" bestFit="1" customWidth="1"/>
    <col min="208" max="209" width="7.5546875" bestFit="1" customWidth="1"/>
    <col min="210" max="213" width="12.44140625" bestFit="1" customWidth="1"/>
    <col min="214" max="216" width="7.5546875" bestFit="1" customWidth="1"/>
    <col min="217" max="217" width="11" bestFit="1" customWidth="1"/>
    <col min="218" max="218" width="7.5546875" bestFit="1" customWidth="1"/>
    <col min="219" max="219" width="12.44140625" bestFit="1" customWidth="1"/>
    <col min="220" max="220" width="7.5546875" bestFit="1" customWidth="1"/>
    <col min="221" max="221" width="12.44140625" bestFit="1" customWidth="1"/>
    <col min="222" max="222" width="7.5546875" bestFit="1" customWidth="1"/>
    <col min="223" max="223" width="12.44140625" bestFit="1" customWidth="1"/>
    <col min="224" max="227" width="7.5546875" bestFit="1" customWidth="1"/>
    <col min="228" max="228" width="12.44140625" bestFit="1" customWidth="1"/>
    <col min="229" max="229" width="7.5546875" bestFit="1" customWidth="1"/>
    <col min="230" max="230" width="12.44140625" bestFit="1" customWidth="1"/>
    <col min="231" max="231" width="7.44140625" bestFit="1" customWidth="1"/>
    <col min="232" max="234" width="12.44140625" bestFit="1" customWidth="1"/>
    <col min="235" max="235" width="7.5546875" bestFit="1" customWidth="1"/>
    <col min="236" max="238" width="12.44140625" bestFit="1" customWidth="1"/>
    <col min="239" max="241" width="7.5546875" bestFit="1" customWidth="1"/>
    <col min="242" max="242" width="12.44140625" bestFit="1" customWidth="1"/>
    <col min="243" max="244" width="7.5546875" bestFit="1" customWidth="1"/>
    <col min="245" max="246" width="12.44140625" bestFit="1" customWidth="1"/>
    <col min="247" max="247" width="7.5546875" bestFit="1" customWidth="1"/>
    <col min="248" max="248" width="12.44140625" bestFit="1" customWidth="1"/>
    <col min="249" max="249" width="7.5546875" bestFit="1" customWidth="1"/>
    <col min="250" max="250" width="12.44140625" bestFit="1" customWidth="1"/>
    <col min="251" max="252" width="7.5546875" bestFit="1" customWidth="1"/>
    <col min="253" max="253" width="7.44140625" bestFit="1" customWidth="1"/>
    <col min="254" max="257" width="12.44140625" bestFit="1" customWidth="1"/>
    <col min="258" max="259" width="7.5546875" bestFit="1" customWidth="1"/>
    <col min="260" max="260" width="12.44140625" bestFit="1" customWidth="1"/>
    <col min="261" max="261" width="7.5546875" bestFit="1" customWidth="1"/>
    <col min="262" max="262" width="12.44140625" bestFit="1" customWidth="1"/>
    <col min="263" max="263" width="10.44140625" bestFit="1" customWidth="1"/>
    <col min="264" max="265" width="7.5546875" bestFit="1" customWidth="1"/>
    <col min="266" max="266" width="7.44140625" bestFit="1" customWidth="1"/>
    <col min="267" max="267" width="12.44140625" bestFit="1" customWidth="1"/>
    <col min="268" max="268" width="7.44140625" bestFit="1" customWidth="1"/>
    <col min="269" max="271" width="12.44140625" bestFit="1" customWidth="1"/>
    <col min="272" max="272" width="7.5546875" bestFit="1" customWidth="1"/>
    <col min="273" max="275" width="12.44140625" bestFit="1" customWidth="1"/>
    <col min="276" max="276" width="7.44140625" bestFit="1" customWidth="1"/>
    <col min="277" max="277" width="12.44140625" bestFit="1" customWidth="1"/>
    <col min="278" max="278" width="7.5546875" bestFit="1" customWidth="1"/>
    <col min="279" max="281" width="12.44140625" bestFit="1" customWidth="1"/>
    <col min="282" max="283" width="7.5546875" bestFit="1" customWidth="1"/>
    <col min="284" max="285" width="12.44140625" bestFit="1" customWidth="1"/>
    <col min="286" max="286" width="7.5546875" bestFit="1" customWidth="1"/>
    <col min="287" max="290" width="12.44140625" bestFit="1" customWidth="1"/>
    <col min="291" max="292" width="7.5546875" bestFit="1" customWidth="1"/>
    <col min="293" max="293" width="7.44140625" bestFit="1" customWidth="1"/>
    <col min="294" max="294" width="12.44140625" bestFit="1" customWidth="1"/>
    <col min="295" max="295" width="11" bestFit="1" customWidth="1"/>
    <col min="296" max="296" width="12.44140625" bestFit="1" customWidth="1"/>
    <col min="297" max="297" width="7.5546875" bestFit="1" customWidth="1"/>
    <col min="298" max="298" width="12.44140625" bestFit="1" customWidth="1"/>
    <col min="299" max="300" width="7.5546875" bestFit="1" customWidth="1"/>
    <col min="301" max="301" width="12.44140625" bestFit="1" customWidth="1"/>
    <col min="302" max="302" width="7.5546875" bestFit="1" customWidth="1"/>
    <col min="303" max="304" width="12.44140625" bestFit="1" customWidth="1"/>
    <col min="305" max="305" width="11" bestFit="1" customWidth="1"/>
    <col min="306" max="307" width="14.5546875" bestFit="1" customWidth="1"/>
    <col min="308" max="309" width="15.44140625" bestFit="1" customWidth="1"/>
    <col min="310" max="310" width="12.5546875" bestFit="1" customWidth="1"/>
    <col min="311" max="311" width="12.44140625" bestFit="1" customWidth="1"/>
    <col min="312" max="312" width="15" bestFit="1" customWidth="1"/>
  </cols>
  <sheetData>
    <row r="5" spans="1:12" x14ac:dyDescent="0.3">
      <c r="A5" s="11" t="s">
        <v>0</v>
      </c>
      <c r="B5" t="s">
        <v>139</v>
      </c>
      <c r="C5" t="s">
        <v>143</v>
      </c>
      <c r="D5" t="s">
        <v>3</v>
      </c>
      <c r="E5" t="s">
        <v>147</v>
      </c>
      <c r="I5" s="11" t="s">
        <v>0</v>
      </c>
      <c r="J5" t="s">
        <v>148</v>
      </c>
      <c r="K5" t="s">
        <v>145</v>
      </c>
      <c r="L5" t="s">
        <v>146</v>
      </c>
    </row>
    <row r="6" spans="1:12" x14ac:dyDescent="0.3">
      <c r="A6" s="12" t="s">
        <v>22</v>
      </c>
      <c r="B6">
        <v>494</v>
      </c>
      <c r="C6">
        <v>77</v>
      </c>
      <c r="D6">
        <v>121</v>
      </c>
      <c r="E6" s="13">
        <v>0.9285714285714286</v>
      </c>
      <c r="F6" s="13"/>
      <c r="G6" s="13"/>
      <c r="I6" s="12" t="s">
        <v>22</v>
      </c>
      <c r="J6" s="13">
        <v>0.26113360323886642</v>
      </c>
      <c r="K6" s="13">
        <v>7.792207792207792E-2</v>
      </c>
      <c r="L6" s="13">
        <v>4.1322314049586778E-2</v>
      </c>
    </row>
    <row r="7" spans="1:12" x14ac:dyDescent="0.3">
      <c r="A7" s="14" t="s">
        <v>93</v>
      </c>
      <c r="B7">
        <v>14</v>
      </c>
      <c r="C7">
        <v>2</v>
      </c>
      <c r="D7">
        <v>2</v>
      </c>
      <c r="E7" s="13">
        <v>1</v>
      </c>
      <c r="F7" s="13"/>
      <c r="G7" s="13"/>
      <c r="I7" s="14" t="s">
        <v>93</v>
      </c>
      <c r="J7">
        <v>0.21428571428571427</v>
      </c>
      <c r="K7">
        <v>0</v>
      </c>
      <c r="L7">
        <v>0</v>
      </c>
    </row>
    <row r="8" spans="1:12" x14ac:dyDescent="0.3">
      <c r="A8" s="37">
        <v>14</v>
      </c>
      <c r="B8">
        <v>14</v>
      </c>
      <c r="C8">
        <v>2</v>
      </c>
      <c r="D8">
        <v>2</v>
      </c>
      <c r="E8" s="13">
        <v>1</v>
      </c>
      <c r="F8" s="13"/>
      <c r="G8" s="13"/>
      <c r="I8" s="14" t="s">
        <v>94</v>
      </c>
      <c r="J8">
        <v>0.27777777777777779</v>
      </c>
      <c r="K8">
        <v>0</v>
      </c>
      <c r="L8">
        <v>0</v>
      </c>
    </row>
    <row r="9" spans="1:12" x14ac:dyDescent="0.3">
      <c r="A9" s="14" t="s">
        <v>94</v>
      </c>
      <c r="B9">
        <v>36</v>
      </c>
      <c r="C9">
        <v>10</v>
      </c>
      <c r="D9">
        <v>10</v>
      </c>
      <c r="E9" s="13">
        <v>1</v>
      </c>
      <c r="F9" s="13"/>
      <c r="G9" s="13"/>
      <c r="I9" s="14" t="s">
        <v>92</v>
      </c>
      <c r="J9">
        <v>0.22727272727272727</v>
      </c>
      <c r="K9">
        <v>0</v>
      </c>
      <c r="L9">
        <v>0</v>
      </c>
    </row>
    <row r="10" spans="1:12" x14ac:dyDescent="0.3">
      <c r="A10" s="37">
        <v>36</v>
      </c>
      <c r="B10">
        <v>36</v>
      </c>
      <c r="C10">
        <v>10</v>
      </c>
      <c r="D10">
        <v>10</v>
      </c>
      <c r="E10" s="13">
        <v>1</v>
      </c>
      <c r="F10" s="13"/>
      <c r="G10" s="13"/>
      <c r="I10" s="14" t="s">
        <v>96</v>
      </c>
      <c r="J10">
        <v>0.1891891891891892</v>
      </c>
      <c r="K10" t="e">
        <v>#DIV/0!</v>
      </c>
      <c r="L10">
        <v>0.125</v>
      </c>
    </row>
    <row r="11" spans="1:12" x14ac:dyDescent="0.3">
      <c r="A11" s="14" t="s">
        <v>92</v>
      </c>
      <c r="B11">
        <v>44</v>
      </c>
      <c r="C11">
        <v>11</v>
      </c>
      <c r="D11">
        <v>11</v>
      </c>
      <c r="E11" s="13">
        <v>1</v>
      </c>
      <c r="F11" s="13"/>
      <c r="G11" s="13"/>
      <c r="I11" s="14" t="s">
        <v>95</v>
      </c>
      <c r="J11">
        <v>0.19047619047619047</v>
      </c>
      <c r="K11" t="e">
        <v>#DIV/0!</v>
      </c>
      <c r="L11">
        <v>0</v>
      </c>
    </row>
    <row r="12" spans="1:12" x14ac:dyDescent="0.3">
      <c r="A12" s="37">
        <v>44</v>
      </c>
      <c r="B12">
        <v>44</v>
      </c>
      <c r="C12">
        <v>11</v>
      </c>
      <c r="D12">
        <v>11</v>
      </c>
      <c r="E12" s="13">
        <v>1</v>
      </c>
      <c r="F12" s="13"/>
      <c r="G12" s="13"/>
      <c r="I12" s="14" t="s">
        <v>97</v>
      </c>
      <c r="J12">
        <v>0.24444444444444444</v>
      </c>
      <c r="K12" t="e">
        <v>#DIV/0!</v>
      </c>
      <c r="L12" t="e">
        <v>#DIV/0!</v>
      </c>
    </row>
    <row r="13" spans="1:12" x14ac:dyDescent="0.3">
      <c r="A13" s="14" t="s">
        <v>96</v>
      </c>
      <c r="B13">
        <v>37</v>
      </c>
      <c r="C13">
        <v>0</v>
      </c>
      <c r="D13">
        <v>8</v>
      </c>
      <c r="E13" s="13">
        <v>0.74</v>
      </c>
      <c r="F13" s="13"/>
      <c r="G13" s="13"/>
      <c r="I13" s="14" t="s">
        <v>98</v>
      </c>
      <c r="J13">
        <v>0.265625</v>
      </c>
      <c r="K13" t="e">
        <v>#DIV/0!</v>
      </c>
      <c r="L13">
        <v>6.25E-2</v>
      </c>
    </row>
    <row r="14" spans="1:12" x14ac:dyDescent="0.3">
      <c r="A14" s="37">
        <v>50</v>
      </c>
      <c r="B14">
        <v>37</v>
      </c>
      <c r="C14">
        <v>0</v>
      </c>
      <c r="D14">
        <v>8</v>
      </c>
      <c r="E14" s="13">
        <v>0.74</v>
      </c>
      <c r="F14" s="13"/>
      <c r="G14" s="13"/>
      <c r="I14" s="14" t="s">
        <v>99</v>
      </c>
      <c r="J14">
        <v>0.25</v>
      </c>
      <c r="K14">
        <v>0</v>
      </c>
      <c r="L14">
        <v>0</v>
      </c>
    </row>
    <row r="15" spans="1:12" x14ac:dyDescent="0.3">
      <c r="A15" s="14" t="s">
        <v>95</v>
      </c>
      <c r="B15">
        <v>42</v>
      </c>
      <c r="C15">
        <v>0</v>
      </c>
      <c r="D15">
        <v>11</v>
      </c>
      <c r="E15" s="13">
        <v>0.62686567164179108</v>
      </c>
      <c r="F15" s="13"/>
      <c r="G15" s="13"/>
      <c r="I15" s="14" t="s">
        <v>91</v>
      </c>
      <c r="J15">
        <v>0.41666666666666669</v>
      </c>
      <c r="K15">
        <v>0.1</v>
      </c>
      <c r="L15">
        <v>0.1</v>
      </c>
    </row>
    <row r="16" spans="1:12" x14ac:dyDescent="0.3">
      <c r="A16" s="37">
        <v>67</v>
      </c>
      <c r="B16">
        <v>42</v>
      </c>
      <c r="C16">
        <v>0</v>
      </c>
      <c r="D16">
        <v>11</v>
      </c>
      <c r="E16" s="13">
        <v>0.62686567164179108</v>
      </c>
      <c r="F16" s="13"/>
      <c r="G16" s="13"/>
      <c r="I16" s="14" t="s">
        <v>88</v>
      </c>
      <c r="J16">
        <v>0.26829268292682928</v>
      </c>
      <c r="K16">
        <v>9.0909090909090912E-2</v>
      </c>
      <c r="L16">
        <v>0</v>
      </c>
    </row>
    <row r="17" spans="1:40" x14ac:dyDescent="0.3">
      <c r="A17" s="14" t="s">
        <v>97</v>
      </c>
      <c r="B17">
        <v>45</v>
      </c>
      <c r="C17">
        <v>0</v>
      </c>
      <c r="D17">
        <v>0</v>
      </c>
      <c r="E17" s="13">
        <v>1</v>
      </c>
      <c r="F17" s="13"/>
      <c r="G17" s="13"/>
      <c r="I17" s="14" t="s">
        <v>90</v>
      </c>
      <c r="J17">
        <v>0.17241379310344829</v>
      </c>
      <c r="K17">
        <v>0</v>
      </c>
      <c r="L17">
        <v>0</v>
      </c>
    </row>
    <row r="18" spans="1:40" x14ac:dyDescent="0.3">
      <c r="A18" s="37">
        <v>45</v>
      </c>
      <c r="B18">
        <v>45</v>
      </c>
      <c r="C18">
        <v>0</v>
      </c>
      <c r="D18">
        <v>0</v>
      </c>
      <c r="E18" s="13">
        <v>1</v>
      </c>
      <c r="F18" s="13"/>
      <c r="G18" s="13"/>
      <c r="I18" s="14" t="s">
        <v>100</v>
      </c>
      <c r="J18">
        <v>0.32</v>
      </c>
      <c r="K18">
        <v>0.1875</v>
      </c>
      <c r="L18">
        <v>6.25E-2</v>
      </c>
    </row>
    <row r="19" spans="1:40" x14ac:dyDescent="0.3">
      <c r="A19" s="14" t="s">
        <v>98</v>
      </c>
      <c r="B19">
        <v>64</v>
      </c>
      <c r="C19">
        <v>0</v>
      </c>
      <c r="D19">
        <v>16</v>
      </c>
      <c r="E19" s="13">
        <v>1</v>
      </c>
      <c r="F19" s="13"/>
      <c r="G19" s="13"/>
      <c r="I19" s="12" t="s">
        <v>25</v>
      </c>
      <c r="J19">
        <v>0.15950920245398773</v>
      </c>
      <c r="K19">
        <v>7.407407407407407E-2</v>
      </c>
      <c r="L19">
        <v>0.1111111111111111</v>
      </c>
    </row>
    <row r="20" spans="1:40" x14ac:dyDescent="0.3">
      <c r="A20" s="37">
        <v>64</v>
      </c>
      <c r="B20">
        <v>64</v>
      </c>
      <c r="C20">
        <v>0</v>
      </c>
      <c r="D20">
        <v>16</v>
      </c>
      <c r="E20" s="13">
        <v>1</v>
      </c>
      <c r="I20" s="14" t="s">
        <v>93</v>
      </c>
      <c r="J20">
        <v>0.20454545454545456</v>
      </c>
      <c r="K20">
        <v>0.1111111111111111</v>
      </c>
      <c r="L20">
        <v>0.22222222222222221</v>
      </c>
    </row>
    <row r="21" spans="1:40" x14ac:dyDescent="0.3">
      <c r="A21" s="14" t="s">
        <v>99</v>
      </c>
      <c r="B21">
        <v>44</v>
      </c>
      <c r="C21">
        <v>2</v>
      </c>
      <c r="D21">
        <v>11</v>
      </c>
      <c r="E21" s="13">
        <v>1</v>
      </c>
      <c r="I21" s="14" t="s">
        <v>94</v>
      </c>
      <c r="J21">
        <v>0.19230769230769232</v>
      </c>
      <c r="K21">
        <v>0</v>
      </c>
      <c r="L21">
        <v>0.2</v>
      </c>
    </row>
    <row r="22" spans="1:40" x14ac:dyDescent="0.3">
      <c r="A22" s="37">
        <v>44</v>
      </c>
      <c r="B22">
        <v>44</v>
      </c>
      <c r="C22">
        <v>2</v>
      </c>
      <c r="D22">
        <v>11</v>
      </c>
      <c r="E22" s="13">
        <v>1</v>
      </c>
      <c r="I22" s="14" t="s">
        <v>92</v>
      </c>
      <c r="J22">
        <v>0.16666666666666666</v>
      </c>
      <c r="K22">
        <v>0.25</v>
      </c>
      <c r="L22">
        <v>0</v>
      </c>
    </row>
    <row r="23" spans="1:40" x14ac:dyDescent="0.3">
      <c r="A23" s="14" t="s">
        <v>91</v>
      </c>
      <c r="B23">
        <v>48</v>
      </c>
      <c r="C23">
        <v>20</v>
      </c>
      <c r="D23">
        <v>20</v>
      </c>
      <c r="E23" s="13">
        <v>1</v>
      </c>
      <c r="I23" s="14" t="s">
        <v>96</v>
      </c>
      <c r="J23">
        <v>0.17647058823529413</v>
      </c>
      <c r="K23">
        <v>0</v>
      </c>
      <c r="L23">
        <v>0</v>
      </c>
    </row>
    <row r="24" spans="1:40" x14ac:dyDescent="0.3">
      <c r="A24" s="37">
        <v>48</v>
      </c>
      <c r="B24">
        <v>48</v>
      </c>
      <c r="C24">
        <v>20</v>
      </c>
      <c r="D24">
        <v>20</v>
      </c>
      <c r="E24" s="13">
        <v>1</v>
      </c>
      <c r="I24" s="14" t="s">
        <v>95</v>
      </c>
      <c r="J24">
        <v>5.7142857142857141E-2</v>
      </c>
      <c r="K24">
        <v>0</v>
      </c>
      <c r="L24">
        <v>0</v>
      </c>
    </row>
    <row r="25" spans="1:40" x14ac:dyDescent="0.3">
      <c r="A25" s="14" t="s">
        <v>88</v>
      </c>
      <c r="B25">
        <v>41</v>
      </c>
      <c r="C25">
        <v>11</v>
      </c>
      <c r="D25">
        <v>11</v>
      </c>
      <c r="E25" s="13">
        <v>1</v>
      </c>
      <c r="I25" s="12" t="s">
        <v>23</v>
      </c>
      <c r="J25">
        <v>0.23592085235920851</v>
      </c>
      <c r="K25">
        <v>7.6923076923076927E-2</v>
      </c>
      <c r="L25">
        <v>5.4054054054054057E-2</v>
      </c>
    </row>
    <row r="26" spans="1:40" x14ac:dyDescent="0.3">
      <c r="A26" s="37">
        <v>41</v>
      </c>
      <c r="B26">
        <v>41</v>
      </c>
      <c r="C26">
        <v>11</v>
      </c>
      <c r="D26">
        <v>11</v>
      </c>
      <c r="E26" s="13">
        <v>1</v>
      </c>
      <c r="I26"/>
      <c r="AN26" s="13"/>
    </row>
    <row r="27" spans="1:40" x14ac:dyDescent="0.3">
      <c r="A27" s="14" t="s">
        <v>90</v>
      </c>
      <c r="B27">
        <v>29</v>
      </c>
      <c r="C27">
        <v>5</v>
      </c>
      <c r="D27">
        <v>5</v>
      </c>
      <c r="E27" s="13">
        <v>1</v>
      </c>
      <c r="I27"/>
    </row>
    <row r="28" spans="1:40" x14ac:dyDescent="0.3">
      <c r="A28" s="37">
        <v>29</v>
      </c>
      <c r="B28">
        <v>29</v>
      </c>
      <c r="C28">
        <v>5</v>
      </c>
      <c r="D28">
        <v>5</v>
      </c>
      <c r="E28" s="13">
        <v>1</v>
      </c>
      <c r="I28"/>
    </row>
    <row r="29" spans="1:40" x14ac:dyDescent="0.3">
      <c r="A29" s="14" t="s">
        <v>100</v>
      </c>
      <c r="B29">
        <v>50</v>
      </c>
      <c r="C29">
        <v>16</v>
      </c>
      <c r="D29">
        <v>16</v>
      </c>
      <c r="E29" s="13">
        <v>1</v>
      </c>
      <c r="I29"/>
    </row>
    <row r="30" spans="1:40" x14ac:dyDescent="0.3">
      <c r="A30" s="37">
        <v>50</v>
      </c>
      <c r="B30">
        <v>50</v>
      </c>
      <c r="C30">
        <v>16</v>
      </c>
      <c r="D30">
        <v>16</v>
      </c>
      <c r="E30" s="13">
        <v>1</v>
      </c>
      <c r="I30"/>
    </row>
    <row r="31" spans="1:40" x14ac:dyDescent="0.3">
      <c r="A31" s="12" t="s">
        <v>25</v>
      </c>
      <c r="B31">
        <v>163</v>
      </c>
      <c r="C31">
        <v>27</v>
      </c>
      <c r="D31">
        <v>27</v>
      </c>
      <c r="E31" s="13">
        <v>0.8232323232323232</v>
      </c>
      <c r="I31"/>
    </row>
    <row r="32" spans="1:40" x14ac:dyDescent="0.3">
      <c r="A32" s="14" t="s">
        <v>93</v>
      </c>
      <c r="B32">
        <v>44</v>
      </c>
      <c r="C32">
        <v>9</v>
      </c>
      <c r="D32">
        <v>9</v>
      </c>
      <c r="E32" s="13">
        <v>1</v>
      </c>
      <c r="I32"/>
    </row>
    <row r="33" spans="1:9" x14ac:dyDescent="0.3">
      <c r="A33" s="37">
        <v>44</v>
      </c>
      <c r="B33">
        <v>44</v>
      </c>
      <c r="C33">
        <v>9</v>
      </c>
      <c r="D33">
        <v>9</v>
      </c>
      <c r="E33" s="13">
        <v>1</v>
      </c>
      <c r="I33"/>
    </row>
    <row r="34" spans="1:9" x14ac:dyDescent="0.3">
      <c r="A34" s="14" t="s">
        <v>94</v>
      </c>
      <c r="B34">
        <v>26</v>
      </c>
      <c r="C34">
        <v>5</v>
      </c>
      <c r="D34">
        <v>5</v>
      </c>
      <c r="E34" s="13">
        <v>1</v>
      </c>
      <c r="I34"/>
    </row>
    <row r="35" spans="1:9" x14ac:dyDescent="0.3">
      <c r="A35" s="37">
        <v>26</v>
      </c>
      <c r="B35">
        <v>26</v>
      </c>
      <c r="C35">
        <v>5</v>
      </c>
      <c r="D35">
        <v>5</v>
      </c>
      <c r="E35" s="13">
        <v>1</v>
      </c>
      <c r="I35"/>
    </row>
    <row r="36" spans="1:9" x14ac:dyDescent="0.3">
      <c r="A36" s="14" t="s">
        <v>92</v>
      </c>
      <c r="B36">
        <v>24</v>
      </c>
      <c r="C36">
        <v>4</v>
      </c>
      <c r="D36">
        <v>4</v>
      </c>
      <c r="E36" s="13">
        <v>1</v>
      </c>
      <c r="I36"/>
    </row>
    <row r="37" spans="1:9" x14ac:dyDescent="0.3">
      <c r="A37" s="37">
        <v>24</v>
      </c>
      <c r="B37">
        <v>24</v>
      </c>
      <c r="C37">
        <v>4</v>
      </c>
      <c r="D37">
        <v>4</v>
      </c>
      <c r="E37" s="13">
        <v>1</v>
      </c>
      <c r="I37"/>
    </row>
    <row r="38" spans="1:9" x14ac:dyDescent="0.3">
      <c r="A38" s="14" t="s">
        <v>96</v>
      </c>
      <c r="B38">
        <v>34</v>
      </c>
      <c r="C38">
        <v>6</v>
      </c>
      <c r="D38">
        <v>6</v>
      </c>
      <c r="E38" s="13">
        <v>0.97142857142857142</v>
      </c>
      <c r="I38"/>
    </row>
    <row r="39" spans="1:9" x14ac:dyDescent="0.3">
      <c r="A39" s="37">
        <v>35</v>
      </c>
      <c r="B39">
        <v>34</v>
      </c>
      <c r="C39">
        <v>6</v>
      </c>
      <c r="D39">
        <v>6</v>
      </c>
      <c r="E39" s="13">
        <v>0.97142857142857142</v>
      </c>
      <c r="I39"/>
    </row>
    <row r="40" spans="1:9" x14ac:dyDescent="0.3">
      <c r="A40" s="14" t="s">
        <v>95</v>
      </c>
      <c r="B40">
        <v>35</v>
      </c>
      <c r="C40">
        <v>3</v>
      </c>
      <c r="D40">
        <v>3</v>
      </c>
      <c r="E40" s="13">
        <v>0.50724637681159424</v>
      </c>
      <c r="I40"/>
    </row>
    <row r="41" spans="1:9" x14ac:dyDescent="0.3">
      <c r="A41" s="37">
        <v>69</v>
      </c>
      <c r="B41">
        <v>35</v>
      </c>
      <c r="C41">
        <v>3</v>
      </c>
      <c r="D41">
        <v>3</v>
      </c>
      <c r="E41" s="13">
        <v>0.50724637681159424</v>
      </c>
      <c r="I41"/>
    </row>
    <row r="42" spans="1:9" x14ac:dyDescent="0.3">
      <c r="A42" s="12" t="s">
        <v>23</v>
      </c>
      <c r="B42">
        <v>657</v>
      </c>
      <c r="C42">
        <v>104</v>
      </c>
      <c r="D42">
        <v>148</v>
      </c>
      <c r="E42" s="13">
        <v>0.9</v>
      </c>
      <c r="I42"/>
    </row>
    <row r="43" spans="1:9" x14ac:dyDescent="0.3">
      <c r="I43"/>
    </row>
    <row r="44" spans="1:9" x14ac:dyDescent="0.3">
      <c r="I44"/>
    </row>
    <row r="45" spans="1:9" x14ac:dyDescent="0.3">
      <c r="I45"/>
    </row>
    <row r="46" spans="1:9" x14ac:dyDescent="0.3">
      <c r="I46"/>
    </row>
    <row r="47" spans="1:9" x14ac:dyDescent="0.3">
      <c r="I47"/>
    </row>
    <row r="48" spans="1:9" x14ac:dyDescent="0.3">
      <c r="I48"/>
    </row>
    <row r="49" spans="9:9" x14ac:dyDescent="0.3">
      <c r="I49"/>
    </row>
    <row r="50" spans="9:9" x14ac:dyDescent="0.3">
      <c r="I50"/>
    </row>
    <row r="51" spans="9:9" x14ac:dyDescent="0.3">
      <c r="I51"/>
    </row>
    <row r="52" spans="9:9" x14ac:dyDescent="0.3">
      <c r="I52"/>
    </row>
    <row r="53" spans="9:9" x14ac:dyDescent="0.3">
      <c r="I53"/>
    </row>
    <row r="54" spans="9:9" x14ac:dyDescent="0.3">
      <c r="I54"/>
    </row>
    <row r="55" spans="9:9" x14ac:dyDescent="0.3">
      <c r="I55"/>
    </row>
    <row r="56" spans="9:9" x14ac:dyDescent="0.3">
      <c r="I56"/>
    </row>
    <row r="57" spans="9:9" x14ac:dyDescent="0.3">
      <c r="I57"/>
    </row>
    <row r="58" spans="9:9" x14ac:dyDescent="0.3">
      <c r="I58"/>
    </row>
    <row r="59" spans="9:9" x14ac:dyDescent="0.3">
      <c r="I59"/>
    </row>
    <row r="60" spans="9:9" x14ac:dyDescent="0.3">
      <c r="I60"/>
    </row>
    <row r="61" spans="9:9" x14ac:dyDescent="0.3">
      <c r="I61"/>
    </row>
    <row r="62" spans="9:9" x14ac:dyDescent="0.3">
      <c r="I62"/>
    </row>
    <row r="63" spans="9:9" x14ac:dyDescent="0.3">
      <c r="I63"/>
    </row>
    <row r="64" spans="9:9" x14ac:dyDescent="0.3">
      <c r="I64"/>
    </row>
    <row r="65" spans="9:9" x14ac:dyDescent="0.3">
      <c r="I65"/>
    </row>
    <row r="66" spans="9:9" x14ac:dyDescent="0.3">
      <c r="I66"/>
    </row>
    <row r="67" spans="9:9" x14ac:dyDescent="0.3">
      <c r="I67"/>
    </row>
    <row r="68" spans="9:9" x14ac:dyDescent="0.3">
      <c r="I68"/>
    </row>
    <row r="69" spans="9:9" x14ac:dyDescent="0.3">
      <c r="I69"/>
    </row>
    <row r="70" spans="9:9" x14ac:dyDescent="0.3">
      <c r="I70"/>
    </row>
    <row r="71" spans="9:9" x14ac:dyDescent="0.3">
      <c r="I71"/>
    </row>
    <row r="72" spans="9:9" x14ac:dyDescent="0.3">
      <c r="I72"/>
    </row>
    <row r="73" spans="9:9" x14ac:dyDescent="0.3">
      <c r="I73"/>
    </row>
    <row r="74" spans="9:9" x14ac:dyDescent="0.3">
      <c r="I74"/>
    </row>
    <row r="75" spans="9:9" x14ac:dyDescent="0.3">
      <c r="I75"/>
    </row>
    <row r="76" spans="9:9" x14ac:dyDescent="0.3">
      <c r="I76"/>
    </row>
    <row r="77" spans="9:9" x14ac:dyDescent="0.3">
      <c r="I77"/>
    </row>
    <row r="78" spans="9:9" x14ac:dyDescent="0.3">
      <c r="I78"/>
    </row>
    <row r="79" spans="9:9" x14ac:dyDescent="0.3">
      <c r="I79"/>
    </row>
    <row r="80" spans="9:9" x14ac:dyDescent="0.3">
      <c r="I80"/>
    </row>
    <row r="81" spans="9:9" x14ac:dyDescent="0.3">
      <c r="I81"/>
    </row>
    <row r="82" spans="9:9" x14ac:dyDescent="0.3">
      <c r="I82"/>
    </row>
    <row r="83" spans="9:9" x14ac:dyDescent="0.3">
      <c r="I83"/>
    </row>
    <row r="84" spans="9:9" x14ac:dyDescent="0.3">
      <c r="I84"/>
    </row>
    <row r="85" spans="9:9" x14ac:dyDescent="0.3">
      <c r="I85"/>
    </row>
    <row r="86" spans="9:9" x14ac:dyDescent="0.3">
      <c r="I86"/>
    </row>
    <row r="87" spans="9:9" x14ac:dyDescent="0.3">
      <c r="I87"/>
    </row>
    <row r="88" spans="9:9" x14ac:dyDescent="0.3">
      <c r="I88"/>
    </row>
    <row r="89" spans="9:9" x14ac:dyDescent="0.3">
      <c r="I89"/>
    </row>
    <row r="90" spans="9:9" x14ac:dyDescent="0.3">
      <c r="I90"/>
    </row>
    <row r="91" spans="9:9" x14ac:dyDescent="0.3">
      <c r="I91"/>
    </row>
    <row r="92" spans="9:9" x14ac:dyDescent="0.3">
      <c r="I92"/>
    </row>
    <row r="93" spans="9:9" x14ac:dyDescent="0.3">
      <c r="I93"/>
    </row>
    <row r="94" spans="9:9" x14ac:dyDescent="0.3">
      <c r="I94"/>
    </row>
    <row r="95" spans="9:9" x14ac:dyDescent="0.3">
      <c r="I95"/>
    </row>
    <row r="96" spans="9:9" x14ac:dyDescent="0.3">
      <c r="I96"/>
    </row>
    <row r="97" spans="9:9" x14ac:dyDescent="0.3">
      <c r="I97"/>
    </row>
    <row r="98" spans="9:9" x14ac:dyDescent="0.3">
      <c r="I98"/>
    </row>
    <row r="99" spans="9:9" x14ac:dyDescent="0.3">
      <c r="I99"/>
    </row>
    <row r="100" spans="9:9" x14ac:dyDescent="0.3">
      <c r="I100"/>
    </row>
    <row r="101" spans="9:9" x14ac:dyDescent="0.3">
      <c r="I101"/>
    </row>
    <row r="102" spans="9:9" x14ac:dyDescent="0.3">
      <c r="I102"/>
    </row>
    <row r="103" spans="9:9" x14ac:dyDescent="0.3">
      <c r="I103"/>
    </row>
    <row r="104" spans="9:9" x14ac:dyDescent="0.3">
      <c r="I104"/>
    </row>
    <row r="105" spans="9:9" x14ac:dyDescent="0.3">
      <c r="I105"/>
    </row>
    <row r="106" spans="9:9" x14ac:dyDescent="0.3">
      <c r="I106"/>
    </row>
    <row r="107" spans="9:9" x14ac:dyDescent="0.3">
      <c r="I107"/>
    </row>
    <row r="108" spans="9:9" x14ac:dyDescent="0.3">
      <c r="I108"/>
    </row>
    <row r="109" spans="9:9" x14ac:dyDescent="0.3">
      <c r="I109"/>
    </row>
    <row r="110" spans="9:9" x14ac:dyDescent="0.3">
      <c r="I110"/>
    </row>
    <row r="111" spans="9:9" x14ac:dyDescent="0.3">
      <c r="I111"/>
    </row>
    <row r="112" spans="9:9" x14ac:dyDescent="0.3">
      <c r="I112"/>
    </row>
    <row r="113" spans="9:9" x14ac:dyDescent="0.3">
      <c r="I113"/>
    </row>
    <row r="114" spans="9:9" x14ac:dyDescent="0.3">
      <c r="I114"/>
    </row>
    <row r="115" spans="9:9" x14ac:dyDescent="0.3">
      <c r="I115"/>
    </row>
    <row r="116" spans="9:9" x14ac:dyDescent="0.3">
      <c r="I116"/>
    </row>
    <row r="117" spans="9:9" x14ac:dyDescent="0.3">
      <c r="I117"/>
    </row>
    <row r="118" spans="9:9" x14ac:dyDescent="0.3">
      <c r="I118"/>
    </row>
    <row r="119" spans="9:9" x14ac:dyDescent="0.3">
      <c r="I119"/>
    </row>
    <row r="120" spans="9:9" x14ac:dyDescent="0.3">
      <c r="I120"/>
    </row>
    <row r="121" spans="9:9" x14ac:dyDescent="0.3">
      <c r="I121"/>
    </row>
    <row r="122" spans="9:9" x14ac:dyDescent="0.3">
      <c r="I122"/>
    </row>
    <row r="123" spans="9:9" x14ac:dyDescent="0.3">
      <c r="I123"/>
    </row>
    <row r="124" spans="9:9" x14ac:dyDescent="0.3">
      <c r="I124"/>
    </row>
    <row r="125" spans="9:9" x14ac:dyDescent="0.3">
      <c r="I125"/>
    </row>
    <row r="126" spans="9:9" x14ac:dyDescent="0.3">
      <c r="I126"/>
    </row>
    <row r="127" spans="9:9" x14ac:dyDescent="0.3">
      <c r="I127"/>
    </row>
    <row r="128" spans="9:9" x14ac:dyDescent="0.3">
      <c r="I128"/>
    </row>
    <row r="129" spans="9:9" x14ac:dyDescent="0.3">
      <c r="I129"/>
    </row>
    <row r="130" spans="9:9" x14ac:dyDescent="0.3">
      <c r="I130"/>
    </row>
    <row r="131" spans="9:9" x14ac:dyDescent="0.3">
      <c r="I131"/>
    </row>
    <row r="132" spans="9:9" x14ac:dyDescent="0.3">
      <c r="I132"/>
    </row>
    <row r="133" spans="9:9" x14ac:dyDescent="0.3">
      <c r="I133"/>
    </row>
    <row r="134" spans="9:9" x14ac:dyDescent="0.3">
      <c r="I134"/>
    </row>
    <row r="135" spans="9:9" x14ac:dyDescent="0.3">
      <c r="I135"/>
    </row>
    <row r="136" spans="9:9" x14ac:dyDescent="0.3">
      <c r="I136"/>
    </row>
    <row r="137" spans="9:9" x14ac:dyDescent="0.3">
      <c r="I137"/>
    </row>
    <row r="138" spans="9:9" x14ac:dyDescent="0.3">
      <c r="I138"/>
    </row>
    <row r="139" spans="9:9" x14ac:dyDescent="0.3">
      <c r="I139"/>
    </row>
    <row r="140" spans="9:9" x14ac:dyDescent="0.3">
      <c r="I140"/>
    </row>
    <row r="141" spans="9:9" x14ac:dyDescent="0.3">
      <c r="I141"/>
    </row>
    <row r="142" spans="9:9" x14ac:dyDescent="0.3">
      <c r="I142"/>
    </row>
    <row r="143" spans="9:9" x14ac:dyDescent="0.3">
      <c r="I143"/>
    </row>
    <row r="144" spans="9:9" x14ac:dyDescent="0.3">
      <c r="I144"/>
    </row>
    <row r="145" spans="9:9" x14ac:dyDescent="0.3">
      <c r="I145"/>
    </row>
    <row r="146" spans="9:9" x14ac:dyDescent="0.3">
      <c r="I146"/>
    </row>
    <row r="147" spans="9:9" x14ac:dyDescent="0.3">
      <c r="I147"/>
    </row>
    <row r="148" spans="9:9" x14ac:dyDescent="0.3">
      <c r="I148"/>
    </row>
    <row r="149" spans="9:9" x14ac:dyDescent="0.3">
      <c r="I149"/>
    </row>
    <row r="150" spans="9:9" x14ac:dyDescent="0.3">
      <c r="I150"/>
    </row>
    <row r="151" spans="9:9" x14ac:dyDescent="0.3">
      <c r="I151"/>
    </row>
    <row r="152" spans="9:9" x14ac:dyDescent="0.3">
      <c r="I152"/>
    </row>
    <row r="153" spans="9:9" x14ac:dyDescent="0.3">
      <c r="I153"/>
    </row>
    <row r="154" spans="9:9" x14ac:dyDescent="0.3">
      <c r="I154"/>
    </row>
    <row r="155" spans="9:9" x14ac:dyDescent="0.3">
      <c r="I155"/>
    </row>
    <row r="156" spans="9:9" x14ac:dyDescent="0.3">
      <c r="I156"/>
    </row>
    <row r="157" spans="9:9" x14ac:dyDescent="0.3">
      <c r="I157"/>
    </row>
    <row r="158" spans="9:9" x14ac:dyDescent="0.3">
      <c r="I158"/>
    </row>
    <row r="159" spans="9:9" x14ac:dyDescent="0.3">
      <c r="I159"/>
    </row>
    <row r="160" spans="9:9" x14ac:dyDescent="0.3">
      <c r="I160"/>
    </row>
    <row r="161" spans="9:9" x14ac:dyDescent="0.3">
      <c r="I161"/>
    </row>
    <row r="162" spans="9:9" x14ac:dyDescent="0.3">
      <c r="I162"/>
    </row>
    <row r="163" spans="9:9" x14ac:dyDescent="0.3">
      <c r="I163"/>
    </row>
    <row r="164" spans="9:9" x14ac:dyDescent="0.3">
      <c r="I164"/>
    </row>
    <row r="165" spans="9:9" x14ac:dyDescent="0.3">
      <c r="I165"/>
    </row>
    <row r="166" spans="9:9" x14ac:dyDescent="0.3">
      <c r="I166"/>
    </row>
    <row r="167" spans="9:9" x14ac:dyDescent="0.3">
      <c r="I167"/>
    </row>
    <row r="168" spans="9:9" x14ac:dyDescent="0.3">
      <c r="I168"/>
    </row>
    <row r="169" spans="9:9" x14ac:dyDescent="0.3">
      <c r="I169"/>
    </row>
    <row r="170" spans="9:9" x14ac:dyDescent="0.3">
      <c r="I170"/>
    </row>
    <row r="171" spans="9:9" x14ac:dyDescent="0.3">
      <c r="I171"/>
    </row>
    <row r="172" spans="9:9" x14ac:dyDescent="0.3">
      <c r="I172"/>
    </row>
    <row r="173" spans="9:9" x14ac:dyDescent="0.3">
      <c r="I173"/>
    </row>
    <row r="174" spans="9:9" x14ac:dyDescent="0.3">
      <c r="I174"/>
    </row>
    <row r="175" spans="9:9" x14ac:dyDescent="0.3">
      <c r="I175"/>
    </row>
    <row r="176" spans="9:9" x14ac:dyDescent="0.3">
      <c r="I176"/>
    </row>
    <row r="177" spans="9:9" x14ac:dyDescent="0.3">
      <c r="I177"/>
    </row>
    <row r="178" spans="9:9" x14ac:dyDescent="0.3">
      <c r="I178"/>
    </row>
    <row r="179" spans="9:9" x14ac:dyDescent="0.3">
      <c r="I179"/>
    </row>
    <row r="180" spans="9:9" x14ac:dyDescent="0.3">
      <c r="I180"/>
    </row>
    <row r="181" spans="9:9" x14ac:dyDescent="0.3">
      <c r="I181"/>
    </row>
    <row r="182" spans="9:9" x14ac:dyDescent="0.3">
      <c r="I182"/>
    </row>
    <row r="183" spans="9:9" x14ac:dyDescent="0.3">
      <c r="I183"/>
    </row>
    <row r="184" spans="9:9" x14ac:dyDescent="0.3">
      <c r="I184"/>
    </row>
    <row r="185" spans="9:9" x14ac:dyDescent="0.3">
      <c r="I185"/>
    </row>
    <row r="186" spans="9:9" x14ac:dyDescent="0.3">
      <c r="I186"/>
    </row>
    <row r="187" spans="9:9" x14ac:dyDescent="0.3">
      <c r="I187"/>
    </row>
    <row r="188" spans="9:9" x14ac:dyDescent="0.3">
      <c r="I188"/>
    </row>
    <row r="189" spans="9:9" x14ac:dyDescent="0.3">
      <c r="I189"/>
    </row>
    <row r="190" spans="9:9" x14ac:dyDescent="0.3">
      <c r="I190"/>
    </row>
    <row r="191" spans="9:9" x14ac:dyDescent="0.3">
      <c r="I191"/>
    </row>
    <row r="192" spans="9:9" x14ac:dyDescent="0.3">
      <c r="I192"/>
    </row>
    <row r="193" spans="9:9" x14ac:dyDescent="0.3">
      <c r="I193"/>
    </row>
    <row r="194" spans="9:9" x14ac:dyDescent="0.3">
      <c r="I194"/>
    </row>
    <row r="195" spans="9:9" x14ac:dyDescent="0.3">
      <c r="I195"/>
    </row>
    <row r="196" spans="9:9" x14ac:dyDescent="0.3">
      <c r="I196"/>
    </row>
    <row r="197" spans="9:9" x14ac:dyDescent="0.3">
      <c r="I197"/>
    </row>
    <row r="198" spans="9:9" x14ac:dyDescent="0.3">
      <c r="I198"/>
    </row>
    <row r="199" spans="9:9" x14ac:dyDescent="0.3">
      <c r="I199"/>
    </row>
    <row r="200" spans="9:9" x14ac:dyDescent="0.3">
      <c r="I200"/>
    </row>
    <row r="201" spans="9:9" x14ac:dyDescent="0.3">
      <c r="I201"/>
    </row>
    <row r="202" spans="9:9" x14ac:dyDescent="0.3">
      <c r="I202"/>
    </row>
    <row r="203" spans="9:9" x14ac:dyDescent="0.3">
      <c r="I203"/>
    </row>
    <row r="204" spans="9:9" x14ac:dyDescent="0.3">
      <c r="I204"/>
    </row>
    <row r="205" spans="9:9" x14ac:dyDescent="0.3">
      <c r="I205"/>
    </row>
    <row r="206" spans="9:9" x14ac:dyDescent="0.3">
      <c r="I206"/>
    </row>
    <row r="207" spans="9:9" x14ac:dyDescent="0.3">
      <c r="I207"/>
    </row>
    <row r="208" spans="9:9" x14ac:dyDescent="0.3">
      <c r="I208"/>
    </row>
    <row r="209" spans="9:9" x14ac:dyDescent="0.3">
      <c r="I209"/>
    </row>
    <row r="210" spans="9:9" x14ac:dyDescent="0.3">
      <c r="I210"/>
    </row>
    <row r="211" spans="9:9" x14ac:dyDescent="0.3">
      <c r="I211"/>
    </row>
    <row r="212" spans="9:9" x14ac:dyDescent="0.3">
      <c r="I212"/>
    </row>
    <row r="213" spans="9:9" x14ac:dyDescent="0.3">
      <c r="I213"/>
    </row>
    <row r="214" spans="9:9" x14ac:dyDescent="0.3">
      <c r="I214"/>
    </row>
    <row r="215" spans="9:9" x14ac:dyDescent="0.3">
      <c r="I215"/>
    </row>
    <row r="216" spans="9:9" x14ac:dyDescent="0.3">
      <c r="I216"/>
    </row>
    <row r="217" spans="9:9" x14ac:dyDescent="0.3">
      <c r="I217"/>
    </row>
    <row r="218" spans="9:9" x14ac:dyDescent="0.3">
      <c r="I218"/>
    </row>
    <row r="219" spans="9:9" x14ac:dyDescent="0.3">
      <c r="I219"/>
    </row>
    <row r="220" spans="9:9" x14ac:dyDescent="0.3">
      <c r="I220"/>
    </row>
    <row r="221" spans="9:9" x14ac:dyDescent="0.3">
      <c r="I221"/>
    </row>
    <row r="222" spans="9:9" x14ac:dyDescent="0.3">
      <c r="I222"/>
    </row>
    <row r="223" spans="9:9" x14ac:dyDescent="0.3">
      <c r="I223"/>
    </row>
    <row r="224" spans="9:9" x14ac:dyDescent="0.3">
      <c r="I224"/>
    </row>
    <row r="225" spans="9:9" x14ac:dyDescent="0.3">
      <c r="I225"/>
    </row>
    <row r="226" spans="9:9" x14ac:dyDescent="0.3">
      <c r="I226"/>
    </row>
    <row r="227" spans="9:9" x14ac:dyDescent="0.3">
      <c r="I227"/>
    </row>
    <row r="228" spans="9:9" x14ac:dyDescent="0.3">
      <c r="I228"/>
    </row>
    <row r="229" spans="9:9" x14ac:dyDescent="0.3">
      <c r="I229"/>
    </row>
    <row r="230" spans="9:9" x14ac:dyDescent="0.3">
      <c r="I230"/>
    </row>
    <row r="231" spans="9:9" x14ac:dyDescent="0.3">
      <c r="I231"/>
    </row>
    <row r="232" spans="9:9" x14ac:dyDescent="0.3">
      <c r="I232"/>
    </row>
    <row r="233" spans="9:9" x14ac:dyDescent="0.3">
      <c r="I233"/>
    </row>
    <row r="234" spans="9:9" x14ac:dyDescent="0.3">
      <c r="I234"/>
    </row>
    <row r="235" spans="9:9" x14ac:dyDescent="0.3">
      <c r="I235"/>
    </row>
    <row r="236" spans="9:9" x14ac:dyDescent="0.3">
      <c r="I236"/>
    </row>
    <row r="237" spans="9:9" x14ac:dyDescent="0.3">
      <c r="I237"/>
    </row>
    <row r="238" spans="9:9" x14ac:dyDescent="0.3">
      <c r="I238"/>
    </row>
    <row r="239" spans="9:9" x14ac:dyDescent="0.3">
      <c r="I239"/>
    </row>
    <row r="240" spans="9:9" x14ac:dyDescent="0.3">
      <c r="I240"/>
    </row>
    <row r="241" spans="9:9" x14ac:dyDescent="0.3">
      <c r="I241"/>
    </row>
    <row r="242" spans="9:9" x14ac:dyDescent="0.3">
      <c r="I242"/>
    </row>
    <row r="243" spans="9:9" x14ac:dyDescent="0.3">
      <c r="I243"/>
    </row>
    <row r="244" spans="9:9" x14ac:dyDescent="0.3">
      <c r="I244"/>
    </row>
    <row r="245" spans="9:9" x14ac:dyDescent="0.3">
      <c r="I245"/>
    </row>
    <row r="246" spans="9:9" x14ac:dyDescent="0.3">
      <c r="I246"/>
    </row>
    <row r="247" spans="9:9" x14ac:dyDescent="0.3">
      <c r="I247"/>
    </row>
    <row r="248" spans="9:9" x14ac:dyDescent="0.3">
      <c r="I248"/>
    </row>
    <row r="249" spans="9:9" x14ac:dyDescent="0.3">
      <c r="I249"/>
    </row>
    <row r="250" spans="9:9" x14ac:dyDescent="0.3">
      <c r="I250"/>
    </row>
    <row r="251" spans="9:9" x14ac:dyDescent="0.3">
      <c r="I251"/>
    </row>
    <row r="252" spans="9:9" x14ac:dyDescent="0.3">
      <c r="I252"/>
    </row>
    <row r="253" spans="9:9" x14ac:dyDescent="0.3">
      <c r="I253"/>
    </row>
    <row r="254" spans="9:9" x14ac:dyDescent="0.3">
      <c r="I254"/>
    </row>
    <row r="255" spans="9:9" x14ac:dyDescent="0.3">
      <c r="I255"/>
    </row>
    <row r="256" spans="9:9" x14ac:dyDescent="0.3">
      <c r="I256"/>
    </row>
    <row r="257" spans="9:9" x14ac:dyDescent="0.3">
      <c r="I257"/>
    </row>
    <row r="258" spans="9:9" x14ac:dyDescent="0.3">
      <c r="I258"/>
    </row>
    <row r="259" spans="9:9" x14ac:dyDescent="0.3">
      <c r="I259"/>
    </row>
    <row r="260" spans="9:9" x14ac:dyDescent="0.3">
      <c r="I260"/>
    </row>
    <row r="261" spans="9:9" x14ac:dyDescent="0.3">
      <c r="I261"/>
    </row>
    <row r="262" spans="9:9" x14ac:dyDescent="0.3">
      <c r="I262"/>
    </row>
    <row r="263" spans="9:9" x14ac:dyDescent="0.3">
      <c r="I263"/>
    </row>
    <row r="264" spans="9:9" x14ac:dyDescent="0.3">
      <c r="I264"/>
    </row>
    <row r="265" spans="9:9" x14ac:dyDescent="0.3">
      <c r="I265"/>
    </row>
    <row r="266" spans="9:9" x14ac:dyDescent="0.3">
      <c r="I266"/>
    </row>
    <row r="267" spans="9:9" x14ac:dyDescent="0.3">
      <c r="I267"/>
    </row>
    <row r="268" spans="9:9" x14ac:dyDescent="0.3">
      <c r="I268"/>
    </row>
    <row r="269" spans="9:9" x14ac:dyDescent="0.3">
      <c r="I269"/>
    </row>
    <row r="270" spans="9:9" x14ac:dyDescent="0.3">
      <c r="I270"/>
    </row>
    <row r="271" spans="9:9" x14ac:dyDescent="0.3">
      <c r="I271"/>
    </row>
    <row r="272" spans="9:9" x14ac:dyDescent="0.3">
      <c r="I272"/>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C425C-7194-49DF-A7B1-8EE8DAE8501B}">
  <sheetPr codeName="Sheet7"/>
  <dimension ref="A3:O69"/>
  <sheetViews>
    <sheetView workbookViewId="0">
      <selection activeCell="S24" sqref="S24"/>
    </sheetView>
  </sheetViews>
  <sheetFormatPr defaultRowHeight="14.4" x14ac:dyDescent="0.3"/>
  <cols>
    <col min="1" max="1" width="14.33203125" bestFit="1" customWidth="1"/>
    <col min="2" max="5" width="20.33203125" bestFit="1" customWidth="1"/>
    <col min="6" max="6" width="12.109375" bestFit="1" customWidth="1"/>
    <col min="7" max="8" width="17" bestFit="1" customWidth="1"/>
    <col min="9" max="9" width="12.6640625" bestFit="1" customWidth="1"/>
    <col min="10" max="10" width="23.88671875" bestFit="1" customWidth="1"/>
    <col min="11" max="11" width="19.33203125" bestFit="1" customWidth="1"/>
    <col min="12" max="12" width="17.44140625" bestFit="1" customWidth="1"/>
    <col min="13" max="13" width="27" bestFit="1" customWidth="1"/>
    <col min="14" max="14" width="12.109375" bestFit="1" customWidth="1"/>
    <col min="15" max="15" width="13.33203125" bestFit="1" customWidth="1"/>
  </cols>
  <sheetData>
    <row r="3" spans="1:4" x14ac:dyDescent="0.3">
      <c r="A3" s="11" t="s">
        <v>0</v>
      </c>
      <c r="B3" t="s">
        <v>164</v>
      </c>
      <c r="C3" t="s">
        <v>10</v>
      </c>
      <c r="D3" t="s">
        <v>179</v>
      </c>
    </row>
    <row r="4" spans="1:4" x14ac:dyDescent="0.3">
      <c r="A4" s="12" t="s">
        <v>119</v>
      </c>
      <c r="B4">
        <v>15006</v>
      </c>
      <c r="C4">
        <v>13603</v>
      </c>
      <c r="D4" s="13">
        <v>0.9065040650406504</v>
      </c>
    </row>
    <row r="5" spans="1:4" x14ac:dyDescent="0.3">
      <c r="A5" s="12" t="s">
        <v>110</v>
      </c>
      <c r="B5">
        <v>7071</v>
      </c>
      <c r="C5">
        <v>6693</v>
      </c>
      <c r="D5" s="13">
        <v>0.94654221467967758</v>
      </c>
    </row>
    <row r="6" spans="1:4" x14ac:dyDescent="0.3">
      <c r="A6" s="12" t="s">
        <v>115</v>
      </c>
      <c r="B6">
        <v>6489</v>
      </c>
      <c r="C6">
        <v>5241</v>
      </c>
      <c r="D6" s="13">
        <v>0.80767452612112811</v>
      </c>
    </row>
    <row r="7" spans="1:4" x14ac:dyDescent="0.3">
      <c r="A7" s="12" t="s">
        <v>117</v>
      </c>
      <c r="B7">
        <v>5525</v>
      </c>
      <c r="C7">
        <v>5163</v>
      </c>
      <c r="D7" s="13">
        <v>0.93447963800904976</v>
      </c>
    </row>
    <row r="8" spans="1:4" x14ac:dyDescent="0.3">
      <c r="A8" s="12" t="s">
        <v>118</v>
      </c>
      <c r="B8">
        <v>4572</v>
      </c>
      <c r="C8">
        <v>3833</v>
      </c>
      <c r="D8" s="13">
        <v>0.83836395450568679</v>
      </c>
    </row>
    <row r="9" spans="1:4" x14ac:dyDescent="0.3">
      <c r="A9" s="12" t="s">
        <v>86</v>
      </c>
      <c r="B9">
        <v>2790</v>
      </c>
      <c r="C9">
        <v>1143</v>
      </c>
      <c r="D9" s="13">
        <v>0.4096774193548387</v>
      </c>
    </row>
    <row r="10" spans="1:4" x14ac:dyDescent="0.3">
      <c r="A10" s="12" t="s">
        <v>106</v>
      </c>
      <c r="B10">
        <v>1953</v>
      </c>
      <c r="C10">
        <v>1098</v>
      </c>
      <c r="D10" s="13">
        <v>0.56221198156682028</v>
      </c>
    </row>
    <row r="11" spans="1:4" x14ac:dyDescent="0.3">
      <c r="A11" s="12" t="s">
        <v>114</v>
      </c>
      <c r="B11">
        <v>1476</v>
      </c>
      <c r="C11">
        <v>953</v>
      </c>
      <c r="D11" s="13">
        <v>0.64566395663956644</v>
      </c>
    </row>
    <row r="12" spans="1:4" x14ac:dyDescent="0.3">
      <c r="A12" s="12" t="s">
        <v>103</v>
      </c>
      <c r="B12">
        <v>1099</v>
      </c>
      <c r="C12">
        <v>1062</v>
      </c>
      <c r="D12" s="13">
        <v>0.96633303002729753</v>
      </c>
    </row>
    <row r="13" spans="1:4" x14ac:dyDescent="0.3">
      <c r="A13" s="12" t="s">
        <v>102</v>
      </c>
      <c r="B13">
        <v>1011</v>
      </c>
      <c r="C13">
        <v>392</v>
      </c>
      <c r="D13" s="13">
        <v>0.3877349159248269</v>
      </c>
    </row>
    <row r="14" spans="1:4" x14ac:dyDescent="0.3">
      <c r="A14" s="12" t="s">
        <v>116</v>
      </c>
      <c r="B14">
        <v>666</v>
      </c>
      <c r="C14">
        <v>397</v>
      </c>
      <c r="D14" s="13">
        <v>0.59609609609609615</v>
      </c>
    </row>
    <row r="15" spans="1:4" x14ac:dyDescent="0.3">
      <c r="A15" s="12" t="s">
        <v>112</v>
      </c>
      <c r="B15">
        <v>582</v>
      </c>
      <c r="C15">
        <v>354</v>
      </c>
      <c r="D15" s="13">
        <v>0.60824742268041232</v>
      </c>
    </row>
    <row r="16" spans="1:4" x14ac:dyDescent="0.3">
      <c r="A16" s="12" t="s">
        <v>109</v>
      </c>
      <c r="B16">
        <v>375</v>
      </c>
      <c r="C16">
        <v>340</v>
      </c>
      <c r="D16" s="13">
        <v>0.90666666666666662</v>
      </c>
    </row>
    <row r="17" spans="1:6" x14ac:dyDescent="0.3">
      <c r="A17" s="12" t="s">
        <v>113</v>
      </c>
      <c r="B17">
        <v>299</v>
      </c>
      <c r="C17">
        <v>184</v>
      </c>
      <c r="D17" s="13">
        <v>0.61538461538461542</v>
      </c>
    </row>
    <row r="18" spans="1:6" x14ac:dyDescent="0.3">
      <c r="A18" s="12" t="s">
        <v>23</v>
      </c>
      <c r="B18">
        <v>48914</v>
      </c>
      <c r="C18">
        <v>40456</v>
      </c>
      <c r="D18">
        <v>0.82708427035204646</v>
      </c>
    </row>
    <row r="22" spans="1:6" x14ac:dyDescent="0.3">
      <c r="A22" s="11" t="s">
        <v>0</v>
      </c>
      <c r="B22" t="s">
        <v>165</v>
      </c>
      <c r="C22" t="s">
        <v>166</v>
      </c>
      <c r="D22" t="s">
        <v>167</v>
      </c>
      <c r="E22" t="s">
        <v>168</v>
      </c>
      <c r="F22" t="s">
        <v>180</v>
      </c>
    </row>
    <row r="23" spans="1:6" x14ac:dyDescent="0.3">
      <c r="A23" s="12" t="s">
        <v>86</v>
      </c>
      <c r="B23">
        <v>1598</v>
      </c>
      <c r="C23">
        <v>118</v>
      </c>
      <c r="D23">
        <v>33</v>
      </c>
      <c r="E23">
        <v>46</v>
      </c>
      <c r="F23">
        <v>1795</v>
      </c>
    </row>
    <row r="24" spans="1:6" x14ac:dyDescent="0.3">
      <c r="A24" s="12" t="s">
        <v>102</v>
      </c>
      <c r="B24">
        <v>522</v>
      </c>
      <c r="C24">
        <v>55</v>
      </c>
      <c r="D24">
        <v>9</v>
      </c>
      <c r="E24">
        <v>0</v>
      </c>
      <c r="F24">
        <v>586</v>
      </c>
    </row>
    <row r="25" spans="1:6" x14ac:dyDescent="0.3">
      <c r="A25" s="12" t="s">
        <v>103</v>
      </c>
      <c r="B25">
        <v>996</v>
      </c>
      <c r="C25">
        <v>40</v>
      </c>
      <c r="D25">
        <v>43</v>
      </c>
      <c r="E25">
        <v>20</v>
      </c>
      <c r="F25">
        <v>1099</v>
      </c>
    </row>
    <row r="26" spans="1:6" x14ac:dyDescent="0.3">
      <c r="A26" s="12" t="s">
        <v>106</v>
      </c>
      <c r="B26">
        <v>1718</v>
      </c>
      <c r="C26">
        <v>77</v>
      </c>
      <c r="D26">
        <v>113</v>
      </c>
      <c r="E26">
        <v>37</v>
      </c>
      <c r="F26">
        <v>1945</v>
      </c>
    </row>
    <row r="27" spans="1:6" x14ac:dyDescent="0.3">
      <c r="A27" s="12" t="s">
        <v>109</v>
      </c>
      <c r="B27">
        <v>247</v>
      </c>
      <c r="C27">
        <v>15</v>
      </c>
      <c r="D27">
        <v>64</v>
      </c>
      <c r="E27">
        <v>28</v>
      </c>
      <c r="F27">
        <v>354</v>
      </c>
    </row>
    <row r="28" spans="1:6" x14ac:dyDescent="0.3">
      <c r="A28" s="12" t="s">
        <v>110</v>
      </c>
      <c r="B28">
        <v>3160</v>
      </c>
      <c r="C28">
        <v>785</v>
      </c>
      <c r="D28">
        <v>1310</v>
      </c>
      <c r="E28">
        <v>1091</v>
      </c>
      <c r="F28">
        <v>6346</v>
      </c>
    </row>
    <row r="29" spans="1:6" x14ac:dyDescent="0.3">
      <c r="A29" s="12" t="s">
        <v>112</v>
      </c>
      <c r="B29">
        <v>412</v>
      </c>
      <c r="C29">
        <v>41</v>
      </c>
      <c r="D29">
        <v>111</v>
      </c>
      <c r="E29">
        <v>20</v>
      </c>
      <c r="F29">
        <v>584</v>
      </c>
    </row>
    <row r="30" spans="1:6" x14ac:dyDescent="0.3">
      <c r="A30" s="12" t="s">
        <v>114</v>
      </c>
      <c r="B30">
        <v>734</v>
      </c>
      <c r="C30">
        <v>124</v>
      </c>
      <c r="D30">
        <v>149</v>
      </c>
      <c r="E30">
        <v>101</v>
      </c>
      <c r="F30">
        <v>1108</v>
      </c>
    </row>
    <row r="31" spans="1:6" x14ac:dyDescent="0.3">
      <c r="A31" s="12" t="s">
        <v>115</v>
      </c>
      <c r="B31">
        <v>3889</v>
      </c>
      <c r="C31">
        <v>544</v>
      </c>
      <c r="D31">
        <v>768</v>
      </c>
      <c r="E31">
        <v>433</v>
      </c>
      <c r="F31">
        <v>5634</v>
      </c>
    </row>
    <row r="32" spans="1:6" x14ac:dyDescent="0.3">
      <c r="A32" s="12" t="s">
        <v>116</v>
      </c>
      <c r="B32">
        <v>394</v>
      </c>
      <c r="C32">
        <v>58</v>
      </c>
      <c r="D32">
        <v>74</v>
      </c>
      <c r="E32">
        <v>38</v>
      </c>
      <c r="F32">
        <v>564</v>
      </c>
    </row>
    <row r="33" spans="1:15" x14ac:dyDescent="0.3">
      <c r="A33" s="12" t="s">
        <v>117</v>
      </c>
      <c r="B33">
        <v>2552</v>
      </c>
      <c r="C33">
        <v>104</v>
      </c>
      <c r="D33">
        <v>2096</v>
      </c>
      <c r="E33">
        <v>728</v>
      </c>
      <c r="F33">
        <v>5480</v>
      </c>
    </row>
    <row r="34" spans="1:15" x14ac:dyDescent="0.3">
      <c r="A34" s="12" t="s">
        <v>118</v>
      </c>
      <c r="B34">
        <v>2377</v>
      </c>
      <c r="C34">
        <v>614</v>
      </c>
      <c r="D34">
        <v>1120</v>
      </c>
      <c r="E34">
        <v>497</v>
      </c>
      <c r="F34">
        <v>4608</v>
      </c>
    </row>
    <row r="35" spans="1:15" x14ac:dyDescent="0.3">
      <c r="A35" s="12" t="s">
        <v>119</v>
      </c>
      <c r="B35">
        <v>7470</v>
      </c>
      <c r="C35">
        <v>3104</v>
      </c>
      <c r="D35">
        <v>2427</v>
      </c>
      <c r="E35">
        <v>1864</v>
      </c>
      <c r="F35">
        <v>14865</v>
      </c>
    </row>
    <row r="36" spans="1:15" x14ac:dyDescent="0.3">
      <c r="A36" s="12" t="s">
        <v>113</v>
      </c>
      <c r="B36">
        <v>220</v>
      </c>
      <c r="C36">
        <v>0</v>
      </c>
      <c r="D36">
        <v>0</v>
      </c>
      <c r="E36">
        <v>0</v>
      </c>
      <c r="F36">
        <v>220</v>
      </c>
    </row>
    <row r="37" spans="1:15" x14ac:dyDescent="0.3">
      <c r="A37" s="12" t="s">
        <v>23</v>
      </c>
      <c r="B37">
        <v>26289</v>
      </c>
      <c r="C37">
        <v>5679</v>
      </c>
      <c r="D37">
        <v>8317</v>
      </c>
      <c r="E37">
        <v>4903</v>
      </c>
      <c r="F37">
        <v>45188</v>
      </c>
    </row>
    <row r="39" spans="1:15" x14ac:dyDescent="0.3">
      <c r="A39" s="11" t="s">
        <v>0</v>
      </c>
      <c r="B39" t="s">
        <v>10</v>
      </c>
      <c r="C39" t="s">
        <v>169</v>
      </c>
      <c r="D39" t="s">
        <v>11</v>
      </c>
      <c r="E39" t="s">
        <v>170</v>
      </c>
      <c r="F39" t="s">
        <v>171</v>
      </c>
      <c r="G39" t="s">
        <v>172</v>
      </c>
      <c r="H39" t="s">
        <v>12</v>
      </c>
      <c r="I39" t="s">
        <v>40</v>
      </c>
      <c r="J39" t="s">
        <v>34</v>
      </c>
      <c r="K39" t="s">
        <v>35</v>
      </c>
      <c r="L39" t="s">
        <v>36</v>
      </c>
      <c r="M39" t="s">
        <v>37</v>
      </c>
      <c r="N39" t="s">
        <v>38</v>
      </c>
      <c r="O39" t="s">
        <v>39</v>
      </c>
    </row>
    <row r="40" spans="1:15" x14ac:dyDescent="0.3">
      <c r="A40" s="12" t="s">
        <v>86</v>
      </c>
      <c r="B40">
        <v>1143</v>
      </c>
      <c r="C40">
        <v>212</v>
      </c>
      <c r="D40">
        <v>192</v>
      </c>
      <c r="E40">
        <v>15</v>
      </c>
      <c r="F40">
        <v>9</v>
      </c>
      <c r="G40">
        <v>0</v>
      </c>
      <c r="H40">
        <v>178</v>
      </c>
      <c r="I40">
        <v>18</v>
      </c>
      <c r="J40">
        <v>2</v>
      </c>
      <c r="K40">
        <v>1</v>
      </c>
      <c r="L40">
        <v>2</v>
      </c>
      <c r="M40">
        <v>1</v>
      </c>
      <c r="N40">
        <v>1</v>
      </c>
      <c r="O40">
        <v>0</v>
      </c>
    </row>
    <row r="41" spans="1:15" x14ac:dyDescent="0.3">
      <c r="A41" s="12" t="s">
        <v>102</v>
      </c>
      <c r="B41">
        <v>392</v>
      </c>
      <c r="C41">
        <v>63</v>
      </c>
      <c r="D41">
        <v>69</v>
      </c>
      <c r="E41">
        <v>0</v>
      </c>
      <c r="F41">
        <v>0</v>
      </c>
      <c r="G41">
        <v>0</v>
      </c>
      <c r="H41">
        <v>59</v>
      </c>
      <c r="I41">
        <v>5</v>
      </c>
      <c r="J41">
        <v>0</v>
      </c>
      <c r="K41">
        <v>0</v>
      </c>
      <c r="L41">
        <v>0</v>
      </c>
      <c r="M41">
        <v>0</v>
      </c>
      <c r="N41">
        <v>0</v>
      </c>
      <c r="O41">
        <v>0</v>
      </c>
    </row>
    <row r="42" spans="1:15" x14ac:dyDescent="0.3">
      <c r="A42" s="12" t="s">
        <v>103</v>
      </c>
      <c r="B42">
        <v>1062</v>
      </c>
      <c r="C42">
        <v>224</v>
      </c>
      <c r="D42">
        <v>178</v>
      </c>
      <c r="E42">
        <v>1</v>
      </c>
      <c r="F42">
        <v>6</v>
      </c>
      <c r="G42">
        <v>0</v>
      </c>
      <c r="H42">
        <v>210</v>
      </c>
      <c r="I42">
        <v>72</v>
      </c>
      <c r="J42">
        <v>5</v>
      </c>
      <c r="K42">
        <v>4</v>
      </c>
      <c r="L42">
        <v>0</v>
      </c>
      <c r="M42">
        <v>0</v>
      </c>
      <c r="N42">
        <v>0</v>
      </c>
      <c r="O42">
        <v>0</v>
      </c>
    </row>
    <row r="43" spans="1:15" x14ac:dyDescent="0.3">
      <c r="A43" s="12" t="s">
        <v>106</v>
      </c>
      <c r="B43">
        <v>1098</v>
      </c>
      <c r="C43">
        <v>322</v>
      </c>
      <c r="D43">
        <v>448</v>
      </c>
      <c r="E43">
        <v>7</v>
      </c>
      <c r="F43">
        <v>43</v>
      </c>
      <c r="G43">
        <v>3</v>
      </c>
      <c r="H43">
        <v>602</v>
      </c>
      <c r="I43">
        <v>41</v>
      </c>
      <c r="J43">
        <v>60</v>
      </c>
      <c r="K43">
        <v>12</v>
      </c>
      <c r="L43">
        <v>12</v>
      </c>
      <c r="M43">
        <v>3</v>
      </c>
      <c r="N43">
        <v>12</v>
      </c>
      <c r="O43">
        <v>0</v>
      </c>
    </row>
    <row r="44" spans="1:15" x14ac:dyDescent="0.3">
      <c r="A44" s="12" t="s">
        <v>109</v>
      </c>
      <c r="B44">
        <v>340</v>
      </c>
      <c r="C44">
        <v>121</v>
      </c>
      <c r="D44">
        <v>157</v>
      </c>
      <c r="E44">
        <v>10</v>
      </c>
      <c r="F44">
        <v>62</v>
      </c>
      <c r="G44">
        <v>10</v>
      </c>
      <c r="H44">
        <v>131</v>
      </c>
      <c r="I44">
        <v>18</v>
      </c>
      <c r="J44">
        <v>11</v>
      </c>
      <c r="K44">
        <v>1</v>
      </c>
      <c r="L44">
        <v>8</v>
      </c>
      <c r="M44">
        <v>7</v>
      </c>
      <c r="N44">
        <v>70</v>
      </c>
      <c r="O44">
        <v>7</v>
      </c>
    </row>
    <row r="45" spans="1:15" x14ac:dyDescent="0.3">
      <c r="A45" s="12" t="s">
        <v>110</v>
      </c>
      <c r="B45">
        <v>6693</v>
      </c>
      <c r="C45">
        <v>2738</v>
      </c>
      <c r="D45">
        <v>3091</v>
      </c>
      <c r="E45">
        <v>201</v>
      </c>
      <c r="F45">
        <v>725</v>
      </c>
      <c r="G45">
        <v>107</v>
      </c>
      <c r="H45">
        <v>2381</v>
      </c>
      <c r="I45">
        <v>362</v>
      </c>
      <c r="J45">
        <v>267</v>
      </c>
      <c r="K45">
        <v>27</v>
      </c>
      <c r="L45">
        <v>649</v>
      </c>
      <c r="M45">
        <v>260</v>
      </c>
      <c r="N45">
        <v>1190</v>
      </c>
      <c r="O45">
        <v>328</v>
      </c>
    </row>
    <row r="46" spans="1:15" x14ac:dyDescent="0.3">
      <c r="A46" s="12" t="s">
        <v>112</v>
      </c>
      <c r="B46">
        <v>354</v>
      </c>
      <c r="C46">
        <v>115</v>
      </c>
      <c r="D46">
        <v>96</v>
      </c>
      <c r="E46">
        <v>3</v>
      </c>
      <c r="F46">
        <v>4</v>
      </c>
      <c r="G46">
        <v>0</v>
      </c>
      <c r="H46">
        <v>88</v>
      </c>
      <c r="I46">
        <v>8</v>
      </c>
      <c r="J46">
        <v>12</v>
      </c>
      <c r="K46">
        <v>9</v>
      </c>
      <c r="L46">
        <v>2</v>
      </c>
      <c r="M46">
        <v>0</v>
      </c>
      <c r="N46">
        <v>0</v>
      </c>
      <c r="O46">
        <v>0</v>
      </c>
    </row>
    <row r="47" spans="1:15" x14ac:dyDescent="0.3">
      <c r="A47" s="12" t="s">
        <v>114</v>
      </c>
      <c r="B47">
        <v>953</v>
      </c>
      <c r="C47">
        <v>278</v>
      </c>
      <c r="D47">
        <v>277</v>
      </c>
      <c r="E47">
        <v>12</v>
      </c>
      <c r="F47">
        <v>8</v>
      </c>
      <c r="G47">
        <v>3</v>
      </c>
      <c r="H47">
        <v>174</v>
      </c>
      <c r="I47">
        <v>54</v>
      </c>
      <c r="J47">
        <v>43</v>
      </c>
      <c r="K47">
        <v>10</v>
      </c>
      <c r="L47">
        <v>137</v>
      </c>
      <c r="M47">
        <v>40</v>
      </c>
      <c r="N47">
        <v>120</v>
      </c>
      <c r="O47">
        <v>25</v>
      </c>
    </row>
    <row r="48" spans="1:15" x14ac:dyDescent="0.3">
      <c r="A48" s="12" t="s">
        <v>115</v>
      </c>
      <c r="B48">
        <v>5241</v>
      </c>
      <c r="C48">
        <v>1624</v>
      </c>
      <c r="D48">
        <v>2133</v>
      </c>
      <c r="E48">
        <v>65</v>
      </c>
      <c r="F48">
        <v>128</v>
      </c>
      <c r="G48">
        <v>14</v>
      </c>
      <c r="H48">
        <v>1766</v>
      </c>
      <c r="I48">
        <v>190</v>
      </c>
      <c r="J48">
        <v>128</v>
      </c>
      <c r="K48">
        <v>25</v>
      </c>
      <c r="L48">
        <v>366</v>
      </c>
      <c r="M48">
        <v>160</v>
      </c>
      <c r="N48">
        <v>1047</v>
      </c>
      <c r="O48">
        <v>117</v>
      </c>
    </row>
    <row r="49" spans="1:15" x14ac:dyDescent="0.3">
      <c r="A49" s="12" t="s">
        <v>116</v>
      </c>
      <c r="B49">
        <v>397</v>
      </c>
      <c r="C49">
        <v>135</v>
      </c>
      <c r="D49">
        <v>154</v>
      </c>
      <c r="E49">
        <v>3</v>
      </c>
      <c r="F49">
        <v>0</v>
      </c>
      <c r="G49">
        <v>0</v>
      </c>
      <c r="H49">
        <v>201</v>
      </c>
      <c r="I49">
        <v>60</v>
      </c>
      <c r="J49">
        <v>1</v>
      </c>
      <c r="K49">
        <v>1</v>
      </c>
      <c r="L49">
        <v>1</v>
      </c>
      <c r="M49">
        <v>1</v>
      </c>
      <c r="N49">
        <v>0</v>
      </c>
      <c r="O49">
        <v>0</v>
      </c>
    </row>
    <row r="50" spans="1:15" x14ac:dyDescent="0.3">
      <c r="A50" s="12" t="s">
        <v>117</v>
      </c>
      <c r="B50">
        <v>5163</v>
      </c>
      <c r="C50">
        <v>1890</v>
      </c>
      <c r="D50">
        <v>3358</v>
      </c>
      <c r="E50">
        <v>117</v>
      </c>
      <c r="F50">
        <v>162</v>
      </c>
      <c r="G50">
        <v>69</v>
      </c>
      <c r="H50">
        <v>2278</v>
      </c>
      <c r="I50">
        <v>289</v>
      </c>
      <c r="J50">
        <v>277</v>
      </c>
      <c r="K50">
        <v>25</v>
      </c>
      <c r="L50">
        <v>403</v>
      </c>
      <c r="M50">
        <v>163</v>
      </c>
      <c r="N50">
        <v>1701</v>
      </c>
      <c r="O50">
        <v>415</v>
      </c>
    </row>
    <row r="51" spans="1:15" x14ac:dyDescent="0.3">
      <c r="A51" s="12" t="s">
        <v>118</v>
      </c>
      <c r="B51">
        <v>3833</v>
      </c>
      <c r="C51">
        <v>1260</v>
      </c>
      <c r="D51">
        <v>1479</v>
      </c>
      <c r="E51">
        <v>75</v>
      </c>
      <c r="F51">
        <v>399</v>
      </c>
      <c r="G51">
        <v>18</v>
      </c>
      <c r="H51">
        <v>1383</v>
      </c>
      <c r="I51">
        <v>155</v>
      </c>
      <c r="J51">
        <v>364</v>
      </c>
      <c r="K51">
        <v>30</v>
      </c>
      <c r="L51">
        <v>763</v>
      </c>
      <c r="M51">
        <v>131</v>
      </c>
      <c r="N51">
        <v>1663</v>
      </c>
      <c r="O51">
        <v>124</v>
      </c>
    </row>
    <row r="52" spans="1:15" x14ac:dyDescent="0.3">
      <c r="A52" s="12" t="s">
        <v>119</v>
      </c>
      <c r="B52">
        <v>13603</v>
      </c>
      <c r="C52">
        <v>4555</v>
      </c>
      <c r="D52">
        <v>4588</v>
      </c>
      <c r="E52">
        <v>202</v>
      </c>
      <c r="F52">
        <v>137</v>
      </c>
      <c r="G52">
        <v>22</v>
      </c>
      <c r="H52">
        <v>3121</v>
      </c>
      <c r="I52">
        <v>282</v>
      </c>
      <c r="J52">
        <v>16</v>
      </c>
      <c r="K52">
        <v>7</v>
      </c>
      <c r="L52">
        <v>13</v>
      </c>
      <c r="M52">
        <v>12</v>
      </c>
      <c r="N52">
        <v>2595</v>
      </c>
      <c r="O52">
        <v>262</v>
      </c>
    </row>
    <row r="53" spans="1:15" x14ac:dyDescent="0.3">
      <c r="A53" s="12" t="s">
        <v>113</v>
      </c>
      <c r="B53">
        <v>184</v>
      </c>
      <c r="C53">
        <v>0</v>
      </c>
      <c r="D53">
        <v>0</v>
      </c>
      <c r="E53">
        <v>0</v>
      </c>
      <c r="F53">
        <v>0</v>
      </c>
      <c r="G53">
        <v>0</v>
      </c>
      <c r="H53">
        <v>0</v>
      </c>
      <c r="I53">
        <v>0</v>
      </c>
      <c r="J53">
        <v>0</v>
      </c>
      <c r="K53">
        <v>0</v>
      </c>
      <c r="L53">
        <v>0</v>
      </c>
      <c r="M53">
        <v>0</v>
      </c>
      <c r="N53">
        <v>0</v>
      </c>
      <c r="O53">
        <v>0</v>
      </c>
    </row>
    <row r="54" spans="1:15" x14ac:dyDescent="0.3">
      <c r="A54" s="12" t="s">
        <v>23</v>
      </c>
      <c r="B54">
        <v>40456</v>
      </c>
      <c r="C54">
        <v>13537</v>
      </c>
      <c r="D54">
        <v>16220</v>
      </c>
      <c r="E54">
        <v>711</v>
      </c>
      <c r="F54">
        <v>1683</v>
      </c>
      <c r="G54">
        <v>246</v>
      </c>
      <c r="H54">
        <v>12572</v>
      </c>
      <c r="I54">
        <v>1554</v>
      </c>
      <c r="J54">
        <v>1186</v>
      </c>
      <c r="K54">
        <v>152</v>
      </c>
      <c r="L54">
        <v>2356</v>
      </c>
      <c r="M54">
        <v>778</v>
      </c>
      <c r="N54">
        <v>8399</v>
      </c>
      <c r="O54">
        <v>1278</v>
      </c>
    </row>
    <row r="56" spans="1:15" x14ac:dyDescent="0.3">
      <c r="A56" s="11" t="s">
        <v>0</v>
      </c>
      <c r="B56" t="s">
        <v>181</v>
      </c>
      <c r="C56" t="s">
        <v>182</v>
      </c>
      <c r="D56" t="s">
        <v>183</v>
      </c>
      <c r="E56" t="s">
        <v>184</v>
      </c>
      <c r="F56" t="s">
        <v>185</v>
      </c>
      <c r="G56" t="s">
        <v>186</v>
      </c>
      <c r="H56" t="s">
        <v>187</v>
      </c>
    </row>
    <row r="57" spans="1:15" x14ac:dyDescent="0.3">
      <c r="A57" s="12" t="s">
        <v>110</v>
      </c>
      <c r="B57" s="13">
        <v>0.40908411773494696</v>
      </c>
      <c r="C57" s="13">
        <v>0.15203695926081479</v>
      </c>
      <c r="D57" s="13">
        <v>0.14758620689655172</v>
      </c>
      <c r="E57" s="13">
        <v>0.10112359550561797</v>
      </c>
      <c r="F57" s="13">
        <v>0.40061633281972264</v>
      </c>
      <c r="G57" s="13">
        <v>0.27563025210084036</v>
      </c>
      <c r="H57" s="13"/>
    </row>
    <row r="58" spans="1:15" x14ac:dyDescent="0.3">
      <c r="A58" s="12" t="s">
        <v>115</v>
      </c>
      <c r="B58" s="13">
        <v>0.30986452966991035</v>
      </c>
      <c r="C58" s="13">
        <v>0.10758776896942242</v>
      </c>
      <c r="D58" s="13">
        <v>0.109375</v>
      </c>
      <c r="E58" s="13">
        <v>0.1953125</v>
      </c>
      <c r="F58" s="13">
        <v>0.43715846994535518</v>
      </c>
      <c r="G58" s="13">
        <v>0.11174785100286533</v>
      </c>
      <c r="H58" s="13"/>
    </row>
    <row r="59" spans="1:15" x14ac:dyDescent="0.3">
      <c r="A59" s="12" t="s">
        <v>117</v>
      </c>
      <c r="B59" s="13">
        <v>0.36606624055781523</v>
      </c>
      <c r="C59" s="13">
        <v>0.12686567164179105</v>
      </c>
      <c r="D59" s="13">
        <v>0.42592592592592593</v>
      </c>
      <c r="E59" s="13">
        <v>9.0252707581227443E-2</v>
      </c>
      <c r="F59" s="13">
        <v>0.40446650124069478</v>
      </c>
      <c r="G59" s="13">
        <v>0.24397413286302175</v>
      </c>
      <c r="H59" s="13"/>
    </row>
    <row r="60" spans="1:15" x14ac:dyDescent="0.3">
      <c r="A60" s="12" t="s">
        <v>118</v>
      </c>
      <c r="B60" s="13">
        <v>0.32872423689016439</v>
      </c>
      <c r="C60" s="13">
        <v>0.11207519884309472</v>
      </c>
      <c r="D60" s="13">
        <v>4.5112781954887216E-2</v>
      </c>
      <c r="E60" s="13">
        <v>8.2417582417582416E-2</v>
      </c>
      <c r="F60" s="13">
        <v>0.17169069462647443</v>
      </c>
      <c r="G60" s="13">
        <v>7.4564040889957911E-2</v>
      </c>
      <c r="H60" s="13"/>
    </row>
    <row r="61" spans="1:15" x14ac:dyDescent="0.3">
      <c r="A61" s="12" t="s">
        <v>119</v>
      </c>
      <c r="B61" s="13">
        <v>0.33485260604278466</v>
      </c>
      <c r="C61" s="13">
        <v>9.0355655238705548E-2</v>
      </c>
      <c r="D61" s="13">
        <v>0.16058394160583941</v>
      </c>
      <c r="E61" s="13">
        <v>0.4375</v>
      </c>
      <c r="F61" s="13">
        <v>0.92307692307692313</v>
      </c>
      <c r="G61" s="13">
        <v>0.10096339113680154</v>
      </c>
      <c r="H61" s="13"/>
    </row>
    <row r="62" spans="1:15" x14ac:dyDescent="0.3">
      <c r="A62" s="12" t="s">
        <v>23</v>
      </c>
      <c r="B62">
        <v>0.34943387484435179</v>
      </c>
      <c r="C62">
        <v>0.11693659072193248</v>
      </c>
      <c r="D62">
        <v>0.14829142488716957</v>
      </c>
      <c r="E62">
        <v>0.10836501901140684</v>
      </c>
      <c r="F62">
        <v>0.33090246125797629</v>
      </c>
      <c r="G62">
        <v>0.15202537823328452</v>
      </c>
      <c r="H62" s="13"/>
    </row>
    <row r="63" spans="1:15" x14ac:dyDescent="0.3">
      <c r="H63" s="13"/>
    </row>
    <row r="64" spans="1:15" x14ac:dyDescent="0.3">
      <c r="H64" s="13"/>
    </row>
    <row r="65" spans="8:8" x14ac:dyDescent="0.3">
      <c r="H65" s="13"/>
    </row>
    <row r="66" spans="8:8" x14ac:dyDescent="0.3">
      <c r="H66" s="13"/>
    </row>
    <row r="67" spans="8:8" x14ac:dyDescent="0.3">
      <c r="H67" s="13"/>
    </row>
    <row r="68" spans="8:8" x14ac:dyDescent="0.3">
      <c r="H68" s="13"/>
    </row>
    <row r="69" spans="8:8" x14ac:dyDescent="0.3">
      <c r="H69" s="1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Summary_inpatient (2)</vt:lpstr>
      <vt:lpstr>Summary_5-14yrs</vt:lpstr>
      <vt:lpstr>Sheet1</vt:lpstr>
      <vt:lpstr>Dataset</vt:lpstr>
      <vt:lpstr>april 2025 data</vt:lpstr>
      <vt:lpstr>Summary_HIV_new</vt:lpstr>
      <vt:lpstr>Summary_0-4yrs</vt:lpstr>
      <vt:lpstr>Summary_inpatient</vt:lpstr>
      <vt:lpstr>Summary_RTT</vt:lpstr>
      <vt:lpstr>Summary_unsuppressed</vt:lpstr>
      <vt:lpstr>Dashboard overall</vt:lpstr>
      <vt:lpstr>charts</vt:lpstr>
      <vt:lpstr>peads_0-4</vt:lpstr>
      <vt:lpstr>peads-5-14</vt:lpstr>
      <vt:lpstr>DQA</vt:lpstr>
      <vt:lpstr>pivots_summeries</vt:lpstr>
      <vt:lpstr>New HIV pos</vt:lpstr>
      <vt:lpstr>Inpatient</vt:lpstr>
      <vt:lpstr>HVL</vt:lpstr>
      <vt:lpstr>RTT</vt:lpstr>
      <vt:lpstr>Analyzes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Pachawo Bisani</dc:creator>
  <cp:keywords/>
  <dc:description/>
  <cp:lastModifiedBy>Pachawo Bisani</cp:lastModifiedBy>
  <cp:revision/>
  <dcterms:created xsi:type="dcterms:W3CDTF">2024-04-03T08:55:33Z</dcterms:created>
  <dcterms:modified xsi:type="dcterms:W3CDTF">2025-07-31T13:09:46Z</dcterms:modified>
  <cp:category/>
  <cp:contentStatus/>
</cp:coreProperties>
</file>